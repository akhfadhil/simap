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" sheetId="1" r:id="rId4"/>
    <sheet state="visible" name="BARENG" sheetId="2" r:id="rId5"/>
    <sheet state="visible" name="BENELAN LOR" sheetId="3" r:id="rId6"/>
    <sheet state="visible" name="BUNDER" sheetId="4" r:id="rId7"/>
    <sheet state="visible" name="DADAPAN" sheetId="5" r:id="rId8"/>
    <sheet state="visible" name="GOMBOLIRANG" sheetId="6" r:id="rId9"/>
    <sheet state="visible" name="KABAT" sheetId="7" r:id="rId10"/>
    <sheet state="visible" name="KALIREJO" sheetId="8" r:id="rId11"/>
    <sheet state="visible" name="KEDAYUNAN" sheetId="9" r:id="rId12"/>
    <sheet state="visible" name="LABANASEM" sheetId="10" r:id="rId13"/>
    <sheet state="visible" name="MACAN PUTIH" sheetId="11" r:id="rId14"/>
    <sheet state="visible" name="PAKISATAJI" sheetId="12" r:id="rId15"/>
    <sheet state="visible" name="PENDARUNGAN" sheetId="13" r:id="rId16"/>
    <sheet state="visible" name="PONDOKNONGKO" sheetId="14" r:id="rId17"/>
    <sheet state="visible" name="TAMBONG" sheetId="15" r:id="rId18"/>
  </sheets>
  <definedNames/>
  <calcPr/>
  <extLst>
    <ext uri="GoogleSheetsCustomDataVersion2">
      <go:sheetsCustomData xmlns:go="http://customooxmlschemas.google.com/" r:id="rId19" roundtripDataChecksum="pOE5CEV8vkfwESxqOF11c8dhCFyshx1lHfacyMgdZnc="/>
    </ext>
  </extLst>
</workbook>
</file>

<file path=xl/sharedStrings.xml><?xml version="1.0" encoding="utf-8"?>
<sst xmlns="http://schemas.openxmlformats.org/spreadsheetml/2006/main" count="4996" uniqueCount="210">
  <si>
    <t>Kecamatan</t>
  </si>
  <si>
    <t>KABAT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</si>
  <si>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</si>
  <si>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</si>
  <si>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</si>
  <si>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</si>
  <si>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</si>
  <si>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</si>
  <si>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</si>
  <si>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</si>
  <si>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</si>
  <si>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</si>
  <si>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</si>
  <si>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</si>
  <si>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</si>
  <si>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</si>
  <si>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</si>
  <si>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</si>
  <si>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</si>
  <si>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</si>
  <si>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</si>
  <si>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</si>
  <si>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</si>
  <si>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</si>
  <si>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</si>
  <si>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</si>
  <si>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</si>
  <si>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</si>
  <si>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</si>
  <si>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</si>
  <si>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</si>
  <si>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</si>
  <si>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</si>
  <si>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</si>
  <si>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</si>
  <si>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</si>
  <si>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</si>
  <si>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</si>
  <si>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</si>
  <si>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</si>
  <si>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ANITA RANI, S.H.</t>
  </si>
  <si>
    <t>2. ANISAH MAHSUNAH, S.E.</t>
  </si>
  <si>
    <t>3. SENARI, S.Sos.</t>
  </si>
  <si>
    <t>4. VERAGAWATI, S.H.</t>
  </si>
  <si>
    <t>5. KURDI EHSAN</t>
  </si>
  <si>
    <t>6. BONDAN ARDYWIJAYA</t>
  </si>
  <si>
    <t>JUMLAH SUARA SAH PARTAI POLITIK DAN CALON (A1 + A2)</t>
  </si>
  <si>
    <t>Partai Gerakan Indonesia Raya</t>
  </si>
  <si>
    <t>1. Ir. H. NAUFAL BADRI</t>
  </si>
  <si>
    <t>2. ALI MUSTAUFIQ, S.Pd.</t>
  </si>
  <si>
    <t>3. Ir. IRA STEPHANI RAWUNG, M.M.</t>
  </si>
  <si>
    <t>4. Hj. LISMIYANA</t>
  </si>
  <si>
    <t>5. RIFKI PRIA HARTAWAN USMAN, S.H.</t>
  </si>
  <si>
    <t>6. KUNTI MAULIDATAS SAFROH, S.Sos.</t>
  </si>
  <si>
    <t>Partai Demokrasi Indonesia Perjuangan</t>
  </si>
  <si>
    <t>1. TRI SOEDARYONO</t>
  </si>
  <si>
    <t>2. HEKSA SOEDARMADI, S.H.</t>
  </si>
  <si>
    <t>3. PRAMUDITA MAHARANI SAPUTRI</t>
  </si>
  <si>
    <t>4. SLAMET UTOMO</t>
  </si>
  <si>
    <t>5. MARCELINUS FLORIANUS GADI GAA</t>
  </si>
  <si>
    <t>6. RACHEL PUSPA ANGELIA</t>
  </si>
  <si>
    <t>Partai Golongan Karya</t>
  </si>
  <si>
    <t>1. EVA HESTIYAWATI, S.E.</t>
  </si>
  <si>
    <t>2. MAS DWI SONY WIDIANTO</t>
  </si>
  <si>
    <t>3. YULIANTO</t>
  </si>
  <si>
    <t>4. MOCH. ZAENI, S.H., M.H.</t>
  </si>
  <si>
    <t>5. MEGA ANASTASIA CRISTANTY</t>
  </si>
  <si>
    <t>6. IMAN SANTOSO, S.E., M.M.H.</t>
  </si>
  <si>
    <t>5.</t>
  </si>
  <si>
    <t>Partai NasDem</t>
  </si>
  <si>
    <t>1. ZAMRONI, S.H.</t>
  </si>
  <si>
    <t>2. AHMAD WIBISONO, S.T.</t>
  </si>
  <si>
    <t>3. Dra. EMY TRIASTUTIK, M.M.</t>
  </si>
  <si>
    <t>4. PEBDI ARISDIAWAN, S.E.</t>
  </si>
  <si>
    <t>5. BERNAT SIPAHUTAR, S.E.</t>
  </si>
  <si>
    <t>6. INDAH CATUR CAHYANINGTYAS</t>
  </si>
  <si>
    <t>6.</t>
  </si>
  <si>
    <t>Partai Buruh</t>
  </si>
  <si>
    <t>1. SULASTRI, S.H.</t>
  </si>
  <si>
    <t>7.</t>
  </si>
  <si>
    <t>Partai Gelombang Rakyat Indonesia</t>
  </si>
  <si>
    <t>1. H. SUGIARTO, S.E., M.Si.</t>
  </si>
  <si>
    <t>2. MUHTAR</t>
  </si>
  <si>
    <t>3. UNISSIAWATY</t>
  </si>
  <si>
    <t>4. DWI WAHYUDI</t>
  </si>
  <si>
    <t>5. ADINA MUTIARA KURNIAWAN, S.T.</t>
  </si>
  <si>
    <t>6. FIRMAN ISADI</t>
  </si>
  <si>
    <t>8.</t>
  </si>
  <si>
    <t>Partai Keadilan Sejahtera</t>
  </si>
  <si>
    <t>1. NENI VIANTIN DIYAH MARTIVA, S.Pd.</t>
  </si>
  <si>
    <t>2. RINO AHMAD MURAD</t>
  </si>
  <si>
    <t>3. ASROR FAHRUDIN</t>
  </si>
  <si>
    <t>4. ABDUL KARIM</t>
  </si>
  <si>
    <t>5. ZIA UL HAK, S.H., M.Kn.</t>
  </si>
  <si>
    <t>6. MUNA AZ ZAHRA</t>
  </si>
  <si>
    <t>9.</t>
  </si>
  <si>
    <t>Partai Kebangkitan Nusantara</t>
  </si>
  <si>
    <t>1. LILIS SURYANI</t>
  </si>
  <si>
    <t>10.</t>
  </si>
  <si>
    <t>Partai Hati Nurani Rakyat</t>
  </si>
  <si>
    <t>1. Ir. BASUKI RACHMAD</t>
  </si>
  <si>
    <t>2. H. VERDIYANTO WELLYA</t>
  </si>
  <si>
    <t>3. Hj. LILIK YULIATI, S.A.P.</t>
  </si>
  <si>
    <t>4. H. ABDUL HADI, S.Pd.I., M.Pd.</t>
  </si>
  <si>
    <t>5. SUGENG PRAMONO</t>
  </si>
  <si>
    <t>6. ERVIN YUNITASARI</t>
  </si>
  <si>
    <t>11.</t>
  </si>
  <si>
    <t>Partai Garda Republik Indonesia</t>
  </si>
  <si>
    <t>-</t>
  </si>
  <si>
    <t>12.</t>
  </si>
  <si>
    <t>Partai Amanat Nasional</t>
  </si>
  <si>
    <t>1. H. JUWAINI, S.E.</t>
  </si>
  <si>
    <t>2. KURAISIEN MILAPUSPA DEWI, S.E.</t>
  </si>
  <si>
    <t>3. ILZAM LUTFI</t>
  </si>
  <si>
    <t>4. AFIRDA AINIYA</t>
  </si>
  <si>
    <t>5. ABDUL WAHID</t>
  </si>
  <si>
    <t>6. MABRUR RAMADHANI</t>
  </si>
  <si>
    <t>13.</t>
  </si>
  <si>
    <t>Partai Bulan Bintang</t>
  </si>
  <si>
    <t>1. NUR HOLIS</t>
  </si>
  <si>
    <t>2. MOCHAMMAD SOFIYANDI</t>
  </si>
  <si>
    <t>3. DEWI CITRA FEBRIYANTI</t>
  </si>
  <si>
    <t>4. FAHMUL HUDA, S.Pd.</t>
  </si>
  <si>
    <t>5. ENDANG RETNOWATI</t>
  </si>
  <si>
    <t>6. DEDY ARY WYDIANTO</t>
  </si>
  <si>
    <t>14.</t>
  </si>
  <si>
    <t>Partai Demokrat</t>
  </si>
  <si>
    <t>1. YUNIETA NURCAHYANI INDRASARI, S.T.</t>
  </si>
  <si>
    <t>2. ANDI MULJO, S.Si., Apt.</t>
  </si>
  <si>
    <t>3. RICCO ANTAR BUDAYA, S.H., M.Kn.</t>
  </si>
  <si>
    <t>4. INTAN MAULIDIA ISLAMI</t>
  </si>
  <si>
    <t>5. AHMAD RISKI SAPUTRA</t>
  </si>
  <si>
    <t>6. ZAM ZAMI, S.E.</t>
  </si>
  <si>
    <t>15.</t>
  </si>
  <si>
    <t>Partai Solidaritas Indonesia</t>
  </si>
  <si>
    <t>1. RAGIL GALIH PERSADA</t>
  </si>
  <si>
    <t>2. AL IMAM ISATULIBAT, S.T.</t>
  </si>
  <si>
    <t>3. HERIBERTA ANDRI PURWANINGSIH</t>
  </si>
  <si>
    <t>4. IMAM MAHMUDI</t>
  </si>
  <si>
    <t>5. NETY MUFFIDAH</t>
  </si>
  <si>
    <t>16.</t>
  </si>
  <si>
    <t>PARTAI PERINDO</t>
  </si>
  <si>
    <t>1. KHAIRUL FALAH, S.Sos.</t>
  </si>
  <si>
    <t>2. Drs. SURYADI</t>
  </si>
  <si>
    <t>3. NUNGKY CHUKS MINANGSARY</t>
  </si>
  <si>
    <t>4. DYAH AYU SETIYOWATI</t>
  </si>
  <si>
    <t>5. Dr. SETYO UTOMO, S.H., M.Si.</t>
  </si>
  <si>
    <t>6. KAISAR AL HADI HAGGY AL HADDAR</t>
  </si>
  <si>
    <t>17.</t>
  </si>
  <si>
    <t>Partai Persatuan Pembangunan</t>
  </si>
  <si>
    <t>1. FUAD AHMAD</t>
  </si>
  <si>
    <t>2. JAWAHIRUL KAWAKIB, M.Pd.</t>
  </si>
  <si>
    <t>3. AMIRAH BELQIS RANA SHIBA A.</t>
  </si>
  <si>
    <t>4. HERY PURNOMO, S.H.</t>
  </si>
  <si>
    <t>5. ZAINULLAH</t>
  </si>
  <si>
    <t>6. ISTIN NURUL MARDIANA</t>
  </si>
  <si>
    <t>18.</t>
  </si>
  <si>
    <t>Partai Ummat</t>
  </si>
  <si>
    <t>1. HAWI SUYOSO, S.E.</t>
  </si>
  <si>
    <t>2. MAKHMUD ALI MURDOKO, S.Pd., M.Pd.</t>
  </si>
  <si>
    <t>3. MAYA ARDIANA SARI</t>
  </si>
  <si>
    <t>4. HOIRRUDIN MUSTOFA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</si>
  <si>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</si>
  <si>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</si>
  <si>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</si>
  <si>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</si>
  <si>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</si>
  <si>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</si>
  <si>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</si>
  <si>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</si>
  <si>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</si>
  <si>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BARENG</t>
  </si>
  <si>
    <t>TPS 001</t>
  </si>
  <si>
    <t>TPS 002</t>
  </si>
  <si>
    <t>TPS 003</t>
  </si>
  <si>
    <t>TPS 004</t>
  </si>
  <si>
    <t>TPS 005</t>
  </si>
  <si>
    <t>TPS 006</t>
  </si>
  <si>
    <t>BENELAN LOR</t>
  </si>
  <si>
    <t>TPS 007</t>
  </si>
  <si>
    <t>TPS 008</t>
  </si>
  <si>
    <t>TPS 009</t>
  </si>
  <si>
    <t>BUNDER</t>
  </si>
  <si>
    <t>TPS 010</t>
  </si>
  <si>
    <t>TPS 011</t>
  </si>
  <si>
    <t>TPS 012</t>
  </si>
  <si>
    <t>TPS 013</t>
  </si>
  <si>
    <t>DADAPAN</t>
  </si>
  <si>
    <t>TPS 014</t>
  </si>
  <si>
    <t>TPS 015</t>
  </si>
  <si>
    <t>TPS 016</t>
  </si>
  <si>
    <t>TPS 017</t>
  </si>
  <si>
    <t>TPS 018</t>
  </si>
  <si>
    <t>TPS 019</t>
  </si>
  <si>
    <t>GOMBOLIRANG</t>
  </si>
  <si>
    <t>KALIREJO</t>
  </si>
  <si>
    <t>KEDAYUNAN</t>
  </si>
  <si>
    <t>LABANASEM</t>
  </si>
  <si>
    <t>MACAN PUTIH</t>
  </si>
  <si>
    <t>TPS 020</t>
  </si>
  <si>
    <t>TPS 021</t>
  </si>
  <si>
    <t>TPS 022</t>
  </si>
  <si>
    <t>TPS 023</t>
  </si>
  <si>
    <t>TPS 024</t>
  </si>
  <si>
    <t>TPS 025</t>
  </si>
  <si>
    <t>TPS 026</t>
  </si>
  <si>
    <t>PAKISATAJI</t>
  </si>
  <si>
    <t>PENDARUNGAN</t>
  </si>
  <si>
    <t>PONDOKNONGKO</t>
  </si>
  <si>
    <t>TAMBONG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</si>
</sst>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horizontal="center" readingOrder="0" vertical="center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3" fillId="0" fontId="1" numFmtId="3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1" fillId="0" fontId="8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24670.0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24737.0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49407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19098.0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20638.0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39736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8">
        <v>16.0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8">
        <v>22.0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38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8">
        <v>120.0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8">
        <v>159.0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279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29">
        <f t="shared" ref="E28:E29" si="1">E19+E22+E25</f>
        <v>19234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20819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40053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49999.0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40053.0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8">
        <v>120.0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9826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5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6" t="s">
        <v>33</v>
      </c>
      <c r="C39" s="23"/>
      <c r="D39" s="19" t="s">
        <v>12</v>
      </c>
      <c r="E39" s="38">
        <v>29.0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8">
        <v>36.0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7"/>
      <c r="C41" s="28"/>
      <c r="D41" s="13" t="s">
        <v>14</v>
      </c>
      <c r="E41" s="39">
        <f>SUM(E39:E40)</f>
        <v>65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8"/>
      <c r="B42" s="47"/>
      <c r="C42" s="47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5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36</v>
      </c>
      <c r="B44" s="49"/>
      <c r="C44" s="49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50" t="s">
        <v>17</v>
      </c>
      <c r="C45" s="51" t="s">
        <v>38</v>
      </c>
      <c r="D45" s="16"/>
      <c r="E45" s="52">
        <v>1306.0</v>
      </c>
      <c r="F45" s="53"/>
      <c r="G45" s="54"/>
      <c r="H45" s="54"/>
      <c r="I45" s="54"/>
      <c r="J45" s="54"/>
      <c r="K45" s="54"/>
      <c r="L45" s="54"/>
      <c r="M45" s="54"/>
      <c r="N45" s="54"/>
      <c r="O45" s="54"/>
      <c r="P45" s="55"/>
      <c r="Q45" s="3"/>
      <c r="R45" s="3"/>
      <c r="S45" s="3"/>
      <c r="T45" s="3"/>
      <c r="U45" s="3"/>
      <c r="V45" s="3"/>
      <c r="W45" s="56"/>
      <c r="X45" s="3"/>
      <c r="Y45" s="3"/>
      <c r="Z45" s="3"/>
    </row>
    <row r="46" ht="15.75" customHeight="1">
      <c r="A46" s="31" t="s">
        <v>39</v>
      </c>
      <c r="B46" s="57"/>
      <c r="C46" s="58" t="s">
        <v>40</v>
      </c>
      <c r="D46" s="59"/>
      <c r="E46" s="52">
        <v>4925.0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57"/>
      <c r="C47" s="58" t="s">
        <v>41</v>
      </c>
      <c r="D47" s="59"/>
      <c r="E47" s="60">
        <v>231.0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7"/>
      <c r="C48" s="58" t="s">
        <v>42</v>
      </c>
      <c r="D48" s="59"/>
      <c r="E48" s="60">
        <v>71.0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7"/>
      <c r="C49" s="58" t="s">
        <v>43</v>
      </c>
      <c r="D49" s="59"/>
      <c r="E49" s="60">
        <v>14.0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7"/>
      <c r="C50" s="58" t="s">
        <v>44</v>
      </c>
      <c r="D50" s="59"/>
      <c r="E50" s="60">
        <v>109.0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7"/>
      <c r="C51" s="58" t="s">
        <v>45</v>
      </c>
      <c r="D51" s="59"/>
      <c r="E51" s="60">
        <v>144.0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9" t="s">
        <v>15</v>
      </c>
      <c r="B52" s="50" t="s">
        <v>46</v>
      </c>
      <c r="C52" s="15"/>
      <c r="D52" s="16"/>
      <c r="E52" s="61">
        <f>SUM(E45:E51)</f>
        <v>6800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62"/>
      <c r="B53" s="63"/>
      <c r="C53" s="63"/>
      <c r="D53" s="63"/>
      <c r="E53" s="63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1" t="s">
        <v>37</v>
      </c>
      <c r="B54" s="50" t="s">
        <v>19</v>
      </c>
      <c r="C54" s="51" t="s">
        <v>47</v>
      </c>
      <c r="D54" s="16"/>
      <c r="E54" s="52">
        <v>1365.0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1" t="s">
        <v>39</v>
      </c>
      <c r="B55" s="57"/>
      <c r="C55" s="58" t="s">
        <v>48</v>
      </c>
      <c r="D55" s="59"/>
      <c r="E55" s="60">
        <v>497.0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57"/>
      <c r="C56" s="58" t="s">
        <v>49</v>
      </c>
      <c r="D56" s="59"/>
      <c r="E56" s="52">
        <v>1203.0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57"/>
      <c r="C57" s="58" t="s">
        <v>50</v>
      </c>
      <c r="D57" s="59"/>
      <c r="E57" s="60">
        <v>116.0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8"/>
      <c r="B58" s="57"/>
      <c r="C58" s="58" t="s">
        <v>51</v>
      </c>
      <c r="D58" s="59"/>
      <c r="E58" s="60">
        <v>92.0</v>
      </c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8"/>
      <c r="B59" s="57"/>
      <c r="C59" s="58" t="s">
        <v>52</v>
      </c>
      <c r="D59" s="59"/>
      <c r="E59" s="52">
        <v>1129.0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8"/>
      <c r="B60" s="57"/>
      <c r="C60" s="58" t="s">
        <v>53</v>
      </c>
      <c r="D60" s="59"/>
      <c r="E60" s="60">
        <v>29.0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9" t="s">
        <v>15</v>
      </c>
      <c r="B61" s="50" t="s">
        <v>46</v>
      </c>
      <c r="C61" s="15"/>
      <c r="D61" s="16"/>
      <c r="E61" s="61">
        <f>SUM(E54:E60)</f>
        <v>4431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62"/>
      <c r="B62" s="63"/>
      <c r="C62" s="63"/>
      <c r="D62" s="63"/>
      <c r="E62" s="63"/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1" t="s">
        <v>37</v>
      </c>
      <c r="B63" s="50" t="s">
        <v>21</v>
      </c>
      <c r="C63" s="51" t="s">
        <v>54</v>
      </c>
      <c r="D63" s="16"/>
      <c r="E63" s="60">
        <v>786.0</v>
      </c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1" t="s">
        <v>39</v>
      </c>
      <c r="B64" s="57"/>
      <c r="C64" s="58" t="s">
        <v>55</v>
      </c>
      <c r="D64" s="59"/>
      <c r="E64" s="60">
        <v>367.0</v>
      </c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8"/>
      <c r="B65" s="57"/>
      <c r="C65" s="58" t="s">
        <v>56</v>
      </c>
      <c r="D65" s="59"/>
      <c r="E65" s="52">
        <v>1237.0</v>
      </c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8"/>
      <c r="B66" s="57"/>
      <c r="C66" s="58" t="s">
        <v>57</v>
      </c>
      <c r="D66" s="59"/>
      <c r="E66" s="60">
        <v>779.0</v>
      </c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8"/>
      <c r="B67" s="57"/>
      <c r="C67" s="58" t="s">
        <v>58</v>
      </c>
      <c r="D67" s="59"/>
      <c r="E67" s="60">
        <v>55.0</v>
      </c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8"/>
      <c r="B68" s="57"/>
      <c r="C68" s="58" t="s">
        <v>59</v>
      </c>
      <c r="D68" s="59"/>
      <c r="E68" s="52">
        <v>2425.0</v>
      </c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8"/>
      <c r="B69" s="57"/>
      <c r="C69" s="58" t="s">
        <v>60</v>
      </c>
      <c r="D69" s="59"/>
      <c r="E69" s="60">
        <v>366.0</v>
      </c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9" t="s">
        <v>15</v>
      </c>
      <c r="B70" s="50" t="s">
        <v>46</v>
      </c>
      <c r="C70" s="15"/>
      <c r="D70" s="16"/>
      <c r="E70" s="64">
        <f>SUM(E63:E69)</f>
        <v>6015</v>
      </c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62"/>
      <c r="B71" s="63"/>
      <c r="C71" s="63"/>
      <c r="D71" s="63"/>
      <c r="E71" s="63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1" t="s">
        <v>37</v>
      </c>
      <c r="B72" s="50" t="s">
        <v>23</v>
      </c>
      <c r="C72" s="51" t="s">
        <v>61</v>
      </c>
      <c r="D72" s="16"/>
      <c r="E72" s="60">
        <v>566.0</v>
      </c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1" t="s">
        <v>39</v>
      </c>
      <c r="B73" s="57"/>
      <c r="C73" s="58" t="s">
        <v>62</v>
      </c>
      <c r="D73" s="59"/>
      <c r="E73" s="52">
        <v>1475.0</v>
      </c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8"/>
      <c r="B74" s="57"/>
      <c r="C74" s="58" t="s">
        <v>63</v>
      </c>
      <c r="D74" s="59"/>
      <c r="E74" s="60">
        <v>84.0</v>
      </c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8"/>
      <c r="B75" s="57"/>
      <c r="C75" s="58" t="s">
        <v>64</v>
      </c>
      <c r="D75" s="59"/>
      <c r="E75" s="60">
        <v>77.0</v>
      </c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8"/>
      <c r="B76" s="57"/>
      <c r="C76" s="58" t="s">
        <v>65</v>
      </c>
      <c r="D76" s="59"/>
      <c r="E76" s="52">
        <v>1494.0</v>
      </c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8"/>
      <c r="B77" s="57"/>
      <c r="C77" s="58" t="s">
        <v>66</v>
      </c>
      <c r="D77" s="59"/>
      <c r="E77" s="60">
        <v>29.0</v>
      </c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8"/>
      <c r="B78" s="57"/>
      <c r="C78" s="58" t="s">
        <v>67</v>
      </c>
      <c r="D78" s="59"/>
      <c r="E78" s="60">
        <v>42.0</v>
      </c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9" t="s">
        <v>15</v>
      </c>
      <c r="B79" s="50" t="s">
        <v>46</v>
      </c>
      <c r="C79" s="15"/>
      <c r="D79" s="16"/>
      <c r="E79" s="64">
        <f>SUM(E72:E78)</f>
        <v>3767</v>
      </c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2"/>
      <c r="B80" s="63"/>
      <c r="C80" s="63"/>
      <c r="D80" s="63"/>
      <c r="E80" s="63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1" t="s">
        <v>37</v>
      </c>
      <c r="B81" s="50" t="s">
        <v>68</v>
      </c>
      <c r="C81" s="51" t="s">
        <v>69</v>
      </c>
      <c r="D81" s="16"/>
      <c r="E81" s="60">
        <v>698.0</v>
      </c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1" t="s">
        <v>39</v>
      </c>
      <c r="B82" s="57"/>
      <c r="C82" s="58" t="s">
        <v>70</v>
      </c>
      <c r="D82" s="59"/>
      <c r="E82" s="60">
        <v>921.0</v>
      </c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8"/>
      <c r="B83" s="57"/>
      <c r="C83" s="58" t="s">
        <v>71</v>
      </c>
      <c r="D83" s="59"/>
      <c r="E83" s="60">
        <v>101.0</v>
      </c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8"/>
      <c r="B84" s="57"/>
      <c r="C84" s="58" t="s">
        <v>72</v>
      </c>
      <c r="D84" s="59"/>
      <c r="E84" s="60">
        <v>53.0</v>
      </c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8"/>
      <c r="B85" s="57"/>
      <c r="C85" s="58" t="s">
        <v>73</v>
      </c>
      <c r="D85" s="59"/>
      <c r="E85" s="60">
        <v>42.0</v>
      </c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8"/>
      <c r="B86" s="57"/>
      <c r="C86" s="58" t="s">
        <v>74</v>
      </c>
      <c r="D86" s="59"/>
      <c r="E86" s="52">
        <v>2502.0</v>
      </c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8"/>
      <c r="B87" s="57"/>
      <c r="C87" s="58" t="s">
        <v>75</v>
      </c>
      <c r="D87" s="59"/>
      <c r="E87" s="60">
        <v>32.0</v>
      </c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9" t="s">
        <v>15</v>
      </c>
      <c r="B88" s="50" t="s">
        <v>46</v>
      </c>
      <c r="C88" s="15"/>
      <c r="D88" s="16"/>
      <c r="E88" s="64">
        <f>SUM(E81:E87)</f>
        <v>4349</v>
      </c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62"/>
      <c r="B89" s="63"/>
      <c r="C89" s="63"/>
      <c r="D89" s="63"/>
      <c r="E89" s="63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1" t="s">
        <v>37</v>
      </c>
      <c r="B90" s="50" t="s">
        <v>76</v>
      </c>
      <c r="C90" s="51" t="s">
        <v>77</v>
      </c>
      <c r="D90" s="16"/>
      <c r="E90" s="60">
        <v>47.0</v>
      </c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1" t="s">
        <v>39</v>
      </c>
      <c r="B91" s="57"/>
      <c r="C91" s="58" t="s">
        <v>78</v>
      </c>
      <c r="D91" s="65"/>
      <c r="E91" s="60">
        <v>35.0</v>
      </c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9" t="s">
        <v>15</v>
      </c>
      <c r="B92" s="50" t="s">
        <v>46</v>
      </c>
      <c r="C92" s="15"/>
      <c r="D92" s="16"/>
      <c r="E92" s="64">
        <f>SUM(E90:E91)</f>
        <v>82</v>
      </c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62"/>
      <c r="B93" s="63"/>
      <c r="C93" s="63"/>
      <c r="D93" s="63"/>
      <c r="E93" s="63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1" t="s">
        <v>37</v>
      </c>
      <c r="B94" s="50" t="s">
        <v>79</v>
      </c>
      <c r="C94" s="51" t="s">
        <v>80</v>
      </c>
      <c r="D94" s="16"/>
      <c r="E94" s="60">
        <v>291.0</v>
      </c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1" t="s">
        <v>39</v>
      </c>
      <c r="B95" s="57"/>
      <c r="C95" s="58" t="s">
        <v>81</v>
      </c>
      <c r="D95" s="59"/>
      <c r="E95" s="52">
        <v>1635.0</v>
      </c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1"/>
      <c r="B96" s="57"/>
      <c r="C96" s="58" t="s">
        <v>82</v>
      </c>
      <c r="D96" s="59"/>
      <c r="E96" s="60">
        <v>39.0</v>
      </c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1"/>
      <c r="B97" s="57"/>
      <c r="C97" s="58" t="s">
        <v>83</v>
      </c>
      <c r="D97" s="59"/>
      <c r="E97" s="60">
        <v>10.0</v>
      </c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1"/>
      <c r="B98" s="57"/>
      <c r="C98" s="58" t="s">
        <v>84</v>
      </c>
      <c r="D98" s="59"/>
      <c r="E98" s="60">
        <v>5.0</v>
      </c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1"/>
      <c r="B99" s="57"/>
      <c r="C99" s="58" t="s">
        <v>85</v>
      </c>
      <c r="D99" s="59"/>
      <c r="E99" s="60">
        <v>36.0</v>
      </c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1"/>
      <c r="B100" s="57"/>
      <c r="C100" s="58" t="s">
        <v>86</v>
      </c>
      <c r="D100" s="59"/>
      <c r="E100" s="60">
        <v>9.0</v>
      </c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9" t="s">
        <v>15</v>
      </c>
      <c r="B101" s="50" t="s">
        <v>46</v>
      </c>
      <c r="C101" s="15"/>
      <c r="D101" s="16"/>
      <c r="E101" s="64">
        <f>SUM(E94:E100)</f>
        <v>2025</v>
      </c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62"/>
      <c r="B102" s="63"/>
      <c r="C102" s="63"/>
      <c r="D102" s="63"/>
      <c r="E102" s="63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1" t="s">
        <v>37</v>
      </c>
      <c r="B103" s="50" t="s">
        <v>87</v>
      </c>
      <c r="C103" s="51" t="s">
        <v>88</v>
      </c>
      <c r="D103" s="16"/>
      <c r="E103" s="60">
        <v>134.0</v>
      </c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1" t="s">
        <v>39</v>
      </c>
      <c r="B104" s="57"/>
      <c r="C104" s="58" t="s">
        <v>89</v>
      </c>
      <c r="D104" s="59"/>
      <c r="E104" s="60">
        <v>872.0</v>
      </c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8"/>
      <c r="B105" s="57"/>
      <c r="C105" s="58" t="s">
        <v>90</v>
      </c>
      <c r="D105" s="59"/>
      <c r="E105" s="60">
        <v>30.0</v>
      </c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8"/>
      <c r="B106" s="57"/>
      <c r="C106" s="58" t="s">
        <v>91</v>
      </c>
      <c r="D106" s="59"/>
      <c r="E106" s="60">
        <v>19.0</v>
      </c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8"/>
      <c r="B107" s="57"/>
      <c r="C107" s="58" t="s">
        <v>92</v>
      </c>
      <c r="D107" s="59"/>
      <c r="E107" s="60">
        <v>22.0</v>
      </c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8"/>
      <c r="B108" s="57"/>
      <c r="C108" s="58" t="s">
        <v>93</v>
      </c>
      <c r="D108" s="59"/>
      <c r="E108" s="60">
        <v>41.0</v>
      </c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8"/>
      <c r="B109" s="57"/>
      <c r="C109" s="58" t="s">
        <v>94</v>
      </c>
      <c r="D109" s="59"/>
      <c r="E109" s="60">
        <v>93.0</v>
      </c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9" t="s">
        <v>15</v>
      </c>
      <c r="B110" s="50" t="s">
        <v>46</v>
      </c>
      <c r="C110" s="15"/>
      <c r="D110" s="16"/>
      <c r="E110" s="64">
        <f>SUM(E103:E109)</f>
        <v>1211</v>
      </c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62"/>
      <c r="B111" s="63"/>
      <c r="C111" s="63"/>
      <c r="D111" s="63"/>
      <c r="E111" s="63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1" t="s">
        <v>37</v>
      </c>
      <c r="B112" s="50" t="s">
        <v>95</v>
      </c>
      <c r="C112" s="51" t="s">
        <v>96</v>
      </c>
      <c r="D112" s="16"/>
      <c r="E112" s="60">
        <v>10.0</v>
      </c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1" t="s">
        <v>39</v>
      </c>
      <c r="B113" s="50"/>
      <c r="C113" s="58" t="s">
        <v>97</v>
      </c>
      <c r="D113" s="65"/>
      <c r="E113" s="60">
        <v>13.0</v>
      </c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9" t="s">
        <v>15</v>
      </c>
      <c r="B114" s="50" t="s">
        <v>46</v>
      </c>
      <c r="C114" s="15"/>
      <c r="D114" s="16"/>
      <c r="E114" s="64">
        <f>SUM(E112:E113)</f>
        <v>23</v>
      </c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62"/>
      <c r="B115" s="63"/>
      <c r="C115" s="63"/>
      <c r="D115" s="63"/>
      <c r="E115" s="63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1" t="s">
        <v>37</v>
      </c>
      <c r="B116" s="50" t="s">
        <v>98</v>
      </c>
      <c r="C116" s="51" t="s">
        <v>99</v>
      </c>
      <c r="D116" s="16"/>
      <c r="E116" s="60">
        <v>127.0</v>
      </c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1" t="s">
        <v>39</v>
      </c>
      <c r="B117" s="57"/>
      <c r="C117" s="58" t="s">
        <v>100</v>
      </c>
      <c r="D117" s="59"/>
      <c r="E117" s="60">
        <v>824.0</v>
      </c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8"/>
      <c r="B118" s="57"/>
      <c r="C118" s="58" t="s">
        <v>101</v>
      </c>
      <c r="D118" s="59"/>
      <c r="E118" s="60">
        <v>19.0</v>
      </c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8"/>
      <c r="B119" s="57"/>
      <c r="C119" s="58" t="s">
        <v>102</v>
      </c>
      <c r="D119" s="59"/>
      <c r="E119" s="60">
        <v>24.0</v>
      </c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8"/>
      <c r="B120" s="57"/>
      <c r="C120" s="58" t="s">
        <v>103</v>
      </c>
      <c r="D120" s="59"/>
      <c r="E120" s="60">
        <v>23.0</v>
      </c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8"/>
      <c r="B121" s="57"/>
      <c r="C121" s="58" t="s">
        <v>104</v>
      </c>
      <c r="D121" s="59"/>
      <c r="E121" s="60">
        <v>19.0</v>
      </c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8"/>
      <c r="B122" s="57"/>
      <c r="C122" s="58" t="s">
        <v>105</v>
      </c>
      <c r="D122" s="59"/>
      <c r="E122" s="60">
        <v>5.0</v>
      </c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9" t="s">
        <v>15</v>
      </c>
      <c r="B123" s="50" t="s">
        <v>46</v>
      </c>
      <c r="C123" s="15"/>
      <c r="D123" s="16"/>
      <c r="E123" s="64">
        <f>SUM(E116:E122)</f>
        <v>1041</v>
      </c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62"/>
      <c r="B124" s="63"/>
      <c r="C124" s="63"/>
      <c r="D124" s="63"/>
      <c r="E124" s="63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1" t="s">
        <v>37</v>
      </c>
      <c r="B125" s="50" t="s">
        <v>106</v>
      </c>
      <c r="C125" s="51" t="s">
        <v>107</v>
      </c>
      <c r="D125" s="16"/>
      <c r="E125" s="60">
        <v>38.0</v>
      </c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1" t="s">
        <v>39</v>
      </c>
      <c r="B126" s="57"/>
      <c r="C126" s="58" t="s">
        <v>108</v>
      </c>
      <c r="D126" s="59"/>
      <c r="E126" s="19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9" t="s">
        <v>15</v>
      </c>
      <c r="B127" s="50" t="s">
        <v>46</v>
      </c>
      <c r="C127" s="15"/>
      <c r="D127" s="16"/>
      <c r="E127" s="66">
        <v>38.0</v>
      </c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62"/>
      <c r="B128" s="63"/>
      <c r="C128" s="63"/>
      <c r="D128" s="63"/>
      <c r="E128" s="63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1" t="s">
        <v>37</v>
      </c>
      <c r="B129" s="50" t="s">
        <v>109</v>
      </c>
      <c r="C129" s="51" t="s">
        <v>110</v>
      </c>
      <c r="D129" s="16"/>
      <c r="E129" s="60">
        <v>117.0</v>
      </c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1" t="s">
        <v>39</v>
      </c>
      <c r="B130" s="57"/>
      <c r="C130" s="58" t="s">
        <v>111</v>
      </c>
      <c r="D130" s="59"/>
      <c r="E130" s="60">
        <v>452.0</v>
      </c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8"/>
      <c r="B131" s="57"/>
      <c r="C131" s="58" t="s">
        <v>112</v>
      </c>
      <c r="D131" s="59"/>
      <c r="E131" s="60">
        <v>29.0</v>
      </c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8"/>
      <c r="B132" s="57"/>
      <c r="C132" s="58" t="s">
        <v>113</v>
      </c>
      <c r="D132" s="59"/>
      <c r="E132" s="60">
        <v>21.0</v>
      </c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8"/>
      <c r="B133" s="57"/>
      <c r="C133" s="58" t="s">
        <v>114</v>
      </c>
      <c r="D133" s="59"/>
      <c r="E133" s="60">
        <v>7.0</v>
      </c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8"/>
      <c r="B134" s="57"/>
      <c r="C134" s="58" t="s">
        <v>115</v>
      </c>
      <c r="D134" s="59"/>
      <c r="E134" s="60">
        <v>30.0</v>
      </c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8"/>
      <c r="B135" s="57"/>
      <c r="C135" s="58" t="s">
        <v>116</v>
      </c>
      <c r="D135" s="59"/>
      <c r="E135" s="60">
        <v>6.0</v>
      </c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9" t="s">
        <v>15</v>
      </c>
      <c r="B136" s="50" t="s">
        <v>46</v>
      </c>
      <c r="C136" s="15"/>
      <c r="D136" s="16"/>
      <c r="E136" s="64">
        <f>SUM(E129:E135)</f>
        <v>662</v>
      </c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62"/>
      <c r="B137" s="63"/>
      <c r="C137" s="63"/>
      <c r="D137" s="63"/>
      <c r="E137" s="63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1" t="s">
        <v>37</v>
      </c>
      <c r="B138" s="50" t="s">
        <v>117</v>
      </c>
      <c r="C138" s="51" t="s">
        <v>118</v>
      </c>
      <c r="D138" s="16"/>
      <c r="E138" s="60">
        <v>99.0</v>
      </c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1" t="s">
        <v>39</v>
      </c>
      <c r="B139" s="57"/>
      <c r="C139" s="58" t="s">
        <v>119</v>
      </c>
      <c r="D139" s="59"/>
      <c r="E139" s="60">
        <v>853.0</v>
      </c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8"/>
      <c r="B140" s="57"/>
      <c r="C140" s="58" t="s">
        <v>120</v>
      </c>
      <c r="D140" s="59"/>
      <c r="E140" s="60">
        <v>17.0</v>
      </c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8"/>
      <c r="B141" s="57"/>
      <c r="C141" s="58" t="s">
        <v>121</v>
      </c>
      <c r="D141" s="59"/>
      <c r="E141" s="60">
        <v>18.0</v>
      </c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8"/>
      <c r="B142" s="57"/>
      <c r="C142" s="58" t="s">
        <v>122</v>
      </c>
      <c r="D142" s="59"/>
      <c r="E142" s="60">
        <v>37.0</v>
      </c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8"/>
      <c r="B143" s="57"/>
      <c r="C143" s="58" t="s">
        <v>123</v>
      </c>
      <c r="D143" s="59"/>
      <c r="E143" s="60">
        <v>6.0</v>
      </c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8"/>
      <c r="B144" s="57"/>
      <c r="C144" s="58" t="s">
        <v>124</v>
      </c>
      <c r="D144" s="59"/>
      <c r="E144" s="60">
        <v>43.0</v>
      </c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9" t="s">
        <v>15</v>
      </c>
      <c r="B145" s="50" t="s">
        <v>46</v>
      </c>
      <c r="C145" s="15"/>
      <c r="D145" s="16"/>
      <c r="E145" s="64">
        <f>SUM(E138:E144)</f>
        <v>1073</v>
      </c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62"/>
      <c r="B146" s="63"/>
      <c r="C146" s="63"/>
      <c r="D146" s="63"/>
      <c r="E146" s="63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1" t="s">
        <v>37</v>
      </c>
      <c r="B147" s="50" t="s">
        <v>125</v>
      </c>
      <c r="C147" s="51" t="s">
        <v>126</v>
      </c>
      <c r="D147" s="16"/>
      <c r="E147" s="60">
        <v>459.0</v>
      </c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1" t="s">
        <v>39</v>
      </c>
      <c r="B148" s="57"/>
      <c r="C148" s="58" t="s">
        <v>127</v>
      </c>
      <c r="D148" s="59"/>
      <c r="E148" s="60">
        <v>541.0</v>
      </c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8"/>
      <c r="B149" s="57"/>
      <c r="C149" s="58" t="s">
        <v>128</v>
      </c>
      <c r="D149" s="59"/>
      <c r="E149" s="52">
        <v>1631.0</v>
      </c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8"/>
      <c r="B150" s="57"/>
      <c r="C150" s="58" t="s">
        <v>129</v>
      </c>
      <c r="D150" s="59"/>
      <c r="E150" s="60">
        <v>782.0</v>
      </c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8"/>
      <c r="B151" s="57"/>
      <c r="C151" s="58" t="s">
        <v>130</v>
      </c>
      <c r="D151" s="59"/>
      <c r="E151" s="60">
        <v>44.0</v>
      </c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8"/>
      <c r="B152" s="57"/>
      <c r="C152" s="58" t="s">
        <v>131</v>
      </c>
      <c r="D152" s="59"/>
      <c r="E152" s="60">
        <v>23.0</v>
      </c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8"/>
      <c r="B153" s="57"/>
      <c r="C153" s="58" t="s">
        <v>132</v>
      </c>
      <c r="D153" s="59"/>
      <c r="E153" s="60">
        <v>21.0</v>
      </c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9" t="s">
        <v>15</v>
      </c>
      <c r="B154" s="50" t="s">
        <v>46</v>
      </c>
      <c r="C154" s="15"/>
      <c r="D154" s="16"/>
      <c r="E154" s="64">
        <f>SUM(E147:E153)</f>
        <v>3501</v>
      </c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62"/>
      <c r="B155" s="63"/>
      <c r="C155" s="63"/>
      <c r="D155" s="63"/>
      <c r="E155" s="63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1" t="s">
        <v>37</v>
      </c>
      <c r="B156" s="50" t="s">
        <v>133</v>
      </c>
      <c r="C156" s="51" t="s">
        <v>134</v>
      </c>
      <c r="D156" s="16"/>
      <c r="E156" s="60">
        <v>114.0</v>
      </c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1"/>
      <c r="B157" s="50"/>
      <c r="C157" s="58" t="s">
        <v>135</v>
      </c>
      <c r="D157" s="65"/>
      <c r="E157" s="60">
        <v>66.0</v>
      </c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1"/>
      <c r="B158" s="50"/>
      <c r="C158" s="58" t="s">
        <v>136</v>
      </c>
      <c r="D158" s="65"/>
      <c r="E158" s="60">
        <v>38.0</v>
      </c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1"/>
      <c r="B159" s="50"/>
      <c r="C159" s="58" t="s">
        <v>137</v>
      </c>
      <c r="D159" s="65"/>
      <c r="E159" s="60">
        <v>14.0</v>
      </c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1" t="s">
        <v>39</v>
      </c>
      <c r="B160" s="57"/>
      <c r="C160" s="58" t="s">
        <v>138</v>
      </c>
      <c r="D160" s="59"/>
      <c r="E160" s="60">
        <v>18.0</v>
      </c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1"/>
      <c r="B161" s="57"/>
      <c r="C161" s="58" t="s">
        <v>139</v>
      </c>
      <c r="D161" s="59"/>
      <c r="E161" s="60">
        <v>19.0</v>
      </c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9" t="s">
        <v>15</v>
      </c>
      <c r="B162" s="50" t="s">
        <v>46</v>
      </c>
      <c r="C162" s="15"/>
      <c r="D162" s="16"/>
      <c r="E162" s="64">
        <f>SUM(E156:E161)</f>
        <v>269</v>
      </c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62"/>
      <c r="B163" s="63"/>
      <c r="C163" s="63"/>
      <c r="D163" s="63"/>
      <c r="E163" s="63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1" t="s">
        <v>37</v>
      </c>
      <c r="B164" s="50" t="s">
        <v>140</v>
      </c>
      <c r="C164" s="51" t="s">
        <v>141</v>
      </c>
      <c r="D164" s="16"/>
      <c r="E164" s="60">
        <v>13.0</v>
      </c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1"/>
      <c r="B165" s="50"/>
      <c r="C165" s="58" t="s">
        <v>142</v>
      </c>
      <c r="D165" s="65"/>
      <c r="E165" s="60">
        <v>40.0</v>
      </c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1"/>
      <c r="B166" s="50"/>
      <c r="C166" s="58" t="s">
        <v>143</v>
      </c>
      <c r="D166" s="65"/>
      <c r="E166" s="60">
        <v>9.0</v>
      </c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1"/>
      <c r="B167" s="50"/>
      <c r="C167" s="58" t="s">
        <v>144</v>
      </c>
      <c r="D167" s="65"/>
      <c r="E167" s="60">
        <v>6.0</v>
      </c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1" t="s">
        <v>39</v>
      </c>
      <c r="B168" s="57"/>
      <c r="C168" s="58" t="s">
        <v>145</v>
      </c>
      <c r="D168" s="59"/>
      <c r="E168" s="60">
        <v>7.0</v>
      </c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8"/>
      <c r="B169" s="57"/>
      <c r="C169" s="58" t="s">
        <v>146</v>
      </c>
      <c r="D169" s="59"/>
      <c r="E169" s="60">
        <v>13.0</v>
      </c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8"/>
      <c r="B170" s="57"/>
      <c r="C170" s="58" t="s">
        <v>147</v>
      </c>
      <c r="D170" s="59"/>
      <c r="E170" s="60">
        <v>1.0</v>
      </c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9" t="s">
        <v>15</v>
      </c>
      <c r="B171" s="50" t="s">
        <v>46</v>
      </c>
      <c r="C171" s="15"/>
      <c r="D171" s="16"/>
      <c r="E171" s="64">
        <f>SUM(E164:E170)</f>
        <v>89</v>
      </c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62"/>
      <c r="B172" s="63"/>
      <c r="C172" s="63"/>
      <c r="D172" s="63"/>
      <c r="E172" s="63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1" t="s">
        <v>37</v>
      </c>
      <c r="B173" s="50" t="s">
        <v>148</v>
      </c>
      <c r="C173" s="51" t="s">
        <v>149</v>
      </c>
      <c r="D173" s="16"/>
      <c r="E173" s="60">
        <v>272.0</v>
      </c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1" t="s">
        <v>39</v>
      </c>
      <c r="B174" s="57"/>
      <c r="C174" s="58" t="s">
        <v>150</v>
      </c>
      <c r="D174" s="59"/>
      <c r="E174" s="60">
        <v>91.0</v>
      </c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8"/>
      <c r="B175" s="57"/>
      <c r="C175" s="58" t="s">
        <v>151</v>
      </c>
      <c r="D175" s="59"/>
      <c r="E175" s="60">
        <v>183.0</v>
      </c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8"/>
      <c r="B176" s="57"/>
      <c r="C176" s="58" t="s">
        <v>152</v>
      </c>
      <c r="D176" s="59"/>
      <c r="E176" s="52">
        <v>1372.0</v>
      </c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8"/>
      <c r="B177" s="57"/>
      <c r="C177" s="58" t="s">
        <v>153</v>
      </c>
      <c r="D177" s="59"/>
      <c r="E177" s="60">
        <v>51.0</v>
      </c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8"/>
      <c r="B178" s="57"/>
      <c r="C178" s="58" t="s">
        <v>154</v>
      </c>
      <c r="D178" s="59"/>
      <c r="E178" s="60">
        <v>18.0</v>
      </c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8"/>
      <c r="B179" s="57"/>
      <c r="C179" s="58" t="s">
        <v>155</v>
      </c>
      <c r="D179" s="59"/>
      <c r="E179" s="60">
        <v>23.0</v>
      </c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9" t="s">
        <v>15</v>
      </c>
      <c r="B180" s="50" t="s">
        <v>46</v>
      </c>
      <c r="C180" s="15"/>
      <c r="D180" s="16"/>
      <c r="E180" s="64">
        <f>SUM(E173:E179)</f>
        <v>2010</v>
      </c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62"/>
      <c r="B181" s="63"/>
      <c r="C181" s="63"/>
      <c r="D181" s="63"/>
      <c r="E181" s="63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1" t="s">
        <v>37</v>
      </c>
      <c r="B182" s="50" t="s">
        <v>156</v>
      </c>
      <c r="C182" s="51" t="s">
        <v>157</v>
      </c>
      <c r="D182" s="16"/>
      <c r="E182" s="60">
        <v>37.0</v>
      </c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1"/>
      <c r="B183" s="50"/>
      <c r="C183" s="58" t="s">
        <v>158</v>
      </c>
      <c r="D183" s="65"/>
      <c r="E183" s="60">
        <v>80.0</v>
      </c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1"/>
      <c r="B184" s="50"/>
      <c r="C184" s="58" t="s">
        <v>159</v>
      </c>
      <c r="D184" s="65"/>
      <c r="E184" s="60">
        <v>8.0</v>
      </c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1"/>
      <c r="B185" s="50"/>
      <c r="C185" s="58" t="s">
        <v>160</v>
      </c>
      <c r="D185" s="65"/>
      <c r="E185" s="60">
        <v>9.0</v>
      </c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1" t="s">
        <v>39</v>
      </c>
      <c r="B186" s="57"/>
      <c r="C186" s="58" t="s">
        <v>161</v>
      </c>
      <c r="D186" s="59"/>
      <c r="E186" s="60">
        <v>6.0</v>
      </c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9" t="s">
        <v>15</v>
      </c>
      <c r="B187" s="50" t="s">
        <v>46</v>
      </c>
      <c r="C187" s="15"/>
      <c r="D187" s="16"/>
      <c r="E187" s="64">
        <f>SUM(E182:E186)</f>
        <v>140</v>
      </c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0"/>
      <c r="B188" s="15"/>
      <c r="C188" s="15"/>
      <c r="D188" s="16"/>
      <c r="E188" s="30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8"/>
      <c r="B189" s="47"/>
      <c r="C189" s="47"/>
      <c r="D189" s="28"/>
      <c r="E189" s="19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5" t="s">
        <v>162</v>
      </c>
      <c r="B190" s="14" t="s">
        <v>163</v>
      </c>
      <c r="C190" s="15"/>
      <c r="D190" s="16"/>
      <c r="E190" s="13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5"/>
      <c r="B191" s="67" t="s">
        <v>164</v>
      </c>
      <c r="C191" s="68" t="s">
        <v>165</v>
      </c>
      <c r="D191" s="16"/>
      <c r="E191" s="52">
        <v>37527.0</v>
      </c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6"/>
      <c r="B192" s="67" t="s">
        <v>166</v>
      </c>
      <c r="C192" s="68" t="s">
        <v>167</v>
      </c>
      <c r="D192" s="16"/>
      <c r="E192" s="52">
        <v>2526.0</v>
      </c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4"/>
      <c r="B193" s="67" t="s">
        <v>168</v>
      </c>
      <c r="C193" s="68" t="s">
        <v>169</v>
      </c>
      <c r="D193" s="16"/>
      <c r="E193" s="69">
        <f>SUM(E191:E192)</f>
        <v>40053</v>
      </c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"/>
      <c r="B194" s="70"/>
      <c r="C194" s="7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"/>
      <c r="B195" s="70"/>
      <c r="C195" s="7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"/>
      <c r="B196" s="70"/>
      <c r="C196" s="7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"/>
      <c r="B197" s="70"/>
      <c r="C197" s="7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"/>
      <c r="B198" s="70"/>
      <c r="C198" s="7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"/>
      <c r="B199" s="70"/>
      <c r="C199" s="7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"/>
      <c r="B200" s="70"/>
      <c r="C200" s="7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"/>
      <c r="B201" s="70"/>
      <c r="C201" s="7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"/>
      <c r="B202" s="70"/>
      <c r="C202" s="7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"/>
      <c r="B203" s="70"/>
      <c r="C203" s="7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"/>
      <c r="B204" s="70"/>
      <c r="C204" s="7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"/>
      <c r="B205" s="70"/>
      <c r="C205" s="7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"/>
      <c r="B206" s="70"/>
      <c r="C206" s="7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"/>
      <c r="B207" s="70"/>
      <c r="C207" s="7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"/>
      <c r="B208" s="70"/>
      <c r="C208" s="7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"/>
      <c r="B209" s="70"/>
      <c r="C209" s="7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"/>
      <c r="B210" s="70"/>
      <c r="C210" s="7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"/>
      <c r="B211" s="70"/>
      <c r="C211" s="7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"/>
      <c r="B212" s="70"/>
      <c r="C212" s="7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"/>
      <c r="B213" s="70"/>
      <c r="C213" s="7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"/>
      <c r="B214" s="70"/>
      <c r="C214" s="7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"/>
      <c r="B215" s="70"/>
      <c r="C215" s="7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"/>
      <c r="B216" s="70"/>
      <c r="C216" s="7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"/>
      <c r="B217" s="70"/>
      <c r="C217" s="7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"/>
      <c r="B218" s="70"/>
      <c r="C218" s="7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"/>
      <c r="B219" s="70"/>
      <c r="C219" s="7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"/>
      <c r="B220" s="70"/>
      <c r="C220" s="7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70"/>
      <c r="C221" s="7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"/>
      <c r="B222" s="70"/>
      <c r="C222" s="7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"/>
      <c r="B223" s="70"/>
      <c r="C223" s="7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"/>
      <c r="B224" s="70"/>
      <c r="C224" s="7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"/>
      <c r="B225" s="70"/>
      <c r="C225" s="7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"/>
      <c r="B226" s="70"/>
      <c r="C226" s="7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"/>
      <c r="B227" s="70"/>
      <c r="C227" s="7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"/>
      <c r="B228" s="70"/>
      <c r="C228" s="7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"/>
      <c r="B229" s="70"/>
      <c r="C229" s="7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"/>
      <c r="B230" s="70"/>
      <c r="C230" s="7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"/>
      <c r="B231" s="70"/>
      <c r="C231" s="7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"/>
      <c r="B232" s="70"/>
      <c r="C232" s="7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"/>
      <c r="B233" s="70"/>
      <c r="C233" s="7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"/>
      <c r="B234" s="70"/>
      <c r="C234" s="7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"/>
      <c r="B235" s="70"/>
      <c r="C235" s="7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"/>
      <c r="B236" s="70"/>
      <c r="C236" s="7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"/>
      <c r="B237" s="70"/>
      <c r="C237" s="7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"/>
      <c r="B238" s="70"/>
      <c r="C238" s="7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"/>
      <c r="B239" s="70"/>
      <c r="C239" s="7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"/>
      <c r="B240" s="70"/>
      <c r="C240" s="7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"/>
      <c r="B241" s="70"/>
      <c r="C241" s="7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"/>
      <c r="B242" s="70"/>
      <c r="C242" s="7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"/>
      <c r="B243" s="70"/>
      <c r="C243" s="7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"/>
      <c r="B244" s="70"/>
      <c r="C244" s="7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"/>
      <c r="B245" s="70"/>
      <c r="C245" s="7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"/>
      <c r="B246" s="70"/>
      <c r="C246" s="7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"/>
      <c r="B247" s="70"/>
      <c r="C247" s="7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"/>
      <c r="B248" s="70"/>
      <c r="C248" s="7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"/>
      <c r="B249" s="70"/>
      <c r="C249" s="7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"/>
      <c r="B250" s="70"/>
      <c r="C250" s="7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"/>
      <c r="B251" s="70"/>
      <c r="C251" s="7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"/>
      <c r="B252" s="70"/>
      <c r="C252" s="7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"/>
      <c r="B253" s="70"/>
      <c r="C253" s="7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"/>
      <c r="B254" s="70"/>
      <c r="C254" s="7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"/>
      <c r="B255" s="70"/>
      <c r="C255" s="7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"/>
      <c r="B256" s="70"/>
      <c r="C256" s="7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"/>
      <c r="B257" s="70"/>
      <c r="C257" s="7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"/>
      <c r="B258" s="70"/>
      <c r="C258" s="7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"/>
      <c r="B259" s="70"/>
      <c r="C259" s="7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"/>
      <c r="B260" s="70"/>
      <c r="C260" s="71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"/>
      <c r="B261" s="70"/>
      <c r="C261" s="71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"/>
      <c r="B262" s="70"/>
      <c r="C262" s="71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"/>
      <c r="B263" s="70"/>
      <c r="C263" s="71"/>
      <c r="D263" s="5"/>
      <c r="E263" s="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"/>
      <c r="B264" s="70"/>
      <c r="C264" s="71"/>
      <c r="D264" s="5"/>
      <c r="E264" s="5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136:D136"/>
    <mergeCell ref="C138:D138"/>
    <mergeCell ref="B145:D145"/>
    <mergeCell ref="C147:D147"/>
    <mergeCell ref="B154:D154"/>
    <mergeCell ref="C156:D156"/>
    <mergeCell ref="B162:D162"/>
    <mergeCell ref="A189:D189"/>
    <mergeCell ref="B190:D190"/>
    <mergeCell ref="C191:D191"/>
    <mergeCell ref="C192:D192"/>
    <mergeCell ref="C193:D193"/>
    <mergeCell ref="C164:D164"/>
    <mergeCell ref="B171:D171"/>
    <mergeCell ref="C173:D173"/>
    <mergeCell ref="B180:D180"/>
    <mergeCell ref="C182:D182"/>
    <mergeCell ref="B187:D187"/>
    <mergeCell ref="A188:D188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  <mergeCell ref="B110:D110"/>
    <mergeCell ref="C112:D112"/>
    <mergeCell ref="B114:D114"/>
    <mergeCell ref="C116:D116"/>
    <mergeCell ref="B123:D123"/>
    <mergeCell ref="C125:D125"/>
    <mergeCell ref="B127:D127"/>
    <mergeCell ref="C129:D129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conditionalFormatting sqref="E45:E51">
    <cfRule type="containsBlanks" dxfId="1" priority="4">
      <formula>LEN(TRIM(E45))=0</formula>
    </cfRule>
  </conditionalFormatting>
  <conditionalFormatting sqref="E54:E60">
    <cfRule type="containsBlanks" dxfId="1" priority="5">
      <formula>LEN(TRIM(E54))=0</formula>
    </cfRule>
  </conditionalFormatting>
  <conditionalFormatting sqref="E63:E69">
    <cfRule type="containsBlanks" dxfId="1" priority="6">
      <formula>LEN(TRIM(E63))=0</formula>
    </cfRule>
  </conditionalFormatting>
  <conditionalFormatting sqref="E72:E78">
    <cfRule type="containsBlanks" dxfId="1" priority="7">
      <formula>LEN(TRIM(E72))=0</formula>
    </cfRule>
  </conditionalFormatting>
  <conditionalFormatting sqref="E81:E87">
    <cfRule type="containsBlanks" dxfId="1" priority="8">
      <formula>LEN(TRIM(E81))=0</formula>
    </cfRule>
  </conditionalFormatting>
  <conditionalFormatting sqref="E90:E91">
    <cfRule type="containsBlanks" dxfId="1" priority="9">
      <formula>LEN(TRIM(E90))=0</formula>
    </cfRule>
  </conditionalFormatting>
  <conditionalFormatting sqref="E94:E100">
    <cfRule type="containsBlanks" dxfId="1" priority="10">
      <formula>LEN(TRIM(E94))=0</formula>
    </cfRule>
  </conditionalFormatting>
  <conditionalFormatting sqref="E103:E109">
    <cfRule type="containsBlanks" dxfId="1" priority="11">
      <formula>LEN(TRIM(E103))=0</formula>
    </cfRule>
  </conditionalFormatting>
  <conditionalFormatting sqref="E112:E113">
    <cfRule type="containsBlanks" dxfId="1" priority="12">
      <formula>LEN(TRIM(E112))=0</formula>
    </cfRule>
  </conditionalFormatting>
  <conditionalFormatting sqref="E116:E122">
    <cfRule type="containsBlanks" dxfId="1" priority="13">
      <formula>LEN(TRIM(E116))=0</formula>
    </cfRule>
  </conditionalFormatting>
  <conditionalFormatting sqref="E125:E126">
    <cfRule type="containsBlanks" dxfId="1" priority="14">
      <formula>LEN(TRIM(E125))=0</formula>
    </cfRule>
  </conditionalFormatting>
  <conditionalFormatting sqref="E129:E135">
    <cfRule type="containsBlanks" dxfId="1" priority="15">
      <formula>LEN(TRIM(E129))=0</formula>
    </cfRule>
  </conditionalFormatting>
  <conditionalFormatting sqref="E138:E144">
    <cfRule type="containsBlanks" dxfId="1" priority="16">
      <formula>LEN(TRIM(E138))=0</formula>
    </cfRule>
  </conditionalFormatting>
  <conditionalFormatting sqref="E147:E153">
    <cfRule type="containsBlanks" dxfId="1" priority="17">
      <formula>LEN(TRIM(E147))=0</formula>
    </cfRule>
  </conditionalFormatting>
  <conditionalFormatting sqref="E156:E161">
    <cfRule type="containsBlanks" dxfId="1" priority="18">
      <formula>LEN(TRIM(E156))=0</formula>
    </cfRule>
  </conditionalFormatting>
  <conditionalFormatting sqref="E164:E170">
    <cfRule type="containsBlanks" dxfId="1" priority="19">
      <formula>LEN(TRIM(E164))=0</formula>
    </cfRule>
  </conditionalFormatting>
  <conditionalFormatting sqref="E173:E179">
    <cfRule type="containsBlanks" dxfId="1" priority="20">
      <formula>LEN(TRIM(E173))=0</formula>
    </cfRule>
  </conditionalFormatting>
  <conditionalFormatting sqref="E182:E186">
    <cfRule type="containsBlanks" dxfId="1" priority="21">
      <formula>LEN(TRIM(E182))=0</formula>
    </cfRule>
  </conditionalFormatting>
  <conditionalFormatting sqref="E191:E192">
    <cfRule type="containsBlanks" dxfId="1" priority="22">
      <formula>LEN(TRIM(E191))=0</formula>
    </cfRule>
  </conditionalFormatting>
  <conditionalFormatting sqref="E193">
    <cfRule type="expression" dxfId="0" priority="23">
      <formula>E193&lt;&gt;#REF!</formula>
    </cfRule>
  </conditionalFormatting>
  <conditionalFormatting sqref="E193">
    <cfRule type="expression" dxfId="2" priority="24">
      <formula>#REF!&lt;&gt;E193</formula>
    </cfRule>
  </conditionalFormatting>
  <conditionalFormatting sqref="E193">
    <cfRule type="expression" dxfId="3" priority="25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171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37"/>
    </row>
    <row r="14" ht="12.75" customHeight="1">
      <c r="A14" s="18"/>
      <c r="B14" s="22" t="s">
        <v>11</v>
      </c>
      <c r="C14" s="23"/>
      <c r="D14" s="19" t="s">
        <v>12</v>
      </c>
      <c r="E14" s="60">
        <v>120.0</v>
      </c>
      <c r="F14" s="60">
        <v>108.0</v>
      </c>
      <c r="G14" s="60">
        <v>121.0</v>
      </c>
      <c r="H14" s="60">
        <v>111.0</v>
      </c>
      <c r="I14" s="60">
        <v>113.0</v>
      </c>
      <c r="J14" s="60">
        <v>114.0</v>
      </c>
      <c r="K14" s="13">
        <f t="shared" ref="K14:K16" si="1">SUM(E14:J14)</f>
        <v>687</v>
      </c>
    </row>
    <row r="15" ht="12.75" customHeight="1">
      <c r="A15" s="18"/>
      <c r="B15" s="26"/>
      <c r="C15" s="27"/>
      <c r="D15" s="19" t="s">
        <v>13</v>
      </c>
      <c r="E15" s="60">
        <v>118.0</v>
      </c>
      <c r="F15" s="60">
        <v>115.0</v>
      </c>
      <c r="G15" s="60">
        <v>127.0</v>
      </c>
      <c r="H15" s="60">
        <v>108.0</v>
      </c>
      <c r="I15" s="60">
        <v>99.0</v>
      </c>
      <c r="J15" s="60">
        <v>101.0</v>
      </c>
      <c r="K15" s="13">
        <f t="shared" si="1"/>
        <v>668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238</v>
      </c>
      <c r="F16" s="13">
        <f t="shared" si="2"/>
        <v>223</v>
      </c>
      <c r="G16" s="13">
        <f t="shared" si="2"/>
        <v>248</v>
      </c>
      <c r="H16" s="13">
        <f t="shared" si="2"/>
        <v>219</v>
      </c>
      <c r="I16" s="13">
        <f t="shared" si="2"/>
        <v>212</v>
      </c>
      <c r="J16" s="13">
        <f t="shared" si="2"/>
        <v>215</v>
      </c>
      <c r="K16" s="13">
        <f t="shared" si="1"/>
        <v>1355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105.0</v>
      </c>
      <c r="F19" s="60">
        <v>90.0</v>
      </c>
      <c r="G19" s="60">
        <v>105.0</v>
      </c>
      <c r="H19" s="60">
        <v>97.0</v>
      </c>
      <c r="I19" s="60">
        <v>91.0</v>
      </c>
      <c r="J19" s="60">
        <v>95.0</v>
      </c>
      <c r="K19" s="13">
        <f t="shared" ref="K19:K30" si="3">SUM(E19:J19)</f>
        <v>583</v>
      </c>
    </row>
    <row r="20" ht="12.75" customHeight="1">
      <c r="A20" s="34"/>
      <c r="B20" s="27"/>
      <c r="C20" s="35"/>
      <c r="D20" s="19" t="s">
        <v>13</v>
      </c>
      <c r="E20" s="60">
        <v>104.0</v>
      </c>
      <c r="F20" s="60">
        <v>95.0</v>
      </c>
      <c r="G20" s="60">
        <v>113.0</v>
      </c>
      <c r="H20" s="60">
        <v>90.0</v>
      </c>
      <c r="I20" s="60">
        <v>91.0</v>
      </c>
      <c r="J20" s="60">
        <v>89.0</v>
      </c>
      <c r="K20" s="13">
        <f t="shared" si="3"/>
        <v>582</v>
      </c>
    </row>
    <row r="21" ht="12.75" customHeight="1">
      <c r="A21" s="36"/>
      <c r="B21" s="28"/>
      <c r="C21" s="37"/>
      <c r="D21" s="13" t="s">
        <v>14</v>
      </c>
      <c r="E21" s="13">
        <f t="shared" ref="E21:J21" si="4">SUM(E19:E20)</f>
        <v>209</v>
      </c>
      <c r="F21" s="13">
        <f t="shared" si="4"/>
        <v>185</v>
      </c>
      <c r="G21" s="13">
        <f t="shared" si="4"/>
        <v>218</v>
      </c>
      <c r="H21" s="13">
        <f t="shared" si="4"/>
        <v>187</v>
      </c>
      <c r="I21" s="13">
        <f t="shared" si="4"/>
        <v>182</v>
      </c>
      <c r="J21" s="13">
        <f t="shared" si="4"/>
        <v>184</v>
      </c>
      <c r="K21" s="13">
        <f t="shared" si="3"/>
        <v>1165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1.0</v>
      </c>
      <c r="F22" s="60">
        <v>1.0</v>
      </c>
      <c r="G22" s="60">
        <v>1.0</v>
      </c>
      <c r="H22" s="60">
        <v>0.0</v>
      </c>
      <c r="I22" s="60">
        <v>0.0</v>
      </c>
      <c r="J22" s="60">
        <v>0.0</v>
      </c>
      <c r="K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60">
        <v>2.0</v>
      </c>
      <c r="F23" s="60">
        <v>2.0</v>
      </c>
      <c r="G23" s="60">
        <v>1.0</v>
      </c>
      <c r="H23" s="60">
        <v>0.0</v>
      </c>
      <c r="I23" s="60">
        <v>0.0</v>
      </c>
      <c r="J23" s="60">
        <v>0.0</v>
      </c>
      <c r="K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J24" si="5">SUM(E22:E23)</f>
        <v>3</v>
      </c>
      <c r="F24" s="13">
        <f t="shared" si="5"/>
        <v>3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2.0</v>
      </c>
      <c r="F25" s="60">
        <v>0.0</v>
      </c>
      <c r="G25" s="60">
        <v>1.0</v>
      </c>
      <c r="H25" s="60">
        <v>0.0</v>
      </c>
      <c r="I25" s="60">
        <v>0.0</v>
      </c>
      <c r="J25" s="60">
        <v>0.0</v>
      </c>
      <c r="K25" s="13">
        <f t="shared" si="3"/>
        <v>3</v>
      </c>
    </row>
    <row r="26" ht="12.75" customHeight="1">
      <c r="A26" s="34"/>
      <c r="B26" s="27"/>
      <c r="C26" s="35"/>
      <c r="D26" s="19" t="s">
        <v>13</v>
      </c>
      <c r="E26" s="60">
        <v>3.0</v>
      </c>
      <c r="F26" s="60">
        <v>0.0</v>
      </c>
      <c r="G26" s="60">
        <v>0.0</v>
      </c>
      <c r="H26" s="60">
        <v>0.0</v>
      </c>
      <c r="I26" s="60">
        <v>0.0</v>
      </c>
      <c r="J26" s="60">
        <v>0.0</v>
      </c>
      <c r="K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J27" si="6">SUM(E25:E26)</f>
        <v>5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J28" si="7">SUM(E19,E22,E25)</f>
        <v>108</v>
      </c>
      <c r="F28" s="13">
        <f t="shared" si="7"/>
        <v>91</v>
      </c>
      <c r="G28" s="13">
        <f t="shared" si="7"/>
        <v>107</v>
      </c>
      <c r="H28" s="13">
        <f t="shared" si="7"/>
        <v>97</v>
      </c>
      <c r="I28" s="13">
        <f t="shared" si="7"/>
        <v>91</v>
      </c>
      <c r="J28" s="13">
        <f t="shared" si="7"/>
        <v>95</v>
      </c>
      <c r="K28" s="13">
        <f t="shared" si="3"/>
        <v>589</v>
      </c>
    </row>
    <row r="29" ht="12.75" customHeight="1">
      <c r="A29" s="36"/>
      <c r="B29" s="27"/>
      <c r="C29" s="35"/>
      <c r="D29" s="13" t="s">
        <v>13</v>
      </c>
      <c r="E29" s="13">
        <f t="shared" ref="E29:J29" si="8">SUM(E20,E23,E26)</f>
        <v>109</v>
      </c>
      <c r="F29" s="13">
        <f t="shared" si="8"/>
        <v>97</v>
      </c>
      <c r="G29" s="13">
        <f t="shared" si="8"/>
        <v>114</v>
      </c>
      <c r="H29" s="13">
        <f t="shared" si="8"/>
        <v>90</v>
      </c>
      <c r="I29" s="13">
        <f t="shared" si="8"/>
        <v>91</v>
      </c>
      <c r="J29" s="13">
        <f t="shared" si="8"/>
        <v>89</v>
      </c>
      <c r="K29" s="13">
        <f t="shared" si="3"/>
        <v>590</v>
      </c>
    </row>
    <row r="30" ht="12.75" customHeight="1">
      <c r="A30" s="36"/>
      <c r="B30" s="28"/>
      <c r="C30" s="37"/>
      <c r="D30" s="13" t="s">
        <v>14</v>
      </c>
      <c r="E30" s="13">
        <f t="shared" ref="E30:J30" si="9">SUM(E28:E29)</f>
        <v>217</v>
      </c>
      <c r="F30" s="13">
        <f t="shared" si="9"/>
        <v>188</v>
      </c>
      <c r="G30" s="13">
        <f t="shared" si="9"/>
        <v>221</v>
      </c>
      <c r="H30" s="13">
        <f t="shared" si="9"/>
        <v>187</v>
      </c>
      <c r="I30" s="13">
        <f t="shared" si="9"/>
        <v>182</v>
      </c>
      <c r="J30" s="13">
        <f t="shared" si="9"/>
        <v>184</v>
      </c>
      <c r="K30" s="13">
        <f t="shared" si="3"/>
        <v>1179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3"/>
    </row>
    <row r="33" ht="12.75" customHeight="1">
      <c r="A33" s="19">
        <v>1.0</v>
      </c>
      <c r="B33" s="20" t="s">
        <v>27</v>
      </c>
      <c r="C33" s="15"/>
      <c r="D33" s="16"/>
      <c r="E33" s="60">
        <v>243.0</v>
      </c>
      <c r="F33" s="60">
        <v>228.0</v>
      </c>
      <c r="G33" s="60">
        <v>253.0</v>
      </c>
      <c r="H33" s="60">
        <v>224.0</v>
      </c>
      <c r="I33" s="60">
        <v>217.0</v>
      </c>
      <c r="J33" s="60">
        <v>220.0</v>
      </c>
      <c r="K33" s="13">
        <f t="shared" ref="K33:K36" si="10">SUM(E33:J33)</f>
        <v>1385</v>
      </c>
    </row>
    <row r="34" ht="12.75" customHeight="1">
      <c r="A34" s="19">
        <v>2.0</v>
      </c>
      <c r="B34" s="20" t="s">
        <v>28</v>
      </c>
      <c r="C34" s="15"/>
      <c r="D34" s="16"/>
      <c r="E34" s="75">
        <v>217.0</v>
      </c>
      <c r="F34" s="75">
        <v>188.0</v>
      </c>
      <c r="G34" s="75">
        <v>221.0</v>
      </c>
      <c r="H34" s="75">
        <v>187.0</v>
      </c>
      <c r="I34" s="75">
        <v>182.0</v>
      </c>
      <c r="J34" s="75">
        <v>184.0</v>
      </c>
      <c r="K34" s="13">
        <f t="shared" si="10"/>
        <v>1179</v>
      </c>
    </row>
    <row r="35" ht="12.75" customHeight="1">
      <c r="A35" s="19">
        <v>3.0</v>
      </c>
      <c r="B35" s="20" t="s">
        <v>29</v>
      </c>
      <c r="C35" s="15"/>
      <c r="D35" s="16"/>
      <c r="E35" s="60">
        <v>1.0</v>
      </c>
      <c r="F35" s="60">
        <v>0.0</v>
      </c>
      <c r="G35" s="60">
        <v>0.0</v>
      </c>
      <c r="H35" s="60">
        <v>0.0</v>
      </c>
      <c r="I35" s="60">
        <v>1.0</v>
      </c>
      <c r="J35" s="60">
        <v>1.0</v>
      </c>
      <c r="K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25</v>
      </c>
      <c r="F36" s="13">
        <f t="shared" si="11"/>
        <v>40</v>
      </c>
      <c r="G36" s="13">
        <f t="shared" si="11"/>
        <v>32</v>
      </c>
      <c r="H36" s="13">
        <f t="shared" si="11"/>
        <v>37</v>
      </c>
      <c r="I36" s="13">
        <f t="shared" si="11"/>
        <v>34</v>
      </c>
      <c r="J36" s="13">
        <f t="shared" si="11"/>
        <v>35</v>
      </c>
      <c r="K36" s="13">
        <f t="shared" si="10"/>
        <v>203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13">
        <f t="shared" ref="K39:K41" si="12">SUM(E39:J39)</f>
        <v>0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1.0</v>
      </c>
      <c r="F45" s="60">
        <v>3.0</v>
      </c>
      <c r="G45" s="60">
        <v>0.0</v>
      </c>
      <c r="H45" s="60">
        <v>11.0</v>
      </c>
      <c r="I45" s="60">
        <v>19.0</v>
      </c>
      <c r="J45" s="60">
        <v>15.0</v>
      </c>
      <c r="K45" s="13">
        <f t="shared" ref="K45:K193" si="14">SUM(E45:J45)</f>
        <v>49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20.0</v>
      </c>
      <c r="F46" s="60">
        <v>12.0</v>
      </c>
      <c r="G46" s="60">
        <v>25.0</v>
      </c>
      <c r="H46" s="60">
        <v>73.0</v>
      </c>
      <c r="I46" s="60">
        <v>79.0</v>
      </c>
      <c r="J46" s="60">
        <v>99.0</v>
      </c>
      <c r="K46" s="13">
        <f t="shared" si="14"/>
        <v>308</v>
      </c>
    </row>
    <row r="47" ht="12.75" customHeight="1">
      <c r="A47" s="18"/>
      <c r="B47" s="57"/>
      <c r="C47" s="58" t="s">
        <v>41</v>
      </c>
      <c r="D47" s="59"/>
      <c r="E47" s="60">
        <v>1.0</v>
      </c>
      <c r="F47" s="60">
        <v>0.0</v>
      </c>
      <c r="G47" s="60">
        <v>0.0</v>
      </c>
      <c r="H47" s="60">
        <v>1.0</v>
      </c>
      <c r="I47" s="60">
        <v>3.0</v>
      </c>
      <c r="J47" s="60">
        <v>3.0</v>
      </c>
      <c r="K47" s="13">
        <f t="shared" si="14"/>
        <v>8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0.0</v>
      </c>
      <c r="H48" s="60">
        <v>0.0</v>
      </c>
      <c r="I48" s="60">
        <v>0.0</v>
      </c>
      <c r="J48" s="60">
        <v>0.0</v>
      </c>
      <c r="K48" s="13">
        <f t="shared" si="14"/>
        <v>0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13">
        <f t="shared" si="14"/>
        <v>0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2.0</v>
      </c>
      <c r="G50" s="60">
        <v>0.0</v>
      </c>
      <c r="H50" s="60">
        <v>0.0</v>
      </c>
      <c r="I50" s="60">
        <v>0.0</v>
      </c>
      <c r="J50" s="60">
        <v>1.0</v>
      </c>
      <c r="K50" s="13">
        <f t="shared" si="14"/>
        <v>3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13">
        <f t="shared" si="14"/>
        <v>0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J52" si="15">SUM(E45:E51)</f>
        <v>22</v>
      </c>
      <c r="F52" s="64">
        <f t="shared" si="15"/>
        <v>17</v>
      </c>
      <c r="G52" s="64">
        <f t="shared" si="15"/>
        <v>25</v>
      </c>
      <c r="H52" s="64">
        <f t="shared" si="15"/>
        <v>85</v>
      </c>
      <c r="I52" s="64">
        <f t="shared" si="15"/>
        <v>101</v>
      </c>
      <c r="J52" s="64">
        <f t="shared" si="15"/>
        <v>118</v>
      </c>
      <c r="K52" s="13">
        <f t="shared" si="14"/>
        <v>368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4.0</v>
      </c>
      <c r="F54" s="60">
        <v>5.0</v>
      </c>
      <c r="G54" s="60">
        <v>2.0</v>
      </c>
      <c r="H54" s="60">
        <v>5.0</v>
      </c>
      <c r="I54" s="60">
        <v>1.0</v>
      </c>
      <c r="J54" s="60">
        <v>5.0</v>
      </c>
      <c r="K54" s="13">
        <f t="shared" si="14"/>
        <v>22</v>
      </c>
    </row>
    <row r="55" ht="15.0" customHeight="1">
      <c r="A55" s="31" t="s">
        <v>39</v>
      </c>
      <c r="B55" s="57"/>
      <c r="C55" s="58" t="s">
        <v>48</v>
      </c>
      <c r="D55" s="59"/>
      <c r="E55" s="60">
        <v>1.0</v>
      </c>
      <c r="F55" s="60">
        <v>2.0</v>
      </c>
      <c r="G55" s="60">
        <v>0.0</v>
      </c>
      <c r="H55" s="60">
        <v>1.0</v>
      </c>
      <c r="I55" s="60">
        <v>2.0</v>
      </c>
      <c r="J55" s="60">
        <v>0.0</v>
      </c>
      <c r="K55" s="13">
        <f t="shared" si="14"/>
        <v>6</v>
      </c>
    </row>
    <row r="56" ht="12.75" customHeight="1">
      <c r="A56" s="18"/>
      <c r="B56" s="57"/>
      <c r="C56" s="58" t="s">
        <v>49</v>
      </c>
      <c r="D56" s="59"/>
      <c r="E56" s="60">
        <v>5.0</v>
      </c>
      <c r="F56" s="60">
        <v>2.0</v>
      </c>
      <c r="G56" s="60">
        <v>4.0</v>
      </c>
      <c r="H56" s="60">
        <v>8.0</v>
      </c>
      <c r="I56" s="60">
        <v>1.0</v>
      </c>
      <c r="J56" s="60">
        <v>2.0</v>
      </c>
      <c r="K56" s="13">
        <f t="shared" si="14"/>
        <v>22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0.0</v>
      </c>
      <c r="G57" s="60">
        <v>1.0</v>
      </c>
      <c r="H57" s="60">
        <v>0.0</v>
      </c>
      <c r="I57" s="60">
        <v>0.0</v>
      </c>
      <c r="J57" s="60">
        <v>1.0</v>
      </c>
      <c r="K57" s="13">
        <f t="shared" si="14"/>
        <v>2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0.0</v>
      </c>
      <c r="H58" s="60">
        <v>1.0</v>
      </c>
      <c r="I58" s="60">
        <v>0.0</v>
      </c>
      <c r="J58" s="60">
        <v>0.0</v>
      </c>
      <c r="K58" s="13">
        <f t="shared" si="14"/>
        <v>1</v>
      </c>
    </row>
    <row r="59" ht="12.75" customHeight="1">
      <c r="A59" s="18"/>
      <c r="B59" s="57"/>
      <c r="C59" s="58" t="s">
        <v>52</v>
      </c>
      <c r="D59" s="59"/>
      <c r="E59" s="60">
        <v>0.0</v>
      </c>
      <c r="F59" s="60">
        <v>0.0</v>
      </c>
      <c r="G59" s="60">
        <v>1.0</v>
      </c>
      <c r="H59" s="60">
        <v>2.0</v>
      </c>
      <c r="I59" s="60">
        <v>0.0</v>
      </c>
      <c r="J59" s="60">
        <v>0.0</v>
      </c>
      <c r="K59" s="13">
        <f t="shared" si="14"/>
        <v>3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1.0</v>
      </c>
      <c r="J60" s="60">
        <v>0.0</v>
      </c>
      <c r="K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J61" si="16">SUM(E54:E60)</f>
        <v>10</v>
      </c>
      <c r="F61" s="64">
        <f t="shared" si="16"/>
        <v>9</v>
      </c>
      <c r="G61" s="64">
        <f t="shared" si="16"/>
        <v>8</v>
      </c>
      <c r="H61" s="64">
        <f t="shared" si="16"/>
        <v>17</v>
      </c>
      <c r="I61" s="64">
        <f t="shared" si="16"/>
        <v>5</v>
      </c>
      <c r="J61" s="64">
        <f t="shared" si="16"/>
        <v>8</v>
      </c>
      <c r="K61" s="13">
        <f t="shared" si="14"/>
        <v>57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1.0</v>
      </c>
      <c r="F63" s="60">
        <v>5.0</v>
      </c>
      <c r="G63" s="60">
        <v>3.0</v>
      </c>
      <c r="H63" s="60">
        <v>5.0</v>
      </c>
      <c r="I63" s="60">
        <v>4.0</v>
      </c>
      <c r="J63" s="60">
        <v>2.0</v>
      </c>
      <c r="K63" s="13">
        <f t="shared" si="14"/>
        <v>20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1.0</v>
      </c>
      <c r="F64" s="60">
        <v>1.0</v>
      </c>
      <c r="G64" s="60">
        <v>2.0</v>
      </c>
      <c r="H64" s="60">
        <v>3.0</v>
      </c>
      <c r="I64" s="60">
        <v>3.0</v>
      </c>
      <c r="J64" s="60">
        <v>4.0</v>
      </c>
      <c r="K64" s="13">
        <f t="shared" si="14"/>
        <v>14</v>
      </c>
    </row>
    <row r="65" ht="12.75" customHeight="1">
      <c r="A65" s="18"/>
      <c r="B65" s="57"/>
      <c r="C65" s="58" t="s">
        <v>56</v>
      </c>
      <c r="D65" s="59"/>
      <c r="E65" s="60">
        <v>0.0</v>
      </c>
      <c r="F65" s="60">
        <v>0.0</v>
      </c>
      <c r="G65" s="60">
        <v>0.0</v>
      </c>
      <c r="H65" s="60">
        <v>0.0</v>
      </c>
      <c r="I65" s="60">
        <v>0.0</v>
      </c>
      <c r="J65" s="60">
        <v>0.0</v>
      </c>
      <c r="K65" s="13">
        <f t="shared" si="14"/>
        <v>0</v>
      </c>
    </row>
    <row r="66" ht="12.75" customHeight="1">
      <c r="A66" s="18"/>
      <c r="B66" s="57"/>
      <c r="C66" s="58" t="s">
        <v>57</v>
      </c>
      <c r="D66" s="59"/>
      <c r="E66" s="60">
        <v>0.0</v>
      </c>
      <c r="F66" s="60">
        <v>0.0</v>
      </c>
      <c r="G66" s="60">
        <v>0.0</v>
      </c>
      <c r="H66" s="60">
        <v>0.0</v>
      </c>
      <c r="I66" s="60">
        <v>0.0</v>
      </c>
      <c r="J66" s="60">
        <v>4.0</v>
      </c>
      <c r="K66" s="13">
        <f t="shared" si="14"/>
        <v>4</v>
      </c>
    </row>
    <row r="67" ht="12.75" customHeight="1">
      <c r="A67" s="18"/>
      <c r="B67" s="57"/>
      <c r="C67" s="58" t="s">
        <v>58</v>
      </c>
      <c r="D67" s="59"/>
      <c r="E67" s="60">
        <v>1.0</v>
      </c>
      <c r="F67" s="60">
        <v>1.0</v>
      </c>
      <c r="G67" s="60">
        <v>0.0</v>
      </c>
      <c r="H67" s="60">
        <v>0.0</v>
      </c>
      <c r="I67" s="60">
        <v>0.0</v>
      </c>
      <c r="J67" s="60">
        <v>0.0</v>
      </c>
      <c r="K67" s="13">
        <f t="shared" si="14"/>
        <v>2</v>
      </c>
    </row>
    <row r="68" ht="12.75" customHeight="1">
      <c r="A68" s="18"/>
      <c r="B68" s="57"/>
      <c r="C68" s="58" t="s">
        <v>59</v>
      </c>
      <c r="D68" s="59"/>
      <c r="E68" s="60">
        <v>0.0</v>
      </c>
      <c r="F68" s="60">
        <v>1.0</v>
      </c>
      <c r="G68" s="60">
        <v>0.0</v>
      </c>
      <c r="H68" s="60">
        <v>0.0</v>
      </c>
      <c r="I68" s="60">
        <v>0.0</v>
      </c>
      <c r="J68" s="60">
        <v>0.0</v>
      </c>
      <c r="K68" s="13">
        <f t="shared" si="14"/>
        <v>1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0.0</v>
      </c>
      <c r="G69" s="60">
        <v>1.0</v>
      </c>
      <c r="H69" s="60">
        <v>1.0</v>
      </c>
      <c r="I69" s="60">
        <v>0.0</v>
      </c>
      <c r="J69" s="60">
        <v>0.0</v>
      </c>
      <c r="K69" s="13">
        <f t="shared" si="14"/>
        <v>2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J70" si="17">SUM(E63:E69)</f>
        <v>3</v>
      </c>
      <c r="F70" s="64">
        <f t="shared" si="17"/>
        <v>8</v>
      </c>
      <c r="G70" s="64">
        <f t="shared" si="17"/>
        <v>6</v>
      </c>
      <c r="H70" s="64">
        <f t="shared" si="17"/>
        <v>9</v>
      </c>
      <c r="I70" s="64">
        <f t="shared" si="17"/>
        <v>7</v>
      </c>
      <c r="J70" s="64">
        <f t="shared" si="17"/>
        <v>10</v>
      </c>
      <c r="K70" s="13">
        <f t="shared" si="14"/>
        <v>43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4.0</v>
      </c>
      <c r="F72" s="60">
        <v>2.0</v>
      </c>
      <c r="G72" s="60">
        <v>1.0</v>
      </c>
      <c r="H72" s="60">
        <v>5.0</v>
      </c>
      <c r="I72" s="60">
        <v>3.0</v>
      </c>
      <c r="J72" s="60">
        <v>2.0</v>
      </c>
      <c r="K72" s="13">
        <f t="shared" si="14"/>
        <v>17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19.0</v>
      </c>
      <c r="F73" s="60">
        <v>20.0</v>
      </c>
      <c r="G73" s="60">
        <v>22.0</v>
      </c>
      <c r="H73" s="60">
        <v>17.0</v>
      </c>
      <c r="I73" s="60">
        <v>14.0</v>
      </c>
      <c r="J73" s="60">
        <v>13.0</v>
      </c>
      <c r="K73" s="13">
        <f t="shared" si="14"/>
        <v>105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0.0</v>
      </c>
      <c r="G74" s="60">
        <v>0.0</v>
      </c>
      <c r="H74" s="60">
        <v>2.0</v>
      </c>
      <c r="I74" s="60">
        <v>0.0</v>
      </c>
      <c r="J74" s="60">
        <v>1.0</v>
      </c>
      <c r="K74" s="13">
        <f t="shared" si="14"/>
        <v>3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1.0</v>
      </c>
      <c r="G75" s="60">
        <v>0.0</v>
      </c>
      <c r="H75" s="60">
        <v>0.0</v>
      </c>
      <c r="I75" s="60">
        <v>0.0</v>
      </c>
      <c r="J75" s="60">
        <v>0.0</v>
      </c>
      <c r="K75" s="13">
        <f t="shared" si="14"/>
        <v>1</v>
      </c>
    </row>
    <row r="76" ht="12.75" customHeight="1">
      <c r="A76" s="18"/>
      <c r="B76" s="57"/>
      <c r="C76" s="58" t="s">
        <v>65</v>
      </c>
      <c r="D76" s="59"/>
      <c r="E76" s="60">
        <v>20.0</v>
      </c>
      <c r="F76" s="60">
        <v>11.0</v>
      </c>
      <c r="G76" s="60">
        <v>11.0</v>
      </c>
      <c r="H76" s="60">
        <v>0.0</v>
      </c>
      <c r="I76" s="60">
        <v>0.0</v>
      </c>
      <c r="J76" s="60">
        <v>1.0</v>
      </c>
      <c r="K76" s="13">
        <f t="shared" si="14"/>
        <v>43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1.0</v>
      </c>
      <c r="H77" s="60">
        <v>0.0</v>
      </c>
      <c r="I77" s="60">
        <v>1.0</v>
      </c>
      <c r="J77" s="60">
        <v>0.0</v>
      </c>
      <c r="K77" s="13">
        <f t="shared" si="14"/>
        <v>2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1.0</v>
      </c>
      <c r="K78" s="13">
        <f t="shared" si="14"/>
        <v>1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J79" si="18">SUM(E72:E78)</f>
        <v>43</v>
      </c>
      <c r="F79" s="64">
        <f t="shared" si="18"/>
        <v>34</v>
      </c>
      <c r="G79" s="64">
        <f t="shared" si="18"/>
        <v>35</v>
      </c>
      <c r="H79" s="64">
        <f t="shared" si="18"/>
        <v>24</v>
      </c>
      <c r="I79" s="64">
        <f t="shared" si="18"/>
        <v>18</v>
      </c>
      <c r="J79" s="64">
        <f t="shared" si="18"/>
        <v>18</v>
      </c>
      <c r="K79" s="13">
        <f t="shared" si="14"/>
        <v>172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5.0</v>
      </c>
      <c r="F81" s="60">
        <v>5.0</v>
      </c>
      <c r="G81" s="60">
        <v>0.0</v>
      </c>
      <c r="H81" s="60">
        <v>1.0</v>
      </c>
      <c r="I81" s="60">
        <v>5.0</v>
      </c>
      <c r="J81" s="60">
        <v>1.0</v>
      </c>
      <c r="K81" s="13">
        <f t="shared" si="14"/>
        <v>17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4.0</v>
      </c>
      <c r="F82" s="60">
        <v>6.0</v>
      </c>
      <c r="G82" s="60">
        <v>1.0</v>
      </c>
      <c r="H82" s="60">
        <v>15.0</v>
      </c>
      <c r="I82" s="60">
        <v>13.0</v>
      </c>
      <c r="J82" s="60">
        <v>8.0</v>
      </c>
      <c r="K82" s="13">
        <f t="shared" si="14"/>
        <v>47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2.0</v>
      </c>
      <c r="G83" s="60">
        <v>0.0</v>
      </c>
      <c r="H83" s="60">
        <v>0.0</v>
      </c>
      <c r="I83" s="60">
        <v>0.0</v>
      </c>
      <c r="J83" s="60">
        <v>0.0</v>
      </c>
      <c r="K83" s="13">
        <f t="shared" si="14"/>
        <v>2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13">
        <f t="shared" si="14"/>
        <v>0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1.0</v>
      </c>
      <c r="G85" s="60">
        <v>0.0</v>
      </c>
      <c r="H85" s="60">
        <v>0.0</v>
      </c>
      <c r="I85" s="60">
        <v>0.0</v>
      </c>
      <c r="J85" s="60">
        <v>0.0</v>
      </c>
      <c r="K85" s="13">
        <f t="shared" si="14"/>
        <v>1</v>
      </c>
    </row>
    <row r="86" ht="12.75" customHeight="1">
      <c r="A86" s="18"/>
      <c r="B86" s="57"/>
      <c r="C86" s="58" t="s">
        <v>74</v>
      </c>
      <c r="D86" s="59"/>
      <c r="E86" s="60">
        <v>2.0</v>
      </c>
      <c r="F86" s="60">
        <v>0.0</v>
      </c>
      <c r="G86" s="60">
        <v>1.0</v>
      </c>
      <c r="H86" s="60">
        <v>0.0</v>
      </c>
      <c r="I86" s="60">
        <v>0.0</v>
      </c>
      <c r="J86" s="60">
        <v>0.0</v>
      </c>
      <c r="K86" s="13">
        <f t="shared" si="14"/>
        <v>3</v>
      </c>
    </row>
    <row r="87" ht="12.75" customHeight="1">
      <c r="A87" s="18"/>
      <c r="B87" s="57"/>
      <c r="C87" s="58" t="s">
        <v>75</v>
      </c>
      <c r="D87" s="59"/>
      <c r="E87" s="60">
        <v>3.0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13">
        <f t="shared" si="14"/>
        <v>3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J88" si="19">SUM(E81:E87)</f>
        <v>14</v>
      </c>
      <c r="F88" s="64">
        <f t="shared" si="19"/>
        <v>14</v>
      </c>
      <c r="G88" s="64">
        <f t="shared" si="19"/>
        <v>2</v>
      </c>
      <c r="H88" s="64">
        <f t="shared" si="19"/>
        <v>16</v>
      </c>
      <c r="I88" s="64">
        <f t="shared" si="19"/>
        <v>18</v>
      </c>
      <c r="J88" s="64">
        <f t="shared" si="19"/>
        <v>9</v>
      </c>
      <c r="K88" s="13">
        <f t="shared" si="14"/>
        <v>73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1.0</v>
      </c>
      <c r="J90" s="60">
        <v>0.0</v>
      </c>
      <c r="K90" s="13">
        <f t="shared" si="14"/>
        <v>1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1.0</v>
      </c>
      <c r="J91" s="60">
        <v>0.0</v>
      </c>
      <c r="K91" s="13">
        <f t="shared" si="14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J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0</v>
      </c>
      <c r="I92" s="64">
        <f t="shared" si="20"/>
        <v>2</v>
      </c>
      <c r="J92" s="64">
        <f t="shared" si="20"/>
        <v>0</v>
      </c>
      <c r="K92" s="13">
        <f t="shared" si="14"/>
        <v>2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2.0</v>
      </c>
      <c r="F94" s="60">
        <v>1.0</v>
      </c>
      <c r="G94" s="60">
        <v>0.0</v>
      </c>
      <c r="H94" s="60">
        <v>2.0</v>
      </c>
      <c r="I94" s="60">
        <v>2.0</v>
      </c>
      <c r="J94" s="60">
        <v>0.0</v>
      </c>
      <c r="K94" s="13">
        <f t="shared" si="14"/>
        <v>7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17.0</v>
      </c>
      <c r="F95" s="60">
        <v>4.0</v>
      </c>
      <c r="G95" s="60">
        <v>8.0</v>
      </c>
      <c r="H95" s="60">
        <v>11.0</v>
      </c>
      <c r="I95" s="60">
        <v>14.0</v>
      </c>
      <c r="J95" s="60">
        <v>5.0</v>
      </c>
      <c r="K95" s="13">
        <f t="shared" si="14"/>
        <v>59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0.0</v>
      </c>
      <c r="J96" s="60">
        <v>0.0</v>
      </c>
      <c r="K96" s="13">
        <f t="shared" si="14"/>
        <v>0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13">
        <f t="shared" si="14"/>
        <v>0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J101" si="21">SUM(E94:E100)</f>
        <v>19</v>
      </c>
      <c r="F101" s="64">
        <f t="shared" si="21"/>
        <v>5</v>
      </c>
      <c r="G101" s="64">
        <f t="shared" si="21"/>
        <v>8</v>
      </c>
      <c r="H101" s="64">
        <f t="shared" si="21"/>
        <v>13</v>
      </c>
      <c r="I101" s="64">
        <f t="shared" si="21"/>
        <v>16</v>
      </c>
      <c r="J101" s="64">
        <f t="shared" si="21"/>
        <v>5</v>
      </c>
      <c r="K101" s="13">
        <f t="shared" si="14"/>
        <v>66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0.0</v>
      </c>
      <c r="G103" s="60">
        <v>0.0</v>
      </c>
      <c r="H103" s="60">
        <v>0.0</v>
      </c>
      <c r="I103" s="60">
        <v>1.0</v>
      </c>
      <c r="J103" s="60">
        <v>0.0</v>
      </c>
      <c r="K103" s="13">
        <f t="shared" si="14"/>
        <v>1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0.0</v>
      </c>
      <c r="F104" s="60">
        <v>0.0</v>
      </c>
      <c r="G104" s="60">
        <v>5.0</v>
      </c>
      <c r="H104" s="60">
        <v>6.0</v>
      </c>
      <c r="I104" s="60">
        <v>9.0</v>
      </c>
      <c r="J104" s="60">
        <v>7.0</v>
      </c>
      <c r="K104" s="13">
        <f t="shared" si="14"/>
        <v>27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1.0</v>
      </c>
      <c r="I105" s="60">
        <v>1.0</v>
      </c>
      <c r="J105" s="60">
        <v>0.0</v>
      </c>
      <c r="K105" s="13">
        <f t="shared" si="14"/>
        <v>2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13">
        <f t="shared" si="14"/>
        <v>0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13">
        <f t="shared" si="14"/>
        <v>0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0.0</v>
      </c>
      <c r="J109" s="60">
        <v>0.0</v>
      </c>
      <c r="K109" s="13">
        <f t="shared" si="14"/>
        <v>0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J110" si="22">SUM(E103:E109)</f>
        <v>0</v>
      </c>
      <c r="F110" s="64">
        <f t="shared" si="22"/>
        <v>0</v>
      </c>
      <c r="G110" s="64">
        <f t="shared" si="22"/>
        <v>5</v>
      </c>
      <c r="H110" s="64">
        <f t="shared" si="22"/>
        <v>7</v>
      </c>
      <c r="I110" s="64">
        <f t="shared" si="22"/>
        <v>11</v>
      </c>
      <c r="J110" s="64">
        <f t="shared" si="22"/>
        <v>7</v>
      </c>
      <c r="K110" s="13">
        <f t="shared" si="14"/>
        <v>30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1.0</v>
      </c>
      <c r="J112" s="60">
        <v>0.0</v>
      </c>
      <c r="K112" s="13">
        <f t="shared" si="14"/>
        <v>1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13">
        <f t="shared" si="14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J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1</v>
      </c>
      <c r="J114" s="64">
        <f t="shared" si="23"/>
        <v>0</v>
      </c>
      <c r="K114" s="13">
        <f t="shared" si="14"/>
        <v>1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0.0</v>
      </c>
      <c r="I116" s="60">
        <v>0.0</v>
      </c>
      <c r="J116" s="60">
        <v>0.0</v>
      </c>
      <c r="K116" s="13">
        <f t="shared" si="14"/>
        <v>0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0.0</v>
      </c>
      <c r="G117" s="60">
        <v>0.0</v>
      </c>
      <c r="H117" s="60">
        <v>0.0</v>
      </c>
      <c r="I117" s="60">
        <v>0.0</v>
      </c>
      <c r="J117" s="60">
        <v>0.0</v>
      </c>
      <c r="K117" s="13">
        <f t="shared" si="14"/>
        <v>0</v>
      </c>
      <c r="L117" s="5"/>
      <c r="M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13">
        <f t="shared" si="14"/>
        <v>0</v>
      </c>
      <c r="L118" s="5"/>
      <c r="M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1.0</v>
      </c>
      <c r="G119" s="60">
        <v>0.0</v>
      </c>
      <c r="H119" s="60">
        <v>0.0</v>
      </c>
      <c r="I119" s="60">
        <v>0.0</v>
      </c>
      <c r="J119" s="60">
        <v>0.0</v>
      </c>
      <c r="K119" s="13">
        <f t="shared" si="14"/>
        <v>1</v>
      </c>
      <c r="L119" s="5"/>
      <c r="M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1.0</v>
      </c>
      <c r="K120" s="13">
        <f t="shared" si="14"/>
        <v>1</v>
      </c>
      <c r="L120" s="5"/>
      <c r="M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13">
        <f t="shared" si="14"/>
        <v>0</v>
      </c>
      <c r="L121" s="5"/>
      <c r="M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13">
        <f t="shared" si="14"/>
        <v>0</v>
      </c>
      <c r="L122" s="5"/>
      <c r="M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J123" si="24">SUM(E116:E122)</f>
        <v>0</v>
      </c>
      <c r="F123" s="64">
        <f t="shared" si="24"/>
        <v>1</v>
      </c>
      <c r="G123" s="64">
        <f t="shared" si="24"/>
        <v>0</v>
      </c>
      <c r="H123" s="64">
        <f t="shared" si="24"/>
        <v>0</v>
      </c>
      <c r="I123" s="64">
        <f t="shared" si="24"/>
        <v>0</v>
      </c>
      <c r="J123" s="64">
        <f t="shared" si="24"/>
        <v>1</v>
      </c>
      <c r="K123" s="13">
        <f t="shared" si="14"/>
        <v>2</v>
      </c>
      <c r="L123" s="5"/>
      <c r="M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13">
        <f t="shared" si="14"/>
        <v>0</v>
      </c>
      <c r="L124" s="5"/>
      <c r="M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13">
        <f t="shared" si="14"/>
        <v>0</v>
      </c>
      <c r="L125" s="5"/>
      <c r="M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3">
        <f t="shared" si="14"/>
        <v>0</v>
      </c>
      <c r="L126" s="5"/>
      <c r="M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J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13">
        <f t="shared" si="14"/>
        <v>0</v>
      </c>
      <c r="L127" s="5"/>
      <c r="M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13">
        <f t="shared" si="14"/>
        <v>0</v>
      </c>
      <c r="L128" s="5"/>
      <c r="M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2.0</v>
      </c>
      <c r="F129" s="60">
        <v>0.0</v>
      </c>
      <c r="G129" s="60">
        <v>0.0</v>
      </c>
      <c r="H129" s="60">
        <v>0.0</v>
      </c>
      <c r="I129" s="60">
        <v>0.0</v>
      </c>
      <c r="J129" s="60">
        <v>0.0</v>
      </c>
      <c r="K129" s="13">
        <f t="shared" si="14"/>
        <v>2</v>
      </c>
      <c r="L129" s="5"/>
      <c r="M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9.0</v>
      </c>
      <c r="F130" s="60">
        <v>7.0</v>
      </c>
      <c r="G130" s="60">
        <v>4.0</v>
      </c>
      <c r="H130" s="60">
        <v>0.0</v>
      </c>
      <c r="I130" s="60">
        <v>0.0</v>
      </c>
      <c r="J130" s="60">
        <v>0.0</v>
      </c>
      <c r="K130" s="13">
        <f t="shared" si="14"/>
        <v>20</v>
      </c>
      <c r="L130" s="1"/>
      <c r="M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1.0</v>
      </c>
      <c r="G131" s="60">
        <v>0.0</v>
      </c>
      <c r="H131" s="60">
        <v>0.0</v>
      </c>
      <c r="I131" s="60">
        <v>0.0</v>
      </c>
      <c r="J131" s="60">
        <v>0.0</v>
      </c>
      <c r="K131" s="13">
        <f t="shared" si="14"/>
        <v>1</v>
      </c>
      <c r="L131" s="54"/>
      <c r="M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13">
        <f t="shared" si="14"/>
        <v>0</v>
      </c>
      <c r="L132" s="5"/>
      <c r="M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1.0</v>
      </c>
      <c r="H133" s="60">
        <v>0.0</v>
      </c>
      <c r="I133" s="60">
        <v>0.0</v>
      </c>
      <c r="J133" s="60">
        <v>0.0</v>
      </c>
      <c r="K133" s="13">
        <f t="shared" si="14"/>
        <v>1</v>
      </c>
      <c r="L133" s="5"/>
      <c r="M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0.0</v>
      </c>
      <c r="K134" s="13">
        <f t="shared" si="14"/>
        <v>0</v>
      </c>
      <c r="L134" s="5"/>
      <c r="M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13">
        <f t="shared" si="14"/>
        <v>0</v>
      </c>
      <c r="L135" s="5"/>
      <c r="M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J136" si="26">SUM(E129:E135)</f>
        <v>11</v>
      </c>
      <c r="F136" s="64">
        <f t="shared" si="26"/>
        <v>8</v>
      </c>
      <c r="G136" s="64">
        <f t="shared" si="26"/>
        <v>5</v>
      </c>
      <c r="H136" s="64">
        <f t="shared" si="26"/>
        <v>0</v>
      </c>
      <c r="I136" s="64">
        <f t="shared" si="26"/>
        <v>0</v>
      </c>
      <c r="J136" s="64">
        <f t="shared" si="26"/>
        <v>0</v>
      </c>
      <c r="K136" s="13">
        <f t="shared" si="14"/>
        <v>24</v>
      </c>
      <c r="L136" s="5"/>
      <c r="M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13">
        <f t="shared" si="14"/>
        <v>0</v>
      </c>
      <c r="L137" s="5"/>
      <c r="M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1.0</v>
      </c>
      <c r="H138" s="60">
        <v>0.0</v>
      </c>
      <c r="I138" s="60">
        <v>0.0</v>
      </c>
      <c r="J138" s="60">
        <v>0.0</v>
      </c>
      <c r="K138" s="13">
        <f t="shared" si="14"/>
        <v>1</v>
      </c>
      <c r="L138" s="5"/>
      <c r="M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16.0</v>
      </c>
      <c r="F139" s="60">
        <v>8.0</v>
      </c>
      <c r="G139" s="60">
        <v>23.0</v>
      </c>
      <c r="H139" s="60">
        <v>0.0</v>
      </c>
      <c r="I139" s="60">
        <v>0.0</v>
      </c>
      <c r="J139" s="60">
        <v>0.0</v>
      </c>
      <c r="K139" s="13">
        <f t="shared" si="14"/>
        <v>47</v>
      </c>
      <c r="L139" s="5"/>
      <c r="M139" s="5"/>
    </row>
    <row r="140" ht="12.75" customHeight="1">
      <c r="A140" s="18"/>
      <c r="B140" s="57"/>
      <c r="C140" s="58" t="s">
        <v>120</v>
      </c>
      <c r="D140" s="59"/>
      <c r="E140" s="60">
        <v>1.0</v>
      </c>
      <c r="F140" s="60">
        <v>1.0</v>
      </c>
      <c r="G140" s="60">
        <v>1.0</v>
      </c>
      <c r="H140" s="60">
        <v>0.0</v>
      </c>
      <c r="I140" s="60">
        <v>0.0</v>
      </c>
      <c r="J140" s="60">
        <v>0.0</v>
      </c>
      <c r="K140" s="13">
        <f t="shared" si="14"/>
        <v>3</v>
      </c>
      <c r="L140" s="5"/>
      <c r="M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13">
        <f t="shared" si="14"/>
        <v>0</v>
      </c>
      <c r="L141" s="1"/>
      <c r="M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13">
        <f t="shared" si="14"/>
        <v>0</v>
      </c>
      <c r="L142" s="54"/>
      <c r="M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13">
        <f t="shared" si="14"/>
        <v>0</v>
      </c>
      <c r="L143" s="5"/>
      <c r="M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13">
        <f t="shared" si="14"/>
        <v>0</v>
      </c>
      <c r="L144" s="5"/>
      <c r="M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J145" si="27">SUM(E138:E144)</f>
        <v>17</v>
      </c>
      <c r="F145" s="64">
        <f t="shared" si="27"/>
        <v>9</v>
      </c>
      <c r="G145" s="64">
        <f t="shared" si="27"/>
        <v>25</v>
      </c>
      <c r="H145" s="64">
        <f t="shared" si="27"/>
        <v>0</v>
      </c>
      <c r="I145" s="64">
        <f t="shared" si="27"/>
        <v>0</v>
      </c>
      <c r="J145" s="64">
        <f t="shared" si="27"/>
        <v>0</v>
      </c>
      <c r="K145" s="13">
        <f t="shared" si="14"/>
        <v>51</v>
      </c>
      <c r="L145" s="5"/>
      <c r="M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13">
        <f t="shared" si="14"/>
        <v>0</v>
      </c>
      <c r="L146" s="5"/>
      <c r="M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2.0</v>
      </c>
      <c r="F147" s="60">
        <v>2.0</v>
      </c>
      <c r="G147" s="60">
        <v>1.0</v>
      </c>
      <c r="H147" s="60">
        <v>0.0</v>
      </c>
      <c r="I147" s="60">
        <v>0.0</v>
      </c>
      <c r="J147" s="60">
        <v>3.0</v>
      </c>
      <c r="K147" s="13">
        <f t="shared" si="14"/>
        <v>8</v>
      </c>
      <c r="L147" s="5"/>
      <c r="M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7.0</v>
      </c>
      <c r="F148" s="60">
        <v>6.0</v>
      </c>
      <c r="G148" s="60">
        <v>7.0</v>
      </c>
      <c r="H148" s="60">
        <v>0.0</v>
      </c>
      <c r="I148" s="60">
        <v>0.0</v>
      </c>
      <c r="J148" s="60">
        <v>0.0</v>
      </c>
      <c r="K148" s="13">
        <f t="shared" si="14"/>
        <v>20</v>
      </c>
      <c r="L148" s="5"/>
      <c r="M148" s="5"/>
    </row>
    <row r="149" ht="12.75" customHeight="1">
      <c r="A149" s="18"/>
      <c r="B149" s="57"/>
      <c r="C149" s="58" t="s">
        <v>128</v>
      </c>
      <c r="D149" s="59"/>
      <c r="E149" s="60">
        <v>53.0</v>
      </c>
      <c r="F149" s="60">
        <v>67.0</v>
      </c>
      <c r="G149" s="60">
        <v>77.0</v>
      </c>
      <c r="H149" s="60">
        <v>0.0</v>
      </c>
      <c r="I149" s="60">
        <v>0.0</v>
      </c>
      <c r="J149" s="60">
        <v>0.0</v>
      </c>
      <c r="K149" s="13">
        <f t="shared" si="14"/>
        <v>197</v>
      </c>
      <c r="L149" s="5"/>
      <c r="M149" s="5"/>
    </row>
    <row r="150" ht="12.75" customHeight="1">
      <c r="A150" s="18"/>
      <c r="B150" s="57"/>
      <c r="C150" s="58" t="s">
        <v>129</v>
      </c>
      <c r="D150" s="59"/>
      <c r="E150" s="60">
        <v>1.0</v>
      </c>
      <c r="F150" s="60">
        <v>2.0</v>
      </c>
      <c r="G150" s="60">
        <v>5.0</v>
      </c>
      <c r="H150" s="60">
        <v>2.0</v>
      </c>
      <c r="I150" s="60">
        <v>0.0</v>
      </c>
      <c r="J150" s="60">
        <v>0.0</v>
      </c>
      <c r="K150" s="13">
        <f t="shared" si="14"/>
        <v>10</v>
      </c>
      <c r="L150" s="5"/>
      <c r="M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1.0</v>
      </c>
      <c r="G151" s="60">
        <v>0.0</v>
      </c>
      <c r="H151" s="60">
        <v>0.0</v>
      </c>
      <c r="I151" s="60">
        <v>0.0</v>
      </c>
      <c r="J151" s="60">
        <v>1.0</v>
      </c>
      <c r="K151" s="13">
        <f t="shared" si="14"/>
        <v>2</v>
      </c>
      <c r="L151" s="1"/>
      <c r="M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13">
        <f t="shared" si="14"/>
        <v>0</v>
      </c>
      <c r="L152" s="54"/>
      <c r="M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13">
        <f t="shared" si="14"/>
        <v>0</v>
      </c>
      <c r="L153" s="5"/>
      <c r="M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J154" si="28">SUM(E147:E153)</f>
        <v>63</v>
      </c>
      <c r="F154" s="64">
        <f t="shared" si="28"/>
        <v>78</v>
      </c>
      <c r="G154" s="64">
        <f t="shared" si="28"/>
        <v>90</v>
      </c>
      <c r="H154" s="64">
        <f t="shared" si="28"/>
        <v>2</v>
      </c>
      <c r="I154" s="64">
        <f t="shared" si="28"/>
        <v>0</v>
      </c>
      <c r="J154" s="64">
        <f t="shared" si="28"/>
        <v>4</v>
      </c>
      <c r="K154" s="13">
        <f t="shared" si="14"/>
        <v>237</v>
      </c>
      <c r="L154" s="5"/>
      <c r="M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13">
        <f t="shared" si="14"/>
        <v>0</v>
      </c>
      <c r="L155" s="5"/>
      <c r="M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0.0</v>
      </c>
      <c r="F156" s="60">
        <v>0.0</v>
      </c>
      <c r="G156" s="60">
        <v>1.0</v>
      </c>
      <c r="H156" s="60">
        <v>1.0</v>
      </c>
      <c r="I156" s="60">
        <v>0.0</v>
      </c>
      <c r="J156" s="60">
        <v>0.0</v>
      </c>
      <c r="K156" s="13">
        <f t="shared" si="14"/>
        <v>2</v>
      </c>
      <c r="L156" s="5"/>
      <c r="M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0.0</v>
      </c>
      <c r="J157" s="60">
        <v>0.0</v>
      </c>
      <c r="K157" s="13">
        <f t="shared" si="14"/>
        <v>0</v>
      </c>
      <c r="L157" s="5"/>
      <c r="M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0.0</v>
      </c>
      <c r="H158" s="60">
        <v>0.0</v>
      </c>
      <c r="I158" s="60">
        <v>0.0</v>
      </c>
      <c r="J158" s="60">
        <v>0.0</v>
      </c>
      <c r="K158" s="13">
        <f t="shared" si="14"/>
        <v>0</v>
      </c>
      <c r="L158" s="5"/>
      <c r="M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13">
        <f t="shared" si="14"/>
        <v>0</v>
      </c>
      <c r="L159" s="5"/>
      <c r="M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1.0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13">
        <f t="shared" si="14"/>
        <v>1</v>
      </c>
      <c r="L160" s="5"/>
      <c r="M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13">
        <f t="shared" si="14"/>
        <v>0</v>
      </c>
      <c r="L161" s="5"/>
      <c r="M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J162" si="29">SUM(E156:E161)</f>
        <v>1</v>
      </c>
      <c r="F162" s="64">
        <f t="shared" si="29"/>
        <v>0</v>
      </c>
      <c r="G162" s="64">
        <f t="shared" si="29"/>
        <v>1</v>
      </c>
      <c r="H162" s="64">
        <f t="shared" si="29"/>
        <v>1</v>
      </c>
      <c r="I162" s="64">
        <f t="shared" si="29"/>
        <v>0</v>
      </c>
      <c r="J162" s="64">
        <f t="shared" si="29"/>
        <v>0</v>
      </c>
      <c r="K162" s="13">
        <f t="shared" si="14"/>
        <v>3</v>
      </c>
      <c r="L162" s="5"/>
      <c r="M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13">
        <f t="shared" si="14"/>
        <v>0</v>
      </c>
      <c r="L163" s="5"/>
      <c r="M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13">
        <f t="shared" si="14"/>
        <v>0</v>
      </c>
      <c r="L164" s="5"/>
      <c r="M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0.0</v>
      </c>
      <c r="J165" s="60">
        <v>0.0</v>
      </c>
      <c r="K165" s="13">
        <f t="shared" si="14"/>
        <v>0</v>
      </c>
      <c r="L165" s="1"/>
      <c r="M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13">
        <f t="shared" si="14"/>
        <v>0</v>
      </c>
      <c r="L166" s="54"/>
      <c r="M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13">
        <f t="shared" si="14"/>
        <v>0</v>
      </c>
      <c r="L167" s="5"/>
      <c r="M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13">
        <f t="shared" si="14"/>
        <v>0</v>
      </c>
      <c r="L168" s="5"/>
      <c r="M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13">
        <f t="shared" si="14"/>
        <v>0</v>
      </c>
      <c r="L169" s="5"/>
      <c r="M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13">
        <f t="shared" si="14"/>
        <v>0</v>
      </c>
      <c r="L170" s="5"/>
      <c r="M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J171" si="30">SUM(E164:E170)</f>
        <v>0</v>
      </c>
      <c r="F171" s="64">
        <f t="shared" si="30"/>
        <v>0</v>
      </c>
      <c r="G171" s="64">
        <f t="shared" si="30"/>
        <v>0</v>
      </c>
      <c r="H171" s="64">
        <f t="shared" si="30"/>
        <v>0</v>
      </c>
      <c r="I171" s="64">
        <f t="shared" si="30"/>
        <v>0</v>
      </c>
      <c r="J171" s="64">
        <f t="shared" si="30"/>
        <v>0</v>
      </c>
      <c r="K171" s="13">
        <f t="shared" si="14"/>
        <v>0</v>
      </c>
      <c r="L171" s="5"/>
      <c r="M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13">
        <f t="shared" si="14"/>
        <v>0</v>
      </c>
      <c r="L172" s="5"/>
      <c r="M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0.0</v>
      </c>
      <c r="G173" s="60">
        <v>0.0</v>
      </c>
      <c r="H173" s="60">
        <v>1.0</v>
      </c>
      <c r="I173" s="60">
        <v>0.0</v>
      </c>
      <c r="J173" s="60">
        <v>0.0</v>
      </c>
      <c r="K173" s="13">
        <f t="shared" si="14"/>
        <v>1</v>
      </c>
      <c r="L173" s="5"/>
      <c r="M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2.0</v>
      </c>
      <c r="F174" s="60">
        <v>0.0</v>
      </c>
      <c r="G174" s="60">
        <v>0.0</v>
      </c>
      <c r="H174" s="60">
        <v>0.0</v>
      </c>
      <c r="I174" s="60">
        <v>0.0</v>
      </c>
      <c r="J174" s="60">
        <v>0.0</v>
      </c>
      <c r="K174" s="13">
        <f t="shared" si="14"/>
        <v>2</v>
      </c>
      <c r="L174" s="5"/>
      <c r="M174" s="5"/>
    </row>
    <row r="175" ht="12.75" customHeight="1">
      <c r="A175" s="18"/>
      <c r="B175" s="57"/>
      <c r="C175" s="58" t="s">
        <v>151</v>
      </c>
      <c r="D175" s="59"/>
      <c r="E175" s="60">
        <v>2.0</v>
      </c>
      <c r="F175" s="60">
        <v>0.0</v>
      </c>
      <c r="G175" s="60">
        <v>0.0</v>
      </c>
      <c r="H175" s="60">
        <v>0.0</v>
      </c>
      <c r="I175" s="60">
        <v>0.0</v>
      </c>
      <c r="J175" s="60">
        <v>0.0</v>
      </c>
      <c r="K175" s="13">
        <f t="shared" si="14"/>
        <v>2</v>
      </c>
      <c r="L175" s="5"/>
      <c r="M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0.0</v>
      </c>
      <c r="G176" s="60">
        <v>0.0</v>
      </c>
      <c r="H176" s="60">
        <v>0.0</v>
      </c>
      <c r="I176" s="60">
        <v>0.0</v>
      </c>
      <c r="J176" s="60">
        <v>0.0</v>
      </c>
      <c r="K176" s="13">
        <f t="shared" si="14"/>
        <v>0</v>
      </c>
      <c r="L176" s="1"/>
      <c r="M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0.0</v>
      </c>
      <c r="J177" s="60">
        <v>1.0</v>
      </c>
      <c r="K177" s="13">
        <f t="shared" si="14"/>
        <v>1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13">
        <f t="shared" si="14"/>
        <v>0</v>
      </c>
      <c r="L178" s="5"/>
      <c r="M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13">
        <f t="shared" si="14"/>
        <v>0</v>
      </c>
      <c r="L179" s="5"/>
      <c r="M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J180" si="31">SUM(E173:E179)</f>
        <v>4</v>
      </c>
      <c r="F180" s="64">
        <f t="shared" si="31"/>
        <v>0</v>
      </c>
      <c r="G180" s="64">
        <f t="shared" si="31"/>
        <v>0</v>
      </c>
      <c r="H180" s="64">
        <f t="shared" si="31"/>
        <v>1</v>
      </c>
      <c r="I180" s="64">
        <f t="shared" si="31"/>
        <v>0</v>
      </c>
      <c r="J180" s="64">
        <f t="shared" si="31"/>
        <v>1</v>
      </c>
      <c r="K180" s="13">
        <f t="shared" si="14"/>
        <v>6</v>
      </c>
      <c r="L180" s="5"/>
      <c r="M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13">
        <f t="shared" si="14"/>
        <v>0</v>
      </c>
      <c r="L181" s="5"/>
      <c r="M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13">
        <f t="shared" si="14"/>
        <v>0</v>
      </c>
      <c r="L182" s="5"/>
      <c r="M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13">
        <f t="shared" si="14"/>
        <v>0</v>
      </c>
      <c r="L183" s="5"/>
      <c r="M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13">
        <f t="shared" si="14"/>
        <v>0</v>
      </c>
      <c r="L184" s="5"/>
      <c r="M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13">
        <f t="shared" si="14"/>
        <v>0</v>
      </c>
      <c r="L185" s="5"/>
      <c r="M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13">
        <f t="shared" si="14"/>
        <v>0</v>
      </c>
      <c r="L186" s="5"/>
      <c r="M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J187" si="32">SUM(E182:E186)</f>
        <v>0</v>
      </c>
      <c r="F187" s="64">
        <f t="shared" si="32"/>
        <v>0</v>
      </c>
      <c r="G187" s="64">
        <f t="shared" si="32"/>
        <v>0</v>
      </c>
      <c r="H187" s="64">
        <f t="shared" si="32"/>
        <v>0</v>
      </c>
      <c r="I187" s="64">
        <f t="shared" si="32"/>
        <v>0</v>
      </c>
      <c r="J187" s="64">
        <f t="shared" si="32"/>
        <v>0</v>
      </c>
      <c r="K187" s="13">
        <f t="shared" si="14"/>
        <v>0</v>
      </c>
      <c r="L187" s="1"/>
      <c r="M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3">
        <f t="shared" si="14"/>
        <v>0</v>
      </c>
      <c r="L189" s="5"/>
      <c r="M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13">
        <f t="shared" si="14"/>
        <v>0</v>
      </c>
      <c r="L190" s="5"/>
      <c r="M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J191" si="33">E187+E180+E162+E154+E145+E136+E127+E123+E114+E110+E101+E92+E88+E79+E70+E61+E52</f>
        <v>207</v>
      </c>
      <c r="F191" s="19">
        <f t="shared" si="33"/>
        <v>183</v>
      </c>
      <c r="G191" s="19">
        <f t="shared" si="33"/>
        <v>210</v>
      </c>
      <c r="H191" s="19">
        <f t="shared" si="33"/>
        <v>175</v>
      </c>
      <c r="I191" s="19">
        <f t="shared" si="33"/>
        <v>179</v>
      </c>
      <c r="J191" s="19">
        <f t="shared" si="33"/>
        <v>181</v>
      </c>
      <c r="K191" s="13">
        <f t="shared" si="14"/>
        <v>1135</v>
      </c>
      <c r="L191" s="5"/>
      <c r="M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10.0</v>
      </c>
      <c r="F192" s="60">
        <v>5.0</v>
      </c>
      <c r="G192" s="60">
        <v>11.0</v>
      </c>
      <c r="H192" s="60">
        <v>12.0</v>
      </c>
      <c r="I192" s="60">
        <v>3.0</v>
      </c>
      <c r="J192" s="60">
        <v>3.0</v>
      </c>
      <c r="K192" s="13">
        <f t="shared" si="14"/>
        <v>44</v>
      </c>
      <c r="L192" s="5"/>
      <c r="M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J193" si="34">SUM(E191:E192)</f>
        <v>217</v>
      </c>
      <c r="F193" s="13">
        <f t="shared" si="34"/>
        <v>188</v>
      </c>
      <c r="G193" s="13">
        <f t="shared" si="34"/>
        <v>221</v>
      </c>
      <c r="H193" s="13">
        <f t="shared" si="34"/>
        <v>187</v>
      </c>
      <c r="I193" s="13">
        <f t="shared" si="34"/>
        <v>182</v>
      </c>
      <c r="J193" s="13">
        <f t="shared" si="34"/>
        <v>184</v>
      </c>
      <c r="K193" s="13">
        <f t="shared" si="14"/>
        <v>1179</v>
      </c>
      <c r="L193" s="5"/>
      <c r="M193" s="5"/>
    </row>
    <row r="194" ht="12.75" customHeight="1">
      <c r="L194" s="5"/>
      <c r="M194" s="5"/>
    </row>
    <row r="195" ht="12.75" customHeight="1">
      <c r="L195" s="5"/>
      <c r="M195" s="5"/>
    </row>
    <row r="196" ht="12.75" customHeight="1">
      <c r="L196" s="1"/>
      <c r="M196" s="1"/>
    </row>
    <row r="197" ht="12.75" customHeight="1">
      <c r="L197" s="1"/>
      <c r="M197" s="1"/>
    </row>
    <row r="198" ht="12.75" customHeight="1">
      <c r="L198" s="1"/>
      <c r="M198" s="1"/>
    </row>
    <row r="199" ht="12.75" customHeight="1">
      <c r="L199" s="54"/>
      <c r="M199" s="54"/>
    </row>
    <row r="200" ht="12.75" customHeight="1">
      <c r="L200" s="5"/>
      <c r="M200" s="5"/>
    </row>
    <row r="201" ht="12.75" customHeight="1">
      <c r="L201" s="5"/>
      <c r="M201" s="5"/>
    </row>
    <row r="202" ht="12.75" customHeight="1">
      <c r="L202" s="5"/>
      <c r="M202" s="5"/>
    </row>
    <row r="203" ht="12.75" customHeight="1">
      <c r="L203" s="5"/>
      <c r="M203" s="5"/>
    </row>
    <row r="204" ht="12.75" customHeight="1">
      <c r="L204" s="5"/>
      <c r="M204" s="5"/>
    </row>
    <row r="205" ht="12.75" customHeight="1">
      <c r="L205" s="5"/>
      <c r="M205" s="5"/>
    </row>
    <row r="206" ht="12.75" customHeight="1">
      <c r="L206" s="5"/>
      <c r="M206" s="5"/>
    </row>
    <row r="207" ht="12.75" customHeight="1">
      <c r="L207" s="1"/>
      <c r="M207" s="1"/>
    </row>
    <row r="208" ht="12.75" customHeight="1">
      <c r="L208" s="54"/>
      <c r="M208" s="54"/>
    </row>
    <row r="209" ht="12.75" customHeight="1">
      <c r="L209" s="54"/>
      <c r="M209" s="54"/>
    </row>
    <row r="210" ht="12.75" customHeight="1">
      <c r="L210" s="54"/>
      <c r="M210" s="54"/>
    </row>
    <row r="211" ht="12.75" customHeight="1">
      <c r="L211" s="5"/>
      <c r="M211" s="5"/>
    </row>
    <row r="212" ht="12.75" customHeight="1">
      <c r="L212" s="5"/>
      <c r="M212" s="5"/>
    </row>
    <row r="213" ht="12.75" customHeight="1">
      <c r="L213" s="5"/>
      <c r="M213" s="5"/>
    </row>
    <row r="214" ht="12.75" customHeight="1">
      <c r="L214" s="5"/>
      <c r="M214" s="5"/>
    </row>
    <row r="215" ht="12.75" customHeight="1">
      <c r="L215" s="5"/>
      <c r="M215" s="5"/>
    </row>
    <row r="216" ht="12.75" customHeight="1">
      <c r="L216" s="5"/>
      <c r="M216" s="5"/>
    </row>
    <row r="217" ht="12.75" customHeight="1">
      <c r="L217" s="5"/>
      <c r="M217" s="5"/>
    </row>
    <row r="218" ht="12.75" customHeight="1">
      <c r="L218" s="1"/>
      <c r="M218" s="1"/>
    </row>
    <row r="219" ht="12.75" customHeight="1">
      <c r="L219" s="54"/>
      <c r="M219" s="54"/>
    </row>
    <row r="220" ht="12.75" customHeight="1">
      <c r="L220" s="5"/>
      <c r="M220" s="5"/>
    </row>
    <row r="221" ht="12.75" customHeight="1">
      <c r="L221" s="5"/>
      <c r="M221" s="5"/>
    </row>
    <row r="222" ht="12.75" customHeight="1">
      <c r="L222" s="5"/>
      <c r="M222" s="5"/>
    </row>
    <row r="223" ht="12.75" customHeight="1">
      <c r="L223" s="5"/>
      <c r="M223" s="5"/>
    </row>
    <row r="224" ht="12.75" customHeight="1">
      <c r="L224" s="5"/>
      <c r="M224" s="5"/>
    </row>
    <row r="225" ht="12.75" customHeight="1">
      <c r="L225" s="5"/>
      <c r="M225" s="5"/>
    </row>
    <row r="226" ht="12.75" customHeight="1">
      <c r="L226" s="5"/>
      <c r="M226" s="5"/>
    </row>
    <row r="227" ht="12.75" customHeight="1">
      <c r="L227" s="5"/>
      <c r="M227" s="5"/>
    </row>
    <row r="228" ht="12.75" customHeight="1">
      <c r="L228" s="5"/>
      <c r="M228" s="5"/>
    </row>
    <row r="229" ht="12.75" customHeight="1">
      <c r="L229" s="1"/>
      <c r="M229" s="1"/>
    </row>
    <row r="230" ht="12.75" customHeight="1">
      <c r="L230" s="54"/>
      <c r="M230" s="54"/>
    </row>
    <row r="231" ht="12.75" customHeight="1">
      <c r="L231" s="5"/>
      <c r="M231" s="5"/>
    </row>
    <row r="232" ht="12.75" customHeight="1">
      <c r="L232" s="5"/>
      <c r="M232" s="5"/>
    </row>
    <row r="233" ht="12.75" customHeight="1">
      <c r="L233" s="5"/>
      <c r="M233" s="5"/>
    </row>
    <row r="234" ht="12.75" customHeight="1">
      <c r="L234" s="5"/>
      <c r="M234" s="5"/>
    </row>
    <row r="235" ht="12.75" customHeight="1">
      <c r="L235" s="5"/>
      <c r="M235" s="5"/>
    </row>
    <row r="236" ht="12.75" customHeight="1">
      <c r="L236" s="5"/>
      <c r="M236" s="5"/>
    </row>
    <row r="237" ht="12.75" customHeight="1">
      <c r="L237" s="5"/>
      <c r="M237" s="5"/>
    </row>
    <row r="238" ht="12.75" customHeight="1">
      <c r="L238" s="5"/>
      <c r="M238" s="5"/>
    </row>
    <row r="239" ht="12.75" customHeight="1">
      <c r="L239" s="5"/>
      <c r="M239" s="5"/>
    </row>
    <row r="240" ht="12.75" customHeight="1">
      <c r="L240" s="1"/>
      <c r="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34:J34">
    <cfRule type="expression" dxfId="2" priority="6">
      <formula>E30&lt;&gt;E34</formula>
    </cfRule>
  </conditionalFormatting>
  <conditionalFormatting sqref="E34:J34">
    <cfRule type="expression" dxfId="3" priority="7">
      <formula>E30=E34</formula>
    </cfRule>
  </conditionalFormatting>
  <conditionalFormatting sqref="E34:J34">
    <cfRule type="expression" dxfId="0" priority="8">
      <formula>E34&lt;&gt;E30</formula>
    </cfRule>
  </conditionalFormatting>
  <conditionalFormatting sqref="E34:J34">
    <cfRule type="expression" dxfId="0" priority="9">
      <formula>E34&lt;&gt;#REF!</formula>
    </cfRule>
  </conditionalFormatting>
  <conditionalFormatting sqref="E45:J51">
    <cfRule type="containsBlanks" dxfId="1" priority="10">
      <formula>LEN(TRIM(E45))=0</formula>
    </cfRule>
  </conditionalFormatting>
  <conditionalFormatting sqref="E54:J60">
    <cfRule type="containsBlanks" dxfId="1" priority="11">
      <formula>LEN(TRIM(E54))=0</formula>
    </cfRule>
  </conditionalFormatting>
  <conditionalFormatting sqref="E63:J69">
    <cfRule type="containsBlanks" dxfId="1" priority="12">
      <formula>LEN(TRIM(E63))=0</formula>
    </cfRule>
  </conditionalFormatting>
  <conditionalFormatting sqref="E72:J78">
    <cfRule type="containsBlanks" dxfId="1" priority="13">
      <formula>LEN(TRIM(E72))=0</formula>
    </cfRule>
  </conditionalFormatting>
  <conditionalFormatting sqref="E81:J87">
    <cfRule type="containsBlanks" dxfId="1" priority="14">
      <formula>LEN(TRIM(E81))=0</formula>
    </cfRule>
  </conditionalFormatting>
  <conditionalFormatting sqref="E90:J91">
    <cfRule type="containsBlanks" dxfId="1" priority="15">
      <formula>LEN(TRIM(E90))=0</formula>
    </cfRule>
  </conditionalFormatting>
  <conditionalFormatting sqref="E94:J100">
    <cfRule type="containsBlanks" dxfId="1" priority="16">
      <formula>LEN(TRIM(E94))=0</formula>
    </cfRule>
  </conditionalFormatting>
  <conditionalFormatting sqref="E103:J109">
    <cfRule type="containsBlanks" dxfId="1" priority="17">
      <formula>LEN(TRIM(E103))=0</formula>
    </cfRule>
  </conditionalFormatting>
  <conditionalFormatting sqref="E112:J113">
    <cfRule type="containsBlanks" dxfId="1" priority="18">
      <formula>LEN(TRIM(E112))=0</formula>
    </cfRule>
  </conditionalFormatting>
  <conditionalFormatting sqref="E116:J122">
    <cfRule type="containsBlanks" dxfId="1" priority="19">
      <formula>LEN(TRIM(E116))=0</formula>
    </cfRule>
  </conditionalFormatting>
  <conditionalFormatting sqref="E125:J126">
    <cfRule type="containsBlanks" dxfId="1" priority="20">
      <formula>LEN(TRIM(E125))=0</formula>
    </cfRule>
  </conditionalFormatting>
  <conditionalFormatting sqref="E129:J135">
    <cfRule type="containsBlanks" dxfId="1" priority="21">
      <formula>LEN(TRIM(E129))=0</formula>
    </cfRule>
  </conditionalFormatting>
  <conditionalFormatting sqref="E138:J144">
    <cfRule type="containsBlanks" dxfId="1" priority="22">
      <formula>LEN(TRIM(E138))=0</formula>
    </cfRule>
  </conditionalFormatting>
  <conditionalFormatting sqref="E147:J153">
    <cfRule type="containsBlanks" dxfId="1" priority="23">
      <formula>LEN(TRIM(E147))=0</formula>
    </cfRule>
  </conditionalFormatting>
  <conditionalFormatting sqref="E156:J161">
    <cfRule type="containsBlanks" dxfId="1" priority="24">
      <formula>LEN(TRIM(E156))=0</formula>
    </cfRule>
  </conditionalFormatting>
  <conditionalFormatting sqref="E164:J170">
    <cfRule type="containsBlanks" dxfId="1" priority="25">
      <formula>LEN(TRIM(E164))=0</formula>
    </cfRule>
  </conditionalFormatting>
  <conditionalFormatting sqref="E173:J179">
    <cfRule type="containsBlanks" dxfId="1" priority="26">
      <formula>LEN(TRIM(E173))=0</formula>
    </cfRule>
  </conditionalFormatting>
  <conditionalFormatting sqref="E182:J186">
    <cfRule type="containsBlanks" dxfId="1" priority="27">
      <formula>LEN(TRIM(E182))=0</formula>
    </cfRule>
  </conditionalFormatting>
  <conditionalFormatting sqref="E191:J192">
    <cfRule type="containsBlanks" dxfId="1" priority="28">
      <formula>LEN(TRIM(E191))=0</formula>
    </cfRule>
  </conditionalFormatting>
  <conditionalFormatting sqref="E193:J193">
    <cfRule type="expression" dxfId="0" priority="29">
      <formula>E193&lt;&gt;#REF!</formula>
    </cfRule>
  </conditionalFormatting>
  <conditionalFormatting sqref="E193:J193">
    <cfRule type="expression" dxfId="2" priority="30">
      <formula>#REF!&lt;&gt;E193</formula>
    </cfRule>
  </conditionalFormatting>
  <conditionalFormatting sqref="E193:J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60">
        <v>124.0</v>
      </c>
      <c r="F14" s="60">
        <v>127.0</v>
      </c>
      <c r="G14" s="60">
        <v>128.0</v>
      </c>
      <c r="H14" s="60">
        <v>131.0</v>
      </c>
      <c r="I14" s="60">
        <v>130.0</v>
      </c>
      <c r="J14" s="60">
        <v>127.0</v>
      </c>
      <c r="K14" s="60">
        <v>132.0</v>
      </c>
      <c r="L14" s="60">
        <v>142.0</v>
      </c>
      <c r="M14" s="60">
        <v>141.0</v>
      </c>
      <c r="N14" s="13">
        <f t="shared" ref="N14:N16" si="1">SUM(E14:M14)</f>
        <v>1182</v>
      </c>
    </row>
    <row r="15" ht="12.75" customHeight="1">
      <c r="A15" s="18"/>
      <c r="B15" s="26"/>
      <c r="C15" s="27"/>
      <c r="D15" s="19" t="s">
        <v>13</v>
      </c>
      <c r="E15" s="60">
        <v>134.0</v>
      </c>
      <c r="F15" s="60">
        <v>130.0</v>
      </c>
      <c r="G15" s="60">
        <v>138.0</v>
      </c>
      <c r="H15" s="60">
        <v>131.0</v>
      </c>
      <c r="I15" s="60">
        <v>135.0</v>
      </c>
      <c r="J15" s="60">
        <v>137.0</v>
      </c>
      <c r="K15" s="60">
        <v>137.0</v>
      </c>
      <c r="L15" s="60">
        <v>142.0</v>
      </c>
      <c r="M15" s="60">
        <v>146.0</v>
      </c>
      <c r="N15" s="13">
        <f t="shared" si="1"/>
        <v>1230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258</v>
      </c>
      <c r="F16" s="13">
        <f t="shared" si="2"/>
        <v>257</v>
      </c>
      <c r="G16" s="13">
        <f t="shared" si="2"/>
        <v>266</v>
      </c>
      <c r="H16" s="13">
        <f t="shared" si="2"/>
        <v>262</v>
      </c>
      <c r="I16" s="13">
        <f t="shared" si="2"/>
        <v>265</v>
      </c>
      <c r="J16" s="13">
        <f t="shared" si="2"/>
        <v>264</v>
      </c>
      <c r="K16" s="13">
        <f t="shared" si="2"/>
        <v>269</v>
      </c>
      <c r="L16" s="13">
        <f t="shared" si="2"/>
        <v>284</v>
      </c>
      <c r="M16" s="13">
        <f t="shared" si="2"/>
        <v>287</v>
      </c>
      <c r="N16" s="13">
        <f t="shared" si="1"/>
        <v>2412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103.0</v>
      </c>
      <c r="F19" s="60">
        <v>109.0</v>
      </c>
      <c r="G19" s="60">
        <v>113.0</v>
      </c>
      <c r="H19" s="60">
        <v>113.0</v>
      </c>
      <c r="I19" s="60">
        <v>109.0</v>
      </c>
      <c r="J19" s="60">
        <v>110.0</v>
      </c>
      <c r="K19" s="60">
        <v>109.0</v>
      </c>
      <c r="L19" s="60">
        <v>106.0</v>
      </c>
      <c r="M19" s="60">
        <v>115.0</v>
      </c>
      <c r="N19" s="13">
        <f t="shared" ref="N19:N30" si="3">SUM(E19:M19)</f>
        <v>987</v>
      </c>
    </row>
    <row r="20" ht="12.75" customHeight="1">
      <c r="A20" s="34"/>
      <c r="B20" s="27"/>
      <c r="C20" s="35"/>
      <c r="D20" s="19" t="s">
        <v>13</v>
      </c>
      <c r="E20" s="60">
        <v>111.0</v>
      </c>
      <c r="F20" s="60">
        <v>115.0</v>
      </c>
      <c r="G20" s="60">
        <v>126.0</v>
      </c>
      <c r="H20" s="60">
        <v>112.0</v>
      </c>
      <c r="I20" s="60">
        <v>119.0</v>
      </c>
      <c r="J20" s="60">
        <v>117.0</v>
      </c>
      <c r="K20" s="60">
        <v>122.0</v>
      </c>
      <c r="L20" s="60">
        <v>113.0</v>
      </c>
      <c r="M20" s="60">
        <v>121.0</v>
      </c>
      <c r="N20" s="13">
        <f t="shared" si="3"/>
        <v>1056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214</v>
      </c>
      <c r="F21" s="13">
        <f t="shared" si="4"/>
        <v>224</v>
      </c>
      <c r="G21" s="13">
        <f t="shared" si="4"/>
        <v>239</v>
      </c>
      <c r="H21" s="13">
        <f t="shared" si="4"/>
        <v>225</v>
      </c>
      <c r="I21" s="13">
        <f t="shared" si="4"/>
        <v>228</v>
      </c>
      <c r="J21" s="13">
        <f t="shared" si="4"/>
        <v>227</v>
      </c>
      <c r="K21" s="13">
        <f t="shared" si="4"/>
        <v>231</v>
      </c>
      <c r="L21" s="13">
        <f t="shared" si="4"/>
        <v>219</v>
      </c>
      <c r="M21" s="13">
        <f t="shared" si="4"/>
        <v>236</v>
      </c>
      <c r="N21" s="13">
        <f t="shared" si="3"/>
        <v>2043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1.0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1.0</v>
      </c>
      <c r="H25" s="60">
        <v>1.0</v>
      </c>
      <c r="I25" s="60">
        <v>0.0</v>
      </c>
      <c r="J25" s="60">
        <v>1.0</v>
      </c>
      <c r="K25" s="60">
        <v>4.0</v>
      </c>
      <c r="L25" s="60">
        <v>3.0</v>
      </c>
      <c r="M25" s="60">
        <v>1.0</v>
      </c>
      <c r="N25" s="13">
        <f t="shared" si="3"/>
        <v>11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0.0</v>
      </c>
      <c r="G26" s="60">
        <v>0.0</v>
      </c>
      <c r="H26" s="60">
        <v>4.0</v>
      </c>
      <c r="I26" s="60">
        <v>0.0</v>
      </c>
      <c r="J26" s="60">
        <v>0.0</v>
      </c>
      <c r="K26" s="60">
        <v>3.0</v>
      </c>
      <c r="L26" s="60">
        <v>3.0</v>
      </c>
      <c r="M26" s="60">
        <v>1.0</v>
      </c>
      <c r="N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6</v>
      </c>
      <c r="M27" s="13">
        <f t="shared" si="6"/>
        <v>2</v>
      </c>
      <c r="N27" s="13">
        <f t="shared" si="3"/>
        <v>22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M28" si="7">SUM(E19,E22,E25)</f>
        <v>103</v>
      </c>
      <c r="F28" s="13">
        <f t="shared" si="7"/>
        <v>109</v>
      </c>
      <c r="G28" s="13">
        <f t="shared" si="7"/>
        <v>114</v>
      </c>
      <c r="H28" s="13">
        <f t="shared" si="7"/>
        <v>115</v>
      </c>
      <c r="I28" s="13">
        <f t="shared" si="7"/>
        <v>109</v>
      </c>
      <c r="J28" s="13">
        <f t="shared" si="7"/>
        <v>111</v>
      </c>
      <c r="K28" s="13">
        <f t="shared" si="7"/>
        <v>113</v>
      </c>
      <c r="L28" s="13">
        <f t="shared" si="7"/>
        <v>109</v>
      </c>
      <c r="M28" s="13">
        <f t="shared" si="7"/>
        <v>116</v>
      </c>
      <c r="N28" s="13">
        <f t="shared" si="3"/>
        <v>999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111</v>
      </c>
      <c r="F29" s="13">
        <f t="shared" si="8"/>
        <v>115</v>
      </c>
      <c r="G29" s="13">
        <f t="shared" si="8"/>
        <v>126</v>
      </c>
      <c r="H29" s="13">
        <f t="shared" si="8"/>
        <v>116</v>
      </c>
      <c r="I29" s="13">
        <f t="shared" si="8"/>
        <v>119</v>
      </c>
      <c r="J29" s="13">
        <f t="shared" si="8"/>
        <v>117</v>
      </c>
      <c r="K29" s="13">
        <f t="shared" si="8"/>
        <v>125</v>
      </c>
      <c r="L29" s="13">
        <f t="shared" si="8"/>
        <v>116</v>
      </c>
      <c r="M29" s="13">
        <f t="shared" si="8"/>
        <v>122</v>
      </c>
      <c r="N29" s="13">
        <f t="shared" si="3"/>
        <v>1067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214</v>
      </c>
      <c r="F30" s="13">
        <f t="shared" si="9"/>
        <v>224</v>
      </c>
      <c r="G30" s="13">
        <f t="shared" si="9"/>
        <v>240</v>
      </c>
      <c r="H30" s="13">
        <f t="shared" si="9"/>
        <v>231</v>
      </c>
      <c r="I30" s="13">
        <f t="shared" si="9"/>
        <v>228</v>
      </c>
      <c r="J30" s="13">
        <f t="shared" si="9"/>
        <v>228</v>
      </c>
      <c r="K30" s="13">
        <f t="shared" si="9"/>
        <v>238</v>
      </c>
      <c r="L30" s="13">
        <f t="shared" si="9"/>
        <v>225</v>
      </c>
      <c r="M30" s="13">
        <f t="shared" si="9"/>
        <v>238</v>
      </c>
      <c r="N30" s="13">
        <f t="shared" si="3"/>
        <v>2066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3"/>
    </row>
    <row r="32" ht="12.75" customHeight="1">
      <c r="A32" s="44" t="s">
        <v>25</v>
      </c>
      <c r="B32" s="14" t="s">
        <v>26</v>
      </c>
      <c r="C32" s="15"/>
      <c r="D32" s="16"/>
      <c r="E32" s="13" t="s">
        <v>172</v>
      </c>
      <c r="F32" s="13" t="s">
        <v>173</v>
      </c>
      <c r="G32" s="13" t="s">
        <v>174</v>
      </c>
      <c r="H32" s="13" t="s">
        <v>175</v>
      </c>
      <c r="I32" s="13" t="s">
        <v>176</v>
      </c>
      <c r="J32" s="13" t="s">
        <v>177</v>
      </c>
      <c r="K32" s="13" t="s">
        <v>179</v>
      </c>
      <c r="L32" s="13" t="s">
        <v>180</v>
      </c>
      <c r="M32" s="13" t="s">
        <v>181</v>
      </c>
      <c r="N32" s="73"/>
    </row>
    <row r="33" ht="12.75" customHeight="1">
      <c r="A33" s="19">
        <v>1.0</v>
      </c>
      <c r="B33" s="20" t="s">
        <v>27</v>
      </c>
      <c r="C33" s="15"/>
      <c r="D33" s="16"/>
      <c r="E33" s="60">
        <v>264.0</v>
      </c>
      <c r="F33" s="60">
        <v>243.0</v>
      </c>
      <c r="G33" s="60">
        <v>272.0</v>
      </c>
      <c r="H33" s="60">
        <v>268.0</v>
      </c>
      <c r="I33" s="60">
        <v>266.0</v>
      </c>
      <c r="J33" s="60">
        <v>270.0</v>
      </c>
      <c r="K33" s="60">
        <v>265.0</v>
      </c>
      <c r="L33" s="60">
        <v>285.0</v>
      </c>
      <c r="M33" s="60">
        <v>291.0</v>
      </c>
      <c r="N33" s="13">
        <f t="shared" ref="N33:N36" si="10">SUM(E33:M33)</f>
        <v>2424</v>
      </c>
    </row>
    <row r="34" ht="12.75" customHeight="1">
      <c r="A34" s="19">
        <v>2.0</v>
      </c>
      <c r="B34" s="20" t="s">
        <v>28</v>
      </c>
      <c r="C34" s="15"/>
      <c r="D34" s="16"/>
      <c r="E34" s="75">
        <v>214.0</v>
      </c>
      <c r="F34" s="75">
        <v>224.0</v>
      </c>
      <c r="G34" s="75">
        <v>240.0</v>
      </c>
      <c r="H34" s="75">
        <v>231.0</v>
      </c>
      <c r="I34" s="75">
        <v>228.0</v>
      </c>
      <c r="J34" s="75">
        <v>228.0</v>
      </c>
      <c r="K34" s="75">
        <v>238.0</v>
      </c>
      <c r="L34" s="75">
        <v>225.0</v>
      </c>
      <c r="M34" s="75">
        <v>238.0</v>
      </c>
      <c r="N34" s="13">
        <f t="shared" si="10"/>
        <v>2066</v>
      </c>
    </row>
    <row r="35" ht="12.75" customHeight="1">
      <c r="A35" s="19">
        <v>3.0</v>
      </c>
      <c r="B35" s="20" t="s">
        <v>29</v>
      </c>
      <c r="C35" s="15"/>
      <c r="D35" s="16"/>
      <c r="E35" s="60">
        <v>1.0</v>
      </c>
      <c r="F35" s="60">
        <v>2.0</v>
      </c>
      <c r="G35" s="60">
        <v>0.0</v>
      </c>
      <c r="H35" s="60">
        <v>1.0</v>
      </c>
      <c r="I35" s="60">
        <v>0.0</v>
      </c>
      <c r="J35" s="60">
        <v>0.0</v>
      </c>
      <c r="K35" s="60">
        <v>0.0</v>
      </c>
      <c r="L35" s="60">
        <v>0.0</v>
      </c>
      <c r="M35" s="60">
        <v>0.0</v>
      </c>
      <c r="N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49</v>
      </c>
      <c r="F36" s="13">
        <f t="shared" si="11"/>
        <v>17</v>
      </c>
      <c r="G36" s="13">
        <f t="shared" si="11"/>
        <v>32</v>
      </c>
      <c r="H36" s="13">
        <f t="shared" si="11"/>
        <v>36</v>
      </c>
      <c r="I36" s="13">
        <f t="shared" si="11"/>
        <v>38</v>
      </c>
      <c r="J36" s="13">
        <f t="shared" si="11"/>
        <v>42</v>
      </c>
      <c r="K36" s="13">
        <f t="shared" si="11"/>
        <v>27</v>
      </c>
      <c r="L36" s="13">
        <f t="shared" si="11"/>
        <v>60</v>
      </c>
      <c r="M36" s="13">
        <f t="shared" si="11"/>
        <v>53</v>
      </c>
      <c r="N36" s="13">
        <f t="shared" si="10"/>
        <v>354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3"/>
    </row>
    <row r="38" ht="12.75" customHeight="1">
      <c r="A38" s="45" t="s">
        <v>31</v>
      </c>
      <c r="B38" s="14" t="s">
        <v>32</v>
      </c>
      <c r="C38" s="15"/>
      <c r="D38" s="16"/>
      <c r="E38" s="13" t="s">
        <v>172</v>
      </c>
      <c r="F38" s="13" t="s">
        <v>173</v>
      </c>
      <c r="G38" s="13" t="s">
        <v>174</v>
      </c>
      <c r="H38" s="13" t="s">
        <v>175</v>
      </c>
      <c r="I38" s="13" t="s">
        <v>176</v>
      </c>
      <c r="J38" s="13" t="s">
        <v>177</v>
      </c>
      <c r="K38" s="13" t="s">
        <v>179</v>
      </c>
      <c r="L38" s="13" t="s">
        <v>180</v>
      </c>
      <c r="M38" s="13" t="s">
        <v>181</v>
      </c>
      <c r="N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1.0</v>
      </c>
      <c r="J39" s="60">
        <v>0.0</v>
      </c>
      <c r="K39" s="60">
        <v>2.0</v>
      </c>
      <c r="L39" s="60">
        <v>0.0</v>
      </c>
      <c r="M39" s="60">
        <v>0.0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1.0</v>
      </c>
      <c r="L40" s="60">
        <v>0.0</v>
      </c>
      <c r="M40" s="60">
        <v>0.0</v>
      </c>
      <c r="N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2"/>
        <v>4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172</v>
      </c>
      <c r="F43" s="13" t="s">
        <v>173</v>
      </c>
      <c r="G43" s="13" t="s">
        <v>174</v>
      </c>
      <c r="H43" s="13" t="s">
        <v>175</v>
      </c>
      <c r="I43" s="13" t="s">
        <v>176</v>
      </c>
      <c r="J43" s="13" t="s">
        <v>177</v>
      </c>
      <c r="K43" s="13" t="s">
        <v>179</v>
      </c>
      <c r="L43" s="13" t="s">
        <v>180</v>
      </c>
      <c r="M43" s="13" t="s">
        <v>181</v>
      </c>
      <c r="N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10.0</v>
      </c>
      <c r="F45" s="60">
        <v>8.0</v>
      </c>
      <c r="G45" s="60">
        <v>7.0</v>
      </c>
      <c r="H45" s="60">
        <v>3.0</v>
      </c>
      <c r="I45" s="60">
        <v>2.0</v>
      </c>
      <c r="J45" s="60">
        <v>3.0</v>
      </c>
      <c r="K45" s="60">
        <v>3.0</v>
      </c>
      <c r="L45" s="60">
        <v>14.0</v>
      </c>
      <c r="M45" s="60">
        <v>12.0</v>
      </c>
      <c r="N45" s="13">
        <f t="shared" ref="N45:N193" si="14">SUM(E45:M45)</f>
        <v>62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30.0</v>
      </c>
      <c r="F46" s="60">
        <v>25.0</v>
      </c>
      <c r="G46" s="60">
        <v>15.0</v>
      </c>
      <c r="H46" s="60">
        <v>10.0</v>
      </c>
      <c r="I46" s="60">
        <v>17.0</v>
      </c>
      <c r="J46" s="60">
        <v>23.0</v>
      </c>
      <c r="K46" s="60">
        <v>8.0</v>
      </c>
      <c r="L46" s="60">
        <v>54.0</v>
      </c>
      <c r="M46" s="60">
        <v>52.0</v>
      </c>
      <c r="N46" s="13">
        <f t="shared" si="14"/>
        <v>234</v>
      </c>
    </row>
    <row r="47" ht="12.75" customHeight="1">
      <c r="A47" s="18"/>
      <c r="B47" s="57"/>
      <c r="C47" s="58" t="s">
        <v>41</v>
      </c>
      <c r="D47" s="59"/>
      <c r="E47" s="60">
        <v>3.0</v>
      </c>
      <c r="F47" s="60">
        <v>0.0</v>
      </c>
      <c r="G47" s="60">
        <v>1.0</v>
      </c>
      <c r="H47" s="60">
        <v>1.0</v>
      </c>
      <c r="I47" s="60">
        <v>1.0</v>
      </c>
      <c r="J47" s="60">
        <v>2.0</v>
      </c>
      <c r="K47" s="60">
        <v>1.0</v>
      </c>
      <c r="L47" s="60">
        <v>2.0</v>
      </c>
      <c r="M47" s="60">
        <v>0.0</v>
      </c>
      <c r="N47" s="13">
        <f t="shared" si="14"/>
        <v>11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2.0</v>
      </c>
      <c r="H48" s="60">
        <v>0.0</v>
      </c>
      <c r="I48" s="60">
        <v>0.0</v>
      </c>
      <c r="J48" s="60">
        <v>0.0</v>
      </c>
      <c r="K48" s="60">
        <v>0.0</v>
      </c>
      <c r="L48" s="60">
        <v>0.0</v>
      </c>
      <c r="M48" s="60">
        <v>0.0</v>
      </c>
      <c r="N48" s="13">
        <f t="shared" si="14"/>
        <v>2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60">
        <v>0.0</v>
      </c>
      <c r="N49" s="13">
        <f t="shared" si="14"/>
        <v>0</v>
      </c>
    </row>
    <row r="50" ht="12.75" customHeight="1">
      <c r="A50" s="18"/>
      <c r="B50" s="57"/>
      <c r="C50" s="58" t="s">
        <v>44</v>
      </c>
      <c r="D50" s="59"/>
      <c r="E50" s="60">
        <v>2.0</v>
      </c>
      <c r="F50" s="60">
        <v>0.0</v>
      </c>
      <c r="G50" s="60">
        <v>0.0</v>
      </c>
      <c r="H50" s="60">
        <v>3.0</v>
      </c>
      <c r="I50" s="60">
        <v>1.0</v>
      </c>
      <c r="J50" s="60">
        <v>0.0</v>
      </c>
      <c r="K50" s="60">
        <v>0.0</v>
      </c>
      <c r="L50" s="60">
        <v>2.0</v>
      </c>
      <c r="M50" s="60">
        <v>0.0</v>
      </c>
      <c r="N50" s="13">
        <f t="shared" si="14"/>
        <v>8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60">
        <v>0.0</v>
      </c>
      <c r="L51" s="60">
        <v>0.0</v>
      </c>
      <c r="M51" s="60">
        <v>0.0</v>
      </c>
      <c r="N51" s="13">
        <f t="shared" si="14"/>
        <v>0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M52" si="15">SUM(E45:E51)</f>
        <v>45</v>
      </c>
      <c r="F52" s="64">
        <f t="shared" si="15"/>
        <v>33</v>
      </c>
      <c r="G52" s="64">
        <f t="shared" si="15"/>
        <v>25</v>
      </c>
      <c r="H52" s="64">
        <f t="shared" si="15"/>
        <v>17</v>
      </c>
      <c r="I52" s="64">
        <f t="shared" si="15"/>
        <v>21</v>
      </c>
      <c r="J52" s="64">
        <f t="shared" si="15"/>
        <v>28</v>
      </c>
      <c r="K52" s="64">
        <f t="shared" si="15"/>
        <v>12</v>
      </c>
      <c r="L52" s="64">
        <f t="shared" si="15"/>
        <v>72</v>
      </c>
      <c r="M52" s="64">
        <f t="shared" si="15"/>
        <v>64</v>
      </c>
      <c r="N52" s="13">
        <f t="shared" si="14"/>
        <v>317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13.0</v>
      </c>
      <c r="F54" s="60">
        <v>8.0</v>
      </c>
      <c r="G54" s="60">
        <v>6.0</v>
      </c>
      <c r="H54" s="60">
        <v>7.0</v>
      </c>
      <c r="I54" s="60">
        <v>12.0</v>
      </c>
      <c r="J54" s="60">
        <v>7.0</v>
      </c>
      <c r="K54" s="60">
        <v>9.0</v>
      </c>
      <c r="L54" s="60">
        <v>6.0</v>
      </c>
      <c r="M54" s="60">
        <v>12.0</v>
      </c>
      <c r="N54" s="13">
        <f t="shared" si="14"/>
        <v>80</v>
      </c>
    </row>
    <row r="55" ht="15.0" customHeight="1">
      <c r="A55" s="31" t="s">
        <v>39</v>
      </c>
      <c r="B55" s="57"/>
      <c r="C55" s="58" t="s">
        <v>48</v>
      </c>
      <c r="D55" s="59"/>
      <c r="E55" s="60">
        <v>1.0</v>
      </c>
      <c r="F55" s="60">
        <v>4.0</v>
      </c>
      <c r="G55" s="60">
        <v>4.0</v>
      </c>
      <c r="H55" s="60">
        <v>8.0</v>
      </c>
      <c r="I55" s="60">
        <v>12.0</v>
      </c>
      <c r="J55" s="60">
        <v>6.0</v>
      </c>
      <c r="K55" s="60">
        <v>12.0</v>
      </c>
      <c r="L55" s="60">
        <v>4.0</v>
      </c>
      <c r="M55" s="60">
        <v>4.0</v>
      </c>
      <c r="N55" s="13">
        <f t="shared" si="14"/>
        <v>55</v>
      </c>
    </row>
    <row r="56" ht="12.75" customHeight="1">
      <c r="A56" s="18"/>
      <c r="B56" s="57"/>
      <c r="C56" s="58" t="s">
        <v>49</v>
      </c>
      <c r="D56" s="59"/>
      <c r="E56" s="60">
        <v>4.0</v>
      </c>
      <c r="F56" s="60">
        <v>8.0</v>
      </c>
      <c r="G56" s="60">
        <v>4.0</v>
      </c>
      <c r="H56" s="60">
        <v>15.0</v>
      </c>
      <c r="I56" s="60">
        <v>11.0</v>
      </c>
      <c r="J56" s="60">
        <v>5.0</v>
      </c>
      <c r="K56" s="60">
        <v>12.0</v>
      </c>
      <c r="L56" s="60">
        <v>6.0</v>
      </c>
      <c r="M56" s="60">
        <v>6.0</v>
      </c>
      <c r="N56" s="13">
        <f t="shared" si="14"/>
        <v>71</v>
      </c>
    </row>
    <row r="57" ht="12.75" customHeight="1">
      <c r="A57" s="18"/>
      <c r="B57" s="57"/>
      <c r="C57" s="58" t="s">
        <v>50</v>
      </c>
      <c r="D57" s="59"/>
      <c r="E57" s="60">
        <v>1.0</v>
      </c>
      <c r="F57" s="60">
        <v>3.0</v>
      </c>
      <c r="G57" s="60">
        <v>1.0</v>
      </c>
      <c r="H57" s="60">
        <v>0.0</v>
      </c>
      <c r="I57" s="60">
        <v>0.0</v>
      </c>
      <c r="J57" s="60">
        <v>1.0</v>
      </c>
      <c r="K57" s="60">
        <v>0.0</v>
      </c>
      <c r="L57" s="60">
        <v>1.0</v>
      </c>
      <c r="M57" s="60">
        <v>0.0</v>
      </c>
      <c r="N57" s="13">
        <f t="shared" si="14"/>
        <v>7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3.0</v>
      </c>
      <c r="G58" s="60">
        <v>0.0</v>
      </c>
      <c r="H58" s="60">
        <v>1.0</v>
      </c>
      <c r="I58" s="60">
        <v>0.0</v>
      </c>
      <c r="J58" s="60">
        <v>0.0</v>
      </c>
      <c r="K58" s="60">
        <v>0.0</v>
      </c>
      <c r="L58" s="60">
        <v>0.0</v>
      </c>
      <c r="M58" s="60">
        <v>1.0</v>
      </c>
      <c r="N58" s="13">
        <f t="shared" si="14"/>
        <v>5</v>
      </c>
    </row>
    <row r="59" ht="12.75" customHeight="1">
      <c r="A59" s="18"/>
      <c r="B59" s="57"/>
      <c r="C59" s="58" t="s">
        <v>52</v>
      </c>
      <c r="D59" s="59"/>
      <c r="E59" s="60">
        <v>16.0</v>
      </c>
      <c r="F59" s="60">
        <v>28.0</v>
      </c>
      <c r="G59" s="60">
        <v>12.0</v>
      </c>
      <c r="H59" s="60">
        <v>29.0</v>
      </c>
      <c r="I59" s="60">
        <v>26.0</v>
      </c>
      <c r="J59" s="60">
        <v>30.0</v>
      </c>
      <c r="K59" s="60">
        <v>13.0</v>
      </c>
      <c r="L59" s="60">
        <v>0.0</v>
      </c>
      <c r="M59" s="60">
        <v>9.0</v>
      </c>
      <c r="N59" s="13">
        <f t="shared" si="14"/>
        <v>163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2.0</v>
      </c>
      <c r="G60" s="60">
        <v>3.0</v>
      </c>
      <c r="H60" s="60">
        <v>0.0</v>
      </c>
      <c r="I60" s="60">
        <v>0.0</v>
      </c>
      <c r="J60" s="60">
        <v>0.0</v>
      </c>
      <c r="K60" s="60">
        <v>0.0</v>
      </c>
      <c r="L60" s="60">
        <v>1.0</v>
      </c>
      <c r="M60" s="60">
        <v>0.0</v>
      </c>
      <c r="N60" s="13">
        <f t="shared" si="14"/>
        <v>6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M61" si="16">SUM(E54:E60)</f>
        <v>35</v>
      </c>
      <c r="F61" s="64">
        <f t="shared" si="16"/>
        <v>56</v>
      </c>
      <c r="G61" s="64">
        <f t="shared" si="16"/>
        <v>30</v>
      </c>
      <c r="H61" s="64">
        <f t="shared" si="16"/>
        <v>60</v>
      </c>
      <c r="I61" s="64">
        <f t="shared" si="16"/>
        <v>61</v>
      </c>
      <c r="J61" s="64">
        <f t="shared" si="16"/>
        <v>49</v>
      </c>
      <c r="K61" s="64">
        <f t="shared" si="16"/>
        <v>46</v>
      </c>
      <c r="L61" s="64">
        <f t="shared" si="16"/>
        <v>18</v>
      </c>
      <c r="M61" s="64">
        <f t="shared" si="16"/>
        <v>32</v>
      </c>
      <c r="N61" s="13">
        <f t="shared" si="14"/>
        <v>387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3.0</v>
      </c>
      <c r="F63" s="60">
        <v>2.0</v>
      </c>
      <c r="G63" s="60">
        <v>1.0</v>
      </c>
      <c r="H63" s="60">
        <v>3.0</v>
      </c>
      <c r="I63" s="60">
        <v>1.0</v>
      </c>
      <c r="J63" s="60">
        <v>2.0</v>
      </c>
      <c r="K63" s="60">
        <v>3.0</v>
      </c>
      <c r="L63" s="60">
        <v>5.0</v>
      </c>
      <c r="M63" s="60">
        <v>2.0</v>
      </c>
      <c r="N63" s="13">
        <f t="shared" si="14"/>
        <v>22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0.0</v>
      </c>
      <c r="F64" s="60">
        <v>2.0</v>
      </c>
      <c r="G64" s="60">
        <v>0.0</v>
      </c>
      <c r="H64" s="60">
        <v>0.0</v>
      </c>
      <c r="I64" s="60">
        <v>2.0</v>
      </c>
      <c r="J64" s="60">
        <v>2.0</v>
      </c>
      <c r="K64" s="60">
        <v>0.0</v>
      </c>
      <c r="L64" s="60">
        <v>0.0</v>
      </c>
      <c r="M64" s="60">
        <v>0.0</v>
      </c>
      <c r="N64" s="13">
        <f t="shared" si="14"/>
        <v>6</v>
      </c>
    </row>
    <row r="65" ht="12.75" customHeight="1">
      <c r="A65" s="18"/>
      <c r="B65" s="57"/>
      <c r="C65" s="58" t="s">
        <v>56</v>
      </c>
      <c r="D65" s="59"/>
      <c r="E65" s="60">
        <v>0.0</v>
      </c>
      <c r="F65" s="60">
        <v>2.0</v>
      </c>
      <c r="G65" s="60">
        <v>0.0</v>
      </c>
      <c r="H65" s="60">
        <v>0.0</v>
      </c>
      <c r="I65" s="60">
        <v>0.0</v>
      </c>
      <c r="J65" s="60">
        <v>0.0</v>
      </c>
      <c r="K65" s="60">
        <v>0.0</v>
      </c>
      <c r="L65" s="60">
        <v>0.0</v>
      </c>
      <c r="M65" s="60">
        <v>0.0</v>
      </c>
      <c r="N65" s="13">
        <f t="shared" si="14"/>
        <v>2</v>
      </c>
    </row>
    <row r="66" ht="12.75" customHeight="1">
      <c r="A66" s="18"/>
      <c r="B66" s="57"/>
      <c r="C66" s="58" t="s">
        <v>57</v>
      </c>
      <c r="D66" s="59"/>
      <c r="E66" s="60">
        <v>1.0</v>
      </c>
      <c r="F66" s="60">
        <v>0.0</v>
      </c>
      <c r="G66" s="60">
        <v>2.0</v>
      </c>
      <c r="H66" s="60">
        <v>1.0</v>
      </c>
      <c r="I66" s="60">
        <v>2.0</v>
      </c>
      <c r="J66" s="60">
        <v>20.0</v>
      </c>
      <c r="K66" s="60">
        <v>11.0</v>
      </c>
      <c r="L66" s="60">
        <v>2.0</v>
      </c>
      <c r="M66" s="60">
        <v>1.0</v>
      </c>
      <c r="N66" s="13">
        <f t="shared" si="14"/>
        <v>40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0.0</v>
      </c>
      <c r="H67" s="60">
        <v>0.0</v>
      </c>
      <c r="I67" s="60">
        <v>0.0</v>
      </c>
      <c r="J67" s="60">
        <v>0.0</v>
      </c>
      <c r="K67" s="60">
        <v>0.0</v>
      </c>
      <c r="L67" s="60">
        <v>1.0</v>
      </c>
      <c r="M67" s="60">
        <v>0.0</v>
      </c>
      <c r="N67" s="13">
        <f t="shared" si="14"/>
        <v>1</v>
      </c>
    </row>
    <row r="68" ht="12.75" customHeight="1">
      <c r="A68" s="18"/>
      <c r="B68" s="57"/>
      <c r="C68" s="58" t="s">
        <v>59</v>
      </c>
      <c r="D68" s="59"/>
      <c r="E68" s="60">
        <v>16.0</v>
      </c>
      <c r="F68" s="60">
        <v>0.0</v>
      </c>
      <c r="G68" s="60">
        <v>0.0</v>
      </c>
      <c r="H68" s="60">
        <v>3.0</v>
      </c>
      <c r="I68" s="60">
        <v>1.0</v>
      </c>
      <c r="J68" s="60">
        <v>2.0</v>
      </c>
      <c r="K68" s="60">
        <v>15.0</v>
      </c>
      <c r="L68" s="60">
        <v>8.0</v>
      </c>
      <c r="M68" s="60">
        <v>0.0</v>
      </c>
      <c r="N68" s="13">
        <f t="shared" si="14"/>
        <v>45</v>
      </c>
    </row>
    <row r="69" ht="12.75" customHeight="1">
      <c r="A69" s="18"/>
      <c r="B69" s="57"/>
      <c r="C69" s="58" t="s">
        <v>60</v>
      </c>
      <c r="D69" s="59"/>
      <c r="E69" s="60">
        <v>8.0</v>
      </c>
      <c r="F69" s="60">
        <v>6.0</v>
      </c>
      <c r="G69" s="60">
        <v>17.0</v>
      </c>
      <c r="H69" s="60">
        <v>15.0</v>
      </c>
      <c r="I69" s="60">
        <v>13.0</v>
      </c>
      <c r="J69" s="60">
        <v>3.0</v>
      </c>
      <c r="K69" s="60">
        <v>5.0</v>
      </c>
      <c r="L69" s="60">
        <v>12.0</v>
      </c>
      <c r="M69" s="60">
        <v>2.0</v>
      </c>
      <c r="N69" s="13">
        <f t="shared" si="14"/>
        <v>81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M70" si="17">SUM(E63:E69)</f>
        <v>28</v>
      </c>
      <c r="F70" s="64">
        <f t="shared" si="17"/>
        <v>12</v>
      </c>
      <c r="G70" s="64">
        <f t="shared" si="17"/>
        <v>20</v>
      </c>
      <c r="H70" s="64">
        <f t="shared" si="17"/>
        <v>22</v>
      </c>
      <c r="I70" s="64">
        <f t="shared" si="17"/>
        <v>19</v>
      </c>
      <c r="J70" s="64">
        <f t="shared" si="17"/>
        <v>29</v>
      </c>
      <c r="K70" s="64">
        <f t="shared" si="17"/>
        <v>34</v>
      </c>
      <c r="L70" s="64">
        <f t="shared" si="17"/>
        <v>28</v>
      </c>
      <c r="M70" s="64">
        <f t="shared" si="17"/>
        <v>5</v>
      </c>
      <c r="N70" s="13">
        <f t="shared" si="14"/>
        <v>197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6.0</v>
      </c>
      <c r="F72" s="60">
        <v>10.0</v>
      </c>
      <c r="G72" s="60">
        <v>4.0</v>
      </c>
      <c r="H72" s="60">
        <v>7.0</v>
      </c>
      <c r="I72" s="60">
        <v>6.0</v>
      </c>
      <c r="J72" s="60">
        <v>4.0</v>
      </c>
      <c r="K72" s="60">
        <v>5.0</v>
      </c>
      <c r="L72" s="60">
        <v>1.0</v>
      </c>
      <c r="M72" s="60">
        <v>4.0</v>
      </c>
      <c r="N72" s="13">
        <f t="shared" si="14"/>
        <v>47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6.0</v>
      </c>
      <c r="F73" s="60">
        <v>14.0</v>
      </c>
      <c r="G73" s="60">
        <v>27.0</v>
      </c>
      <c r="H73" s="60">
        <v>21.0</v>
      </c>
      <c r="I73" s="60">
        <v>19.0</v>
      </c>
      <c r="J73" s="60">
        <v>9.0</v>
      </c>
      <c r="K73" s="60">
        <v>8.0</v>
      </c>
      <c r="L73" s="60">
        <v>1.0</v>
      </c>
      <c r="M73" s="60">
        <v>2.0</v>
      </c>
      <c r="N73" s="13">
        <f t="shared" si="14"/>
        <v>107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2.0</v>
      </c>
      <c r="G74" s="60">
        <v>1.0</v>
      </c>
      <c r="H74" s="60">
        <v>0.0</v>
      </c>
      <c r="I74" s="60">
        <v>0.0</v>
      </c>
      <c r="J74" s="60">
        <v>1.0</v>
      </c>
      <c r="K74" s="60">
        <v>0.0</v>
      </c>
      <c r="L74" s="60">
        <v>0.0</v>
      </c>
      <c r="M74" s="60">
        <v>1.0</v>
      </c>
      <c r="N74" s="13">
        <f t="shared" si="14"/>
        <v>5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2.0</v>
      </c>
      <c r="G75" s="60">
        <v>0.0</v>
      </c>
      <c r="H75" s="60">
        <v>2.0</v>
      </c>
      <c r="I75" s="60">
        <v>2.0</v>
      </c>
      <c r="J75" s="60">
        <v>0.0</v>
      </c>
      <c r="K75" s="60">
        <v>2.0</v>
      </c>
      <c r="L75" s="60">
        <v>0.0</v>
      </c>
      <c r="M75" s="60">
        <v>0.0</v>
      </c>
      <c r="N75" s="13">
        <f t="shared" si="14"/>
        <v>8</v>
      </c>
    </row>
    <row r="76" ht="12.75" customHeight="1">
      <c r="A76" s="18"/>
      <c r="B76" s="57"/>
      <c r="C76" s="58" t="s">
        <v>65</v>
      </c>
      <c r="D76" s="59"/>
      <c r="E76" s="60">
        <v>25.0</v>
      </c>
      <c r="F76" s="60">
        <v>23.0</v>
      </c>
      <c r="G76" s="60">
        <v>19.0</v>
      </c>
      <c r="H76" s="60">
        <v>19.0</v>
      </c>
      <c r="I76" s="60">
        <v>17.0</v>
      </c>
      <c r="J76" s="60">
        <v>25.0</v>
      </c>
      <c r="K76" s="60">
        <v>33.0</v>
      </c>
      <c r="L76" s="60">
        <v>32.0</v>
      </c>
      <c r="M76" s="60">
        <v>42.0</v>
      </c>
      <c r="N76" s="13">
        <f t="shared" si="14"/>
        <v>235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1.0</v>
      </c>
      <c r="G77" s="60">
        <v>0.0</v>
      </c>
      <c r="H77" s="60">
        <v>0.0</v>
      </c>
      <c r="I77" s="60">
        <v>1.0</v>
      </c>
      <c r="J77" s="60">
        <v>0.0</v>
      </c>
      <c r="K77" s="60">
        <v>0.0</v>
      </c>
      <c r="L77" s="60">
        <v>0.0</v>
      </c>
      <c r="M77" s="60">
        <v>0.0</v>
      </c>
      <c r="N77" s="13">
        <f t="shared" si="14"/>
        <v>2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2.0</v>
      </c>
      <c r="G78" s="60">
        <v>1.0</v>
      </c>
      <c r="H78" s="60">
        <v>0.0</v>
      </c>
      <c r="I78" s="60">
        <v>0.0</v>
      </c>
      <c r="J78" s="60">
        <v>0.0</v>
      </c>
      <c r="K78" s="60">
        <v>1.0</v>
      </c>
      <c r="L78" s="60">
        <v>0.0</v>
      </c>
      <c r="M78" s="60">
        <v>0.0</v>
      </c>
      <c r="N78" s="13">
        <f t="shared" si="14"/>
        <v>4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M79" si="18">SUM(E72:E78)</f>
        <v>37</v>
      </c>
      <c r="F79" s="64">
        <f t="shared" si="18"/>
        <v>54</v>
      </c>
      <c r="G79" s="64">
        <f t="shared" si="18"/>
        <v>52</v>
      </c>
      <c r="H79" s="64">
        <f t="shared" si="18"/>
        <v>49</v>
      </c>
      <c r="I79" s="64">
        <f t="shared" si="18"/>
        <v>45</v>
      </c>
      <c r="J79" s="64">
        <f t="shared" si="18"/>
        <v>39</v>
      </c>
      <c r="K79" s="64">
        <f t="shared" si="18"/>
        <v>49</v>
      </c>
      <c r="L79" s="64">
        <f t="shared" si="18"/>
        <v>34</v>
      </c>
      <c r="M79" s="64">
        <f t="shared" si="18"/>
        <v>49</v>
      </c>
      <c r="N79" s="13">
        <f t="shared" si="14"/>
        <v>408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1.0</v>
      </c>
      <c r="F81" s="60">
        <v>1.0</v>
      </c>
      <c r="G81" s="60">
        <v>2.0</v>
      </c>
      <c r="H81" s="60">
        <v>1.0</v>
      </c>
      <c r="I81" s="60">
        <v>0.0</v>
      </c>
      <c r="J81" s="60">
        <v>6.0</v>
      </c>
      <c r="K81" s="60">
        <v>2.0</v>
      </c>
      <c r="L81" s="60">
        <v>2.0</v>
      </c>
      <c r="M81" s="60">
        <v>4.0</v>
      </c>
      <c r="N81" s="13">
        <f t="shared" si="14"/>
        <v>19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1.0</v>
      </c>
      <c r="F82" s="60">
        <v>0.0</v>
      </c>
      <c r="G82" s="60">
        <v>1.0</v>
      </c>
      <c r="H82" s="60">
        <v>0.0</v>
      </c>
      <c r="I82" s="60">
        <v>14.0</v>
      </c>
      <c r="J82" s="60">
        <v>0.0</v>
      </c>
      <c r="K82" s="60">
        <v>0.0</v>
      </c>
      <c r="L82" s="60">
        <v>1.0</v>
      </c>
      <c r="M82" s="60">
        <v>12.0</v>
      </c>
      <c r="N82" s="13">
        <f t="shared" si="14"/>
        <v>29</v>
      </c>
    </row>
    <row r="83" ht="12.75" customHeight="1">
      <c r="A83" s="18"/>
      <c r="B83" s="57"/>
      <c r="C83" s="58" t="s">
        <v>71</v>
      </c>
      <c r="D83" s="59"/>
      <c r="E83" s="60">
        <v>1.0</v>
      </c>
      <c r="F83" s="60">
        <v>2.0</v>
      </c>
      <c r="G83" s="60">
        <v>1.0</v>
      </c>
      <c r="H83" s="60">
        <v>0.0</v>
      </c>
      <c r="I83" s="60">
        <v>1.0</v>
      </c>
      <c r="J83" s="60">
        <v>0.0</v>
      </c>
      <c r="K83" s="60">
        <v>0.0</v>
      </c>
      <c r="L83" s="60">
        <v>0.0</v>
      </c>
      <c r="M83" s="60">
        <v>0.0</v>
      </c>
      <c r="N83" s="13">
        <f t="shared" si="14"/>
        <v>5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1.0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13">
        <f t="shared" si="14"/>
        <v>1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0.0</v>
      </c>
      <c r="H85" s="60">
        <v>0.0</v>
      </c>
      <c r="I85" s="60">
        <v>0.0</v>
      </c>
      <c r="J85" s="60">
        <v>0.0</v>
      </c>
      <c r="K85" s="60">
        <v>1.0</v>
      </c>
      <c r="L85" s="60">
        <v>0.0</v>
      </c>
      <c r="M85" s="60">
        <v>0.0</v>
      </c>
      <c r="N85" s="13">
        <f t="shared" si="14"/>
        <v>1</v>
      </c>
    </row>
    <row r="86" ht="12.75" customHeight="1">
      <c r="A86" s="18"/>
      <c r="B86" s="57"/>
      <c r="C86" s="58" t="s">
        <v>74</v>
      </c>
      <c r="D86" s="59"/>
      <c r="E86" s="60">
        <v>3.0</v>
      </c>
      <c r="F86" s="60">
        <v>0.0</v>
      </c>
      <c r="G86" s="60">
        <v>0.0</v>
      </c>
      <c r="H86" s="60">
        <v>2.0</v>
      </c>
      <c r="I86" s="60">
        <v>0.0</v>
      </c>
      <c r="J86" s="60">
        <v>15.0</v>
      </c>
      <c r="K86" s="60">
        <v>38.0</v>
      </c>
      <c r="L86" s="60">
        <v>1.0</v>
      </c>
      <c r="M86" s="60">
        <v>1.0</v>
      </c>
      <c r="N86" s="13">
        <f t="shared" si="14"/>
        <v>60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13">
        <f t="shared" si="14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M88" si="19">SUM(E81:E87)</f>
        <v>6</v>
      </c>
      <c r="F88" s="64">
        <f t="shared" si="19"/>
        <v>3</v>
      </c>
      <c r="G88" s="64">
        <f t="shared" si="19"/>
        <v>5</v>
      </c>
      <c r="H88" s="64">
        <f t="shared" si="19"/>
        <v>3</v>
      </c>
      <c r="I88" s="64">
        <f t="shared" si="19"/>
        <v>15</v>
      </c>
      <c r="J88" s="64">
        <f t="shared" si="19"/>
        <v>21</v>
      </c>
      <c r="K88" s="64">
        <f t="shared" si="19"/>
        <v>41</v>
      </c>
      <c r="L88" s="64">
        <f t="shared" si="19"/>
        <v>4</v>
      </c>
      <c r="M88" s="64">
        <f t="shared" si="19"/>
        <v>17</v>
      </c>
      <c r="N88" s="13">
        <f t="shared" si="14"/>
        <v>115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0.0</v>
      </c>
      <c r="J90" s="60">
        <v>0.0</v>
      </c>
      <c r="K90" s="60">
        <v>0.0</v>
      </c>
      <c r="L90" s="60">
        <v>0.0</v>
      </c>
      <c r="M90" s="60">
        <v>0.0</v>
      </c>
      <c r="N90" s="13">
        <f t="shared" si="14"/>
        <v>0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1.0</v>
      </c>
      <c r="I91" s="60">
        <v>0.0</v>
      </c>
      <c r="J91" s="60">
        <v>0.0</v>
      </c>
      <c r="K91" s="60">
        <v>0.0</v>
      </c>
      <c r="L91" s="60">
        <v>0.0</v>
      </c>
      <c r="M91" s="60">
        <v>0.0</v>
      </c>
      <c r="N91" s="13">
        <f t="shared" si="14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M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1</v>
      </c>
      <c r="I92" s="64">
        <f t="shared" si="20"/>
        <v>0</v>
      </c>
      <c r="J92" s="64">
        <f t="shared" si="20"/>
        <v>0</v>
      </c>
      <c r="K92" s="64">
        <f t="shared" si="20"/>
        <v>0</v>
      </c>
      <c r="L92" s="64">
        <f t="shared" si="20"/>
        <v>0</v>
      </c>
      <c r="M92" s="64">
        <f t="shared" si="20"/>
        <v>0</v>
      </c>
      <c r="N92" s="13">
        <f t="shared" si="14"/>
        <v>1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1.0</v>
      </c>
      <c r="F94" s="60">
        <v>3.0</v>
      </c>
      <c r="G94" s="60">
        <v>2.0</v>
      </c>
      <c r="H94" s="60">
        <v>5.0</v>
      </c>
      <c r="I94" s="60">
        <v>2.0</v>
      </c>
      <c r="J94" s="60">
        <v>5.0</v>
      </c>
      <c r="K94" s="60">
        <v>2.0</v>
      </c>
      <c r="L94" s="60">
        <v>1.0</v>
      </c>
      <c r="M94" s="60">
        <v>1.0</v>
      </c>
      <c r="N94" s="13">
        <f t="shared" si="14"/>
        <v>22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13.0</v>
      </c>
      <c r="F95" s="60">
        <v>20.0</v>
      </c>
      <c r="G95" s="60">
        <v>34.0</v>
      </c>
      <c r="H95" s="60">
        <v>29.0</v>
      </c>
      <c r="I95" s="60">
        <v>22.0</v>
      </c>
      <c r="J95" s="60">
        <v>10.0</v>
      </c>
      <c r="K95" s="60">
        <v>15.0</v>
      </c>
      <c r="L95" s="60">
        <v>3.0</v>
      </c>
      <c r="M95" s="60">
        <v>1.0</v>
      </c>
      <c r="N95" s="13">
        <f t="shared" si="14"/>
        <v>147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0.0</v>
      </c>
      <c r="J96" s="60">
        <v>0.0</v>
      </c>
      <c r="K96" s="60">
        <v>0.0</v>
      </c>
      <c r="L96" s="60">
        <v>0.0</v>
      </c>
      <c r="M96" s="60">
        <v>0.0</v>
      </c>
      <c r="N96" s="13">
        <f t="shared" si="14"/>
        <v>0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1.0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1.0</v>
      </c>
      <c r="N98" s="13">
        <f t="shared" si="14"/>
        <v>2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2.0</v>
      </c>
      <c r="H99" s="60">
        <v>0.0</v>
      </c>
      <c r="I99" s="60">
        <v>0.0</v>
      </c>
      <c r="J99" s="60">
        <v>0.0</v>
      </c>
      <c r="K99" s="60">
        <v>0.0</v>
      </c>
      <c r="L99" s="60">
        <v>0.0</v>
      </c>
      <c r="M99" s="60">
        <v>1.0</v>
      </c>
      <c r="N99" s="13">
        <f t="shared" si="14"/>
        <v>3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M101" si="21">SUM(E94:E100)</f>
        <v>14</v>
      </c>
      <c r="F101" s="64">
        <f t="shared" si="21"/>
        <v>24</v>
      </c>
      <c r="G101" s="64">
        <f t="shared" si="21"/>
        <v>38</v>
      </c>
      <c r="H101" s="64">
        <f t="shared" si="21"/>
        <v>34</v>
      </c>
      <c r="I101" s="64">
        <f t="shared" si="21"/>
        <v>24</v>
      </c>
      <c r="J101" s="64">
        <f t="shared" si="21"/>
        <v>15</v>
      </c>
      <c r="K101" s="64">
        <f t="shared" si="21"/>
        <v>17</v>
      </c>
      <c r="L101" s="64">
        <f t="shared" si="21"/>
        <v>4</v>
      </c>
      <c r="M101" s="64">
        <f t="shared" si="21"/>
        <v>4</v>
      </c>
      <c r="N101" s="13">
        <f t="shared" si="14"/>
        <v>174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1.0</v>
      </c>
      <c r="G103" s="60">
        <v>2.0</v>
      </c>
      <c r="H103" s="60">
        <v>1.0</v>
      </c>
      <c r="I103" s="60">
        <v>1.0</v>
      </c>
      <c r="J103" s="60">
        <v>1.0</v>
      </c>
      <c r="K103" s="60">
        <v>1.0</v>
      </c>
      <c r="L103" s="60">
        <v>1.0</v>
      </c>
      <c r="M103" s="60">
        <v>2.0</v>
      </c>
      <c r="N103" s="13">
        <f t="shared" si="14"/>
        <v>10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6.0</v>
      </c>
      <c r="F104" s="60">
        <v>4.0</v>
      </c>
      <c r="G104" s="60">
        <v>34.0</v>
      </c>
      <c r="H104" s="60">
        <v>5.0</v>
      </c>
      <c r="I104" s="60">
        <v>2.0</v>
      </c>
      <c r="J104" s="60">
        <v>8.0</v>
      </c>
      <c r="K104" s="60">
        <v>0.0</v>
      </c>
      <c r="L104" s="60">
        <v>4.0</v>
      </c>
      <c r="M104" s="60">
        <v>1.0</v>
      </c>
      <c r="N104" s="13">
        <f t="shared" si="14"/>
        <v>64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1.0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13">
        <f t="shared" si="14"/>
        <v>1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13">
        <f t="shared" si="14"/>
        <v>0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2.0</v>
      </c>
      <c r="H107" s="60">
        <v>0.0</v>
      </c>
      <c r="I107" s="60">
        <v>1.0</v>
      </c>
      <c r="J107" s="60">
        <v>0.0</v>
      </c>
      <c r="K107" s="60">
        <v>0.0</v>
      </c>
      <c r="L107" s="60">
        <v>1.0</v>
      </c>
      <c r="M107" s="60">
        <v>0.0</v>
      </c>
      <c r="N107" s="13">
        <f t="shared" si="14"/>
        <v>4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0.0</v>
      </c>
      <c r="J109" s="60">
        <v>0.0</v>
      </c>
      <c r="K109" s="60">
        <v>0.0</v>
      </c>
      <c r="L109" s="60">
        <v>0.0</v>
      </c>
      <c r="M109" s="60">
        <v>0.0</v>
      </c>
      <c r="N109" s="13">
        <f t="shared" si="14"/>
        <v>0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M110" si="22">SUM(E103:E109)</f>
        <v>6</v>
      </c>
      <c r="F110" s="64">
        <f t="shared" si="22"/>
        <v>5</v>
      </c>
      <c r="G110" s="64">
        <f t="shared" si="22"/>
        <v>39</v>
      </c>
      <c r="H110" s="64">
        <f t="shared" si="22"/>
        <v>6</v>
      </c>
      <c r="I110" s="64">
        <f t="shared" si="22"/>
        <v>4</v>
      </c>
      <c r="J110" s="64">
        <f t="shared" si="22"/>
        <v>9</v>
      </c>
      <c r="K110" s="64">
        <f t="shared" si="22"/>
        <v>1</v>
      </c>
      <c r="L110" s="64">
        <f t="shared" si="22"/>
        <v>6</v>
      </c>
      <c r="M110" s="64">
        <f t="shared" si="22"/>
        <v>3</v>
      </c>
      <c r="N110" s="13">
        <f t="shared" si="14"/>
        <v>79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13">
        <f t="shared" si="14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M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0</v>
      </c>
      <c r="N114" s="13">
        <f t="shared" si="14"/>
        <v>0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1.0</v>
      </c>
      <c r="H116" s="60">
        <v>1.0</v>
      </c>
      <c r="I116" s="60">
        <v>0.0</v>
      </c>
      <c r="J116" s="60">
        <v>0.0</v>
      </c>
      <c r="K116" s="60">
        <v>0.0</v>
      </c>
      <c r="L116" s="60">
        <v>0.0</v>
      </c>
      <c r="M116" s="60">
        <v>1.0</v>
      </c>
      <c r="N116" s="13">
        <f t="shared" si="14"/>
        <v>3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0.0</v>
      </c>
      <c r="G117" s="60">
        <v>0.0</v>
      </c>
      <c r="H117" s="60">
        <v>1.0</v>
      </c>
      <c r="I117" s="60">
        <v>0.0</v>
      </c>
      <c r="J117" s="60">
        <v>0.0</v>
      </c>
      <c r="K117" s="60">
        <v>0.0</v>
      </c>
      <c r="L117" s="60">
        <v>1.0</v>
      </c>
      <c r="M117" s="60">
        <v>1.0</v>
      </c>
      <c r="N117" s="13">
        <f t="shared" si="14"/>
        <v>3</v>
      </c>
      <c r="O117" s="5"/>
      <c r="P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13">
        <f t="shared" si="14"/>
        <v>0</v>
      </c>
      <c r="O118" s="5"/>
      <c r="P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13">
        <f t="shared" si="14"/>
        <v>0</v>
      </c>
      <c r="O119" s="5"/>
      <c r="P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13">
        <f t="shared" si="14"/>
        <v>0</v>
      </c>
      <c r="O120" s="5"/>
      <c r="P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1.0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13">
        <f t="shared" si="14"/>
        <v>1</v>
      </c>
      <c r="O121" s="5"/>
      <c r="P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13">
        <f t="shared" si="14"/>
        <v>0</v>
      </c>
      <c r="O122" s="5"/>
      <c r="P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M123" si="24">SUM(E116:E122)</f>
        <v>0</v>
      </c>
      <c r="F123" s="64">
        <f t="shared" si="24"/>
        <v>0</v>
      </c>
      <c r="G123" s="64">
        <f t="shared" si="24"/>
        <v>1</v>
      </c>
      <c r="H123" s="64">
        <f t="shared" si="24"/>
        <v>3</v>
      </c>
      <c r="I123" s="64">
        <f t="shared" si="24"/>
        <v>0</v>
      </c>
      <c r="J123" s="64">
        <f t="shared" si="24"/>
        <v>0</v>
      </c>
      <c r="K123" s="64">
        <f t="shared" si="24"/>
        <v>0</v>
      </c>
      <c r="L123" s="64">
        <f t="shared" si="24"/>
        <v>1</v>
      </c>
      <c r="M123" s="64">
        <f t="shared" si="24"/>
        <v>2</v>
      </c>
      <c r="N123" s="13">
        <f t="shared" si="14"/>
        <v>7</v>
      </c>
      <c r="O123" s="5"/>
      <c r="P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13">
        <f t="shared" si="14"/>
        <v>0</v>
      </c>
      <c r="O124" s="5"/>
      <c r="P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1.0</v>
      </c>
      <c r="H125" s="60">
        <v>0.0</v>
      </c>
      <c r="I125" s="60">
        <v>0.0</v>
      </c>
      <c r="J125" s="60">
        <v>0.0</v>
      </c>
      <c r="K125" s="60">
        <v>0.0</v>
      </c>
      <c r="L125" s="60">
        <v>1.0</v>
      </c>
      <c r="M125" s="60">
        <v>0.0</v>
      </c>
      <c r="N125" s="13">
        <f t="shared" si="14"/>
        <v>2</v>
      </c>
      <c r="O125" s="5"/>
      <c r="P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3">
        <f t="shared" si="14"/>
        <v>0</v>
      </c>
      <c r="O126" s="5"/>
      <c r="P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M127" si="25">SUM(E125:E126)</f>
        <v>0</v>
      </c>
      <c r="F127" s="64">
        <f t="shared" si="25"/>
        <v>0</v>
      </c>
      <c r="G127" s="64">
        <f t="shared" si="25"/>
        <v>1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0</v>
      </c>
      <c r="L127" s="64">
        <f t="shared" si="25"/>
        <v>1</v>
      </c>
      <c r="M127" s="64">
        <f t="shared" si="25"/>
        <v>0</v>
      </c>
      <c r="N127" s="13">
        <f t="shared" si="14"/>
        <v>2</v>
      </c>
      <c r="O127" s="5"/>
      <c r="P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13">
        <f t="shared" si="14"/>
        <v>0</v>
      </c>
      <c r="O128" s="5"/>
      <c r="P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1.0</v>
      </c>
      <c r="H129" s="60">
        <v>0.0</v>
      </c>
      <c r="I129" s="60">
        <v>0.0</v>
      </c>
      <c r="J129" s="60">
        <v>0.0</v>
      </c>
      <c r="K129" s="60">
        <v>0.0</v>
      </c>
      <c r="L129" s="60">
        <v>3.0</v>
      </c>
      <c r="M129" s="60">
        <v>4.0</v>
      </c>
      <c r="N129" s="13">
        <f t="shared" si="14"/>
        <v>8</v>
      </c>
      <c r="O129" s="5"/>
      <c r="P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9.0</v>
      </c>
      <c r="F130" s="60">
        <v>0.0</v>
      </c>
      <c r="G130" s="60">
        <v>0.0</v>
      </c>
      <c r="H130" s="60">
        <v>0.0</v>
      </c>
      <c r="I130" s="60">
        <v>0.0</v>
      </c>
      <c r="J130" s="60">
        <v>4.0</v>
      </c>
      <c r="K130" s="60">
        <v>1.0</v>
      </c>
      <c r="L130" s="60">
        <v>35.0</v>
      </c>
      <c r="M130" s="60">
        <v>19.0</v>
      </c>
      <c r="N130" s="13">
        <f t="shared" si="14"/>
        <v>68</v>
      </c>
      <c r="O130" s="1"/>
      <c r="P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13">
        <f t="shared" si="14"/>
        <v>0</v>
      </c>
      <c r="O131" s="54"/>
      <c r="P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13">
        <f t="shared" si="14"/>
        <v>0</v>
      </c>
      <c r="O132" s="5"/>
      <c r="P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13">
        <f t="shared" si="14"/>
        <v>0</v>
      </c>
      <c r="O133" s="5"/>
      <c r="P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1.0</v>
      </c>
      <c r="H134" s="60">
        <v>0.0</v>
      </c>
      <c r="I134" s="60">
        <v>1.0</v>
      </c>
      <c r="J134" s="60">
        <v>0.0</v>
      </c>
      <c r="K134" s="60">
        <v>0.0</v>
      </c>
      <c r="L134" s="60">
        <v>0.0</v>
      </c>
      <c r="M134" s="60">
        <v>0.0</v>
      </c>
      <c r="N134" s="13">
        <f t="shared" si="14"/>
        <v>2</v>
      </c>
      <c r="O134" s="5"/>
      <c r="P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13">
        <f t="shared" si="14"/>
        <v>0</v>
      </c>
      <c r="O135" s="5"/>
      <c r="P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M136" si="26">SUM(E129:E135)</f>
        <v>9</v>
      </c>
      <c r="F136" s="64">
        <f t="shared" si="26"/>
        <v>0</v>
      </c>
      <c r="G136" s="64">
        <f t="shared" si="26"/>
        <v>2</v>
      </c>
      <c r="H136" s="64">
        <f t="shared" si="26"/>
        <v>0</v>
      </c>
      <c r="I136" s="64">
        <f t="shared" si="26"/>
        <v>1</v>
      </c>
      <c r="J136" s="64">
        <f t="shared" si="26"/>
        <v>4</v>
      </c>
      <c r="K136" s="64">
        <f t="shared" si="26"/>
        <v>1</v>
      </c>
      <c r="L136" s="64">
        <f t="shared" si="26"/>
        <v>38</v>
      </c>
      <c r="M136" s="64">
        <f t="shared" si="26"/>
        <v>23</v>
      </c>
      <c r="N136" s="13">
        <f t="shared" si="14"/>
        <v>78</v>
      </c>
      <c r="O136" s="5"/>
      <c r="P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13">
        <f t="shared" si="14"/>
        <v>0</v>
      </c>
      <c r="O137" s="5"/>
      <c r="P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60">
        <v>0.0</v>
      </c>
      <c r="N138" s="13">
        <f t="shared" si="14"/>
        <v>0</v>
      </c>
      <c r="O138" s="5"/>
      <c r="P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0.0</v>
      </c>
      <c r="H139" s="60">
        <v>0.0</v>
      </c>
      <c r="I139" s="60">
        <v>0.0</v>
      </c>
      <c r="J139" s="60">
        <v>0.0</v>
      </c>
      <c r="K139" s="60">
        <v>0.0</v>
      </c>
      <c r="L139" s="60">
        <v>0.0</v>
      </c>
      <c r="M139" s="60">
        <v>0.0</v>
      </c>
      <c r="N139" s="13">
        <f t="shared" si="14"/>
        <v>0</v>
      </c>
      <c r="O139" s="5"/>
      <c r="P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13">
        <f t="shared" si="14"/>
        <v>0</v>
      </c>
      <c r="O140" s="5"/>
      <c r="P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13">
        <f t="shared" si="14"/>
        <v>0</v>
      </c>
      <c r="O141" s="1"/>
      <c r="P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2.0</v>
      </c>
      <c r="K142" s="60">
        <v>0.0</v>
      </c>
      <c r="L142" s="60">
        <v>1.0</v>
      </c>
      <c r="M142" s="60">
        <v>0.0</v>
      </c>
      <c r="N142" s="13">
        <f t="shared" si="14"/>
        <v>3</v>
      </c>
      <c r="O142" s="54"/>
      <c r="P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13">
        <f t="shared" si="14"/>
        <v>0</v>
      </c>
      <c r="O143" s="5"/>
      <c r="P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13">
        <f t="shared" si="14"/>
        <v>0</v>
      </c>
      <c r="O144" s="5"/>
      <c r="P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M145" si="27">SUM(E138:E144)</f>
        <v>0</v>
      </c>
      <c r="F145" s="64">
        <f t="shared" si="27"/>
        <v>0</v>
      </c>
      <c r="G145" s="64">
        <f t="shared" si="27"/>
        <v>0</v>
      </c>
      <c r="H145" s="64">
        <f t="shared" si="27"/>
        <v>0</v>
      </c>
      <c r="I145" s="64">
        <f t="shared" si="27"/>
        <v>0</v>
      </c>
      <c r="J145" s="64">
        <f t="shared" si="27"/>
        <v>2</v>
      </c>
      <c r="K145" s="64">
        <f t="shared" si="27"/>
        <v>0</v>
      </c>
      <c r="L145" s="64">
        <f t="shared" si="27"/>
        <v>1</v>
      </c>
      <c r="M145" s="64">
        <f t="shared" si="27"/>
        <v>0</v>
      </c>
      <c r="N145" s="13">
        <f t="shared" si="14"/>
        <v>3</v>
      </c>
      <c r="O145" s="5"/>
      <c r="P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13">
        <f t="shared" si="14"/>
        <v>0</v>
      </c>
      <c r="O146" s="5"/>
      <c r="P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1.0</v>
      </c>
      <c r="F147" s="60">
        <v>2.0</v>
      </c>
      <c r="G147" s="60">
        <v>5.0</v>
      </c>
      <c r="H147" s="60">
        <v>5.0</v>
      </c>
      <c r="I147" s="60">
        <v>4.0</v>
      </c>
      <c r="J147" s="60">
        <v>0.0</v>
      </c>
      <c r="K147" s="60">
        <v>1.0</v>
      </c>
      <c r="L147" s="60">
        <v>0.0</v>
      </c>
      <c r="M147" s="60">
        <v>4.0</v>
      </c>
      <c r="N147" s="13">
        <f t="shared" si="14"/>
        <v>22</v>
      </c>
      <c r="O147" s="5"/>
      <c r="P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1.0</v>
      </c>
      <c r="F148" s="60">
        <v>1.0</v>
      </c>
      <c r="G148" s="60">
        <v>0.0</v>
      </c>
      <c r="H148" s="60">
        <v>1.0</v>
      </c>
      <c r="I148" s="60">
        <v>8.0</v>
      </c>
      <c r="J148" s="60">
        <v>1.0</v>
      </c>
      <c r="K148" s="60">
        <v>0.0</v>
      </c>
      <c r="L148" s="60">
        <v>0.0</v>
      </c>
      <c r="M148" s="60">
        <v>6.0</v>
      </c>
      <c r="N148" s="13">
        <f t="shared" si="14"/>
        <v>18</v>
      </c>
      <c r="O148" s="5"/>
      <c r="P148" s="5"/>
    </row>
    <row r="149" ht="12.75" customHeight="1">
      <c r="A149" s="18"/>
      <c r="B149" s="57"/>
      <c r="C149" s="58" t="s">
        <v>128</v>
      </c>
      <c r="D149" s="59"/>
      <c r="E149" s="60">
        <v>5.0</v>
      </c>
      <c r="F149" s="60">
        <v>4.0</v>
      </c>
      <c r="G149" s="60">
        <v>5.0</v>
      </c>
      <c r="H149" s="60">
        <v>6.0</v>
      </c>
      <c r="I149" s="60">
        <v>1.0</v>
      </c>
      <c r="J149" s="60">
        <v>9.0</v>
      </c>
      <c r="K149" s="60">
        <v>0.0</v>
      </c>
      <c r="L149" s="60">
        <v>2.0</v>
      </c>
      <c r="M149" s="60">
        <v>2.0</v>
      </c>
      <c r="N149" s="13">
        <f t="shared" si="14"/>
        <v>34</v>
      </c>
      <c r="O149" s="5"/>
      <c r="P149" s="5"/>
    </row>
    <row r="150" ht="12.75" customHeight="1">
      <c r="A150" s="18"/>
      <c r="B150" s="57"/>
      <c r="C150" s="58" t="s">
        <v>129</v>
      </c>
      <c r="D150" s="59"/>
      <c r="E150" s="60">
        <v>10.0</v>
      </c>
      <c r="F150" s="60">
        <v>7.0</v>
      </c>
      <c r="G150" s="60">
        <v>1.0</v>
      </c>
      <c r="H150" s="60">
        <v>6.0</v>
      </c>
      <c r="I150" s="60">
        <v>0.0</v>
      </c>
      <c r="J150" s="60">
        <v>3.0</v>
      </c>
      <c r="K150" s="60">
        <v>2.0</v>
      </c>
      <c r="L150" s="60">
        <v>1.0</v>
      </c>
      <c r="M150" s="60">
        <v>8.0</v>
      </c>
      <c r="N150" s="13">
        <f t="shared" si="14"/>
        <v>38</v>
      </c>
      <c r="O150" s="5"/>
      <c r="P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1.0</v>
      </c>
      <c r="G151" s="60">
        <v>1.0</v>
      </c>
      <c r="H151" s="60">
        <v>0.0</v>
      </c>
      <c r="I151" s="60">
        <v>0.0</v>
      </c>
      <c r="J151" s="60">
        <v>0.0</v>
      </c>
      <c r="K151" s="60">
        <v>0.0</v>
      </c>
      <c r="L151" s="60">
        <v>1.0</v>
      </c>
      <c r="M151" s="60">
        <v>0.0</v>
      </c>
      <c r="N151" s="13">
        <f t="shared" si="14"/>
        <v>3</v>
      </c>
      <c r="O151" s="1"/>
      <c r="P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1.0</v>
      </c>
      <c r="J152" s="60">
        <v>1.0</v>
      </c>
      <c r="K152" s="60">
        <v>0.0</v>
      </c>
      <c r="L152" s="60">
        <v>0.0</v>
      </c>
      <c r="M152" s="60">
        <v>0.0</v>
      </c>
      <c r="N152" s="13">
        <f t="shared" si="14"/>
        <v>2</v>
      </c>
      <c r="O152" s="54"/>
      <c r="P152" s="54"/>
    </row>
    <row r="153" ht="12.75" customHeight="1">
      <c r="A153" s="18"/>
      <c r="B153" s="57"/>
      <c r="C153" s="58" t="s">
        <v>132</v>
      </c>
      <c r="D153" s="59"/>
      <c r="E153" s="19"/>
      <c r="F153" s="19"/>
      <c r="G153" s="19"/>
      <c r="H153" s="19"/>
      <c r="I153" s="19"/>
      <c r="J153" s="19"/>
      <c r="K153" s="19"/>
      <c r="L153" s="19"/>
      <c r="M153" s="19"/>
      <c r="N153" s="13">
        <f t="shared" si="14"/>
        <v>0</v>
      </c>
      <c r="O153" s="5"/>
      <c r="P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M154" si="28">SUM(E147:E153)</f>
        <v>17</v>
      </c>
      <c r="F154" s="64">
        <f t="shared" si="28"/>
        <v>15</v>
      </c>
      <c r="G154" s="64">
        <f t="shared" si="28"/>
        <v>12</v>
      </c>
      <c r="H154" s="64">
        <f t="shared" si="28"/>
        <v>18</v>
      </c>
      <c r="I154" s="64">
        <f t="shared" si="28"/>
        <v>14</v>
      </c>
      <c r="J154" s="64">
        <f t="shared" si="28"/>
        <v>14</v>
      </c>
      <c r="K154" s="64">
        <f t="shared" si="28"/>
        <v>3</v>
      </c>
      <c r="L154" s="64">
        <f t="shared" si="28"/>
        <v>4</v>
      </c>
      <c r="M154" s="64">
        <f t="shared" si="28"/>
        <v>20</v>
      </c>
      <c r="N154" s="13">
        <f t="shared" si="14"/>
        <v>117</v>
      </c>
      <c r="O154" s="5"/>
      <c r="P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13">
        <f t="shared" si="14"/>
        <v>0</v>
      </c>
      <c r="O155" s="5"/>
      <c r="P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1.0</v>
      </c>
      <c r="F156" s="60">
        <v>1.0</v>
      </c>
      <c r="G156" s="60">
        <v>1.0</v>
      </c>
      <c r="H156" s="60">
        <v>0.0</v>
      </c>
      <c r="I156" s="60">
        <v>0.0</v>
      </c>
      <c r="J156" s="60">
        <v>0.0</v>
      </c>
      <c r="K156" s="60">
        <v>0.0</v>
      </c>
      <c r="L156" s="60">
        <v>1.0</v>
      </c>
      <c r="M156" s="60">
        <v>1.0</v>
      </c>
      <c r="N156" s="13">
        <f t="shared" si="14"/>
        <v>5</v>
      </c>
      <c r="O156" s="5"/>
      <c r="P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1.0</v>
      </c>
      <c r="G157" s="60">
        <v>1.0</v>
      </c>
      <c r="H157" s="60">
        <v>0.0</v>
      </c>
      <c r="I157" s="60">
        <v>1.0</v>
      </c>
      <c r="J157" s="60">
        <v>0.0</v>
      </c>
      <c r="K157" s="60">
        <v>0.0</v>
      </c>
      <c r="L157" s="60">
        <v>0.0</v>
      </c>
      <c r="M157" s="60">
        <v>1.0</v>
      </c>
      <c r="N157" s="13">
        <f t="shared" si="14"/>
        <v>4</v>
      </c>
      <c r="O157" s="5"/>
      <c r="P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0.0</v>
      </c>
      <c r="H158" s="60">
        <v>0.0</v>
      </c>
      <c r="I158" s="60">
        <v>1.0</v>
      </c>
      <c r="J158" s="60">
        <v>0.0</v>
      </c>
      <c r="K158" s="60">
        <v>0.0</v>
      </c>
      <c r="L158" s="60">
        <v>0.0</v>
      </c>
      <c r="M158" s="60">
        <v>1.0</v>
      </c>
      <c r="N158" s="13">
        <f t="shared" si="14"/>
        <v>2</v>
      </c>
      <c r="O158" s="5"/>
      <c r="P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13">
        <f t="shared" si="14"/>
        <v>0</v>
      </c>
      <c r="O159" s="5"/>
      <c r="P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1.0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1.0</v>
      </c>
      <c r="N160" s="13">
        <f t="shared" si="14"/>
        <v>2</v>
      </c>
      <c r="O160" s="5"/>
      <c r="P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13">
        <f t="shared" si="14"/>
        <v>0</v>
      </c>
      <c r="O161" s="5"/>
      <c r="P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M162" si="29">SUM(E156:E161)</f>
        <v>1</v>
      </c>
      <c r="F162" s="64">
        <f t="shared" si="29"/>
        <v>2</v>
      </c>
      <c r="G162" s="64">
        <f t="shared" si="29"/>
        <v>3</v>
      </c>
      <c r="H162" s="64">
        <f t="shared" si="29"/>
        <v>0</v>
      </c>
      <c r="I162" s="64">
        <f t="shared" si="29"/>
        <v>2</v>
      </c>
      <c r="J162" s="64">
        <f t="shared" si="29"/>
        <v>0</v>
      </c>
      <c r="K162" s="64">
        <f t="shared" si="29"/>
        <v>0</v>
      </c>
      <c r="L162" s="64">
        <f t="shared" si="29"/>
        <v>1</v>
      </c>
      <c r="M162" s="64">
        <f t="shared" si="29"/>
        <v>4</v>
      </c>
      <c r="N162" s="13">
        <f t="shared" si="14"/>
        <v>13</v>
      </c>
      <c r="O162" s="5"/>
      <c r="P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13">
        <f t="shared" si="14"/>
        <v>0</v>
      </c>
      <c r="O163" s="5"/>
      <c r="P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13">
        <f t="shared" si="14"/>
        <v>0</v>
      </c>
      <c r="O164" s="5"/>
      <c r="P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0.0</v>
      </c>
      <c r="J165" s="60">
        <v>0.0</v>
      </c>
      <c r="K165" s="60">
        <v>0.0</v>
      </c>
      <c r="L165" s="60">
        <v>0.0</v>
      </c>
      <c r="M165" s="60">
        <v>0.0</v>
      </c>
      <c r="N165" s="13">
        <f t="shared" si="14"/>
        <v>0</v>
      </c>
      <c r="O165" s="1"/>
      <c r="P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13">
        <f t="shared" si="14"/>
        <v>0</v>
      </c>
      <c r="O166" s="54"/>
      <c r="P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13">
        <f t="shared" si="14"/>
        <v>0</v>
      </c>
      <c r="O167" s="5"/>
      <c r="P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13">
        <f t="shared" si="14"/>
        <v>0</v>
      </c>
      <c r="O168" s="5"/>
      <c r="P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13">
        <f t="shared" si="14"/>
        <v>0</v>
      </c>
      <c r="O169" s="5"/>
      <c r="P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13">
        <f t="shared" si="14"/>
        <v>0</v>
      </c>
      <c r="O170" s="5"/>
      <c r="P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M171" si="30">SUM(E164:E170)</f>
        <v>0</v>
      </c>
      <c r="F171" s="64">
        <f t="shared" si="30"/>
        <v>0</v>
      </c>
      <c r="G171" s="64">
        <f t="shared" si="30"/>
        <v>0</v>
      </c>
      <c r="H171" s="64">
        <f t="shared" si="30"/>
        <v>0</v>
      </c>
      <c r="I171" s="64">
        <f t="shared" si="30"/>
        <v>0</v>
      </c>
      <c r="J171" s="64">
        <f t="shared" si="30"/>
        <v>0</v>
      </c>
      <c r="K171" s="64">
        <f t="shared" si="30"/>
        <v>0</v>
      </c>
      <c r="L171" s="64">
        <f t="shared" si="30"/>
        <v>0</v>
      </c>
      <c r="M171" s="64">
        <f t="shared" si="30"/>
        <v>0</v>
      </c>
      <c r="N171" s="13">
        <f t="shared" si="14"/>
        <v>0</v>
      </c>
      <c r="O171" s="5"/>
      <c r="P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13">
        <f t="shared" si="14"/>
        <v>0</v>
      </c>
      <c r="O172" s="5"/>
      <c r="P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1.0</v>
      </c>
      <c r="F173" s="60">
        <v>0.0</v>
      </c>
      <c r="G173" s="60">
        <v>0.0</v>
      </c>
      <c r="H173" s="60">
        <v>1.0</v>
      </c>
      <c r="I173" s="60">
        <v>1.0</v>
      </c>
      <c r="J173" s="60">
        <v>1.0</v>
      </c>
      <c r="K173" s="60">
        <v>0.0</v>
      </c>
      <c r="L173" s="60">
        <v>0.0</v>
      </c>
      <c r="M173" s="60">
        <v>0.0</v>
      </c>
      <c r="N173" s="13">
        <f t="shared" si="14"/>
        <v>4</v>
      </c>
      <c r="O173" s="5"/>
      <c r="P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1.0</v>
      </c>
      <c r="G174" s="60">
        <v>3.0</v>
      </c>
      <c r="H174" s="60">
        <v>0.0</v>
      </c>
      <c r="I174" s="60">
        <v>0.0</v>
      </c>
      <c r="J174" s="60">
        <v>0.0</v>
      </c>
      <c r="K174" s="60">
        <v>0.0</v>
      </c>
      <c r="L174" s="60">
        <v>1.0</v>
      </c>
      <c r="M174" s="60">
        <v>0.0</v>
      </c>
      <c r="N174" s="13">
        <f t="shared" si="14"/>
        <v>5</v>
      </c>
      <c r="O174" s="5"/>
      <c r="P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2.0</v>
      </c>
      <c r="G175" s="60">
        <v>0.0</v>
      </c>
      <c r="H175" s="60">
        <v>0.0</v>
      </c>
      <c r="I175" s="60">
        <v>0.0</v>
      </c>
      <c r="J175" s="60">
        <v>0.0</v>
      </c>
      <c r="K175" s="60">
        <v>0.0</v>
      </c>
      <c r="L175" s="60">
        <v>0.0</v>
      </c>
      <c r="M175" s="60">
        <v>0.0</v>
      </c>
      <c r="N175" s="13">
        <f t="shared" si="14"/>
        <v>2</v>
      </c>
      <c r="O175" s="5"/>
      <c r="P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1.0</v>
      </c>
      <c r="G176" s="60">
        <v>0.0</v>
      </c>
      <c r="H176" s="60">
        <v>0.0</v>
      </c>
      <c r="I176" s="60">
        <v>0.0</v>
      </c>
      <c r="J176" s="60">
        <v>1.0</v>
      </c>
      <c r="K176" s="60">
        <v>0.0</v>
      </c>
      <c r="L176" s="60">
        <v>0.0</v>
      </c>
      <c r="M176" s="60">
        <v>0.0</v>
      </c>
      <c r="N176" s="13">
        <f t="shared" si="14"/>
        <v>2</v>
      </c>
      <c r="O176" s="1"/>
      <c r="P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13">
        <f t="shared" si="14"/>
        <v>0</v>
      </c>
    </row>
    <row r="178" ht="12.75" customHeight="1">
      <c r="A178" s="18"/>
      <c r="B178" s="57"/>
      <c r="C178" s="58" t="s">
        <v>154</v>
      </c>
      <c r="D178" s="59"/>
      <c r="E178" s="60">
        <v>1.0</v>
      </c>
      <c r="F178" s="60">
        <v>0.0</v>
      </c>
      <c r="G178" s="60">
        <v>0.0</v>
      </c>
      <c r="H178" s="60">
        <v>1.0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13">
        <f t="shared" si="14"/>
        <v>2</v>
      </c>
      <c r="O178" s="5"/>
      <c r="P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1.0</v>
      </c>
      <c r="K179" s="60">
        <v>0.0</v>
      </c>
      <c r="L179" s="60">
        <v>0.0</v>
      </c>
      <c r="M179" s="60">
        <v>0.0</v>
      </c>
      <c r="N179" s="13">
        <f t="shared" si="14"/>
        <v>1</v>
      </c>
      <c r="O179" s="5"/>
      <c r="P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M180" si="31">SUM(E173:E179)</f>
        <v>2</v>
      </c>
      <c r="F180" s="64">
        <f t="shared" si="31"/>
        <v>4</v>
      </c>
      <c r="G180" s="64">
        <f t="shared" si="31"/>
        <v>3</v>
      </c>
      <c r="H180" s="64">
        <f t="shared" si="31"/>
        <v>2</v>
      </c>
      <c r="I180" s="64">
        <f t="shared" si="31"/>
        <v>1</v>
      </c>
      <c r="J180" s="64">
        <f t="shared" si="31"/>
        <v>3</v>
      </c>
      <c r="K180" s="64">
        <f t="shared" si="31"/>
        <v>0</v>
      </c>
      <c r="L180" s="64">
        <f t="shared" si="31"/>
        <v>1</v>
      </c>
      <c r="M180" s="64">
        <f t="shared" si="31"/>
        <v>0</v>
      </c>
      <c r="N180" s="13">
        <f t="shared" si="14"/>
        <v>16</v>
      </c>
      <c r="O180" s="5"/>
      <c r="P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13">
        <f t="shared" si="14"/>
        <v>0</v>
      </c>
      <c r="O181" s="5"/>
      <c r="P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1.0</v>
      </c>
      <c r="I182" s="60">
        <v>1.0</v>
      </c>
      <c r="J182" s="60">
        <v>0.0</v>
      </c>
      <c r="K182" s="60">
        <v>0.0</v>
      </c>
      <c r="L182" s="60">
        <v>0.0</v>
      </c>
      <c r="M182" s="60">
        <v>1.0</v>
      </c>
      <c r="N182" s="13">
        <f t="shared" si="14"/>
        <v>3</v>
      </c>
      <c r="O182" s="5"/>
      <c r="P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1.0</v>
      </c>
      <c r="K183" s="60">
        <v>0.0</v>
      </c>
      <c r="L183" s="60">
        <v>0.0</v>
      </c>
      <c r="M183" s="60">
        <v>0.0</v>
      </c>
      <c r="N183" s="13">
        <f t="shared" si="14"/>
        <v>1</v>
      </c>
      <c r="O183" s="5"/>
      <c r="P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13">
        <f t="shared" si="14"/>
        <v>0</v>
      </c>
      <c r="O184" s="5"/>
      <c r="P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13">
        <f t="shared" si="14"/>
        <v>0</v>
      </c>
      <c r="O185" s="5"/>
      <c r="P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13">
        <f t="shared" si="14"/>
        <v>0</v>
      </c>
      <c r="O186" s="5"/>
      <c r="P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M187" si="32">SUM(E182:E186)</f>
        <v>0</v>
      </c>
      <c r="F187" s="64">
        <f t="shared" si="32"/>
        <v>0</v>
      </c>
      <c r="G187" s="64">
        <f t="shared" si="32"/>
        <v>0</v>
      </c>
      <c r="H187" s="64">
        <f t="shared" si="32"/>
        <v>1</v>
      </c>
      <c r="I187" s="64">
        <f t="shared" si="32"/>
        <v>1</v>
      </c>
      <c r="J187" s="64">
        <f t="shared" si="32"/>
        <v>1</v>
      </c>
      <c r="K187" s="64">
        <f t="shared" si="32"/>
        <v>0</v>
      </c>
      <c r="L187" s="64">
        <f t="shared" si="32"/>
        <v>0</v>
      </c>
      <c r="M187" s="64">
        <f t="shared" si="32"/>
        <v>1</v>
      </c>
      <c r="N187" s="13">
        <f t="shared" si="14"/>
        <v>4</v>
      </c>
      <c r="O187" s="1"/>
      <c r="P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3">
        <f t="shared" si="14"/>
        <v>0</v>
      </c>
      <c r="O189" s="5"/>
      <c r="P189" s="5"/>
    </row>
    <row r="190" ht="12.75" customHeight="1">
      <c r="A190" s="45" t="s">
        <v>162</v>
      </c>
      <c r="B190" s="14" t="s">
        <v>163</v>
      </c>
      <c r="C190" s="15"/>
      <c r="D190" s="16"/>
      <c r="E190" s="13" t="s">
        <v>172</v>
      </c>
      <c r="F190" s="13" t="s">
        <v>173</v>
      </c>
      <c r="G190" s="13" t="s">
        <v>174</v>
      </c>
      <c r="H190" s="13" t="s">
        <v>175</v>
      </c>
      <c r="I190" s="13" t="s">
        <v>176</v>
      </c>
      <c r="J190" s="13" t="s">
        <v>177</v>
      </c>
      <c r="K190" s="13" t="s">
        <v>179</v>
      </c>
      <c r="L190" s="13" t="s">
        <v>180</v>
      </c>
      <c r="M190" s="13" t="s">
        <v>181</v>
      </c>
      <c r="N190" s="13">
        <f t="shared" si="14"/>
        <v>0</v>
      </c>
      <c r="O190" s="5"/>
      <c r="P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M191" si="33">E187+E180+E162+E154+E145+E136+E127+E123+E114+E110+E101+E92+E88+E79+E70+E61+E52</f>
        <v>200</v>
      </c>
      <c r="F191" s="19">
        <f t="shared" si="33"/>
        <v>208</v>
      </c>
      <c r="G191" s="19">
        <f t="shared" si="33"/>
        <v>231</v>
      </c>
      <c r="H191" s="19">
        <f t="shared" si="33"/>
        <v>216</v>
      </c>
      <c r="I191" s="19">
        <f t="shared" si="33"/>
        <v>208</v>
      </c>
      <c r="J191" s="19">
        <f t="shared" si="33"/>
        <v>214</v>
      </c>
      <c r="K191" s="19">
        <f t="shared" si="33"/>
        <v>204</v>
      </c>
      <c r="L191" s="19">
        <f t="shared" si="33"/>
        <v>213</v>
      </c>
      <c r="M191" s="19">
        <f t="shared" si="33"/>
        <v>224</v>
      </c>
      <c r="N191" s="13">
        <f t="shared" si="14"/>
        <v>1918</v>
      </c>
      <c r="O191" s="5"/>
      <c r="P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14.0</v>
      </c>
      <c r="F192" s="60">
        <v>14.0</v>
      </c>
      <c r="G192" s="60">
        <v>16.0</v>
      </c>
      <c r="H192" s="60">
        <v>9.0</v>
      </c>
      <c r="I192" s="60">
        <v>15.0</v>
      </c>
      <c r="J192" s="60">
        <v>20.0</v>
      </c>
      <c r="K192" s="60">
        <v>14.0</v>
      </c>
      <c r="L192" s="60">
        <v>34.0</v>
      </c>
      <c r="M192" s="60">
        <v>12.0</v>
      </c>
      <c r="N192" s="13">
        <f t="shared" si="14"/>
        <v>148</v>
      </c>
      <c r="O192" s="5"/>
      <c r="P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M193" si="34">SUM(E191:E192)</f>
        <v>214</v>
      </c>
      <c r="F193" s="13">
        <f t="shared" si="34"/>
        <v>222</v>
      </c>
      <c r="G193" s="13">
        <f t="shared" si="34"/>
        <v>247</v>
      </c>
      <c r="H193" s="13">
        <f t="shared" si="34"/>
        <v>225</v>
      </c>
      <c r="I193" s="13">
        <f t="shared" si="34"/>
        <v>223</v>
      </c>
      <c r="J193" s="13">
        <f t="shared" si="34"/>
        <v>234</v>
      </c>
      <c r="K193" s="13">
        <f t="shared" si="34"/>
        <v>218</v>
      </c>
      <c r="L193" s="13">
        <f t="shared" si="34"/>
        <v>247</v>
      </c>
      <c r="M193" s="13">
        <f t="shared" si="34"/>
        <v>236</v>
      </c>
      <c r="N193" s="13">
        <f t="shared" si="14"/>
        <v>2066</v>
      </c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4"/>
      <c r="P199" s="54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4"/>
      <c r="P208" s="54"/>
    </row>
    <row r="209" ht="12.75" customHeight="1">
      <c r="O209" s="54"/>
      <c r="P209" s="54"/>
    </row>
    <row r="210" ht="12.75" customHeight="1">
      <c r="O210" s="54"/>
      <c r="P210" s="54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4"/>
      <c r="P219" s="54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4"/>
      <c r="P230" s="54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51">
    <cfRule type="containsBlanks" dxfId="1" priority="10">
      <formula>LEN(TRIM(E45))=0</formula>
    </cfRule>
  </conditionalFormatting>
  <conditionalFormatting sqref="E54:M60">
    <cfRule type="containsBlanks" dxfId="1" priority="11">
      <formula>LEN(TRIM(E54))=0</formula>
    </cfRule>
  </conditionalFormatting>
  <conditionalFormatting sqref="E63:M69">
    <cfRule type="containsBlanks" dxfId="1" priority="12">
      <formula>LEN(TRIM(E63))=0</formula>
    </cfRule>
  </conditionalFormatting>
  <conditionalFormatting sqref="E72:M78">
    <cfRule type="containsBlanks" dxfId="1" priority="13">
      <formula>LEN(TRIM(E72))=0</formula>
    </cfRule>
  </conditionalFormatting>
  <conditionalFormatting sqref="E81:M87">
    <cfRule type="containsBlanks" dxfId="1" priority="14">
      <formula>LEN(TRIM(E81))=0</formula>
    </cfRule>
  </conditionalFormatting>
  <conditionalFormatting sqref="E90:M91">
    <cfRule type="containsBlanks" dxfId="1" priority="15">
      <formula>LEN(TRIM(E90))=0</formula>
    </cfRule>
  </conditionalFormatting>
  <conditionalFormatting sqref="E94:M100">
    <cfRule type="containsBlanks" dxfId="1" priority="16">
      <formula>LEN(TRIM(E94))=0</formula>
    </cfRule>
  </conditionalFormatting>
  <conditionalFormatting sqref="E103:M109">
    <cfRule type="containsBlanks" dxfId="1" priority="17">
      <formula>LEN(TRIM(E103))=0</formula>
    </cfRule>
  </conditionalFormatting>
  <conditionalFormatting sqref="E112:M113">
    <cfRule type="containsBlanks" dxfId="1" priority="18">
      <formula>LEN(TRIM(E112))=0</formula>
    </cfRule>
  </conditionalFormatting>
  <conditionalFormatting sqref="E116:M122">
    <cfRule type="containsBlanks" dxfId="1" priority="19">
      <formula>LEN(TRIM(E116))=0</formula>
    </cfRule>
  </conditionalFormatting>
  <conditionalFormatting sqref="E125:M126">
    <cfRule type="containsBlanks" dxfId="1" priority="20">
      <formula>LEN(TRIM(E125))=0</formula>
    </cfRule>
  </conditionalFormatting>
  <conditionalFormatting sqref="E129:M135">
    <cfRule type="containsBlanks" dxfId="1" priority="21">
      <formula>LEN(TRIM(E129))=0</formula>
    </cfRule>
  </conditionalFormatting>
  <conditionalFormatting sqref="E138:M144">
    <cfRule type="containsBlanks" dxfId="1" priority="22">
      <formula>LEN(TRIM(E138))=0</formula>
    </cfRule>
  </conditionalFormatting>
  <conditionalFormatting sqref="E147:M153">
    <cfRule type="containsBlanks" dxfId="1" priority="23">
      <formula>LEN(TRIM(E147))=0</formula>
    </cfRule>
  </conditionalFormatting>
  <conditionalFormatting sqref="E156:M161">
    <cfRule type="containsBlanks" dxfId="1" priority="24">
      <formula>LEN(TRIM(E156))=0</formula>
    </cfRule>
  </conditionalFormatting>
  <conditionalFormatting sqref="E164:M170">
    <cfRule type="containsBlanks" dxfId="1" priority="25">
      <formula>LEN(TRIM(E164))=0</formula>
    </cfRule>
  </conditionalFormatting>
  <conditionalFormatting sqref="E173:M179">
    <cfRule type="containsBlanks" dxfId="1" priority="26">
      <formula>LEN(TRIM(E173))=0</formula>
    </cfRule>
  </conditionalFormatting>
  <conditionalFormatting sqref="E182:M186">
    <cfRule type="containsBlanks" dxfId="1" priority="27">
      <formula>LEN(TRIM(E182))=0</formula>
    </cfRule>
  </conditionalFormatting>
  <conditionalFormatting sqref="E191:M192">
    <cfRule type="containsBlanks" dxfId="1" priority="28">
      <formula>LEN(TRIM(E191))=0</formula>
    </cfRule>
  </conditionalFormatting>
  <conditionalFormatting sqref="E193:M193">
    <cfRule type="expression" dxfId="0" priority="29">
      <formula>E193&lt;&gt;#REF!</formula>
    </cfRule>
  </conditionalFormatting>
  <conditionalFormatting sqref="E193:M193">
    <cfRule type="expression" dxfId="2" priority="30">
      <formula>#REF!&lt;&gt;E193</formula>
    </cfRule>
  </conditionalFormatting>
  <conditionalFormatting sqref="E193:M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182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37"/>
    </row>
    <row r="14" ht="12.75" customHeight="1">
      <c r="A14" s="18"/>
      <c r="B14" s="22" t="s">
        <v>11</v>
      </c>
      <c r="C14" s="23"/>
      <c r="D14" s="19" t="s">
        <v>12</v>
      </c>
      <c r="E14" s="60">
        <v>125.0</v>
      </c>
      <c r="F14" s="60">
        <v>144.0</v>
      </c>
      <c r="G14" s="60">
        <v>136.0</v>
      </c>
      <c r="H14" s="60">
        <v>140.0</v>
      </c>
      <c r="I14" s="60">
        <v>140.0</v>
      </c>
      <c r="J14" s="60">
        <v>146.0</v>
      </c>
      <c r="K14" s="60">
        <v>135.0</v>
      </c>
      <c r="L14" s="60">
        <v>143.0</v>
      </c>
      <c r="M14" s="60">
        <v>143.0</v>
      </c>
      <c r="N14" s="60">
        <v>103.0</v>
      </c>
      <c r="O14" s="60">
        <v>133.0</v>
      </c>
      <c r="P14" s="60">
        <v>128.0</v>
      </c>
      <c r="Q14" s="60">
        <v>135.0</v>
      </c>
      <c r="R14" s="13">
        <f t="shared" ref="R14:R16" si="1">SUM(E14:Q14)</f>
        <v>1751</v>
      </c>
    </row>
    <row r="15" ht="12.75" customHeight="1">
      <c r="A15" s="18"/>
      <c r="B15" s="26"/>
      <c r="C15" s="27"/>
      <c r="D15" s="19" t="s">
        <v>13</v>
      </c>
      <c r="E15" s="60">
        <v>147.0</v>
      </c>
      <c r="F15" s="60">
        <v>128.0</v>
      </c>
      <c r="G15" s="60">
        <v>140.0</v>
      </c>
      <c r="H15" s="60">
        <v>150.0</v>
      </c>
      <c r="I15" s="60">
        <v>136.0</v>
      </c>
      <c r="J15" s="60">
        <v>142.0</v>
      </c>
      <c r="K15" s="60">
        <v>152.0</v>
      </c>
      <c r="L15" s="60">
        <v>143.0</v>
      </c>
      <c r="M15" s="60">
        <v>142.0</v>
      </c>
      <c r="N15" s="60">
        <v>99.0</v>
      </c>
      <c r="O15" s="60">
        <v>115.0</v>
      </c>
      <c r="P15" s="60">
        <v>138.0</v>
      </c>
      <c r="Q15" s="60">
        <v>137.0</v>
      </c>
      <c r="R15" s="13">
        <f t="shared" si="1"/>
        <v>1769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272</v>
      </c>
      <c r="F16" s="13">
        <f t="shared" si="2"/>
        <v>272</v>
      </c>
      <c r="G16" s="13">
        <f t="shared" si="2"/>
        <v>276</v>
      </c>
      <c r="H16" s="13">
        <f t="shared" si="2"/>
        <v>290</v>
      </c>
      <c r="I16" s="13">
        <f t="shared" si="2"/>
        <v>276</v>
      </c>
      <c r="J16" s="13">
        <f t="shared" si="2"/>
        <v>288</v>
      </c>
      <c r="K16" s="13">
        <f t="shared" si="2"/>
        <v>287</v>
      </c>
      <c r="L16" s="13">
        <f t="shared" si="2"/>
        <v>286</v>
      </c>
      <c r="M16" s="13">
        <f t="shared" si="2"/>
        <v>285</v>
      </c>
      <c r="N16" s="13">
        <f t="shared" si="2"/>
        <v>202</v>
      </c>
      <c r="O16" s="13">
        <f t="shared" si="2"/>
        <v>248</v>
      </c>
      <c r="P16" s="13">
        <f t="shared" si="2"/>
        <v>266</v>
      </c>
      <c r="Q16" s="13">
        <f t="shared" si="2"/>
        <v>272</v>
      </c>
      <c r="R16" s="13">
        <f t="shared" si="1"/>
        <v>3520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105.0</v>
      </c>
      <c r="F19" s="60">
        <v>108.0</v>
      </c>
      <c r="G19" s="60">
        <v>112.0</v>
      </c>
      <c r="H19" s="60">
        <v>103.0</v>
      </c>
      <c r="I19" s="60">
        <v>110.0</v>
      </c>
      <c r="J19" s="60">
        <v>116.0</v>
      </c>
      <c r="K19" s="60">
        <v>107.0</v>
      </c>
      <c r="L19" s="60">
        <v>112.0</v>
      </c>
      <c r="M19" s="60">
        <v>115.0</v>
      </c>
      <c r="N19" s="60">
        <v>90.0</v>
      </c>
      <c r="O19" s="60">
        <v>101.0</v>
      </c>
      <c r="P19" s="60">
        <v>100.0</v>
      </c>
      <c r="Q19" s="60">
        <v>111.0</v>
      </c>
      <c r="R19" s="13">
        <f t="shared" ref="R19:R30" si="3">SUM(E19:Q19)</f>
        <v>1390</v>
      </c>
    </row>
    <row r="20" ht="12.75" customHeight="1">
      <c r="A20" s="34"/>
      <c r="B20" s="27"/>
      <c r="C20" s="35"/>
      <c r="D20" s="19" t="s">
        <v>13</v>
      </c>
      <c r="E20" s="60">
        <v>130.0</v>
      </c>
      <c r="F20" s="60">
        <v>109.0</v>
      </c>
      <c r="G20" s="60">
        <v>124.0</v>
      </c>
      <c r="H20" s="60">
        <v>118.0</v>
      </c>
      <c r="I20" s="60">
        <v>125.0</v>
      </c>
      <c r="J20" s="60">
        <v>125.0</v>
      </c>
      <c r="K20" s="60">
        <v>125.0</v>
      </c>
      <c r="L20" s="60">
        <v>126.0</v>
      </c>
      <c r="M20" s="60">
        <v>122.0</v>
      </c>
      <c r="N20" s="60">
        <v>84.0</v>
      </c>
      <c r="O20" s="60">
        <v>91.0</v>
      </c>
      <c r="P20" s="60">
        <v>115.0</v>
      </c>
      <c r="Q20" s="60">
        <v>118.0</v>
      </c>
      <c r="R20" s="13">
        <f t="shared" si="3"/>
        <v>1512</v>
      </c>
    </row>
    <row r="21" ht="12.75" customHeight="1">
      <c r="A21" s="36"/>
      <c r="B21" s="28"/>
      <c r="C21" s="37"/>
      <c r="D21" s="13" t="s">
        <v>14</v>
      </c>
      <c r="E21" s="13">
        <f t="shared" ref="E21:Q21" si="4">SUM(E19:E20)</f>
        <v>235</v>
      </c>
      <c r="F21" s="13">
        <f t="shared" si="4"/>
        <v>217</v>
      </c>
      <c r="G21" s="13">
        <f t="shared" si="4"/>
        <v>236</v>
      </c>
      <c r="H21" s="13">
        <f t="shared" si="4"/>
        <v>221</v>
      </c>
      <c r="I21" s="13">
        <f t="shared" si="4"/>
        <v>235</v>
      </c>
      <c r="J21" s="13">
        <f t="shared" si="4"/>
        <v>241</v>
      </c>
      <c r="K21" s="13">
        <f t="shared" si="4"/>
        <v>232</v>
      </c>
      <c r="L21" s="13">
        <f t="shared" si="4"/>
        <v>238</v>
      </c>
      <c r="M21" s="13">
        <f t="shared" si="4"/>
        <v>237</v>
      </c>
      <c r="N21" s="13">
        <f t="shared" si="4"/>
        <v>174</v>
      </c>
      <c r="O21" s="13">
        <f t="shared" si="4"/>
        <v>192</v>
      </c>
      <c r="P21" s="13">
        <f t="shared" si="4"/>
        <v>215</v>
      </c>
      <c r="Q21" s="13">
        <f t="shared" si="4"/>
        <v>229</v>
      </c>
      <c r="R21" s="13">
        <f t="shared" si="3"/>
        <v>2902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1.0</v>
      </c>
      <c r="G25" s="60">
        <v>0.0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60">
        <v>0.0</v>
      </c>
      <c r="N25" s="60">
        <v>1.0</v>
      </c>
      <c r="O25" s="60">
        <v>0.0</v>
      </c>
      <c r="P25" s="60">
        <v>0.0</v>
      </c>
      <c r="Q25" s="60">
        <v>0.0</v>
      </c>
      <c r="R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0.0</v>
      </c>
      <c r="G26" s="60">
        <v>0.0</v>
      </c>
      <c r="H26" s="60">
        <v>0.0</v>
      </c>
      <c r="I26" s="60">
        <v>0.0</v>
      </c>
      <c r="J26" s="60">
        <v>0.0</v>
      </c>
      <c r="K26" s="60">
        <v>3.0</v>
      </c>
      <c r="L26" s="60">
        <v>0.0</v>
      </c>
      <c r="M26" s="60">
        <v>0.0</v>
      </c>
      <c r="N26" s="60">
        <v>1.0</v>
      </c>
      <c r="O26" s="60">
        <v>0.0</v>
      </c>
      <c r="P26" s="60">
        <v>0.0</v>
      </c>
      <c r="Q26" s="60">
        <v>0.0</v>
      </c>
      <c r="R26" s="13">
        <f t="shared" si="3"/>
        <v>4</v>
      </c>
    </row>
    <row r="27" ht="12.75" customHeight="1">
      <c r="A27" s="36"/>
      <c r="B27" s="28"/>
      <c r="C27" s="37"/>
      <c r="D27" s="13" t="s">
        <v>14</v>
      </c>
      <c r="E27" s="13">
        <f t="shared" ref="E27:Q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3"/>
        <v>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Q28" si="7">SUM(E19,E22,E25)</f>
        <v>105</v>
      </c>
      <c r="F28" s="13">
        <f t="shared" si="7"/>
        <v>109</v>
      </c>
      <c r="G28" s="13">
        <f t="shared" si="7"/>
        <v>112</v>
      </c>
      <c r="H28" s="13">
        <f t="shared" si="7"/>
        <v>103</v>
      </c>
      <c r="I28" s="13">
        <f t="shared" si="7"/>
        <v>110</v>
      </c>
      <c r="J28" s="13">
        <f t="shared" si="7"/>
        <v>116</v>
      </c>
      <c r="K28" s="13">
        <f t="shared" si="7"/>
        <v>107</v>
      </c>
      <c r="L28" s="13">
        <f t="shared" si="7"/>
        <v>112</v>
      </c>
      <c r="M28" s="13">
        <f t="shared" si="7"/>
        <v>115</v>
      </c>
      <c r="N28" s="13">
        <f t="shared" si="7"/>
        <v>91</v>
      </c>
      <c r="O28" s="13">
        <f t="shared" si="7"/>
        <v>101</v>
      </c>
      <c r="P28" s="13">
        <f t="shared" si="7"/>
        <v>100</v>
      </c>
      <c r="Q28" s="13">
        <f t="shared" si="7"/>
        <v>111</v>
      </c>
      <c r="R28" s="13">
        <f t="shared" si="3"/>
        <v>1392</v>
      </c>
    </row>
    <row r="29" ht="12.75" customHeight="1">
      <c r="A29" s="36"/>
      <c r="B29" s="27"/>
      <c r="C29" s="35"/>
      <c r="D29" s="13" t="s">
        <v>13</v>
      </c>
      <c r="E29" s="13">
        <f t="shared" ref="E29:Q29" si="8">SUM(E20,E23,E26)</f>
        <v>130</v>
      </c>
      <c r="F29" s="13">
        <f t="shared" si="8"/>
        <v>109</v>
      </c>
      <c r="G29" s="13">
        <f t="shared" si="8"/>
        <v>124</v>
      </c>
      <c r="H29" s="13">
        <f t="shared" si="8"/>
        <v>118</v>
      </c>
      <c r="I29" s="13">
        <f t="shared" si="8"/>
        <v>125</v>
      </c>
      <c r="J29" s="13">
        <f t="shared" si="8"/>
        <v>125</v>
      </c>
      <c r="K29" s="13">
        <f t="shared" si="8"/>
        <v>128</v>
      </c>
      <c r="L29" s="13">
        <f t="shared" si="8"/>
        <v>126</v>
      </c>
      <c r="M29" s="13">
        <f t="shared" si="8"/>
        <v>122</v>
      </c>
      <c r="N29" s="13">
        <f t="shared" si="8"/>
        <v>85</v>
      </c>
      <c r="O29" s="13">
        <f t="shared" si="8"/>
        <v>91</v>
      </c>
      <c r="P29" s="13">
        <f t="shared" si="8"/>
        <v>115</v>
      </c>
      <c r="Q29" s="13">
        <f t="shared" si="8"/>
        <v>118</v>
      </c>
      <c r="R29" s="13">
        <f t="shared" si="3"/>
        <v>1516</v>
      </c>
    </row>
    <row r="30" ht="12.75" customHeight="1">
      <c r="A30" s="36"/>
      <c r="B30" s="28"/>
      <c r="C30" s="37"/>
      <c r="D30" s="13" t="s">
        <v>14</v>
      </c>
      <c r="E30" s="13">
        <f t="shared" ref="E30:Q30" si="9">SUM(E28:E29)</f>
        <v>235</v>
      </c>
      <c r="F30" s="13">
        <f t="shared" si="9"/>
        <v>218</v>
      </c>
      <c r="G30" s="13">
        <f t="shared" si="9"/>
        <v>236</v>
      </c>
      <c r="H30" s="13">
        <f t="shared" si="9"/>
        <v>221</v>
      </c>
      <c r="I30" s="13">
        <f t="shared" si="9"/>
        <v>235</v>
      </c>
      <c r="J30" s="13">
        <f t="shared" si="9"/>
        <v>241</v>
      </c>
      <c r="K30" s="13">
        <f t="shared" si="9"/>
        <v>235</v>
      </c>
      <c r="L30" s="13">
        <f t="shared" si="9"/>
        <v>238</v>
      </c>
      <c r="M30" s="13">
        <f t="shared" si="9"/>
        <v>237</v>
      </c>
      <c r="N30" s="13">
        <f t="shared" si="9"/>
        <v>176</v>
      </c>
      <c r="O30" s="13">
        <f t="shared" si="9"/>
        <v>192</v>
      </c>
      <c r="P30" s="13">
        <f t="shared" si="9"/>
        <v>215</v>
      </c>
      <c r="Q30" s="13">
        <f t="shared" si="9"/>
        <v>229</v>
      </c>
      <c r="R30" s="13">
        <f t="shared" si="3"/>
        <v>2908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73"/>
    </row>
    <row r="32" ht="12.75" customHeight="1">
      <c r="A32" s="44" t="s">
        <v>25</v>
      </c>
      <c r="B32" s="14" t="s">
        <v>26</v>
      </c>
      <c r="C32" s="15"/>
      <c r="D32" s="16"/>
      <c r="E32" s="13" t="s">
        <v>172</v>
      </c>
      <c r="F32" s="13" t="s">
        <v>173</v>
      </c>
      <c r="G32" s="13" t="s">
        <v>174</v>
      </c>
      <c r="H32" s="13" t="s">
        <v>175</v>
      </c>
      <c r="I32" s="13" t="s">
        <v>176</v>
      </c>
      <c r="J32" s="13" t="s">
        <v>177</v>
      </c>
      <c r="K32" s="13" t="s">
        <v>179</v>
      </c>
      <c r="L32" s="13" t="s">
        <v>180</v>
      </c>
      <c r="M32" s="13" t="s">
        <v>181</v>
      </c>
      <c r="N32" s="13" t="s">
        <v>183</v>
      </c>
      <c r="O32" s="13" t="s">
        <v>184</v>
      </c>
      <c r="P32" s="13" t="s">
        <v>185</v>
      </c>
      <c r="Q32" s="13" t="s">
        <v>186</v>
      </c>
      <c r="R32" s="73"/>
    </row>
    <row r="33" ht="12.75" customHeight="1">
      <c r="A33" s="19">
        <v>1.0</v>
      </c>
      <c r="B33" s="20" t="s">
        <v>27</v>
      </c>
      <c r="C33" s="15"/>
      <c r="D33" s="16"/>
      <c r="E33" s="60">
        <v>278.0</v>
      </c>
      <c r="F33" s="60">
        <v>274.0</v>
      </c>
      <c r="G33" s="60">
        <v>276.0</v>
      </c>
      <c r="H33" s="60">
        <v>286.0</v>
      </c>
      <c r="I33" s="60">
        <v>282.0</v>
      </c>
      <c r="J33" s="60">
        <v>294.0</v>
      </c>
      <c r="K33" s="60">
        <v>288.0</v>
      </c>
      <c r="L33" s="60">
        <v>292.0</v>
      </c>
      <c r="M33" s="60">
        <v>285.0</v>
      </c>
      <c r="N33" s="60">
        <v>207.0</v>
      </c>
      <c r="O33" s="60">
        <v>249.0</v>
      </c>
      <c r="P33" s="60">
        <v>271.0</v>
      </c>
      <c r="Q33" s="60">
        <v>278.0</v>
      </c>
      <c r="R33" s="13">
        <f t="shared" ref="R33:R36" si="10">SUM(E33:Q33)</f>
        <v>3560</v>
      </c>
    </row>
    <row r="34" ht="12.75" customHeight="1">
      <c r="A34" s="19">
        <v>2.0</v>
      </c>
      <c r="B34" s="20" t="s">
        <v>28</v>
      </c>
      <c r="C34" s="15"/>
      <c r="D34" s="16"/>
      <c r="E34" s="75">
        <v>235.0</v>
      </c>
      <c r="F34" s="75">
        <v>218.0</v>
      </c>
      <c r="G34" s="75">
        <v>236.0</v>
      </c>
      <c r="H34" s="75">
        <v>221.0</v>
      </c>
      <c r="I34" s="75">
        <v>235.0</v>
      </c>
      <c r="J34" s="75">
        <v>241.0</v>
      </c>
      <c r="K34" s="75">
        <v>235.0</v>
      </c>
      <c r="L34" s="75">
        <v>238.0</v>
      </c>
      <c r="M34" s="75">
        <v>237.0</v>
      </c>
      <c r="N34" s="75">
        <v>176.0</v>
      </c>
      <c r="O34" s="75">
        <v>192.0</v>
      </c>
      <c r="P34" s="75">
        <v>215.0</v>
      </c>
      <c r="Q34" s="75">
        <v>229.0</v>
      </c>
      <c r="R34" s="13">
        <f t="shared" si="10"/>
        <v>2908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2.0</v>
      </c>
      <c r="G35" s="60">
        <v>0.0</v>
      </c>
      <c r="H35" s="60">
        <v>1.0</v>
      </c>
      <c r="I35" s="60">
        <v>1.0</v>
      </c>
      <c r="J35" s="60">
        <v>0.0</v>
      </c>
      <c r="K35" s="60">
        <v>0.0</v>
      </c>
      <c r="L35" s="60">
        <v>0.0</v>
      </c>
      <c r="M35" s="60">
        <v>2.0</v>
      </c>
      <c r="N35" s="60">
        <v>0.0</v>
      </c>
      <c r="O35" s="60">
        <v>0.0</v>
      </c>
      <c r="P35" s="60">
        <v>0.0</v>
      </c>
      <c r="Q35" s="60">
        <v>0.0</v>
      </c>
      <c r="R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43</v>
      </c>
      <c r="F36" s="13">
        <f t="shared" si="11"/>
        <v>54</v>
      </c>
      <c r="G36" s="13">
        <f t="shared" si="11"/>
        <v>40</v>
      </c>
      <c r="H36" s="13">
        <f t="shared" si="11"/>
        <v>64</v>
      </c>
      <c r="I36" s="13">
        <f t="shared" si="11"/>
        <v>46</v>
      </c>
      <c r="J36" s="13">
        <f t="shared" si="11"/>
        <v>53</v>
      </c>
      <c r="K36" s="13">
        <f t="shared" si="11"/>
        <v>53</v>
      </c>
      <c r="L36" s="13">
        <f t="shared" si="11"/>
        <v>54</v>
      </c>
      <c r="M36" s="13">
        <f t="shared" si="11"/>
        <v>46</v>
      </c>
      <c r="N36" s="13">
        <f t="shared" si="11"/>
        <v>31</v>
      </c>
      <c r="O36" s="13">
        <f t="shared" si="11"/>
        <v>57</v>
      </c>
      <c r="P36" s="13">
        <f t="shared" si="11"/>
        <v>56</v>
      </c>
      <c r="Q36" s="13">
        <f t="shared" si="11"/>
        <v>49</v>
      </c>
      <c r="R36" s="13">
        <f t="shared" si="10"/>
        <v>646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73"/>
    </row>
    <row r="38" ht="12.75" customHeight="1">
      <c r="A38" s="45" t="s">
        <v>31</v>
      </c>
      <c r="B38" s="14" t="s">
        <v>32</v>
      </c>
      <c r="C38" s="15"/>
      <c r="D38" s="16"/>
      <c r="E38" s="13" t="s">
        <v>172</v>
      </c>
      <c r="F38" s="13" t="s">
        <v>173</v>
      </c>
      <c r="G38" s="13" t="s">
        <v>174</v>
      </c>
      <c r="H38" s="13" t="s">
        <v>175</v>
      </c>
      <c r="I38" s="13" t="s">
        <v>176</v>
      </c>
      <c r="J38" s="13" t="s">
        <v>177</v>
      </c>
      <c r="K38" s="13" t="s">
        <v>179</v>
      </c>
      <c r="L38" s="13" t="s">
        <v>180</v>
      </c>
      <c r="M38" s="13" t="s">
        <v>181</v>
      </c>
      <c r="N38" s="13" t="s">
        <v>183</v>
      </c>
      <c r="O38" s="13" t="s">
        <v>184</v>
      </c>
      <c r="P38" s="13" t="s">
        <v>185</v>
      </c>
      <c r="Q38" s="13" t="s">
        <v>186</v>
      </c>
      <c r="R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0.0</v>
      </c>
      <c r="Q39" s="60">
        <v>0.0</v>
      </c>
      <c r="R39" s="13">
        <f t="shared" ref="R39:R41" si="12">SUM(E39:Q39)</f>
        <v>0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60">
        <v>0.0</v>
      </c>
      <c r="Q40" s="60">
        <v>0.0</v>
      </c>
      <c r="R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172</v>
      </c>
      <c r="F43" s="13" t="s">
        <v>173</v>
      </c>
      <c r="G43" s="13" t="s">
        <v>174</v>
      </c>
      <c r="H43" s="13" t="s">
        <v>175</v>
      </c>
      <c r="I43" s="13" t="s">
        <v>176</v>
      </c>
      <c r="J43" s="13" t="s">
        <v>177</v>
      </c>
      <c r="K43" s="13" t="s">
        <v>179</v>
      </c>
      <c r="L43" s="13" t="s">
        <v>180</v>
      </c>
      <c r="M43" s="13" t="s">
        <v>181</v>
      </c>
      <c r="N43" s="13" t="s">
        <v>183</v>
      </c>
      <c r="O43" s="13" t="s">
        <v>184</v>
      </c>
      <c r="P43" s="13" t="s">
        <v>185</v>
      </c>
      <c r="Q43" s="13" t="s">
        <v>186</v>
      </c>
      <c r="R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3.0</v>
      </c>
      <c r="F45" s="60">
        <v>3.0</v>
      </c>
      <c r="G45" s="60">
        <v>5.0</v>
      </c>
      <c r="H45" s="60">
        <v>15.0</v>
      </c>
      <c r="I45" s="60">
        <v>17.0</v>
      </c>
      <c r="J45" s="60">
        <v>6.0</v>
      </c>
      <c r="K45" s="60">
        <v>12.0</v>
      </c>
      <c r="L45" s="60">
        <v>5.0</v>
      </c>
      <c r="M45" s="60">
        <v>4.0</v>
      </c>
      <c r="N45" s="60">
        <v>0.0</v>
      </c>
      <c r="O45" s="60">
        <v>1.0</v>
      </c>
      <c r="P45" s="60">
        <v>7.0</v>
      </c>
      <c r="Q45" s="60">
        <v>8.0</v>
      </c>
      <c r="R45" s="13">
        <f t="shared" ref="R45:R193" si="14">SUM(E45:Q45)</f>
        <v>86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14.0</v>
      </c>
      <c r="F46" s="60">
        <v>22.0</v>
      </c>
      <c r="G46" s="60">
        <v>14.0</v>
      </c>
      <c r="H46" s="60">
        <v>33.0</v>
      </c>
      <c r="I46" s="60">
        <v>74.0</v>
      </c>
      <c r="J46" s="60">
        <v>54.0</v>
      </c>
      <c r="K46" s="60">
        <v>53.0</v>
      </c>
      <c r="L46" s="60">
        <v>17.0</v>
      </c>
      <c r="M46" s="60">
        <v>16.0</v>
      </c>
      <c r="N46" s="60">
        <v>2.0</v>
      </c>
      <c r="O46" s="60">
        <v>3.0</v>
      </c>
      <c r="P46" s="60">
        <v>12.0</v>
      </c>
      <c r="Q46" s="60">
        <v>75.0</v>
      </c>
      <c r="R46" s="13">
        <f t="shared" si="14"/>
        <v>389</v>
      </c>
    </row>
    <row r="47" ht="12.75" customHeight="1">
      <c r="A47" s="18"/>
      <c r="B47" s="57"/>
      <c r="C47" s="58" t="s">
        <v>41</v>
      </c>
      <c r="D47" s="59"/>
      <c r="E47" s="60">
        <v>0.0</v>
      </c>
      <c r="F47" s="60">
        <v>1.0</v>
      </c>
      <c r="G47" s="60">
        <v>0.0</v>
      </c>
      <c r="H47" s="60">
        <v>1.0</v>
      </c>
      <c r="I47" s="60">
        <v>4.0</v>
      </c>
      <c r="J47" s="60">
        <v>0.0</v>
      </c>
      <c r="K47" s="60">
        <v>7.0</v>
      </c>
      <c r="L47" s="60">
        <v>1.0</v>
      </c>
      <c r="M47" s="60">
        <v>3.0</v>
      </c>
      <c r="N47" s="60">
        <v>0.0</v>
      </c>
      <c r="O47" s="60">
        <v>0.0</v>
      </c>
      <c r="P47" s="60">
        <v>0.0</v>
      </c>
      <c r="Q47" s="60">
        <v>1.0</v>
      </c>
      <c r="R47" s="13">
        <f t="shared" si="14"/>
        <v>18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1.0</v>
      </c>
      <c r="H48" s="60">
        <v>2.0</v>
      </c>
      <c r="I48" s="60">
        <v>0.0</v>
      </c>
      <c r="J48" s="60">
        <v>1.0</v>
      </c>
      <c r="K48" s="60">
        <v>1.0</v>
      </c>
      <c r="L48" s="60">
        <v>0.0</v>
      </c>
      <c r="M48" s="60">
        <v>1.0</v>
      </c>
      <c r="N48" s="60">
        <v>0.0</v>
      </c>
      <c r="O48" s="60">
        <v>0.0</v>
      </c>
      <c r="P48" s="60">
        <v>0.0</v>
      </c>
      <c r="Q48" s="60">
        <v>0.0</v>
      </c>
      <c r="R48" s="13">
        <f t="shared" si="14"/>
        <v>6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60">
        <v>0.0</v>
      </c>
      <c r="N49" s="60">
        <v>0.0</v>
      </c>
      <c r="O49" s="60">
        <v>0.0</v>
      </c>
      <c r="P49" s="60">
        <v>0.0</v>
      </c>
      <c r="Q49" s="60">
        <v>0.0</v>
      </c>
      <c r="R49" s="13">
        <f t="shared" si="14"/>
        <v>0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1.0</v>
      </c>
      <c r="G50" s="60">
        <v>0.0</v>
      </c>
      <c r="H50" s="60">
        <v>0.0</v>
      </c>
      <c r="I50" s="60">
        <v>0.0</v>
      </c>
      <c r="J50" s="60">
        <v>0.0</v>
      </c>
      <c r="K50" s="60">
        <v>0.0</v>
      </c>
      <c r="L50" s="60">
        <v>0.0</v>
      </c>
      <c r="M50" s="60">
        <v>0.0</v>
      </c>
      <c r="N50" s="60">
        <v>0.0</v>
      </c>
      <c r="O50" s="60">
        <v>0.0</v>
      </c>
      <c r="P50" s="60">
        <v>0.0</v>
      </c>
      <c r="Q50" s="60">
        <v>0.0</v>
      </c>
      <c r="R50" s="13">
        <f t="shared" si="14"/>
        <v>1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1.0</v>
      </c>
      <c r="J51" s="60">
        <v>0.0</v>
      </c>
      <c r="K51" s="60">
        <v>0.0</v>
      </c>
      <c r="L51" s="60">
        <v>0.0</v>
      </c>
      <c r="M51" s="60">
        <v>0.0</v>
      </c>
      <c r="N51" s="60">
        <v>0.0</v>
      </c>
      <c r="O51" s="60">
        <v>0.0</v>
      </c>
      <c r="P51" s="60">
        <v>0.0</v>
      </c>
      <c r="Q51" s="60">
        <v>0.0</v>
      </c>
      <c r="R51" s="13">
        <f t="shared" si="14"/>
        <v>1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Q52" si="15">SUM(E45:E51)</f>
        <v>17</v>
      </c>
      <c r="F52" s="64">
        <f t="shared" si="15"/>
        <v>27</v>
      </c>
      <c r="G52" s="64">
        <f t="shared" si="15"/>
        <v>20</v>
      </c>
      <c r="H52" s="64">
        <f t="shared" si="15"/>
        <v>51</v>
      </c>
      <c r="I52" s="64">
        <f t="shared" si="15"/>
        <v>96</v>
      </c>
      <c r="J52" s="64">
        <f t="shared" si="15"/>
        <v>61</v>
      </c>
      <c r="K52" s="64">
        <f t="shared" si="15"/>
        <v>73</v>
      </c>
      <c r="L52" s="64">
        <f t="shared" si="15"/>
        <v>23</v>
      </c>
      <c r="M52" s="64">
        <f t="shared" si="15"/>
        <v>24</v>
      </c>
      <c r="N52" s="64">
        <f t="shared" si="15"/>
        <v>2</v>
      </c>
      <c r="O52" s="64">
        <f t="shared" si="15"/>
        <v>4</v>
      </c>
      <c r="P52" s="64">
        <f t="shared" si="15"/>
        <v>19</v>
      </c>
      <c r="Q52" s="64">
        <f t="shared" si="15"/>
        <v>84</v>
      </c>
      <c r="R52" s="13">
        <f t="shared" si="14"/>
        <v>501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1.0</v>
      </c>
      <c r="F54" s="60">
        <v>5.0</v>
      </c>
      <c r="G54" s="60">
        <v>3.0</v>
      </c>
      <c r="H54" s="60">
        <v>8.0</v>
      </c>
      <c r="I54" s="60">
        <v>7.0</v>
      </c>
      <c r="J54" s="60">
        <v>14.0</v>
      </c>
      <c r="K54" s="60">
        <v>3.0</v>
      </c>
      <c r="L54" s="60">
        <v>17.0</v>
      </c>
      <c r="M54" s="60">
        <v>8.0</v>
      </c>
      <c r="N54" s="60">
        <v>8.0</v>
      </c>
      <c r="O54" s="60">
        <v>2.0</v>
      </c>
      <c r="P54" s="60">
        <v>5.0</v>
      </c>
      <c r="Q54" s="60">
        <v>3.0</v>
      </c>
      <c r="R54" s="13">
        <f t="shared" si="14"/>
        <v>84</v>
      </c>
    </row>
    <row r="55" ht="15.0" customHeight="1">
      <c r="A55" s="31" t="s">
        <v>39</v>
      </c>
      <c r="B55" s="57"/>
      <c r="C55" s="58" t="s">
        <v>48</v>
      </c>
      <c r="D55" s="59"/>
      <c r="E55" s="60">
        <v>3.0</v>
      </c>
      <c r="F55" s="60">
        <v>1.0</v>
      </c>
      <c r="G55" s="60">
        <v>1.0</v>
      </c>
      <c r="H55" s="60">
        <v>1.0</v>
      </c>
      <c r="I55" s="60">
        <v>0.0</v>
      </c>
      <c r="J55" s="60">
        <v>4.0</v>
      </c>
      <c r="K55" s="60">
        <v>1.0</v>
      </c>
      <c r="L55" s="60">
        <v>6.0</v>
      </c>
      <c r="M55" s="60">
        <v>2.0</v>
      </c>
      <c r="N55" s="60">
        <v>1.0</v>
      </c>
      <c r="O55" s="60">
        <v>2.0</v>
      </c>
      <c r="P55" s="60">
        <v>0.0</v>
      </c>
      <c r="Q55" s="60">
        <v>2.0</v>
      </c>
      <c r="R55" s="13">
        <f t="shared" si="14"/>
        <v>24</v>
      </c>
    </row>
    <row r="56" ht="12.75" customHeight="1">
      <c r="A56" s="18"/>
      <c r="B56" s="57"/>
      <c r="C56" s="58" t="s">
        <v>49</v>
      </c>
      <c r="D56" s="59"/>
      <c r="E56" s="60">
        <v>14.0</v>
      </c>
      <c r="F56" s="60">
        <v>3.0</v>
      </c>
      <c r="G56" s="60">
        <v>7.0</v>
      </c>
      <c r="H56" s="60">
        <v>5.0</v>
      </c>
      <c r="I56" s="60">
        <v>7.0</v>
      </c>
      <c r="J56" s="60">
        <v>3.0</v>
      </c>
      <c r="K56" s="60">
        <v>3.0</v>
      </c>
      <c r="L56" s="60">
        <v>1.0</v>
      </c>
      <c r="M56" s="60">
        <v>4.0</v>
      </c>
      <c r="N56" s="60">
        <v>18.0</v>
      </c>
      <c r="O56" s="60">
        <v>5.0</v>
      </c>
      <c r="P56" s="60">
        <v>4.0</v>
      </c>
      <c r="Q56" s="60">
        <v>1.0</v>
      </c>
      <c r="R56" s="13">
        <f t="shared" si="14"/>
        <v>75</v>
      </c>
    </row>
    <row r="57" ht="12.75" customHeight="1">
      <c r="A57" s="18"/>
      <c r="B57" s="57"/>
      <c r="C57" s="58" t="s">
        <v>50</v>
      </c>
      <c r="D57" s="59"/>
      <c r="E57" s="60">
        <v>1.0</v>
      </c>
      <c r="F57" s="60">
        <v>0.0</v>
      </c>
      <c r="G57" s="60">
        <v>0.0</v>
      </c>
      <c r="H57" s="60">
        <v>1.0</v>
      </c>
      <c r="I57" s="60">
        <v>0.0</v>
      </c>
      <c r="J57" s="60">
        <v>0.0</v>
      </c>
      <c r="K57" s="60">
        <v>1.0</v>
      </c>
      <c r="L57" s="60">
        <v>1.0</v>
      </c>
      <c r="M57" s="60">
        <v>0.0</v>
      </c>
      <c r="N57" s="60">
        <v>0.0</v>
      </c>
      <c r="O57" s="60">
        <v>0.0</v>
      </c>
      <c r="P57" s="60">
        <v>3.0</v>
      </c>
      <c r="Q57" s="60">
        <v>1.0</v>
      </c>
      <c r="R57" s="13">
        <f t="shared" si="14"/>
        <v>8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0.0</v>
      </c>
      <c r="H58" s="60">
        <v>0.0</v>
      </c>
      <c r="I58" s="60">
        <v>0.0</v>
      </c>
      <c r="J58" s="60">
        <v>0.0</v>
      </c>
      <c r="K58" s="60">
        <v>0.0</v>
      </c>
      <c r="L58" s="60">
        <v>0.0</v>
      </c>
      <c r="M58" s="60">
        <v>0.0</v>
      </c>
      <c r="N58" s="60">
        <v>0.0</v>
      </c>
      <c r="O58" s="60">
        <v>0.0</v>
      </c>
      <c r="P58" s="60">
        <v>2.0</v>
      </c>
      <c r="Q58" s="60">
        <v>0.0</v>
      </c>
      <c r="R58" s="13">
        <f t="shared" si="14"/>
        <v>2</v>
      </c>
    </row>
    <row r="59" ht="12.75" customHeight="1">
      <c r="A59" s="18"/>
      <c r="B59" s="57"/>
      <c r="C59" s="58" t="s">
        <v>52</v>
      </c>
      <c r="D59" s="59"/>
      <c r="E59" s="60">
        <v>1.0</v>
      </c>
      <c r="F59" s="60">
        <v>0.0</v>
      </c>
      <c r="G59" s="60">
        <v>0.0</v>
      </c>
      <c r="H59" s="60">
        <v>0.0</v>
      </c>
      <c r="I59" s="60">
        <v>0.0</v>
      </c>
      <c r="J59" s="60">
        <v>0.0</v>
      </c>
      <c r="K59" s="60">
        <v>0.0</v>
      </c>
      <c r="L59" s="60">
        <v>0.0</v>
      </c>
      <c r="M59" s="60">
        <v>1.0</v>
      </c>
      <c r="N59" s="60">
        <v>0.0</v>
      </c>
      <c r="O59" s="60">
        <v>0.0</v>
      </c>
      <c r="P59" s="60">
        <v>0.0</v>
      </c>
      <c r="Q59" s="60">
        <v>1.0</v>
      </c>
      <c r="R59" s="13">
        <f t="shared" si="14"/>
        <v>3</v>
      </c>
    </row>
    <row r="60" ht="12.75" customHeight="1">
      <c r="A60" s="18"/>
      <c r="B60" s="57"/>
      <c r="C60" s="58" t="s">
        <v>53</v>
      </c>
      <c r="D60" s="59"/>
      <c r="E60" s="60">
        <v>1.0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0.0</v>
      </c>
      <c r="O60" s="60">
        <v>0.0</v>
      </c>
      <c r="P60" s="60">
        <v>0.0</v>
      </c>
      <c r="Q60" s="60">
        <v>0.0</v>
      </c>
      <c r="R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Q61" si="16">SUM(E54:E60)</f>
        <v>21</v>
      </c>
      <c r="F61" s="64">
        <f t="shared" si="16"/>
        <v>9</v>
      </c>
      <c r="G61" s="64">
        <f t="shared" si="16"/>
        <v>11</v>
      </c>
      <c r="H61" s="64">
        <f t="shared" si="16"/>
        <v>15</v>
      </c>
      <c r="I61" s="64">
        <f t="shared" si="16"/>
        <v>14</v>
      </c>
      <c r="J61" s="64">
        <f t="shared" si="16"/>
        <v>21</v>
      </c>
      <c r="K61" s="64">
        <f t="shared" si="16"/>
        <v>8</v>
      </c>
      <c r="L61" s="64">
        <f t="shared" si="16"/>
        <v>25</v>
      </c>
      <c r="M61" s="64">
        <f t="shared" si="16"/>
        <v>15</v>
      </c>
      <c r="N61" s="64">
        <f t="shared" si="16"/>
        <v>27</v>
      </c>
      <c r="O61" s="64">
        <f t="shared" si="16"/>
        <v>9</v>
      </c>
      <c r="P61" s="64">
        <f t="shared" si="16"/>
        <v>14</v>
      </c>
      <c r="Q61" s="64">
        <f t="shared" si="16"/>
        <v>8</v>
      </c>
      <c r="R61" s="13">
        <f t="shared" si="14"/>
        <v>197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4.0</v>
      </c>
      <c r="F63" s="60">
        <v>5.0</v>
      </c>
      <c r="G63" s="60">
        <v>6.0</v>
      </c>
      <c r="H63" s="60">
        <v>13.0</v>
      </c>
      <c r="I63" s="60">
        <v>6.0</v>
      </c>
      <c r="J63" s="60">
        <v>6.0</v>
      </c>
      <c r="K63" s="60">
        <v>9.0</v>
      </c>
      <c r="L63" s="60">
        <v>16.0</v>
      </c>
      <c r="M63" s="60">
        <v>10.0</v>
      </c>
      <c r="N63" s="60">
        <v>0.0</v>
      </c>
      <c r="O63" s="60">
        <v>7.0</v>
      </c>
      <c r="P63" s="60">
        <v>8.0</v>
      </c>
      <c r="Q63" s="60">
        <v>6.0</v>
      </c>
      <c r="R63" s="13">
        <f t="shared" si="14"/>
        <v>96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1.0</v>
      </c>
      <c r="F64" s="60">
        <v>4.0</v>
      </c>
      <c r="G64" s="60">
        <v>0.0</v>
      </c>
      <c r="H64" s="60">
        <v>5.0</v>
      </c>
      <c r="I64" s="60">
        <v>2.0</v>
      </c>
      <c r="J64" s="60">
        <v>4.0</v>
      </c>
      <c r="K64" s="60">
        <v>3.0</v>
      </c>
      <c r="L64" s="60">
        <v>3.0</v>
      </c>
      <c r="M64" s="60">
        <v>8.0</v>
      </c>
      <c r="N64" s="60">
        <v>2.0</v>
      </c>
      <c r="O64" s="60">
        <v>11.0</v>
      </c>
      <c r="P64" s="60">
        <v>20.0</v>
      </c>
      <c r="Q64" s="60">
        <v>5.0</v>
      </c>
      <c r="R64" s="13">
        <f t="shared" si="14"/>
        <v>68</v>
      </c>
    </row>
    <row r="65" ht="12.75" customHeight="1">
      <c r="A65" s="18"/>
      <c r="B65" s="57"/>
      <c r="C65" s="58" t="s">
        <v>56</v>
      </c>
      <c r="D65" s="59"/>
      <c r="E65" s="60">
        <v>24.0</v>
      </c>
      <c r="F65" s="60">
        <v>17.0</v>
      </c>
      <c r="G65" s="60">
        <v>25.0</v>
      </c>
      <c r="H65" s="60">
        <v>29.0</v>
      </c>
      <c r="I65" s="60">
        <v>5.0</v>
      </c>
      <c r="J65" s="60">
        <v>8.0</v>
      </c>
      <c r="K65" s="60">
        <v>22.0</v>
      </c>
      <c r="L65" s="60">
        <v>54.0</v>
      </c>
      <c r="M65" s="60">
        <v>63.0</v>
      </c>
      <c r="N65" s="60">
        <v>13.0</v>
      </c>
      <c r="O65" s="60">
        <v>33.0</v>
      </c>
      <c r="P65" s="60">
        <v>42.0</v>
      </c>
      <c r="Q65" s="60">
        <v>40.0</v>
      </c>
      <c r="R65" s="13">
        <f t="shared" si="14"/>
        <v>375</v>
      </c>
    </row>
    <row r="66" ht="12.75" customHeight="1">
      <c r="A66" s="18"/>
      <c r="B66" s="57"/>
      <c r="C66" s="58" t="s">
        <v>57</v>
      </c>
      <c r="D66" s="59"/>
      <c r="E66" s="60">
        <v>6.0</v>
      </c>
      <c r="F66" s="60">
        <v>5.0</v>
      </c>
      <c r="G66" s="60">
        <v>9.0</v>
      </c>
      <c r="H66" s="60">
        <v>9.0</v>
      </c>
      <c r="I66" s="60">
        <v>9.0</v>
      </c>
      <c r="J66" s="60">
        <v>7.0</v>
      </c>
      <c r="K66" s="60">
        <v>5.0</v>
      </c>
      <c r="L66" s="60">
        <v>4.0</v>
      </c>
      <c r="M66" s="60">
        <v>2.0</v>
      </c>
      <c r="N66" s="60">
        <v>6.0</v>
      </c>
      <c r="O66" s="60">
        <v>0.0</v>
      </c>
      <c r="P66" s="60">
        <v>3.0</v>
      </c>
      <c r="Q66" s="60">
        <v>3.0</v>
      </c>
      <c r="R66" s="13">
        <f t="shared" si="14"/>
        <v>68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1.0</v>
      </c>
      <c r="G67" s="60">
        <v>0.0</v>
      </c>
      <c r="H67" s="60">
        <v>0.0</v>
      </c>
      <c r="I67" s="60">
        <v>0.0</v>
      </c>
      <c r="J67" s="60">
        <v>0.0</v>
      </c>
      <c r="K67" s="60">
        <v>1.0</v>
      </c>
      <c r="L67" s="60">
        <v>0.0</v>
      </c>
      <c r="M67" s="60">
        <v>0.0</v>
      </c>
      <c r="N67" s="60">
        <v>0.0</v>
      </c>
      <c r="O67" s="60">
        <v>0.0</v>
      </c>
      <c r="P67" s="60">
        <v>1.0</v>
      </c>
      <c r="Q67" s="60">
        <v>0.0</v>
      </c>
      <c r="R67" s="13">
        <f t="shared" si="14"/>
        <v>3</v>
      </c>
    </row>
    <row r="68" ht="12.75" customHeight="1">
      <c r="A68" s="18"/>
      <c r="B68" s="57"/>
      <c r="C68" s="58" t="s">
        <v>59</v>
      </c>
      <c r="D68" s="59"/>
      <c r="E68" s="60">
        <v>48.0</v>
      </c>
      <c r="F68" s="60">
        <v>31.0</v>
      </c>
      <c r="G68" s="60">
        <v>76.0</v>
      </c>
      <c r="H68" s="60">
        <v>8.0</v>
      </c>
      <c r="I68" s="60">
        <v>3.0</v>
      </c>
      <c r="J68" s="60">
        <v>8.0</v>
      </c>
      <c r="K68" s="60">
        <v>2.0</v>
      </c>
      <c r="L68" s="60">
        <v>3.0</v>
      </c>
      <c r="M68" s="60">
        <v>3.0</v>
      </c>
      <c r="N68" s="60">
        <v>17.0</v>
      </c>
      <c r="O68" s="60">
        <v>4.0</v>
      </c>
      <c r="P68" s="60">
        <v>5.0</v>
      </c>
      <c r="Q68" s="60">
        <v>13.0</v>
      </c>
      <c r="R68" s="13">
        <f t="shared" si="14"/>
        <v>221</v>
      </c>
    </row>
    <row r="69" ht="12.75" customHeight="1">
      <c r="A69" s="18"/>
      <c r="B69" s="57"/>
      <c r="C69" s="58" t="s">
        <v>60</v>
      </c>
      <c r="D69" s="59"/>
      <c r="E69" s="60">
        <v>6.0</v>
      </c>
      <c r="F69" s="60">
        <v>7.0</v>
      </c>
      <c r="G69" s="60">
        <v>4.0</v>
      </c>
      <c r="H69" s="60">
        <v>2.0</v>
      </c>
      <c r="I69" s="60">
        <v>6.0</v>
      </c>
      <c r="J69" s="60">
        <v>0.0</v>
      </c>
      <c r="K69" s="60">
        <v>1.0</v>
      </c>
      <c r="L69" s="60">
        <v>2.0</v>
      </c>
      <c r="M69" s="60">
        <v>3.0</v>
      </c>
      <c r="N69" s="60">
        <v>0.0</v>
      </c>
      <c r="O69" s="60">
        <v>2.0</v>
      </c>
      <c r="P69" s="60">
        <v>24.0</v>
      </c>
      <c r="Q69" s="60">
        <v>3.0</v>
      </c>
      <c r="R69" s="13">
        <f t="shared" si="14"/>
        <v>60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Q70" si="17">SUM(E63:E69)</f>
        <v>89</v>
      </c>
      <c r="F70" s="64">
        <f t="shared" si="17"/>
        <v>70</v>
      </c>
      <c r="G70" s="64">
        <f t="shared" si="17"/>
        <v>120</v>
      </c>
      <c r="H70" s="64">
        <f t="shared" si="17"/>
        <v>66</v>
      </c>
      <c r="I70" s="64">
        <f t="shared" si="17"/>
        <v>31</v>
      </c>
      <c r="J70" s="64">
        <f t="shared" si="17"/>
        <v>33</v>
      </c>
      <c r="K70" s="64">
        <f t="shared" si="17"/>
        <v>43</v>
      </c>
      <c r="L70" s="64">
        <f t="shared" si="17"/>
        <v>82</v>
      </c>
      <c r="M70" s="64">
        <f t="shared" si="17"/>
        <v>89</v>
      </c>
      <c r="N70" s="64">
        <f t="shared" si="17"/>
        <v>38</v>
      </c>
      <c r="O70" s="64">
        <f t="shared" si="17"/>
        <v>57</v>
      </c>
      <c r="P70" s="64">
        <f t="shared" si="17"/>
        <v>103</v>
      </c>
      <c r="Q70" s="64">
        <f t="shared" si="17"/>
        <v>70</v>
      </c>
      <c r="R70" s="13">
        <f t="shared" si="14"/>
        <v>891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5.0</v>
      </c>
      <c r="F72" s="60">
        <v>3.0</v>
      </c>
      <c r="G72" s="60">
        <v>1.0</v>
      </c>
      <c r="H72" s="60">
        <v>5.0</v>
      </c>
      <c r="I72" s="60">
        <v>11.0</v>
      </c>
      <c r="J72" s="60">
        <v>6.0</v>
      </c>
      <c r="K72" s="60">
        <v>4.0</v>
      </c>
      <c r="L72" s="60">
        <v>13.0</v>
      </c>
      <c r="M72" s="60">
        <v>5.0</v>
      </c>
      <c r="N72" s="60">
        <v>3.0</v>
      </c>
      <c r="O72" s="60">
        <v>2.0</v>
      </c>
      <c r="P72" s="60">
        <v>4.0</v>
      </c>
      <c r="Q72" s="60">
        <v>4.0</v>
      </c>
      <c r="R72" s="13">
        <f t="shared" si="14"/>
        <v>66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0.0</v>
      </c>
      <c r="F73" s="60">
        <v>0.0</v>
      </c>
      <c r="G73" s="60">
        <v>2.0</v>
      </c>
      <c r="H73" s="60">
        <v>5.0</v>
      </c>
      <c r="I73" s="60">
        <v>28.0</v>
      </c>
      <c r="J73" s="60">
        <v>23.0</v>
      </c>
      <c r="K73" s="60">
        <v>23.0</v>
      </c>
      <c r="L73" s="60">
        <v>19.0</v>
      </c>
      <c r="M73" s="60">
        <v>18.0</v>
      </c>
      <c r="N73" s="60">
        <v>6.0</v>
      </c>
      <c r="O73" s="60">
        <v>46.0</v>
      </c>
      <c r="P73" s="60">
        <v>9.0</v>
      </c>
      <c r="Q73" s="60">
        <v>3.0</v>
      </c>
      <c r="R73" s="13">
        <f t="shared" si="14"/>
        <v>182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1.0</v>
      </c>
      <c r="G74" s="60">
        <v>0.0</v>
      </c>
      <c r="H74" s="60">
        <v>1.0</v>
      </c>
      <c r="I74" s="60">
        <v>2.0</v>
      </c>
      <c r="J74" s="60">
        <v>0.0</v>
      </c>
      <c r="K74" s="60">
        <v>0.0</v>
      </c>
      <c r="L74" s="60">
        <v>2.0</v>
      </c>
      <c r="M74" s="60">
        <v>1.0</v>
      </c>
      <c r="N74" s="60">
        <v>2.0</v>
      </c>
      <c r="O74" s="60">
        <v>2.0</v>
      </c>
      <c r="P74" s="60">
        <v>0.0</v>
      </c>
      <c r="Q74" s="60">
        <v>0.0</v>
      </c>
      <c r="R74" s="13">
        <f t="shared" si="14"/>
        <v>11</v>
      </c>
    </row>
    <row r="75" ht="12.75" customHeight="1">
      <c r="A75" s="18"/>
      <c r="B75" s="57"/>
      <c r="C75" s="58" t="s">
        <v>64</v>
      </c>
      <c r="D75" s="59"/>
      <c r="E75" s="60">
        <v>1.0</v>
      </c>
      <c r="F75" s="60">
        <v>0.0</v>
      </c>
      <c r="G75" s="60">
        <v>0.0</v>
      </c>
      <c r="H75" s="60">
        <v>1.0</v>
      </c>
      <c r="I75" s="60">
        <v>0.0</v>
      </c>
      <c r="J75" s="60">
        <v>0.0</v>
      </c>
      <c r="K75" s="60">
        <v>1.0</v>
      </c>
      <c r="L75" s="60">
        <v>0.0</v>
      </c>
      <c r="M75" s="60">
        <v>0.0</v>
      </c>
      <c r="N75" s="60">
        <v>1.0</v>
      </c>
      <c r="O75" s="60">
        <v>1.0</v>
      </c>
      <c r="P75" s="60">
        <v>2.0</v>
      </c>
      <c r="Q75" s="60">
        <v>0.0</v>
      </c>
      <c r="R75" s="13">
        <f t="shared" si="14"/>
        <v>7</v>
      </c>
    </row>
    <row r="76" ht="12.75" customHeight="1">
      <c r="A76" s="18"/>
      <c r="B76" s="57"/>
      <c r="C76" s="58" t="s">
        <v>65</v>
      </c>
      <c r="D76" s="59"/>
      <c r="E76" s="60">
        <v>3.0</v>
      </c>
      <c r="F76" s="60">
        <v>8.0</v>
      </c>
      <c r="G76" s="60">
        <v>0.0</v>
      </c>
      <c r="H76" s="60">
        <v>1.0</v>
      </c>
      <c r="I76" s="60">
        <v>4.0</v>
      </c>
      <c r="J76" s="60">
        <v>6.0</v>
      </c>
      <c r="K76" s="60">
        <v>3.0</v>
      </c>
      <c r="L76" s="60">
        <v>4.0</v>
      </c>
      <c r="M76" s="60">
        <v>5.0</v>
      </c>
      <c r="N76" s="60">
        <v>5.0</v>
      </c>
      <c r="O76" s="60">
        <v>12.0</v>
      </c>
      <c r="P76" s="60">
        <v>15.0</v>
      </c>
      <c r="Q76" s="60">
        <v>11.0</v>
      </c>
      <c r="R76" s="13">
        <f t="shared" si="14"/>
        <v>77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1.0</v>
      </c>
      <c r="L77" s="60">
        <v>0.0</v>
      </c>
      <c r="M77" s="60">
        <v>2.0</v>
      </c>
      <c r="N77" s="60">
        <v>0.0</v>
      </c>
      <c r="O77" s="60">
        <v>0.0</v>
      </c>
      <c r="P77" s="60">
        <v>1.0</v>
      </c>
      <c r="Q77" s="60">
        <v>0.0</v>
      </c>
      <c r="R77" s="13">
        <f t="shared" si="14"/>
        <v>4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60">
        <v>0.0</v>
      </c>
      <c r="O78" s="60">
        <v>0.0</v>
      </c>
      <c r="P78" s="60">
        <v>0.0</v>
      </c>
      <c r="Q78" s="60">
        <v>0.0</v>
      </c>
      <c r="R78" s="13">
        <f t="shared" si="14"/>
        <v>0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Q79" si="18">SUM(E72:E78)</f>
        <v>9</v>
      </c>
      <c r="F79" s="64">
        <f t="shared" si="18"/>
        <v>12</v>
      </c>
      <c r="G79" s="64">
        <f t="shared" si="18"/>
        <v>3</v>
      </c>
      <c r="H79" s="64">
        <f t="shared" si="18"/>
        <v>13</v>
      </c>
      <c r="I79" s="64">
        <f t="shared" si="18"/>
        <v>45</v>
      </c>
      <c r="J79" s="64">
        <f t="shared" si="18"/>
        <v>35</v>
      </c>
      <c r="K79" s="64">
        <f t="shared" si="18"/>
        <v>32</v>
      </c>
      <c r="L79" s="64">
        <f t="shared" si="18"/>
        <v>38</v>
      </c>
      <c r="M79" s="64">
        <f t="shared" si="18"/>
        <v>31</v>
      </c>
      <c r="N79" s="64">
        <f t="shared" si="18"/>
        <v>17</v>
      </c>
      <c r="O79" s="64">
        <f t="shared" si="18"/>
        <v>63</v>
      </c>
      <c r="P79" s="64">
        <f t="shared" si="18"/>
        <v>31</v>
      </c>
      <c r="Q79" s="64">
        <f t="shared" si="18"/>
        <v>18</v>
      </c>
      <c r="R79" s="13">
        <f t="shared" si="14"/>
        <v>347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1.0</v>
      </c>
      <c r="F81" s="60">
        <v>6.0</v>
      </c>
      <c r="G81" s="60">
        <v>2.0</v>
      </c>
      <c r="H81" s="60">
        <v>12.0</v>
      </c>
      <c r="I81" s="60">
        <v>6.0</v>
      </c>
      <c r="J81" s="60">
        <v>0.0</v>
      </c>
      <c r="K81" s="60">
        <v>10.0</v>
      </c>
      <c r="L81" s="60">
        <v>0.0</v>
      </c>
      <c r="M81" s="60">
        <v>2.0</v>
      </c>
      <c r="N81" s="60">
        <v>0.0</v>
      </c>
      <c r="O81" s="60">
        <v>3.0</v>
      </c>
      <c r="P81" s="60">
        <v>1.0</v>
      </c>
      <c r="Q81" s="60">
        <v>0.0</v>
      </c>
      <c r="R81" s="13">
        <f t="shared" si="14"/>
        <v>43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0.0</v>
      </c>
      <c r="F82" s="60">
        <v>3.0</v>
      </c>
      <c r="G82" s="60">
        <v>3.0</v>
      </c>
      <c r="H82" s="60">
        <v>5.0</v>
      </c>
      <c r="I82" s="60">
        <v>0.0</v>
      </c>
      <c r="J82" s="60">
        <v>0.0</v>
      </c>
      <c r="K82" s="60">
        <v>2.0</v>
      </c>
      <c r="L82" s="60">
        <v>0.0</v>
      </c>
      <c r="M82" s="60">
        <v>2.0</v>
      </c>
      <c r="N82" s="60">
        <v>2.0</v>
      </c>
      <c r="O82" s="60">
        <v>4.0</v>
      </c>
      <c r="P82" s="60">
        <v>7.0</v>
      </c>
      <c r="Q82" s="60">
        <v>4.0</v>
      </c>
      <c r="R82" s="13">
        <f t="shared" si="14"/>
        <v>32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0.0</v>
      </c>
      <c r="H83" s="60">
        <v>0.0</v>
      </c>
      <c r="I83" s="60">
        <v>1.0</v>
      </c>
      <c r="J83" s="60">
        <v>2.0</v>
      </c>
      <c r="K83" s="60">
        <v>4.0</v>
      </c>
      <c r="L83" s="60">
        <v>0.0</v>
      </c>
      <c r="M83" s="60">
        <v>0.0</v>
      </c>
      <c r="N83" s="60">
        <v>0.0</v>
      </c>
      <c r="O83" s="60">
        <v>1.0</v>
      </c>
      <c r="P83" s="60">
        <v>0.0</v>
      </c>
      <c r="Q83" s="60">
        <v>0.0</v>
      </c>
      <c r="R83" s="13">
        <f t="shared" si="14"/>
        <v>8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60">
        <v>0.0</v>
      </c>
      <c r="O84" s="60">
        <v>0.0</v>
      </c>
      <c r="P84" s="60">
        <v>2.0</v>
      </c>
      <c r="Q84" s="60">
        <v>0.0</v>
      </c>
      <c r="R84" s="13">
        <f t="shared" si="14"/>
        <v>2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1.0</v>
      </c>
      <c r="G85" s="60">
        <v>0.0</v>
      </c>
      <c r="H85" s="60">
        <v>2.0</v>
      </c>
      <c r="I85" s="60">
        <v>0.0</v>
      </c>
      <c r="J85" s="60">
        <v>0.0</v>
      </c>
      <c r="K85" s="60">
        <v>0.0</v>
      </c>
      <c r="L85" s="60">
        <v>0.0</v>
      </c>
      <c r="M85" s="60">
        <v>0.0</v>
      </c>
      <c r="N85" s="60">
        <v>0.0</v>
      </c>
      <c r="O85" s="60">
        <v>0.0</v>
      </c>
      <c r="P85" s="60">
        <v>0.0</v>
      </c>
      <c r="Q85" s="60">
        <v>0.0</v>
      </c>
      <c r="R85" s="13">
        <f t="shared" si="14"/>
        <v>3</v>
      </c>
    </row>
    <row r="86" ht="12.75" customHeight="1">
      <c r="A86" s="18"/>
      <c r="B86" s="57"/>
      <c r="C86" s="58" t="s">
        <v>74</v>
      </c>
      <c r="D86" s="59"/>
      <c r="E86" s="60">
        <v>2.0</v>
      </c>
      <c r="F86" s="60">
        <v>1.0</v>
      </c>
      <c r="G86" s="60">
        <v>3.0</v>
      </c>
      <c r="H86" s="60">
        <v>2.0</v>
      </c>
      <c r="I86" s="60">
        <v>5.0</v>
      </c>
      <c r="J86" s="60">
        <v>1.0</v>
      </c>
      <c r="K86" s="60">
        <v>1.0</v>
      </c>
      <c r="L86" s="60">
        <v>3.0</v>
      </c>
      <c r="M86" s="60">
        <v>1.0</v>
      </c>
      <c r="N86" s="60">
        <v>4.0</v>
      </c>
      <c r="O86" s="60">
        <v>25.0</v>
      </c>
      <c r="P86" s="60">
        <v>13.0</v>
      </c>
      <c r="Q86" s="60">
        <v>6.0</v>
      </c>
      <c r="R86" s="13">
        <f t="shared" si="14"/>
        <v>67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60">
        <v>0.0</v>
      </c>
      <c r="P87" s="60">
        <v>0.0</v>
      </c>
      <c r="Q87" s="60">
        <v>0.0</v>
      </c>
      <c r="R87" s="13">
        <f t="shared" si="14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Q88" si="19">SUM(E81:E87)</f>
        <v>3</v>
      </c>
      <c r="F88" s="64">
        <f t="shared" si="19"/>
        <v>11</v>
      </c>
      <c r="G88" s="64">
        <f t="shared" si="19"/>
        <v>8</v>
      </c>
      <c r="H88" s="64">
        <f t="shared" si="19"/>
        <v>21</v>
      </c>
      <c r="I88" s="64">
        <f t="shared" si="19"/>
        <v>12</v>
      </c>
      <c r="J88" s="64">
        <f t="shared" si="19"/>
        <v>3</v>
      </c>
      <c r="K88" s="64">
        <f t="shared" si="19"/>
        <v>17</v>
      </c>
      <c r="L88" s="64">
        <f t="shared" si="19"/>
        <v>3</v>
      </c>
      <c r="M88" s="64">
        <f t="shared" si="19"/>
        <v>5</v>
      </c>
      <c r="N88" s="64">
        <f t="shared" si="19"/>
        <v>6</v>
      </c>
      <c r="O88" s="64">
        <f t="shared" si="19"/>
        <v>33</v>
      </c>
      <c r="P88" s="64">
        <f t="shared" si="19"/>
        <v>23</v>
      </c>
      <c r="Q88" s="64">
        <f t="shared" si="19"/>
        <v>10</v>
      </c>
      <c r="R88" s="13">
        <f t="shared" si="14"/>
        <v>155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1.0</v>
      </c>
      <c r="I90" s="60">
        <v>0.0</v>
      </c>
      <c r="J90" s="60">
        <v>0.0</v>
      </c>
      <c r="K90" s="60">
        <v>0.0</v>
      </c>
      <c r="L90" s="60">
        <v>0.0</v>
      </c>
      <c r="M90" s="60">
        <v>0.0</v>
      </c>
      <c r="N90" s="60">
        <v>0.0</v>
      </c>
      <c r="O90" s="60">
        <v>1.0</v>
      </c>
      <c r="P90" s="60">
        <v>1.0</v>
      </c>
      <c r="Q90" s="60">
        <v>1.0</v>
      </c>
      <c r="R90" s="13">
        <f t="shared" si="14"/>
        <v>4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0.0</v>
      </c>
      <c r="J91" s="60">
        <v>0.0</v>
      </c>
      <c r="K91" s="60">
        <v>0.0</v>
      </c>
      <c r="L91" s="60">
        <v>0.0</v>
      </c>
      <c r="M91" s="60">
        <v>0.0</v>
      </c>
      <c r="N91" s="60">
        <v>0.0</v>
      </c>
      <c r="O91" s="60">
        <v>1.0</v>
      </c>
      <c r="P91" s="60">
        <v>0.0</v>
      </c>
      <c r="Q91" s="60">
        <v>1.0</v>
      </c>
      <c r="R91" s="13">
        <f t="shared" si="14"/>
        <v>2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Q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1</v>
      </c>
      <c r="I92" s="64">
        <f t="shared" si="20"/>
        <v>0</v>
      </c>
      <c r="J92" s="64">
        <f t="shared" si="20"/>
        <v>0</v>
      </c>
      <c r="K92" s="64">
        <f t="shared" si="20"/>
        <v>0</v>
      </c>
      <c r="L92" s="64">
        <f t="shared" si="20"/>
        <v>0</v>
      </c>
      <c r="M92" s="64">
        <f t="shared" si="20"/>
        <v>0</v>
      </c>
      <c r="N92" s="64">
        <f t="shared" si="20"/>
        <v>0</v>
      </c>
      <c r="O92" s="64">
        <f t="shared" si="20"/>
        <v>2</v>
      </c>
      <c r="P92" s="64">
        <f t="shared" si="20"/>
        <v>1</v>
      </c>
      <c r="Q92" s="64">
        <f t="shared" si="20"/>
        <v>2</v>
      </c>
      <c r="R92" s="13">
        <f t="shared" si="14"/>
        <v>6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0.0</v>
      </c>
      <c r="F94" s="60">
        <v>0.0</v>
      </c>
      <c r="G94" s="60">
        <v>1.0</v>
      </c>
      <c r="H94" s="60">
        <v>1.0</v>
      </c>
      <c r="I94" s="60">
        <v>1.0</v>
      </c>
      <c r="J94" s="60">
        <v>2.0</v>
      </c>
      <c r="K94" s="60">
        <v>0.0</v>
      </c>
      <c r="L94" s="60">
        <v>0.0</v>
      </c>
      <c r="M94" s="60">
        <v>1.0</v>
      </c>
      <c r="N94" s="60">
        <v>1.0</v>
      </c>
      <c r="O94" s="60">
        <v>0.0</v>
      </c>
      <c r="P94" s="60">
        <v>4.0</v>
      </c>
      <c r="Q94" s="60">
        <v>3.0</v>
      </c>
      <c r="R94" s="13">
        <f t="shared" si="14"/>
        <v>14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0.0</v>
      </c>
      <c r="F95" s="60">
        <v>6.0</v>
      </c>
      <c r="G95" s="60">
        <v>13.0</v>
      </c>
      <c r="H95" s="60">
        <v>11.0</v>
      </c>
      <c r="I95" s="60">
        <v>2.0</v>
      </c>
      <c r="J95" s="60">
        <v>15.0</v>
      </c>
      <c r="K95" s="60">
        <v>0.0</v>
      </c>
      <c r="L95" s="60">
        <v>4.0</v>
      </c>
      <c r="M95" s="60">
        <v>1.0</v>
      </c>
      <c r="N95" s="60">
        <v>9.0</v>
      </c>
      <c r="O95" s="60">
        <v>6.0</v>
      </c>
      <c r="P95" s="60">
        <v>7.0</v>
      </c>
      <c r="Q95" s="60">
        <v>12.0</v>
      </c>
      <c r="R95" s="13">
        <f t="shared" si="14"/>
        <v>86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1.0</v>
      </c>
      <c r="J96" s="60">
        <v>0.0</v>
      </c>
      <c r="K96" s="60">
        <v>0.0</v>
      </c>
      <c r="L96" s="60">
        <v>0.0</v>
      </c>
      <c r="M96" s="60">
        <v>0.0</v>
      </c>
      <c r="N96" s="60">
        <v>0.0</v>
      </c>
      <c r="O96" s="60">
        <v>0.0</v>
      </c>
      <c r="P96" s="60">
        <v>1.0</v>
      </c>
      <c r="Q96" s="60">
        <v>1.0</v>
      </c>
      <c r="R96" s="13">
        <f t="shared" si="14"/>
        <v>3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60">
        <v>0.0</v>
      </c>
      <c r="P97" s="60">
        <v>0.0</v>
      </c>
      <c r="Q97" s="60">
        <v>0.0</v>
      </c>
      <c r="R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0.0</v>
      </c>
      <c r="M99" s="60">
        <v>0.0</v>
      </c>
      <c r="N99" s="60">
        <v>0.0</v>
      </c>
      <c r="O99" s="60">
        <v>0.0</v>
      </c>
      <c r="P99" s="60">
        <v>0.0</v>
      </c>
      <c r="Q99" s="60">
        <v>0.0</v>
      </c>
      <c r="R99" s="13">
        <f t="shared" si="14"/>
        <v>0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Q101" si="21">SUM(E94:E100)</f>
        <v>0</v>
      </c>
      <c r="F101" s="64">
        <f t="shared" si="21"/>
        <v>6</v>
      </c>
      <c r="G101" s="64">
        <f t="shared" si="21"/>
        <v>14</v>
      </c>
      <c r="H101" s="64">
        <f t="shared" si="21"/>
        <v>12</v>
      </c>
      <c r="I101" s="64">
        <f t="shared" si="21"/>
        <v>4</v>
      </c>
      <c r="J101" s="64">
        <f t="shared" si="21"/>
        <v>17</v>
      </c>
      <c r="K101" s="64">
        <f t="shared" si="21"/>
        <v>0</v>
      </c>
      <c r="L101" s="64">
        <f t="shared" si="21"/>
        <v>4</v>
      </c>
      <c r="M101" s="64">
        <f t="shared" si="21"/>
        <v>2</v>
      </c>
      <c r="N101" s="64">
        <f t="shared" si="21"/>
        <v>10</v>
      </c>
      <c r="O101" s="64">
        <f t="shared" si="21"/>
        <v>6</v>
      </c>
      <c r="P101" s="64">
        <f t="shared" si="21"/>
        <v>12</v>
      </c>
      <c r="Q101" s="64">
        <f t="shared" si="21"/>
        <v>16</v>
      </c>
      <c r="R101" s="13">
        <f t="shared" si="14"/>
        <v>103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3.0</v>
      </c>
      <c r="F103" s="60">
        <v>0.0</v>
      </c>
      <c r="G103" s="60">
        <v>2.0</v>
      </c>
      <c r="H103" s="60">
        <v>2.0</v>
      </c>
      <c r="I103" s="60">
        <v>0.0</v>
      </c>
      <c r="J103" s="60">
        <v>0.0</v>
      </c>
      <c r="K103" s="60">
        <v>1.0</v>
      </c>
      <c r="L103" s="60">
        <v>1.0</v>
      </c>
      <c r="M103" s="60">
        <v>1.0</v>
      </c>
      <c r="N103" s="60">
        <v>0.0</v>
      </c>
      <c r="O103" s="60">
        <v>0.0</v>
      </c>
      <c r="P103" s="60">
        <v>0.0</v>
      </c>
      <c r="Q103" s="60">
        <v>0.0</v>
      </c>
      <c r="R103" s="13">
        <f t="shared" si="14"/>
        <v>10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35.0</v>
      </c>
      <c r="F104" s="60">
        <v>6.0</v>
      </c>
      <c r="G104" s="60">
        <v>9.0</v>
      </c>
      <c r="H104" s="60">
        <v>4.0</v>
      </c>
      <c r="I104" s="60">
        <v>2.0</v>
      </c>
      <c r="J104" s="60">
        <v>6.0</v>
      </c>
      <c r="K104" s="60">
        <v>10.0</v>
      </c>
      <c r="L104" s="60">
        <v>4.0</v>
      </c>
      <c r="M104" s="60">
        <v>7.0</v>
      </c>
      <c r="N104" s="60">
        <v>0.0</v>
      </c>
      <c r="O104" s="60">
        <v>0.0</v>
      </c>
      <c r="P104" s="60">
        <v>0.0</v>
      </c>
      <c r="Q104" s="60">
        <v>1.0</v>
      </c>
      <c r="R104" s="13">
        <f t="shared" si="14"/>
        <v>84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0.0</v>
      </c>
      <c r="O105" s="60">
        <v>1.0</v>
      </c>
      <c r="P105" s="60">
        <v>0.0</v>
      </c>
      <c r="Q105" s="60">
        <v>0.0</v>
      </c>
      <c r="R105" s="13">
        <f t="shared" si="14"/>
        <v>1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60">
        <v>0.0</v>
      </c>
      <c r="O106" s="60">
        <v>0.0</v>
      </c>
      <c r="P106" s="60">
        <v>0.0</v>
      </c>
      <c r="Q106" s="60">
        <v>0.0</v>
      </c>
      <c r="R106" s="13">
        <f t="shared" si="14"/>
        <v>0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60">
        <v>0.0</v>
      </c>
      <c r="P107" s="60">
        <v>0.0</v>
      </c>
      <c r="Q107" s="60">
        <v>0.0</v>
      </c>
      <c r="R107" s="13">
        <f t="shared" si="14"/>
        <v>0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60">
        <v>0.0</v>
      </c>
      <c r="P108" s="60">
        <v>0.0</v>
      </c>
      <c r="Q108" s="60">
        <v>0.0</v>
      </c>
      <c r="R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0.0</v>
      </c>
      <c r="J109" s="60">
        <v>0.0</v>
      </c>
      <c r="K109" s="60">
        <v>0.0</v>
      </c>
      <c r="L109" s="60">
        <v>0.0</v>
      </c>
      <c r="M109" s="60">
        <v>7.0</v>
      </c>
      <c r="N109" s="60">
        <v>0.0</v>
      </c>
      <c r="O109" s="60">
        <v>0.0</v>
      </c>
      <c r="P109" s="60">
        <v>0.0</v>
      </c>
      <c r="Q109" s="60">
        <v>0.0</v>
      </c>
      <c r="R109" s="13">
        <f t="shared" si="14"/>
        <v>7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Q110" si="22">SUM(E103:E109)</f>
        <v>38</v>
      </c>
      <c r="F110" s="64">
        <f t="shared" si="22"/>
        <v>6</v>
      </c>
      <c r="G110" s="64">
        <f t="shared" si="22"/>
        <v>11</v>
      </c>
      <c r="H110" s="64">
        <f t="shared" si="22"/>
        <v>6</v>
      </c>
      <c r="I110" s="64">
        <f t="shared" si="22"/>
        <v>2</v>
      </c>
      <c r="J110" s="64">
        <f t="shared" si="22"/>
        <v>6</v>
      </c>
      <c r="K110" s="64">
        <f t="shared" si="22"/>
        <v>11</v>
      </c>
      <c r="L110" s="64">
        <f t="shared" si="22"/>
        <v>5</v>
      </c>
      <c r="M110" s="64">
        <f t="shared" si="22"/>
        <v>15</v>
      </c>
      <c r="N110" s="64">
        <f t="shared" si="22"/>
        <v>0</v>
      </c>
      <c r="O110" s="64">
        <f t="shared" si="22"/>
        <v>1</v>
      </c>
      <c r="P110" s="64">
        <f t="shared" si="22"/>
        <v>0</v>
      </c>
      <c r="Q110" s="64">
        <f t="shared" si="22"/>
        <v>1</v>
      </c>
      <c r="R110" s="13">
        <f t="shared" si="14"/>
        <v>102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60">
        <v>0.0</v>
      </c>
      <c r="P112" s="60">
        <v>0.0</v>
      </c>
      <c r="Q112" s="60">
        <v>0.0</v>
      </c>
      <c r="R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1.0</v>
      </c>
      <c r="L113" s="60">
        <v>0.0</v>
      </c>
      <c r="M113" s="60">
        <v>0.0</v>
      </c>
      <c r="N113" s="60">
        <v>0.0</v>
      </c>
      <c r="O113" s="60">
        <v>0.0</v>
      </c>
      <c r="P113" s="60">
        <v>0.0</v>
      </c>
      <c r="Q113" s="60">
        <v>0.0</v>
      </c>
      <c r="R113" s="13">
        <f t="shared" si="14"/>
        <v>1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Q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1</v>
      </c>
      <c r="L114" s="64">
        <f t="shared" si="23"/>
        <v>0</v>
      </c>
      <c r="M114" s="64">
        <f t="shared" si="23"/>
        <v>0</v>
      </c>
      <c r="N114" s="64">
        <f t="shared" si="23"/>
        <v>0</v>
      </c>
      <c r="O114" s="64">
        <f t="shared" si="23"/>
        <v>0</v>
      </c>
      <c r="P114" s="64">
        <f t="shared" si="23"/>
        <v>0</v>
      </c>
      <c r="Q114" s="64">
        <f t="shared" si="23"/>
        <v>0</v>
      </c>
      <c r="R114" s="13">
        <f t="shared" si="14"/>
        <v>1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2.0</v>
      </c>
      <c r="I116" s="60">
        <v>0.0</v>
      </c>
      <c r="J116" s="60">
        <v>0.0</v>
      </c>
      <c r="K116" s="60">
        <v>0.0</v>
      </c>
      <c r="L116" s="60">
        <v>0.0</v>
      </c>
      <c r="M116" s="60">
        <v>0.0</v>
      </c>
      <c r="N116" s="60">
        <v>1.0</v>
      </c>
      <c r="O116" s="60">
        <v>0.0</v>
      </c>
      <c r="P116" s="60">
        <v>0.0</v>
      </c>
      <c r="Q116" s="60">
        <v>0.0</v>
      </c>
      <c r="R116" s="13">
        <f t="shared" si="14"/>
        <v>3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1.0</v>
      </c>
      <c r="F117" s="60">
        <v>0.0</v>
      </c>
      <c r="G117" s="60">
        <v>3.0</v>
      </c>
      <c r="H117" s="60">
        <v>0.0</v>
      </c>
      <c r="I117" s="60">
        <v>0.0</v>
      </c>
      <c r="J117" s="60">
        <v>0.0</v>
      </c>
      <c r="K117" s="60">
        <v>2.0</v>
      </c>
      <c r="L117" s="60">
        <v>0.0</v>
      </c>
      <c r="M117" s="60">
        <v>0.0</v>
      </c>
      <c r="N117" s="60">
        <v>0.0</v>
      </c>
      <c r="O117" s="60">
        <v>0.0</v>
      </c>
      <c r="P117" s="60">
        <v>0.0</v>
      </c>
      <c r="Q117" s="60">
        <v>0.0</v>
      </c>
      <c r="R117" s="13">
        <f t="shared" si="14"/>
        <v>6</v>
      </c>
      <c r="S117" s="5"/>
      <c r="T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1.0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13">
        <f t="shared" si="14"/>
        <v>1</v>
      </c>
      <c r="S118" s="5"/>
      <c r="T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13">
        <f t="shared" si="14"/>
        <v>0</v>
      </c>
      <c r="S119" s="5"/>
      <c r="T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0.0</v>
      </c>
      <c r="P120" s="60">
        <v>0.0</v>
      </c>
      <c r="Q120" s="60">
        <v>0.0</v>
      </c>
      <c r="R120" s="13">
        <f t="shared" si="14"/>
        <v>0</v>
      </c>
      <c r="S120" s="5"/>
      <c r="T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60">
        <v>0.0</v>
      </c>
      <c r="P121" s="60">
        <v>0.0</v>
      </c>
      <c r="Q121" s="60">
        <v>0.0</v>
      </c>
      <c r="R121" s="13">
        <f t="shared" si="14"/>
        <v>0</v>
      </c>
      <c r="S121" s="5"/>
      <c r="T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60">
        <v>0.0</v>
      </c>
      <c r="P122" s="60">
        <v>0.0</v>
      </c>
      <c r="Q122" s="60">
        <v>0.0</v>
      </c>
      <c r="R122" s="13">
        <f t="shared" si="14"/>
        <v>0</v>
      </c>
      <c r="S122" s="5"/>
      <c r="T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Q123" si="24">SUM(E116:E122)</f>
        <v>1</v>
      </c>
      <c r="F123" s="64">
        <f t="shared" si="24"/>
        <v>0</v>
      </c>
      <c r="G123" s="64">
        <f t="shared" si="24"/>
        <v>3</v>
      </c>
      <c r="H123" s="64">
        <f t="shared" si="24"/>
        <v>2</v>
      </c>
      <c r="I123" s="64">
        <f t="shared" si="24"/>
        <v>0</v>
      </c>
      <c r="J123" s="64">
        <f t="shared" si="24"/>
        <v>1</v>
      </c>
      <c r="K123" s="64">
        <f t="shared" si="24"/>
        <v>2</v>
      </c>
      <c r="L123" s="64">
        <f t="shared" si="24"/>
        <v>0</v>
      </c>
      <c r="M123" s="64">
        <f t="shared" si="24"/>
        <v>0</v>
      </c>
      <c r="N123" s="64">
        <f t="shared" si="24"/>
        <v>1</v>
      </c>
      <c r="O123" s="64">
        <f t="shared" si="24"/>
        <v>0</v>
      </c>
      <c r="P123" s="64">
        <f t="shared" si="24"/>
        <v>0</v>
      </c>
      <c r="Q123" s="64">
        <f t="shared" si="24"/>
        <v>0</v>
      </c>
      <c r="R123" s="13">
        <f t="shared" si="14"/>
        <v>10</v>
      </c>
      <c r="S123" s="5"/>
      <c r="T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13">
        <f t="shared" si="14"/>
        <v>0</v>
      </c>
      <c r="S124" s="5"/>
      <c r="T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0.0</v>
      </c>
      <c r="L125" s="60">
        <v>0.0</v>
      </c>
      <c r="M125" s="60">
        <v>1.0</v>
      </c>
      <c r="N125" s="60">
        <v>1.0</v>
      </c>
      <c r="O125" s="60">
        <v>0.0</v>
      </c>
      <c r="P125" s="60">
        <v>0.0</v>
      </c>
      <c r="Q125" s="60">
        <v>2.0</v>
      </c>
      <c r="R125" s="13">
        <f t="shared" si="14"/>
        <v>4</v>
      </c>
      <c r="S125" s="5"/>
      <c r="T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3">
        <f t="shared" si="14"/>
        <v>0</v>
      </c>
      <c r="S126" s="5"/>
      <c r="T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Q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0</v>
      </c>
      <c r="L127" s="64">
        <f t="shared" si="25"/>
        <v>0</v>
      </c>
      <c r="M127" s="64">
        <f t="shared" si="25"/>
        <v>1</v>
      </c>
      <c r="N127" s="64">
        <f t="shared" si="25"/>
        <v>1</v>
      </c>
      <c r="O127" s="64">
        <f t="shared" si="25"/>
        <v>0</v>
      </c>
      <c r="P127" s="64">
        <f t="shared" si="25"/>
        <v>0</v>
      </c>
      <c r="Q127" s="64">
        <f t="shared" si="25"/>
        <v>2</v>
      </c>
      <c r="R127" s="13">
        <f t="shared" si="14"/>
        <v>4</v>
      </c>
      <c r="S127" s="5"/>
      <c r="T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13">
        <f t="shared" si="14"/>
        <v>0</v>
      </c>
      <c r="S128" s="5"/>
      <c r="T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0.0</v>
      </c>
      <c r="H129" s="60">
        <v>0.0</v>
      </c>
      <c r="I129" s="60">
        <v>0.0</v>
      </c>
      <c r="J129" s="60">
        <v>0.0</v>
      </c>
      <c r="K129" s="60">
        <v>0.0</v>
      </c>
      <c r="L129" s="60">
        <v>0.0</v>
      </c>
      <c r="M129" s="60">
        <v>0.0</v>
      </c>
      <c r="N129" s="60">
        <v>0.0</v>
      </c>
      <c r="O129" s="60">
        <v>0.0</v>
      </c>
      <c r="P129" s="60">
        <v>0.0</v>
      </c>
      <c r="Q129" s="60">
        <v>1.0</v>
      </c>
      <c r="R129" s="13">
        <f t="shared" si="14"/>
        <v>1</v>
      </c>
      <c r="S129" s="5"/>
      <c r="T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0.0</v>
      </c>
      <c r="G130" s="60">
        <v>0.0</v>
      </c>
      <c r="H130" s="60">
        <v>2.0</v>
      </c>
      <c r="I130" s="60">
        <v>2.0</v>
      </c>
      <c r="J130" s="60">
        <v>6.0</v>
      </c>
      <c r="K130" s="60">
        <v>1.0</v>
      </c>
      <c r="L130" s="60">
        <v>0.0</v>
      </c>
      <c r="M130" s="60">
        <v>1.0</v>
      </c>
      <c r="N130" s="60">
        <v>0.0</v>
      </c>
      <c r="O130" s="60">
        <v>0.0</v>
      </c>
      <c r="P130" s="60">
        <v>0.0</v>
      </c>
      <c r="Q130" s="60">
        <v>0.0</v>
      </c>
      <c r="R130" s="13">
        <f t="shared" si="14"/>
        <v>12</v>
      </c>
      <c r="S130" s="1"/>
      <c r="T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60">
        <v>0.0</v>
      </c>
      <c r="O131" s="60">
        <v>0.0</v>
      </c>
      <c r="P131" s="60">
        <v>0.0</v>
      </c>
      <c r="Q131" s="60">
        <v>0.0</v>
      </c>
      <c r="R131" s="13">
        <f t="shared" si="14"/>
        <v>0</v>
      </c>
      <c r="S131" s="54"/>
      <c r="T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1.0</v>
      </c>
      <c r="K132" s="60">
        <v>0.0</v>
      </c>
      <c r="L132" s="60">
        <v>0.0</v>
      </c>
      <c r="M132" s="60">
        <v>0.0</v>
      </c>
      <c r="N132" s="60">
        <v>0.0</v>
      </c>
      <c r="O132" s="60">
        <v>0.0</v>
      </c>
      <c r="P132" s="60">
        <v>0.0</v>
      </c>
      <c r="Q132" s="60">
        <v>0.0</v>
      </c>
      <c r="R132" s="13">
        <f t="shared" si="14"/>
        <v>1</v>
      </c>
      <c r="S132" s="5"/>
      <c r="T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60">
        <v>0.0</v>
      </c>
      <c r="P133" s="60">
        <v>0.0</v>
      </c>
      <c r="Q133" s="60">
        <v>0.0</v>
      </c>
      <c r="R133" s="13">
        <f t="shared" si="14"/>
        <v>0</v>
      </c>
      <c r="S133" s="5"/>
      <c r="T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1.0</v>
      </c>
      <c r="K134" s="60">
        <v>1.0</v>
      </c>
      <c r="L134" s="60">
        <v>0.0</v>
      </c>
      <c r="M134" s="60">
        <v>0.0</v>
      </c>
      <c r="N134" s="60">
        <v>0.0</v>
      </c>
      <c r="O134" s="60">
        <v>0.0</v>
      </c>
      <c r="P134" s="60">
        <v>0.0</v>
      </c>
      <c r="Q134" s="60">
        <v>0.0</v>
      </c>
      <c r="R134" s="13">
        <f t="shared" si="14"/>
        <v>2</v>
      </c>
      <c r="S134" s="5"/>
      <c r="T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60">
        <v>0.0</v>
      </c>
      <c r="Q135" s="60">
        <v>0.0</v>
      </c>
      <c r="R135" s="13">
        <f t="shared" si="14"/>
        <v>0</v>
      </c>
      <c r="S135" s="5"/>
      <c r="T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Q136" si="26">SUM(E129:E135)</f>
        <v>0</v>
      </c>
      <c r="F136" s="64">
        <f t="shared" si="26"/>
        <v>0</v>
      </c>
      <c r="G136" s="64">
        <f t="shared" si="26"/>
        <v>0</v>
      </c>
      <c r="H136" s="64">
        <f t="shared" si="26"/>
        <v>2</v>
      </c>
      <c r="I136" s="64">
        <f t="shared" si="26"/>
        <v>2</v>
      </c>
      <c r="J136" s="64">
        <f t="shared" si="26"/>
        <v>8</v>
      </c>
      <c r="K136" s="64">
        <f t="shared" si="26"/>
        <v>2</v>
      </c>
      <c r="L136" s="64">
        <f t="shared" si="26"/>
        <v>0</v>
      </c>
      <c r="M136" s="64">
        <f t="shared" si="26"/>
        <v>1</v>
      </c>
      <c r="N136" s="64">
        <f t="shared" si="26"/>
        <v>0</v>
      </c>
      <c r="O136" s="64">
        <f t="shared" si="26"/>
        <v>0</v>
      </c>
      <c r="P136" s="64">
        <f t="shared" si="26"/>
        <v>0</v>
      </c>
      <c r="Q136" s="64">
        <f t="shared" si="26"/>
        <v>1</v>
      </c>
      <c r="R136" s="13">
        <f t="shared" si="14"/>
        <v>16</v>
      </c>
      <c r="S136" s="5"/>
      <c r="T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13">
        <f t="shared" si="14"/>
        <v>0</v>
      </c>
      <c r="S137" s="5"/>
      <c r="T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2.0</v>
      </c>
      <c r="F138" s="60">
        <v>2.0</v>
      </c>
      <c r="G138" s="60">
        <v>0.0</v>
      </c>
      <c r="H138" s="60">
        <v>0.0</v>
      </c>
      <c r="I138" s="60">
        <v>0.0</v>
      </c>
      <c r="J138" s="60">
        <v>1.0</v>
      </c>
      <c r="K138" s="60">
        <v>0.0</v>
      </c>
      <c r="L138" s="60">
        <v>0.0</v>
      </c>
      <c r="M138" s="60">
        <v>0.0</v>
      </c>
      <c r="N138" s="60">
        <v>0.0</v>
      </c>
      <c r="O138" s="60">
        <v>0.0</v>
      </c>
      <c r="P138" s="60">
        <v>0.0</v>
      </c>
      <c r="Q138" s="60">
        <v>0.0</v>
      </c>
      <c r="R138" s="13">
        <f t="shared" si="14"/>
        <v>5</v>
      </c>
      <c r="S138" s="5"/>
      <c r="T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16.0</v>
      </c>
      <c r="G139" s="60">
        <v>1.0</v>
      </c>
      <c r="H139" s="60">
        <v>0.0</v>
      </c>
      <c r="I139" s="60">
        <v>1.0</v>
      </c>
      <c r="J139" s="60">
        <v>2.0</v>
      </c>
      <c r="K139" s="60">
        <v>1.0</v>
      </c>
      <c r="L139" s="60">
        <v>0.0</v>
      </c>
      <c r="M139" s="60">
        <v>0.0</v>
      </c>
      <c r="N139" s="60">
        <v>0.0</v>
      </c>
      <c r="O139" s="60">
        <v>0.0</v>
      </c>
      <c r="P139" s="60">
        <v>0.0</v>
      </c>
      <c r="Q139" s="60">
        <v>0.0</v>
      </c>
      <c r="R139" s="13">
        <f t="shared" si="14"/>
        <v>21</v>
      </c>
      <c r="S139" s="5"/>
      <c r="T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60">
        <v>0.0</v>
      </c>
      <c r="Q140" s="60">
        <v>0.0</v>
      </c>
      <c r="R140" s="13">
        <f t="shared" si="14"/>
        <v>0</v>
      </c>
      <c r="S140" s="5"/>
      <c r="T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60">
        <v>1.0</v>
      </c>
      <c r="O141" s="60">
        <v>0.0</v>
      </c>
      <c r="P141" s="60">
        <v>0.0</v>
      </c>
      <c r="Q141" s="60">
        <v>0.0</v>
      </c>
      <c r="R141" s="13">
        <f t="shared" si="14"/>
        <v>1</v>
      </c>
      <c r="S141" s="1"/>
      <c r="T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0.0</v>
      </c>
      <c r="O142" s="60">
        <v>0.0</v>
      </c>
      <c r="P142" s="60">
        <v>0.0</v>
      </c>
      <c r="Q142" s="60">
        <v>0.0</v>
      </c>
      <c r="R142" s="13">
        <f t="shared" si="14"/>
        <v>0</v>
      </c>
      <c r="S142" s="54"/>
      <c r="T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0.0</v>
      </c>
      <c r="P143" s="60">
        <v>0.0</v>
      </c>
      <c r="Q143" s="60">
        <v>0.0</v>
      </c>
      <c r="R143" s="13">
        <f t="shared" si="14"/>
        <v>0</v>
      </c>
      <c r="S143" s="5"/>
      <c r="T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60">
        <v>0.0</v>
      </c>
      <c r="P144" s="60">
        <v>0.0</v>
      </c>
      <c r="Q144" s="60">
        <v>0.0</v>
      </c>
      <c r="R144" s="13">
        <f t="shared" si="14"/>
        <v>0</v>
      </c>
      <c r="S144" s="5"/>
      <c r="T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Q145" si="27">SUM(E138:E144)</f>
        <v>2</v>
      </c>
      <c r="F145" s="64">
        <f t="shared" si="27"/>
        <v>18</v>
      </c>
      <c r="G145" s="64">
        <f t="shared" si="27"/>
        <v>1</v>
      </c>
      <c r="H145" s="64">
        <f t="shared" si="27"/>
        <v>0</v>
      </c>
      <c r="I145" s="64">
        <f t="shared" si="27"/>
        <v>1</v>
      </c>
      <c r="J145" s="64">
        <f t="shared" si="27"/>
        <v>3</v>
      </c>
      <c r="K145" s="64">
        <f t="shared" si="27"/>
        <v>1</v>
      </c>
      <c r="L145" s="64">
        <f t="shared" si="27"/>
        <v>0</v>
      </c>
      <c r="M145" s="64">
        <f t="shared" si="27"/>
        <v>0</v>
      </c>
      <c r="N145" s="64">
        <f t="shared" si="27"/>
        <v>1</v>
      </c>
      <c r="O145" s="64">
        <f t="shared" si="27"/>
        <v>0</v>
      </c>
      <c r="P145" s="64">
        <f t="shared" si="27"/>
        <v>0</v>
      </c>
      <c r="Q145" s="64">
        <f t="shared" si="27"/>
        <v>0</v>
      </c>
      <c r="R145" s="13">
        <f t="shared" si="14"/>
        <v>27</v>
      </c>
      <c r="S145" s="5"/>
      <c r="T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13">
        <f t="shared" si="14"/>
        <v>0</v>
      </c>
      <c r="S146" s="5"/>
      <c r="T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3.0</v>
      </c>
      <c r="F147" s="60">
        <v>2.0</v>
      </c>
      <c r="G147" s="60">
        <v>7.0</v>
      </c>
      <c r="H147" s="60">
        <v>4.0</v>
      </c>
      <c r="I147" s="60">
        <v>2.0</v>
      </c>
      <c r="J147" s="60">
        <v>5.0</v>
      </c>
      <c r="K147" s="60">
        <v>4.0</v>
      </c>
      <c r="L147" s="60">
        <v>5.0</v>
      </c>
      <c r="M147" s="60">
        <v>4.0</v>
      </c>
      <c r="N147" s="60">
        <v>4.0</v>
      </c>
      <c r="O147" s="60">
        <v>0.0</v>
      </c>
      <c r="P147" s="60">
        <v>0.0</v>
      </c>
      <c r="Q147" s="60">
        <v>0.0</v>
      </c>
      <c r="R147" s="13">
        <f t="shared" si="14"/>
        <v>40</v>
      </c>
      <c r="S147" s="5"/>
      <c r="T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8.0</v>
      </c>
      <c r="F148" s="60">
        <v>6.0</v>
      </c>
      <c r="G148" s="60">
        <v>4.0</v>
      </c>
      <c r="H148" s="60">
        <v>5.0</v>
      </c>
      <c r="I148" s="60">
        <v>4.0</v>
      </c>
      <c r="J148" s="60">
        <v>5.0</v>
      </c>
      <c r="K148" s="60">
        <v>5.0</v>
      </c>
      <c r="L148" s="60">
        <v>7.0</v>
      </c>
      <c r="M148" s="60">
        <v>5.0</v>
      </c>
      <c r="N148" s="60">
        <v>7.0</v>
      </c>
      <c r="O148" s="60">
        <v>5.0</v>
      </c>
      <c r="P148" s="60">
        <v>0.0</v>
      </c>
      <c r="Q148" s="60">
        <v>3.0</v>
      </c>
      <c r="R148" s="13">
        <f t="shared" si="14"/>
        <v>64</v>
      </c>
      <c r="S148" s="5"/>
      <c r="T148" s="5"/>
    </row>
    <row r="149" ht="12.75" customHeight="1">
      <c r="A149" s="18"/>
      <c r="B149" s="57"/>
      <c r="C149" s="58" t="s">
        <v>128</v>
      </c>
      <c r="D149" s="59"/>
      <c r="E149" s="60">
        <v>27.0</v>
      </c>
      <c r="F149" s="60">
        <v>42.0</v>
      </c>
      <c r="G149" s="60">
        <v>14.0</v>
      </c>
      <c r="H149" s="60">
        <v>8.0</v>
      </c>
      <c r="I149" s="60">
        <v>5.0</v>
      </c>
      <c r="J149" s="60">
        <v>15.0</v>
      </c>
      <c r="K149" s="60">
        <v>11.0</v>
      </c>
      <c r="L149" s="60">
        <v>24.0</v>
      </c>
      <c r="M149" s="60">
        <v>7.0</v>
      </c>
      <c r="N149" s="60">
        <v>50.0</v>
      </c>
      <c r="O149" s="60">
        <v>3.0</v>
      </c>
      <c r="P149" s="60">
        <v>1.0</v>
      </c>
      <c r="Q149" s="60">
        <v>5.0</v>
      </c>
      <c r="R149" s="13">
        <f t="shared" si="14"/>
        <v>212</v>
      </c>
      <c r="S149" s="5"/>
      <c r="T149" s="5"/>
    </row>
    <row r="150" ht="12.75" customHeight="1">
      <c r="A150" s="18"/>
      <c r="B150" s="57"/>
      <c r="C150" s="58" t="s">
        <v>129</v>
      </c>
      <c r="D150" s="59"/>
      <c r="E150" s="60">
        <v>0.0</v>
      </c>
      <c r="F150" s="60">
        <v>1.0</v>
      </c>
      <c r="G150" s="60">
        <v>0.0</v>
      </c>
      <c r="H150" s="60">
        <v>5.0</v>
      </c>
      <c r="I150" s="60">
        <v>6.0</v>
      </c>
      <c r="J150" s="60">
        <v>3.0</v>
      </c>
      <c r="K150" s="60">
        <v>12.0</v>
      </c>
      <c r="L150" s="60">
        <v>0.0</v>
      </c>
      <c r="M150" s="60">
        <v>14.0</v>
      </c>
      <c r="N150" s="60">
        <v>0.0</v>
      </c>
      <c r="O150" s="60">
        <v>1.0</v>
      </c>
      <c r="P150" s="60">
        <v>2.0</v>
      </c>
      <c r="Q150" s="60">
        <v>0.0</v>
      </c>
      <c r="R150" s="13">
        <f t="shared" si="14"/>
        <v>44</v>
      </c>
      <c r="S150" s="5"/>
      <c r="T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1.0</v>
      </c>
      <c r="H151" s="60">
        <v>0.0</v>
      </c>
      <c r="I151" s="60">
        <v>0.0</v>
      </c>
      <c r="J151" s="60">
        <v>0.0</v>
      </c>
      <c r="K151" s="60">
        <v>0.0</v>
      </c>
      <c r="L151" s="60">
        <v>1.0</v>
      </c>
      <c r="M151" s="60">
        <v>0.0</v>
      </c>
      <c r="N151" s="60">
        <v>0.0</v>
      </c>
      <c r="O151" s="60">
        <v>0.0</v>
      </c>
      <c r="P151" s="60">
        <v>0.0</v>
      </c>
      <c r="Q151" s="60">
        <v>0.0</v>
      </c>
      <c r="R151" s="13">
        <f t="shared" si="14"/>
        <v>2</v>
      </c>
      <c r="S151" s="1"/>
      <c r="T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60">
        <v>0.0</v>
      </c>
      <c r="L152" s="60">
        <v>0.0</v>
      </c>
      <c r="M152" s="60">
        <v>1.0</v>
      </c>
      <c r="N152" s="60">
        <v>0.0</v>
      </c>
      <c r="O152" s="60">
        <v>0.0</v>
      </c>
      <c r="P152" s="60">
        <v>0.0</v>
      </c>
      <c r="Q152" s="60">
        <v>0.0</v>
      </c>
      <c r="R152" s="13">
        <f t="shared" si="14"/>
        <v>1</v>
      </c>
      <c r="S152" s="54"/>
      <c r="T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0.0</v>
      </c>
      <c r="N153" s="60">
        <v>0.0</v>
      </c>
      <c r="O153" s="60">
        <v>0.0</v>
      </c>
      <c r="P153" s="60">
        <v>0.0</v>
      </c>
      <c r="Q153" s="60">
        <v>0.0</v>
      </c>
      <c r="R153" s="13">
        <f t="shared" si="14"/>
        <v>0</v>
      </c>
      <c r="S153" s="5"/>
      <c r="T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Q154" si="28">SUM(E147:E153)</f>
        <v>38</v>
      </c>
      <c r="F154" s="64">
        <f t="shared" si="28"/>
        <v>51</v>
      </c>
      <c r="G154" s="64">
        <f t="shared" si="28"/>
        <v>26</v>
      </c>
      <c r="H154" s="64">
        <f t="shared" si="28"/>
        <v>22</v>
      </c>
      <c r="I154" s="64">
        <f t="shared" si="28"/>
        <v>17</v>
      </c>
      <c r="J154" s="64">
        <f t="shared" si="28"/>
        <v>28</v>
      </c>
      <c r="K154" s="64">
        <f t="shared" si="28"/>
        <v>32</v>
      </c>
      <c r="L154" s="64">
        <f t="shared" si="28"/>
        <v>37</v>
      </c>
      <c r="M154" s="64">
        <f t="shared" si="28"/>
        <v>31</v>
      </c>
      <c r="N154" s="64">
        <f t="shared" si="28"/>
        <v>61</v>
      </c>
      <c r="O154" s="64">
        <f t="shared" si="28"/>
        <v>9</v>
      </c>
      <c r="P154" s="64">
        <f t="shared" si="28"/>
        <v>3</v>
      </c>
      <c r="Q154" s="64">
        <f t="shared" si="28"/>
        <v>8</v>
      </c>
      <c r="R154" s="13">
        <f t="shared" si="14"/>
        <v>363</v>
      </c>
      <c r="S154" s="5"/>
      <c r="T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13">
        <f t="shared" si="14"/>
        <v>0</v>
      </c>
      <c r="S155" s="5"/>
      <c r="T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0.0</v>
      </c>
      <c r="F156" s="60">
        <v>1.0</v>
      </c>
      <c r="G156" s="60">
        <v>0.0</v>
      </c>
      <c r="H156" s="60">
        <v>0.0</v>
      </c>
      <c r="I156" s="60">
        <v>1.0</v>
      </c>
      <c r="J156" s="60">
        <v>0.0</v>
      </c>
      <c r="K156" s="60">
        <v>0.0</v>
      </c>
      <c r="L156" s="60">
        <v>0.0</v>
      </c>
      <c r="M156" s="60">
        <v>0.0</v>
      </c>
      <c r="N156" s="60">
        <v>0.0</v>
      </c>
      <c r="O156" s="60">
        <v>0.0</v>
      </c>
      <c r="P156" s="60">
        <v>0.0</v>
      </c>
      <c r="Q156" s="60">
        <v>0.0</v>
      </c>
      <c r="R156" s="13">
        <f t="shared" si="14"/>
        <v>2</v>
      </c>
      <c r="S156" s="5"/>
      <c r="T156" s="5"/>
    </row>
    <row r="157" ht="12.75" customHeight="1">
      <c r="A157" s="31"/>
      <c r="B157" s="50"/>
      <c r="C157" s="58" t="s">
        <v>135</v>
      </c>
      <c r="D157" s="65"/>
      <c r="E157" s="60">
        <v>1.0</v>
      </c>
      <c r="F157" s="60">
        <v>0.0</v>
      </c>
      <c r="G157" s="60">
        <v>0.0</v>
      </c>
      <c r="H157" s="60">
        <v>0.0</v>
      </c>
      <c r="I157" s="60">
        <v>1.0</v>
      </c>
      <c r="J157" s="60">
        <v>0.0</v>
      </c>
      <c r="K157" s="60">
        <v>0.0</v>
      </c>
      <c r="L157" s="60">
        <v>0.0</v>
      </c>
      <c r="M157" s="60">
        <v>2.0</v>
      </c>
      <c r="N157" s="60">
        <v>0.0</v>
      </c>
      <c r="O157" s="60">
        <v>0.0</v>
      </c>
      <c r="P157" s="60">
        <v>0.0</v>
      </c>
      <c r="Q157" s="60">
        <v>0.0</v>
      </c>
      <c r="R157" s="13">
        <f t="shared" si="14"/>
        <v>4</v>
      </c>
      <c r="S157" s="5"/>
      <c r="T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0.0</v>
      </c>
      <c r="H158" s="60">
        <v>0.0</v>
      </c>
      <c r="I158" s="60">
        <v>0.0</v>
      </c>
      <c r="J158" s="60">
        <v>2.0</v>
      </c>
      <c r="K158" s="60">
        <v>0.0</v>
      </c>
      <c r="L158" s="60">
        <v>0.0</v>
      </c>
      <c r="M158" s="60">
        <v>0.0</v>
      </c>
      <c r="N158" s="60">
        <v>0.0</v>
      </c>
      <c r="O158" s="60">
        <v>0.0</v>
      </c>
      <c r="P158" s="60">
        <v>0.0</v>
      </c>
      <c r="Q158" s="60">
        <v>0.0</v>
      </c>
      <c r="R158" s="13">
        <f t="shared" si="14"/>
        <v>2</v>
      </c>
      <c r="S158" s="5"/>
      <c r="T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60">
        <v>1.0</v>
      </c>
      <c r="O159" s="60">
        <v>0.0</v>
      </c>
      <c r="P159" s="60">
        <v>0.0</v>
      </c>
      <c r="Q159" s="60">
        <v>0.0</v>
      </c>
      <c r="R159" s="13">
        <f t="shared" si="14"/>
        <v>1</v>
      </c>
      <c r="S159" s="5"/>
      <c r="T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0.0</v>
      </c>
      <c r="N160" s="60">
        <v>0.0</v>
      </c>
      <c r="O160" s="60">
        <v>0.0</v>
      </c>
      <c r="P160" s="60">
        <v>0.0</v>
      </c>
      <c r="Q160" s="60">
        <v>0.0</v>
      </c>
      <c r="R160" s="13">
        <f t="shared" si="14"/>
        <v>0</v>
      </c>
      <c r="S160" s="5"/>
      <c r="T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1.0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0.0</v>
      </c>
      <c r="R161" s="13">
        <f t="shared" si="14"/>
        <v>1</v>
      </c>
      <c r="S161" s="5"/>
      <c r="T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Q162" si="29">SUM(E156:E161)</f>
        <v>1</v>
      </c>
      <c r="F162" s="64">
        <f t="shared" si="29"/>
        <v>1</v>
      </c>
      <c r="G162" s="64">
        <f t="shared" si="29"/>
        <v>1</v>
      </c>
      <c r="H162" s="64">
        <f t="shared" si="29"/>
        <v>0</v>
      </c>
      <c r="I162" s="64">
        <f t="shared" si="29"/>
        <v>2</v>
      </c>
      <c r="J162" s="64">
        <f t="shared" si="29"/>
        <v>2</v>
      </c>
      <c r="K162" s="64">
        <f t="shared" si="29"/>
        <v>0</v>
      </c>
      <c r="L162" s="64">
        <f t="shared" si="29"/>
        <v>0</v>
      </c>
      <c r="M162" s="64">
        <f t="shared" si="29"/>
        <v>2</v>
      </c>
      <c r="N162" s="64">
        <f t="shared" si="29"/>
        <v>1</v>
      </c>
      <c r="O162" s="64">
        <f t="shared" si="29"/>
        <v>0</v>
      </c>
      <c r="P162" s="64">
        <f t="shared" si="29"/>
        <v>0</v>
      </c>
      <c r="Q162" s="64">
        <f t="shared" si="29"/>
        <v>0</v>
      </c>
      <c r="R162" s="13">
        <f t="shared" si="14"/>
        <v>10</v>
      </c>
      <c r="S162" s="5"/>
      <c r="T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13">
        <f t="shared" si="14"/>
        <v>0</v>
      </c>
      <c r="S163" s="5"/>
      <c r="T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60">
        <v>0.0</v>
      </c>
      <c r="O164" s="60">
        <v>0.0</v>
      </c>
      <c r="P164" s="60">
        <v>0.0</v>
      </c>
      <c r="Q164" s="60">
        <v>0.0</v>
      </c>
      <c r="R164" s="13">
        <f t="shared" si="14"/>
        <v>0</v>
      </c>
      <c r="S164" s="5"/>
      <c r="T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1.0</v>
      </c>
      <c r="G165" s="60">
        <v>0.0</v>
      </c>
      <c r="H165" s="60">
        <v>0.0</v>
      </c>
      <c r="I165" s="60">
        <v>0.0</v>
      </c>
      <c r="J165" s="60">
        <v>0.0</v>
      </c>
      <c r="K165" s="60">
        <v>1.0</v>
      </c>
      <c r="L165" s="60">
        <v>0.0</v>
      </c>
      <c r="M165" s="60">
        <v>0.0</v>
      </c>
      <c r="N165" s="60">
        <v>0.0</v>
      </c>
      <c r="O165" s="60">
        <v>0.0</v>
      </c>
      <c r="P165" s="60">
        <v>0.0</v>
      </c>
      <c r="Q165" s="60">
        <v>0.0</v>
      </c>
      <c r="R165" s="13">
        <f t="shared" si="14"/>
        <v>2</v>
      </c>
      <c r="S165" s="1"/>
      <c r="T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60">
        <v>0.0</v>
      </c>
      <c r="P166" s="60">
        <v>0.0</v>
      </c>
      <c r="Q166" s="60">
        <v>0.0</v>
      </c>
      <c r="R166" s="13">
        <f t="shared" si="14"/>
        <v>0</v>
      </c>
      <c r="S166" s="54"/>
      <c r="T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13">
        <f t="shared" si="14"/>
        <v>0</v>
      </c>
      <c r="S167" s="5"/>
      <c r="T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0.0</v>
      </c>
      <c r="R168" s="13">
        <f t="shared" si="14"/>
        <v>0</v>
      </c>
      <c r="S168" s="5"/>
      <c r="T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60">
        <v>0.0</v>
      </c>
      <c r="P169" s="60">
        <v>0.0</v>
      </c>
      <c r="Q169" s="60">
        <v>0.0</v>
      </c>
      <c r="R169" s="13">
        <f t="shared" si="14"/>
        <v>0</v>
      </c>
      <c r="S169" s="5"/>
      <c r="T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13">
        <f t="shared" si="14"/>
        <v>0</v>
      </c>
      <c r="S170" s="5"/>
      <c r="T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Q171" si="30">SUM(E164:E170)</f>
        <v>0</v>
      </c>
      <c r="F171" s="64">
        <f t="shared" si="30"/>
        <v>1</v>
      </c>
      <c r="G171" s="64">
        <f t="shared" si="30"/>
        <v>0</v>
      </c>
      <c r="H171" s="64">
        <f t="shared" si="30"/>
        <v>0</v>
      </c>
      <c r="I171" s="64">
        <f t="shared" si="30"/>
        <v>0</v>
      </c>
      <c r="J171" s="64">
        <f t="shared" si="30"/>
        <v>0</v>
      </c>
      <c r="K171" s="64">
        <f t="shared" si="30"/>
        <v>1</v>
      </c>
      <c r="L171" s="64">
        <f t="shared" si="30"/>
        <v>0</v>
      </c>
      <c r="M171" s="64">
        <f t="shared" si="30"/>
        <v>0</v>
      </c>
      <c r="N171" s="64">
        <f t="shared" si="30"/>
        <v>0</v>
      </c>
      <c r="O171" s="64">
        <f t="shared" si="30"/>
        <v>0</v>
      </c>
      <c r="P171" s="64">
        <f t="shared" si="30"/>
        <v>0</v>
      </c>
      <c r="Q171" s="64">
        <f t="shared" si="30"/>
        <v>0</v>
      </c>
      <c r="R171" s="13">
        <f t="shared" si="14"/>
        <v>2</v>
      </c>
      <c r="S171" s="5"/>
      <c r="T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13">
        <f t="shared" si="14"/>
        <v>0</v>
      </c>
      <c r="S172" s="5"/>
      <c r="T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0.0</v>
      </c>
      <c r="G173" s="60">
        <v>1.0</v>
      </c>
      <c r="H173" s="60">
        <v>0.0</v>
      </c>
      <c r="I173" s="60">
        <v>1.0</v>
      </c>
      <c r="J173" s="60">
        <v>1.0</v>
      </c>
      <c r="K173" s="60">
        <v>1.0</v>
      </c>
      <c r="L173" s="60">
        <v>1.0</v>
      </c>
      <c r="M173" s="60">
        <v>0.0</v>
      </c>
      <c r="N173" s="60">
        <v>0.0</v>
      </c>
      <c r="O173" s="60">
        <v>0.0</v>
      </c>
      <c r="P173" s="60">
        <v>0.0</v>
      </c>
      <c r="Q173" s="60">
        <v>0.0</v>
      </c>
      <c r="R173" s="13">
        <f t="shared" si="14"/>
        <v>5</v>
      </c>
      <c r="S173" s="5"/>
      <c r="T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0.0</v>
      </c>
      <c r="G174" s="60">
        <v>0.0</v>
      </c>
      <c r="H174" s="60">
        <v>0.0</v>
      </c>
      <c r="I174" s="60">
        <v>1.0</v>
      </c>
      <c r="J174" s="60">
        <v>0.0</v>
      </c>
      <c r="K174" s="60">
        <v>1.0</v>
      </c>
      <c r="L174" s="60">
        <v>4.0</v>
      </c>
      <c r="M174" s="60">
        <v>1.0</v>
      </c>
      <c r="N174" s="60">
        <v>0.0</v>
      </c>
      <c r="O174" s="60">
        <v>0.0</v>
      </c>
      <c r="P174" s="60">
        <v>0.0</v>
      </c>
      <c r="Q174" s="60">
        <v>0.0</v>
      </c>
      <c r="R174" s="13">
        <f t="shared" si="14"/>
        <v>7</v>
      </c>
      <c r="S174" s="5"/>
      <c r="T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1.0</v>
      </c>
      <c r="G175" s="60">
        <v>0.0</v>
      </c>
      <c r="H175" s="60">
        <v>0.0</v>
      </c>
      <c r="I175" s="60">
        <v>0.0</v>
      </c>
      <c r="J175" s="60">
        <v>0.0</v>
      </c>
      <c r="K175" s="60">
        <v>0.0</v>
      </c>
      <c r="L175" s="60">
        <v>0.0</v>
      </c>
      <c r="M175" s="60">
        <v>0.0</v>
      </c>
      <c r="N175" s="60">
        <v>0.0</v>
      </c>
      <c r="O175" s="60">
        <v>0.0</v>
      </c>
      <c r="P175" s="60">
        <v>0.0</v>
      </c>
      <c r="Q175" s="60">
        <v>0.0</v>
      </c>
      <c r="R175" s="13">
        <f t="shared" si="14"/>
        <v>1</v>
      </c>
      <c r="S175" s="5"/>
      <c r="T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0.0</v>
      </c>
      <c r="G176" s="60">
        <v>1.0</v>
      </c>
      <c r="H176" s="60">
        <v>0.0</v>
      </c>
      <c r="I176" s="60">
        <v>0.0</v>
      </c>
      <c r="J176" s="60">
        <v>0.0</v>
      </c>
      <c r="K176" s="60">
        <v>1.0</v>
      </c>
      <c r="L176" s="60">
        <v>0.0</v>
      </c>
      <c r="M176" s="60">
        <v>0.0</v>
      </c>
      <c r="N176" s="60">
        <v>0.0</v>
      </c>
      <c r="O176" s="60">
        <v>0.0</v>
      </c>
      <c r="P176" s="60">
        <v>0.0</v>
      </c>
      <c r="Q176" s="60">
        <v>0.0</v>
      </c>
      <c r="R176" s="13">
        <f t="shared" si="14"/>
        <v>2</v>
      </c>
      <c r="S176" s="1"/>
      <c r="T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1.0</v>
      </c>
      <c r="H177" s="60">
        <v>0.0</v>
      </c>
      <c r="I177" s="60">
        <v>1.0</v>
      </c>
      <c r="J177" s="60">
        <v>0.0</v>
      </c>
      <c r="K177" s="60">
        <v>0.0</v>
      </c>
      <c r="L177" s="60">
        <v>0.0</v>
      </c>
      <c r="M177" s="60">
        <v>0.0</v>
      </c>
      <c r="N177" s="60">
        <v>0.0</v>
      </c>
      <c r="O177" s="60">
        <v>0.0</v>
      </c>
      <c r="P177" s="60">
        <v>0.0</v>
      </c>
      <c r="Q177" s="60">
        <v>0.0</v>
      </c>
      <c r="R177" s="13">
        <f t="shared" si="14"/>
        <v>2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1.0</v>
      </c>
      <c r="K178" s="60">
        <v>0.0</v>
      </c>
      <c r="L178" s="60">
        <v>0.0</v>
      </c>
      <c r="M178" s="60">
        <v>0.0</v>
      </c>
      <c r="N178" s="60">
        <v>0.0</v>
      </c>
      <c r="O178" s="60">
        <v>0.0</v>
      </c>
      <c r="P178" s="60">
        <v>0.0</v>
      </c>
      <c r="Q178" s="60">
        <v>0.0</v>
      </c>
      <c r="R178" s="13">
        <f t="shared" si="14"/>
        <v>1</v>
      </c>
      <c r="S178" s="5"/>
      <c r="T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1.0</v>
      </c>
      <c r="J179" s="60">
        <v>1.0</v>
      </c>
      <c r="K179" s="60">
        <v>0.0</v>
      </c>
      <c r="L179" s="60">
        <v>0.0</v>
      </c>
      <c r="M179" s="60">
        <v>0.0</v>
      </c>
      <c r="N179" s="60">
        <v>0.0</v>
      </c>
      <c r="O179" s="60">
        <v>1.0</v>
      </c>
      <c r="P179" s="60">
        <v>0.0</v>
      </c>
      <c r="Q179" s="60">
        <v>0.0</v>
      </c>
      <c r="R179" s="13">
        <f t="shared" si="14"/>
        <v>3</v>
      </c>
      <c r="S179" s="5"/>
      <c r="T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Q180" si="31">SUM(E173:E179)</f>
        <v>0</v>
      </c>
      <c r="F180" s="64">
        <f t="shared" si="31"/>
        <v>1</v>
      </c>
      <c r="G180" s="64">
        <f t="shared" si="31"/>
        <v>3</v>
      </c>
      <c r="H180" s="64">
        <f t="shared" si="31"/>
        <v>0</v>
      </c>
      <c r="I180" s="64">
        <f t="shared" si="31"/>
        <v>4</v>
      </c>
      <c r="J180" s="64">
        <f t="shared" si="31"/>
        <v>3</v>
      </c>
      <c r="K180" s="64">
        <f t="shared" si="31"/>
        <v>3</v>
      </c>
      <c r="L180" s="64">
        <f t="shared" si="31"/>
        <v>5</v>
      </c>
      <c r="M180" s="64">
        <f t="shared" si="31"/>
        <v>1</v>
      </c>
      <c r="N180" s="64">
        <f t="shared" si="31"/>
        <v>0</v>
      </c>
      <c r="O180" s="64">
        <f t="shared" si="31"/>
        <v>1</v>
      </c>
      <c r="P180" s="64">
        <f t="shared" si="31"/>
        <v>0</v>
      </c>
      <c r="Q180" s="64">
        <f t="shared" si="31"/>
        <v>0</v>
      </c>
      <c r="R180" s="13">
        <f t="shared" si="14"/>
        <v>21</v>
      </c>
      <c r="S180" s="5"/>
      <c r="T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13">
        <f t="shared" si="14"/>
        <v>0</v>
      </c>
      <c r="S181" s="5"/>
      <c r="T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0.0</v>
      </c>
      <c r="L182" s="60">
        <v>0.0</v>
      </c>
      <c r="M182" s="60">
        <v>0.0</v>
      </c>
      <c r="N182" s="60">
        <v>0.0</v>
      </c>
      <c r="O182" s="60">
        <v>0.0</v>
      </c>
      <c r="P182" s="60">
        <v>0.0</v>
      </c>
      <c r="Q182" s="60">
        <v>0.0</v>
      </c>
      <c r="R182" s="13">
        <f t="shared" si="14"/>
        <v>0</v>
      </c>
      <c r="S182" s="5"/>
      <c r="T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60">
        <v>0.0</v>
      </c>
      <c r="L183" s="60">
        <v>0.0</v>
      </c>
      <c r="M183" s="60">
        <v>0.0</v>
      </c>
      <c r="N183" s="60">
        <v>0.0</v>
      </c>
      <c r="O183" s="60">
        <v>0.0</v>
      </c>
      <c r="P183" s="60">
        <v>0.0</v>
      </c>
      <c r="Q183" s="60">
        <v>0.0</v>
      </c>
      <c r="R183" s="13">
        <f t="shared" si="14"/>
        <v>0</v>
      </c>
      <c r="S183" s="5"/>
      <c r="T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60">
        <v>0.0</v>
      </c>
      <c r="P184" s="60">
        <v>0.0</v>
      </c>
      <c r="Q184" s="60">
        <v>0.0</v>
      </c>
      <c r="R184" s="13">
        <f t="shared" si="14"/>
        <v>0</v>
      </c>
      <c r="S184" s="5"/>
      <c r="T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13">
        <f t="shared" si="14"/>
        <v>0</v>
      </c>
      <c r="S185" s="5"/>
      <c r="T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60">
        <v>1.0</v>
      </c>
      <c r="P186" s="60">
        <v>0.0</v>
      </c>
      <c r="Q186" s="60">
        <v>0.0</v>
      </c>
      <c r="R186" s="13">
        <f t="shared" si="14"/>
        <v>1</v>
      </c>
      <c r="S186" s="5"/>
      <c r="T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Q187" si="32">SUM(E182:E186)</f>
        <v>0</v>
      </c>
      <c r="F187" s="64">
        <f t="shared" si="32"/>
        <v>0</v>
      </c>
      <c r="G187" s="64">
        <f t="shared" si="32"/>
        <v>0</v>
      </c>
      <c r="H187" s="64">
        <f t="shared" si="32"/>
        <v>0</v>
      </c>
      <c r="I187" s="64">
        <f t="shared" si="32"/>
        <v>0</v>
      </c>
      <c r="J187" s="64">
        <f t="shared" si="32"/>
        <v>0</v>
      </c>
      <c r="K187" s="64">
        <f t="shared" si="32"/>
        <v>0</v>
      </c>
      <c r="L187" s="64">
        <f t="shared" si="32"/>
        <v>0</v>
      </c>
      <c r="M187" s="64">
        <f t="shared" si="32"/>
        <v>0</v>
      </c>
      <c r="N187" s="64">
        <f t="shared" si="32"/>
        <v>0</v>
      </c>
      <c r="O187" s="64">
        <f t="shared" si="32"/>
        <v>1</v>
      </c>
      <c r="P187" s="64">
        <f t="shared" si="32"/>
        <v>0</v>
      </c>
      <c r="Q187" s="64">
        <f t="shared" si="32"/>
        <v>0</v>
      </c>
      <c r="R187" s="13">
        <f t="shared" si="14"/>
        <v>1</v>
      </c>
      <c r="S187" s="1"/>
      <c r="T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3">
        <f t="shared" si="14"/>
        <v>0</v>
      </c>
      <c r="S189" s="5"/>
      <c r="T189" s="5"/>
    </row>
    <row r="190" ht="12.75" customHeight="1">
      <c r="A190" s="45" t="s">
        <v>162</v>
      </c>
      <c r="B190" s="14" t="s">
        <v>163</v>
      </c>
      <c r="C190" s="15"/>
      <c r="D190" s="16"/>
      <c r="E190" s="13" t="s">
        <v>172</v>
      </c>
      <c r="F190" s="13" t="s">
        <v>173</v>
      </c>
      <c r="G190" s="13" t="s">
        <v>174</v>
      </c>
      <c r="H190" s="13" t="s">
        <v>175</v>
      </c>
      <c r="I190" s="13" t="s">
        <v>176</v>
      </c>
      <c r="J190" s="13" t="s">
        <v>177</v>
      </c>
      <c r="K190" s="13" t="s">
        <v>179</v>
      </c>
      <c r="L190" s="13" t="s">
        <v>180</v>
      </c>
      <c r="M190" s="13" t="s">
        <v>181</v>
      </c>
      <c r="N190" s="13" t="s">
        <v>183</v>
      </c>
      <c r="O190" s="13" t="s">
        <v>184</v>
      </c>
      <c r="P190" s="13" t="s">
        <v>185</v>
      </c>
      <c r="Q190" s="13" t="s">
        <v>186</v>
      </c>
      <c r="R190" s="13">
        <f t="shared" si="14"/>
        <v>0</v>
      </c>
      <c r="S190" s="5"/>
      <c r="T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Q191" si="33">E187+E180+E162+E154+E145+E136+E127+E123+E114+E110+E101+E92+E88+E79+E70+E61+E52</f>
        <v>219</v>
      </c>
      <c r="F191" s="19">
        <f t="shared" si="33"/>
        <v>212</v>
      </c>
      <c r="G191" s="19">
        <f t="shared" si="33"/>
        <v>221</v>
      </c>
      <c r="H191" s="19">
        <f t="shared" si="33"/>
        <v>211</v>
      </c>
      <c r="I191" s="19">
        <f t="shared" si="33"/>
        <v>230</v>
      </c>
      <c r="J191" s="19">
        <f t="shared" si="33"/>
        <v>221</v>
      </c>
      <c r="K191" s="19">
        <f t="shared" si="33"/>
        <v>225</v>
      </c>
      <c r="L191" s="19">
        <f t="shared" si="33"/>
        <v>222</v>
      </c>
      <c r="M191" s="19">
        <f t="shared" si="33"/>
        <v>217</v>
      </c>
      <c r="N191" s="19">
        <f t="shared" si="33"/>
        <v>165</v>
      </c>
      <c r="O191" s="19">
        <f t="shared" si="33"/>
        <v>186</v>
      </c>
      <c r="P191" s="19">
        <f t="shared" si="33"/>
        <v>206</v>
      </c>
      <c r="Q191" s="19">
        <f t="shared" si="33"/>
        <v>220</v>
      </c>
      <c r="R191" s="13">
        <f t="shared" si="14"/>
        <v>2755</v>
      </c>
      <c r="S191" s="5"/>
      <c r="T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16.0</v>
      </c>
      <c r="F192" s="60">
        <v>5.0</v>
      </c>
      <c r="G192" s="60">
        <v>15.0</v>
      </c>
      <c r="H192" s="60">
        <v>10.0</v>
      </c>
      <c r="I192" s="60">
        <v>5.0</v>
      </c>
      <c r="J192" s="60">
        <v>20.0</v>
      </c>
      <c r="K192" s="60">
        <v>9.0</v>
      </c>
      <c r="L192" s="60">
        <v>16.0</v>
      </c>
      <c r="M192" s="60">
        <v>20.0</v>
      </c>
      <c r="N192" s="60">
        <v>10.0</v>
      </c>
      <c r="O192" s="60">
        <v>7.0</v>
      </c>
      <c r="P192" s="60">
        <v>9.0</v>
      </c>
      <c r="Q192" s="60">
        <v>9.0</v>
      </c>
      <c r="R192" s="13">
        <f t="shared" si="14"/>
        <v>151</v>
      </c>
      <c r="S192" s="5"/>
      <c r="T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Q193" si="34">SUM(E191:E192)</f>
        <v>235</v>
      </c>
      <c r="F193" s="13">
        <f t="shared" si="34"/>
        <v>217</v>
      </c>
      <c r="G193" s="13">
        <f t="shared" si="34"/>
        <v>236</v>
      </c>
      <c r="H193" s="13">
        <f t="shared" si="34"/>
        <v>221</v>
      </c>
      <c r="I193" s="13">
        <f t="shared" si="34"/>
        <v>235</v>
      </c>
      <c r="J193" s="13">
        <f t="shared" si="34"/>
        <v>241</v>
      </c>
      <c r="K193" s="13">
        <f t="shared" si="34"/>
        <v>234</v>
      </c>
      <c r="L193" s="13">
        <f t="shared" si="34"/>
        <v>238</v>
      </c>
      <c r="M193" s="13">
        <f t="shared" si="34"/>
        <v>237</v>
      </c>
      <c r="N193" s="13">
        <f t="shared" si="34"/>
        <v>175</v>
      </c>
      <c r="O193" s="13">
        <f t="shared" si="34"/>
        <v>193</v>
      </c>
      <c r="P193" s="13">
        <f t="shared" si="34"/>
        <v>215</v>
      </c>
      <c r="Q193" s="13">
        <f t="shared" si="34"/>
        <v>229</v>
      </c>
      <c r="R193" s="13">
        <f t="shared" si="14"/>
        <v>2906</v>
      </c>
      <c r="S193" s="5"/>
      <c r="T193" s="5"/>
    </row>
    <row r="194" ht="12.75" customHeight="1">
      <c r="S194" s="5"/>
      <c r="T194" s="5"/>
    </row>
    <row r="195" ht="12.75" customHeight="1">
      <c r="S195" s="5"/>
      <c r="T195" s="5"/>
    </row>
    <row r="196" ht="12.75" customHeight="1">
      <c r="S196" s="1"/>
      <c r="T196" s="1"/>
    </row>
    <row r="197" ht="12.75" customHeight="1">
      <c r="S197" s="1"/>
      <c r="T197" s="1"/>
    </row>
    <row r="198" ht="12.75" customHeight="1">
      <c r="S198" s="1"/>
      <c r="T198" s="1"/>
    </row>
    <row r="199" ht="12.75" customHeight="1">
      <c r="S199" s="54"/>
      <c r="T199" s="54"/>
    </row>
    <row r="200" ht="12.75" customHeight="1">
      <c r="S200" s="5"/>
      <c r="T200" s="5"/>
    </row>
    <row r="201" ht="12.75" customHeight="1">
      <c r="S201" s="5"/>
      <c r="T201" s="5"/>
    </row>
    <row r="202" ht="12.75" customHeight="1">
      <c r="S202" s="5"/>
      <c r="T202" s="5"/>
    </row>
    <row r="203" ht="12.75" customHeight="1">
      <c r="S203" s="5"/>
      <c r="T203" s="5"/>
    </row>
    <row r="204" ht="12.75" customHeight="1">
      <c r="S204" s="5"/>
      <c r="T204" s="5"/>
    </row>
    <row r="205" ht="12.75" customHeight="1">
      <c r="S205" s="5"/>
      <c r="T205" s="5"/>
    </row>
    <row r="206" ht="12.75" customHeight="1">
      <c r="S206" s="5"/>
      <c r="T206" s="5"/>
    </row>
    <row r="207" ht="12.75" customHeight="1">
      <c r="S207" s="1"/>
      <c r="T207" s="1"/>
    </row>
    <row r="208" ht="12.75" customHeight="1">
      <c r="S208" s="54"/>
      <c r="T208" s="54"/>
    </row>
    <row r="209" ht="12.75" customHeight="1">
      <c r="S209" s="54"/>
      <c r="T209" s="54"/>
    </row>
    <row r="210" ht="12.75" customHeight="1">
      <c r="S210" s="54"/>
      <c r="T210" s="54"/>
    </row>
    <row r="211" ht="12.75" customHeight="1">
      <c r="S211" s="5"/>
      <c r="T211" s="5"/>
    </row>
    <row r="212" ht="12.75" customHeight="1">
      <c r="S212" s="5"/>
      <c r="T212" s="5"/>
    </row>
    <row r="213" ht="12.75" customHeight="1">
      <c r="S213" s="5"/>
      <c r="T213" s="5"/>
    </row>
    <row r="214" ht="12.75" customHeight="1">
      <c r="S214" s="5"/>
      <c r="T214" s="5"/>
    </row>
    <row r="215" ht="12.75" customHeight="1">
      <c r="S215" s="5"/>
      <c r="T215" s="5"/>
    </row>
    <row r="216" ht="12.75" customHeight="1">
      <c r="S216" s="5"/>
      <c r="T216" s="5"/>
    </row>
    <row r="217" ht="12.75" customHeight="1">
      <c r="S217" s="5"/>
      <c r="T217" s="5"/>
    </row>
    <row r="218" ht="12.75" customHeight="1">
      <c r="S218" s="1"/>
      <c r="T218" s="1"/>
    </row>
    <row r="219" ht="12.75" customHeight="1">
      <c r="S219" s="54"/>
      <c r="T219" s="54"/>
    </row>
    <row r="220" ht="12.75" customHeight="1">
      <c r="S220" s="5"/>
      <c r="T220" s="5"/>
    </row>
    <row r="221" ht="12.75" customHeight="1">
      <c r="S221" s="5"/>
      <c r="T221" s="5"/>
    </row>
    <row r="222" ht="12.75" customHeight="1">
      <c r="S222" s="5"/>
      <c r="T222" s="5"/>
    </row>
    <row r="223" ht="12.75" customHeight="1">
      <c r="S223" s="5"/>
      <c r="T223" s="5"/>
    </row>
    <row r="224" ht="12.75" customHeight="1">
      <c r="S224" s="5"/>
      <c r="T224" s="5"/>
    </row>
    <row r="225" ht="12.75" customHeight="1">
      <c r="S225" s="5"/>
      <c r="T225" s="5"/>
    </row>
    <row r="226" ht="12.75" customHeight="1">
      <c r="S226" s="5"/>
      <c r="T226" s="5"/>
    </row>
    <row r="227" ht="12.75" customHeight="1">
      <c r="S227" s="5"/>
      <c r="T227" s="5"/>
    </row>
    <row r="228" ht="12.75" customHeight="1">
      <c r="S228" s="5"/>
      <c r="T228" s="5"/>
    </row>
    <row r="229" ht="12.75" customHeight="1">
      <c r="S229" s="1"/>
      <c r="T229" s="1"/>
    </row>
    <row r="230" ht="12.75" customHeight="1">
      <c r="S230" s="54"/>
      <c r="T230" s="54"/>
    </row>
    <row r="231" ht="12.75" customHeight="1">
      <c r="S231" s="5"/>
      <c r="T231" s="5"/>
    </row>
    <row r="232" ht="12.75" customHeight="1">
      <c r="S232" s="5"/>
      <c r="T232" s="5"/>
    </row>
    <row r="233" ht="12.75" customHeight="1">
      <c r="S233" s="5"/>
      <c r="T233" s="5"/>
    </row>
    <row r="234" ht="12.75" customHeight="1">
      <c r="S234" s="5"/>
      <c r="T234" s="5"/>
    </row>
    <row r="235" ht="12.75" customHeight="1">
      <c r="S235" s="5"/>
      <c r="T235" s="5"/>
    </row>
    <row r="236" ht="12.75" customHeight="1">
      <c r="S236" s="5"/>
      <c r="T236" s="5"/>
    </row>
    <row r="237" ht="12.75" customHeight="1">
      <c r="S237" s="5"/>
      <c r="T237" s="5"/>
    </row>
    <row r="238" ht="12.75" customHeight="1">
      <c r="S238" s="5"/>
      <c r="T238" s="5"/>
    </row>
    <row r="239" ht="12.75" customHeight="1">
      <c r="S239" s="5"/>
      <c r="T239" s="5"/>
    </row>
    <row r="240" ht="12.75" customHeight="1">
      <c r="S240" s="1"/>
      <c r="T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E34&lt;&gt;#REF!</formula>
    </cfRule>
  </conditionalFormatting>
  <conditionalFormatting sqref="E45:Q51">
    <cfRule type="containsBlanks" dxfId="1" priority="10">
      <formula>LEN(TRIM(E45))=0</formula>
    </cfRule>
  </conditionalFormatting>
  <conditionalFormatting sqref="E54:Q60">
    <cfRule type="containsBlanks" dxfId="1" priority="11">
      <formula>LEN(TRIM(E54))=0</formula>
    </cfRule>
  </conditionalFormatting>
  <conditionalFormatting sqref="E63:Q69">
    <cfRule type="containsBlanks" dxfId="1" priority="12">
      <formula>LEN(TRIM(E63))=0</formula>
    </cfRule>
  </conditionalFormatting>
  <conditionalFormatting sqref="E72:Q78">
    <cfRule type="containsBlanks" dxfId="1" priority="13">
      <formula>LEN(TRIM(E72))=0</formula>
    </cfRule>
  </conditionalFormatting>
  <conditionalFormatting sqref="E81:Q87">
    <cfRule type="containsBlanks" dxfId="1" priority="14">
      <formula>LEN(TRIM(E81))=0</formula>
    </cfRule>
  </conditionalFormatting>
  <conditionalFormatting sqref="E90:Q91">
    <cfRule type="containsBlanks" dxfId="1" priority="15">
      <formula>LEN(TRIM(E90))=0</formula>
    </cfRule>
  </conditionalFormatting>
  <conditionalFormatting sqref="E94:Q100">
    <cfRule type="containsBlanks" dxfId="1" priority="16">
      <formula>LEN(TRIM(E94))=0</formula>
    </cfRule>
  </conditionalFormatting>
  <conditionalFormatting sqref="E103:Q109">
    <cfRule type="containsBlanks" dxfId="1" priority="17">
      <formula>LEN(TRIM(E103))=0</formula>
    </cfRule>
  </conditionalFormatting>
  <conditionalFormatting sqref="E112:Q113">
    <cfRule type="containsBlanks" dxfId="1" priority="18">
      <formula>LEN(TRIM(E112))=0</formula>
    </cfRule>
  </conditionalFormatting>
  <conditionalFormatting sqref="E116:Q122">
    <cfRule type="containsBlanks" dxfId="1" priority="19">
      <formula>LEN(TRIM(E116))=0</formula>
    </cfRule>
  </conditionalFormatting>
  <conditionalFormatting sqref="E125:Q126">
    <cfRule type="containsBlanks" dxfId="1" priority="20">
      <formula>LEN(TRIM(E125))=0</formula>
    </cfRule>
  </conditionalFormatting>
  <conditionalFormatting sqref="E129:Q135">
    <cfRule type="containsBlanks" dxfId="1" priority="21">
      <formula>LEN(TRIM(E129))=0</formula>
    </cfRule>
  </conditionalFormatting>
  <conditionalFormatting sqref="E138:Q144">
    <cfRule type="containsBlanks" dxfId="1" priority="22">
      <formula>LEN(TRIM(E138))=0</formula>
    </cfRule>
  </conditionalFormatting>
  <conditionalFormatting sqref="E147:Q153">
    <cfRule type="containsBlanks" dxfId="1" priority="23">
      <formula>LEN(TRIM(E147))=0</formula>
    </cfRule>
  </conditionalFormatting>
  <conditionalFormatting sqref="E156:Q161">
    <cfRule type="containsBlanks" dxfId="1" priority="24">
      <formula>LEN(TRIM(E156))=0</formula>
    </cfRule>
  </conditionalFormatting>
  <conditionalFormatting sqref="E164:Q170">
    <cfRule type="containsBlanks" dxfId="1" priority="25">
      <formula>LEN(TRIM(E164))=0</formula>
    </cfRule>
  </conditionalFormatting>
  <conditionalFormatting sqref="E173:Q179">
    <cfRule type="containsBlanks" dxfId="1" priority="26">
      <formula>LEN(TRIM(E173))=0</formula>
    </cfRule>
  </conditionalFormatting>
  <conditionalFormatting sqref="E182:Q186">
    <cfRule type="containsBlanks" dxfId="1" priority="27">
      <formula>LEN(TRIM(E182))=0</formula>
    </cfRule>
  </conditionalFormatting>
  <conditionalFormatting sqref="E191:Q192">
    <cfRule type="containsBlanks" dxfId="1" priority="28">
      <formula>LEN(TRIM(E191))=0</formula>
    </cfRule>
  </conditionalFormatting>
  <conditionalFormatting sqref="E193:Q193">
    <cfRule type="expression" dxfId="0" priority="29">
      <formula>E193&lt;&gt;#REF!</formula>
    </cfRule>
  </conditionalFormatting>
  <conditionalFormatting sqref="E193:Q193">
    <cfRule type="expression" dxfId="2" priority="30">
      <formula>#REF!&lt;&gt;E193</formula>
    </cfRule>
  </conditionalFormatting>
  <conditionalFormatting sqref="E193:Q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13" t="s">
        <v>188</v>
      </c>
      <c r="S13" s="13" t="s">
        <v>189</v>
      </c>
      <c r="T13" s="13" t="s">
        <v>190</v>
      </c>
      <c r="U13" s="13" t="s">
        <v>191</v>
      </c>
      <c r="V13" s="13" t="s">
        <v>192</v>
      </c>
      <c r="W13" s="13" t="s">
        <v>193</v>
      </c>
      <c r="X13" s="37"/>
    </row>
    <row r="14" ht="12.75" customHeight="1">
      <c r="A14" s="18"/>
      <c r="B14" s="22" t="s">
        <v>11</v>
      </c>
      <c r="C14" s="23"/>
      <c r="D14" s="19" t="s">
        <v>12</v>
      </c>
      <c r="E14" s="60">
        <v>121.0</v>
      </c>
      <c r="F14" s="60">
        <v>149.0</v>
      </c>
      <c r="G14" s="60">
        <v>148.0</v>
      </c>
      <c r="H14" s="60">
        <v>139.0</v>
      </c>
      <c r="I14" s="60">
        <v>137.0</v>
      </c>
      <c r="J14" s="60">
        <v>143.0</v>
      </c>
      <c r="K14" s="60">
        <v>150.0</v>
      </c>
      <c r="L14" s="60">
        <v>130.0</v>
      </c>
      <c r="M14" s="60">
        <v>154.0</v>
      </c>
      <c r="N14" s="60">
        <v>139.0</v>
      </c>
      <c r="O14" s="60">
        <v>138.0</v>
      </c>
      <c r="P14" s="60">
        <v>138.0</v>
      </c>
      <c r="Q14" s="60">
        <v>128.0</v>
      </c>
      <c r="R14" s="60">
        <v>133.0</v>
      </c>
      <c r="S14" s="60">
        <v>133.0</v>
      </c>
      <c r="T14" s="60">
        <v>140.0</v>
      </c>
      <c r="U14" s="60">
        <v>143.0</v>
      </c>
      <c r="V14" s="60">
        <v>142.0</v>
      </c>
      <c r="W14" s="60">
        <v>136.0</v>
      </c>
      <c r="X14" s="13">
        <f t="shared" ref="X14:X16" si="1">SUM(E14:W14)</f>
        <v>2641</v>
      </c>
    </row>
    <row r="15" ht="12.75" customHeight="1">
      <c r="A15" s="18"/>
      <c r="B15" s="26"/>
      <c r="C15" s="27"/>
      <c r="D15" s="19" t="s">
        <v>13</v>
      </c>
      <c r="E15" s="60">
        <v>147.0</v>
      </c>
      <c r="F15" s="60">
        <v>126.0</v>
      </c>
      <c r="G15" s="60">
        <v>135.0</v>
      </c>
      <c r="H15" s="60">
        <v>133.0</v>
      </c>
      <c r="I15" s="60">
        <v>140.0</v>
      </c>
      <c r="J15" s="60">
        <v>137.0</v>
      </c>
      <c r="K15" s="60">
        <v>127.0</v>
      </c>
      <c r="L15" s="60">
        <v>130.0</v>
      </c>
      <c r="M15" s="60">
        <v>128.0</v>
      </c>
      <c r="N15" s="60">
        <v>149.0</v>
      </c>
      <c r="O15" s="60">
        <v>147.0</v>
      </c>
      <c r="P15" s="60">
        <v>143.0</v>
      </c>
      <c r="Q15" s="60">
        <v>150.0</v>
      </c>
      <c r="R15" s="60">
        <v>146.0</v>
      </c>
      <c r="S15" s="60">
        <v>153.0</v>
      </c>
      <c r="T15" s="60">
        <v>141.0</v>
      </c>
      <c r="U15" s="60">
        <v>144.0</v>
      </c>
      <c r="V15" s="60">
        <v>151.0</v>
      </c>
      <c r="W15" s="60">
        <v>148.0</v>
      </c>
      <c r="X15" s="13">
        <f t="shared" si="1"/>
        <v>2675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268</v>
      </c>
      <c r="F16" s="13">
        <f t="shared" si="2"/>
        <v>275</v>
      </c>
      <c r="G16" s="13">
        <f t="shared" si="2"/>
        <v>283</v>
      </c>
      <c r="H16" s="13">
        <f t="shared" si="2"/>
        <v>272</v>
      </c>
      <c r="I16" s="13">
        <f t="shared" si="2"/>
        <v>277</v>
      </c>
      <c r="J16" s="13">
        <f t="shared" si="2"/>
        <v>280</v>
      </c>
      <c r="K16" s="13">
        <f t="shared" si="2"/>
        <v>277</v>
      </c>
      <c r="L16" s="13">
        <f t="shared" si="2"/>
        <v>260</v>
      </c>
      <c r="M16" s="13">
        <f t="shared" si="2"/>
        <v>282</v>
      </c>
      <c r="N16" s="13">
        <f t="shared" si="2"/>
        <v>288</v>
      </c>
      <c r="O16" s="13">
        <f t="shared" si="2"/>
        <v>285</v>
      </c>
      <c r="P16" s="13">
        <f t="shared" si="2"/>
        <v>281</v>
      </c>
      <c r="Q16" s="13">
        <f t="shared" si="2"/>
        <v>278</v>
      </c>
      <c r="R16" s="13">
        <f t="shared" si="2"/>
        <v>279</v>
      </c>
      <c r="S16" s="13">
        <f t="shared" si="2"/>
        <v>286</v>
      </c>
      <c r="T16" s="13">
        <f t="shared" si="2"/>
        <v>281</v>
      </c>
      <c r="U16" s="13">
        <f t="shared" si="2"/>
        <v>287</v>
      </c>
      <c r="V16" s="13">
        <f t="shared" si="2"/>
        <v>293</v>
      </c>
      <c r="W16" s="13">
        <f t="shared" si="2"/>
        <v>284</v>
      </c>
      <c r="X16" s="13">
        <f t="shared" si="1"/>
        <v>5316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19"/>
      <c r="U17" s="19"/>
      <c r="V17" s="19"/>
      <c r="W17" s="19"/>
      <c r="X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13" t="s">
        <v>188</v>
      </c>
      <c r="S18" s="13" t="s">
        <v>189</v>
      </c>
      <c r="T18" s="13" t="s">
        <v>190</v>
      </c>
      <c r="U18" s="13" t="s">
        <v>191</v>
      </c>
      <c r="V18" s="13" t="s">
        <v>192</v>
      </c>
      <c r="W18" s="13" t="s">
        <v>193</v>
      </c>
      <c r="X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78.0</v>
      </c>
      <c r="F19" s="60">
        <v>101.0</v>
      </c>
      <c r="G19" s="60">
        <v>115.0</v>
      </c>
      <c r="H19" s="60">
        <v>100.0</v>
      </c>
      <c r="I19" s="60">
        <v>98.0</v>
      </c>
      <c r="J19" s="60">
        <v>111.0</v>
      </c>
      <c r="K19" s="60">
        <v>116.0</v>
      </c>
      <c r="L19" s="60">
        <v>102.0</v>
      </c>
      <c r="M19" s="60">
        <v>112.0</v>
      </c>
      <c r="N19" s="60">
        <v>105.0</v>
      </c>
      <c r="O19" s="60">
        <v>99.0</v>
      </c>
      <c r="P19" s="60">
        <v>100.0</v>
      </c>
      <c r="Q19" s="60">
        <v>101.0</v>
      </c>
      <c r="R19" s="60">
        <v>84.0</v>
      </c>
      <c r="S19" s="60">
        <v>98.0</v>
      </c>
      <c r="T19" s="60">
        <v>104.0</v>
      </c>
      <c r="U19" s="60">
        <v>102.0</v>
      </c>
      <c r="V19" s="60">
        <v>112.0</v>
      </c>
      <c r="W19" s="60">
        <v>106.0</v>
      </c>
      <c r="X19" s="13">
        <f t="shared" ref="X19:X30" si="3">SUM(E19:W19)</f>
        <v>1944</v>
      </c>
    </row>
    <row r="20" ht="12.75" customHeight="1">
      <c r="A20" s="34"/>
      <c r="B20" s="27"/>
      <c r="C20" s="35"/>
      <c r="D20" s="19" t="s">
        <v>13</v>
      </c>
      <c r="E20" s="60">
        <v>115.0</v>
      </c>
      <c r="F20" s="60">
        <v>108.0</v>
      </c>
      <c r="G20" s="60">
        <v>112.0</v>
      </c>
      <c r="H20" s="60">
        <v>101.0</v>
      </c>
      <c r="I20" s="60">
        <v>118.0</v>
      </c>
      <c r="J20" s="60">
        <v>121.0</v>
      </c>
      <c r="K20" s="60">
        <v>103.0</v>
      </c>
      <c r="L20" s="60">
        <v>105.0</v>
      </c>
      <c r="M20" s="60">
        <v>112.0</v>
      </c>
      <c r="N20" s="60">
        <v>126.0</v>
      </c>
      <c r="O20" s="60">
        <v>114.0</v>
      </c>
      <c r="P20" s="60">
        <v>115.0</v>
      </c>
      <c r="Q20" s="60">
        <v>111.0</v>
      </c>
      <c r="R20" s="60">
        <v>91.0</v>
      </c>
      <c r="S20" s="60">
        <v>133.0</v>
      </c>
      <c r="T20" s="60">
        <v>120.0</v>
      </c>
      <c r="U20" s="60">
        <v>122.0</v>
      </c>
      <c r="V20" s="60">
        <v>131.0</v>
      </c>
      <c r="W20" s="60">
        <v>118.0</v>
      </c>
      <c r="X20" s="13">
        <f t="shared" si="3"/>
        <v>2176</v>
      </c>
    </row>
    <row r="21" ht="12.75" customHeight="1">
      <c r="A21" s="36"/>
      <c r="B21" s="28"/>
      <c r="C21" s="37"/>
      <c r="D21" s="13" t="s">
        <v>14</v>
      </c>
      <c r="E21" s="13">
        <f t="shared" ref="E21:W21" si="4">SUM(E19:E20)</f>
        <v>193</v>
      </c>
      <c r="F21" s="13">
        <f t="shared" si="4"/>
        <v>209</v>
      </c>
      <c r="G21" s="13">
        <f t="shared" si="4"/>
        <v>227</v>
      </c>
      <c r="H21" s="13">
        <f t="shared" si="4"/>
        <v>201</v>
      </c>
      <c r="I21" s="13">
        <f t="shared" si="4"/>
        <v>216</v>
      </c>
      <c r="J21" s="13">
        <f t="shared" si="4"/>
        <v>232</v>
      </c>
      <c r="K21" s="13">
        <f t="shared" si="4"/>
        <v>219</v>
      </c>
      <c r="L21" s="13">
        <f t="shared" si="4"/>
        <v>207</v>
      </c>
      <c r="M21" s="13">
        <f t="shared" si="4"/>
        <v>224</v>
      </c>
      <c r="N21" s="13">
        <f t="shared" si="4"/>
        <v>231</v>
      </c>
      <c r="O21" s="13">
        <f t="shared" si="4"/>
        <v>213</v>
      </c>
      <c r="P21" s="13">
        <f t="shared" si="4"/>
        <v>215</v>
      </c>
      <c r="Q21" s="13">
        <f t="shared" si="4"/>
        <v>212</v>
      </c>
      <c r="R21" s="13">
        <f t="shared" si="4"/>
        <v>175</v>
      </c>
      <c r="S21" s="13">
        <f t="shared" si="4"/>
        <v>231</v>
      </c>
      <c r="T21" s="13">
        <f t="shared" si="4"/>
        <v>224</v>
      </c>
      <c r="U21" s="13">
        <f t="shared" si="4"/>
        <v>224</v>
      </c>
      <c r="V21" s="13">
        <f t="shared" si="4"/>
        <v>243</v>
      </c>
      <c r="W21" s="13">
        <f t="shared" si="4"/>
        <v>224</v>
      </c>
      <c r="X21" s="13">
        <f t="shared" si="3"/>
        <v>4120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60">
        <v>0.0</v>
      </c>
      <c r="U23" s="60">
        <v>0.0</v>
      </c>
      <c r="V23" s="60">
        <v>0.0</v>
      </c>
      <c r="W23" s="60">
        <v>0.0</v>
      </c>
      <c r="X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3.0</v>
      </c>
      <c r="G25" s="60">
        <v>1.0</v>
      </c>
      <c r="H25" s="60">
        <v>3.0</v>
      </c>
      <c r="I25" s="60">
        <v>1.0</v>
      </c>
      <c r="J25" s="60">
        <v>2.0</v>
      </c>
      <c r="K25" s="60">
        <v>1.0</v>
      </c>
      <c r="L25" s="60">
        <v>1.0</v>
      </c>
      <c r="M25" s="60">
        <v>0.0</v>
      </c>
      <c r="N25" s="60">
        <v>3.0</v>
      </c>
      <c r="O25" s="60">
        <v>1.0</v>
      </c>
      <c r="P25" s="60">
        <v>1.0</v>
      </c>
      <c r="Q25" s="60">
        <v>0.0</v>
      </c>
      <c r="R25" s="60">
        <v>4.0</v>
      </c>
      <c r="S25" s="60">
        <v>1.0</v>
      </c>
      <c r="T25" s="60">
        <v>0.0</v>
      </c>
      <c r="U25" s="60">
        <v>0.0</v>
      </c>
      <c r="V25" s="60">
        <v>0.0</v>
      </c>
      <c r="W25" s="60">
        <v>2.0</v>
      </c>
      <c r="X25" s="13">
        <f t="shared" si="3"/>
        <v>24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4.0</v>
      </c>
      <c r="G26" s="60">
        <v>4.0</v>
      </c>
      <c r="H26" s="60">
        <v>7.0</v>
      </c>
      <c r="I26" s="60">
        <v>0.0</v>
      </c>
      <c r="J26" s="60">
        <v>1.0</v>
      </c>
      <c r="K26" s="60">
        <v>0.0</v>
      </c>
      <c r="L26" s="60">
        <v>0.0</v>
      </c>
      <c r="M26" s="60">
        <v>0.0</v>
      </c>
      <c r="N26" s="60">
        <v>2.0</v>
      </c>
      <c r="O26" s="60">
        <v>1.0</v>
      </c>
      <c r="P26" s="60">
        <v>1.0</v>
      </c>
      <c r="Q26" s="60">
        <v>2.0</v>
      </c>
      <c r="R26" s="60">
        <v>6.0</v>
      </c>
      <c r="S26" s="60">
        <v>0.0</v>
      </c>
      <c r="T26" s="60">
        <v>0.0</v>
      </c>
      <c r="U26" s="60">
        <v>0.0</v>
      </c>
      <c r="V26" s="60">
        <v>0.0</v>
      </c>
      <c r="W26" s="60">
        <v>2.0</v>
      </c>
      <c r="X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W27" si="6">SUM(E25:E26)</f>
        <v>0</v>
      </c>
      <c r="F27" s="13">
        <f t="shared" si="6"/>
        <v>7</v>
      </c>
      <c r="G27" s="13">
        <f t="shared" si="6"/>
        <v>5</v>
      </c>
      <c r="H27" s="13">
        <f t="shared" si="6"/>
        <v>10</v>
      </c>
      <c r="I27" s="13">
        <f t="shared" si="6"/>
        <v>1</v>
      </c>
      <c r="J27" s="13">
        <f t="shared" si="6"/>
        <v>3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2</v>
      </c>
      <c r="Q27" s="13">
        <f t="shared" si="6"/>
        <v>2</v>
      </c>
      <c r="R27" s="13">
        <f t="shared" si="6"/>
        <v>10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4</v>
      </c>
      <c r="X27" s="13">
        <f t="shared" si="3"/>
        <v>54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W28" si="7">SUM(E19,E22,E25)</f>
        <v>78</v>
      </c>
      <c r="F28" s="13">
        <f t="shared" si="7"/>
        <v>104</v>
      </c>
      <c r="G28" s="13">
        <f t="shared" si="7"/>
        <v>116</v>
      </c>
      <c r="H28" s="13">
        <f t="shared" si="7"/>
        <v>103</v>
      </c>
      <c r="I28" s="13">
        <f t="shared" si="7"/>
        <v>99</v>
      </c>
      <c r="J28" s="13">
        <f t="shared" si="7"/>
        <v>113</v>
      </c>
      <c r="K28" s="13">
        <f t="shared" si="7"/>
        <v>117</v>
      </c>
      <c r="L28" s="13">
        <f t="shared" si="7"/>
        <v>103</v>
      </c>
      <c r="M28" s="13">
        <f t="shared" si="7"/>
        <v>112</v>
      </c>
      <c r="N28" s="13">
        <f t="shared" si="7"/>
        <v>108</v>
      </c>
      <c r="O28" s="13">
        <f t="shared" si="7"/>
        <v>100</v>
      </c>
      <c r="P28" s="13">
        <f t="shared" si="7"/>
        <v>101</v>
      </c>
      <c r="Q28" s="13">
        <f t="shared" si="7"/>
        <v>101</v>
      </c>
      <c r="R28" s="13">
        <f t="shared" si="7"/>
        <v>88</v>
      </c>
      <c r="S28" s="13">
        <f t="shared" si="7"/>
        <v>99</v>
      </c>
      <c r="T28" s="13">
        <f t="shared" si="7"/>
        <v>104</v>
      </c>
      <c r="U28" s="13">
        <f t="shared" si="7"/>
        <v>102</v>
      </c>
      <c r="V28" s="13">
        <f t="shared" si="7"/>
        <v>112</v>
      </c>
      <c r="W28" s="13">
        <f t="shared" si="7"/>
        <v>108</v>
      </c>
      <c r="X28" s="13">
        <f t="shared" si="3"/>
        <v>1968</v>
      </c>
    </row>
    <row r="29" ht="12.75" customHeight="1">
      <c r="A29" s="36"/>
      <c r="B29" s="27"/>
      <c r="C29" s="35"/>
      <c r="D29" s="13" t="s">
        <v>13</v>
      </c>
      <c r="E29" s="13">
        <f t="shared" ref="E29:W29" si="8">SUM(E20,E23,E26)</f>
        <v>115</v>
      </c>
      <c r="F29" s="13">
        <f t="shared" si="8"/>
        <v>112</v>
      </c>
      <c r="G29" s="13">
        <f t="shared" si="8"/>
        <v>116</v>
      </c>
      <c r="H29" s="13">
        <f t="shared" si="8"/>
        <v>108</v>
      </c>
      <c r="I29" s="13">
        <f t="shared" si="8"/>
        <v>118</v>
      </c>
      <c r="J29" s="13">
        <f t="shared" si="8"/>
        <v>122</v>
      </c>
      <c r="K29" s="13">
        <f t="shared" si="8"/>
        <v>103</v>
      </c>
      <c r="L29" s="13">
        <f t="shared" si="8"/>
        <v>105</v>
      </c>
      <c r="M29" s="13">
        <f t="shared" si="8"/>
        <v>112</v>
      </c>
      <c r="N29" s="13">
        <f t="shared" si="8"/>
        <v>128</v>
      </c>
      <c r="O29" s="13">
        <f t="shared" si="8"/>
        <v>115</v>
      </c>
      <c r="P29" s="13">
        <f t="shared" si="8"/>
        <v>116</v>
      </c>
      <c r="Q29" s="13">
        <f t="shared" si="8"/>
        <v>113</v>
      </c>
      <c r="R29" s="13">
        <f t="shared" si="8"/>
        <v>97</v>
      </c>
      <c r="S29" s="13">
        <f t="shared" si="8"/>
        <v>133</v>
      </c>
      <c r="T29" s="13">
        <f t="shared" si="8"/>
        <v>120</v>
      </c>
      <c r="U29" s="13">
        <f t="shared" si="8"/>
        <v>122</v>
      </c>
      <c r="V29" s="13">
        <f t="shared" si="8"/>
        <v>131</v>
      </c>
      <c r="W29" s="13">
        <f t="shared" si="8"/>
        <v>120</v>
      </c>
      <c r="X29" s="13">
        <f t="shared" si="3"/>
        <v>2206</v>
      </c>
    </row>
    <row r="30" ht="12.75" customHeight="1">
      <c r="A30" s="36"/>
      <c r="B30" s="28"/>
      <c r="C30" s="37"/>
      <c r="D30" s="13" t="s">
        <v>14</v>
      </c>
      <c r="E30" s="13">
        <f t="shared" ref="E30:W30" si="9">SUM(E28:E29)</f>
        <v>193</v>
      </c>
      <c r="F30" s="13">
        <f t="shared" si="9"/>
        <v>216</v>
      </c>
      <c r="G30" s="13">
        <f t="shared" si="9"/>
        <v>232</v>
      </c>
      <c r="H30" s="13">
        <f t="shared" si="9"/>
        <v>211</v>
      </c>
      <c r="I30" s="13">
        <f t="shared" si="9"/>
        <v>217</v>
      </c>
      <c r="J30" s="13">
        <f t="shared" si="9"/>
        <v>235</v>
      </c>
      <c r="K30" s="13">
        <f t="shared" si="9"/>
        <v>220</v>
      </c>
      <c r="L30" s="13">
        <f t="shared" si="9"/>
        <v>208</v>
      </c>
      <c r="M30" s="13">
        <f t="shared" si="9"/>
        <v>224</v>
      </c>
      <c r="N30" s="13">
        <f t="shared" si="9"/>
        <v>236</v>
      </c>
      <c r="O30" s="13">
        <f t="shared" si="9"/>
        <v>215</v>
      </c>
      <c r="P30" s="13">
        <f t="shared" si="9"/>
        <v>217</v>
      </c>
      <c r="Q30" s="13">
        <f t="shared" si="9"/>
        <v>214</v>
      </c>
      <c r="R30" s="13">
        <f t="shared" si="9"/>
        <v>185</v>
      </c>
      <c r="S30" s="13">
        <f t="shared" si="9"/>
        <v>232</v>
      </c>
      <c r="T30" s="13">
        <f t="shared" si="9"/>
        <v>224</v>
      </c>
      <c r="U30" s="13">
        <f t="shared" si="9"/>
        <v>224</v>
      </c>
      <c r="V30" s="13">
        <f t="shared" si="9"/>
        <v>243</v>
      </c>
      <c r="W30" s="13">
        <f t="shared" si="9"/>
        <v>228</v>
      </c>
      <c r="X30" s="13">
        <f t="shared" si="3"/>
        <v>4174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19"/>
      <c r="U31" s="19"/>
      <c r="V31" s="19"/>
      <c r="W31" s="19"/>
      <c r="X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4" t="s">
        <v>184</v>
      </c>
      <c r="P32" s="74" t="s">
        <v>185</v>
      </c>
      <c r="Q32" s="74" t="s">
        <v>186</v>
      </c>
      <c r="R32" s="74" t="s">
        <v>188</v>
      </c>
      <c r="S32" s="74" t="s">
        <v>189</v>
      </c>
      <c r="T32" s="74" t="s">
        <v>190</v>
      </c>
      <c r="U32" s="74" t="s">
        <v>191</v>
      </c>
      <c r="V32" s="74" t="s">
        <v>192</v>
      </c>
      <c r="W32" s="74" t="s">
        <v>193</v>
      </c>
      <c r="X32" s="73"/>
    </row>
    <row r="33" ht="12.75" customHeight="1">
      <c r="A33" s="19">
        <v>1.0</v>
      </c>
      <c r="B33" s="20" t="s">
        <v>27</v>
      </c>
      <c r="C33" s="15"/>
      <c r="D33" s="16"/>
      <c r="E33" s="60">
        <v>269.0</v>
      </c>
      <c r="F33" s="60">
        <v>281.0</v>
      </c>
      <c r="G33" s="60">
        <v>289.0</v>
      </c>
      <c r="H33" s="60">
        <v>279.0</v>
      </c>
      <c r="I33" s="60">
        <v>278.0</v>
      </c>
      <c r="J33" s="60">
        <v>286.0</v>
      </c>
      <c r="K33" s="60">
        <v>278.0</v>
      </c>
      <c r="L33" s="60">
        <v>260.0</v>
      </c>
      <c r="M33" s="60">
        <v>283.0</v>
      </c>
      <c r="N33" s="60">
        <v>285.0</v>
      </c>
      <c r="O33" s="60">
        <v>285.0</v>
      </c>
      <c r="P33" s="60">
        <v>287.0</v>
      </c>
      <c r="Q33" s="60">
        <v>275.0</v>
      </c>
      <c r="R33" s="60">
        <v>275.0</v>
      </c>
      <c r="S33" s="60">
        <v>287.0</v>
      </c>
      <c r="T33" s="60">
        <v>287.0</v>
      </c>
      <c r="U33" s="60">
        <v>288.0</v>
      </c>
      <c r="V33" s="60">
        <v>294.0</v>
      </c>
      <c r="W33" s="60">
        <v>285.0</v>
      </c>
      <c r="X33" s="13">
        <f t="shared" ref="X33:X36" si="10">SUM(E33:W33)</f>
        <v>5351</v>
      </c>
    </row>
    <row r="34" ht="12.75" customHeight="1">
      <c r="A34" s="19">
        <v>2.0</v>
      </c>
      <c r="B34" s="20" t="s">
        <v>28</v>
      </c>
      <c r="C34" s="15"/>
      <c r="D34" s="16"/>
      <c r="E34" s="75">
        <v>193.0</v>
      </c>
      <c r="F34" s="75">
        <v>216.0</v>
      </c>
      <c r="G34" s="75">
        <v>232.0</v>
      </c>
      <c r="H34" s="75">
        <v>211.0</v>
      </c>
      <c r="I34" s="75">
        <v>217.0</v>
      </c>
      <c r="J34" s="75">
        <v>235.0</v>
      </c>
      <c r="K34" s="75">
        <v>220.0</v>
      </c>
      <c r="L34" s="75">
        <v>208.0</v>
      </c>
      <c r="M34" s="75">
        <v>224.0</v>
      </c>
      <c r="N34" s="75">
        <v>236.0</v>
      </c>
      <c r="O34" s="75">
        <v>215.0</v>
      </c>
      <c r="P34" s="75">
        <v>217.0</v>
      </c>
      <c r="Q34" s="75">
        <v>214.0</v>
      </c>
      <c r="R34" s="75">
        <v>185.0</v>
      </c>
      <c r="S34" s="75">
        <v>232.0</v>
      </c>
      <c r="T34" s="75">
        <v>224.0</v>
      </c>
      <c r="U34" s="75">
        <v>224.0</v>
      </c>
      <c r="V34" s="75">
        <v>243.0</v>
      </c>
      <c r="W34" s="75">
        <v>228.0</v>
      </c>
      <c r="X34" s="13">
        <f t="shared" si="10"/>
        <v>4174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0.0</v>
      </c>
      <c r="G35" s="60">
        <v>0.0</v>
      </c>
      <c r="H35" s="60">
        <v>0.0</v>
      </c>
      <c r="I35" s="60">
        <v>0.0</v>
      </c>
      <c r="J35" s="60">
        <v>0.0</v>
      </c>
      <c r="K35" s="60">
        <v>0.0</v>
      </c>
      <c r="L35" s="60">
        <v>1.0</v>
      </c>
      <c r="M35" s="60">
        <v>0.0</v>
      </c>
      <c r="N35" s="60">
        <v>0.0</v>
      </c>
      <c r="O35" s="60">
        <v>0.0</v>
      </c>
      <c r="P35" s="60">
        <v>0.0</v>
      </c>
      <c r="Q35" s="60">
        <v>0.0</v>
      </c>
      <c r="R35" s="60">
        <v>2.0</v>
      </c>
      <c r="S35" s="60">
        <v>0.0</v>
      </c>
      <c r="T35" s="60">
        <v>0.0</v>
      </c>
      <c r="U35" s="60">
        <v>0.0</v>
      </c>
      <c r="V35" s="60">
        <v>0.0</v>
      </c>
      <c r="W35" s="60">
        <v>0.0</v>
      </c>
      <c r="X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76</v>
      </c>
      <c r="F36" s="13">
        <f t="shared" si="11"/>
        <v>65</v>
      </c>
      <c r="G36" s="13">
        <f t="shared" si="11"/>
        <v>57</v>
      </c>
      <c r="H36" s="13">
        <f t="shared" si="11"/>
        <v>68</v>
      </c>
      <c r="I36" s="13">
        <f t="shared" si="11"/>
        <v>61</v>
      </c>
      <c r="J36" s="13">
        <f t="shared" si="11"/>
        <v>51</v>
      </c>
      <c r="K36" s="13">
        <f t="shared" si="11"/>
        <v>58</v>
      </c>
      <c r="L36" s="13">
        <f t="shared" si="11"/>
        <v>51</v>
      </c>
      <c r="M36" s="13">
        <f t="shared" si="11"/>
        <v>59</v>
      </c>
      <c r="N36" s="13">
        <f t="shared" si="11"/>
        <v>49</v>
      </c>
      <c r="O36" s="13">
        <f t="shared" si="11"/>
        <v>70</v>
      </c>
      <c r="P36" s="13">
        <f t="shared" si="11"/>
        <v>70</v>
      </c>
      <c r="Q36" s="13">
        <f t="shared" si="11"/>
        <v>61</v>
      </c>
      <c r="R36" s="13">
        <f t="shared" si="11"/>
        <v>88</v>
      </c>
      <c r="S36" s="13">
        <f t="shared" si="11"/>
        <v>55</v>
      </c>
      <c r="T36" s="13">
        <f t="shared" si="11"/>
        <v>63</v>
      </c>
      <c r="U36" s="13">
        <f t="shared" si="11"/>
        <v>64</v>
      </c>
      <c r="V36" s="13">
        <f t="shared" si="11"/>
        <v>51</v>
      </c>
      <c r="W36" s="13">
        <f t="shared" si="11"/>
        <v>57</v>
      </c>
      <c r="X36" s="13">
        <f t="shared" si="10"/>
        <v>1174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19"/>
      <c r="U37" s="19"/>
      <c r="V37" s="19"/>
      <c r="W37" s="19"/>
      <c r="X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4" t="s">
        <v>184</v>
      </c>
      <c r="P38" s="74" t="s">
        <v>185</v>
      </c>
      <c r="Q38" s="74" t="s">
        <v>186</v>
      </c>
      <c r="R38" s="74" t="s">
        <v>188</v>
      </c>
      <c r="S38" s="74" t="s">
        <v>189</v>
      </c>
      <c r="T38" s="74" t="s">
        <v>190</v>
      </c>
      <c r="U38" s="74" t="s">
        <v>191</v>
      </c>
      <c r="V38" s="74" t="s">
        <v>192</v>
      </c>
      <c r="W38" s="74" t="s">
        <v>193</v>
      </c>
      <c r="X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3.0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0.0</v>
      </c>
      <c r="Q39" s="60">
        <v>0.0</v>
      </c>
      <c r="R39" s="60">
        <v>0.0</v>
      </c>
      <c r="S39" s="60">
        <v>0.0</v>
      </c>
      <c r="T39" s="60">
        <v>0.0</v>
      </c>
      <c r="U39" s="60">
        <v>0.0</v>
      </c>
      <c r="V39" s="60">
        <v>0.0</v>
      </c>
      <c r="W39" s="60">
        <v>0.0</v>
      </c>
      <c r="X39" s="13">
        <f t="shared" ref="X39:X41" si="12">SUM(E39:W39)</f>
        <v>3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1.0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60">
        <v>0.0</v>
      </c>
      <c r="Q40" s="60">
        <v>0.0</v>
      </c>
      <c r="R40" s="60">
        <v>0.0</v>
      </c>
      <c r="S40" s="60">
        <v>0.0</v>
      </c>
      <c r="T40" s="60">
        <v>0.0</v>
      </c>
      <c r="U40" s="60">
        <v>0.0</v>
      </c>
      <c r="V40" s="60">
        <v>0.0</v>
      </c>
      <c r="W40" s="60">
        <v>0.0</v>
      </c>
      <c r="X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4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9"/>
      <c r="U42" s="19"/>
      <c r="V42" s="19"/>
      <c r="W42" s="19"/>
      <c r="X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74" t="s">
        <v>184</v>
      </c>
      <c r="P43" s="74" t="s">
        <v>185</v>
      </c>
      <c r="Q43" s="74" t="s">
        <v>186</v>
      </c>
      <c r="R43" s="74" t="s">
        <v>188</v>
      </c>
      <c r="S43" s="74" t="s">
        <v>189</v>
      </c>
      <c r="T43" s="74" t="s">
        <v>190</v>
      </c>
      <c r="U43" s="74" t="s">
        <v>191</v>
      </c>
      <c r="V43" s="74" t="s">
        <v>192</v>
      </c>
      <c r="W43" s="74" t="s">
        <v>193</v>
      </c>
      <c r="X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9"/>
      <c r="U44" s="19"/>
      <c r="V44" s="19"/>
      <c r="W44" s="19"/>
      <c r="X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1.0</v>
      </c>
      <c r="F45" s="60">
        <v>11.0</v>
      </c>
      <c r="G45" s="60">
        <v>5.0</v>
      </c>
      <c r="H45" s="60">
        <v>1.0</v>
      </c>
      <c r="I45" s="60">
        <v>12.0</v>
      </c>
      <c r="J45" s="60">
        <v>16.0</v>
      </c>
      <c r="K45" s="60">
        <v>7.0</v>
      </c>
      <c r="L45" s="60">
        <v>12.0</v>
      </c>
      <c r="M45" s="60">
        <v>7.0</v>
      </c>
      <c r="N45" s="60">
        <v>8.0</v>
      </c>
      <c r="O45" s="60">
        <v>1.0</v>
      </c>
      <c r="P45" s="60">
        <v>5.0</v>
      </c>
      <c r="Q45" s="60">
        <v>5.0</v>
      </c>
      <c r="R45" s="60">
        <v>6.0</v>
      </c>
      <c r="S45" s="60">
        <v>8.0</v>
      </c>
      <c r="T45" s="60">
        <v>19.0</v>
      </c>
      <c r="U45" s="60">
        <v>3.0</v>
      </c>
      <c r="V45" s="60">
        <v>11.0</v>
      </c>
      <c r="W45" s="60">
        <v>11.0</v>
      </c>
      <c r="X45" s="13">
        <f t="shared" ref="X45:X193" si="14">SUM(E45:W45)</f>
        <v>149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23.0</v>
      </c>
      <c r="F46" s="60">
        <v>18.0</v>
      </c>
      <c r="G46" s="60">
        <v>13.0</v>
      </c>
      <c r="H46" s="60">
        <v>16.0</v>
      </c>
      <c r="I46" s="60">
        <v>24.0</v>
      </c>
      <c r="J46" s="60">
        <v>48.0</v>
      </c>
      <c r="K46" s="60">
        <v>14.0</v>
      </c>
      <c r="L46" s="60">
        <v>17.0</v>
      </c>
      <c r="M46" s="60">
        <v>23.0</v>
      </c>
      <c r="N46" s="60">
        <v>20.0</v>
      </c>
      <c r="O46" s="60">
        <v>7.0</v>
      </c>
      <c r="P46" s="60">
        <v>4.0</v>
      </c>
      <c r="Q46" s="60">
        <v>15.0</v>
      </c>
      <c r="R46" s="60">
        <v>4.0</v>
      </c>
      <c r="S46" s="60">
        <v>29.0</v>
      </c>
      <c r="T46" s="60">
        <v>31.0</v>
      </c>
      <c r="U46" s="60">
        <v>35.0</v>
      </c>
      <c r="V46" s="60">
        <v>38.0</v>
      </c>
      <c r="W46" s="60">
        <v>28.0</v>
      </c>
      <c r="X46" s="13">
        <f t="shared" si="14"/>
        <v>407</v>
      </c>
    </row>
    <row r="47" ht="12.75" customHeight="1">
      <c r="A47" s="18"/>
      <c r="B47" s="57"/>
      <c r="C47" s="58" t="s">
        <v>41</v>
      </c>
      <c r="D47" s="59"/>
      <c r="E47" s="60">
        <v>4.0</v>
      </c>
      <c r="F47" s="60">
        <v>3.0</v>
      </c>
      <c r="G47" s="60">
        <v>2.0</v>
      </c>
      <c r="H47" s="60">
        <v>2.0</v>
      </c>
      <c r="I47" s="60">
        <v>0.0</v>
      </c>
      <c r="J47" s="60">
        <v>0.0</v>
      </c>
      <c r="K47" s="60">
        <v>1.0</v>
      </c>
      <c r="L47" s="60">
        <v>3.0</v>
      </c>
      <c r="M47" s="60">
        <v>1.0</v>
      </c>
      <c r="N47" s="60">
        <v>3.0</v>
      </c>
      <c r="O47" s="60">
        <v>1.0</v>
      </c>
      <c r="P47" s="60">
        <v>1.0</v>
      </c>
      <c r="Q47" s="60">
        <v>0.0</v>
      </c>
      <c r="R47" s="60">
        <v>2.0</v>
      </c>
      <c r="S47" s="60">
        <v>1.0</v>
      </c>
      <c r="T47" s="60">
        <v>2.0</v>
      </c>
      <c r="U47" s="60">
        <v>0.0</v>
      </c>
      <c r="V47" s="60">
        <v>0.0</v>
      </c>
      <c r="W47" s="60">
        <v>2.0</v>
      </c>
      <c r="X47" s="13">
        <f t="shared" si="14"/>
        <v>28</v>
      </c>
    </row>
    <row r="48" ht="12.75" customHeight="1">
      <c r="A48" s="18"/>
      <c r="B48" s="57"/>
      <c r="C48" s="58" t="s">
        <v>42</v>
      </c>
      <c r="D48" s="59"/>
      <c r="E48" s="60">
        <v>2.0</v>
      </c>
      <c r="F48" s="60">
        <v>1.0</v>
      </c>
      <c r="G48" s="60">
        <v>0.0</v>
      </c>
      <c r="H48" s="60">
        <v>1.0</v>
      </c>
      <c r="I48" s="60">
        <v>0.0</v>
      </c>
      <c r="J48" s="60">
        <v>0.0</v>
      </c>
      <c r="K48" s="60">
        <v>1.0</v>
      </c>
      <c r="L48" s="60">
        <v>0.0</v>
      </c>
      <c r="M48" s="60">
        <v>3.0</v>
      </c>
      <c r="N48" s="60">
        <v>0.0</v>
      </c>
      <c r="O48" s="60">
        <v>1.0</v>
      </c>
      <c r="P48" s="60">
        <v>0.0</v>
      </c>
      <c r="Q48" s="60">
        <v>0.0</v>
      </c>
      <c r="R48" s="60">
        <v>0.0</v>
      </c>
      <c r="S48" s="60">
        <v>0.0</v>
      </c>
      <c r="T48" s="60">
        <v>0.0</v>
      </c>
      <c r="U48" s="60">
        <v>0.0</v>
      </c>
      <c r="V48" s="60">
        <v>0.0</v>
      </c>
      <c r="W48" s="60">
        <v>3.0</v>
      </c>
      <c r="X48" s="13">
        <f t="shared" si="14"/>
        <v>12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1.0</v>
      </c>
      <c r="I49" s="60">
        <v>0.0</v>
      </c>
      <c r="J49" s="60">
        <v>0.0</v>
      </c>
      <c r="K49" s="60">
        <v>0.0</v>
      </c>
      <c r="L49" s="60">
        <v>1.0</v>
      </c>
      <c r="M49" s="60">
        <v>0.0</v>
      </c>
      <c r="N49" s="60">
        <v>0.0</v>
      </c>
      <c r="O49" s="60">
        <v>0.0</v>
      </c>
      <c r="P49" s="60">
        <v>0.0</v>
      </c>
      <c r="Q49" s="60">
        <v>0.0</v>
      </c>
      <c r="R49" s="60">
        <v>0.0</v>
      </c>
      <c r="S49" s="60">
        <v>0.0</v>
      </c>
      <c r="T49" s="60">
        <v>0.0</v>
      </c>
      <c r="U49" s="60">
        <v>1.0</v>
      </c>
      <c r="V49" s="60">
        <v>0.0</v>
      </c>
      <c r="W49" s="60">
        <v>1.0</v>
      </c>
      <c r="X49" s="13">
        <f t="shared" si="14"/>
        <v>4</v>
      </c>
    </row>
    <row r="50" ht="12.75" customHeight="1">
      <c r="A50" s="18"/>
      <c r="B50" s="57"/>
      <c r="C50" s="58" t="s">
        <v>44</v>
      </c>
      <c r="D50" s="59"/>
      <c r="E50" s="60">
        <v>1.0</v>
      </c>
      <c r="F50" s="60">
        <v>0.0</v>
      </c>
      <c r="G50" s="60">
        <v>0.0</v>
      </c>
      <c r="H50" s="60">
        <v>0.0</v>
      </c>
      <c r="I50" s="60">
        <v>2.0</v>
      </c>
      <c r="J50" s="60">
        <v>0.0</v>
      </c>
      <c r="K50" s="60">
        <v>1.0</v>
      </c>
      <c r="L50" s="60">
        <v>0.0</v>
      </c>
      <c r="M50" s="60">
        <v>0.0</v>
      </c>
      <c r="N50" s="60">
        <v>0.0</v>
      </c>
      <c r="O50" s="60">
        <v>0.0</v>
      </c>
      <c r="P50" s="60">
        <v>0.0</v>
      </c>
      <c r="Q50" s="60">
        <v>0.0</v>
      </c>
      <c r="R50" s="60">
        <v>0.0</v>
      </c>
      <c r="S50" s="60">
        <v>0.0</v>
      </c>
      <c r="T50" s="60">
        <v>0.0</v>
      </c>
      <c r="U50" s="60">
        <v>0.0</v>
      </c>
      <c r="V50" s="60">
        <v>0.0</v>
      </c>
      <c r="W50" s="60">
        <v>5.0</v>
      </c>
      <c r="X50" s="13">
        <f t="shared" si="14"/>
        <v>9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60">
        <v>0.0</v>
      </c>
      <c r="L51" s="60">
        <v>1.0</v>
      </c>
      <c r="M51" s="60">
        <v>0.0</v>
      </c>
      <c r="N51" s="60">
        <v>0.0</v>
      </c>
      <c r="O51" s="60">
        <v>0.0</v>
      </c>
      <c r="P51" s="60">
        <v>1.0</v>
      </c>
      <c r="Q51" s="60">
        <v>1.0</v>
      </c>
      <c r="R51" s="60">
        <v>1.0</v>
      </c>
      <c r="S51" s="60">
        <v>13.0</v>
      </c>
      <c r="T51" s="60">
        <v>25.0</v>
      </c>
      <c r="U51" s="60">
        <v>17.0</v>
      </c>
      <c r="V51" s="60">
        <v>38.0</v>
      </c>
      <c r="W51" s="60">
        <v>15.0</v>
      </c>
      <c r="X51" s="13">
        <f t="shared" si="14"/>
        <v>112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W52" si="15">SUM(E45:E51)</f>
        <v>31</v>
      </c>
      <c r="F52" s="64">
        <f t="shared" si="15"/>
        <v>33</v>
      </c>
      <c r="G52" s="64">
        <f t="shared" si="15"/>
        <v>20</v>
      </c>
      <c r="H52" s="64">
        <f t="shared" si="15"/>
        <v>21</v>
      </c>
      <c r="I52" s="64">
        <f t="shared" si="15"/>
        <v>38</v>
      </c>
      <c r="J52" s="64">
        <f t="shared" si="15"/>
        <v>64</v>
      </c>
      <c r="K52" s="64">
        <f t="shared" si="15"/>
        <v>24</v>
      </c>
      <c r="L52" s="64">
        <f t="shared" si="15"/>
        <v>34</v>
      </c>
      <c r="M52" s="64">
        <f t="shared" si="15"/>
        <v>34</v>
      </c>
      <c r="N52" s="64">
        <f t="shared" si="15"/>
        <v>31</v>
      </c>
      <c r="O52" s="64">
        <f t="shared" si="15"/>
        <v>10</v>
      </c>
      <c r="P52" s="64">
        <f t="shared" si="15"/>
        <v>11</v>
      </c>
      <c r="Q52" s="64">
        <f t="shared" si="15"/>
        <v>21</v>
      </c>
      <c r="R52" s="64">
        <f t="shared" si="15"/>
        <v>13</v>
      </c>
      <c r="S52" s="64">
        <f t="shared" si="15"/>
        <v>51</v>
      </c>
      <c r="T52" s="64">
        <f t="shared" si="15"/>
        <v>77</v>
      </c>
      <c r="U52" s="64">
        <f t="shared" si="15"/>
        <v>56</v>
      </c>
      <c r="V52" s="64">
        <f t="shared" si="15"/>
        <v>87</v>
      </c>
      <c r="W52" s="64">
        <f t="shared" si="15"/>
        <v>65</v>
      </c>
      <c r="X52" s="13">
        <f t="shared" si="14"/>
        <v>721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4.0</v>
      </c>
      <c r="F54" s="60">
        <v>8.0</v>
      </c>
      <c r="G54" s="60">
        <v>7.0</v>
      </c>
      <c r="H54" s="60">
        <v>7.0</v>
      </c>
      <c r="I54" s="60">
        <v>15.0</v>
      </c>
      <c r="J54" s="60">
        <v>6.0</v>
      </c>
      <c r="K54" s="60">
        <v>7.0</v>
      </c>
      <c r="L54" s="60">
        <v>3.0</v>
      </c>
      <c r="M54" s="60">
        <v>8.0</v>
      </c>
      <c r="N54" s="60">
        <v>8.0</v>
      </c>
      <c r="O54" s="60">
        <v>8.0</v>
      </c>
      <c r="P54" s="60">
        <v>9.0</v>
      </c>
      <c r="Q54" s="60">
        <v>8.0</v>
      </c>
      <c r="R54" s="60">
        <v>2.0</v>
      </c>
      <c r="S54" s="60">
        <v>9.0</v>
      </c>
      <c r="T54" s="60">
        <v>9.0</v>
      </c>
      <c r="U54" s="60">
        <v>7.0</v>
      </c>
      <c r="V54" s="60">
        <v>16.0</v>
      </c>
      <c r="W54" s="60">
        <v>9.0</v>
      </c>
      <c r="X54" s="13">
        <f t="shared" si="14"/>
        <v>150</v>
      </c>
    </row>
    <row r="55" ht="15.0" customHeight="1">
      <c r="A55" s="31" t="s">
        <v>39</v>
      </c>
      <c r="B55" s="57"/>
      <c r="C55" s="58" t="s">
        <v>48</v>
      </c>
      <c r="D55" s="59"/>
      <c r="E55" s="60">
        <v>3.0</v>
      </c>
      <c r="F55" s="60">
        <v>3.0</v>
      </c>
      <c r="G55" s="60">
        <v>4.0</v>
      </c>
      <c r="H55" s="60">
        <v>2.0</v>
      </c>
      <c r="I55" s="60">
        <v>3.0</v>
      </c>
      <c r="J55" s="60">
        <v>4.0</v>
      </c>
      <c r="K55" s="60">
        <v>3.0</v>
      </c>
      <c r="L55" s="60">
        <v>0.0</v>
      </c>
      <c r="M55" s="60">
        <v>1.0</v>
      </c>
      <c r="N55" s="60">
        <v>0.0</v>
      </c>
      <c r="O55" s="60">
        <v>6.0</v>
      </c>
      <c r="P55" s="60">
        <v>3.0</v>
      </c>
      <c r="Q55" s="60">
        <v>1.0</v>
      </c>
      <c r="R55" s="60">
        <v>2.0</v>
      </c>
      <c r="S55" s="60">
        <v>3.0</v>
      </c>
      <c r="T55" s="60">
        <v>1.0</v>
      </c>
      <c r="U55" s="60">
        <v>2.0</v>
      </c>
      <c r="V55" s="60">
        <v>5.0</v>
      </c>
      <c r="W55" s="60">
        <v>3.0</v>
      </c>
      <c r="X55" s="13">
        <f t="shared" si="14"/>
        <v>49</v>
      </c>
    </row>
    <row r="56" ht="12.75" customHeight="1">
      <c r="A56" s="18"/>
      <c r="B56" s="57"/>
      <c r="C56" s="58" t="s">
        <v>49</v>
      </c>
      <c r="D56" s="59"/>
      <c r="E56" s="60">
        <v>2.0</v>
      </c>
      <c r="F56" s="60">
        <v>2.0</v>
      </c>
      <c r="G56" s="60">
        <v>1.0</v>
      </c>
      <c r="H56" s="60">
        <v>9.0</v>
      </c>
      <c r="I56" s="60">
        <v>2.0</v>
      </c>
      <c r="J56" s="60">
        <v>0.0</v>
      </c>
      <c r="K56" s="60">
        <v>0.0</v>
      </c>
      <c r="L56" s="60">
        <v>1.0</v>
      </c>
      <c r="M56" s="60">
        <v>2.0</v>
      </c>
      <c r="N56" s="60">
        <v>2.0</v>
      </c>
      <c r="O56" s="60">
        <v>2.0</v>
      </c>
      <c r="P56" s="60">
        <v>5.0</v>
      </c>
      <c r="Q56" s="60">
        <v>3.0</v>
      </c>
      <c r="R56" s="60">
        <v>1.0</v>
      </c>
      <c r="S56" s="60">
        <v>4.0</v>
      </c>
      <c r="T56" s="60">
        <v>1.0</v>
      </c>
      <c r="U56" s="60">
        <v>2.0</v>
      </c>
      <c r="V56" s="60">
        <v>4.0</v>
      </c>
      <c r="W56" s="60">
        <v>6.0</v>
      </c>
      <c r="X56" s="13">
        <f t="shared" si="14"/>
        <v>49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1.0</v>
      </c>
      <c r="G57" s="60">
        <v>0.0</v>
      </c>
      <c r="H57" s="60">
        <v>1.0</v>
      </c>
      <c r="I57" s="60">
        <v>1.0</v>
      </c>
      <c r="J57" s="60">
        <v>0.0</v>
      </c>
      <c r="K57" s="60">
        <v>0.0</v>
      </c>
      <c r="L57" s="60">
        <v>1.0</v>
      </c>
      <c r="M57" s="60">
        <v>1.0</v>
      </c>
      <c r="N57" s="60">
        <v>1.0</v>
      </c>
      <c r="O57" s="60">
        <v>3.0</v>
      </c>
      <c r="P57" s="60">
        <v>2.0</v>
      </c>
      <c r="Q57" s="60">
        <v>0.0</v>
      </c>
      <c r="R57" s="60">
        <v>4.0</v>
      </c>
      <c r="S57" s="60">
        <v>0.0</v>
      </c>
      <c r="T57" s="60">
        <v>3.0</v>
      </c>
      <c r="U57" s="60">
        <v>1.0</v>
      </c>
      <c r="V57" s="60">
        <v>0.0</v>
      </c>
      <c r="W57" s="60">
        <v>1.0</v>
      </c>
      <c r="X57" s="13">
        <f t="shared" si="14"/>
        <v>20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1.0</v>
      </c>
      <c r="H58" s="60">
        <v>0.0</v>
      </c>
      <c r="I58" s="60">
        <v>1.0</v>
      </c>
      <c r="J58" s="60">
        <v>0.0</v>
      </c>
      <c r="K58" s="60">
        <v>0.0</v>
      </c>
      <c r="L58" s="60">
        <v>0.0</v>
      </c>
      <c r="M58" s="60">
        <v>0.0</v>
      </c>
      <c r="N58" s="60">
        <v>0.0</v>
      </c>
      <c r="O58" s="60">
        <v>1.0</v>
      </c>
      <c r="P58" s="60">
        <v>1.0</v>
      </c>
      <c r="Q58" s="60">
        <v>0.0</v>
      </c>
      <c r="R58" s="60">
        <v>4.0</v>
      </c>
      <c r="S58" s="60">
        <v>1.0</v>
      </c>
      <c r="T58" s="60">
        <v>2.0</v>
      </c>
      <c r="U58" s="60">
        <v>6.0</v>
      </c>
      <c r="V58" s="60">
        <v>3.0</v>
      </c>
      <c r="W58" s="60">
        <v>5.0</v>
      </c>
      <c r="X58" s="13">
        <f t="shared" si="14"/>
        <v>25</v>
      </c>
    </row>
    <row r="59" ht="12.75" customHeight="1">
      <c r="A59" s="18"/>
      <c r="B59" s="57"/>
      <c r="C59" s="58" t="s">
        <v>52</v>
      </c>
      <c r="D59" s="59"/>
      <c r="E59" s="60">
        <v>11.0</v>
      </c>
      <c r="F59" s="60">
        <v>1.0</v>
      </c>
      <c r="G59" s="60">
        <v>0.0</v>
      </c>
      <c r="H59" s="60">
        <v>0.0</v>
      </c>
      <c r="I59" s="60">
        <v>4.0</v>
      </c>
      <c r="J59" s="60">
        <v>0.0</v>
      </c>
      <c r="K59" s="60">
        <v>1.0</v>
      </c>
      <c r="L59" s="60">
        <v>1.0</v>
      </c>
      <c r="M59" s="60">
        <v>0.0</v>
      </c>
      <c r="N59" s="60">
        <v>0.0</v>
      </c>
      <c r="O59" s="60">
        <v>1.0</v>
      </c>
      <c r="P59" s="60">
        <v>4.0</v>
      </c>
      <c r="Q59" s="60">
        <v>1.0</v>
      </c>
      <c r="R59" s="60">
        <v>0.0</v>
      </c>
      <c r="S59" s="60">
        <v>1.0</v>
      </c>
      <c r="T59" s="60">
        <v>0.0</v>
      </c>
      <c r="U59" s="60">
        <v>1.0</v>
      </c>
      <c r="V59" s="60">
        <v>1.0</v>
      </c>
      <c r="W59" s="60">
        <v>0.0</v>
      </c>
      <c r="X59" s="13">
        <f t="shared" si="14"/>
        <v>27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1.0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0.0</v>
      </c>
      <c r="O60" s="60">
        <v>0.0</v>
      </c>
      <c r="P60" s="60">
        <v>0.0</v>
      </c>
      <c r="Q60" s="60">
        <v>0.0</v>
      </c>
      <c r="R60" s="60">
        <v>0.0</v>
      </c>
      <c r="S60" s="60">
        <v>0.0</v>
      </c>
      <c r="T60" s="60">
        <v>0.0</v>
      </c>
      <c r="U60" s="60">
        <v>0.0</v>
      </c>
      <c r="V60" s="60">
        <v>0.0</v>
      </c>
      <c r="W60" s="60">
        <v>0.0</v>
      </c>
      <c r="X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W61" si="16">SUM(E54:E60)</f>
        <v>20</v>
      </c>
      <c r="F61" s="64">
        <f t="shared" si="16"/>
        <v>15</v>
      </c>
      <c r="G61" s="64">
        <f t="shared" si="16"/>
        <v>13</v>
      </c>
      <c r="H61" s="64">
        <f t="shared" si="16"/>
        <v>20</v>
      </c>
      <c r="I61" s="64">
        <f t="shared" si="16"/>
        <v>26</v>
      </c>
      <c r="J61" s="64">
        <f t="shared" si="16"/>
        <v>10</v>
      </c>
      <c r="K61" s="64">
        <f t="shared" si="16"/>
        <v>11</v>
      </c>
      <c r="L61" s="64">
        <f t="shared" si="16"/>
        <v>6</v>
      </c>
      <c r="M61" s="64">
        <f t="shared" si="16"/>
        <v>12</v>
      </c>
      <c r="N61" s="64">
        <f t="shared" si="16"/>
        <v>11</v>
      </c>
      <c r="O61" s="64">
        <f t="shared" si="16"/>
        <v>21</v>
      </c>
      <c r="P61" s="64">
        <f t="shared" si="16"/>
        <v>24</v>
      </c>
      <c r="Q61" s="64">
        <f t="shared" si="16"/>
        <v>13</v>
      </c>
      <c r="R61" s="64">
        <f t="shared" si="16"/>
        <v>13</v>
      </c>
      <c r="S61" s="64">
        <f t="shared" si="16"/>
        <v>18</v>
      </c>
      <c r="T61" s="64">
        <f t="shared" si="16"/>
        <v>16</v>
      </c>
      <c r="U61" s="64">
        <f t="shared" si="16"/>
        <v>19</v>
      </c>
      <c r="V61" s="64">
        <f t="shared" si="16"/>
        <v>29</v>
      </c>
      <c r="W61" s="64">
        <f t="shared" si="16"/>
        <v>24</v>
      </c>
      <c r="X61" s="13">
        <f t="shared" si="14"/>
        <v>321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4.0</v>
      </c>
      <c r="F63" s="60">
        <v>9.0</v>
      </c>
      <c r="G63" s="60">
        <v>4.0</v>
      </c>
      <c r="H63" s="60">
        <v>2.0</v>
      </c>
      <c r="I63" s="60">
        <v>5.0</v>
      </c>
      <c r="J63" s="60">
        <v>6.0</v>
      </c>
      <c r="K63" s="60">
        <v>4.0</v>
      </c>
      <c r="L63" s="60">
        <v>7.0</v>
      </c>
      <c r="M63" s="60">
        <v>6.0</v>
      </c>
      <c r="N63" s="60">
        <v>5.0</v>
      </c>
      <c r="O63" s="60">
        <v>2.0</v>
      </c>
      <c r="P63" s="60">
        <v>6.0</v>
      </c>
      <c r="Q63" s="60">
        <v>7.0</v>
      </c>
      <c r="R63" s="60">
        <v>0.0</v>
      </c>
      <c r="S63" s="60">
        <v>3.0</v>
      </c>
      <c r="T63" s="60">
        <v>6.0</v>
      </c>
      <c r="U63" s="60">
        <v>2.0</v>
      </c>
      <c r="V63" s="60">
        <v>5.0</v>
      </c>
      <c r="W63" s="60">
        <v>8.0</v>
      </c>
      <c r="X63" s="13">
        <f t="shared" si="14"/>
        <v>91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1.0</v>
      </c>
      <c r="F64" s="60">
        <v>4.0</v>
      </c>
      <c r="G64" s="60">
        <v>2.0</v>
      </c>
      <c r="H64" s="60">
        <v>2.0</v>
      </c>
      <c r="I64" s="60">
        <v>3.0</v>
      </c>
      <c r="J64" s="60">
        <v>1.0</v>
      </c>
      <c r="K64" s="60">
        <v>3.0</v>
      </c>
      <c r="L64" s="60">
        <v>1.0</v>
      </c>
      <c r="M64" s="60">
        <v>4.0</v>
      </c>
      <c r="N64" s="60">
        <v>7.0</v>
      </c>
      <c r="O64" s="60">
        <v>4.0</v>
      </c>
      <c r="P64" s="60">
        <v>5.0</v>
      </c>
      <c r="Q64" s="60">
        <v>6.0</v>
      </c>
      <c r="R64" s="60">
        <v>3.0</v>
      </c>
      <c r="S64" s="60">
        <v>1.0</v>
      </c>
      <c r="T64" s="60">
        <v>0.0</v>
      </c>
      <c r="U64" s="60">
        <v>2.0</v>
      </c>
      <c r="V64" s="60">
        <v>2.0</v>
      </c>
      <c r="W64" s="60">
        <v>1.0</v>
      </c>
      <c r="X64" s="13">
        <f t="shared" si="14"/>
        <v>52</v>
      </c>
    </row>
    <row r="65" ht="12.75" customHeight="1">
      <c r="A65" s="18"/>
      <c r="B65" s="57"/>
      <c r="C65" s="58" t="s">
        <v>56</v>
      </c>
      <c r="D65" s="59"/>
      <c r="E65" s="60">
        <v>3.0</v>
      </c>
      <c r="F65" s="60">
        <v>2.0</v>
      </c>
      <c r="G65" s="60">
        <v>0.0</v>
      </c>
      <c r="H65" s="60">
        <v>0.0</v>
      </c>
      <c r="I65" s="60">
        <v>1.0</v>
      </c>
      <c r="J65" s="60">
        <v>0.0</v>
      </c>
      <c r="K65" s="60">
        <v>0.0</v>
      </c>
      <c r="L65" s="60">
        <v>1.0</v>
      </c>
      <c r="M65" s="60">
        <v>0.0</v>
      </c>
      <c r="N65" s="60">
        <v>1.0</v>
      </c>
      <c r="O65" s="60">
        <v>4.0</v>
      </c>
      <c r="P65" s="60">
        <v>24.0</v>
      </c>
      <c r="Q65" s="60">
        <v>4.0</v>
      </c>
      <c r="R65" s="60">
        <v>0.0</v>
      </c>
      <c r="S65" s="60">
        <v>0.0</v>
      </c>
      <c r="T65" s="60">
        <v>2.0</v>
      </c>
      <c r="U65" s="60">
        <v>1.0</v>
      </c>
      <c r="V65" s="60">
        <v>0.0</v>
      </c>
      <c r="W65" s="60">
        <v>1.0</v>
      </c>
      <c r="X65" s="13">
        <f t="shared" si="14"/>
        <v>44</v>
      </c>
    </row>
    <row r="66" ht="12.75" customHeight="1">
      <c r="A66" s="18"/>
      <c r="B66" s="57"/>
      <c r="C66" s="58" t="s">
        <v>57</v>
      </c>
      <c r="D66" s="59"/>
      <c r="E66" s="60">
        <v>4.0</v>
      </c>
      <c r="F66" s="60">
        <v>5.0</v>
      </c>
      <c r="G66" s="60">
        <v>13.0</v>
      </c>
      <c r="H66" s="60">
        <v>3.0</v>
      </c>
      <c r="I66" s="60">
        <v>1.0</v>
      </c>
      <c r="J66" s="60">
        <v>8.0</v>
      </c>
      <c r="K66" s="60">
        <v>11.0</v>
      </c>
      <c r="L66" s="60">
        <v>6.0</v>
      </c>
      <c r="M66" s="60">
        <v>5.0</v>
      </c>
      <c r="N66" s="60">
        <v>6.0</v>
      </c>
      <c r="O66" s="60">
        <v>3.0</v>
      </c>
      <c r="P66" s="60">
        <v>10.0</v>
      </c>
      <c r="Q66" s="60">
        <v>4.0</v>
      </c>
      <c r="R66" s="60">
        <v>5.0</v>
      </c>
      <c r="S66" s="60">
        <v>0.0</v>
      </c>
      <c r="T66" s="60">
        <v>1.0</v>
      </c>
      <c r="U66" s="60">
        <v>6.0</v>
      </c>
      <c r="V66" s="60">
        <v>1.0</v>
      </c>
      <c r="W66" s="60">
        <v>1.0</v>
      </c>
      <c r="X66" s="13">
        <f t="shared" si="14"/>
        <v>93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0.0</v>
      </c>
      <c r="H67" s="60">
        <v>0.0</v>
      </c>
      <c r="I67" s="60">
        <v>0.0</v>
      </c>
      <c r="J67" s="60">
        <v>0.0</v>
      </c>
      <c r="K67" s="60">
        <v>1.0</v>
      </c>
      <c r="L67" s="60">
        <v>1.0</v>
      </c>
      <c r="M67" s="60">
        <v>0.0</v>
      </c>
      <c r="N67" s="60">
        <v>0.0</v>
      </c>
      <c r="O67" s="60">
        <v>0.0</v>
      </c>
      <c r="P67" s="60">
        <v>0.0</v>
      </c>
      <c r="Q67" s="60">
        <v>1.0</v>
      </c>
      <c r="R67" s="60">
        <v>0.0</v>
      </c>
      <c r="S67" s="60">
        <v>1.0</v>
      </c>
      <c r="T67" s="60">
        <v>0.0</v>
      </c>
      <c r="U67" s="60">
        <v>3.0</v>
      </c>
      <c r="V67" s="60">
        <v>0.0</v>
      </c>
      <c r="W67" s="60">
        <v>0.0</v>
      </c>
      <c r="X67" s="13">
        <f t="shared" si="14"/>
        <v>7</v>
      </c>
    </row>
    <row r="68" ht="12.75" customHeight="1">
      <c r="A68" s="18"/>
      <c r="B68" s="57"/>
      <c r="C68" s="58" t="s">
        <v>59</v>
      </c>
      <c r="D68" s="59"/>
      <c r="E68" s="60">
        <v>7.0</v>
      </c>
      <c r="F68" s="60">
        <v>4.0</v>
      </c>
      <c r="G68" s="60">
        <v>1.0</v>
      </c>
      <c r="H68" s="60">
        <v>4.0</v>
      </c>
      <c r="I68" s="60">
        <v>1.0</v>
      </c>
      <c r="J68" s="60">
        <v>4.0</v>
      </c>
      <c r="K68" s="60">
        <v>16.0</v>
      </c>
      <c r="L68" s="60">
        <v>1.0</v>
      </c>
      <c r="M68" s="60">
        <v>16.0</v>
      </c>
      <c r="N68" s="60">
        <v>10.0</v>
      </c>
      <c r="O68" s="60">
        <v>5.0</v>
      </c>
      <c r="P68" s="60">
        <v>1.0</v>
      </c>
      <c r="Q68" s="60">
        <v>4.0</v>
      </c>
      <c r="R68" s="60">
        <v>1.0</v>
      </c>
      <c r="S68" s="60">
        <v>4.0</v>
      </c>
      <c r="T68" s="60">
        <v>6.0</v>
      </c>
      <c r="U68" s="60">
        <v>10.0</v>
      </c>
      <c r="V68" s="60">
        <v>4.0</v>
      </c>
      <c r="W68" s="60">
        <v>19.0</v>
      </c>
      <c r="X68" s="13">
        <f t="shared" si="14"/>
        <v>118</v>
      </c>
    </row>
    <row r="69" ht="12.75" customHeight="1">
      <c r="A69" s="18"/>
      <c r="B69" s="57"/>
      <c r="C69" s="58" t="s">
        <v>60</v>
      </c>
      <c r="D69" s="59"/>
      <c r="E69" s="60">
        <v>1.0</v>
      </c>
      <c r="F69" s="60">
        <v>1.0</v>
      </c>
      <c r="G69" s="60">
        <v>0.0</v>
      </c>
      <c r="H69" s="60">
        <v>0.0</v>
      </c>
      <c r="I69" s="60">
        <v>1.0</v>
      </c>
      <c r="J69" s="60">
        <v>0.0</v>
      </c>
      <c r="K69" s="60">
        <v>0.0</v>
      </c>
      <c r="L69" s="60">
        <v>0.0</v>
      </c>
      <c r="M69" s="60">
        <v>0.0</v>
      </c>
      <c r="N69" s="60">
        <v>0.0</v>
      </c>
      <c r="O69" s="60">
        <v>7.0</v>
      </c>
      <c r="P69" s="60">
        <v>4.0</v>
      </c>
      <c r="Q69" s="60">
        <v>1.0</v>
      </c>
      <c r="R69" s="60">
        <v>0.0</v>
      </c>
      <c r="S69" s="60">
        <v>0.0</v>
      </c>
      <c r="T69" s="60">
        <v>3.0</v>
      </c>
      <c r="U69" s="60">
        <v>1.0</v>
      </c>
      <c r="V69" s="60">
        <v>5.0</v>
      </c>
      <c r="W69" s="60">
        <v>0.0</v>
      </c>
      <c r="X69" s="13">
        <f t="shared" si="14"/>
        <v>24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W70" si="17">SUM(E63:E69)</f>
        <v>20</v>
      </c>
      <c r="F70" s="64">
        <f t="shared" si="17"/>
        <v>25</v>
      </c>
      <c r="G70" s="64">
        <f t="shared" si="17"/>
        <v>20</v>
      </c>
      <c r="H70" s="64">
        <f t="shared" si="17"/>
        <v>11</v>
      </c>
      <c r="I70" s="64">
        <f t="shared" si="17"/>
        <v>12</v>
      </c>
      <c r="J70" s="64">
        <f t="shared" si="17"/>
        <v>19</v>
      </c>
      <c r="K70" s="64">
        <f t="shared" si="17"/>
        <v>35</v>
      </c>
      <c r="L70" s="64">
        <f t="shared" si="17"/>
        <v>17</v>
      </c>
      <c r="M70" s="64">
        <f t="shared" si="17"/>
        <v>31</v>
      </c>
      <c r="N70" s="64">
        <f t="shared" si="17"/>
        <v>29</v>
      </c>
      <c r="O70" s="64">
        <f t="shared" si="17"/>
        <v>25</v>
      </c>
      <c r="P70" s="64">
        <f t="shared" si="17"/>
        <v>50</v>
      </c>
      <c r="Q70" s="64">
        <f t="shared" si="17"/>
        <v>27</v>
      </c>
      <c r="R70" s="64">
        <f t="shared" si="17"/>
        <v>9</v>
      </c>
      <c r="S70" s="64">
        <f t="shared" si="17"/>
        <v>9</v>
      </c>
      <c r="T70" s="64">
        <f t="shared" si="17"/>
        <v>18</v>
      </c>
      <c r="U70" s="64">
        <f t="shared" si="17"/>
        <v>25</v>
      </c>
      <c r="V70" s="64">
        <f t="shared" si="17"/>
        <v>17</v>
      </c>
      <c r="W70" s="64">
        <f t="shared" si="17"/>
        <v>30</v>
      </c>
      <c r="X70" s="13">
        <f t="shared" si="14"/>
        <v>429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2.0</v>
      </c>
      <c r="F72" s="60">
        <v>2.0</v>
      </c>
      <c r="G72" s="60">
        <v>1.0</v>
      </c>
      <c r="H72" s="60">
        <v>2.0</v>
      </c>
      <c r="I72" s="60">
        <v>4.0</v>
      </c>
      <c r="J72" s="60">
        <v>4.0</v>
      </c>
      <c r="K72" s="60">
        <v>2.0</v>
      </c>
      <c r="L72" s="60">
        <v>3.0</v>
      </c>
      <c r="M72" s="60">
        <v>5.0</v>
      </c>
      <c r="N72" s="60">
        <v>7.0</v>
      </c>
      <c r="O72" s="60">
        <v>5.0</v>
      </c>
      <c r="P72" s="60">
        <v>9.0</v>
      </c>
      <c r="Q72" s="60">
        <v>3.0</v>
      </c>
      <c r="R72" s="60">
        <v>5.0</v>
      </c>
      <c r="S72" s="60">
        <v>0.0</v>
      </c>
      <c r="T72" s="60">
        <v>6.0</v>
      </c>
      <c r="U72" s="60">
        <v>5.0</v>
      </c>
      <c r="V72" s="60">
        <v>1.0</v>
      </c>
      <c r="W72" s="60">
        <v>1.0</v>
      </c>
      <c r="X72" s="13">
        <f t="shared" si="14"/>
        <v>67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2.0</v>
      </c>
      <c r="F73" s="60">
        <v>4.0</v>
      </c>
      <c r="G73" s="60">
        <v>2.0</v>
      </c>
      <c r="H73" s="60">
        <v>7.0</v>
      </c>
      <c r="I73" s="60">
        <v>4.0</v>
      </c>
      <c r="J73" s="60">
        <v>2.0</v>
      </c>
      <c r="K73" s="60">
        <v>9.0</v>
      </c>
      <c r="L73" s="60">
        <v>15.0</v>
      </c>
      <c r="M73" s="60">
        <v>12.0</v>
      </c>
      <c r="N73" s="60">
        <v>12.0</v>
      </c>
      <c r="O73" s="60">
        <v>9.0</v>
      </c>
      <c r="P73" s="60">
        <v>32.0</v>
      </c>
      <c r="Q73" s="60">
        <v>6.0</v>
      </c>
      <c r="R73" s="60">
        <v>65.0</v>
      </c>
      <c r="S73" s="60">
        <v>8.0</v>
      </c>
      <c r="T73" s="60">
        <v>4.0</v>
      </c>
      <c r="U73" s="60">
        <v>0.0</v>
      </c>
      <c r="V73" s="60">
        <v>1.0</v>
      </c>
      <c r="W73" s="60">
        <v>1.0</v>
      </c>
      <c r="X73" s="13">
        <f t="shared" si="14"/>
        <v>195</v>
      </c>
    </row>
    <row r="74" ht="12.75" customHeight="1">
      <c r="A74" s="18"/>
      <c r="B74" s="57"/>
      <c r="C74" s="58" t="s">
        <v>63</v>
      </c>
      <c r="D74" s="59"/>
      <c r="E74" s="60">
        <v>2.0</v>
      </c>
      <c r="F74" s="60">
        <v>0.0</v>
      </c>
      <c r="G74" s="60">
        <v>0.0</v>
      </c>
      <c r="H74" s="60">
        <v>0.0</v>
      </c>
      <c r="I74" s="60">
        <v>1.0</v>
      </c>
      <c r="J74" s="60">
        <v>1.0</v>
      </c>
      <c r="K74" s="60">
        <v>0.0</v>
      </c>
      <c r="L74" s="60">
        <v>1.0</v>
      </c>
      <c r="M74" s="60">
        <v>1.0</v>
      </c>
      <c r="N74" s="60">
        <v>0.0</v>
      </c>
      <c r="O74" s="60">
        <v>1.0</v>
      </c>
      <c r="P74" s="60">
        <v>0.0</v>
      </c>
      <c r="Q74" s="60">
        <v>1.0</v>
      </c>
      <c r="R74" s="60">
        <v>0.0</v>
      </c>
      <c r="S74" s="60">
        <v>0.0</v>
      </c>
      <c r="T74" s="60">
        <v>0.0</v>
      </c>
      <c r="U74" s="60">
        <v>0.0</v>
      </c>
      <c r="V74" s="60">
        <v>1.0</v>
      </c>
      <c r="W74" s="60">
        <v>0.0</v>
      </c>
      <c r="X74" s="13">
        <f t="shared" si="14"/>
        <v>9</v>
      </c>
    </row>
    <row r="75" ht="12.75" customHeight="1">
      <c r="A75" s="18"/>
      <c r="B75" s="57"/>
      <c r="C75" s="58" t="s">
        <v>64</v>
      </c>
      <c r="D75" s="59"/>
      <c r="E75" s="60">
        <v>2.0</v>
      </c>
      <c r="F75" s="60">
        <v>1.0</v>
      </c>
      <c r="G75" s="60">
        <v>0.0</v>
      </c>
      <c r="H75" s="60">
        <v>0.0</v>
      </c>
      <c r="I75" s="60">
        <v>3.0</v>
      </c>
      <c r="J75" s="60">
        <v>0.0</v>
      </c>
      <c r="K75" s="60">
        <v>0.0</v>
      </c>
      <c r="L75" s="60">
        <v>0.0</v>
      </c>
      <c r="M75" s="60">
        <v>1.0</v>
      </c>
      <c r="N75" s="60">
        <v>0.0</v>
      </c>
      <c r="O75" s="60">
        <v>2.0</v>
      </c>
      <c r="P75" s="60">
        <v>0.0</v>
      </c>
      <c r="Q75" s="60">
        <v>1.0</v>
      </c>
      <c r="R75" s="60">
        <v>0.0</v>
      </c>
      <c r="S75" s="60">
        <v>0.0</v>
      </c>
      <c r="T75" s="60">
        <v>0.0</v>
      </c>
      <c r="U75" s="60">
        <v>0.0</v>
      </c>
      <c r="V75" s="60">
        <v>2.0</v>
      </c>
      <c r="W75" s="60">
        <v>0.0</v>
      </c>
      <c r="X75" s="13">
        <f t="shared" si="14"/>
        <v>12</v>
      </c>
    </row>
    <row r="76" ht="12.75" customHeight="1">
      <c r="A76" s="18"/>
      <c r="B76" s="57"/>
      <c r="C76" s="58" t="s">
        <v>65</v>
      </c>
      <c r="D76" s="59"/>
      <c r="E76" s="60">
        <v>0.0</v>
      </c>
      <c r="F76" s="60">
        <v>4.0</v>
      </c>
      <c r="G76" s="60">
        <v>4.0</v>
      </c>
      <c r="H76" s="60">
        <v>24.0</v>
      </c>
      <c r="I76" s="60">
        <v>11.0</v>
      </c>
      <c r="J76" s="60">
        <v>2.0</v>
      </c>
      <c r="K76" s="60">
        <v>1.0</v>
      </c>
      <c r="L76" s="60">
        <v>1.0</v>
      </c>
      <c r="M76" s="60">
        <v>2.0</v>
      </c>
      <c r="N76" s="60">
        <v>2.0</v>
      </c>
      <c r="O76" s="60">
        <v>21.0</v>
      </c>
      <c r="P76" s="60">
        <v>14.0</v>
      </c>
      <c r="Q76" s="60">
        <v>25.0</v>
      </c>
      <c r="R76" s="60">
        <v>5.0</v>
      </c>
      <c r="S76" s="60">
        <v>15.0</v>
      </c>
      <c r="T76" s="60">
        <v>15.0</v>
      </c>
      <c r="U76" s="60">
        <v>27.0</v>
      </c>
      <c r="V76" s="60">
        <v>1.0</v>
      </c>
      <c r="W76" s="60">
        <v>0.0</v>
      </c>
      <c r="X76" s="13">
        <f t="shared" si="14"/>
        <v>174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60">
        <v>0.0</v>
      </c>
      <c r="P77" s="60">
        <v>0.0</v>
      </c>
      <c r="Q77" s="60">
        <v>0.0</v>
      </c>
      <c r="R77" s="60">
        <v>0.0</v>
      </c>
      <c r="S77" s="60">
        <v>0.0</v>
      </c>
      <c r="T77" s="60">
        <v>0.0</v>
      </c>
      <c r="U77" s="60">
        <v>1.0</v>
      </c>
      <c r="V77" s="60">
        <v>0.0</v>
      </c>
      <c r="W77" s="60">
        <v>0.0</v>
      </c>
      <c r="X77" s="13">
        <f t="shared" si="14"/>
        <v>1</v>
      </c>
    </row>
    <row r="78" ht="12.75" customHeight="1">
      <c r="A78" s="18"/>
      <c r="B78" s="57"/>
      <c r="C78" s="58" t="s">
        <v>67</v>
      </c>
      <c r="D78" s="59"/>
      <c r="E78" s="60">
        <v>2.0</v>
      </c>
      <c r="F78" s="60">
        <v>0.0</v>
      </c>
      <c r="G78" s="60">
        <v>1.0</v>
      </c>
      <c r="H78" s="60">
        <v>0.0</v>
      </c>
      <c r="I78" s="60">
        <v>0.0</v>
      </c>
      <c r="J78" s="60">
        <v>0.0</v>
      </c>
      <c r="K78" s="60">
        <v>2.0</v>
      </c>
      <c r="L78" s="60">
        <v>0.0</v>
      </c>
      <c r="M78" s="60">
        <v>0.0</v>
      </c>
      <c r="N78" s="60">
        <v>0.0</v>
      </c>
      <c r="O78" s="60">
        <v>1.0</v>
      </c>
      <c r="P78" s="60">
        <v>1.0</v>
      </c>
      <c r="Q78" s="60">
        <v>1.0</v>
      </c>
      <c r="R78" s="60">
        <v>3.0</v>
      </c>
      <c r="S78" s="60">
        <v>0.0</v>
      </c>
      <c r="T78" s="60">
        <v>0.0</v>
      </c>
      <c r="U78" s="60">
        <v>0.0</v>
      </c>
      <c r="V78" s="60">
        <v>0.0</v>
      </c>
      <c r="W78" s="60">
        <v>0.0</v>
      </c>
      <c r="X78" s="13">
        <f t="shared" si="14"/>
        <v>11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W79" si="18">SUM(E72:E78)</f>
        <v>10</v>
      </c>
      <c r="F79" s="64">
        <f t="shared" si="18"/>
        <v>11</v>
      </c>
      <c r="G79" s="64">
        <f t="shared" si="18"/>
        <v>8</v>
      </c>
      <c r="H79" s="64">
        <f t="shared" si="18"/>
        <v>33</v>
      </c>
      <c r="I79" s="64">
        <f t="shared" si="18"/>
        <v>23</v>
      </c>
      <c r="J79" s="64">
        <f t="shared" si="18"/>
        <v>9</v>
      </c>
      <c r="K79" s="64">
        <f t="shared" si="18"/>
        <v>14</v>
      </c>
      <c r="L79" s="64">
        <f t="shared" si="18"/>
        <v>20</v>
      </c>
      <c r="M79" s="64">
        <f t="shared" si="18"/>
        <v>21</v>
      </c>
      <c r="N79" s="64">
        <f t="shared" si="18"/>
        <v>21</v>
      </c>
      <c r="O79" s="64">
        <f t="shared" si="18"/>
        <v>39</v>
      </c>
      <c r="P79" s="64">
        <f t="shared" si="18"/>
        <v>56</v>
      </c>
      <c r="Q79" s="64">
        <f t="shared" si="18"/>
        <v>37</v>
      </c>
      <c r="R79" s="64">
        <f t="shared" si="18"/>
        <v>78</v>
      </c>
      <c r="S79" s="64">
        <f t="shared" si="18"/>
        <v>23</v>
      </c>
      <c r="T79" s="64">
        <f t="shared" si="18"/>
        <v>25</v>
      </c>
      <c r="U79" s="64">
        <f t="shared" si="18"/>
        <v>33</v>
      </c>
      <c r="V79" s="64">
        <f t="shared" si="18"/>
        <v>6</v>
      </c>
      <c r="W79" s="64">
        <f t="shared" si="18"/>
        <v>2</v>
      </c>
      <c r="X79" s="13">
        <f t="shared" si="14"/>
        <v>469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1.0</v>
      </c>
      <c r="F81" s="60">
        <v>0.0</v>
      </c>
      <c r="G81" s="60">
        <v>0.0</v>
      </c>
      <c r="H81" s="60">
        <v>0.0</v>
      </c>
      <c r="I81" s="60">
        <v>0.0</v>
      </c>
      <c r="J81" s="60">
        <v>0.0</v>
      </c>
      <c r="K81" s="60">
        <v>1.0</v>
      </c>
      <c r="L81" s="60">
        <v>1.0</v>
      </c>
      <c r="M81" s="60">
        <v>2.0</v>
      </c>
      <c r="N81" s="60">
        <v>3.0</v>
      </c>
      <c r="O81" s="60">
        <v>0.0</v>
      </c>
      <c r="P81" s="60">
        <v>1.0</v>
      </c>
      <c r="Q81" s="60">
        <v>1.0</v>
      </c>
      <c r="R81" s="60">
        <v>0.0</v>
      </c>
      <c r="S81" s="60">
        <v>1.0</v>
      </c>
      <c r="T81" s="60">
        <v>1.0</v>
      </c>
      <c r="U81" s="60">
        <v>0.0</v>
      </c>
      <c r="V81" s="60">
        <v>1.0</v>
      </c>
      <c r="W81" s="60">
        <v>4.0</v>
      </c>
      <c r="X81" s="13">
        <f t="shared" si="14"/>
        <v>17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2.0</v>
      </c>
      <c r="F82" s="60">
        <v>1.0</v>
      </c>
      <c r="G82" s="60">
        <v>1.0</v>
      </c>
      <c r="H82" s="60">
        <v>2.0</v>
      </c>
      <c r="I82" s="60">
        <v>1.0</v>
      </c>
      <c r="J82" s="60">
        <v>6.0</v>
      </c>
      <c r="K82" s="60">
        <v>4.0</v>
      </c>
      <c r="L82" s="60">
        <v>1.0</v>
      </c>
      <c r="M82" s="60">
        <v>11.0</v>
      </c>
      <c r="N82" s="60">
        <v>7.0</v>
      </c>
      <c r="O82" s="60">
        <v>2.0</v>
      </c>
      <c r="P82" s="60">
        <v>2.0</v>
      </c>
      <c r="Q82" s="60">
        <v>1.0</v>
      </c>
      <c r="R82" s="60">
        <v>1.0</v>
      </c>
      <c r="S82" s="60">
        <v>3.0</v>
      </c>
      <c r="T82" s="60">
        <v>0.0</v>
      </c>
      <c r="U82" s="60">
        <v>0.0</v>
      </c>
      <c r="V82" s="60">
        <v>0.0</v>
      </c>
      <c r="W82" s="60">
        <v>1.0</v>
      </c>
      <c r="X82" s="13">
        <f t="shared" si="14"/>
        <v>46</v>
      </c>
    </row>
    <row r="83" ht="12.75" customHeight="1">
      <c r="A83" s="18"/>
      <c r="B83" s="57"/>
      <c r="C83" s="58" t="s">
        <v>71</v>
      </c>
      <c r="D83" s="59"/>
      <c r="E83" s="60">
        <v>1.0</v>
      </c>
      <c r="F83" s="60">
        <v>0.0</v>
      </c>
      <c r="G83" s="60">
        <v>0.0</v>
      </c>
      <c r="H83" s="60">
        <v>0.0</v>
      </c>
      <c r="I83" s="60">
        <v>0.0</v>
      </c>
      <c r="J83" s="60">
        <v>0.0</v>
      </c>
      <c r="K83" s="60">
        <v>0.0</v>
      </c>
      <c r="L83" s="60">
        <v>0.0</v>
      </c>
      <c r="M83" s="60">
        <v>0.0</v>
      </c>
      <c r="N83" s="60">
        <v>0.0</v>
      </c>
      <c r="O83" s="60">
        <v>0.0</v>
      </c>
      <c r="P83" s="60">
        <v>1.0</v>
      </c>
      <c r="Q83" s="60">
        <v>0.0</v>
      </c>
      <c r="R83" s="60">
        <v>0.0</v>
      </c>
      <c r="S83" s="60">
        <v>0.0</v>
      </c>
      <c r="T83" s="60">
        <v>0.0</v>
      </c>
      <c r="U83" s="60">
        <v>1.0</v>
      </c>
      <c r="V83" s="60">
        <v>0.0</v>
      </c>
      <c r="W83" s="60">
        <v>1.0</v>
      </c>
      <c r="X83" s="13">
        <f t="shared" si="14"/>
        <v>4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1.0</v>
      </c>
      <c r="G84" s="60">
        <v>0.0</v>
      </c>
      <c r="H84" s="60">
        <v>0.0</v>
      </c>
      <c r="I84" s="60">
        <v>0.0</v>
      </c>
      <c r="J84" s="60">
        <v>0.0</v>
      </c>
      <c r="K84" s="60">
        <v>0.0</v>
      </c>
      <c r="L84" s="60">
        <v>1.0</v>
      </c>
      <c r="M84" s="60">
        <v>0.0</v>
      </c>
      <c r="N84" s="60">
        <v>1.0</v>
      </c>
      <c r="O84" s="60">
        <v>1.0</v>
      </c>
      <c r="P84" s="60">
        <v>0.0</v>
      </c>
      <c r="Q84" s="60">
        <v>0.0</v>
      </c>
      <c r="R84" s="60">
        <v>0.0</v>
      </c>
      <c r="S84" s="60">
        <v>0.0</v>
      </c>
      <c r="T84" s="60">
        <v>2.0</v>
      </c>
      <c r="U84" s="60">
        <v>1.0</v>
      </c>
      <c r="V84" s="60">
        <v>0.0</v>
      </c>
      <c r="W84" s="60">
        <v>0.0</v>
      </c>
      <c r="X84" s="13">
        <f t="shared" si="14"/>
        <v>7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0.0</v>
      </c>
      <c r="H85" s="60">
        <v>0.0</v>
      </c>
      <c r="I85" s="60">
        <v>1.0</v>
      </c>
      <c r="J85" s="60">
        <v>0.0</v>
      </c>
      <c r="K85" s="60">
        <v>2.0</v>
      </c>
      <c r="L85" s="60">
        <v>0.0</v>
      </c>
      <c r="M85" s="60">
        <v>0.0</v>
      </c>
      <c r="N85" s="60">
        <v>0.0</v>
      </c>
      <c r="O85" s="60">
        <v>0.0</v>
      </c>
      <c r="P85" s="60">
        <v>1.0</v>
      </c>
      <c r="Q85" s="60">
        <v>0.0</v>
      </c>
      <c r="R85" s="60">
        <v>0.0</v>
      </c>
      <c r="S85" s="60">
        <v>0.0</v>
      </c>
      <c r="T85" s="60">
        <v>0.0</v>
      </c>
      <c r="U85" s="60">
        <v>0.0</v>
      </c>
      <c r="V85" s="60">
        <v>0.0</v>
      </c>
      <c r="W85" s="60">
        <v>0.0</v>
      </c>
      <c r="X85" s="13">
        <f t="shared" si="14"/>
        <v>4</v>
      </c>
    </row>
    <row r="86" ht="12.75" customHeight="1">
      <c r="A86" s="18"/>
      <c r="B86" s="57"/>
      <c r="C86" s="58" t="s">
        <v>74</v>
      </c>
      <c r="D86" s="59"/>
      <c r="E86" s="60">
        <v>2.0</v>
      </c>
      <c r="F86" s="60">
        <v>0.0</v>
      </c>
      <c r="G86" s="60">
        <v>0.0</v>
      </c>
      <c r="H86" s="60">
        <v>1.0</v>
      </c>
      <c r="I86" s="60">
        <v>0.0</v>
      </c>
      <c r="J86" s="60">
        <v>0.0</v>
      </c>
      <c r="K86" s="60">
        <v>0.0</v>
      </c>
      <c r="L86" s="60">
        <v>2.0</v>
      </c>
      <c r="M86" s="60">
        <v>2.0</v>
      </c>
      <c r="N86" s="60">
        <v>7.0</v>
      </c>
      <c r="O86" s="60">
        <v>5.0</v>
      </c>
      <c r="P86" s="60">
        <v>1.0</v>
      </c>
      <c r="Q86" s="60">
        <v>0.0</v>
      </c>
      <c r="R86" s="60">
        <v>14.0</v>
      </c>
      <c r="S86" s="60">
        <v>33.0</v>
      </c>
      <c r="T86" s="60">
        <v>0.0</v>
      </c>
      <c r="U86" s="60">
        <v>0.0</v>
      </c>
      <c r="V86" s="60">
        <v>1.0</v>
      </c>
      <c r="W86" s="60">
        <v>0.0</v>
      </c>
      <c r="X86" s="13">
        <f t="shared" si="14"/>
        <v>68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2.0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60">
        <v>0.0</v>
      </c>
      <c r="P87" s="60">
        <v>1.0</v>
      </c>
      <c r="Q87" s="60">
        <v>0.0</v>
      </c>
      <c r="R87" s="60">
        <v>0.0</v>
      </c>
      <c r="S87" s="60">
        <v>0.0</v>
      </c>
      <c r="T87" s="60">
        <v>2.0</v>
      </c>
      <c r="U87" s="60">
        <v>0.0</v>
      </c>
      <c r="V87" s="60">
        <v>0.0</v>
      </c>
      <c r="W87" s="60">
        <v>0.0</v>
      </c>
      <c r="X87" s="13">
        <f t="shared" si="14"/>
        <v>5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W88" si="19">SUM(E81:E87)</f>
        <v>6</v>
      </c>
      <c r="F88" s="64">
        <f t="shared" si="19"/>
        <v>2</v>
      </c>
      <c r="G88" s="64">
        <f t="shared" si="19"/>
        <v>1</v>
      </c>
      <c r="H88" s="64">
        <f t="shared" si="19"/>
        <v>3</v>
      </c>
      <c r="I88" s="64">
        <f t="shared" si="19"/>
        <v>4</v>
      </c>
      <c r="J88" s="64">
        <f t="shared" si="19"/>
        <v>6</v>
      </c>
      <c r="K88" s="64">
        <f t="shared" si="19"/>
        <v>7</v>
      </c>
      <c r="L88" s="64">
        <f t="shared" si="19"/>
        <v>5</v>
      </c>
      <c r="M88" s="64">
        <f t="shared" si="19"/>
        <v>15</v>
      </c>
      <c r="N88" s="64">
        <f t="shared" si="19"/>
        <v>18</v>
      </c>
      <c r="O88" s="64">
        <f t="shared" si="19"/>
        <v>8</v>
      </c>
      <c r="P88" s="64">
        <f t="shared" si="19"/>
        <v>7</v>
      </c>
      <c r="Q88" s="64">
        <f t="shared" si="19"/>
        <v>2</v>
      </c>
      <c r="R88" s="64">
        <f t="shared" si="19"/>
        <v>15</v>
      </c>
      <c r="S88" s="64">
        <f t="shared" si="19"/>
        <v>37</v>
      </c>
      <c r="T88" s="64">
        <f t="shared" si="19"/>
        <v>5</v>
      </c>
      <c r="U88" s="64">
        <f t="shared" si="19"/>
        <v>2</v>
      </c>
      <c r="V88" s="64">
        <f t="shared" si="19"/>
        <v>2</v>
      </c>
      <c r="W88" s="64">
        <f t="shared" si="19"/>
        <v>6</v>
      </c>
      <c r="X88" s="13">
        <f t="shared" si="14"/>
        <v>151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0.0</v>
      </c>
      <c r="J90" s="60">
        <v>0.0</v>
      </c>
      <c r="K90" s="19"/>
      <c r="L90" s="60">
        <v>0.0</v>
      </c>
      <c r="M90" s="60">
        <v>1.0</v>
      </c>
      <c r="N90" s="60">
        <v>1.0</v>
      </c>
      <c r="O90" s="60">
        <v>0.0</v>
      </c>
      <c r="P90" s="60">
        <v>0.0</v>
      </c>
      <c r="Q90" s="60">
        <v>0.0</v>
      </c>
      <c r="R90" s="60">
        <v>0.0</v>
      </c>
      <c r="S90" s="60">
        <v>0.0</v>
      </c>
      <c r="T90" s="60">
        <v>5.0</v>
      </c>
      <c r="U90" s="60">
        <v>1.0</v>
      </c>
      <c r="V90" s="60">
        <v>1.0</v>
      </c>
      <c r="W90" s="60">
        <v>3.0</v>
      </c>
      <c r="X90" s="13">
        <f t="shared" si="14"/>
        <v>12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1.0</v>
      </c>
      <c r="H91" s="60">
        <v>0.0</v>
      </c>
      <c r="I91" s="60">
        <v>0.0</v>
      </c>
      <c r="J91" s="60">
        <v>0.0</v>
      </c>
      <c r="K91" s="19"/>
      <c r="L91" s="60">
        <v>0.0</v>
      </c>
      <c r="M91" s="60">
        <v>1.0</v>
      </c>
      <c r="N91" s="60">
        <v>0.0</v>
      </c>
      <c r="O91" s="60">
        <v>0.0</v>
      </c>
      <c r="P91" s="60">
        <v>1.0</v>
      </c>
      <c r="Q91" s="60">
        <v>0.0</v>
      </c>
      <c r="R91" s="60">
        <v>0.0</v>
      </c>
      <c r="S91" s="60">
        <v>0.0</v>
      </c>
      <c r="T91" s="60">
        <v>0.0</v>
      </c>
      <c r="U91" s="60">
        <v>0.0</v>
      </c>
      <c r="V91" s="60">
        <v>0.0</v>
      </c>
      <c r="W91" s="60">
        <v>0.0</v>
      </c>
      <c r="X91" s="13">
        <f t="shared" si="14"/>
        <v>3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W92" si="20">SUM(E90:E91)</f>
        <v>0</v>
      </c>
      <c r="F92" s="64">
        <f t="shared" si="20"/>
        <v>0</v>
      </c>
      <c r="G92" s="64">
        <f t="shared" si="20"/>
        <v>1</v>
      </c>
      <c r="H92" s="64">
        <f t="shared" si="20"/>
        <v>0</v>
      </c>
      <c r="I92" s="64">
        <f t="shared" si="20"/>
        <v>0</v>
      </c>
      <c r="J92" s="64">
        <f t="shared" si="20"/>
        <v>0</v>
      </c>
      <c r="K92" s="64">
        <f t="shared" si="20"/>
        <v>0</v>
      </c>
      <c r="L92" s="64">
        <f t="shared" si="20"/>
        <v>0</v>
      </c>
      <c r="M92" s="64">
        <f t="shared" si="20"/>
        <v>2</v>
      </c>
      <c r="N92" s="64">
        <f t="shared" si="20"/>
        <v>1</v>
      </c>
      <c r="O92" s="64">
        <f t="shared" si="20"/>
        <v>0</v>
      </c>
      <c r="P92" s="64">
        <f t="shared" si="20"/>
        <v>1</v>
      </c>
      <c r="Q92" s="64">
        <f t="shared" si="20"/>
        <v>0</v>
      </c>
      <c r="R92" s="64">
        <f t="shared" si="20"/>
        <v>0</v>
      </c>
      <c r="S92" s="64">
        <f t="shared" si="20"/>
        <v>0</v>
      </c>
      <c r="T92" s="64">
        <f t="shared" si="20"/>
        <v>5</v>
      </c>
      <c r="U92" s="64">
        <f t="shared" si="20"/>
        <v>1</v>
      </c>
      <c r="V92" s="64">
        <f t="shared" si="20"/>
        <v>1</v>
      </c>
      <c r="W92" s="64">
        <f t="shared" si="20"/>
        <v>3</v>
      </c>
      <c r="X92" s="13">
        <f t="shared" si="14"/>
        <v>15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0.0</v>
      </c>
      <c r="F94" s="60">
        <v>1.0</v>
      </c>
      <c r="G94" s="60">
        <v>0.0</v>
      </c>
      <c r="H94" s="60">
        <v>0.0</v>
      </c>
      <c r="I94" s="60">
        <v>0.0</v>
      </c>
      <c r="J94" s="60">
        <v>1.0</v>
      </c>
      <c r="K94" s="60">
        <v>3.0</v>
      </c>
      <c r="L94" s="60">
        <v>2.0</v>
      </c>
      <c r="M94" s="60">
        <v>3.0</v>
      </c>
      <c r="N94" s="60">
        <v>3.0</v>
      </c>
      <c r="O94" s="60">
        <v>0.0</v>
      </c>
      <c r="P94" s="60">
        <v>1.0</v>
      </c>
      <c r="Q94" s="60">
        <v>0.0</v>
      </c>
      <c r="R94" s="60">
        <v>0.0</v>
      </c>
      <c r="S94" s="60">
        <v>3.0</v>
      </c>
      <c r="T94" s="60">
        <v>4.0</v>
      </c>
      <c r="U94" s="60">
        <v>0.0</v>
      </c>
      <c r="V94" s="60">
        <v>1.0</v>
      </c>
      <c r="W94" s="60">
        <v>2.0</v>
      </c>
      <c r="X94" s="13">
        <f t="shared" si="14"/>
        <v>24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11.0</v>
      </c>
      <c r="F95" s="60">
        <v>10.0</v>
      </c>
      <c r="G95" s="60">
        <v>18.0</v>
      </c>
      <c r="H95" s="60">
        <v>5.0</v>
      </c>
      <c r="I95" s="60">
        <v>1.0</v>
      </c>
      <c r="J95" s="60">
        <v>12.0</v>
      </c>
      <c r="K95" s="60">
        <v>19.0</v>
      </c>
      <c r="L95" s="60">
        <v>14.0</v>
      </c>
      <c r="M95" s="60">
        <v>11.0</v>
      </c>
      <c r="N95" s="60">
        <v>32.0</v>
      </c>
      <c r="O95" s="60">
        <v>4.0</v>
      </c>
      <c r="P95" s="60">
        <v>0.0</v>
      </c>
      <c r="Q95" s="60">
        <v>0.0</v>
      </c>
      <c r="R95" s="60">
        <v>0.0</v>
      </c>
      <c r="S95" s="60">
        <v>10.0</v>
      </c>
      <c r="T95" s="60">
        <v>15.0</v>
      </c>
      <c r="U95" s="60">
        <v>9.0</v>
      </c>
      <c r="V95" s="60">
        <v>9.0</v>
      </c>
      <c r="W95" s="60">
        <v>5.0</v>
      </c>
      <c r="X95" s="13">
        <f t="shared" si="14"/>
        <v>185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3.0</v>
      </c>
      <c r="I96" s="60">
        <v>0.0</v>
      </c>
      <c r="J96" s="60">
        <v>0.0</v>
      </c>
      <c r="K96" s="60">
        <v>0.0</v>
      </c>
      <c r="L96" s="60">
        <v>0.0</v>
      </c>
      <c r="M96" s="60">
        <v>1.0</v>
      </c>
      <c r="N96" s="60">
        <v>0.0</v>
      </c>
      <c r="O96" s="60">
        <v>0.0</v>
      </c>
      <c r="P96" s="60">
        <v>0.0</v>
      </c>
      <c r="Q96" s="60">
        <v>0.0</v>
      </c>
      <c r="R96" s="60">
        <v>0.0</v>
      </c>
      <c r="S96" s="60">
        <v>2.0</v>
      </c>
      <c r="T96" s="60">
        <v>0.0</v>
      </c>
      <c r="U96" s="60">
        <v>2.0</v>
      </c>
      <c r="V96" s="60">
        <v>0.0</v>
      </c>
      <c r="W96" s="60">
        <v>0.0</v>
      </c>
      <c r="X96" s="13">
        <f t="shared" si="14"/>
        <v>8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1.0</v>
      </c>
      <c r="O97" s="60">
        <v>0.0</v>
      </c>
      <c r="P97" s="60">
        <v>0.0</v>
      </c>
      <c r="Q97" s="60">
        <v>0.0</v>
      </c>
      <c r="R97" s="60">
        <v>0.0</v>
      </c>
      <c r="S97" s="60">
        <v>0.0</v>
      </c>
      <c r="T97" s="60">
        <v>0.0</v>
      </c>
      <c r="U97" s="60">
        <v>0.0</v>
      </c>
      <c r="V97" s="60">
        <v>0.0</v>
      </c>
      <c r="W97" s="60">
        <v>0.0</v>
      </c>
      <c r="X97" s="13">
        <f t="shared" si="14"/>
        <v>1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0.0</v>
      </c>
      <c r="S98" s="60">
        <v>0.0</v>
      </c>
      <c r="T98" s="60">
        <v>0.0</v>
      </c>
      <c r="U98" s="60">
        <v>0.0</v>
      </c>
      <c r="V98" s="60">
        <v>0.0</v>
      </c>
      <c r="W98" s="60">
        <v>0.0</v>
      </c>
      <c r="X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3.0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0.0</v>
      </c>
      <c r="M99" s="60">
        <v>0.0</v>
      </c>
      <c r="N99" s="60">
        <v>0.0</v>
      </c>
      <c r="O99" s="60">
        <v>0.0</v>
      </c>
      <c r="P99" s="60">
        <v>0.0</v>
      </c>
      <c r="Q99" s="60">
        <v>0.0</v>
      </c>
      <c r="R99" s="60">
        <v>0.0</v>
      </c>
      <c r="S99" s="60">
        <v>3.0</v>
      </c>
      <c r="T99" s="60">
        <v>0.0</v>
      </c>
      <c r="U99" s="60">
        <v>0.0</v>
      </c>
      <c r="V99" s="60">
        <v>1.0</v>
      </c>
      <c r="W99" s="60">
        <v>1.0</v>
      </c>
      <c r="X99" s="13">
        <f t="shared" si="14"/>
        <v>8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60">
        <v>0.0</v>
      </c>
      <c r="S100" s="60">
        <v>0.0</v>
      </c>
      <c r="T100" s="60">
        <v>0.0</v>
      </c>
      <c r="U100" s="60">
        <v>0.0</v>
      </c>
      <c r="V100" s="60">
        <v>0.0</v>
      </c>
      <c r="W100" s="60">
        <v>0.0</v>
      </c>
      <c r="X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W101" si="21">SUM(E94:E100)</f>
        <v>11</v>
      </c>
      <c r="F101" s="64">
        <f t="shared" si="21"/>
        <v>14</v>
      </c>
      <c r="G101" s="64">
        <f t="shared" si="21"/>
        <v>18</v>
      </c>
      <c r="H101" s="64">
        <f t="shared" si="21"/>
        <v>8</v>
      </c>
      <c r="I101" s="64">
        <f t="shared" si="21"/>
        <v>1</v>
      </c>
      <c r="J101" s="64">
        <f t="shared" si="21"/>
        <v>13</v>
      </c>
      <c r="K101" s="64">
        <f t="shared" si="21"/>
        <v>22</v>
      </c>
      <c r="L101" s="64">
        <f t="shared" si="21"/>
        <v>16</v>
      </c>
      <c r="M101" s="64">
        <f t="shared" si="21"/>
        <v>15</v>
      </c>
      <c r="N101" s="64">
        <f t="shared" si="21"/>
        <v>36</v>
      </c>
      <c r="O101" s="64">
        <f t="shared" si="21"/>
        <v>4</v>
      </c>
      <c r="P101" s="64">
        <f t="shared" si="21"/>
        <v>1</v>
      </c>
      <c r="Q101" s="64">
        <f t="shared" si="21"/>
        <v>0</v>
      </c>
      <c r="R101" s="64">
        <f t="shared" si="21"/>
        <v>0</v>
      </c>
      <c r="S101" s="64">
        <f t="shared" si="21"/>
        <v>18</v>
      </c>
      <c r="T101" s="64">
        <f t="shared" si="21"/>
        <v>19</v>
      </c>
      <c r="U101" s="64">
        <f t="shared" si="21"/>
        <v>11</v>
      </c>
      <c r="V101" s="64">
        <f t="shared" si="21"/>
        <v>11</v>
      </c>
      <c r="W101" s="64">
        <f t="shared" si="21"/>
        <v>8</v>
      </c>
      <c r="X101" s="13">
        <f t="shared" si="14"/>
        <v>226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1.0</v>
      </c>
      <c r="F103" s="60">
        <v>1.0</v>
      </c>
      <c r="G103" s="60">
        <v>1.0</v>
      </c>
      <c r="H103" s="60">
        <v>0.0</v>
      </c>
      <c r="I103" s="60">
        <v>0.0</v>
      </c>
      <c r="J103" s="60">
        <v>0.0</v>
      </c>
      <c r="K103" s="60">
        <v>3.0</v>
      </c>
      <c r="L103" s="60">
        <v>1.0</v>
      </c>
      <c r="M103" s="60">
        <v>0.0</v>
      </c>
      <c r="N103" s="60">
        <v>1.0</v>
      </c>
      <c r="O103" s="60">
        <v>0.0</v>
      </c>
      <c r="P103" s="60">
        <v>3.0</v>
      </c>
      <c r="Q103" s="60">
        <v>0.0</v>
      </c>
      <c r="R103" s="60">
        <v>3.0</v>
      </c>
      <c r="S103" s="60">
        <v>4.0</v>
      </c>
      <c r="T103" s="60">
        <v>1.0</v>
      </c>
      <c r="U103" s="60">
        <v>0.0</v>
      </c>
      <c r="V103" s="60">
        <v>1.0</v>
      </c>
      <c r="W103" s="60">
        <v>0.0</v>
      </c>
      <c r="X103" s="13">
        <f t="shared" si="14"/>
        <v>20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9.0</v>
      </c>
      <c r="F104" s="60">
        <v>7.0</v>
      </c>
      <c r="G104" s="60">
        <v>14.0</v>
      </c>
      <c r="H104" s="60">
        <v>2.0</v>
      </c>
      <c r="I104" s="60">
        <v>4.0</v>
      </c>
      <c r="J104" s="60">
        <v>0.0</v>
      </c>
      <c r="K104" s="60">
        <v>13.0</v>
      </c>
      <c r="L104" s="60">
        <v>10.0</v>
      </c>
      <c r="M104" s="60">
        <v>5.0</v>
      </c>
      <c r="N104" s="60">
        <v>0.0</v>
      </c>
      <c r="O104" s="60">
        <v>13.0</v>
      </c>
      <c r="P104" s="60">
        <v>1.0</v>
      </c>
      <c r="Q104" s="60">
        <v>6.0</v>
      </c>
      <c r="R104" s="60">
        <v>4.0</v>
      </c>
      <c r="S104" s="60">
        <v>13.0</v>
      </c>
      <c r="T104" s="60">
        <v>3.0</v>
      </c>
      <c r="U104" s="60">
        <v>1.0</v>
      </c>
      <c r="V104" s="60">
        <v>1.0</v>
      </c>
      <c r="W104" s="60">
        <v>2.0</v>
      </c>
      <c r="X104" s="13">
        <f t="shared" si="14"/>
        <v>108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1.0</v>
      </c>
      <c r="L105" s="60">
        <v>0.0</v>
      </c>
      <c r="M105" s="60">
        <v>1.0</v>
      </c>
      <c r="N105" s="60">
        <v>0.0</v>
      </c>
      <c r="O105" s="60">
        <v>0.0</v>
      </c>
      <c r="P105" s="60">
        <v>2.0</v>
      </c>
      <c r="Q105" s="60">
        <v>0.0</v>
      </c>
      <c r="R105" s="60">
        <v>1.0</v>
      </c>
      <c r="S105" s="60">
        <v>1.0</v>
      </c>
      <c r="T105" s="60">
        <v>0.0</v>
      </c>
      <c r="U105" s="60">
        <v>0.0</v>
      </c>
      <c r="V105" s="60">
        <v>0.0</v>
      </c>
      <c r="W105" s="60">
        <v>0.0</v>
      </c>
      <c r="X105" s="13">
        <f t="shared" si="14"/>
        <v>6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1.0</v>
      </c>
      <c r="I106" s="60">
        <v>0.0</v>
      </c>
      <c r="J106" s="60">
        <v>0.0</v>
      </c>
      <c r="K106" s="60">
        <v>1.0</v>
      </c>
      <c r="L106" s="60">
        <v>0.0</v>
      </c>
      <c r="M106" s="60">
        <v>0.0</v>
      </c>
      <c r="N106" s="60">
        <v>0.0</v>
      </c>
      <c r="O106" s="60">
        <v>0.0</v>
      </c>
      <c r="P106" s="60">
        <v>0.0</v>
      </c>
      <c r="Q106" s="60">
        <v>1.0</v>
      </c>
      <c r="R106" s="60">
        <v>0.0</v>
      </c>
      <c r="S106" s="60">
        <v>0.0</v>
      </c>
      <c r="T106" s="60">
        <v>0.0</v>
      </c>
      <c r="U106" s="60">
        <v>0.0</v>
      </c>
      <c r="V106" s="19"/>
      <c r="W106" s="60">
        <v>0.0</v>
      </c>
      <c r="X106" s="13">
        <f t="shared" si="14"/>
        <v>3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1.0</v>
      </c>
      <c r="G107" s="60">
        <v>0.0</v>
      </c>
      <c r="H107" s="60">
        <v>0.0</v>
      </c>
      <c r="I107" s="60">
        <v>0.0</v>
      </c>
      <c r="J107" s="60">
        <v>0.0</v>
      </c>
      <c r="K107" s="60">
        <v>1.0</v>
      </c>
      <c r="L107" s="60">
        <v>0.0</v>
      </c>
      <c r="M107" s="60">
        <v>0.0</v>
      </c>
      <c r="N107" s="60">
        <v>0.0</v>
      </c>
      <c r="O107" s="60">
        <v>0.0</v>
      </c>
      <c r="P107" s="60">
        <v>1.0</v>
      </c>
      <c r="Q107" s="60">
        <v>0.0</v>
      </c>
      <c r="R107" s="60">
        <v>0.0</v>
      </c>
      <c r="S107" s="60">
        <v>1.0</v>
      </c>
      <c r="T107" s="60">
        <v>0.0</v>
      </c>
      <c r="U107" s="60">
        <v>0.0</v>
      </c>
      <c r="V107" s="19"/>
      <c r="W107" s="60">
        <v>0.0</v>
      </c>
      <c r="X107" s="13">
        <f t="shared" si="14"/>
        <v>4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2.0</v>
      </c>
      <c r="G108" s="60">
        <v>1.0</v>
      </c>
      <c r="H108" s="60">
        <v>0.0</v>
      </c>
      <c r="I108" s="60">
        <v>0.0</v>
      </c>
      <c r="J108" s="60">
        <v>0.0</v>
      </c>
      <c r="K108" s="60">
        <v>1.0</v>
      </c>
      <c r="L108" s="60">
        <v>0.0</v>
      </c>
      <c r="M108" s="60">
        <v>0.0</v>
      </c>
      <c r="N108" s="60">
        <v>2.0</v>
      </c>
      <c r="O108" s="60">
        <v>1.0</v>
      </c>
      <c r="P108" s="60">
        <v>0.0</v>
      </c>
      <c r="Q108" s="60">
        <v>0.0</v>
      </c>
      <c r="R108" s="60">
        <v>0.0</v>
      </c>
      <c r="S108" s="60">
        <v>1.0</v>
      </c>
      <c r="T108" s="60">
        <v>0.0</v>
      </c>
      <c r="U108" s="60">
        <v>0.0</v>
      </c>
      <c r="V108" s="19"/>
      <c r="W108" s="60">
        <v>0.0</v>
      </c>
      <c r="X108" s="13">
        <f t="shared" si="14"/>
        <v>8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3.0</v>
      </c>
      <c r="J109" s="60">
        <v>0.0</v>
      </c>
      <c r="K109" s="60">
        <v>3.0</v>
      </c>
      <c r="L109" s="60">
        <v>0.0</v>
      </c>
      <c r="M109" s="60">
        <v>0.0</v>
      </c>
      <c r="N109" s="60">
        <v>1.0</v>
      </c>
      <c r="O109" s="60">
        <v>5.0</v>
      </c>
      <c r="P109" s="60">
        <v>0.0</v>
      </c>
      <c r="Q109" s="60">
        <v>1.0</v>
      </c>
      <c r="R109" s="60">
        <v>0.0</v>
      </c>
      <c r="S109" s="60">
        <v>4.0</v>
      </c>
      <c r="T109" s="60">
        <v>2.0</v>
      </c>
      <c r="U109" s="60">
        <v>2.0</v>
      </c>
      <c r="V109" s="19"/>
      <c r="W109" s="60">
        <v>0.0</v>
      </c>
      <c r="X109" s="13">
        <f t="shared" si="14"/>
        <v>21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W110" si="22">SUM(E103:E109)</f>
        <v>10</v>
      </c>
      <c r="F110" s="64">
        <f t="shared" si="22"/>
        <v>11</v>
      </c>
      <c r="G110" s="64">
        <f t="shared" si="22"/>
        <v>16</v>
      </c>
      <c r="H110" s="64">
        <f t="shared" si="22"/>
        <v>3</v>
      </c>
      <c r="I110" s="64">
        <f t="shared" si="22"/>
        <v>7</v>
      </c>
      <c r="J110" s="64">
        <f t="shared" si="22"/>
        <v>0</v>
      </c>
      <c r="K110" s="64">
        <f t="shared" si="22"/>
        <v>23</v>
      </c>
      <c r="L110" s="64">
        <f t="shared" si="22"/>
        <v>11</v>
      </c>
      <c r="M110" s="64">
        <f t="shared" si="22"/>
        <v>6</v>
      </c>
      <c r="N110" s="64">
        <f t="shared" si="22"/>
        <v>4</v>
      </c>
      <c r="O110" s="64">
        <f t="shared" si="22"/>
        <v>19</v>
      </c>
      <c r="P110" s="64">
        <f t="shared" si="22"/>
        <v>7</v>
      </c>
      <c r="Q110" s="64">
        <f t="shared" si="22"/>
        <v>8</v>
      </c>
      <c r="R110" s="64">
        <f t="shared" si="22"/>
        <v>8</v>
      </c>
      <c r="S110" s="64">
        <f t="shared" si="22"/>
        <v>24</v>
      </c>
      <c r="T110" s="64">
        <f t="shared" si="22"/>
        <v>6</v>
      </c>
      <c r="U110" s="64">
        <f t="shared" si="22"/>
        <v>3</v>
      </c>
      <c r="V110" s="64">
        <f t="shared" si="22"/>
        <v>2</v>
      </c>
      <c r="W110" s="64">
        <f t="shared" si="22"/>
        <v>2</v>
      </c>
      <c r="X110" s="13">
        <f t="shared" si="14"/>
        <v>170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60">
        <v>0.0</v>
      </c>
      <c r="P112" s="60">
        <v>0.0</v>
      </c>
      <c r="Q112" s="60">
        <v>0.0</v>
      </c>
      <c r="R112" s="60">
        <v>0.0</v>
      </c>
      <c r="S112" s="60">
        <v>0.0</v>
      </c>
      <c r="T112" s="60">
        <v>0.0</v>
      </c>
      <c r="U112" s="60">
        <v>0.0</v>
      </c>
      <c r="V112" s="60">
        <v>0.0</v>
      </c>
      <c r="W112" s="60">
        <v>0.0</v>
      </c>
      <c r="X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1.0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60">
        <v>0.0</v>
      </c>
      <c r="O113" s="60">
        <v>0.0</v>
      </c>
      <c r="P113" s="60">
        <v>0.0</v>
      </c>
      <c r="Q113" s="60">
        <v>2.0</v>
      </c>
      <c r="R113" s="60">
        <v>0.0</v>
      </c>
      <c r="S113" s="60">
        <v>0.0</v>
      </c>
      <c r="T113" s="60">
        <v>0.0</v>
      </c>
      <c r="U113" s="60">
        <v>1.0</v>
      </c>
      <c r="V113" s="60">
        <v>0.0</v>
      </c>
      <c r="W113" s="60">
        <v>0.0</v>
      </c>
      <c r="X113" s="13">
        <f t="shared" si="14"/>
        <v>4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W114" si="23">SUM(E112:E113)</f>
        <v>0</v>
      </c>
      <c r="F114" s="64">
        <f t="shared" si="23"/>
        <v>0</v>
      </c>
      <c r="G114" s="64">
        <f t="shared" si="23"/>
        <v>1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0</v>
      </c>
      <c r="N114" s="64">
        <f t="shared" si="23"/>
        <v>0</v>
      </c>
      <c r="O114" s="64">
        <f t="shared" si="23"/>
        <v>0</v>
      </c>
      <c r="P114" s="64">
        <f t="shared" si="23"/>
        <v>0</v>
      </c>
      <c r="Q114" s="64">
        <f t="shared" si="23"/>
        <v>2</v>
      </c>
      <c r="R114" s="64">
        <f t="shared" si="23"/>
        <v>0</v>
      </c>
      <c r="S114" s="64">
        <f t="shared" si="23"/>
        <v>0</v>
      </c>
      <c r="T114" s="64">
        <f t="shared" si="23"/>
        <v>0</v>
      </c>
      <c r="U114" s="64">
        <f t="shared" si="23"/>
        <v>1</v>
      </c>
      <c r="V114" s="64">
        <f t="shared" si="23"/>
        <v>0</v>
      </c>
      <c r="W114" s="64">
        <f t="shared" si="23"/>
        <v>0</v>
      </c>
      <c r="X114" s="13">
        <f t="shared" si="14"/>
        <v>4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1.0</v>
      </c>
      <c r="I116" s="60">
        <v>2.0</v>
      </c>
      <c r="J116" s="60">
        <v>0.0</v>
      </c>
      <c r="K116" s="60">
        <v>0.0</v>
      </c>
      <c r="L116" s="60">
        <v>0.0</v>
      </c>
      <c r="M116" s="60">
        <v>0.0</v>
      </c>
      <c r="N116" s="60">
        <v>0.0</v>
      </c>
      <c r="O116" s="60">
        <v>0.0</v>
      </c>
      <c r="P116" s="60">
        <v>0.0</v>
      </c>
      <c r="Q116" s="60">
        <v>1.0</v>
      </c>
      <c r="R116" s="60">
        <v>0.0</v>
      </c>
      <c r="S116" s="60">
        <v>0.0</v>
      </c>
      <c r="T116" s="60">
        <v>0.0</v>
      </c>
      <c r="U116" s="60">
        <v>1.0</v>
      </c>
      <c r="V116" s="60">
        <v>4.0</v>
      </c>
      <c r="W116" s="60">
        <v>7.0</v>
      </c>
      <c r="X116" s="13">
        <f t="shared" si="14"/>
        <v>16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2.0</v>
      </c>
      <c r="F117" s="60">
        <v>10.0</v>
      </c>
      <c r="G117" s="60">
        <v>0.0</v>
      </c>
      <c r="H117" s="60">
        <v>1.0</v>
      </c>
      <c r="I117" s="60">
        <v>4.0</v>
      </c>
      <c r="J117" s="60">
        <v>0.0</v>
      </c>
      <c r="K117" s="60">
        <v>0.0</v>
      </c>
      <c r="L117" s="60">
        <v>0.0</v>
      </c>
      <c r="M117" s="60">
        <v>0.0</v>
      </c>
      <c r="N117" s="60">
        <v>0.0</v>
      </c>
      <c r="O117" s="60">
        <v>2.0</v>
      </c>
      <c r="P117" s="60">
        <v>4.0</v>
      </c>
      <c r="Q117" s="60">
        <v>3.0</v>
      </c>
      <c r="R117" s="60">
        <v>2.0</v>
      </c>
      <c r="S117" s="60">
        <v>7.0</v>
      </c>
      <c r="T117" s="60">
        <v>10.0</v>
      </c>
      <c r="U117" s="60">
        <v>12.0</v>
      </c>
      <c r="V117" s="60">
        <v>37.0</v>
      </c>
      <c r="W117" s="60">
        <v>17.0</v>
      </c>
      <c r="X117" s="13">
        <f t="shared" si="14"/>
        <v>111</v>
      </c>
      <c r="Y117" s="5"/>
      <c r="Z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2.0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60">
        <v>0.0</v>
      </c>
      <c r="S118" s="60">
        <v>0.0</v>
      </c>
      <c r="T118" s="60">
        <v>0.0</v>
      </c>
      <c r="U118" s="60">
        <v>0.0</v>
      </c>
      <c r="V118" s="60">
        <v>1.0</v>
      </c>
      <c r="W118" s="60">
        <v>0.0</v>
      </c>
      <c r="X118" s="13">
        <f t="shared" si="14"/>
        <v>3</v>
      </c>
      <c r="Y118" s="5"/>
      <c r="Z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2.0</v>
      </c>
      <c r="H119" s="60">
        <v>1.0</v>
      </c>
      <c r="I119" s="60">
        <v>2.0</v>
      </c>
      <c r="J119" s="60">
        <v>1.0</v>
      </c>
      <c r="K119" s="60">
        <v>2.0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60">
        <v>0.0</v>
      </c>
      <c r="S119" s="60">
        <v>0.0</v>
      </c>
      <c r="T119" s="60">
        <v>0.0</v>
      </c>
      <c r="U119" s="60">
        <v>0.0</v>
      </c>
      <c r="V119" s="60">
        <v>0.0</v>
      </c>
      <c r="W119" s="60">
        <v>0.0</v>
      </c>
      <c r="X119" s="13">
        <f t="shared" si="14"/>
        <v>8</v>
      </c>
      <c r="Y119" s="5"/>
      <c r="Z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0.0</v>
      </c>
      <c r="P120" s="60">
        <v>0.0</v>
      </c>
      <c r="Q120" s="60">
        <v>0.0</v>
      </c>
      <c r="R120" s="60">
        <v>0.0</v>
      </c>
      <c r="S120" s="60">
        <v>0.0</v>
      </c>
      <c r="T120" s="60">
        <v>0.0</v>
      </c>
      <c r="U120" s="60">
        <v>0.0</v>
      </c>
      <c r="V120" s="60">
        <v>1.0</v>
      </c>
      <c r="W120" s="60">
        <v>0.0</v>
      </c>
      <c r="X120" s="13">
        <f t="shared" si="14"/>
        <v>1</v>
      </c>
      <c r="Y120" s="5"/>
      <c r="Z120" s="5"/>
    </row>
    <row r="121" ht="12.75" customHeight="1">
      <c r="A121" s="18"/>
      <c r="B121" s="57"/>
      <c r="C121" s="58" t="s">
        <v>104</v>
      </c>
      <c r="D121" s="59"/>
      <c r="E121" s="60">
        <v>1.0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60">
        <v>0.0</v>
      </c>
      <c r="P121" s="60">
        <v>2.0</v>
      </c>
      <c r="Q121" s="60">
        <v>0.0</v>
      </c>
      <c r="R121" s="60">
        <v>0.0</v>
      </c>
      <c r="S121" s="60">
        <v>0.0</v>
      </c>
      <c r="T121" s="60">
        <v>0.0</v>
      </c>
      <c r="U121" s="60">
        <v>1.0</v>
      </c>
      <c r="V121" s="60">
        <v>0.0</v>
      </c>
      <c r="W121" s="60">
        <v>0.0</v>
      </c>
      <c r="X121" s="13">
        <f t="shared" si="14"/>
        <v>4</v>
      </c>
      <c r="Y121" s="5"/>
      <c r="Z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60">
        <v>0.0</v>
      </c>
      <c r="P122" s="60">
        <v>0.0</v>
      </c>
      <c r="Q122" s="60">
        <v>0.0</v>
      </c>
      <c r="R122" s="60">
        <v>0.0</v>
      </c>
      <c r="S122" s="60">
        <v>1.0</v>
      </c>
      <c r="T122" s="60">
        <v>0.0</v>
      </c>
      <c r="U122" s="60">
        <v>0.0</v>
      </c>
      <c r="V122" s="60">
        <v>0.0</v>
      </c>
      <c r="W122" s="60">
        <v>0.0</v>
      </c>
      <c r="X122" s="13">
        <f t="shared" si="14"/>
        <v>1</v>
      </c>
      <c r="Y122" s="5"/>
      <c r="Z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W123" si="24">SUM(E116:E122)</f>
        <v>3</v>
      </c>
      <c r="F123" s="64">
        <f t="shared" si="24"/>
        <v>10</v>
      </c>
      <c r="G123" s="64">
        <f t="shared" si="24"/>
        <v>4</v>
      </c>
      <c r="H123" s="64">
        <f t="shared" si="24"/>
        <v>3</v>
      </c>
      <c r="I123" s="64">
        <f t="shared" si="24"/>
        <v>8</v>
      </c>
      <c r="J123" s="64">
        <f t="shared" si="24"/>
        <v>1</v>
      </c>
      <c r="K123" s="64">
        <f t="shared" si="24"/>
        <v>2</v>
      </c>
      <c r="L123" s="64">
        <f t="shared" si="24"/>
        <v>0</v>
      </c>
      <c r="M123" s="64">
        <f t="shared" si="24"/>
        <v>0</v>
      </c>
      <c r="N123" s="64">
        <f t="shared" si="24"/>
        <v>0</v>
      </c>
      <c r="O123" s="64">
        <f t="shared" si="24"/>
        <v>2</v>
      </c>
      <c r="P123" s="64">
        <f t="shared" si="24"/>
        <v>6</v>
      </c>
      <c r="Q123" s="64">
        <f t="shared" si="24"/>
        <v>4</v>
      </c>
      <c r="R123" s="64">
        <f t="shared" si="24"/>
        <v>2</v>
      </c>
      <c r="S123" s="64">
        <f t="shared" si="24"/>
        <v>8</v>
      </c>
      <c r="T123" s="64">
        <f t="shared" si="24"/>
        <v>10</v>
      </c>
      <c r="U123" s="64">
        <f t="shared" si="24"/>
        <v>14</v>
      </c>
      <c r="V123" s="64">
        <f t="shared" si="24"/>
        <v>43</v>
      </c>
      <c r="W123" s="64">
        <f t="shared" si="24"/>
        <v>24</v>
      </c>
      <c r="X123" s="13">
        <f t="shared" si="14"/>
        <v>144</v>
      </c>
      <c r="Y123" s="5"/>
      <c r="Z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13">
        <f t="shared" si="14"/>
        <v>0</v>
      </c>
      <c r="Y124" s="5"/>
      <c r="Z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2.0</v>
      </c>
      <c r="L125" s="60">
        <v>0.0</v>
      </c>
      <c r="M125" s="60">
        <v>0.0</v>
      </c>
      <c r="N125" s="60">
        <v>0.0</v>
      </c>
      <c r="O125" s="60">
        <v>0.0</v>
      </c>
      <c r="P125" s="60">
        <v>0.0</v>
      </c>
      <c r="Q125" s="60">
        <v>0.0</v>
      </c>
      <c r="R125" s="60">
        <v>0.0</v>
      </c>
      <c r="S125" s="60">
        <v>0.0</v>
      </c>
      <c r="T125" s="60">
        <v>0.0</v>
      </c>
      <c r="U125" s="60">
        <v>1.0</v>
      </c>
      <c r="V125" s="60">
        <v>0.0</v>
      </c>
      <c r="W125" s="60">
        <v>1.0</v>
      </c>
      <c r="X125" s="13">
        <f t="shared" si="14"/>
        <v>4</v>
      </c>
      <c r="Y125" s="5"/>
      <c r="Z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3">
        <f t="shared" si="14"/>
        <v>0</v>
      </c>
      <c r="Y126" s="5"/>
      <c r="Z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W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2</v>
      </c>
      <c r="L127" s="64">
        <f t="shared" si="25"/>
        <v>0</v>
      </c>
      <c r="M127" s="64">
        <f t="shared" si="25"/>
        <v>0</v>
      </c>
      <c r="N127" s="64">
        <f t="shared" si="25"/>
        <v>0</v>
      </c>
      <c r="O127" s="64">
        <f t="shared" si="25"/>
        <v>0</v>
      </c>
      <c r="P127" s="64">
        <f t="shared" si="25"/>
        <v>0</v>
      </c>
      <c r="Q127" s="64">
        <f t="shared" si="25"/>
        <v>0</v>
      </c>
      <c r="R127" s="64">
        <f t="shared" si="25"/>
        <v>0</v>
      </c>
      <c r="S127" s="64">
        <f t="shared" si="25"/>
        <v>0</v>
      </c>
      <c r="T127" s="64">
        <f t="shared" si="25"/>
        <v>0</v>
      </c>
      <c r="U127" s="64">
        <f t="shared" si="25"/>
        <v>1</v>
      </c>
      <c r="V127" s="64">
        <f t="shared" si="25"/>
        <v>0</v>
      </c>
      <c r="W127" s="64">
        <f t="shared" si="25"/>
        <v>1</v>
      </c>
      <c r="X127" s="13">
        <f t="shared" si="14"/>
        <v>4</v>
      </c>
      <c r="Y127" s="5"/>
      <c r="Z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13">
        <f t="shared" si="14"/>
        <v>0</v>
      </c>
      <c r="Y128" s="5"/>
      <c r="Z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3.0</v>
      </c>
      <c r="H129" s="60">
        <v>3.0</v>
      </c>
      <c r="I129" s="60">
        <v>1.0</v>
      </c>
      <c r="J129" s="60">
        <v>0.0</v>
      </c>
      <c r="K129" s="60">
        <v>0.0</v>
      </c>
      <c r="L129" s="60">
        <v>0.0</v>
      </c>
      <c r="M129" s="60">
        <v>0.0</v>
      </c>
      <c r="N129" s="60">
        <v>4.0</v>
      </c>
      <c r="O129" s="60">
        <v>1.0</v>
      </c>
      <c r="P129" s="60">
        <v>1.0</v>
      </c>
      <c r="Q129" s="60">
        <v>1.0</v>
      </c>
      <c r="R129" s="60">
        <v>0.0</v>
      </c>
      <c r="S129" s="60">
        <v>1.0</v>
      </c>
      <c r="T129" s="60">
        <v>1.0</v>
      </c>
      <c r="U129" s="60">
        <v>1.0</v>
      </c>
      <c r="V129" s="60">
        <v>1.0</v>
      </c>
      <c r="W129" s="60">
        <v>1.0</v>
      </c>
      <c r="X129" s="13">
        <f t="shared" si="14"/>
        <v>19</v>
      </c>
      <c r="Y129" s="5"/>
      <c r="Z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1.0</v>
      </c>
      <c r="F130" s="60">
        <v>5.0</v>
      </c>
      <c r="G130" s="60">
        <v>8.0</v>
      </c>
      <c r="H130" s="60">
        <v>18.0</v>
      </c>
      <c r="I130" s="60">
        <v>5.0</v>
      </c>
      <c r="J130" s="60">
        <v>4.0</v>
      </c>
      <c r="K130" s="60">
        <v>2.0</v>
      </c>
      <c r="L130" s="60">
        <v>7.0</v>
      </c>
      <c r="M130" s="60">
        <v>3.0</v>
      </c>
      <c r="N130" s="60">
        <v>5.0</v>
      </c>
      <c r="O130" s="60">
        <v>5.0</v>
      </c>
      <c r="P130" s="60">
        <v>0.0</v>
      </c>
      <c r="Q130" s="60">
        <v>3.0</v>
      </c>
      <c r="R130" s="60">
        <v>0.0</v>
      </c>
      <c r="S130" s="19"/>
      <c r="T130" s="60">
        <v>2.0</v>
      </c>
      <c r="U130" s="60">
        <v>1.0</v>
      </c>
      <c r="V130" s="60">
        <v>0.0</v>
      </c>
      <c r="W130" s="60">
        <v>0.0</v>
      </c>
      <c r="X130" s="13">
        <f t="shared" si="14"/>
        <v>69</v>
      </c>
      <c r="Y130" s="1"/>
      <c r="Z130" s="1"/>
    </row>
    <row r="131" ht="12.75" customHeight="1">
      <c r="A131" s="18"/>
      <c r="B131" s="57"/>
      <c r="C131" s="58" t="s">
        <v>112</v>
      </c>
      <c r="D131" s="59"/>
      <c r="E131" s="60">
        <v>1.0</v>
      </c>
      <c r="F131" s="60">
        <v>0.0</v>
      </c>
      <c r="G131" s="60">
        <v>0.0</v>
      </c>
      <c r="H131" s="60">
        <v>0.0</v>
      </c>
      <c r="I131" s="60">
        <v>1.0</v>
      </c>
      <c r="J131" s="60">
        <v>0.0</v>
      </c>
      <c r="K131" s="19"/>
      <c r="L131" s="60">
        <v>0.0</v>
      </c>
      <c r="M131" s="60">
        <v>0.0</v>
      </c>
      <c r="N131" s="60">
        <v>0.0</v>
      </c>
      <c r="O131" s="60">
        <v>0.0</v>
      </c>
      <c r="P131" s="60">
        <v>0.0</v>
      </c>
      <c r="Q131" s="60">
        <v>0.0</v>
      </c>
      <c r="R131" s="60">
        <v>0.0</v>
      </c>
      <c r="S131" s="60">
        <v>0.0</v>
      </c>
      <c r="T131" s="60">
        <v>0.0</v>
      </c>
      <c r="U131" s="60">
        <v>0.0</v>
      </c>
      <c r="V131" s="60">
        <v>0.0</v>
      </c>
      <c r="W131" s="60">
        <v>0.0</v>
      </c>
      <c r="X131" s="13">
        <f t="shared" si="14"/>
        <v>2</v>
      </c>
      <c r="Y131" s="54"/>
      <c r="Z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3.0</v>
      </c>
      <c r="I132" s="60">
        <v>0.0</v>
      </c>
      <c r="J132" s="60">
        <v>1.0</v>
      </c>
      <c r="K132" s="19"/>
      <c r="L132" s="60">
        <v>0.0</v>
      </c>
      <c r="M132" s="60">
        <v>0.0</v>
      </c>
      <c r="N132" s="60">
        <v>0.0</v>
      </c>
      <c r="O132" s="60">
        <v>2.0</v>
      </c>
      <c r="P132" s="60">
        <v>0.0</v>
      </c>
      <c r="Q132" s="60">
        <v>0.0</v>
      </c>
      <c r="R132" s="60">
        <v>0.0</v>
      </c>
      <c r="S132" s="60">
        <v>0.0</v>
      </c>
      <c r="T132" s="60">
        <v>0.0</v>
      </c>
      <c r="U132" s="60">
        <v>0.0</v>
      </c>
      <c r="V132" s="60">
        <v>0.0</v>
      </c>
      <c r="W132" s="60">
        <v>0.0</v>
      </c>
      <c r="X132" s="13">
        <f t="shared" si="14"/>
        <v>6</v>
      </c>
      <c r="Y132" s="5"/>
      <c r="Z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19"/>
      <c r="L133" s="60">
        <v>0.0</v>
      </c>
      <c r="M133" s="60">
        <v>0.0</v>
      </c>
      <c r="N133" s="60">
        <v>0.0</v>
      </c>
      <c r="O133" s="60">
        <v>0.0</v>
      </c>
      <c r="P133" s="60">
        <v>0.0</v>
      </c>
      <c r="Q133" s="60">
        <v>0.0</v>
      </c>
      <c r="R133" s="60">
        <v>0.0</v>
      </c>
      <c r="S133" s="60">
        <v>0.0</v>
      </c>
      <c r="T133" s="60">
        <v>0.0</v>
      </c>
      <c r="U133" s="60">
        <v>0.0</v>
      </c>
      <c r="V133" s="60">
        <v>0.0</v>
      </c>
      <c r="W133" s="60">
        <v>0.0</v>
      </c>
      <c r="X133" s="13">
        <f t="shared" si="14"/>
        <v>0</v>
      </c>
      <c r="Y133" s="5"/>
      <c r="Z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1.0</v>
      </c>
      <c r="K134" s="19"/>
      <c r="L134" s="60">
        <v>0.0</v>
      </c>
      <c r="M134" s="60">
        <v>0.0</v>
      </c>
      <c r="N134" s="60">
        <v>0.0</v>
      </c>
      <c r="O134" s="60">
        <v>2.0</v>
      </c>
      <c r="P134" s="60">
        <v>0.0</v>
      </c>
      <c r="Q134" s="60">
        <v>0.0</v>
      </c>
      <c r="R134" s="60">
        <v>0.0</v>
      </c>
      <c r="S134" s="60">
        <v>0.0</v>
      </c>
      <c r="T134" s="60">
        <v>0.0</v>
      </c>
      <c r="U134" s="60">
        <v>0.0</v>
      </c>
      <c r="V134" s="60">
        <v>0.0</v>
      </c>
      <c r="W134" s="60">
        <v>0.0</v>
      </c>
      <c r="X134" s="13">
        <f t="shared" si="14"/>
        <v>3</v>
      </c>
      <c r="Y134" s="5"/>
      <c r="Z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19"/>
      <c r="L135" s="60">
        <v>0.0</v>
      </c>
      <c r="M135" s="60">
        <v>0.0</v>
      </c>
      <c r="N135" s="60">
        <v>0.0</v>
      </c>
      <c r="O135" s="60">
        <v>0.0</v>
      </c>
      <c r="P135" s="60">
        <v>0.0</v>
      </c>
      <c r="Q135" s="60">
        <v>0.0</v>
      </c>
      <c r="R135" s="60">
        <v>0.0</v>
      </c>
      <c r="S135" s="60">
        <v>0.0</v>
      </c>
      <c r="T135" s="60">
        <v>0.0</v>
      </c>
      <c r="U135" s="60">
        <v>0.0</v>
      </c>
      <c r="V135" s="60">
        <v>0.0</v>
      </c>
      <c r="W135" s="60">
        <v>0.0</v>
      </c>
      <c r="X135" s="13">
        <f t="shared" si="14"/>
        <v>0</v>
      </c>
      <c r="Y135" s="5"/>
      <c r="Z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W136" si="26">SUM(E129:E135)</f>
        <v>2</v>
      </c>
      <c r="F136" s="64">
        <f t="shared" si="26"/>
        <v>5</v>
      </c>
      <c r="G136" s="64">
        <f t="shared" si="26"/>
        <v>11</v>
      </c>
      <c r="H136" s="64">
        <f t="shared" si="26"/>
        <v>24</v>
      </c>
      <c r="I136" s="64">
        <f t="shared" si="26"/>
        <v>7</v>
      </c>
      <c r="J136" s="64">
        <f t="shared" si="26"/>
        <v>6</v>
      </c>
      <c r="K136" s="64">
        <f t="shared" si="26"/>
        <v>2</v>
      </c>
      <c r="L136" s="64">
        <f t="shared" si="26"/>
        <v>7</v>
      </c>
      <c r="M136" s="64">
        <f t="shared" si="26"/>
        <v>3</v>
      </c>
      <c r="N136" s="64">
        <f t="shared" si="26"/>
        <v>9</v>
      </c>
      <c r="O136" s="64">
        <f t="shared" si="26"/>
        <v>10</v>
      </c>
      <c r="P136" s="64">
        <f t="shared" si="26"/>
        <v>1</v>
      </c>
      <c r="Q136" s="64">
        <f t="shared" si="26"/>
        <v>4</v>
      </c>
      <c r="R136" s="64">
        <f t="shared" si="26"/>
        <v>0</v>
      </c>
      <c r="S136" s="64">
        <f t="shared" si="26"/>
        <v>1</v>
      </c>
      <c r="T136" s="64">
        <f t="shared" si="26"/>
        <v>3</v>
      </c>
      <c r="U136" s="64">
        <f t="shared" si="26"/>
        <v>2</v>
      </c>
      <c r="V136" s="64">
        <f t="shared" si="26"/>
        <v>1</v>
      </c>
      <c r="W136" s="64">
        <f t="shared" si="26"/>
        <v>1</v>
      </c>
      <c r="X136" s="13">
        <f t="shared" si="14"/>
        <v>99</v>
      </c>
      <c r="Y136" s="5"/>
      <c r="Z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13">
        <f t="shared" si="14"/>
        <v>0</v>
      </c>
      <c r="Y137" s="5"/>
      <c r="Z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1.0</v>
      </c>
      <c r="G138" s="60">
        <v>0.0</v>
      </c>
      <c r="H138" s="60">
        <v>0.0</v>
      </c>
      <c r="I138" s="60">
        <v>1.0</v>
      </c>
      <c r="J138" s="60">
        <v>0.0</v>
      </c>
      <c r="K138" s="60">
        <v>0.0</v>
      </c>
      <c r="L138" s="60">
        <v>0.0</v>
      </c>
      <c r="M138" s="60">
        <v>1.0</v>
      </c>
      <c r="N138" s="60">
        <v>1.0</v>
      </c>
      <c r="O138" s="60">
        <v>0.0</v>
      </c>
      <c r="P138" s="60">
        <v>0.0</v>
      </c>
      <c r="Q138" s="60">
        <v>0.0</v>
      </c>
      <c r="R138" s="60">
        <v>1.0</v>
      </c>
      <c r="S138" s="60">
        <v>0.0</v>
      </c>
      <c r="T138" s="60">
        <v>0.0</v>
      </c>
      <c r="U138" s="60">
        <v>0.0</v>
      </c>
      <c r="V138" s="60">
        <v>0.0</v>
      </c>
      <c r="W138" s="60">
        <v>0.0</v>
      </c>
      <c r="X138" s="13">
        <f t="shared" si="14"/>
        <v>5</v>
      </c>
      <c r="Y138" s="5"/>
      <c r="Z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0.0</v>
      </c>
      <c r="H139" s="60">
        <v>1.0</v>
      </c>
      <c r="I139" s="60">
        <v>0.0</v>
      </c>
      <c r="J139" s="60">
        <v>0.0</v>
      </c>
      <c r="K139" s="60">
        <v>0.0</v>
      </c>
      <c r="L139" s="60">
        <v>0.0</v>
      </c>
      <c r="M139" s="60">
        <v>0.0</v>
      </c>
      <c r="N139" s="60">
        <v>0.0</v>
      </c>
      <c r="O139" s="60">
        <v>0.0</v>
      </c>
      <c r="P139" s="60">
        <v>3.0</v>
      </c>
      <c r="Q139" s="60">
        <v>0.0</v>
      </c>
      <c r="R139" s="60">
        <v>16.0</v>
      </c>
      <c r="S139" s="60">
        <v>0.0</v>
      </c>
      <c r="T139" s="60">
        <v>1.0</v>
      </c>
      <c r="U139" s="60">
        <v>0.0</v>
      </c>
      <c r="V139" s="60">
        <v>0.0</v>
      </c>
      <c r="W139" s="60">
        <v>0.0</v>
      </c>
      <c r="X139" s="13">
        <f t="shared" si="14"/>
        <v>21</v>
      </c>
      <c r="Y139" s="5"/>
      <c r="Z139" s="5"/>
    </row>
    <row r="140" ht="12.75" customHeight="1">
      <c r="A140" s="18"/>
      <c r="B140" s="57"/>
      <c r="C140" s="58" t="s">
        <v>120</v>
      </c>
      <c r="D140" s="59"/>
      <c r="E140" s="60">
        <v>1.0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60">
        <v>0.0</v>
      </c>
      <c r="Q140" s="60">
        <v>0.0</v>
      </c>
      <c r="R140" s="60">
        <v>0.0</v>
      </c>
      <c r="S140" s="60">
        <v>0.0</v>
      </c>
      <c r="T140" s="60">
        <v>0.0</v>
      </c>
      <c r="U140" s="60">
        <v>0.0</v>
      </c>
      <c r="V140" s="60">
        <v>0.0</v>
      </c>
      <c r="W140" s="60">
        <v>0.0</v>
      </c>
      <c r="X140" s="13">
        <f t="shared" si="14"/>
        <v>1</v>
      </c>
      <c r="Y140" s="5"/>
      <c r="Z140" s="5"/>
    </row>
    <row r="141" ht="12.75" customHeight="1">
      <c r="A141" s="18"/>
      <c r="B141" s="57"/>
      <c r="C141" s="58" t="s">
        <v>121</v>
      </c>
      <c r="D141" s="59"/>
      <c r="E141" s="60">
        <v>1.0</v>
      </c>
      <c r="F141" s="60">
        <v>0.0</v>
      </c>
      <c r="G141" s="60">
        <v>1.0</v>
      </c>
      <c r="H141" s="60">
        <v>0.0</v>
      </c>
      <c r="I141" s="60">
        <v>0.0</v>
      </c>
      <c r="J141" s="60">
        <v>1.0</v>
      </c>
      <c r="K141" s="60">
        <v>0.0</v>
      </c>
      <c r="L141" s="60">
        <v>0.0</v>
      </c>
      <c r="M141" s="60">
        <v>1.0</v>
      </c>
      <c r="N141" s="60">
        <v>0.0</v>
      </c>
      <c r="O141" s="60">
        <v>0.0</v>
      </c>
      <c r="P141" s="60">
        <v>0.0</v>
      </c>
      <c r="Q141" s="60">
        <v>0.0</v>
      </c>
      <c r="R141" s="60">
        <v>0.0</v>
      </c>
      <c r="S141" s="60">
        <v>0.0</v>
      </c>
      <c r="T141" s="60">
        <v>0.0</v>
      </c>
      <c r="U141" s="60">
        <v>0.0</v>
      </c>
      <c r="V141" s="60">
        <v>0.0</v>
      </c>
      <c r="W141" s="60">
        <v>0.0</v>
      </c>
      <c r="X141" s="13">
        <f t="shared" si="14"/>
        <v>4</v>
      </c>
      <c r="Y141" s="1"/>
      <c r="Z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1.0</v>
      </c>
      <c r="N142" s="60">
        <v>0.0</v>
      </c>
      <c r="O142" s="60">
        <v>0.0</v>
      </c>
      <c r="P142" s="60">
        <v>0.0</v>
      </c>
      <c r="Q142" s="60">
        <v>0.0</v>
      </c>
      <c r="R142" s="60">
        <v>0.0</v>
      </c>
      <c r="S142" s="60">
        <v>0.0</v>
      </c>
      <c r="T142" s="60">
        <v>0.0</v>
      </c>
      <c r="U142" s="60">
        <v>0.0</v>
      </c>
      <c r="V142" s="60">
        <v>0.0</v>
      </c>
      <c r="W142" s="60">
        <v>0.0</v>
      </c>
      <c r="X142" s="13">
        <f t="shared" si="14"/>
        <v>1</v>
      </c>
      <c r="Y142" s="54"/>
      <c r="Z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1.0</v>
      </c>
      <c r="I143" s="60">
        <v>0.0</v>
      </c>
      <c r="J143" s="60">
        <v>0.0</v>
      </c>
      <c r="K143" s="19"/>
      <c r="L143" s="60">
        <v>0.0</v>
      </c>
      <c r="M143" s="60">
        <v>0.0</v>
      </c>
      <c r="N143" s="60">
        <v>0.0</v>
      </c>
      <c r="O143" s="60">
        <v>0.0</v>
      </c>
      <c r="P143" s="60">
        <v>0.0</v>
      </c>
      <c r="Q143" s="60">
        <v>0.0</v>
      </c>
      <c r="R143" s="60">
        <v>0.0</v>
      </c>
      <c r="S143" s="60">
        <v>0.0</v>
      </c>
      <c r="T143" s="60">
        <v>0.0</v>
      </c>
      <c r="U143" s="60">
        <v>0.0</v>
      </c>
      <c r="V143" s="60">
        <v>0.0</v>
      </c>
      <c r="W143" s="60">
        <v>0.0</v>
      </c>
      <c r="X143" s="13">
        <f t="shared" si="14"/>
        <v>1</v>
      </c>
      <c r="Y143" s="5"/>
      <c r="Z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1.0</v>
      </c>
      <c r="N144" s="60">
        <v>0.0</v>
      </c>
      <c r="O144" s="60">
        <v>0.0</v>
      </c>
      <c r="P144" s="60">
        <v>0.0</v>
      </c>
      <c r="Q144" s="60">
        <v>2.0</v>
      </c>
      <c r="R144" s="60">
        <v>0.0</v>
      </c>
      <c r="S144" s="60">
        <v>0.0</v>
      </c>
      <c r="T144" s="60">
        <v>0.0</v>
      </c>
      <c r="U144" s="60">
        <v>1.0</v>
      </c>
      <c r="V144" s="60">
        <v>1.0</v>
      </c>
      <c r="W144" s="60">
        <v>0.0</v>
      </c>
      <c r="X144" s="13">
        <f t="shared" si="14"/>
        <v>5</v>
      </c>
      <c r="Y144" s="5"/>
      <c r="Z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W145" si="27">SUM(E138:E144)</f>
        <v>2</v>
      </c>
      <c r="F145" s="64">
        <f t="shared" si="27"/>
        <v>1</v>
      </c>
      <c r="G145" s="64">
        <f t="shared" si="27"/>
        <v>1</v>
      </c>
      <c r="H145" s="64">
        <f t="shared" si="27"/>
        <v>2</v>
      </c>
      <c r="I145" s="64">
        <f t="shared" si="27"/>
        <v>1</v>
      </c>
      <c r="J145" s="64">
        <f t="shared" si="27"/>
        <v>1</v>
      </c>
      <c r="K145" s="64">
        <f t="shared" si="27"/>
        <v>0</v>
      </c>
      <c r="L145" s="64">
        <f t="shared" si="27"/>
        <v>0</v>
      </c>
      <c r="M145" s="64">
        <f t="shared" si="27"/>
        <v>4</v>
      </c>
      <c r="N145" s="64">
        <f t="shared" si="27"/>
        <v>1</v>
      </c>
      <c r="O145" s="64">
        <f t="shared" si="27"/>
        <v>0</v>
      </c>
      <c r="P145" s="64">
        <f t="shared" si="27"/>
        <v>3</v>
      </c>
      <c r="Q145" s="64">
        <f t="shared" si="27"/>
        <v>2</v>
      </c>
      <c r="R145" s="64">
        <f t="shared" si="27"/>
        <v>17</v>
      </c>
      <c r="S145" s="64">
        <f t="shared" si="27"/>
        <v>0</v>
      </c>
      <c r="T145" s="64">
        <f t="shared" si="27"/>
        <v>1</v>
      </c>
      <c r="U145" s="64">
        <f t="shared" si="27"/>
        <v>1</v>
      </c>
      <c r="V145" s="64">
        <f t="shared" si="27"/>
        <v>1</v>
      </c>
      <c r="W145" s="64">
        <f t="shared" si="27"/>
        <v>0</v>
      </c>
      <c r="X145" s="13">
        <f t="shared" si="14"/>
        <v>38</v>
      </c>
      <c r="Y145" s="5"/>
      <c r="Z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13">
        <f t="shared" si="14"/>
        <v>0</v>
      </c>
      <c r="Y146" s="5"/>
      <c r="Z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1.0</v>
      </c>
      <c r="F147" s="60">
        <v>0.0</v>
      </c>
      <c r="G147" s="60">
        <v>3.0</v>
      </c>
      <c r="H147" s="60">
        <v>1.0</v>
      </c>
      <c r="I147" s="60">
        <v>3.0</v>
      </c>
      <c r="J147" s="60">
        <v>4.0</v>
      </c>
      <c r="K147" s="60">
        <v>4.0</v>
      </c>
      <c r="L147" s="60">
        <v>2.0</v>
      </c>
      <c r="M147" s="60">
        <v>1.0</v>
      </c>
      <c r="N147" s="60">
        <v>4.0</v>
      </c>
      <c r="O147" s="60">
        <v>3.0</v>
      </c>
      <c r="P147" s="60">
        <v>2.0</v>
      </c>
      <c r="Q147" s="60">
        <v>2.0</v>
      </c>
      <c r="R147" s="60">
        <v>0.0</v>
      </c>
      <c r="S147" s="60">
        <v>4.0</v>
      </c>
      <c r="T147" s="60">
        <v>1.0</v>
      </c>
      <c r="U147" s="60">
        <v>4.0</v>
      </c>
      <c r="V147" s="60">
        <v>5.0</v>
      </c>
      <c r="W147" s="60">
        <v>1.0</v>
      </c>
      <c r="X147" s="13">
        <f t="shared" si="14"/>
        <v>45</v>
      </c>
      <c r="Y147" s="5"/>
      <c r="Z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2.0</v>
      </c>
      <c r="F148" s="60">
        <v>0.0</v>
      </c>
      <c r="G148" s="60">
        <v>1.0</v>
      </c>
      <c r="H148" s="60">
        <v>2.0</v>
      </c>
      <c r="I148" s="60">
        <v>4.0</v>
      </c>
      <c r="J148" s="60">
        <v>0.0</v>
      </c>
      <c r="K148" s="60">
        <v>1.0</v>
      </c>
      <c r="L148" s="60">
        <v>2.0</v>
      </c>
      <c r="M148" s="60">
        <v>1.0</v>
      </c>
      <c r="N148" s="60">
        <v>2.0</v>
      </c>
      <c r="O148" s="60">
        <v>0.0</v>
      </c>
      <c r="P148" s="60">
        <v>3.0</v>
      </c>
      <c r="Q148" s="60">
        <v>3.0</v>
      </c>
      <c r="R148" s="60">
        <v>1.0</v>
      </c>
      <c r="S148" s="60">
        <v>4.0</v>
      </c>
      <c r="T148" s="60">
        <v>4.0</v>
      </c>
      <c r="U148" s="60">
        <v>5.0</v>
      </c>
      <c r="V148" s="60">
        <v>1.0</v>
      </c>
      <c r="W148" s="60">
        <v>0.0</v>
      </c>
      <c r="X148" s="13">
        <f t="shared" si="14"/>
        <v>36</v>
      </c>
      <c r="Y148" s="5"/>
      <c r="Z148" s="5"/>
    </row>
    <row r="149" ht="12.75" customHeight="1">
      <c r="A149" s="18"/>
      <c r="B149" s="57"/>
      <c r="C149" s="58" t="s">
        <v>128</v>
      </c>
      <c r="D149" s="59"/>
      <c r="E149" s="60">
        <v>2.0</v>
      </c>
      <c r="F149" s="60">
        <v>1.0</v>
      </c>
      <c r="G149" s="60">
        <v>2.0</v>
      </c>
      <c r="H149" s="60">
        <v>2.0</v>
      </c>
      <c r="I149" s="60">
        <v>2.0</v>
      </c>
      <c r="J149" s="60">
        <v>1.0</v>
      </c>
      <c r="K149" s="60">
        <v>1.0</v>
      </c>
      <c r="L149" s="60">
        <v>0.0</v>
      </c>
      <c r="M149" s="60">
        <v>0.0</v>
      </c>
      <c r="N149" s="60">
        <v>2.0</v>
      </c>
      <c r="O149" s="60">
        <v>0.0</v>
      </c>
      <c r="P149" s="60">
        <v>1.0</v>
      </c>
      <c r="Q149" s="60">
        <v>1.0</v>
      </c>
      <c r="R149" s="60">
        <v>3.0</v>
      </c>
      <c r="S149" s="60">
        <v>1.0</v>
      </c>
      <c r="T149" s="60">
        <v>4.0</v>
      </c>
      <c r="U149" s="60">
        <v>5.0</v>
      </c>
      <c r="V149" s="60">
        <v>1.0</v>
      </c>
      <c r="W149" s="60">
        <v>2.0</v>
      </c>
      <c r="X149" s="13">
        <f t="shared" si="14"/>
        <v>31</v>
      </c>
      <c r="Y149" s="5"/>
      <c r="Z149" s="5"/>
    </row>
    <row r="150" ht="12.75" customHeight="1">
      <c r="A150" s="18"/>
      <c r="B150" s="57"/>
      <c r="C150" s="58" t="s">
        <v>129</v>
      </c>
      <c r="D150" s="59"/>
      <c r="E150" s="60">
        <v>1.0</v>
      </c>
      <c r="F150" s="60">
        <v>3.0</v>
      </c>
      <c r="G150" s="60">
        <v>5.0</v>
      </c>
      <c r="H150" s="60">
        <v>3.0</v>
      </c>
      <c r="I150" s="60">
        <v>1.0</v>
      </c>
      <c r="J150" s="60">
        <v>5.0</v>
      </c>
      <c r="K150" s="60">
        <v>8.0</v>
      </c>
      <c r="L150" s="60">
        <v>11.0</v>
      </c>
      <c r="M150" s="60">
        <v>1.0</v>
      </c>
      <c r="N150" s="60">
        <v>0.0</v>
      </c>
      <c r="O150" s="60">
        <v>0.0</v>
      </c>
      <c r="P150" s="60">
        <v>1.0</v>
      </c>
      <c r="Q150" s="60">
        <v>10.0</v>
      </c>
      <c r="R150" s="60">
        <v>1.0</v>
      </c>
      <c r="S150" s="60">
        <v>0.0</v>
      </c>
      <c r="T150" s="60">
        <v>0.0</v>
      </c>
      <c r="U150" s="60">
        <v>1.0</v>
      </c>
      <c r="V150" s="60">
        <v>0.0</v>
      </c>
      <c r="W150" s="60">
        <v>16.0</v>
      </c>
      <c r="X150" s="13">
        <f t="shared" si="14"/>
        <v>67</v>
      </c>
      <c r="Y150" s="5"/>
      <c r="Z150" s="5"/>
    </row>
    <row r="151" ht="12.75" customHeight="1">
      <c r="A151" s="18"/>
      <c r="B151" s="57"/>
      <c r="C151" s="58" t="s">
        <v>130</v>
      </c>
      <c r="D151" s="59"/>
      <c r="E151" s="60">
        <v>1.0</v>
      </c>
      <c r="F151" s="60">
        <v>1.0</v>
      </c>
      <c r="G151" s="60">
        <v>1.0</v>
      </c>
      <c r="H151" s="60">
        <v>1.0</v>
      </c>
      <c r="I151" s="60">
        <v>0.0</v>
      </c>
      <c r="J151" s="60">
        <v>0.0</v>
      </c>
      <c r="K151" s="19"/>
      <c r="L151" s="60">
        <v>0.0</v>
      </c>
      <c r="M151" s="60">
        <v>0.0</v>
      </c>
      <c r="N151" s="60">
        <v>0.0</v>
      </c>
      <c r="O151" s="60">
        <v>0.0</v>
      </c>
      <c r="P151" s="60">
        <v>0.0</v>
      </c>
      <c r="Q151" s="60">
        <v>0.0</v>
      </c>
      <c r="R151" s="60">
        <v>1.0</v>
      </c>
      <c r="S151" s="60">
        <v>0.0</v>
      </c>
      <c r="T151" s="60">
        <v>0.0</v>
      </c>
      <c r="U151" s="60">
        <v>1.0</v>
      </c>
      <c r="V151" s="60">
        <v>0.0</v>
      </c>
      <c r="W151" s="60">
        <v>0.0</v>
      </c>
      <c r="X151" s="13">
        <f t="shared" si="14"/>
        <v>6</v>
      </c>
      <c r="Y151" s="1"/>
      <c r="Z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19"/>
      <c r="L152" s="60">
        <v>1.0</v>
      </c>
      <c r="M152" s="60">
        <v>1.0</v>
      </c>
      <c r="N152" s="60">
        <v>0.0</v>
      </c>
      <c r="O152" s="60">
        <v>0.0</v>
      </c>
      <c r="P152" s="60">
        <v>0.0</v>
      </c>
      <c r="Q152" s="60">
        <v>0.0</v>
      </c>
      <c r="R152" s="60">
        <v>0.0</v>
      </c>
      <c r="S152" s="60">
        <v>0.0</v>
      </c>
      <c r="T152" s="60">
        <v>0.0</v>
      </c>
      <c r="U152" s="60">
        <v>0.0</v>
      </c>
      <c r="V152" s="60">
        <v>0.0</v>
      </c>
      <c r="W152" s="60">
        <v>1.0</v>
      </c>
      <c r="X152" s="13">
        <f t="shared" si="14"/>
        <v>3</v>
      </c>
      <c r="Y152" s="54"/>
      <c r="Z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1.0</v>
      </c>
      <c r="H153" s="60">
        <v>1.0</v>
      </c>
      <c r="I153" s="60">
        <v>0.0</v>
      </c>
      <c r="J153" s="60">
        <v>0.0</v>
      </c>
      <c r="K153" s="19"/>
      <c r="L153" s="60">
        <v>0.0</v>
      </c>
      <c r="M153" s="60">
        <v>0.0</v>
      </c>
      <c r="N153" s="60">
        <v>0.0</v>
      </c>
      <c r="O153" s="60">
        <v>0.0</v>
      </c>
      <c r="P153" s="60">
        <v>0.0</v>
      </c>
      <c r="Q153" s="60">
        <v>0.0</v>
      </c>
      <c r="R153" s="60">
        <v>0.0</v>
      </c>
      <c r="S153" s="60">
        <v>0.0</v>
      </c>
      <c r="T153" s="60">
        <v>0.0</v>
      </c>
      <c r="U153" s="60">
        <v>0.0</v>
      </c>
      <c r="V153" s="60">
        <v>0.0</v>
      </c>
      <c r="W153" s="60">
        <v>0.0</v>
      </c>
      <c r="X153" s="13">
        <f t="shared" si="14"/>
        <v>2</v>
      </c>
      <c r="Y153" s="5"/>
      <c r="Z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W154" si="28">SUM(E147:E153)</f>
        <v>7</v>
      </c>
      <c r="F154" s="64">
        <f t="shared" si="28"/>
        <v>5</v>
      </c>
      <c r="G154" s="64">
        <f t="shared" si="28"/>
        <v>13</v>
      </c>
      <c r="H154" s="64">
        <f t="shared" si="28"/>
        <v>10</v>
      </c>
      <c r="I154" s="64">
        <f t="shared" si="28"/>
        <v>10</v>
      </c>
      <c r="J154" s="64">
        <f t="shared" si="28"/>
        <v>10</v>
      </c>
      <c r="K154" s="64">
        <f t="shared" si="28"/>
        <v>14</v>
      </c>
      <c r="L154" s="64">
        <f t="shared" si="28"/>
        <v>16</v>
      </c>
      <c r="M154" s="64">
        <f t="shared" si="28"/>
        <v>4</v>
      </c>
      <c r="N154" s="64">
        <f t="shared" si="28"/>
        <v>8</v>
      </c>
      <c r="O154" s="64">
        <f t="shared" si="28"/>
        <v>3</v>
      </c>
      <c r="P154" s="64">
        <f t="shared" si="28"/>
        <v>7</v>
      </c>
      <c r="Q154" s="64">
        <f t="shared" si="28"/>
        <v>16</v>
      </c>
      <c r="R154" s="64">
        <f t="shared" si="28"/>
        <v>6</v>
      </c>
      <c r="S154" s="64">
        <f t="shared" si="28"/>
        <v>9</v>
      </c>
      <c r="T154" s="64">
        <f t="shared" si="28"/>
        <v>9</v>
      </c>
      <c r="U154" s="64">
        <f t="shared" si="28"/>
        <v>16</v>
      </c>
      <c r="V154" s="64">
        <f t="shared" si="28"/>
        <v>7</v>
      </c>
      <c r="W154" s="64">
        <f t="shared" si="28"/>
        <v>20</v>
      </c>
      <c r="X154" s="13">
        <f t="shared" si="14"/>
        <v>190</v>
      </c>
      <c r="Y154" s="5"/>
      <c r="Z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13">
        <f t="shared" si="14"/>
        <v>0</v>
      </c>
      <c r="Y155" s="5"/>
      <c r="Z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1.0</v>
      </c>
      <c r="F156" s="60">
        <v>1.0</v>
      </c>
      <c r="G156" s="60">
        <v>1.0</v>
      </c>
      <c r="H156" s="60">
        <v>0.0</v>
      </c>
      <c r="I156" s="60">
        <v>0.0</v>
      </c>
      <c r="J156" s="60">
        <v>2.0</v>
      </c>
      <c r="K156" s="60">
        <v>2.0</v>
      </c>
      <c r="L156" s="60">
        <v>1.0</v>
      </c>
      <c r="M156" s="60">
        <v>0.0</v>
      </c>
      <c r="N156" s="60">
        <v>1.0</v>
      </c>
      <c r="O156" s="60">
        <v>3.0</v>
      </c>
      <c r="P156" s="60">
        <v>1.0</v>
      </c>
      <c r="Q156" s="60">
        <v>2.0</v>
      </c>
      <c r="R156" s="60">
        <v>2.0</v>
      </c>
      <c r="S156" s="60">
        <v>1.0</v>
      </c>
      <c r="T156" s="60">
        <v>0.0</v>
      </c>
      <c r="U156" s="60">
        <v>1.0</v>
      </c>
      <c r="V156" s="60">
        <v>2.0</v>
      </c>
      <c r="W156" s="60">
        <v>0.0</v>
      </c>
      <c r="X156" s="13">
        <f t="shared" si="14"/>
        <v>21</v>
      </c>
      <c r="Y156" s="5"/>
      <c r="Z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2.0</v>
      </c>
      <c r="H157" s="60">
        <v>1.0</v>
      </c>
      <c r="I157" s="60">
        <v>0.0</v>
      </c>
      <c r="J157" s="60">
        <v>0.0</v>
      </c>
      <c r="K157" s="60">
        <v>0.0</v>
      </c>
      <c r="L157" s="60">
        <v>0.0</v>
      </c>
      <c r="M157" s="60">
        <v>0.0</v>
      </c>
      <c r="N157" s="60">
        <v>0.0</v>
      </c>
      <c r="O157" s="60">
        <v>2.0</v>
      </c>
      <c r="P157" s="60">
        <v>1.0</v>
      </c>
      <c r="Q157" s="60">
        <v>0.0</v>
      </c>
      <c r="R157" s="60">
        <v>0.0</v>
      </c>
      <c r="S157" s="19"/>
      <c r="T157" s="60">
        <v>0.0</v>
      </c>
      <c r="U157" s="60">
        <v>2.0</v>
      </c>
      <c r="V157" s="60">
        <v>0.0</v>
      </c>
      <c r="W157" s="60">
        <v>0.0</v>
      </c>
      <c r="X157" s="13">
        <f t="shared" si="14"/>
        <v>8</v>
      </c>
      <c r="Y157" s="5"/>
      <c r="Z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2.0</v>
      </c>
      <c r="G158" s="60">
        <v>0.0</v>
      </c>
      <c r="H158" s="60">
        <v>1.0</v>
      </c>
      <c r="I158" s="60">
        <v>1.0</v>
      </c>
      <c r="J158" s="60">
        <v>0.0</v>
      </c>
      <c r="K158" s="60">
        <v>1.0</v>
      </c>
      <c r="L158" s="60">
        <v>0.0</v>
      </c>
      <c r="M158" s="60">
        <v>0.0</v>
      </c>
      <c r="N158" s="60">
        <v>0.0</v>
      </c>
      <c r="O158" s="60">
        <v>1.0</v>
      </c>
      <c r="P158" s="60">
        <v>0.0</v>
      </c>
      <c r="Q158" s="60">
        <v>1.0</v>
      </c>
      <c r="R158" s="60">
        <v>0.0</v>
      </c>
      <c r="S158" s="60">
        <v>1.0</v>
      </c>
      <c r="T158" s="60">
        <v>0.0</v>
      </c>
      <c r="U158" s="60">
        <v>0.0</v>
      </c>
      <c r="V158" s="60">
        <v>0.0</v>
      </c>
      <c r="W158" s="60">
        <v>0.0</v>
      </c>
      <c r="X158" s="13">
        <f t="shared" si="14"/>
        <v>8</v>
      </c>
      <c r="Y158" s="5"/>
      <c r="Z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19"/>
      <c r="L159" s="60">
        <v>0.0</v>
      </c>
      <c r="M159" s="60">
        <v>0.0</v>
      </c>
      <c r="N159" s="60">
        <v>0.0</v>
      </c>
      <c r="O159" s="60">
        <v>0.0</v>
      </c>
      <c r="P159" s="60">
        <v>1.0</v>
      </c>
      <c r="Q159" s="60">
        <v>0.0</v>
      </c>
      <c r="R159" s="60">
        <v>0.0</v>
      </c>
      <c r="S159" s="19"/>
      <c r="T159" s="60">
        <v>0.0</v>
      </c>
      <c r="U159" s="60">
        <v>0.0</v>
      </c>
      <c r="V159" s="60">
        <v>0.0</v>
      </c>
      <c r="W159" s="60">
        <v>0.0</v>
      </c>
      <c r="X159" s="13">
        <f t="shared" si="14"/>
        <v>1</v>
      </c>
      <c r="Y159" s="5"/>
      <c r="Z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1.0</v>
      </c>
      <c r="G160" s="60">
        <v>1.0</v>
      </c>
      <c r="H160" s="60">
        <v>0.0</v>
      </c>
      <c r="I160" s="60">
        <v>0.0</v>
      </c>
      <c r="J160" s="60">
        <v>0.0</v>
      </c>
      <c r="K160" s="19"/>
      <c r="L160" s="60">
        <v>0.0</v>
      </c>
      <c r="M160" s="60">
        <v>0.0</v>
      </c>
      <c r="N160" s="60">
        <v>0.0</v>
      </c>
      <c r="O160" s="60">
        <v>0.0</v>
      </c>
      <c r="P160" s="60">
        <v>1.0</v>
      </c>
      <c r="Q160" s="60">
        <v>0.0</v>
      </c>
      <c r="R160" s="60">
        <v>1.0</v>
      </c>
      <c r="S160" s="60">
        <v>0.0</v>
      </c>
      <c r="T160" s="60">
        <v>0.0</v>
      </c>
      <c r="U160" s="60">
        <v>0.0</v>
      </c>
      <c r="V160" s="60">
        <v>1.0</v>
      </c>
      <c r="W160" s="60">
        <v>0.0</v>
      </c>
      <c r="X160" s="13">
        <f t="shared" si="14"/>
        <v>5</v>
      </c>
      <c r="Y160" s="5"/>
      <c r="Z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1.0</v>
      </c>
      <c r="G161" s="60">
        <v>1.0</v>
      </c>
      <c r="H161" s="60">
        <v>0.0</v>
      </c>
      <c r="I161" s="60">
        <v>0.0</v>
      </c>
      <c r="J161" s="60">
        <v>0.0</v>
      </c>
      <c r="K161" s="19"/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0.0</v>
      </c>
      <c r="R161" s="60">
        <v>1.0</v>
      </c>
      <c r="S161" s="60">
        <v>2.0</v>
      </c>
      <c r="T161" s="60">
        <v>0.0</v>
      </c>
      <c r="U161" s="60">
        <v>0.0</v>
      </c>
      <c r="V161" s="60">
        <v>1.0</v>
      </c>
      <c r="W161" s="60">
        <v>0.0</v>
      </c>
      <c r="X161" s="13">
        <f t="shared" si="14"/>
        <v>6</v>
      </c>
      <c r="Y161" s="5"/>
      <c r="Z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W162" si="29">SUM(E156:E161)</f>
        <v>1</v>
      </c>
      <c r="F162" s="64">
        <f t="shared" si="29"/>
        <v>5</v>
      </c>
      <c r="G162" s="64">
        <f t="shared" si="29"/>
        <v>5</v>
      </c>
      <c r="H162" s="64">
        <f t="shared" si="29"/>
        <v>2</v>
      </c>
      <c r="I162" s="64">
        <f t="shared" si="29"/>
        <v>1</v>
      </c>
      <c r="J162" s="64">
        <f t="shared" si="29"/>
        <v>2</v>
      </c>
      <c r="K162" s="64">
        <f t="shared" si="29"/>
        <v>3</v>
      </c>
      <c r="L162" s="64">
        <f t="shared" si="29"/>
        <v>1</v>
      </c>
      <c r="M162" s="64">
        <f t="shared" si="29"/>
        <v>0</v>
      </c>
      <c r="N162" s="64">
        <f t="shared" si="29"/>
        <v>1</v>
      </c>
      <c r="O162" s="64">
        <f t="shared" si="29"/>
        <v>6</v>
      </c>
      <c r="P162" s="64">
        <f t="shared" si="29"/>
        <v>4</v>
      </c>
      <c r="Q162" s="64">
        <f t="shared" si="29"/>
        <v>3</v>
      </c>
      <c r="R162" s="64">
        <f t="shared" si="29"/>
        <v>4</v>
      </c>
      <c r="S162" s="64">
        <f t="shared" si="29"/>
        <v>4</v>
      </c>
      <c r="T162" s="64">
        <f t="shared" si="29"/>
        <v>0</v>
      </c>
      <c r="U162" s="64">
        <f t="shared" si="29"/>
        <v>3</v>
      </c>
      <c r="V162" s="64">
        <f t="shared" si="29"/>
        <v>4</v>
      </c>
      <c r="W162" s="64">
        <f t="shared" si="29"/>
        <v>0</v>
      </c>
      <c r="X162" s="13">
        <f t="shared" si="14"/>
        <v>49</v>
      </c>
      <c r="Y162" s="5"/>
      <c r="Z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13">
        <f t="shared" si="14"/>
        <v>0</v>
      </c>
      <c r="Y163" s="5"/>
      <c r="Z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1.0</v>
      </c>
      <c r="F164" s="60">
        <v>0.0</v>
      </c>
      <c r="G164" s="60">
        <v>0.0</v>
      </c>
      <c r="H164" s="60">
        <v>1.0</v>
      </c>
      <c r="I164" s="60">
        <v>0.0</v>
      </c>
      <c r="J164" s="60">
        <v>0.0</v>
      </c>
      <c r="K164" s="19"/>
      <c r="L164" s="60">
        <v>0.0</v>
      </c>
      <c r="M164" s="60">
        <v>0.0</v>
      </c>
      <c r="N164" s="60">
        <v>0.0</v>
      </c>
      <c r="O164" s="60">
        <v>0.0</v>
      </c>
      <c r="P164" s="60">
        <v>0.0</v>
      </c>
      <c r="Q164" s="60">
        <v>0.0</v>
      </c>
      <c r="R164" s="60">
        <v>0.0</v>
      </c>
      <c r="S164" s="19"/>
      <c r="T164" s="60">
        <v>0.0</v>
      </c>
      <c r="U164" s="60">
        <v>0.0</v>
      </c>
      <c r="V164" s="60">
        <v>1.0</v>
      </c>
      <c r="W164" s="60">
        <v>0.0</v>
      </c>
      <c r="X164" s="13">
        <f t="shared" si="14"/>
        <v>3</v>
      </c>
      <c r="Y164" s="5"/>
      <c r="Z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0.0</v>
      </c>
      <c r="J165" s="60">
        <v>0.0</v>
      </c>
      <c r="K165" s="19"/>
      <c r="L165" s="60">
        <v>0.0</v>
      </c>
      <c r="M165" s="60">
        <v>0.0</v>
      </c>
      <c r="N165" s="60">
        <v>0.0</v>
      </c>
      <c r="O165" s="60">
        <v>0.0</v>
      </c>
      <c r="P165" s="60">
        <v>0.0</v>
      </c>
      <c r="Q165" s="60">
        <v>0.0</v>
      </c>
      <c r="R165" s="60">
        <v>1.0</v>
      </c>
      <c r="S165" s="19"/>
      <c r="T165" s="60">
        <v>0.0</v>
      </c>
      <c r="U165" s="60">
        <v>0.0</v>
      </c>
      <c r="V165" s="60">
        <v>1.0</v>
      </c>
      <c r="W165" s="60">
        <v>0.0</v>
      </c>
      <c r="X165" s="13">
        <f t="shared" si="14"/>
        <v>2</v>
      </c>
      <c r="Y165" s="1"/>
      <c r="Z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1.0</v>
      </c>
      <c r="H166" s="60">
        <v>0.0</v>
      </c>
      <c r="I166" s="60">
        <v>0.0</v>
      </c>
      <c r="J166" s="60">
        <v>0.0</v>
      </c>
      <c r="K166" s="19"/>
      <c r="L166" s="60">
        <v>0.0</v>
      </c>
      <c r="M166" s="60">
        <v>0.0</v>
      </c>
      <c r="N166" s="60">
        <v>0.0</v>
      </c>
      <c r="O166" s="60">
        <v>0.0</v>
      </c>
      <c r="P166" s="60">
        <v>0.0</v>
      </c>
      <c r="Q166" s="60">
        <v>0.0</v>
      </c>
      <c r="R166" s="60">
        <v>0.0</v>
      </c>
      <c r="S166" s="19"/>
      <c r="T166" s="60">
        <v>0.0</v>
      </c>
      <c r="U166" s="60">
        <v>1.0</v>
      </c>
      <c r="V166" s="60">
        <v>0.0</v>
      </c>
      <c r="W166" s="60">
        <v>0.0</v>
      </c>
      <c r="X166" s="13">
        <f t="shared" si="14"/>
        <v>2</v>
      </c>
      <c r="Y166" s="54"/>
      <c r="Z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19"/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60">
        <v>0.0</v>
      </c>
      <c r="S167" s="19"/>
      <c r="T167" s="60">
        <v>0.0</v>
      </c>
      <c r="U167" s="60">
        <v>0.0</v>
      </c>
      <c r="V167" s="60">
        <v>0.0</v>
      </c>
      <c r="W167" s="60">
        <v>1.0</v>
      </c>
      <c r="X167" s="13">
        <f t="shared" si="14"/>
        <v>1</v>
      </c>
      <c r="Y167" s="5"/>
      <c r="Z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1.0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3.0</v>
      </c>
      <c r="R168" s="60">
        <v>0.0</v>
      </c>
      <c r="S168" s="19"/>
      <c r="T168" s="60">
        <v>0.0</v>
      </c>
      <c r="U168" s="60">
        <v>0.0</v>
      </c>
      <c r="V168" s="19"/>
      <c r="W168" s="60">
        <v>0.0</v>
      </c>
      <c r="X168" s="13">
        <f t="shared" si="14"/>
        <v>4</v>
      </c>
      <c r="Y168" s="5"/>
      <c r="Z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1.0</v>
      </c>
      <c r="H169" s="60">
        <v>0.0</v>
      </c>
      <c r="I169" s="60">
        <v>0.0</v>
      </c>
      <c r="J169" s="60">
        <v>0.0</v>
      </c>
      <c r="K169" s="19"/>
      <c r="L169" s="60">
        <v>0.0</v>
      </c>
      <c r="M169" s="60">
        <v>0.0</v>
      </c>
      <c r="N169" s="60">
        <v>0.0</v>
      </c>
      <c r="O169" s="60">
        <v>0.0</v>
      </c>
      <c r="P169" s="60">
        <v>0.0</v>
      </c>
      <c r="Q169" s="60">
        <v>0.0</v>
      </c>
      <c r="R169" s="60">
        <v>0.0</v>
      </c>
      <c r="S169" s="19"/>
      <c r="T169" s="60">
        <v>0.0</v>
      </c>
      <c r="U169" s="60">
        <v>0.0</v>
      </c>
      <c r="V169" s="19"/>
      <c r="W169" s="60">
        <v>0.0</v>
      </c>
      <c r="X169" s="13">
        <f t="shared" si="14"/>
        <v>1</v>
      </c>
      <c r="Y169" s="5"/>
      <c r="Z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19"/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60">
        <v>0.0</v>
      </c>
      <c r="S170" s="19"/>
      <c r="T170" s="60">
        <v>0.0</v>
      </c>
      <c r="U170" s="60">
        <v>0.0</v>
      </c>
      <c r="V170" s="19"/>
      <c r="W170" s="60">
        <v>0.0</v>
      </c>
      <c r="X170" s="13">
        <f t="shared" si="14"/>
        <v>0</v>
      </c>
      <c r="Y170" s="5"/>
      <c r="Z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W171" si="30">SUM(E164:E170)</f>
        <v>1</v>
      </c>
      <c r="F171" s="64">
        <f t="shared" si="30"/>
        <v>0</v>
      </c>
      <c r="G171" s="64">
        <f t="shared" si="30"/>
        <v>2</v>
      </c>
      <c r="H171" s="64">
        <f t="shared" si="30"/>
        <v>1</v>
      </c>
      <c r="I171" s="64">
        <f t="shared" si="30"/>
        <v>0</v>
      </c>
      <c r="J171" s="64">
        <f t="shared" si="30"/>
        <v>0</v>
      </c>
      <c r="K171" s="64">
        <f t="shared" si="30"/>
        <v>1</v>
      </c>
      <c r="L171" s="64">
        <f t="shared" si="30"/>
        <v>0</v>
      </c>
      <c r="M171" s="64">
        <f t="shared" si="30"/>
        <v>0</v>
      </c>
      <c r="N171" s="64">
        <f t="shared" si="30"/>
        <v>0</v>
      </c>
      <c r="O171" s="64">
        <f t="shared" si="30"/>
        <v>0</v>
      </c>
      <c r="P171" s="64">
        <f t="shared" si="30"/>
        <v>0</v>
      </c>
      <c r="Q171" s="64">
        <f t="shared" si="30"/>
        <v>3</v>
      </c>
      <c r="R171" s="64">
        <f t="shared" si="30"/>
        <v>1</v>
      </c>
      <c r="S171" s="64">
        <f t="shared" si="30"/>
        <v>0</v>
      </c>
      <c r="T171" s="64">
        <f t="shared" si="30"/>
        <v>0</v>
      </c>
      <c r="U171" s="64">
        <f t="shared" si="30"/>
        <v>1</v>
      </c>
      <c r="V171" s="64">
        <f t="shared" si="30"/>
        <v>2</v>
      </c>
      <c r="W171" s="64">
        <f t="shared" si="30"/>
        <v>1</v>
      </c>
      <c r="X171" s="13">
        <f t="shared" si="14"/>
        <v>13</v>
      </c>
      <c r="Y171" s="5"/>
      <c r="Z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13">
        <f t="shared" si="14"/>
        <v>0</v>
      </c>
      <c r="Y172" s="5"/>
      <c r="Z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9.0</v>
      </c>
      <c r="F173" s="60">
        <v>5.0</v>
      </c>
      <c r="G173" s="60">
        <v>8.0</v>
      </c>
      <c r="H173" s="60">
        <v>8.0</v>
      </c>
      <c r="I173" s="60">
        <v>8.0</v>
      </c>
      <c r="J173" s="60">
        <v>8.0</v>
      </c>
      <c r="K173" s="60">
        <v>6.0</v>
      </c>
      <c r="L173" s="60">
        <v>8.0</v>
      </c>
      <c r="M173" s="60">
        <v>7.0</v>
      </c>
      <c r="N173" s="60">
        <v>9.0</v>
      </c>
      <c r="O173" s="60">
        <v>3.0</v>
      </c>
      <c r="P173" s="60">
        <v>2.0</v>
      </c>
      <c r="Q173" s="60">
        <v>6.0</v>
      </c>
      <c r="R173" s="60">
        <v>0.0</v>
      </c>
      <c r="S173" s="60">
        <v>4.0</v>
      </c>
      <c r="T173" s="60">
        <v>4.0</v>
      </c>
      <c r="U173" s="60">
        <v>3.0</v>
      </c>
      <c r="V173" s="60">
        <v>0.0</v>
      </c>
      <c r="W173" s="60">
        <v>5.0</v>
      </c>
      <c r="X173" s="13">
        <f t="shared" si="14"/>
        <v>103</v>
      </c>
      <c r="Y173" s="5"/>
      <c r="Z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2.0</v>
      </c>
      <c r="F174" s="60">
        <v>4.0</v>
      </c>
      <c r="G174" s="60">
        <v>2.0</v>
      </c>
      <c r="H174" s="60">
        <v>0.0</v>
      </c>
      <c r="I174" s="60">
        <v>0.0</v>
      </c>
      <c r="J174" s="60">
        <v>0.0</v>
      </c>
      <c r="K174" s="60">
        <v>3.0</v>
      </c>
      <c r="L174" s="60">
        <v>1.0</v>
      </c>
      <c r="M174" s="60">
        <v>2.0</v>
      </c>
      <c r="N174" s="60">
        <v>3.0</v>
      </c>
      <c r="O174" s="60">
        <v>1.0</v>
      </c>
      <c r="P174" s="60">
        <v>1.0</v>
      </c>
      <c r="Q174" s="60">
        <v>0.0</v>
      </c>
      <c r="R174" s="60">
        <v>0.0</v>
      </c>
      <c r="S174" s="60">
        <v>1.0</v>
      </c>
      <c r="T174" s="60">
        <v>0.0</v>
      </c>
      <c r="U174" s="60">
        <v>0.0</v>
      </c>
      <c r="V174" s="60">
        <v>1.0</v>
      </c>
      <c r="W174" s="60">
        <v>2.0</v>
      </c>
      <c r="X174" s="13">
        <f t="shared" si="14"/>
        <v>23</v>
      </c>
      <c r="Y174" s="5"/>
      <c r="Z174" s="5"/>
    </row>
    <row r="175" ht="12.75" customHeight="1">
      <c r="A175" s="18"/>
      <c r="B175" s="57"/>
      <c r="C175" s="58" t="s">
        <v>151</v>
      </c>
      <c r="D175" s="59"/>
      <c r="E175" s="60">
        <v>3.0</v>
      </c>
      <c r="F175" s="60">
        <v>4.0</v>
      </c>
      <c r="G175" s="60">
        <v>4.0</v>
      </c>
      <c r="H175" s="60">
        <v>4.0</v>
      </c>
      <c r="I175" s="60">
        <v>7.0</v>
      </c>
      <c r="J175" s="60">
        <v>4.0</v>
      </c>
      <c r="K175" s="60">
        <v>4.0</v>
      </c>
      <c r="L175" s="60">
        <v>7.0</v>
      </c>
      <c r="M175" s="60">
        <v>4.0</v>
      </c>
      <c r="N175" s="60">
        <v>2.0</v>
      </c>
      <c r="O175" s="60">
        <v>7.0</v>
      </c>
      <c r="P175" s="60">
        <v>3.0</v>
      </c>
      <c r="Q175" s="60">
        <v>3.0</v>
      </c>
      <c r="R175" s="60">
        <v>0.0</v>
      </c>
      <c r="S175" s="60">
        <v>2.0</v>
      </c>
      <c r="T175" s="60">
        <v>2.0</v>
      </c>
      <c r="U175" s="60">
        <v>0.0</v>
      </c>
      <c r="V175" s="19"/>
      <c r="W175" s="60">
        <v>4.0</v>
      </c>
      <c r="X175" s="13">
        <f t="shared" si="14"/>
        <v>64</v>
      </c>
      <c r="Y175" s="5"/>
      <c r="Z175" s="5"/>
    </row>
    <row r="176" ht="12.75" customHeight="1">
      <c r="A176" s="18"/>
      <c r="B176" s="57"/>
      <c r="C176" s="58" t="s">
        <v>152</v>
      </c>
      <c r="D176" s="59"/>
      <c r="E176" s="60">
        <v>41.0</v>
      </c>
      <c r="F176" s="60">
        <v>47.0</v>
      </c>
      <c r="G176" s="60">
        <v>64.0</v>
      </c>
      <c r="H176" s="60">
        <v>40.0</v>
      </c>
      <c r="I176" s="60">
        <v>36.0</v>
      </c>
      <c r="J176" s="60">
        <v>62.0</v>
      </c>
      <c r="K176" s="60">
        <v>34.0</v>
      </c>
      <c r="L176" s="60">
        <v>42.0</v>
      </c>
      <c r="M176" s="60">
        <v>38.0</v>
      </c>
      <c r="N176" s="60">
        <v>25.0</v>
      </c>
      <c r="O176" s="60">
        <v>31.0</v>
      </c>
      <c r="P176" s="60">
        <v>22.0</v>
      </c>
      <c r="Q176" s="60">
        <v>36.0</v>
      </c>
      <c r="R176" s="60">
        <v>7.0</v>
      </c>
      <c r="S176" s="60">
        <v>14.0</v>
      </c>
      <c r="T176" s="60">
        <v>7.0</v>
      </c>
      <c r="U176" s="60">
        <v>9.0</v>
      </c>
      <c r="V176" s="60">
        <v>8.0</v>
      </c>
      <c r="W176" s="60">
        <v>16.0</v>
      </c>
      <c r="X176" s="13">
        <f t="shared" si="14"/>
        <v>579</v>
      </c>
      <c r="Y176" s="1"/>
      <c r="Z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1.0</v>
      </c>
      <c r="G177" s="60">
        <v>0.0</v>
      </c>
      <c r="H177" s="60">
        <v>0.0</v>
      </c>
      <c r="I177" s="60">
        <v>1.0</v>
      </c>
      <c r="J177" s="60">
        <v>0.0</v>
      </c>
      <c r="K177" s="19"/>
      <c r="L177" s="60">
        <v>0.0</v>
      </c>
      <c r="M177" s="60">
        <v>1.0</v>
      </c>
      <c r="N177" s="60">
        <v>1.0</v>
      </c>
      <c r="O177" s="60">
        <v>1.0</v>
      </c>
      <c r="P177" s="60">
        <v>0.0</v>
      </c>
      <c r="Q177" s="60">
        <v>0.0</v>
      </c>
      <c r="R177" s="60">
        <v>0.0</v>
      </c>
      <c r="S177" s="60">
        <v>0.0</v>
      </c>
      <c r="T177" s="60">
        <v>0.0</v>
      </c>
      <c r="U177" s="60">
        <v>0.0</v>
      </c>
      <c r="V177" s="60">
        <v>2.0</v>
      </c>
      <c r="W177" s="60">
        <v>0.0</v>
      </c>
      <c r="X177" s="13">
        <f t="shared" si="14"/>
        <v>7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1.0</v>
      </c>
      <c r="K178" s="19"/>
      <c r="L178" s="60">
        <v>0.0</v>
      </c>
      <c r="M178" s="60">
        <v>0.0</v>
      </c>
      <c r="N178" s="60">
        <v>0.0</v>
      </c>
      <c r="O178" s="60">
        <v>1.0</v>
      </c>
      <c r="P178" s="60">
        <v>0.0</v>
      </c>
      <c r="Q178" s="60">
        <v>0.0</v>
      </c>
      <c r="R178" s="60">
        <v>0.0</v>
      </c>
      <c r="S178" s="60">
        <v>0.0</v>
      </c>
      <c r="T178" s="60">
        <v>0.0</v>
      </c>
      <c r="U178" s="60">
        <v>0.0</v>
      </c>
      <c r="V178" s="19"/>
      <c r="W178" s="60">
        <v>0.0</v>
      </c>
      <c r="X178" s="13">
        <f t="shared" si="14"/>
        <v>2</v>
      </c>
      <c r="Y178" s="5"/>
      <c r="Z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19"/>
      <c r="L179" s="60">
        <v>1.0</v>
      </c>
      <c r="M179" s="60">
        <v>0.0</v>
      </c>
      <c r="N179" s="60">
        <v>0.0</v>
      </c>
      <c r="O179" s="60">
        <v>0.0</v>
      </c>
      <c r="P179" s="60">
        <v>0.0</v>
      </c>
      <c r="Q179" s="60">
        <v>0.0</v>
      </c>
      <c r="R179" s="60">
        <v>0.0</v>
      </c>
      <c r="S179" s="60">
        <v>0.0</v>
      </c>
      <c r="T179" s="60">
        <v>0.0</v>
      </c>
      <c r="U179" s="60">
        <v>0.0</v>
      </c>
      <c r="V179" s="19"/>
      <c r="W179" s="60">
        <v>1.0</v>
      </c>
      <c r="X179" s="13">
        <f t="shared" si="14"/>
        <v>2</v>
      </c>
      <c r="Y179" s="5"/>
      <c r="Z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W180" si="31">SUM(E173:E179)</f>
        <v>55</v>
      </c>
      <c r="F180" s="64">
        <f t="shared" si="31"/>
        <v>61</v>
      </c>
      <c r="G180" s="64">
        <f t="shared" si="31"/>
        <v>78</v>
      </c>
      <c r="H180" s="64">
        <f t="shared" si="31"/>
        <v>52</v>
      </c>
      <c r="I180" s="64">
        <f t="shared" si="31"/>
        <v>52</v>
      </c>
      <c r="J180" s="64">
        <f t="shared" si="31"/>
        <v>75</v>
      </c>
      <c r="K180" s="64">
        <f t="shared" si="31"/>
        <v>47</v>
      </c>
      <c r="L180" s="64">
        <f t="shared" si="31"/>
        <v>59</v>
      </c>
      <c r="M180" s="64">
        <f t="shared" si="31"/>
        <v>52</v>
      </c>
      <c r="N180" s="64">
        <f t="shared" si="31"/>
        <v>40</v>
      </c>
      <c r="O180" s="64">
        <f t="shared" si="31"/>
        <v>44</v>
      </c>
      <c r="P180" s="64">
        <f t="shared" si="31"/>
        <v>28</v>
      </c>
      <c r="Q180" s="64">
        <f t="shared" si="31"/>
        <v>45</v>
      </c>
      <c r="R180" s="64">
        <f t="shared" si="31"/>
        <v>7</v>
      </c>
      <c r="S180" s="64">
        <f t="shared" si="31"/>
        <v>21</v>
      </c>
      <c r="T180" s="64">
        <f t="shared" si="31"/>
        <v>13</v>
      </c>
      <c r="U180" s="64">
        <f t="shared" si="31"/>
        <v>12</v>
      </c>
      <c r="V180" s="64">
        <f t="shared" si="31"/>
        <v>11</v>
      </c>
      <c r="W180" s="64">
        <f t="shared" si="31"/>
        <v>28</v>
      </c>
      <c r="X180" s="13">
        <f t="shared" si="14"/>
        <v>780</v>
      </c>
      <c r="Y180" s="5"/>
      <c r="Z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13">
        <f t="shared" si="14"/>
        <v>0</v>
      </c>
      <c r="Y181" s="5"/>
      <c r="Z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2.0</v>
      </c>
      <c r="L182" s="60">
        <v>0.0</v>
      </c>
      <c r="M182" s="60">
        <v>0.0</v>
      </c>
      <c r="N182" s="60">
        <v>0.0</v>
      </c>
      <c r="O182" s="60">
        <v>0.0</v>
      </c>
      <c r="P182" s="60">
        <v>2.0</v>
      </c>
      <c r="Q182" s="60">
        <v>0.0</v>
      </c>
      <c r="R182" s="60">
        <v>0.0</v>
      </c>
      <c r="S182" s="60">
        <v>0.0</v>
      </c>
      <c r="T182" s="60">
        <v>0.0</v>
      </c>
      <c r="U182" s="60">
        <v>0.0</v>
      </c>
      <c r="V182" s="60">
        <v>1.0</v>
      </c>
      <c r="W182" s="60">
        <v>0.0</v>
      </c>
      <c r="X182" s="13">
        <f t="shared" si="14"/>
        <v>5</v>
      </c>
      <c r="Y182" s="5"/>
      <c r="Z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1.0</v>
      </c>
      <c r="I183" s="60">
        <v>0.0</v>
      </c>
      <c r="J183" s="60">
        <v>0.0</v>
      </c>
      <c r="K183" s="60">
        <v>2.0</v>
      </c>
      <c r="L183" s="60">
        <v>0.0</v>
      </c>
      <c r="M183" s="60">
        <v>1.0</v>
      </c>
      <c r="N183" s="60">
        <v>0.0</v>
      </c>
      <c r="O183" s="60">
        <v>5.0</v>
      </c>
      <c r="P183" s="60">
        <v>1.0</v>
      </c>
      <c r="Q183" s="60">
        <v>2.0</v>
      </c>
      <c r="R183" s="60">
        <v>1.0</v>
      </c>
      <c r="S183" s="60">
        <v>0.0</v>
      </c>
      <c r="T183" s="60">
        <v>1.0</v>
      </c>
      <c r="U183" s="60">
        <v>1.0</v>
      </c>
      <c r="V183" s="60">
        <v>1.0</v>
      </c>
      <c r="W183" s="60">
        <v>0.0</v>
      </c>
      <c r="X183" s="13">
        <f t="shared" si="14"/>
        <v>16</v>
      </c>
      <c r="Y183" s="5"/>
      <c r="Z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1.0</v>
      </c>
      <c r="K184" s="19"/>
      <c r="L184" s="60">
        <v>0.0</v>
      </c>
      <c r="M184" s="60">
        <v>0.0</v>
      </c>
      <c r="N184" s="60">
        <v>0.0</v>
      </c>
      <c r="O184" s="60">
        <v>0.0</v>
      </c>
      <c r="P184" s="60">
        <v>0.0</v>
      </c>
      <c r="Q184" s="60">
        <v>0.0</v>
      </c>
      <c r="R184" s="60">
        <v>0.0</v>
      </c>
      <c r="S184" s="60">
        <v>0.0</v>
      </c>
      <c r="T184" s="60">
        <v>0.0</v>
      </c>
      <c r="U184" s="60">
        <v>0.0</v>
      </c>
      <c r="V184" s="19"/>
      <c r="W184" s="60">
        <v>0.0</v>
      </c>
      <c r="X184" s="13">
        <f t="shared" si="14"/>
        <v>1</v>
      </c>
      <c r="Y184" s="5"/>
      <c r="Z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1.0</v>
      </c>
      <c r="K185" s="19"/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60">
        <v>0.0</v>
      </c>
      <c r="S185" s="60">
        <v>0.0</v>
      </c>
      <c r="T185" s="60">
        <v>0.0</v>
      </c>
      <c r="U185" s="60">
        <v>0.0</v>
      </c>
      <c r="V185" s="19"/>
      <c r="W185" s="60">
        <v>0.0</v>
      </c>
      <c r="X185" s="13">
        <f t="shared" si="14"/>
        <v>1</v>
      </c>
      <c r="Y185" s="5"/>
      <c r="Z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1.0</v>
      </c>
      <c r="G186" s="60">
        <v>1.0</v>
      </c>
      <c r="H186" s="60">
        <v>0.0</v>
      </c>
      <c r="I186" s="60">
        <v>0.0</v>
      </c>
      <c r="J186" s="60">
        <v>0.0</v>
      </c>
      <c r="K186" s="19"/>
      <c r="L186" s="60">
        <v>0.0</v>
      </c>
      <c r="M186" s="60">
        <v>0.0</v>
      </c>
      <c r="N186" s="60">
        <v>0.0</v>
      </c>
      <c r="O186" s="60">
        <v>0.0</v>
      </c>
      <c r="P186" s="60">
        <v>0.0</v>
      </c>
      <c r="Q186" s="60">
        <v>0.0</v>
      </c>
      <c r="R186" s="60">
        <v>0.0</v>
      </c>
      <c r="S186" s="60">
        <v>0.0</v>
      </c>
      <c r="T186" s="60">
        <v>0.0</v>
      </c>
      <c r="U186" s="60">
        <v>0.0</v>
      </c>
      <c r="V186" s="19"/>
      <c r="W186" s="60">
        <v>0.0</v>
      </c>
      <c r="X186" s="13">
        <f t="shared" si="14"/>
        <v>2</v>
      </c>
      <c r="Y186" s="5"/>
      <c r="Z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W187" si="32">SUM(E182:E186)</f>
        <v>0</v>
      </c>
      <c r="F187" s="64">
        <f t="shared" si="32"/>
        <v>1</v>
      </c>
      <c r="G187" s="64">
        <f t="shared" si="32"/>
        <v>1</v>
      </c>
      <c r="H187" s="64">
        <f t="shared" si="32"/>
        <v>1</v>
      </c>
      <c r="I187" s="64">
        <f t="shared" si="32"/>
        <v>0</v>
      </c>
      <c r="J187" s="64">
        <f t="shared" si="32"/>
        <v>2</v>
      </c>
      <c r="K187" s="64">
        <f t="shared" si="32"/>
        <v>4</v>
      </c>
      <c r="L187" s="64">
        <f t="shared" si="32"/>
        <v>0</v>
      </c>
      <c r="M187" s="64">
        <f t="shared" si="32"/>
        <v>1</v>
      </c>
      <c r="N187" s="64">
        <f t="shared" si="32"/>
        <v>0</v>
      </c>
      <c r="O187" s="64">
        <f t="shared" si="32"/>
        <v>5</v>
      </c>
      <c r="P187" s="64">
        <f t="shared" si="32"/>
        <v>3</v>
      </c>
      <c r="Q187" s="64">
        <f t="shared" si="32"/>
        <v>2</v>
      </c>
      <c r="R187" s="64">
        <f t="shared" si="32"/>
        <v>1</v>
      </c>
      <c r="S187" s="64">
        <f t="shared" si="32"/>
        <v>0</v>
      </c>
      <c r="T187" s="64">
        <f t="shared" si="32"/>
        <v>1</v>
      </c>
      <c r="U187" s="64">
        <f t="shared" si="32"/>
        <v>1</v>
      </c>
      <c r="V187" s="64">
        <f t="shared" si="32"/>
        <v>2</v>
      </c>
      <c r="W187" s="64">
        <f t="shared" si="32"/>
        <v>0</v>
      </c>
      <c r="X187" s="13">
        <f t="shared" si="14"/>
        <v>25</v>
      </c>
      <c r="Y187" s="1"/>
      <c r="Z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3">
        <f t="shared" si="14"/>
        <v>0</v>
      </c>
      <c r="Y189" s="5"/>
      <c r="Z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74" t="s">
        <v>184</v>
      </c>
      <c r="P190" s="74" t="s">
        <v>185</v>
      </c>
      <c r="Q190" s="74" t="s">
        <v>186</v>
      </c>
      <c r="R190" s="74" t="s">
        <v>188</v>
      </c>
      <c r="S190" s="74" t="s">
        <v>189</v>
      </c>
      <c r="T190" s="74" t="s">
        <v>190</v>
      </c>
      <c r="U190" s="74" t="s">
        <v>191</v>
      </c>
      <c r="V190" s="74" t="s">
        <v>192</v>
      </c>
      <c r="W190" s="74" t="s">
        <v>193</v>
      </c>
      <c r="X190" s="13">
        <f t="shared" si="14"/>
        <v>0</v>
      </c>
      <c r="Y190" s="5"/>
      <c r="Z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W191" si="33">E187+E180+E162+E154+E145+E136+E127+E123+E114+E110+E101+E92+E88+E79+E70+E61+E52</f>
        <v>178</v>
      </c>
      <c r="F191" s="19">
        <f t="shared" si="33"/>
        <v>199</v>
      </c>
      <c r="G191" s="19">
        <f t="shared" si="33"/>
        <v>211</v>
      </c>
      <c r="H191" s="19">
        <f t="shared" si="33"/>
        <v>193</v>
      </c>
      <c r="I191" s="19">
        <f t="shared" si="33"/>
        <v>190</v>
      </c>
      <c r="J191" s="19">
        <f t="shared" si="33"/>
        <v>218</v>
      </c>
      <c r="K191" s="19">
        <f t="shared" si="33"/>
        <v>210</v>
      </c>
      <c r="L191" s="19">
        <f t="shared" si="33"/>
        <v>192</v>
      </c>
      <c r="M191" s="19">
        <f t="shared" si="33"/>
        <v>200</v>
      </c>
      <c r="N191" s="19">
        <f t="shared" si="33"/>
        <v>210</v>
      </c>
      <c r="O191" s="19">
        <f t="shared" si="33"/>
        <v>196</v>
      </c>
      <c r="P191" s="19">
        <f t="shared" si="33"/>
        <v>209</v>
      </c>
      <c r="Q191" s="19">
        <f t="shared" si="33"/>
        <v>186</v>
      </c>
      <c r="R191" s="19">
        <f t="shared" si="33"/>
        <v>173</v>
      </c>
      <c r="S191" s="19">
        <f t="shared" si="33"/>
        <v>223</v>
      </c>
      <c r="T191" s="19">
        <f t="shared" si="33"/>
        <v>208</v>
      </c>
      <c r="U191" s="19">
        <f t="shared" si="33"/>
        <v>201</v>
      </c>
      <c r="V191" s="19">
        <f t="shared" si="33"/>
        <v>224</v>
      </c>
      <c r="W191" s="19">
        <f t="shared" si="33"/>
        <v>214</v>
      </c>
      <c r="X191" s="13">
        <f t="shared" si="14"/>
        <v>3835</v>
      </c>
      <c r="Y191" s="5"/>
      <c r="Z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14.0</v>
      </c>
      <c r="F192" s="60">
        <v>17.0</v>
      </c>
      <c r="G192" s="60">
        <v>19.0</v>
      </c>
      <c r="H192" s="60">
        <v>17.0</v>
      </c>
      <c r="I192" s="60">
        <v>27.0</v>
      </c>
      <c r="J192" s="60">
        <v>17.0</v>
      </c>
      <c r="K192" s="60">
        <v>9.0</v>
      </c>
      <c r="L192" s="60">
        <v>16.0</v>
      </c>
      <c r="M192" s="60">
        <v>23.0</v>
      </c>
      <c r="N192" s="60">
        <v>26.0</v>
      </c>
      <c r="O192" s="60">
        <v>18.0</v>
      </c>
      <c r="P192" s="60">
        <v>9.0</v>
      </c>
      <c r="Q192" s="60">
        <v>23.0</v>
      </c>
      <c r="R192" s="60">
        <v>8.0</v>
      </c>
      <c r="S192" s="60">
        <v>14.0</v>
      </c>
      <c r="T192" s="60">
        <v>16.0</v>
      </c>
      <c r="U192" s="60">
        <v>22.0</v>
      </c>
      <c r="V192" s="60">
        <v>17.0</v>
      </c>
      <c r="W192" s="60">
        <v>13.0</v>
      </c>
      <c r="X192" s="13">
        <f t="shared" si="14"/>
        <v>325</v>
      </c>
      <c r="Y192" s="5"/>
      <c r="Z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W193" si="34">SUM(E191:E192)</f>
        <v>192</v>
      </c>
      <c r="F193" s="13">
        <f t="shared" si="34"/>
        <v>216</v>
      </c>
      <c r="G193" s="13">
        <f t="shared" si="34"/>
        <v>230</v>
      </c>
      <c r="H193" s="13">
        <f t="shared" si="34"/>
        <v>210</v>
      </c>
      <c r="I193" s="13">
        <f t="shared" si="34"/>
        <v>217</v>
      </c>
      <c r="J193" s="13">
        <f t="shared" si="34"/>
        <v>235</v>
      </c>
      <c r="K193" s="13">
        <f t="shared" si="34"/>
        <v>219</v>
      </c>
      <c r="L193" s="13">
        <f t="shared" si="34"/>
        <v>208</v>
      </c>
      <c r="M193" s="13">
        <f t="shared" si="34"/>
        <v>223</v>
      </c>
      <c r="N193" s="13">
        <f t="shared" si="34"/>
        <v>236</v>
      </c>
      <c r="O193" s="13">
        <f t="shared" si="34"/>
        <v>214</v>
      </c>
      <c r="P193" s="13">
        <f t="shared" si="34"/>
        <v>218</v>
      </c>
      <c r="Q193" s="13">
        <f t="shared" si="34"/>
        <v>209</v>
      </c>
      <c r="R193" s="13">
        <f t="shared" si="34"/>
        <v>181</v>
      </c>
      <c r="S193" s="13">
        <f t="shared" si="34"/>
        <v>237</v>
      </c>
      <c r="T193" s="13">
        <f t="shared" si="34"/>
        <v>224</v>
      </c>
      <c r="U193" s="13">
        <f t="shared" si="34"/>
        <v>223</v>
      </c>
      <c r="V193" s="13">
        <f t="shared" si="34"/>
        <v>241</v>
      </c>
      <c r="W193" s="13">
        <f t="shared" si="34"/>
        <v>227</v>
      </c>
      <c r="X193" s="13">
        <f t="shared" si="14"/>
        <v>4160</v>
      </c>
      <c r="Y193" s="5"/>
      <c r="Z193" s="5"/>
    </row>
    <row r="194" ht="12.75" customHeight="1">
      <c r="Y194" s="5"/>
      <c r="Z194" s="5"/>
    </row>
    <row r="195" ht="12.75" customHeight="1">
      <c r="Y195" s="5"/>
      <c r="Z195" s="5"/>
    </row>
    <row r="196" ht="12.75" customHeight="1">
      <c r="Y196" s="1"/>
      <c r="Z196" s="1"/>
    </row>
    <row r="197" ht="12.75" customHeight="1">
      <c r="Y197" s="1"/>
      <c r="Z197" s="1"/>
    </row>
    <row r="198" ht="12.75" customHeight="1">
      <c r="Y198" s="1"/>
      <c r="Z198" s="1"/>
    </row>
    <row r="199" ht="12.75" customHeight="1">
      <c r="Y199" s="54"/>
      <c r="Z199" s="54"/>
    </row>
    <row r="200" ht="12.75" customHeight="1">
      <c r="Y200" s="5"/>
      <c r="Z200" s="5"/>
    </row>
    <row r="201" ht="12.75" customHeight="1">
      <c r="Y201" s="5"/>
      <c r="Z201" s="5"/>
    </row>
    <row r="202" ht="12.75" customHeight="1">
      <c r="Y202" s="5"/>
      <c r="Z202" s="5"/>
    </row>
    <row r="203" ht="12.75" customHeight="1">
      <c r="Y203" s="5"/>
      <c r="Z203" s="5"/>
    </row>
    <row r="204" ht="12.75" customHeight="1">
      <c r="Y204" s="5"/>
      <c r="Z204" s="5"/>
    </row>
    <row r="205" ht="12.75" customHeight="1">
      <c r="Y205" s="5"/>
      <c r="Z205" s="5"/>
    </row>
    <row r="206" ht="12.75" customHeight="1">
      <c r="Y206" s="5"/>
      <c r="Z206" s="5"/>
    </row>
    <row r="207" ht="12.75" customHeight="1">
      <c r="Y207" s="1"/>
      <c r="Z207" s="1"/>
    </row>
    <row r="208" ht="12.75" customHeight="1">
      <c r="Y208" s="54"/>
      <c r="Z208" s="54"/>
    </row>
    <row r="209" ht="12.75" customHeight="1">
      <c r="Y209" s="54"/>
      <c r="Z209" s="54"/>
    </row>
    <row r="210" ht="12.75" customHeight="1">
      <c r="Y210" s="54"/>
      <c r="Z210" s="54"/>
    </row>
    <row r="211" ht="12.75" customHeight="1">
      <c r="Y211" s="5"/>
      <c r="Z211" s="5"/>
    </row>
    <row r="212" ht="12.75" customHeight="1">
      <c r="Y212" s="5"/>
      <c r="Z212" s="5"/>
    </row>
    <row r="213" ht="12.75" customHeight="1">
      <c r="Y213" s="5"/>
      <c r="Z213" s="5"/>
    </row>
    <row r="214" ht="12.75" customHeight="1">
      <c r="Y214" s="5"/>
      <c r="Z214" s="5"/>
    </row>
    <row r="215" ht="12.75" customHeight="1">
      <c r="Y215" s="5"/>
      <c r="Z215" s="5"/>
    </row>
    <row r="216" ht="12.75" customHeight="1">
      <c r="Y216" s="5"/>
      <c r="Z216" s="5"/>
    </row>
    <row r="217" ht="12.75" customHeight="1">
      <c r="Y217" s="5"/>
      <c r="Z217" s="5"/>
    </row>
    <row r="218" ht="12.75" customHeight="1">
      <c r="Y218" s="1"/>
      <c r="Z218" s="1"/>
    </row>
    <row r="219" ht="12.75" customHeight="1">
      <c r="Y219" s="54"/>
      <c r="Z219" s="54"/>
    </row>
    <row r="220" ht="12.75" customHeight="1">
      <c r="Y220" s="5"/>
      <c r="Z220" s="5"/>
    </row>
    <row r="221" ht="12.75" customHeight="1">
      <c r="Y221" s="5"/>
      <c r="Z221" s="5"/>
    </row>
    <row r="222" ht="12.75" customHeight="1">
      <c r="Y222" s="5"/>
      <c r="Z222" s="5"/>
    </row>
    <row r="223" ht="12.75" customHeight="1">
      <c r="Y223" s="5"/>
      <c r="Z223" s="5"/>
    </row>
    <row r="224" ht="12.75" customHeight="1">
      <c r="Y224" s="5"/>
      <c r="Z224" s="5"/>
    </row>
    <row r="225" ht="12.75" customHeight="1">
      <c r="Y225" s="5"/>
      <c r="Z225" s="5"/>
    </row>
    <row r="226" ht="12.75" customHeight="1">
      <c r="Y226" s="5"/>
      <c r="Z226" s="5"/>
    </row>
    <row r="227" ht="12.75" customHeight="1">
      <c r="Y227" s="5"/>
      <c r="Z227" s="5"/>
    </row>
    <row r="228" ht="12.75" customHeight="1">
      <c r="Y228" s="5"/>
      <c r="Z228" s="5"/>
    </row>
    <row r="229" ht="12.75" customHeight="1">
      <c r="Y229" s="1"/>
      <c r="Z229" s="1"/>
    </row>
    <row r="230" ht="12.75" customHeight="1">
      <c r="Y230" s="54"/>
      <c r="Z230" s="54"/>
    </row>
    <row r="231" ht="12.75" customHeight="1">
      <c r="Y231" s="5"/>
      <c r="Z231" s="5"/>
    </row>
    <row r="232" ht="12.75" customHeight="1">
      <c r="Y232" s="5"/>
      <c r="Z232" s="5"/>
    </row>
    <row r="233" ht="12.75" customHeight="1">
      <c r="Y233" s="5"/>
      <c r="Z233" s="5"/>
    </row>
    <row r="234" ht="12.75" customHeight="1">
      <c r="Y234" s="5"/>
      <c r="Z234" s="5"/>
    </row>
    <row r="235" ht="12.75" customHeight="1">
      <c r="Y235" s="5"/>
      <c r="Z235" s="5"/>
    </row>
    <row r="236" ht="12.75" customHeight="1">
      <c r="Y236" s="5"/>
      <c r="Z236" s="5"/>
    </row>
    <row r="237" ht="12.75" customHeight="1">
      <c r="Y237" s="5"/>
      <c r="Z237" s="5"/>
    </row>
    <row r="238" ht="12.75" customHeight="1">
      <c r="Y238" s="5"/>
      <c r="Z238" s="5"/>
    </row>
    <row r="239" ht="12.75" customHeight="1">
      <c r="Y239" s="5"/>
      <c r="Z239" s="5"/>
    </row>
    <row r="240" ht="12.75" customHeight="1">
      <c r="Y240" s="1"/>
      <c r="Z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45:W51">
    <cfRule type="containsBlanks" dxfId="1" priority="10">
      <formula>LEN(TRIM(E45))=0</formula>
    </cfRule>
  </conditionalFormatting>
  <conditionalFormatting sqref="E54:W60">
    <cfRule type="containsBlanks" dxfId="1" priority="11">
      <formula>LEN(TRIM(E54))=0</formula>
    </cfRule>
  </conditionalFormatting>
  <conditionalFormatting sqref="E63:W69">
    <cfRule type="containsBlanks" dxfId="1" priority="12">
      <formula>LEN(TRIM(E63))=0</formula>
    </cfRule>
  </conditionalFormatting>
  <conditionalFormatting sqref="E72:W78">
    <cfRule type="containsBlanks" dxfId="1" priority="13">
      <formula>LEN(TRIM(E72))=0</formula>
    </cfRule>
  </conditionalFormatting>
  <conditionalFormatting sqref="E81:W87">
    <cfRule type="containsBlanks" dxfId="1" priority="14">
      <formula>LEN(TRIM(E81))=0</formula>
    </cfRule>
  </conditionalFormatting>
  <conditionalFormatting sqref="E90:W91">
    <cfRule type="containsBlanks" dxfId="1" priority="15">
      <formula>LEN(TRIM(E90))=0</formula>
    </cfRule>
  </conditionalFormatting>
  <conditionalFormatting sqref="E94:W100">
    <cfRule type="containsBlanks" dxfId="1" priority="16">
      <formula>LEN(TRIM(E94))=0</formula>
    </cfRule>
  </conditionalFormatting>
  <conditionalFormatting sqref="E103:W109">
    <cfRule type="containsBlanks" dxfId="1" priority="17">
      <formula>LEN(TRIM(E103))=0</formula>
    </cfRule>
  </conditionalFormatting>
  <conditionalFormatting sqref="E112:W113">
    <cfRule type="containsBlanks" dxfId="1" priority="18">
      <formula>LEN(TRIM(E112))=0</formula>
    </cfRule>
  </conditionalFormatting>
  <conditionalFormatting sqref="E116:W122">
    <cfRule type="containsBlanks" dxfId="1" priority="19">
      <formula>LEN(TRIM(E116))=0</formula>
    </cfRule>
  </conditionalFormatting>
  <conditionalFormatting sqref="E125:W126">
    <cfRule type="containsBlanks" dxfId="1" priority="20">
      <formula>LEN(TRIM(E125))=0</formula>
    </cfRule>
  </conditionalFormatting>
  <conditionalFormatting sqref="E129:W135">
    <cfRule type="containsBlanks" dxfId="1" priority="21">
      <formula>LEN(TRIM(E129))=0</formula>
    </cfRule>
  </conditionalFormatting>
  <conditionalFormatting sqref="E138:W144">
    <cfRule type="containsBlanks" dxfId="1" priority="22">
      <formula>LEN(TRIM(E138))=0</formula>
    </cfRule>
  </conditionalFormatting>
  <conditionalFormatting sqref="E147:W153">
    <cfRule type="containsBlanks" dxfId="1" priority="23">
      <formula>LEN(TRIM(E147))=0</formula>
    </cfRule>
  </conditionalFormatting>
  <conditionalFormatting sqref="E156:W161">
    <cfRule type="containsBlanks" dxfId="1" priority="24">
      <formula>LEN(TRIM(E156))=0</formula>
    </cfRule>
  </conditionalFormatting>
  <conditionalFormatting sqref="E164:W170">
    <cfRule type="containsBlanks" dxfId="1" priority="25">
      <formula>LEN(TRIM(E164))=0</formula>
    </cfRule>
  </conditionalFormatting>
  <conditionalFormatting sqref="E173:W179">
    <cfRule type="containsBlanks" dxfId="1" priority="26">
      <formula>LEN(TRIM(E173))=0</formula>
    </cfRule>
  </conditionalFormatting>
  <conditionalFormatting sqref="E182:W186">
    <cfRule type="containsBlanks" dxfId="1" priority="27">
      <formula>LEN(TRIM(E182))=0</formula>
    </cfRule>
  </conditionalFormatting>
  <conditionalFormatting sqref="E191:W192">
    <cfRule type="containsBlanks" dxfId="1" priority="28">
      <formula>LEN(TRIM(E191))=0</formula>
    </cfRule>
  </conditionalFormatting>
  <conditionalFormatting sqref="E193:W193">
    <cfRule type="expression" dxfId="0" priority="29">
      <formula>E193&lt;&gt;#REF!</formula>
    </cfRule>
  </conditionalFormatting>
  <conditionalFormatting sqref="E193:W193">
    <cfRule type="expression" dxfId="2" priority="30">
      <formula>#REF!&lt;&gt;E193</formula>
    </cfRule>
  </conditionalFormatting>
  <conditionalFormatting sqref="E193:W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60">
        <v>135.0</v>
      </c>
      <c r="F14" s="60">
        <v>121.0</v>
      </c>
      <c r="G14" s="60">
        <v>142.0</v>
      </c>
      <c r="H14" s="60">
        <v>140.0</v>
      </c>
      <c r="I14" s="60">
        <v>128.0</v>
      </c>
      <c r="J14" s="60">
        <v>148.0</v>
      </c>
      <c r="K14" s="60">
        <v>138.0</v>
      </c>
      <c r="L14" s="60">
        <v>143.0</v>
      </c>
      <c r="M14" s="60">
        <v>137.0</v>
      </c>
      <c r="N14" s="13">
        <f t="shared" ref="N14:N16" si="1">SUM(E14:M14)</f>
        <v>1232</v>
      </c>
    </row>
    <row r="15" ht="12.75" customHeight="1">
      <c r="A15" s="18"/>
      <c r="B15" s="26"/>
      <c r="C15" s="27"/>
      <c r="D15" s="19" t="s">
        <v>13</v>
      </c>
      <c r="E15" s="60">
        <v>133.0</v>
      </c>
      <c r="F15" s="60">
        <v>135.0</v>
      </c>
      <c r="G15" s="60">
        <v>133.0</v>
      </c>
      <c r="H15" s="60">
        <v>146.0</v>
      </c>
      <c r="I15" s="60">
        <v>130.0</v>
      </c>
      <c r="J15" s="60">
        <v>132.0</v>
      </c>
      <c r="K15" s="60">
        <v>130.0</v>
      </c>
      <c r="L15" s="60">
        <v>143.0</v>
      </c>
      <c r="M15" s="60">
        <v>145.0</v>
      </c>
      <c r="N15" s="13">
        <f t="shared" si="1"/>
        <v>1227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268</v>
      </c>
      <c r="F16" s="13">
        <f t="shared" si="2"/>
        <v>256</v>
      </c>
      <c r="G16" s="13">
        <f t="shared" si="2"/>
        <v>275</v>
      </c>
      <c r="H16" s="13">
        <f t="shared" si="2"/>
        <v>286</v>
      </c>
      <c r="I16" s="13">
        <f t="shared" si="2"/>
        <v>258</v>
      </c>
      <c r="J16" s="13">
        <f t="shared" si="2"/>
        <v>280</v>
      </c>
      <c r="K16" s="13">
        <f t="shared" si="2"/>
        <v>268</v>
      </c>
      <c r="L16" s="13">
        <f t="shared" si="2"/>
        <v>286</v>
      </c>
      <c r="M16" s="13">
        <f t="shared" si="2"/>
        <v>282</v>
      </c>
      <c r="N16" s="13">
        <f t="shared" si="1"/>
        <v>2459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108.0</v>
      </c>
      <c r="F19" s="60">
        <v>103.0</v>
      </c>
      <c r="G19" s="60">
        <v>108.0</v>
      </c>
      <c r="H19" s="60">
        <v>115.0</v>
      </c>
      <c r="I19" s="60">
        <v>101.0</v>
      </c>
      <c r="J19" s="60">
        <v>122.0</v>
      </c>
      <c r="K19" s="60">
        <v>101.0</v>
      </c>
      <c r="L19" s="60">
        <v>98.0</v>
      </c>
      <c r="M19" s="60">
        <v>98.0</v>
      </c>
      <c r="N19" s="13">
        <f t="shared" ref="N19:N30" si="3">SUM(E19:M19)</f>
        <v>954</v>
      </c>
    </row>
    <row r="20" ht="12.75" customHeight="1">
      <c r="A20" s="34"/>
      <c r="B20" s="27"/>
      <c r="C20" s="35"/>
      <c r="D20" s="19" t="s">
        <v>13</v>
      </c>
      <c r="E20" s="60">
        <v>112.0</v>
      </c>
      <c r="F20" s="60">
        <v>119.0</v>
      </c>
      <c r="G20" s="60">
        <v>113.0</v>
      </c>
      <c r="H20" s="60">
        <v>128.0</v>
      </c>
      <c r="I20" s="60">
        <v>107.0</v>
      </c>
      <c r="J20" s="60">
        <v>117.0</v>
      </c>
      <c r="K20" s="60">
        <v>107.0</v>
      </c>
      <c r="L20" s="60">
        <v>114.0</v>
      </c>
      <c r="M20" s="60">
        <v>122.0</v>
      </c>
      <c r="N20" s="13">
        <f t="shared" si="3"/>
        <v>1039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220</v>
      </c>
      <c r="F21" s="13">
        <f t="shared" si="4"/>
        <v>222</v>
      </c>
      <c r="G21" s="13">
        <f t="shared" si="4"/>
        <v>221</v>
      </c>
      <c r="H21" s="13">
        <f t="shared" si="4"/>
        <v>243</v>
      </c>
      <c r="I21" s="13">
        <f t="shared" si="4"/>
        <v>208</v>
      </c>
      <c r="J21" s="13">
        <f t="shared" si="4"/>
        <v>239</v>
      </c>
      <c r="K21" s="13">
        <f t="shared" si="4"/>
        <v>208</v>
      </c>
      <c r="L21" s="13">
        <f t="shared" si="4"/>
        <v>212</v>
      </c>
      <c r="M21" s="13">
        <f t="shared" si="4"/>
        <v>220</v>
      </c>
      <c r="N21" s="13">
        <f t="shared" si="3"/>
        <v>1993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1.0</v>
      </c>
      <c r="F25" s="60">
        <v>4.0</v>
      </c>
      <c r="G25" s="60">
        <v>0.0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60">
        <v>0.0</v>
      </c>
      <c r="N25" s="13">
        <f t="shared" si="3"/>
        <v>5</v>
      </c>
    </row>
    <row r="26" ht="12.75" customHeight="1">
      <c r="A26" s="34"/>
      <c r="B26" s="27"/>
      <c r="C26" s="35"/>
      <c r="D26" s="19" t="s">
        <v>13</v>
      </c>
      <c r="E26" s="60">
        <v>3.0</v>
      </c>
      <c r="F26" s="60">
        <v>3.0</v>
      </c>
      <c r="G26" s="60">
        <v>3.0</v>
      </c>
      <c r="H26" s="60">
        <v>0.0</v>
      </c>
      <c r="I26" s="60">
        <v>0.0</v>
      </c>
      <c r="J26" s="60">
        <v>0.0</v>
      </c>
      <c r="K26" s="60">
        <v>0.0</v>
      </c>
      <c r="L26" s="60">
        <v>1.0</v>
      </c>
      <c r="M26" s="60">
        <v>0.0</v>
      </c>
      <c r="N26" s="13">
        <f t="shared" si="3"/>
        <v>10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4</v>
      </c>
      <c r="F27" s="13">
        <f t="shared" si="6"/>
        <v>7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3"/>
        <v>15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M28" si="7">SUM(E19,E22,E25)</f>
        <v>109</v>
      </c>
      <c r="F28" s="13">
        <f t="shared" si="7"/>
        <v>107</v>
      </c>
      <c r="G28" s="13">
        <f t="shared" si="7"/>
        <v>108</v>
      </c>
      <c r="H28" s="13">
        <f t="shared" si="7"/>
        <v>115</v>
      </c>
      <c r="I28" s="13">
        <f t="shared" si="7"/>
        <v>101</v>
      </c>
      <c r="J28" s="13">
        <f t="shared" si="7"/>
        <v>122</v>
      </c>
      <c r="K28" s="13">
        <f t="shared" si="7"/>
        <v>101</v>
      </c>
      <c r="L28" s="13">
        <f t="shared" si="7"/>
        <v>98</v>
      </c>
      <c r="M28" s="13">
        <f t="shared" si="7"/>
        <v>98</v>
      </c>
      <c r="N28" s="13">
        <f t="shared" si="3"/>
        <v>959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115</v>
      </c>
      <c r="F29" s="13">
        <f t="shared" si="8"/>
        <v>122</v>
      </c>
      <c r="G29" s="13">
        <f t="shared" si="8"/>
        <v>116</v>
      </c>
      <c r="H29" s="13">
        <f t="shared" si="8"/>
        <v>128</v>
      </c>
      <c r="I29" s="13">
        <f t="shared" si="8"/>
        <v>107</v>
      </c>
      <c r="J29" s="13">
        <f t="shared" si="8"/>
        <v>117</v>
      </c>
      <c r="K29" s="13">
        <f t="shared" si="8"/>
        <v>107</v>
      </c>
      <c r="L29" s="13">
        <f t="shared" si="8"/>
        <v>115</v>
      </c>
      <c r="M29" s="13">
        <f t="shared" si="8"/>
        <v>122</v>
      </c>
      <c r="N29" s="13">
        <f t="shared" si="3"/>
        <v>1049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224</v>
      </c>
      <c r="F30" s="13">
        <f t="shared" si="9"/>
        <v>229</v>
      </c>
      <c r="G30" s="13">
        <f t="shared" si="9"/>
        <v>224</v>
      </c>
      <c r="H30" s="13">
        <f t="shared" si="9"/>
        <v>243</v>
      </c>
      <c r="I30" s="13">
        <f t="shared" si="9"/>
        <v>208</v>
      </c>
      <c r="J30" s="13">
        <f t="shared" si="9"/>
        <v>239</v>
      </c>
      <c r="K30" s="13">
        <f t="shared" si="9"/>
        <v>208</v>
      </c>
      <c r="L30" s="13">
        <f t="shared" si="9"/>
        <v>213</v>
      </c>
      <c r="M30" s="13">
        <f t="shared" si="9"/>
        <v>220</v>
      </c>
      <c r="N30" s="13">
        <f t="shared" si="3"/>
        <v>2008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3"/>
    </row>
    <row r="32" ht="12.75" customHeight="1">
      <c r="A32" s="44" t="s">
        <v>25</v>
      </c>
      <c r="B32" s="14" t="s">
        <v>26</v>
      </c>
      <c r="C32" s="15"/>
      <c r="D32" s="16"/>
      <c r="E32" s="13" t="s">
        <v>172</v>
      </c>
      <c r="F32" s="13" t="s">
        <v>173</v>
      </c>
      <c r="G32" s="13" t="s">
        <v>174</v>
      </c>
      <c r="H32" s="13" t="s">
        <v>175</v>
      </c>
      <c r="I32" s="13" t="s">
        <v>176</v>
      </c>
      <c r="J32" s="13" t="s">
        <v>177</v>
      </c>
      <c r="K32" s="13" t="s">
        <v>179</v>
      </c>
      <c r="L32" s="13" t="s">
        <v>180</v>
      </c>
      <c r="M32" s="13" t="s">
        <v>181</v>
      </c>
      <c r="N32" s="73"/>
    </row>
    <row r="33" ht="12.75" customHeight="1">
      <c r="A33" s="19">
        <v>1.0</v>
      </c>
      <c r="B33" s="20" t="s">
        <v>27</v>
      </c>
      <c r="C33" s="15"/>
      <c r="D33" s="16"/>
      <c r="E33" s="60">
        <v>274.0</v>
      </c>
      <c r="F33" s="60">
        <v>258.0</v>
      </c>
      <c r="G33" s="60">
        <v>276.0</v>
      </c>
      <c r="H33" s="60">
        <v>287.0</v>
      </c>
      <c r="I33" s="60">
        <v>260.0</v>
      </c>
      <c r="J33" s="60">
        <v>281.0</v>
      </c>
      <c r="K33" s="60">
        <v>270.0</v>
      </c>
      <c r="L33" s="60">
        <v>292.0</v>
      </c>
      <c r="M33" s="60">
        <v>285.0</v>
      </c>
      <c r="N33" s="13">
        <f t="shared" ref="N33:N36" si="10">SUM(E33:M33)</f>
        <v>2483</v>
      </c>
    </row>
    <row r="34" ht="12.75" customHeight="1">
      <c r="A34" s="19">
        <v>2.0</v>
      </c>
      <c r="B34" s="20" t="s">
        <v>28</v>
      </c>
      <c r="C34" s="15"/>
      <c r="D34" s="16"/>
      <c r="E34" s="75">
        <v>224.0</v>
      </c>
      <c r="F34" s="75">
        <v>229.0</v>
      </c>
      <c r="G34" s="75">
        <v>224.0</v>
      </c>
      <c r="H34" s="75">
        <v>243.0</v>
      </c>
      <c r="I34" s="75">
        <v>208.0</v>
      </c>
      <c r="J34" s="75">
        <v>239.0</v>
      </c>
      <c r="K34" s="75">
        <v>208.0</v>
      </c>
      <c r="L34" s="75">
        <v>213.0</v>
      </c>
      <c r="M34" s="75">
        <v>220.0</v>
      </c>
      <c r="N34" s="13">
        <f t="shared" si="10"/>
        <v>2008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0.0</v>
      </c>
      <c r="G35" s="60">
        <v>0.0</v>
      </c>
      <c r="H35" s="60">
        <v>0.0</v>
      </c>
      <c r="I35" s="60">
        <v>0.0</v>
      </c>
      <c r="J35" s="60">
        <v>0.0</v>
      </c>
      <c r="K35" s="60">
        <v>0.0</v>
      </c>
      <c r="L35" s="60">
        <v>0.0</v>
      </c>
      <c r="M35" s="60">
        <v>1.0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50</v>
      </c>
      <c r="F36" s="13">
        <f t="shared" si="11"/>
        <v>29</v>
      </c>
      <c r="G36" s="13">
        <f t="shared" si="11"/>
        <v>52</v>
      </c>
      <c r="H36" s="13">
        <f t="shared" si="11"/>
        <v>44</v>
      </c>
      <c r="I36" s="13">
        <f t="shared" si="11"/>
        <v>52</v>
      </c>
      <c r="J36" s="13">
        <f t="shared" si="11"/>
        <v>42</v>
      </c>
      <c r="K36" s="13">
        <f t="shared" si="11"/>
        <v>62</v>
      </c>
      <c r="L36" s="13">
        <f t="shared" si="11"/>
        <v>79</v>
      </c>
      <c r="M36" s="13">
        <f t="shared" si="11"/>
        <v>64</v>
      </c>
      <c r="N36" s="13">
        <f t="shared" si="10"/>
        <v>474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3"/>
    </row>
    <row r="38" ht="12.75" customHeight="1">
      <c r="A38" s="45" t="s">
        <v>31</v>
      </c>
      <c r="B38" s="14" t="s">
        <v>32</v>
      </c>
      <c r="C38" s="15"/>
      <c r="D38" s="16"/>
      <c r="E38" s="13" t="s">
        <v>172</v>
      </c>
      <c r="F38" s="13" t="s">
        <v>173</v>
      </c>
      <c r="G38" s="13" t="s">
        <v>174</v>
      </c>
      <c r="H38" s="13" t="s">
        <v>175</v>
      </c>
      <c r="I38" s="13" t="s">
        <v>176</v>
      </c>
      <c r="J38" s="13" t="s">
        <v>177</v>
      </c>
      <c r="K38" s="13" t="s">
        <v>179</v>
      </c>
      <c r="L38" s="13" t="s">
        <v>180</v>
      </c>
      <c r="M38" s="13" t="s">
        <v>181</v>
      </c>
      <c r="N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1.0</v>
      </c>
      <c r="K39" s="60">
        <v>0.0</v>
      </c>
      <c r="L39" s="60">
        <v>0.0</v>
      </c>
      <c r="M39" s="60">
        <v>2.0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1.0</v>
      </c>
      <c r="J40" s="60">
        <v>0.0</v>
      </c>
      <c r="K40" s="60">
        <v>0.0</v>
      </c>
      <c r="L40" s="60">
        <v>0.0</v>
      </c>
      <c r="M40" s="60">
        <v>1.0</v>
      </c>
      <c r="N40" s="13">
        <f t="shared" si="12"/>
        <v>2</v>
      </c>
    </row>
    <row r="41" ht="12.75" customHeight="1">
      <c r="A41" s="44"/>
      <c r="B41" s="47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3</v>
      </c>
      <c r="N41" s="13">
        <f t="shared" si="12"/>
        <v>5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172</v>
      </c>
      <c r="F43" s="13" t="s">
        <v>173</v>
      </c>
      <c r="G43" s="13" t="s">
        <v>174</v>
      </c>
      <c r="H43" s="13" t="s">
        <v>175</v>
      </c>
      <c r="I43" s="13" t="s">
        <v>176</v>
      </c>
      <c r="J43" s="13" t="s">
        <v>177</v>
      </c>
      <c r="K43" s="13" t="s">
        <v>179</v>
      </c>
      <c r="L43" s="13" t="s">
        <v>180</v>
      </c>
      <c r="M43" s="13" t="s">
        <v>181</v>
      </c>
      <c r="N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9.0</v>
      </c>
      <c r="F45" s="60">
        <v>9.0</v>
      </c>
      <c r="G45" s="60">
        <v>6.0</v>
      </c>
      <c r="H45" s="60">
        <v>8.0</v>
      </c>
      <c r="I45" s="60">
        <v>5.0</v>
      </c>
      <c r="J45" s="60">
        <v>9.0</v>
      </c>
      <c r="K45" s="60">
        <v>10.0</v>
      </c>
      <c r="L45" s="60">
        <v>22.0</v>
      </c>
      <c r="M45" s="60">
        <v>29.0</v>
      </c>
      <c r="N45" s="13">
        <f t="shared" ref="N45:N193" si="14">SUM(E45:M45)</f>
        <v>107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52.0</v>
      </c>
      <c r="F46" s="60">
        <v>38.0</v>
      </c>
      <c r="G46" s="60">
        <v>7.0</v>
      </c>
      <c r="H46" s="60">
        <v>6.0</v>
      </c>
      <c r="I46" s="60">
        <v>20.0</v>
      </c>
      <c r="J46" s="60">
        <v>25.0</v>
      </c>
      <c r="K46" s="60">
        <v>75.0</v>
      </c>
      <c r="L46" s="60">
        <v>85.0</v>
      </c>
      <c r="M46" s="60">
        <v>105.0</v>
      </c>
      <c r="N46" s="13">
        <f t="shared" si="14"/>
        <v>413</v>
      </c>
    </row>
    <row r="47" ht="12.75" customHeight="1">
      <c r="A47" s="18"/>
      <c r="B47" s="57"/>
      <c r="C47" s="58" t="s">
        <v>41</v>
      </c>
      <c r="D47" s="59"/>
      <c r="E47" s="60">
        <v>2.0</v>
      </c>
      <c r="F47" s="60">
        <v>3.0</v>
      </c>
      <c r="G47" s="60">
        <v>2.0</v>
      </c>
      <c r="H47" s="60">
        <v>2.0</v>
      </c>
      <c r="I47" s="60">
        <v>0.0</v>
      </c>
      <c r="J47" s="60">
        <v>0.0</v>
      </c>
      <c r="K47" s="60">
        <v>3.0</v>
      </c>
      <c r="L47" s="60">
        <v>2.0</v>
      </c>
      <c r="M47" s="60">
        <v>1.0</v>
      </c>
      <c r="N47" s="13">
        <f t="shared" si="14"/>
        <v>15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0.0</v>
      </c>
      <c r="H48" s="60">
        <v>0.0</v>
      </c>
      <c r="I48" s="60">
        <v>0.0</v>
      </c>
      <c r="J48" s="60">
        <v>0.0</v>
      </c>
      <c r="K48" s="60">
        <v>0.0</v>
      </c>
      <c r="L48" s="60">
        <v>0.0</v>
      </c>
      <c r="M48" s="60">
        <v>0.0</v>
      </c>
      <c r="N48" s="13">
        <f t="shared" si="14"/>
        <v>0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60">
        <v>0.0</v>
      </c>
      <c r="N49" s="13">
        <f t="shared" si="14"/>
        <v>0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1.0</v>
      </c>
      <c r="G50" s="60">
        <v>0.0</v>
      </c>
      <c r="H50" s="60">
        <v>3.0</v>
      </c>
      <c r="I50" s="60">
        <v>0.0</v>
      </c>
      <c r="J50" s="60">
        <v>0.0</v>
      </c>
      <c r="K50" s="60">
        <v>1.0</v>
      </c>
      <c r="L50" s="60">
        <v>0.0</v>
      </c>
      <c r="M50" s="60">
        <v>0.0</v>
      </c>
      <c r="N50" s="13">
        <f t="shared" si="14"/>
        <v>5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1.0</v>
      </c>
      <c r="K51" s="60">
        <v>0.0</v>
      </c>
      <c r="L51" s="60">
        <v>0.0</v>
      </c>
      <c r="M51" s="60">
        <v>0.0</v>
      </c>
      <c r="N51" s="13">
        <f t="shared" si="14"/>
        <v>1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M52" si="15">SUM(E45:E51)</f>
        <v>63</v>
      </c>
      <c r="F52" s="64">
        <f t="shared" si="15"/>
        <v>51</v>
      </c>
      <c r="G52" s="64">
        <f t="shared" si="15"/>
        <v>15</v>
      </c>
      <c r="H52" s="64">
        <f t="shared" si="15"/>
        <v>19</v>
      </c>
      <c r="I52" s="64">
        <f t="shared" si="15"/>
        <v>25</v>
      </c>
      <c r="J52" s="64">
        <f t="shared" si="15"/>
        <v>35</v>
      </c>
      <c r="K52" s="64">
        <f t="shared" si="15"/>
        <v>89</v>
      </c>
      <c r="L52" s="64">
        <f t="shared" si="15"/>
        <v>109</v>
      </c>
      <c r="M52" s="64">
        <f t="shared" si="15"/>
        <v>135</v>
      </c>
      <c r="N52" s="13">
        <f t="shared" si="14"/>
        <v>541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7.0</v>
      </c>
      <c r="F54" s="60">
        <v>8.0</v>
      </c>
      <c r="G54" s="60">
        <v>8.0</v>
      </c>
      <c r="H54" s="60">
        <v>11.0</v>
      </c>
      <c r="I54" s="60">
        <v>6.0</v>
      </c>
      <c r="J54" s="60">
        <v>5.0</v>
      </c>
      <c r="K54" s="60">
        <v>20.0</v>
      </c>
      <c r="L54" s="60">
        <v>9.0</v>
      </c>
      <c r="M54" s="60">
        <v>4.0</v>
      </c>
      <c r="N54" s="13">
        <f t="shared" si="14"/>
        <v>78</v>
      </c>
    </row>
    <row r="55" ht="15.0" customHeight="1">
      <c r="A55" s="31" t="s">
        <v>39</v>
      </c>
      <c r="B55" s="57"/>
      <c r="C55" s="58" t="s">
        <v>48</v>
      </c>
      <c r="D55" s="59"/>
      <c r="E55" s="60">
        <v>9.0</v>
      </c>
      <c r="F55" s="60">
        <v>3.0</v>
      </c>
      <c r="G55" s="60">
        <v>1.0</v>
      </c>
      <c r="H55" s="60">
        <v>0.0</v>
      </c>
      <c r="I55" s="60">
        <v>1.0</v>
      </c>
      <c r="J55" s="60">
        <v>1.0</v>
      </c>
      <c r="K55" s="60">
        <v>4.0</v>
      </c>
      <c r="L55" s="60">
        <v>2.0</v>
      </c>
      <c r="M55" s="60">
        <v>1.0</v>
      </c>
      <c r="N55" s="13">
        <f t="shared" si="14"/>
        <v>22</v>
      </c>
    </row>
    <row r="56" ht="12.75" customHeight="1">
      <c r="A56" s="18"/>
      <c r="B56" s="57"/>
      <c r="C56" s="58" t="s">
        <v>49</v>
      </c>
      <c r="D56" s="59"/>
      <c r="E56" s="60">
        <v>28.0</v>
      </c>
      <c r="F56" s="60">
        <v>11.0</v>
      </c>
      <c r="G56" s="60">
        <v>16.0</v>
      </c>
      <c r="H56" s="60">
        <v>20.0</v>
      </c>
      <c r="I56" s="60">
        <v>17.0</v>
      </c>
      <c r="J56" s="60">
        <v>22.0</v>
      </c>
      <c r="K56" s="60">
        <v>25.0</v>
      </c>
      <c r="L56" s="60">
        <v>11.0</v>
      </c>
      <c r="M56" s="60">
        <v>1.0</v>
      </c>
      <c r="N56" s="13">
        <f t="shared" si="14"/>
        <v>151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0.0</v>
      </c>
      <c r="G57" s="60">
        <v>1.0</v>
      </c>
      <c r="H57" s="60">
        <v>1.0</v>
      </c>
      <c r="I57" s="60">
        <v>1.0</v>
      </c>
      <c r="J57" s="60">
        <v>0.0</v>
      </c>
      <c r="K57" s="60">
        <v>0.0</v>
      </c>
      <c r="L57" s="60">
        <v>2.0</v>
      </c>
      <c r="M57" s="60">
        <v>0.0</v>
      </c>
      <c r="N57" s="13">
        <f t="shared" si="14"/>
        <v>5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1.0</v>
      </c>
      <c r="H58" s="60">
        <v>0.0</v>
      </c>
      <c r="I58" s="60">
        <v>0.0</v>
      </c>
      <c r="J58" s="60">
        <v>1.0</v>
      </c>
      <c r="K58" s="60">
        <v>0.0</v>
      </c>
      <c r="L58" s="60">
        <v>1.0</v>
      </c>
      <c r="M58" s="60">
        <v>1.0</v>
      </c>
      <c r="N58" s="13">
        <f t="shared" si="14"/>
        <v>4</v>
      </c>
    </row>
    <row r="59" ht="12.75" customHeight="1">
      <c r="A59" s="18"/>
      <c r="B59" s="57"/>
      <c r="C59" s="58" t="s">
        <v>52</v>
      </c>
      <c r="D59" s="59"/>
      <c r="E59" s="60">
        <v>0.0</v>
      </c>
      <c r="F59" s="60">
        <v>0.0</v>
      </c>
      <c r="G59" s="60">
        <v>1.0</v>
      </c>
      <c r="H59" s="60">
        <v>1.0</v>
      </c>
      <c r="I59" s="60">
        <v>2.0</v>
      </c>
      <c r="J59" s="60">
        <v>9.0</v>
      </c>
      <c r="K59" s="60">
        <v>0.0</v>
      </c>
      <c r="L59" s="60">
        <v>0.0</v>
      </c>
      <c r="M59" s="60">
        <v>0.0</v>
      </c>
      <c r="N59" s="13">
        <f t="shared" si="14"/>
        <v>13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13">
        <f t="shared" si="14"/>
        <v>0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M61" si="16">SUM(E54:E60)</f>
        <v>44</v>
      </c>
      <c r="F61" s="64">
        <f t="shared" si="16"/>
        <v>22</v>
      </c>
      <c r="G61" s="64">
        <f t="shared" si="16"/>
        <v>28</v>
      </c>
      <c r="H61" s="64">
        <f t="shared" si="16"/>
        <v>33</v>
      </c>
      <c r="I61" s="64">
        <f t="shared" si="16"/>
        <v>27</v>
      </c>
      <c r="J61" s="64">
        <f t="shared" si="16"/>
        <v>38</v>
      </c>
      <c r="K61" s="64">
        <f t="shared" si="16"/>
        <v>49</v>
      </c>
      <c r="L61" s="64">
        <f t="shared" si="16"/>
        <v>25</v>
      </c>
      <c r="M61" s="64">
        <f t="shared" si="16"/>
        <v>7</v>
      </c>
      <c r="N61" s="13">
        <f t="shared" si="14"/>
        <v>273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3.0</v>
      </c>
      <c r="F63" s="60">
        <v>1.0</v>
      </c>
      <c r="G63" s="60">
        <v>5.0</v>
      </c>
      <c r="H63" s="60">
        <v>2.0</v>
      </c>
      <c r="I63" s="60">
        <v>2.0</v>
      </c>
      <c r="J63" s="60">
        <v>0.0</v>
      </c>
      <c r="K63" s="60">
        <v>1.0</v>
      </c>
      <c r="L63" s="60">
        <v>1.0</v>
      </c>
      <c r="M63" s="60">
        <v>6.0</v>
      </c>
      <c r="N63" s="13">
        <f t="shared" si="14"/>
        <v>21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2.0</v>
      </c>
      <c r="F64" s="60">
        <v>0.0</v>
      </c>
      <c r="G64" s="60">
        <v>5.0</v>
      </c>
      <c r="H64" s="60">
        <v>2.0</v>
      </c>
      <c r="I64" s="60">
        <v>0.0</v>
      </c>
      <c r="J64" s="60">
        <v>0.0</v>
      </c>
      <c r="K64" s="60">
        <v>1.0</v>
      </c>
      <c r="L64" s="60">
        <v>0.0</v>
      </c>
      <c r="M64" s="60">
        <v>0.0</v>
      </c>
      <c r="N64" s="13">
        <f t="shared" si="14"/>
        <v>10</v>
      </c>
    </row>
    <row r="65" ht="12.75" customHeight="1">
      <c r="A65" s="18"/>
      <c r="B65" s="57"/>
      <c r="C65" s="58" t="s">
        <v>56</v>
      </c>
      <c r="D65" s="59"/>
      <c r="E65" s="60">
        <v>1.0</v>
      </c>
      <c r="F65" s="60">
        <v>0.0</v>
      </c>
      <c r="G65" s="60">
        <v>0.0</v>
      </c>
      <c r="H65" s="60">
        <v>1.0</v>
      </c>
      <c r="I65" s="60">
        <v>0.0</v>
      </c>
      <c r="J65" s="60">
        <v>1.0</v>
      </c>
      <c r="K65" s="60">
        <v>0.0</v>
      </c>
      <c r="L65" s="60">
        <v>1.0</v>
      </c>
      <c r="M65" s="60">
        <v>0.0</v>
      </c>
      <c r="N65" s="13">
        <f t="shared" si="14"/>
        <v>4</v>
      </c>
    </row>
    <row r="66" ht="12.75" customHeight="1">
      <c r="A66" s="18"/>
      <c r="B66" s="57"/>
      <c r="C66" s="58" t="s">
        <v>57</v>
      </c>
      <c r="D66" s="59"/>
      <c r="E66" s="60">
        <v>0.0</v>
      </c>
      <c r="F66" s="60">
        <v>0.0</v>
      </c>
      <c r="G66" s="60">
        <v>1.0</v>
      </c>
      <c r="H66" s="60">
        <v>2.0</v>
      </c>
      <c r="I66" s="60">
        <v>0.0</v>
      </c>
      <c r="J66" s="60">
        <v>1.0</v>
      </c>
      <c r="K66" s="60">
        <v>1.0</v>
      </c>
      <c r="L66" s="60">
        <v>0.0</v>
      </c>
      <c r="M66" s="60">
        <v>2.0</v>
      </c>
      <c r="N66" s="13">
        <f t="shared" si="14"/>
        <v>7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1.0</v>
      </c>
      <c r="H67" s="60">
        <v>0.0</v>
      </c>
      <c r="I67" s="60">
        <v>0.0</v>
      </c>
      <c r="J67" s="60">
        <v>0.0</v>
      </c>
      <c r="K67" s="60">
        <v>0.0</v>
      </c>
      <c r="L67" s="60">
        <v>1.0</v>
      </c>
      <c r="M67" s="60">
        <v>0.0</v>
      </c>
      <c r="N67" s="13">
        <f t="shared" si="14"/>
        <v>2</v>
      </c>
    </row>
    <row r="68" ht="12.75" customHeight="1">
      <c r="A68" s="18"/>
      <c r="B68" s="57"/>
      <c r="C68" s="58" t="s">
        <v>59</v>
      </c>
      <c r="D68" s="59"/>
      <c r="E68" s="60">
        <v>11.0</v>
      </c>
      <c r="F68" s="60">
        <v>5.0</v>
      </c>
      <c r="G68" s="60">
        <v>6.0</v>
      </c>
      <c r="H68" s="60">
        <v>3.0</v>
      </c>
      <c r="I68" s="60">
        <v>7.0</v>
      </c>
      <c r="J68" s="60">
        <v>1.0</v>
      </c>
      <c r="K68" s="60">
        <v>0.0</v>
      </c>
      <c r="L68" s="60">
        <v>1.0</v>
      </c>
      <c r="M68" s="60">
        <v>2.0</v>
      </c>
      <c r="N68" s="13">
        <f t="shared" si="14"/>
        <v>36</v>
      </c>
    </row>
    <row r="69" ht="12.75" customHeight="1">
      <c r="A69" s="18"/>
      <c r="B69" s="57"/>
      <c r="C69" s="58" t="s">
        <v>60</v>
      </c>
      <c r="D69" s="59"/>
      <c r="E69" s="60">
        <v>20.0</v>
      </c>
      <c r="F69" s="60">
        <v>22.0</v>
      </c>
      <c r="G69" s="60">
        <v>0.0</v>
      </c>
      <c r="H69" s="60">
        <v>1.0</v>
      </c>
      <c r="I69" s="60">
        <v>1.0</v>
      </c>
      <c r="J69" s="60">
        <v>1.0</v>
      </c>
      <c r="K69" s="60">
        <v>0.0</v>
      </c>
      <c r="L69" s="60">
        <v>7.0</v>
      </c>
      <c r="M69" s="60">
        <v>0.0</v>
      </c>
      <c r="N69" s="13">
        <f t="shared" si="14"/>
        <v>52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M70" si="17">SUM(E63:E69)</f>
        <v>37</v>
      </c>
      <c r="F70" s="64">
        <f t="shared" si="17"/>
        <v>28</v>
      </c>
      <c r="G70" s="64">
        <f t="shared" si="17"/>
        <v>18</v>
      </c>
      <c r="H70" s="64">
        <f t="shared" si="17"/>
        <v>11</v>
      </c>
      <c r="I70" s="64">
        <f t="shared" si="17"/>
        <v>10</v>
      </c>
      <c r="J70" s="64">
        <f t="shared" si="17"/>
        <v>4</v>
      </c>
      <c r="K70" s="64">
        <f t="shared" si="17"/>
        <v>3</v>
      </c>
      <c r="L70" s="64">
        <f t="shared" si="17"/>
        <v>11</v>
      </c>
      <c r="M70" s="64">
        <f t="shared" si="17"/>
        <v>10</v>
      </c>
      <c r="N70" s="13">
        <f t="shared" si="14"/>
        <v>132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4.0</v>
      </c>
      <c r="F72" s="60">
        <v>2.0</v>
      </c>
      <c r="G72" s="60">
        <v>8.0</v>
      </c>
      <c r="H72" s="60">
        <v>5.0</v>
      </c>
      <c r="I72" s="60">
        <v>5.0</v>
      </c>
      <c r="J72" s="60">
        <v>2.0</v>
      </c>
      <c r="K72" s="60">
        <v>4.0</v>
      </c>
      <c r="L72" s="60">
        <v>1.0</v>
      </c>
      <c r="M72" s="60">
        <v>3.0</v>
      </c>
      <c r="N72" s="13">
        <f t="shared" si="14"/>
        <v>34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11.0</v>
      </c>
      <c r="F73" s="60">
        <v>14.0</v>
      </c>
      <c r="G73" s="60">
        <v>0.0</v>
      </c>
      <c r="H73" s="60">
        <v>6.0</v>
      </c>
      <c r="I73" s="60">
        <v>4.0</v>
      </c>
      <c r="J73" s="60">
        <v>4.0</v>
      </c>
      <c r="K73" s="60">
        <v>3.0</v>
      </c>
      <c r="L73" s="60">
        <v>8.0</v>
      </c>
      <c r="M73" s="60">
        <v>1.0</v>
      </c>
      <c r="N73" s="13">
        <f t="shared" si="14"/>
        <v>51</v>
      </c>
    </row>
    <row r="74" ht="12.75" customHeight="1">
      <c r="A74" s="18"/>
      <c r="B74" s="57"/>
      <c r="C74" s="58" t="s">
        <v>63</v>
      </c>
      <c r="D74" s="59"/>
      <c r="E74" s="60">
        <v>1.0</v>
      </c>
      <c r="F74" s="60">
        <v>0.0</v>
      </c>
      <c r="G74" s="60">
        <v>1.0</v>
      </c>
      <c r="H74" s="60">
        <v>0.0</v>
      </c>
      <c r="I74" s="60">
        <v>0.0</v>
      </c>
      <c r="J74" s="60">
        <v>0.0</v>
      </c>
      <c r="K74" s="60">
        <v>0.0</v>
      </c>
      <c r="L74" s="60">
        <v>0.0</v>
      </c>
      <c r="M74" s="60">
        <v>1.0</v>
      </c>
      <c r="N74" s="13">
        <f t="shared" si="14"/>
        <v>3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0.0</v>
      </c>
      <c r="G75" s="60">
        <v>0.0</v>
      </c>
      <c r="H75" s="60">
        <v>0.0</v>
      </c>
      <c r="I75" s="60">
        <v>4.0</v>
      </c>
      <c r="J75" s="60">
        <v>0.0</v>
      </c>
      <c r="K75" s="60">
        <v>0.0</v>
      </c>
      <c r="L75" s="60">
        <v>0.0</v>
      </c>
      <c r="M75" s="60">
        <v>0.0</v>
      </c>
      <c r="N75" s="13">
        <f t="shared" si="14"/>
        <v>4</v>
      </c>
    </row>
    <row r="76" ht="12.75" customHeight="1">
      <c r="A76" s="18"/>
      <c r="B76" s="57"/>
      <c r="C76" s="58" t="s">
        <v>65</v>
      </c>
      <c r="D76" s="59"/>
      <c r="E76" s="60">
        <v>13.0</v>
      </c>
      <c r="F76" s="60">
        <v>26.0</v>
      </c>
      <c r="G76" s="60">
        <v>39.0</v>
      </c>
      <c r="H76" s="60">
        <v>11.0</v>
      </c>
      <c r="I76" s="60">
        <v>21.0</v>
      </c>
      <c r="J76" s="60">
        <v>41.0</v>
      </c>
      <c r="K76" s="60">
        <v>11.0</v>
      </c>
      <c r="L76" s="60">
        <v>3.0</v>
      </c>
      <c r="M76" s="60">
        <v>8.0</v>
      </c>
      <c r="N76" s="13">
        <f t="shared" si="14"/>
        <v>173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2.0</v>
      </c>
      <c r="H77" s="60">
        <v>1.0</v>
      </c>
      <c r="I77" s="60">
        <v>0.0</v>
      </c>
      <c r="J77" s="60">
        <v>1.0</v>
      </c>
      <c r="K77" s="60">
        <v>0.0</v>
      </c>
      <c r="L77" s="60">
        <v>0.0</v>
      </c>
      <c r="M77" s="60">
        <v>0.0</v>
      </c>
      <c r="N77" s="13">
        <f t="shared" si="14"/>
        <v>4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13">
        <f t="shared" si="14"/>
        <v>0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M79" si="18">SUM(E72:E78)</f>
        <v>29</v>
      </c>
      <c r="F79" s="64">
        <f t="shared" si="18"/>
        <v>42</v>
      </c>
      <c r="G79" s="64">
        <f t="shared" si="18"/>
        <v>50</v>
      </c>
      <c r="H79" s="64">
        <f t="shared" si="18"/>
        <v>23</v>
      </c>
      <c r="I79" s="64">
        <f t="shared" si="18"/>
        <v>34</v>
      </c>
      <c r="J79" s="64">
        <f t="shared" si="18"/>
        <v>48</v>
      </c>
      <c r="K79" s="64">
        <f t="shared" si="18"/>
        <v>18</v>
      </c>
      <c r="L79" s="64">
        <f t="shared" si="18"/>
        <v>12</v>
      </c>
      <c r="M79" s="64">
        <f t="shared" si="18"/>
        <v>13</v>
      </c>
      <c r="N79" s="13">
        <f t="shared" si="14"/>
        <v>269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0.0</v>
      </c>
      <c r="F81" s="60">
        <v>0.0</v>
      </c>
      <c r="G81" s="60">
        <v>5.0</v>
      </c>
      <c r="H81" s="60">
        <v>3.0</v>
      </c>
      <c r="I81" s="60">
        <v>5.0</v>
      </c>
      <c r="J81" s="60">
        <v>2.0</v>
      </c>
      <c r="K81" s="60">
        <v>0.0</v>
      </c>
      <c r="L81" s="60">
        <v>1.0</v>
      </c>
      <c r="M81" s="60">
        <v>0.0</v>
      </c>
      <c r="N81" s="13">
        <f t="shared" si="14"/>
        <v>16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1.0</v>
      </c>
      <c r="F82" s="60">
        <v>8.0</v>
      </c>
      <c r="G82" s="60">
        <v>0.0</v>
      </c>
      <c r="H82" s="60">
        <v>2.0</v>
      </c>
      <c r="I82" s="60">
        <v>4.0</v>
      </c>
      <c r="J82" s="60">
        <v>11.0</v>
      </c>
      <c r="K82" s="60">
        <v>6.0</v>
      </c>
      <c r="L82" s="60">
        <v>8.0</v>
      </c>
      <c r="M82" s="60">
        <v>0.0</v>
      </c>
      <c r="N82" s="13">
        <f t="shared" si="14"/>
        <v>40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1.0</v>
      </c>
      <c r="H83" s="60">
        <v>0.0</v>
      </c>
      <c r="I83" s="60">
        <v>0.0</v>
      </c>
      <c r="J83" s="60">
        <v>0.0</v>
      </c>
      <c r="K83" s="60">
        <v>0.0</v>
      </c>
      <c r="L83" s="60">
        <v>0.0</v>
      </c>
      <c r="M83" s="60">
        <v>0.0</v>
      </c>
      <c r="N83" s="13">
        <f t="shared" si="14"/>
        <v>1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2.0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13">
        <f t="shared" si="14"/>
        <v>2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2.0</v>
      </c>
      <c r="H85" s="60">
        <v>1.0</v>
      </c>
      <c r="I85" s="60">
        <v>0.0</v>
      </c>
      <c r="J85" s="60">
        <v>0.0</v>
      </c>
      <c r="K85" s="60">
        <v>0.0</v>
      </c>
      <c r="L85" s="60">
        <v>0.0</v>
      </c>
      <c r="M85" s="60">
        <v>0.0</v>
      </c>
      <c r="N85" s="13">
        <f t="shared" si="14"/>
        <v>3</v>
      </c>
    </row>
    <row r="86" ht="12.75" customHeight="1">
      <c r="A86" s="18"/>
      <c r="B86" s="57"/>
      <c r="C86" s="58" t="s">
        <v>74</v>
      </c>
      <c r="D86" s="59"/>
      <c r="E86" s="60">
        <v>0.0</v>
      </c>
      <c r="F86" s="60">
        <v>2.0</v>
      </c>
      <c r="G86" s="60">
        <v>41.0</v>
      </c>
      <c r="H86" s="60">
        <v>33.0</v>
      </c>
      <c r="I86" s="60">
        <v>15.0</v>
      </c>
      <c r="J86" s="60">
        <v>0.0</v>
      </c>
      <c r="K86" s="60">
        <v>0.0</v>
      </c>
      <c r="L86" s="60">
        <v>0.0</v>
      </c>
      <c r="M86" s="60">
        <v>0.0</v>
      </c>
      <c r="N86" s="13">
        <f t="shared" si="14"/>
        <v>91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13">
        <f t="shared" si="14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M88" si="19">SUM(E81:E87)</f>
        <v>1</v>
      </c>
      <c r="F88" s="64">
        <f t="shared" si="19"/>
        <v>10</v>
      </c>
      <c r="G88" s="64">
        <f t="shared" si="19"/>
        <v>51</v>
      </c>
      <c r="H88" s="64">
        <f t="shared" si="19"/>
        <v>39</v>
      </c>
      <c r="I88" s="64">
        <f t="shared" si="19"/>
        <v>24</v>
      </c>
      <c r="J88" s="64">
        <f t="shared" si="19"/>
        <v>13</v>
      </c>
      <c r="K88" s="64">
        <f t="shared" si="19"/>
        <v>6</v>
      </c>
      <c r="L88" s="64">
        <f t="shared" si="19"/>
        <v>9</v>
      </c>
      <c r="M88" s="64">
        <f t="shared" si="19"/>
        <v>0</v>
      </c>
      <c r="N88" s="13">
        <f t="shared" si="14"/>
        <v>153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1.0</v>
      </c>
      <c r="G90" s="60">
        <v>0.0</v>
      </c>
      <c r="H90" s="60">
        <v>0.0</v>
      </c>
      <c r="I90" s="60">
        <v>1.0</v>
      </c>
      <c r="J90" s="60">
        <v>1.0</v>
      </c>
      <c r="K90" s="60">
        <v>0.0</v>
      </c>
      <c r="L90" s="60">
        <v>0.0</v>
      </c>
      <c r="M90" s="60">
        <v>0.0</v>
      </c>
      <c r="N90" s="13">
        <f t="shared" si="14"/>
        <v>3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1.0</v>
      </c>
      <c r="J91" s="60">
        <v>0.0</v>
      </c>
      <c r="K91" s="60">
        <v>0.0</v>
      </c>
      <c r="L91" s="60">
        <v>0.0</v>
      </c>
      <c r="M91" s="60">
        <v>0.0</v>
      </c>
      <c r="N91" s="13">
        <f t="shared" si="14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M92" si="20">SUM(E90:E91)</f>
        <v>0</v>
      </c>
      <c r="F92" s="64">
        <f t="shared" si="20"/>
        <v>1</v>
      </c>
      <c r="G92" s="64">
        <f t="shared" si="20"/>
        <v>0</v>
      </c>
      <c r="H92" s="64">
        <f t="shared" si="20"/>
        <v>0</v>
      </c>
      <c r="I92" s="64">
        <f t="shared" si="20"/>
        <v>2</v>
      </c>
      <c r="J92" s="64">
        <f t="shared" si="20"/>
        <v>1</v>
      </c>
      <c r="K92" s="64">
        <f t="shared" si="20"/>
        <v>0</v>
      </c>
      <c r="L92" s="64">
        <f t="shared" si="20"/>
        <v>0</v>
      </c>
      <c r="M92" s="64">
        <f t="shared" si="20"/>
        <v>0</v>
      </c>
      <c r="N92" s="13">
        <f t="shared" si="14"/>
        <v>4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2.0</v>
      </c>
      <c r="F94" s="60">
        <v>2.0</v>
      </c>
      <c r="G94" s="60">
        <v>0.0</v>
      </c>
      <c r="H94" s="60">
        <v>5.0</v>
      </c>
      <c r="I94" s="60">
        <v>2.0</v>
      </c>
      <c r="J94" s="60">
        <v>3.0</v>
      </c>
      <c r="K94" s="60">
        <v>0.0</v>
      </c>
      <c r="L94" s="60">
        <v>2.0</v>
      </c>
      <c r="M94" s="60">
        <v>1.0</v>
      </c>
      <c r="N94" s="13">
        <f t="shared" si="14"/>
        <v>17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6.0</v>
      </c>
      <c r="F95" s="60">
        <v>8.0</v>
      </c>
      <c r="G95" s="60">
        <v>3.0</v>
      </c>
      <c r="H95" s="60">
        <v>16.0</v>
      </c>
      <c r="I95" s="60">
        <v>19.0</v>
      </c>
      <c r="J95" s="60">
        <v>22.0</v>
      </c>
      <c r="K95" s="60">
        <v>6.0</v>
      </c>
      <c r="L95" s="60">
        <v>7.0</v>
      </c>
      <c r="M95" s="60">
        <v>26.0</v>
      </c>
      <c r="N95" s="13">
        <f t="shared" si="14"/>
        <v>113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1.0</v>
      </c>
      <c r="I96" s="60">
        <v>1.0</v>
      </c>
      <c r="J96" s="60">
        <v>0.0</v>
      </c>
      <c r="K96" s="60">
        <v>0.0</v>
      </c>
      <c r="L96" s="60">
        <v>0.0</v>
      </c>
      <c r="M96" s="60">
        <v>0.0</v>
      </c>
      <c r="N96" s="13">
        <f t="shared" si="14"/>
        <v>2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1.0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0.0</v>
      </c>
      <c r="M99" s="60">
        <v>0.0</v>
      </c>
      <c r="N99" s="13">
        <f t="shared" si="14"/>
        <v>1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M101" si="21">SUM(E94:E100)</f>
        <v>8</v>
      </c>
      <c r="F101" s="64">
        <f t="shared" si="21"/>
        <v>11</v>
      </c>
      <c r="G101" s="64">
        <f t="shared" si="21"/>
        <v>3</v>
      </c>
      <c r="H101" s="64">
        <f t="shared" si="21"/>
        <v>22</v>
      </c>
      <c r="I101" s="64">
        <f t="shared" si="21"/>
        <v>22</v>
      </c>
      <c r="J101" s="64">
        <f t="shared" si="21"/>
        <v>25</v>
      </c>
      <c r="K101" s="64">
        <f t="shared" si="21"/>
        <v>6</v>
      </c>
      <c r="L101" s="64">
        <f t="shared" si="21"/>
        <v>9</v>
      </c>
      <c r="M101" s="64">
        <f t="shared" si="21"/>
        <v>27</v>
      </c>
      <c r="N101" s="13">
        <f t="shared" si="14"/>
        <v>133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2.0</v>
      </c>
      <c r="F103" s="60">
        <v>2.0</v>
      </c>
      <c r="G103" s="60">
        <v>0.0</v>
      </c>
      <c r="H103" s="60">
        <v>0.0</v>
      </c>
      <c r="I103" s="60">
        <v>0.0</v>
      </c>
      <c r="J103" s="60">
        <v>0.0</v>
      </c>
      <c r="K103" s="60">
        <v>0.0</v>
      </c>
      <c r="L103" s="60">
        <v>1.0</v>
      </c>
      <c r="M103" s="60">
        <v>0.0</v>
      </c>
      <c r="N103" s="13">
        <f t="shared" si="14"/>
        <v>5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12.0</v>
      </c>
      <c r="F104" s="60">
        <v>23.0</v>
      </c>
      <c r="G104" s="60">
        <v>6.0</v>
      </c>
      <c r="H104" s="60">
        <v>2.0</v>
      </c>
      <c r="I104" s="60">
        <v>0.0</v>
      </c>
      <c r="J104" s="60">
        <v>4.0</v>
      </c>
      <c r="K104" s="60">
        <v>7.0</v>
      </c>
      <c r="L104" s="60">
        <v>10.0</v>
      </c>
      <c r="M104" s="60">
        <v>2.0</v>
      </c>
      <c r="N104" s="13">
        <f t="shared" si="14"/>
        <v>66</v>
      </c>
    </row>
    <row r="105" ht="12.75" customHeight="1">
      <c r="A105" s="18"/>
      <c r="B105" s="57"/>
      <c r="C105" s="58" t="s">
        <v>90</v>
      </c>
      <c r="D105" s="59"/>
      <c r="E105" s="60">
        <v>2.0</v>
      </c>
      <c r="F105" s="60">
        <v>1.0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13">
        <f t="shared" si="14"/>
        <v>3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1.0</v>
      </c>
      <c r="J106" s="60">
        <v>0.0</v>
      </c>
      <c r="K106" s="60">
        <v>0.0</v>
      </c>
      <c r="L106" s="60">
        <v>0.0</v>
      </c>
      <c r="M106" s="60">
        <v>0.0</v>
      </c>
      <c r="N106" s="13">
        <f t="shared" si="14"/>
        <v>1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13">
        <f t="shared" si="14"/>
        <v>0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1.0</v>
      </c>
      <c r="F109" s="60">
        <v>0.0</v>
      </c>
      <c r="G109" s="60">
        <v>0.0</v>
      </c>
      <c r="H109" s="60">
        <v>0.0</v>
      </c>
      <c r="I109" s="60">
        <v>0.0</v>
      </c>
      <c r="J109" s="60">
        <v>0.0</v>
      </c>
      <c r="K109" s="60">
        <v>0.0</v>
      </c>
      <c r="L109" s="60">
        <v>0.0</v>
      </c>
      <c r="M109" s="60">
        <v>0.0</v>
      </c>
      <c r="N109" s="13">
        <f t="shared" si="14"/>
        <v>1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M110" si="22">SUM(E103:E109)</f>
        <v>17</v>
      </c>
      <c r="F110" s="64">
        <f t="shared" si="22"/>
        <v>26</v>
      </c>
      <c r="G110" s="64">
        <f t="shared" si="22"/>
        <v>6</v>
      </c>
      <c r="H110" s="64">
        <f t="shared" si="22"/>
        <v>2</v>
      </c>
      <c r="I110" s="64">
        <f t="shared" si="22"/>
        <v>1</v>
      </c>
      <c r="J110" s="64">
        <f t="shared" si="22"/>
        <v>4</v>
      </c>
      <c r="K110" s="64">
        <f t="shared" si="22"/>
        <v>7</v>
      </c>
      <c r="L110" s="64">
        <f t="shared" si="22"/>
        <v>11</v>
      </c>
      <c r="M110" s="64">
        <f t="shared" si="22"/>
        <v>2</v>
      </c>
      <c r="N110" s="13">
        <f t="shared" si="14"/>
        <v>76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13">
        <f t="shared" si="14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M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0</v>
      </c>
      <c r="N114" s="13">
        <f t="shared" si="14"/>
        <v>0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0.0</v>
      </c>
      <c r="I116" s="60">
        <v>1.0</v>
      </c>
      <c r="J116" s="60">
        <v>0.0</v>
      </c>
      <c r="K116" s="60">
        <v>0.0</v>
      </c>
      <c r="L116" s="60">
        <v>0.0</v>
      </c>
      <c r="M116" s="60">
        <v>0.0</v>
      </c>
      <c r="N116" s="13">
        <f t="shared" si="14"/>
        <v>1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5.0</v>
      </c>
      <c r="G117" s="60">
        <v>0.0</v>
      </c>
      <c r="H117" s="60">
        <v>2.0</v>
      </c>
      <c r="I117" s="60">
        <v>10.0</v>
      </c>
      <c r="J117" s="60">
        <v>0.0</v>
      </c>
      <c r="K117" s="60">
        <v>0.0</v>
      </c>
      <c r="L117" s="60">
        <v>0.0</v>
      </c>
      <c r="M117" s="60">
        <v>0.0</v>
      </c>
      <c r="N117" s="13">
        <f t="shared" si="14"/>
        <v>17</v>
      </c>
      <c r="P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1.0</v>
      </c>
      <c r="L118" s="60">
        <v>0.0</v>
      </c>
      <c r="M118" s="60">
        <v>0.0</v>
      </c>
      <c r="N118" s="13">
        <f t="shared" si="14"/>
        <v>1</v>
      </c>
      <c r="P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13">
        <f t="shared" si="14"/>
        <v>0</v>
      </c>
      <c r="P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13">
        <f t="shared" si="14"/>
        <v>0</v>
      </c>
      <c r="P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13">
        <f t="shared" si="14"/>
        <v>0</v>
      </c>
      <c r="P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13">
        <f t="shared" si="14"/>
        <v>0</v>
      </c>
      <c r="P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M123" si="24">SUM(E116:E122)</f>
        <v>0</v>
      </c>
      <c r="F123" s="64">
        <f t="shared" si="24"/>
        <v>5</v>
      </c>
      <c r="G123" s="64">
        <f t="shared" si="24"/>
        <v>0</v>
      </c>
      <c r="H123" s="64">
        <f t="shared" si="24"/>
        <v>2</v>
      </c>
      <c r="I123" s="64">
        <f t="shared" si="24"/>
        <v>11</v>
      </c>
      <c r="J123" s="64">
        <f t="shared" si="24"/>
        <v>0</v>
      </c>
      <c r="K123" s="64">
        <f t="shared" si="24"/>
        <v>1</v>
      </c>
      <c r="L123" s="64">
        <f t="shared" si="24"/>
        <v>0</v>
      </c>
      <c r="M123" s="64">
        <f t="shared" si="24"/>
        <v>0</v>
      </c>
      <c r="N123" s="13">
        <f t="shared" si="14"/>
        <v>19</v>
      </c>
      <c r="P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13">
        <f t="shared" si="14"/>
        <v>0</v>
      </c>
      <c r="P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1.0</v>
      </c>
      <c r="J125" s="60">
        <v>0.0</v>
      </c>
      <c r="K125" s="60">
        <v>1.0</v>
      </c>
      <c r="L125" s="60">
        <v>0.0</v>
      </c>
      <c r="M125" s="60">
        <v>0.0</v>
      </c>
      <c r="N125" s="13">
        <f t="shared" si="14"/>
        <v>2</v>
      </c>
      <c r="P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3">
        <f t="shared" si="14"/>
        <v>0</v>
      </c>
      <c r="P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M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1</v>
      </c>
      <c r="J127" s="64">
        <f t="shared" si="25"/>
        <v>0</v>
      </c>
      <c r="K127" s="64">
        <f t="shared" si="25"/>
        <v>1</v>
      </c>
      <c r="L127" s="64">
        <f t="shared" si="25"/>
        <v>0</v>
      </c>
      <c r="M127" s="64">
        <f t="shared" si="25"/>
        <v>0</v>
      </c>
      <c r="N127" s="13">
        <f t="shared" si="14"/>
        <v>2</v>
      </c>
      <c r="P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13">
        <f t="shared" si="14"/>
        <v>0</v>
      </c>
      <c r="P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1.0</v>
      </c>
      <c r="F129" s="60">
        <v>2.0</v>
      </c>
      <c r="G129" s="60">
        <v>0.0</v>
      </c>
      <c r="H129" s="60">
        <v>1.0</v>
      </c>
      <c r="I129" s="60">
        <v>0.0</v>
      </c>
      <c r="J129" s="60">
        <v>0.0</v>
      </c>
      <c r="K129" s="60">
        <v>0.0</v>
      </c>
      <c r="L129" s="60">
        <v>0.0</v>
      </c>
      <c r="M129" s="60">
        <v>0.0</v>
      </c>
      <c r="N129" s="13">
        <f t="shared" si="14"/>
        <v>4</v>
      </c>
      <c r="P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1.0</v>
      </c>
      <c r="F130" s="60">
        <v>5.0</v>
      </c>
      <c r="G130" s="60">
        <v>0.0</v>
      </c>
      <c r="H130" s="60">
        <v>3.0</v>
      </c>
      <c r="I130" s="60">
        <v>3.0</v>
      </c>
      <c r="J130" s="60">
        <v>1.0</v>
      </c>
      <c r="K130" s="60">
        <v>0.0</v>
      </c>
      <c r="L130" s="60">
        <v>0.0</v>
      </c>
      <c r="M130" s="60">
        <v>0.0</v>
      </c>
      <c r="N130" s="13">
        <f t="shared" si="14"/>
        <v>13</v>
      </c>
      <c r="P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13">
        <f t="shared" si="14"/>
        <v>0</v>
      </c>
      <c r="P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13">
        <f t="shared" si="14"/>
        <v>0</v>
      </c>
      <c r="P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13">
        <f t="shared" si="14"/>
        <v>0</v>
      </c>
      <c r="P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0.0</v>
      </c>
      <c r="K134" s="60">
        <v>0.0</v>
      </c>
      <c r="L134" s="60">
        <v>0.0</v>
      </c>
      <c r="M134" s="60">
        <v>0.0</v>
      </c>
      <c r="N134" s="13">
        <f t="shared" si="14"/>
        <v>0</v>
      </c>
      <c r="P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13">
        <f t="shared" si="14"/>
        <v>0</v>
      </c>
      <c r="P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M136" si="26">SUM(E129:E135)</f>
        <v>2</v>
      </c>
      <c r="F136" s="64">
        <f t="shared" si="26"/>
        <v>7</v>
      </c>
      <c r="G136" s="64">
        <f t="shared" si="26"/>
        <v>0</v>
      </c>
      <c r="H136" s="64">
        <f t="shared" si="26"/>
        <v>4</v>
      </c>
      <c r="I136" s="64">
        <f t="shared" si="26"/>
        <v>3</v>
      </c>
      <c r="J136" s="64">
        <f t="shared" si="26"/>
        <v>1</v>
      </c>
      <c r="K136" s="64">
        <f t="shared" si="26"/>
        <v>0</v>
      </c>
      <c r="L136" s="64">
        <f t="shared" si="26"/>
        <v>0</v>
      </c>
      <c r="M136" s="64">
        <f t="shared" si="26"/>
        <v>0</v>
      </c>
      <c r="N136" s="13">
        <f t="shared" si="14"/>
        <v>17</v>
      </c>
      <c r="P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13">
        <f t="shared" si="14"/>
        <v>0</v>
      </c>
      <c r="P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1.0</v>
      </c>
      <c r="H138" s="60">
        <v>0.0</v>
      </c>
      <c r="I138" s="60">
        <v>1.0</v>
      </c>
      <c r="J138" s="60">
        <v>0.0</v>
      </c>
      <c r="K138" s="60">
        <v>0.0</v>
      </c>
      <c r="L138" s="60">
        <v>0.0</v>
      </c>
      <c r="M138" s="60">
        <v>1.0</v>
      </c>
      <c r="N138" s="13">
        <f t="shared" si="14"/>
        <v>3</v>
      </c>
      <c r="P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1.0</v>
      </c>
      <c r="H139" s="60">
        <v>0.0</v>
      </c>
      <c r="I139" s="60">
        <v>6.0</v>
      </c>
      <c r="J139" s="60">
        <v>15.0</v>
      </c>
      <c r="K139" s="60">
        <v>0.0</v>
      </c>
      <c r="L139" s="60">
        <v>1.0</v>
      </c>
      <c r="M139" s="60">
        <v>5.0</v>
      </c>
      <c r="N139" s="13">
        <f t="shared" si="14"/>
        <v>28</v>
      </c>
      <c r="P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13">
        <f t="shared" si="14"/>
        <v>0</v>
      </c>
      <c r="P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13">
        <f t="shared" si="14"/>
        <v>0</v>
      </c>
      <c r="P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13">
        <f t="shared" si="14"/>
        <v>0</v>
      </c>
      <c r="P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13">
        <f t="shared" si="14"/>
        <v>0</v>
      </c>
      <c r="P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13">
        <f t="shared" si="14"/>
        <v>0</v>
      </c>
      <c r="P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M145" si="27">SUM(E138:E144)</f>
        <v>0</v>
      </c>
      <c r="F145" s="64">
        <f t="shared" si="27"/>
        <v>0</v>
      </c>
      <c r="G145" s="64">
        <f t="shared" si="27"/>
        <v>2</v>
      </c>
      <c r="H145" s="64">
        <f t="shared" si="27"/>
        <v>0</v>
      </c>
      <c r="I145" s="64">
        <f t="shared" si="27"/>
        <v>7</v>
      </c>
      <c r="J145" s="64">
        <f t="shared" si="27"/>
        <v>15</v>
      </c>
      <c r="K145" s="64">
        <f t="shared" si="27"/>
        <v>0</v>
      </c>
      <c r="L145" s="64">
        <f t="shared" si="27"/>
        <v>1</v>
      </c>
      <c r="M145" s="64">
        <f t="shared" si="27"/>
        <v>6</v>
      </c>
      <c r="N145" s="13">
        <f t="shared" si="14"/>
        <v>31</v>
      </c>
      <c r="P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13">
        <f t="shared" si="14"/>
        <v>0</v>
      </c>
      <c r="P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0.0</v>
      </c>
      <c r="F147" s="60">
        <v>0.0</v>
      </c>
      <c r="G147" s="60">
        <v>8.0</v>
      </c>
      <c r="H147" s="60">
        <v>9.0</v>
      </c>
      <c r="I147" s="60">
        <v>2.0</v>
      </c>
      <c r="J147" s="60">
        <v>4.0</v>
      </c>
      <c r="K147" s="60">
        <v>0.0</v>
      </c>
      <c r="L147" s="60">
        <v>1.0</v>
      </c>
      <c r="M147" s="60">
        <v>1.0</v>
      </c>
      <c r="N147" s="13">
        <f t="shared" si="14"/>
        <v>25</v>
      </c>
      <c r="P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0.0</v>
      </c>
      <c r="F148" s="60">
        <v>2.0</v>
      </c>
      <c r="G148" s="60">
        <v>2.0</v>
      </c>
      <c r="H148" s="60">
        <v>8.0</v>
      </c>
      <c r="I148" s="60">
        <v>4.0</v>
      </c>
      <c r="J148" s="60">
        <v>7.0</v>
      </c>
      <c r="K148" s="60">
        <v>0.0</v>
      </c>
      <c r="L148" s="60">
        <v>2.0</v>
      </c>
      <c r="M148" s="60">
        <v>0.0</v>
      </c>
      <c r="N148" s="13">
        <f t="shared" si="14"/>
        <v>25</v>
      </c>
      <c r="P148" s="5"/>
    </row>
    <row r="149" ht="12.75" customHeight="1">
      <c r="A149" s="18"/>
      <c r="B149" s="57"/>
      <c r="C149" s="58" t="s">
        <v>128</v>
      </c>
      <c r="D149" s="59"/>
      <c r="E149" s="60">
        <v>3.0</v>
      </c>
      <c r="F149" s="60">
        <v>5.0</v>
      </c>
      <c r="G149" s="60">
        <v>5.0</v>
      </c>
      <c r="H149" s="60">
        <v>45.0</v>
      </c>
      <c r="I149" s="60">
        <v>12.0</v>
      </c>
      <c r="J149" s="60">
        <v>25.0</v>
      </c>
      <c r="K149" s="60">
        <v>3.0</v>
      </c>
      <c r="L149" s="60">
        <v>11.0</v>
      </c>
      <c r="M149" s="60">
        <v>2.0</v>
      </c>
      <c r="N149" s="13">
        <f t="shared" si="14"/>
        <v>111</v>
      </c>
      <c r="P149" s="5"/>
    </row>
    <row r="150" ht="12.75" customHeight="1">
      <c r="A150" s="18"/>
      <c r="B150" s="57"/>
      <c r="C150" s="58" t="s">
        <v>129</v>
      </c>
      <c r="D150" s="59"/>
      <c r="E150" s="60">
        <v>3.0</v>
      </c>
      <c r="F150" s="60">
        <v>3.0</v>
      </c>
      <c r="G150" s="60">
        <v>13.0</v>
      </c>
      <c r="H150" s="60">
        <v>9.0</v>
      </c>
      <c r="I150" s="60">
        <v>6.0</v>
      </c>
      <c r="J150" s="60">
        <v>0.0</v>
      </c>
      <c r="K150" s="60">
        <v>0.0</v>
      </c>
      <c r="L150" s="60">
        <v>0.0</v>
      </c>
      <c r="M150" s="60">
        <v>4.0</v>
      </c>
      <c r="N150" s="13">
        <f t="shared" si="14"/>
        <v>38</v>
      </c>
      <c r="P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1.0</v>
      </c>
      <c r="I151" s="60">
        <v>0.0</v>
      </c>
      <c r="J151" s="60">
        <v>1.0</v>
      </c>
      <c r="K151" s="60">
        <v>1.0</v>
      </c>
      <c r="L151" s="60">
        <v>0.0</v>
      </c>
      <c r="M151" s="60">
        <v>0.0</v>
      </c>
      <c r="N151" s="13">
        <f t="shared" si="14"/>
        <v>3</v>
      </c>
      <c r="P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1.0</v>
      </c>
      <c r="I152" s="60">
        <v>0.0</v>
      </c>
      <c r="J152" s="60">
        <v>0.0</v>
      </c>
      <c r="K152" s="60">
        <v>0.0</v>
      </c>
      <c r="L152" s="60">
        <v>0.0</v>
      </c>
      <c r="M152" s="60">
        <v>0.0</v>
      </c>
      <c r="N152" s="13">
        <f t="shared" si="14"/>
        <v>1</v>
      </c>
      <c r="P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0.0</v>
      </c>
      <c r="N153" s="13">
        <f t="shared" si="14"/>
        <v>0</v>
      </c>
      <c r="P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M154" si="28">SUM(E147:E153)</f>
        <v>6</v>
      </c>
      <c r="F154" s="64">
        <f t="shared" si="28"/>
        <v>10</v>
      </c>
      <c r="G154" s="64">
        <f t="shared" si="28"/>
        <v>28</v>
      </c>
      <c r="H154" s="64">
        <f t="shared" si="28"/>
        <v>73</v>
      </c>
      <c r="I154" s="64">
        <f t="shared" si="28"/>
        <v>24</v>
      </c>
      <c r="J154" s="64">
        <f t="shared" si="28"/>
        <v>37</v>
      </c>
      <c r="K154" s="64">
        <f t="shared" si="28"/>
        <v>4</v>
      </c>
      <c r="L154" s="64">
        <f t="shared" si="28"/>
        <v>14</v>
      </c>
      <c r="M154" s="64">
        <f t="shared" si="28"/>
        <v>7</v>
      </c>
      <c r="N154" s="13">
        <f t="shared" si="14"/>
        <v>203</v>
      </c>
      <c r="P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13">
        <f t="shared" si="14"/>
        <v>0</v>
      </c>
      <c r="P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1.0</v>
      </c>
      <c r="F156" s="60">
        <v>0.0</v>
      </c>
      <c r="G156" s="60">
        <v>0.0</v>
      </c>
      <c r="H156" s="60">
        <v>0.0</v>
      </c>
      <c r="I156" s="60">
        <v>0.0</v>
      </c>
      <c r="J156" s="60">
        <v>0.0</v>
      </c>
      <c r="K156" s="60">
        <v>0.0</v>
      </c>
      <c r="L156" s="60">
        <v>1.0</v>
      </c>
      <c r="M156" s="60">
        <v>1.0</v>
      </c>
      <c r="N156" s="13">
        <f t="shared" si="14"/>
        <v>3</v>
      </c>
      <c r="P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0.0</v>
      </c>
      <c r="J157" s="60">
        <v>0.0</v>
      </c>
      <c r="K157" s="60">
        <v>0.0</v>
      </c>
      <c r="L157" s="60">
        <v>0.0</v>
      </c>
      <c r="M157" s="60">
        <v>0.0</v>
      </c>
      <c r="N157" s="13">
        <f t="shared" si="14"/>
        <v>0</v>
      </c>
      <c r="P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0.0</v>
      </c>
      <c r="H158" s="60">
        <v>0.0</v>
      </c>
      <c r="I158" s="60">
        <v>0.0</v>
      </c>
      <c r="J158" s="60">
        <v>0.0</v>
      </c>
      <c r="K158" s="60">
        <v>0.0</v>
      </c>
      <c r="L158" s="60">
        <v>0.0</v>
      </c>
      <c r="M158" s="60">
        <v>0.0</v>
      </c>
      <c r="N158" s="13">
        <f t="shared" si="14"/>
        <v>0</v>
      </c>
      <c r="P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13">
        <f t="shared" si="14"/>
        <v>0</v>
      </c>
      <c r="P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0.0</v>
      </c>
      <c r="N160" s="13">
        <f t="shared" si="14"/>
        <v>0</v>
      </c>
      <c r="P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13">
        <f t="shared" si="14"/>
        <v>0</v>
      </c>
      <c r="P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M162" si="29">SUM(E156:E161)</f>
        <v>1</v>
      </c>
      <c r="F162" s="64">
        <f t="shared" si="29"/>
        <v>0</v>
      </c>
      <c r="G162" s="64">
        <f t="shared" si="29"/>
        <v>0</v>
      </c>
      <c r="H162" s="64">
        <f t="shared" si="29"/>
        <v>0</v>
      </c>
      <c r="I162" s="64">
        <f t="shared" si="29"/>
        <v>0</v>
      </c>
      <c r="J162" s="64">
        <f t="shared" si="29"/>
        <v>0</v>
      </c>
      <c r="K162" s="64">
        <f t="shared" si="29"/>
        <v>0</v>
      </c>
      <c r="L162" s="64">
        <f t="shared" si="29"/>
        <v>1</v>
      </c>
      <c r="M162" s="64">
        <f t="shared" si="29"/>
        <v>1</v>
      </c>
      <c r="N162" s="13">
        <f t="shared" si="14"/>
        <v>3</v>
      </c>
      <c r="P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13">
        <f t="shared" si="14"/>
        <v>0</v>
      </c>
      <c r="P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8.0</v>
      </c>
      <c r="H164" s="60">
        <v>9.0</v>
      </c>
      <c r="I164" s="60">
        <v>2.0</v>
      </c>
      <c r="J164" s="60">
        <v>4.0</v>
      </c>
      <c r="K164" s="60">
        <v>0.0</v>
      </c>
      <c r="L164" s="60">
        <v>1.0</v>
      </c>
      <c r="M164" s="60">
        <v>1.0</v>
      </c>
      <c r="N164" s="13">
        <f t="shared" si="14"/>
        <v>25</v>
      </c>
      <c r="P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2.0</v>
      </c>
      <c r="G165" s="60">
        <v>2.0</v>
      </c>
      <c r="H165" s="60">
        <v>8.0</v>
      </c>
      <c r="I165" s="60">
        <v>4.0</v>
      </c>
      <c r="J165" s="60">
        <v>7.0</v>
      </c>
      <c r="K165" s="60">
        <v>0.0</v>
      </c>
      <c r="L165" s="60">
        <v>2.0</v>
      </c>
      <c r="M165" s="60">
        <v>0.0</v>
      </c>
      <c r="N165" s="13">
        <f t="shared" si="14"/>
        <v>25</v>
      </c>
      <c r="P165" s="1"/>
    </row>
    <row r="166" ht="12.75" customHeight="1">
      <c r="A166" s="31"/>
      <c r="B166" s="50"/>
      <c r="C166" s="58" t="s">
        <v>143</v>
      </c>
      <c r="D166" s="65"/>
      <c r="E166" s="60">
        <v>3.0</v>
      </c>
      <c r="F166" s="60">
        <v>5.0</v>
      </c>
      <c r="G166" s="60">
        <v>5.0</v>
      </c>
      <c r="H166" s="60">
        <v>45.0</v>
      </c>
      <c r="I166" s="60">
        <v>12.0</v>
      </c>
      <c r="J166" s="60">
        <v>25.0</v>
      </c>
      <c r="K166" s="60">
        <v>3.0</v>
      </c>
      <c r="L166" s="60">
        <v>11.0</v>
      </c>
      <c r="M166" s="60">
        <v>2.0</v>
      </c>
      <c r="N166" s="13">
        <f t="shared" si="14"/>
        <v>111</v>
      </c>
      <c r="P166" s="54"/>
    </row>
    <row r="167" ht="12.75" customHeight="1">
      <c r="A167" s="31"/>
      <c r="B167" s="50"/>
      <c r="C167" s="58" t="s">
        <v>144</v>
      </c>
      <c r="D167" s="65"/>
      <c r="E167" s="60">
        <v>3.0</v>
      </c>
      <c r="F167" s="60">
        <v>3.0</v>
      </c>
      <c r="G167" s="60">
        <v>13.0</v>
      </c>
      <c r="H167" s="60">
        <v>9.0</v>
      </c>
      <c r="I167" s="60">
        <v>6.0</v>
      </c>
      <c r="J167" s="60">
        <v>0.0</v>
      </c>
      <c r="K167" s="60">
        <v>0.0</v>
      </c>
      <c r="L167" s="60">
        <v>0.0</v>
      </c>
      <c r="M167" s="60">
        <v>4.0</v>
      </c>
      <c r="N167" s="13">
        <f t="shared" si="14"/>
        <v>38</v>
      </c>
      <c r="P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1.0</v>
      </c>
      <c r="I168" s="60">
        <v>0.0</v>
      </c>
      <c r="J168" s="60">
        <v>1.0</v>
      </c>
      <c r="K168" s="60">
        <v>1.0</v>
      </c>
      <c r="L168" s="60">
        <v>0.0</v>
      </c>
      <c r="M168" s="60">
        <v>0.0</v>
      </c>
      <c r="N168" s="13">
        <f t="shared" si="14"/>
        <v>3</v>
      </c>
      <c r="P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1.0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13">
        <f t="shared" si="14"/>
        <v>1</v>
      </c>
      <c r="P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13">
        <f t="shared" si="14"/>
        <v>0</v>
      </c>
      <c r="P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M171" si="30">SUM(E164:E170)</f>
        <v>6</v>
      </c>
      <c r="F171" s="64">
        <f t="shared" si="30"/>
        <v>10</v>
      </c>
      <c r="G171" s="64">
        <f t="shared" si="30"/>
        <v>28</v>
      </c>
      <c r="H171" s="64">
        <f t="shared" si="30"/>
        <v>73</v>
      </c>
      <c r="I171" s="64">
        <f t="shared" si="30"/>
        <v>24</v>
      </c>
      <c r="J171" s="64">
        <f t="shared" si="30"/>
        <v>37</v>
      </c>
      <c r="K171" s="64">
        <f t="shared" si="30"/>
        <v>4</v>
      </c>
      <c r="L171" s="64">
        <f t="shared" si="30"/>
        <v>14</v>
      </c>
      <c r="M171" s="64">
        <f t="shared" si="30"/>
        <v>7</v>
      </c>
      <c r="N171" s="13">
        <f t="shared" si="14"/>
        <v>203</v>
      </c>
      <c r="P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13">
        <f t="shared" si="14"/>
        <v>0</v>
      </c>
      <c r="P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1.0</v>
      </c>
      <c r="G173" s="60">
        <v>0.0</v>
      </c>
      <c r="H173" s="60">
        <v>1.0</v>
      </c>
      <c r="I173" s="60">
        <v>1.0</v>
      </c>
      <c r="J173" s="60">
        <v>1.0</v>
      </c>
      <c r="K173" s="60">
        <v>0.0</v>
      </c>
      <c r="L173" s="60">
        <v>0.0</v>
      </c>
      <c r="M173" s="60">
        <v>0.0</v>
      </c>
      <c r="N173" s="13">
        <f t="shared" si="14"/>
        <v>4</v>
      </c>
      <c r="P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0.0</v>
      </c>
      <c r="G174" s="60">
        <v>0.0</v>
      </c>
      <c r="H174" s="60">
        <v>1.0</v>
      </c>
      <c r="I174" s="60">
        <v>0.0</v>
      </c>
      <c r="J174" s="60">
        <v>0.0</v>
      </c>
      <c r="K174" s="60">
        <v>0.0</v>
      </c>
      <c r="L174" s="60">
        <v>0.0</v>
      </c>
      <c r="M174" s="60">
        <v>0.0</v>
      </c>
      <c r="N174" s="13">
        <f t="shared" si="14"/>
        <v>1</v>
      </c>
      <c r="P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0.0</v>
      </c>
      <c r="G175" s="60">
        <v>0.0</v>
      </c>
      <c r="H175" s="60">
        <v>0.0</v>
      </c>
      <c r="I175" s="60">
        <v>0.0</v>
      </c>
      <c r="J175" s="60">
        <v>0.0</v>
      </c>
      <c r="K175" s="60">
        <v>0.0</v>
      </c>
      <c r="L175" s="60">
        <v>0.0</v>
      </c>
      <c r="M175" s="60">
        <v>0.0</v>
      </c>
      <c r="N175" s="13">
        <f t="shared" si="14"/>
        <v>0</v>
      </c>
      <c r="P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0.0</v>
      </c>
      <c r="G176" s="60">
        <v>0.0</v>
      </c>
      <c r="H176" s="60">
        <v>0.0</v>
      </c>
      <c r="I176" s="60">
        <v>1.0</v>
      </c>
      <c r="J176" s="60">
        <v>0.0</v>
      </c>
      <c r="K176" s="60">
        <v>0.0</v>
      </c>
      <c r="L176" s="60">
        <v>0.0</v>
      </c>
      <c r="M176" s="60">
        <v>0.0</v>
      </c>
      <c r="N176" s="13">
        <f t="shared" si="14"/>
        <v>1</v>
      </c>
      <c r="P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13">
        <f t="shared" si="14"/>
        <v>0</v>
      </c>
    </row>
    <row r="178" ht="12.75" customHeight="1">
      <c r="A178" s="18"/>
      <c r="B178" s="57"/>
      <c r="C178" s="58" t="s">
        <v>154</v>
      </c>
      <c r="D178" s="59"/>
      <c r="E178" s="60">
        <v>1.0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1.0</v>
      </c>
      <c r="L178" s="60">
        <v>0.0</v>
      </c>
      <c r="M178" s="60">
        <v>0.0</v>
      </c>
      <c r="N178" s="13">
        <f t="shared" si="14"/>
        <v>2</v>
      </c>
      <c r="P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13">
        <f t="shared" si="14"/>
        <v>0</v>
      </c>
      <c r="P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M180" si="31">SUM(E173:E179)</f>
        <v>1</v>
      </c>
      <c r="F180" s="64">
        <f t="shared" si="31"/>
        <v>1</v>
      </c>
      <c r="G180" s="64">
        <f t="shared" si="31"/>
        <v>0</v>
      </c>
      <c r="H180" s="64">
        <f t="shared" si="31"/>
        <v>2</v>
      </c>
      <c r="I180" s="64">
        <f t="shared" si="31"/>
        <v>2</v>
      </c>
      <c r="J180" s="64">
        <f t="shared" si="31"/>
        <v>1</v>
      </c>
      <c r="K180" s="64">
        <f t="shared" si="31"/>
        <v>1</v>
      </c>
      <c r="L180" s="64">
        <f t="shared" si="31"/>
        <v>0</v>
      </c>
      <c r="M180" s="64">
        <f t="shared" si="31"/>
        <v>0</v>
      </c>
      <c r="N180" s="13">
        <f t="shared" si="14"/>
        <v>8</v>
      </c>
      <c r="P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13">
        <f t="shared" si="14"/>
        <v>0</v>
      </c>
      <c r="P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1.0</v>
      </c>
      <c r="F182" s="60">
        <v>0.0</v>
      </c>
      <c r="G182" s="60">
        <v>0.0</v>
      </c>
      <c r="H182" s="60">
        <v>2.0</v>
      </c>
      <c r="I182" s="60">
        <v>0.0</v>
      </c>
      <c r="J182" s="60">
        <v>0.0</v>
      </c>
      <c r="K182" s="60">
        <v>0.0</v>
      </c>
      <c r="L182" s="60">
        <v>1.0</v>
      </c>
      <c r="M182" s="60">
        <v>0.0</v>
      </c>
      <c r="N182" s="13">
        <f t="shared" si="14"/>
        <v>4</v>
      </c>
      <c r="P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60">
        <v>0.0</v>
      </c>
      <c r="L183" s="60">
        <v>0.0</v>
      </c>
      <c r="M183" s="60">
        <v>0.0</v>
      </c>
      <c r="N183" s="13">
        <f t="shared" si="14"/>
        <v>0</v>
      </c>
      <c r="P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13">
        <f t="shared" si="14"/>
        <v>0</v>
      </c>
      <c r="P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13">
        <f t="shared" si="14"/>
        <v>0</v>
      </c>
      <c r="P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13">
        <f t="shared" si="14"/>
        <v>0</v>
      </c>
      <c r="P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M187" si="32">SUM(E182:E186)</f>
        <v>1</v>
      </c>
      <c r="F187" s="64">
        <f t="shared" si="32"/>
        <v>0</v>
      </c>
      <c r="G187" s="64">
        <f t="shared" si="32"/>
        <v>0</v>
      </c>
      <c r="H187" s="64">
        <f t="shared" si="32"/>
        <v>2</v>
      </c>
      <c r="I187" s="64">
        <f t="shared" si="32"/>
        <v>0</v>
      </c>
      <c r="J187" s="64">
        <f t="shared" si="32"/>
        <v>0</v>
      </c>
      <c r="K187" s="64">
        <f t="shared" si="32"/>
        <v>0</v>
      </c>
      <c r="L187" s="64">
        <f t="shared" si="32"/>
        <v>1</v>
      </c>
      <c r="M187" s="64">
        <f t="shared" si="32"/>
        <v>0</v>
      </c>
      <c r="N187" s="13">
        <f t="shared" si="14"/>
        <v>4</v>
      </c>
      <c r="P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3">
        <f t="shared" si="14"/>
        <v>0</v>
      </c>
      <c r="P189" s="5"/>
    </row>
    <row r="190" ht="12.75" customHeight="1">
      <c r="A190" s="45" t="s">
        <v>162</v>
      </c>
      <c r="B190" s="14" t="s">
        <v>163</v>
      </c>
      <c r="C190" s="15"/>
      <c r="D190" s="16"/>
      <c r="E190" s="13" t="s">
        <v>172</v>
      </c>
      <c r="F190" s="13" t="s">
        <v>173</v>
      </c>
      <c r="G190" s="13" t="s">
        <v>174</v>
      </c>
      <c r="H190" s="13" t="s">
        <v>175</v>
      </c>
      <c r="I190" s="13" t="s">
        <v>176</v>
      </c>
      <c r="J190" s="13" t="s">
        <v>177</v>
      </c>
      <c r="K190" s="13" t="s">
        <v>179</v>
      </c>
      <c r="L190" s="13" t="s">
        <v>180</v>
      </c>
      <c r="M190" s="13" t="s">
        <v>181</v>
      </c>
      <c r="N190" s="13">
        <f t="shared" si="14"/>
        <v>0</v>
      </c>
      <c r="P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M191" si="33">E187+E180+E162+E154+E145+E136+E127+E123+E114+E110+E101+E92+E88+E79+E70+E61+E52</f>
        <v>210</v>
      </c>
      <c r="F191" s="19">
        <f t="shared" si="33"/>
        <v>214</v>
      </c>
      <c r="G191" s="19">
        <f t="shared" si="33"/>
        <v>201</v>
      </c>
      <c r="H191" s="19">
        <f t="shared" si="33"/>
        <v>232</v>
      </c>
      <c r="I191" s="19">
        <f t="shared" si="33"/>
        <v>193</v>
      </c>
      <c r="J191" s="19">
        <f t="shared" si="33"/>
        <v>222</v>
      </c>
      <c r="K191" s="19">
        <f t="shared" si="33"/>
        <v>185</v>
      </c>
      <c r="L191" s="19">
        <f t="shared" si="33"/>
        <v>203</v>
      </c>
      <c r="M191" s="19">
        <f t="shared" si="33"/>
        <v>208</v>
      </c>
      <c r="N191" s="13">
        <f t="shared" si="14"/>
        <v>1868</v>
      </c>
      <c r="P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13.0</v>
      </c>
      <c r="F192" s="60">
        <v>15.0</v>
      </c>
      <c r="G192" s="60">
        <v>23.0</v>
      </c>
      <c r="H192" s="60">
        <v>10.0</v>
      </c>
      <c r="I192" s="60">
        <v>14.0</v>
      </c>
      <c r="J192" s="60">
        <v>17.0</v>
      </c>
      <c r="K192" s="60">
        <v>23.0</v>
      </c>
      <c r="L192" s="60">
        <v>10.0</v>
      </c>
      <c r="M192" s="60">
        <v>12.0</v>
      </c>
      <c r="N192" s="13">
        <f t="shared" si="14"/>
        <v>137</v>
      </c>
      <c r="P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M193" si="34">SUM(E191:E192)</f>
        <v>223</v>
      </c>
      <c r="F193" s="13">
        <f t="shared" si="34"/>
        <v>229</v>
      </c>
      <c r="G193" s="13">
        <f t="shared" si="34"/>
        <v>224</v>
      </c>
      <c r="H193" s="13">
        <f t="shared" si="34"/>
        <v>242</v>
      </c>
      <c r="I193" s="13">
        <f t="shared" si="34"/>
        <v>207</v>
      </c>
      <c r="J193" s="13">
        <f t="shared" si="34"/>
        <v>239</v>
      </c>
      <c r="K193" s="13">
        <f t="shared" si="34"/>
        <v>208</v>
      </c>
      <c r="L193" s="13">
        <f t="shared" si="34"/>
        <v>213</v>
      </c>
      <c r="M193" s="13">
        <f t="shared" si="34"/>
        <v>220</v>
      </c>
      <c r="N193" s="13">
        <f t="shared" si="14"/>
        <v>2005</v>
      </c>
      <c r="P193" s="5"/>
    </row>
    <row r="194" ht="12.75" customHeight="1">
      <c r="P194" s="5"/>
    </row>
    <row r="195" ht="12.75" customHeight="1">
      <c r="P195" s="5"/>
    </row>
    <row r="196" ht="12.75" customHeight="1">
      <c r="P196" s="1"/>
    </row>
    <row r="197" ht="12.75" customHeight="1">
      <c r="P197" s="1"/>
    </row>
    <row r="198" ht="12.75" customHeight="1">
      <c r="P198" s="1"/>
    </row>
    <row r="199" ht="12.75" customHeight="1">
      <c r="P199" s="54"/>
    </row>
    <row r="200" ht="12.75" customHeight="1">
      <c r="P200" s="5"/>
    </row>
    <row r="201" ht="12.75" customHeight="1">
      <c r="P201" s="5"/>
    </row>
    <row r="202" ht="12.75" customHeight="1">
      <c r="P202" s="5"/>
    </row>
    <row r="203" ht="12.75" customHeight="1">
      <c r="P203" s="5"/>
    </row>
    <row r="204" ht="12.75" customHeight="1">
      <c r="P204" s="5"/>
    </row>
    <row r="205" ht="12.75" customHeight="1">
      <c r="P205" s="5"/>
    </row>
    <row r="206" ht="12.75" customHeight="1">
      <c r="P206" s="5"/>
    </row>
    <row r="207" ht="12.75" customHeight="1">
      <c r="P207" s="1"/>
    </row>
    <row r="208" ht="12.75" customHeight="1">
      <c r="P208" s="54"/>
    </row>
    <row r="209" ht="12.75" customHeight="1">
      <c r="P209" s="54"/>
    </row>
    <row r="210" ht="12.75" customHeight="1">
      <c r="P210" s="54"/>
    </row>
    <row r="211" ht="12.75" customHeight="1">
      <c r="P211" s="5"/>
    </row>
    <row r="212" ht="12.75" customHeight="1">
      <c r="P212" s="5"/>
    </row>
    <row r="213" ht="12.75" customHeight="1">
      <c r="P213" s="5"/>
    </row>
    <row r="214" ht="12.75" customHeight="1">
      <c r="P214" s="5"/>
    </row>
    <row r="215" ht="12.75" customHeight="1">
      <c r="P215" s="5"/>
    </row>
    <row r="216" ht="12.75" customHeight="1">
      <c r="P216" s="5"/>
    </row>
    <row r="217" ht="12.75" customHeight="1">
      <c r="P217" s="5"/>
    </row>
    <row r="218" ht="12.75" customHeight="1">
      <c r="P218" s="1"/>
    </row>
    <row r="219" ht="12.75" customHeight="1">
      <c r="P219" s="54"/>
    </row>
    <row r="220" ht="12.75" customHeight="1">
      <c r="P220" s="5"/>
    </row>
    <row r="221" ht="12.75" customHeight="1">
      <c r="P221" s="5"/>
    </row>
    <row r="222" ht="12.75" customHeight="1">
      <c r="P222" s="5"/>
    </row>
    <row r="223" ht="12.75" customHeight="1">
      <c r="P223" s="5"/>
    </row>
    <row r="224" ht="12.75" customHeight="1">
      <c r="P224" s="5"/>
    </row>
    <row r="225" ht="12.75" customHeight="1">
      <c r="P225" s="5"/>
    </row>
    <row r="226" ht="12.75" customHeight="1">
      <c r="P226" s="5"/>
    </row>
    <row r="227" ht="12.75" customHeight="1">
      <c r="P227" s="5"/>
    </row>
    <row r="228" ht="12.75" customHeight="1">
      <c r="P228" s="5"/>
    </row>
    <row r="229" ht="12.75" customHeight="1">
      <c r="P229" s="1"/>
    </row>
    <row r="230" ht="12.75" customHeight="1">
      <c r="P230" s="54"/>
    </row>
    <row r="231" ht="12.75" customHeight="1">
      <c r="P231" s="5"/>
    </row>
    <row r="232" ht="12.75" customHeight="1">
      <c r="P232" s="5"/>
    </row>
    <row r="233" ht="12.75" customHeight="1">
      <c r="P233" s="5"/>
    </row>
    <row r="234" ht="12.75" customHeight="1">
      <c r="P234" s="5"/>
    </row>
    <row r="235" ht="12.75" customHeight="1">
      <c r="P235" s="5"/>
    </row>
    <row r="236" ht="12.75" customHeight="1">
      <c r="P236" s="5"/>
    </row>
    <row r="237" ht="12.75" customHeight="1">
      <c r="P237" s="5"/>
    </row>
    <row r="238" ht="12.75" customHeight="1">
      <c r="P238" s="5"/>
    </row>
    <row r="239" ht="12.75" customHeight="1">
      <c r="P239" s="5"/>
    </row>
    <row r="240" ht="12.75" customHeight="1"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51">
    <cfRule type="containsBlanks" dxfId="1" priority="10">
      <formula>LEN(TRIM(E45))=0</formula>
    </cfRule>
  </conditionalFormatting>
  <conditionalFormatting sqref="E54:M60">
    <cfRule type="containsBlanks" dxfId="1" priority="11">
      <formula>LEN(TRIM(E54))=0</formula>
    </cfRule>
  </conditionalFormatting>
  <conditionalFormatting sqref="E63:M69">
    <cfRule type="containsBlanks" dxfId="1" priority="12">
      <formula>LEN(TRIM(E63))=0</formula>
    </cfRule>
  </conditionalFormatting>
  <conditionalFormatting sqref="E72:M78">
    <cfRule type="containsBlanks" dxfId="1" priority="13">
      <formula>LEN(TRIM(E72))=0</formula>
    </cfRule>
  </conditionalFormatting>
  <conditionalFormatting sqref="E81:M87">
    <cfRule type="containsBlanks" dxfId="1" priority="14">
      <formula>LEN(TRIM(E81))=0</formula>
    </cfRule>
  </conditionalFormatting>
  <conditionalFormatting sqref="E90:M91">
    <cfRule type="containsBlanks" dxfId="1" priority="15">
      <formula>LEN(TRIM(E90))=0</formula>
    </cfRule>
  </conditionalFormatting>
  <conditionalFormatting sqref="E94:M100">
    <cfRule type="containsBlanks" dxfId="1" priority="16">
      <formula>LEN(TRIM(E94))=0</formula>
    </cfRule>
  </conditionalFormatting>
  <conditionalFormatting sqref="E103:M109">
    <cfRule type="containsBlanks" dxfId="1" priority="17">
      <formula>LEN(TRIM(E103))=0</formula>
    </cfRule>
  </conditionalFormatting>
  <conditionalFormatting sqref="E112:M113">
    <cfRule type="containsBlanks" dxfId="1" priority="18">
      <formula>LEN(TRIM(E112))=0</formula>
    </cfRule>
  </conditionalFormatting>
  <conditionalFormatting sqref="E116:M122">
    <cfRule type="containsBlanks" dxfId="1" priority="19">
      <formula>LEN(TRIM(E116))=0</formula>
    </cfRule>
  </conditionalFormatting>
  <conditionalFormatting sqref="E125:M126">
    <cfRule type="containsBlanks" dxfId="1" priority="20">
      <formula>LEN(TRIM(E125))=0</formula>
    </cfRule>
  </conditionalFormatting>
  <conditionalFormatting sqref="E129:M135">
    <cfRule type="containsBlanks" dxfId="1" priority="21">
      <formula>LEN(TRIM(E129))=0</formula>
    </cfRule>
  </conditionalFormatting>
  <conditionalFormatting sqref="E138:M144">
    <cfRule type="containsBlanks" dxfId="1" priority="22">
      <formula>LEN(TRIM(E138))=0</formula>
    </cfRule>
  </conditionalFormatting>
  <conditionalFormatting sqref="E147:M153">
    <cfRule type="containsBlanks" dxfId="1" priority="23">
      <formula>LEN(TRIM(E147))=0</formula>
    </cfRule>
  </conditionalFormatting>
  <conditionalFormatting sqref="E156:M161">
    <cfRule type="containsBlanks" dxfId="1" priority="24">
      <formula>LEN(TRIM(E156))=0</formula>
    </cfRule>
  </conditionalFormatting>
  <conditionalFormatting sqref="E164:M170">
    <cfRule type="containsBlanks" dxfId="1" priority="25">
      <formula>LEN(TRIM(E164))=0</formula>
    </cfRule>
  </conditionalFormatting>
  <conditionalFormatting sqref="E173:M179">
    <cfRule type="containsBlanks" dxfId="1" priority="26">
      <formula>LEN(TRIM(E173))=0</formula>
    </cfRule>
  </conditionalFormatting>
  <conditionalFormatting sqref="E182:M186">
    <cfRule type="containsBlanks" dxfId="1" priority="27">
      <formula>LEN(TRIM(E182))=0</formula>
    </cfRule>
  </conditionalFormatting>
  <conditionalFormatting sqref="E191:M192">
    <cfRule type="containsBlanks" dxfId="1" priority="28">
      <formula>LEN(TRIM(E191))=0</formula>
    </cfRule>
  </conditionalFormatting>
  <conditionalFormatting sqref="E193:M193">
    <cfRule type="expression" dxfId="0" priority="29">
      <formula>E193&lt;&gt;#REF!</formula>
    </cfRule>
  </conditionalFormatting>
  <conditionalFormatting sqref="E193:M193">
    <cfRule type="expression" dxfId="2" priority="30">
      <formula>#REF!&lt;&gt;E193</formula>
    </cfRule>
  </conditionalFormatting>
  <conditionalFormatting sqref="E193:M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13" t="s">
        <v>188</v>
      </c>
      <c r="S13" s="13" t="s">
        <v>189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60">
        <v>105.0</v>
      </c>
      <c r="F14" s="60">
        <v>112.0</v>
      </c>
      <c r="G14" s="60">
        <v>122.0</v>
      </c>
      <c r="H14" s="60">
        <v>135.0</v>
      </c>
      <c r="I14" s="60">
        <v>144.0</v>
      </c>
      <c r="J14" s="60">
        <v>144.0</v>
      </c>
      <c r="K14" s="60">
        <v>140.0</v>
      </c>
      <c r="L14" s="60">
        <v>140.0</v>
      </c>
      <c r="M14" s="60">
        <v>116.0</v>
      </c>
      <c r="N14" s="60">
        <v>132.0</v>
      </c>
      <c r="O14" s="60">
        <v>112.0</v>
      </c>
      <c r="P14" s="60">
        <v>119.0</v>
      </c>
      <c r="Q14" s="60">
        <v>116.0</v>
      </c>
      <c r="R14" s="60">
        <v>132.0</v>
      </c>
      <c r="S14" s="60">
        <v>140.0</v>
      </c>
      <c r="T14" s="13">
        <f t="shared" ref="T14:T16" si="1">SUM(E14:S14)</f>
        <v>1909</v>
      </c>
    </row>
    <row r="15" ht="12.75" customHeight="1">
      <c r="A15" s="18"/>
      <c r="B15" s="26"/>
      <c r="C15" s="27"/>
      <c r="D15" s="19" t="s">
        <v>13</v>
      </c>
      <c r="E15" s="60">
        <v>121.0</v>
      </c>
      <c r="F15" s="60">
        <v>134.0</v>
      </c>
      <c r="G15" s="60">
        <v>116.0</v>
      </c>
      <c r="H15" s="60">
        <v>148.0</v>
      </c>
      <c r="I15" s="60">
        <v>140.0</v>
      </c>
      <c r="J15" s="60">
        <v>136.0</v>
      </c>
      <c r="K15" s="60">
        <v>135.0</v>
      </c>
      <c r="L15" s="60">
        <v>126.0</v>
      </c>
      <c r="M15" s="60">
        <v>117.0</v>
      </c>
      <c r="N15" s="60">
        <v>134.0</v>
      </c>
      <c r="O15" s="60">
        <v>114.0</v>
      </c>
      <c r="P15" s="60">
        <v>122.0</v>
      </c>
      <c r="Q15" s="60">
        <v>130.0</v>
      </c>
      <c r="R15" s="60">
        <v>124.0</v>
      </c>
      <c r="S15" s="60">
        <v>141.0</v>
      </c>
      <c r="T15" s="13">
        <f t="shared" si="1"/>
        <v>1938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226</v>
      </c>
      <c r="F16" s="13">
        <f t="shared" si="2"/>
        <v>246</v>
      </c>
      <c r="G16" s="13">
        <f t="shared" si="2"/>
        <v>238</v>
      </c>
      <c r="H16" s="13">
        <f t="shared" si="2"/>
        <v>283</v>
      </c>
      <c r="I16" s="13">
        <f t="shared" si="2"/>
        <v>284</v>
      </c>
      <c r="J16" s="13">
        <f t="shared" si="2"/>
        <v>280</v>
      </c>
      <c r="K16" s="13">
        <f t="shared" si="2"/>
        <v>275</v>
      </c>
      <c r="L16" s="13">
        <f t="shared" si="2"/>
        <v>266</v>
      </c>
      <c r="M16" s="13">
        <f t="shared" si="2"/>
        <v>233</v>
      </c>
      <c r="N16" s="13">
        <f t="shared" si="2"/>
        <v>266</v>
      </c>
      <c r="O16" s="13">
        <f t="shared" si="2"/>
        <v>226</v>
      </c>
      <c r="P16" s="13">
        <f t="shared" si="2"/>
        <v>241</v>
      </c>
      <c r="Q16" s="13">
        <f t="shared" si="2"/>
        <v>246</v>
      </c>
      <c r="R16" s="13">
        <f t="shared" si="2"/>
        <v>256</v>
      </c>
      <c r="S16" s="13">
        <f t="shared" si="2"/>
        <v>281</v>
      </c>
      <c r="T16" s="13">
        <f t="shared" si="1"/>
        <v>3847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13" t="s">
        <v>188</v>
      </c>
      <c r="S18" s="13" t="s">
        <v>189</v>
      </c>
      <c r="T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84.0</v>
      </c>
      <c r="F19" s="60">
        <v>85.0</v>
      </c>
      <c r="G19" s="60">
        <v>102.0</v>
      </c>
      <c r="H19" s="60">
        <v>100.0</v>
      </c>
      <c r="I19" s="60">
        <v>135.0</v>
      </c>
      <c r="J19" s="60">
        <v>137.0</v>
      </c>
      <c r="K19" s="60">
        <v>103.0</v>
      </c>
      <c r="L19" s="60">
        <v>111.0</v>
      </c>
      <c r="M19" s="60">
        <v>99.0</v>
      </c>
      <c r="N19" s="60">
        <v>98.0</v>
      </c>
      <c r="O19" s="60">
        <v>81.0</v>
      </c>
      <c r="P19" s="60">
        <v>90.0</v>
      </c>
      <c r="Q19" s="60">
        <v>93.0</v>
      </c>
      <c r="R19" s="60">
        <v>106.0</v>
      </c>
      <c r="S19" s="60">
        <v>110.0</v>
      </c>
      <c r="T19" s="13">
        <f t="shared" ref="T19:T30" si="3">SUM(E19:S19)</f>
        <v>1534</v>
      </c>
    </row>
    <row r="20" ht="12.75" customHeight="1">
      <c r="A20" s="34"/>
      <c r="B20" s="27"/>
      <c r="C20" s="35"/>
      <c r="D20" s="19" t="s">
        <v>13</v>
      </c>
      <c r="E20" s="60">
        <v>112.0</v>
      </c>
      <c r="F20" s="60">
        <v>105.0</v>
      </c>
      <c r="G20" s="60">
        <v>99.0</v>
      </c>
      <c r="H20" s="60">
        <v>123.0</v>
      </c>
      <c r="I20" s="60">
        <v>131.0</v>
      </c>
      <c r="J20" s="60">
        <v>105.0</v>
      </c>
      <c r="K20" s="60">
        <v>111.0</v>
      </c>
      <c r="L20" s="60">
        <v>109.0</v>
      </c>
      <c r="M20" s="60">
        <v>103.0</v>
      </c>
      <c r="N20" s="60">
        <v>113.0</v>
      </c>
      <c r="O20" s="60">
        <v>90.0</v>
      </c>
      <c r="P20" s="60">
        <v>104.0</v>
      </c>
      <c r="Q20" s="60">
        <v>105.0</v>
      </c>
      <c r="R20" s="60">
        <v>101.0</v>
      </c>
      <c r="S20" s="60">
        <v>107.0</v>
      </c>
      <c r="T20" s="13">
        <f t="shared" si="3"/>
        <v>1618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196</v>
      </c>
      <c r="F21" s="13">
        <f t="shared" si="4"/>
        <v>190</v>
      </c>
      <c r="G21" s="13">
        <f t="shared" si="4"/>
        <v>201</v>
      </c>
      <c r="H21" s="13">
        <f t="shared" si="4"/>
        <v>223</v>
      </c>
      <c r="I21" s="13">
        <f t="shared" si="4"/>
        <v>266</v>
      </c>
      <c r="J21" s="13">
        <f t="shared" si="4"/>
        <v>242</v>
      </c>
      <c r="K21" s="13">
        <f t="shared" si="4"/>
        <v>214</v>
      </c>
      <c r="L21" s="13">
        <f t="shared" si="4"/>
        <v>220</v>
      </c>
      <c r="M21" s="13">
        <f t="shared" si="4"/>
        <v>202</v>
      </c>
      <c r="N21" s="13">
        <f t="shared" si="4"/>
        <v>211</v>
      </c>
      <c r="O21" s="13">
        <f t="shared" si="4"/>
        <v>171</v>
      </c>
      <c r="P21" s="13">
        <f t="shared" si="4"/>
        <v>194</v>
      </c>
      <c r="Q21" s="13">
        <f t="shared" si="4"/>
        <v>198</v>
      </c>
      <c r="R21" s="13">
        <f t="shared" si="4"/>
        <v>207</v>
      </c>
      <c r="S21" s="13">
        <f t="shared" si="4"/>
        <v>217</v>
      </c>
      <c r="T21" s="13">
        <f t="shared" si="3"/>
        <v>3152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1.0</v>
      </c>
      <c r="N23" s="60">
        <v>0.0</v>
      </c>
      <c r="O23" s="60">
        <v>0.0</v>
      </c>
      <c r="P23" s="60">
        <v>0.0</v>
      </c>
      <c r="Q23" s="60">
        <v>1.0</v>
      </c>
      <c r="R23" s="60">
        <v>0.0</v>
      </c>
      <c r="S23" s="60">
        <v>0.0</v>
      </c>
      <c r="T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0.0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60">
        <v>3.0</v>
      </c>
      <c r="N25" s="60">
        <v>0.0</v>
      </c>
      <c r="O25" s="60">
        <v>0.0</v>
      </c>
      <c r="P25" s="60">
        <v>0.0</v>
      </c>
      <c r="Q25" s="60">
        <v>0.0</v>
      </c>
      <c r="R25" s="60">
        <v>2.0</v>
      </c>
      <c r="S25" s="60">
        <v>1.0</v>
      </c>
      <c r="T25" s="13">
        <f t="shared" si="3"/>
        <v>6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0.0</v>
      </c>
      <c r="G26" s="60">
        <v>0.0</v>
      </c>
      <c r="H26" s="60">
        <v>0.0</v>
      </c>
      <c r="I26" s="60">
        <v>0.0</v>
      </c>
      <c r="J26" s="60">
        <v>0.0</v>
      </c>
      <c r="K26" s="60">
        <v>0.0</v>
      </c>
      <c r="L26" s="60">
        <v>0.0</v>
      </c>
      <c r="M26" s="60">
        <v>3.0</v>
      </c>
      <c r="N26" s="60">
        <v>0.0</v>
      </c>
      <c r="O26" s="60">
        <v>0.0</v>
      </c>
      <c r="P26" s="60">
        <v>0.0</v>
      </c>
      <c r="Q26" s="60">
        <v>1.0</v>
      </c>
      <c r="R26" s="60">
        <v>1.0</v>
      </c>
      <c r="S26" s="60">
        <v>0.0</v>
      </c>
      <c r="T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1</v>
      </c>
      <c r="T27" s="13">
        <f t="shared" si="3"/>
        <v>11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84</v>
      </c>
      <c r="F28" s="13">
        <f t="shared" si="7"/>
        <v>85</v>
      </c>
      <c r="G28" s="13">
        <f t="shared" si="7"/>
        <v>102</v>
      </c>
      <c r="H28" s="13">
        <f t="shared" si="7"/>
        <v>100</v>
      </c>
      <c r="I28" s="13">
        <f t="shared" si="7"/>
        <v>135</v>
      </c>
      <c r="J28" s="13">
        <f t="shared" si="7"/>
        <v>137</v>
      </c>
      <c r="K28" s="13">
        <f t="shared" si="7"/>
        <v>103</v>
      </c>
      <c r="L28" s="13">
        <f t="shared" si="7"/>
        <v>111</v>
      </c>
      <c r="M28" s="13">
        <f t="shared" si="7"/>
        <v>102</v>
      </c>
      <c r="N28" s="13">
        <f t="shared" si="7"/>
        <v>98</v>
      </c>
      <c r="O28" s="13">
        <f t="shared" si="7"/>
        <v>81</v>
      </c>
      <c r="P28" s="13">
        <f t="shared" si="7"/>
        <v>90</v>
      </c>
      <c r="Q28" s="13">
        <f t="shared" si="7"/>
        <v>93</v>
      </c>
      <c r="R28" s="13">
        <f t="shared" si="7"/>
        <v>108</v>
      </c>
      <c r="S28" s="13">
        <f t="shared" si="7"/>
        <v>111</v>
      </c>
      <c r="T28" s="13">
        <f t="shared" si="3"/>
        <v>1540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112</v>
      </c>
      <c r="F29" s="13">
        <f t="shared" si="8"/>
        <v>105</v>
      </c>
      <c r="G29" s="13">
        <f t="shared" si="8"/>
        <v>99</v>
      </c>
      <c r="H29" s="13">
        <f t="shared" si="8"/>
        <v>123</v>
      </c>
      <c r="I29" s="13">
        <f t="shared" si="8"/>
        <v>131</v>
      </c>
      <c r="J29" s="13">
        <f t="shared" si="8"/>
        <v>105</v>
      </c>
      <c r="K29" s="13">
        <f t="shared" si="8"/>
        <v>111</v>
      </c>
      <c r="L29" s="13">
        <f t="shared" si="8"/>
        <v>109</v>
      </c>
      <c r="M29" s="13">
        <f t="shared" si="8"/>
        <v>107</v>
      </c>
      <c r="N29" s="13">
        <f t="shared" si="8"/>
        <v>113</v>
      </c>
      <c r="O29" s="13">
        <f t="shared" si="8"/>
        <v>90</v>
      </c>
      <c r="P29" s="13">
        <f t="shared" si="8"/>
        <v>104</v>
      </c>
      <c r="Q29" s="13">
        <f t="shared" si="8"/>
        <v>107</v>
      </c>
      <c r="R29" s="13">
        <f t="shared" si="8"/>
        <v>102</v>
      </c>
      <c r="S29" s="13">
        <f t="shared" si="8"/>
        <v>107</v>
      </c>
      <c r="T29" s="13">
        <f t="shared" si="3"/>
        <v>1625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196</v>
      </c>
      <c r="F30" s="13">
        <f t="shared" si="9"/>
        <v>190</v>
      </c>
      <c r="G30" s="13">
        <f t="shared" si="9"/>
        <v>201</v>
      </c>
      <c r="H30" s="13">
        <f t="shared" si="9"/>
        <v>223</v>
      </c>
      <c r="I30" s="13">
        <f t="shared" si="9"/>
        <v>266</v>
      </c>
      <c r="J30" s="13">
        <f t="shared" si="9"/>
        <v>242</v>
      </c>
      <c r="K30" s="13">
        <f t="shared" si="9"/>
        <v>214</v>
      </c>
      <c r="L30" s="13">
        <f t="shared" si="9"/>
        <v>220</v>
      </c>
      <c r="M30" s="13">
        <f t="shared" si="9"/>
        <v>209</v>
      </c>
      <c r="N30" s="13">
        <f t="shared" si="9"/>
        <v>211</v>
      </c>
      <c r="O30" s="13">
        <f t="shared" si="9"/>
        <v>171</v>
      </c>
      <c r="P30" s="13">
        <f t="shared" si="9"/>
        <v>194</v>
      </c>
      <c r="Q30" s="13">
        <f t="shared" si="9"/>
        <v>200</v>
      </c>
      <c r="R30" s="13">
        <f t="shared" si="9"/>
        <v>210</v>
      </c>
      <c r="S30" s="13">
        <f t="shared" si="9"/>
        <v>218</v>
      </c>
      <c r="T30" s="13">
        <f t="shared" si="3"/>
        <v>3165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4" t="s">
        <v>184</v>
      </c>
      <c r="P32" s="74" t="s">
        <v>185</v>
      </c>
      <c r="Q32" s="74" t="s">
        <v>186</v>
      </c>
      <c r="R32" s="74" t="s">
        <v>188</v>
      </c>
      <c r="S32" s="74" t="s">
        <v>189</v>
      </c>
      <c r="T32" s="73"/>
    </row>
    <row r="33" ht="12.75" customHeight="1">
      <c r="A33" s="19">
        <v>1.0</v>
      </c>
      <c r="B33" s="20" t="s">
        <v>27</v>
      </c>
      <c r="C33" s="15"/>
      <c r="D33" s="16"/>
      <c r="E33" s="60">
        <v>231.0</v>
      </c>
      <c r="F33" s="60">
        <v>251.0</v>
      </c>
      <c r="G33" s="60">
        <v>243.0</v>
      </c>
      <c r="H33" s="60">
        <v>284.0</v>
      </c>
      <c r="I33" s="60">
        <v>285.0</v>
      </c>
      <c r="J33" s="60">
        <v>286.0</v>
      </c>
      <c r="K33" s="60">
        <v>277.0</v>
      </c>
      <c r="L33" s="60">
        <v>267.0</v>
      </c>
      <c r="M33" s="60">
        <v>234.0</v>
      </c>
      <c r="N33" s="60">
        <v>267.0</v>
      </c>
      <c r="O33" s="60">
        <v>231.0</v>
      </c>
      <c r="P33" s="60">
        <v>246.0</v>
      </c>
      <c r="Q33" s="60">
        <v>252.0</v>
      </c>
      <c r="R33" s="60">
        <v>257.0</v>
      </c>
      <c r="S33" s="60">
        <v>284.0</v>
      </c>
      <c r="T33" s="13">
        <f t="shared" ref="T33:T36" si="10">SUM(E33:S33)</f>
        <v>3895</v>
      </c>
    </row>
    <row r="34" ht="12.75" customHeight="1">
      <c r="A34" s="19">
        <v>2.0</v>
      </c>
      <c r="B34" s="20" t="s">
        <v>28</v>
      </c>
      <c r="C34" s="15"/>
      <c r="D34" s="16"/>
      <c r="E34" s="75">
        <v>196.0</v>
      </c>
      <c r="F34" s="75">
        <v>190.0</v>
      </c>
      <c r="G34" s="75">
        <v>201.0</v>
      </c>
      <c r="H34" s="75">
        <v>223.0</v>
      </c>
      <c r="I34" s="75">
        <v>266.0</v>
      </c>
      <c r="J34" s="75">
        <v>242.0</v>
      </c>
      <c r="K34" s="75">
        <v>214.0</v>
      </c>
      <c r="L34" s="75">
        <v>220.0</v>
      </c>
      <c r="M34" s="75">
        <v>209.0</v>
      </c>
      <c r="N34" s="75">
        <v>211.0</v>
      </c>
      <c r="O34" s="75">
        <v>171.0</v>
      </c>
      <c r="P34" s="75">
        <v>194.0</v>
      </c>
      <c r="Q34" s="75">
        <v>200.0</v>
      </c>
      <c r="R34" s="75">
        <v>210.0</v>
      </c>
      <c r="S34" s="75">
        <v>218.0</v>
      </c>
      <c r="T34" s="13">
        <f t="shared" si="10"/>
        <v>3165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0.0</v>
      </c>
      <c r="G35" s="60">
        <v>0.0</v>
      </c>
      <c r="H35" s="60">
        <v>2.0</v>
      </c>
      <c r="I35" s="60">
        <v>0.0</v>
      </c>
      <c r="J35" s="60">
        <v>0.0</v>
      </c>
      <c r="K35" s="60">
        <v>2.0</v>
      </c>
      <c r="L35" s="60">
        <v>0.0</v>
      </c>
      <c r="M35" s="60">
        <v>1.0</v>
      </c>
      <c r="N35" s="60">
        <v>0.0</v>
      </c>
      <c r="O35" s="60">
        <v>0.0</v>
      </c>
      <c r="P35" s="60">
        <v>0.0</v>
      </c>
      <c r="Q35" s="60">
        <v>0.0</v>
      </c>
      <c r="R35" s="60">
        <v>2.0</v>
      </c>
      <c r="S35" s="60">
        <v>0.0</v>
      </c>
      <c r="T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35</v>
      </c>
      <c r="F36" s="13">
        <f t="shared" si="11"/>
        <v>61</v>
      </c>
      <c r="G36" s="13">
        <f t="shared" si="11"/>
        <v>42</v>
      </c>
      <c r="H36" s="13">
        <f t="shared" si="11"/>
        <v>59</v>
      </c>
      <c r="I36" s="13">
        <f t="shared" si="11"/>
        <v>19</v>
      </c>
      <c r="J36" s="13">
        <f t="shared" si="11"/>
        <v>44</v>
      </c>
      <c r="K36" s="13">
        <f t="shared" si="11"/>
        <v>61</v>
      </c>
      <c r="L36" s="13">
        <f t="shared" si="11"/>
        <v>47</v>
      </c>
      <c r="M36" s="13">
        <f t="shared" si="11"/>
        <v>24</v>
      </c>
      <c r="N36" s="13">
        <f t="shared" si="11"/>
        <v>56</v>
      </c>
      <c r="O36" s="13">
        <f t="shared" si="11"/>
        <v>60</v>
      </c>
      <c r="P36" s="13">
        <f t="shared" si="11"/>
        <v>52</v>
      </c>
      <c r="Q36" s="13">
        <f t="shared" si="11"/>
        <v>52</v>
      </c>
      <c r="R36" s="13">
        <f t="shared" si="11"/>
        <v>45</v>
      </c>
      <c r="S36" s="13">
        <f t="shared" si="11"/>
        <v>66</v>
      </c>
      <c r="T36" s="13">
        <f t="shared" si="10"/>
        <v>723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4" t="s">
        <v>184</v>
      </c>
      <c r="P38" s="74" t="s">
        <v>185</v>
      </c>
      <c r="Q38" s="74" t="s">
        <v>186</v>
      </c>
      <c r="R38" s="74" t="s">
        <v>188</v>
      </c>
      <c r="S38" s="74" t="s">
        <v>189</v>
      </c>
      <c r="T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1.0</v>
      </c>
      <c r="Q39" s="60">
        <v>0.0</v>
      </c>
      <c r="R39" s="60">
        <v>0.0</v>
      </c>
      <c r="S39" s="60">
        <v>0.0</v>
      </c>
      <c r="T39" s="13">
        <f t="shared" ref="T39:T41" si="12">SUM(E39:S39)</f>
        <v>1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60">
        <v>0.0</v>
      </c>
      <c r="Q40" s="60">
        <v>0.0</v>
      </c>
      <c r="R40" s="60">
        <v>0.0</v>
      </c>
      <c r="S40" s="60">
        <v>0.0</v>
      </c>
      <c r="T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74" t="s">
        <v>184</v>
      </c>
      <c r="P43" s="74" t="s">
        <v>185</v>
      </c>
      <c r="Q43" s="74" t="s">
        <v>186</v>
      </c>
      <c r="R43" s="74" t="s">
        <v>188</v>
      </c>
      <c r="S43" s="74" t="s">
        <v>189</v>
      </c>
      <c r="T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2.0</v>
      </c>
      <c r="F45" s="60">
        <v>3.0</v>
      </c>
      <c r="G45" s="60">
        <v>0.0</v>
      </c>
      <c r="H45" s="60">
        <v>1.0</v>
      </c>
      <c r="I45" s="60">
        <v>4.0</v>
      </c>
      <c r="J45" s="60">
        <v>12.0</v>
      </c>
      <c r="K45" s="60">
        <v>14.0</v>
      </c>
      <c r="L45" s="60">
        <v>10.0</v>
      </c>
      <c r="M45" s="60">
        <v>10.0</v>
      </c>
      <c r="N45" s="60">
        <v>3.0</v>
      </c>
      <c r="O45" s="60">
        <v>0.0</v>
      </c>
      <c r="P45" s="60">
        <v>8.0</v>
      </c>
      <c r="Q45" s="60">
        <v>2.0</v>
      </c>
      <c r="R45" s="60">
        <v>5.0</v>
      </c>
      <c r="S45" s="60">
        <v>9.0</v>
      </c>
      <c r="T45" s="13">
        <f t="shared" ref="T45:T193" si="14">SUM(E45:S45)</f>
        <v>83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6.0</v>
      </c>
      <c r="F46" s="60">
        <v>3.0</v>
      </c>
      <c r="G46" s="60">
        <v>3.0</v>
      </c>
      <c r="H46" s="60">
        <v>1.0</v>
      </c>
      <c r="I46" s="60">
        <v>20.0</v>
      </c>
      <c r="J46" s="60">
        <v>26.0</v>
      </c>
      <c r="K46" s="60">
        <v>19.0</v>
      </c>
      <c r="L46" s="60">
        <v>20.0</v>
      </c>
      <c r="M46" s="60">
        <v>11.0</v>
      </c>
      <c r="N46" s="60">
        <v>25.0</v>
      </c>
      <c r="O46" s="60">
        <v>6.0</v>
      </c>
      <c r="P46" s="60">
        <v>21.0</v>
      </c>
      <c r="Q46" s="60">
        <v>15.0</v>
      </c>
      <c r="R46" s="60">
        <v>24.0</v>
      </c>
      <c r="S46" s="60">
        <v>38.0</v>
      </c>
      <c r="T46" s="13">
        <f t="shared" si="14"/>
        <v>238</v>
      </c>
    </row>
    <row r="47" ht="12.75" customHeight="1">
      <c r="A47" s="18"/>
      <c r="B47" s="57"/>
      <c r="C47" s="58" t="s">
        <v>41</v>
      </c>
      <c r="D47" s="59"/>
      <c r="E47" s="60">
        <v>1.0</v>
      </c>
      <c r="F47" s="60">
        <v>0.0</v>
      </c>
      <c r="G47" s="60">
        <v>0.0</v>
      </c>
      <c r="H47" s="60">
        <v>0.0</v>
      </c>
      <c r="I47" s="60">
        <v>1.0</v>
      </c>
      <c r="J47" s="60">
        <v>3.0</v>
      </c>
      <c r="K47" s="60">
        <v>0.0</v>
      </c>
      <c r="L47" s="60">
        <v>2.0</v>
      </c>
      <c r="M47" s="60">
        <v>3.0</v>
      </c>
      <c r="N47" s="60">
        <v>1.0</v>
      </c>
      <c r="O47" s="60">
        <v>0.0</v>
      </c>
      <c r="P47" s="60">
        <v>0.0</v>
      </c>
      <c r="Q47" s="60">
        <v>0.0</v>
      </c>
      <c r="R47" s="60">
        <v>1.0</v>
      </c>
      <c r="S47" s="60">
        <v>1.0</v>
      </c>
      <c r="T47" s="13">
        <f t="shared" si="14"/>
        <v>13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0.0</v>
      </c>
      <c r="H48" s="60">
        <v>0.0</v>
      </c>
      <c r="I48" s="60">
        <v>1.0</v>
      </c>
      <c r="J48" s="60">
        <v>0.0</v>
      </c>
      <c r="K48" s="60">
        <v>1.0</v>
      </c>
      <c r="L48" s="60">
        <v>2.0</v>
      </c>
      <c r="M48" s="60">
        <v>2.0</v>
      </c>
      <c r="N48" s="60">
        <v>0.0</v>
      </c>
      <c r="O48" s="60">
        <v>0.0</v>
      </c>
      <c r="P48" s="60">
        <v>2.0</v>
      </c>
      <c r="Q48" s="60">
        <v>0.0</v>
      </c>
      <c r="R48" s="60">
        <v>1.0</v>
      </c>
      <c r="S48" s="60">
        <v>0.0</v>
      </c>
      <c r="T48" s="13">
        <f t="shared" si="14"/>
        <v>9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60">
        <v>0.0</v>
      </c>
      <c r="N49" s="60">
        <v>0.0</v>
      </c>
      <c r="O49" s="60">
        <v>0.0</v>
      </c>
      <c r="P49" s="60">
        <v>0.0</v>
      </c>
      <c r="Q49" s="60">
        <v>1.0</v>
      </c>
      <c r="R49" s="60">
        <v>0.0</v>
      </c>
      <c r="S49" s="60">
        <v>0.0</v>
      </c>
      <c r="T49" s="13">
        <f t="shared" si="14"/>
        <v>1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0.0</v>
      </c>
      <c r="G50" s="60">
        <v>0.0</v>
      </c>
      <c r="H50" s="60">
        <v>0.0</v>
      </c>
      <c r="I50" s="60">
        <v>0.0</v>
      </c>
      <c r="J50" s="60">
        <v>0.0</v>
      </c>
      <c r="K50" s="60">
        <v>1.0</v>
      </c>
      <c r="L50" s="60">
        <v>1.0</v>
      </c>
      <c r="M50" s="60">
        <v>1.0</v>
      </c>
      <c r="N50" s="60">
        <v>0.0</v>
      </c>
      <c r="O50" s="60">
        <v>0.0</v>
      </c>
      <c r="P50" s="60">
        <v>0.0</v>
      </c>
      <c r="Q50" s="60">
        <v>1.0</v>
      </c>
      <c r="R50" s="60">
        <v>0.0</v>
      </c>
      <c r="S50" s="60">
        <v>0.0</v>
      </c>
      <c r="T50" s="13">
        <f t="shared" si="14"/>
        <v>4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60">
        <v>0.0</v>
      </c>
      <c r="L51" s="60">
        <v>0.0</v>
      </c>
      <c r="M51" s="60">
        <v>0.0</v>
      </c>
      <c r="N51" s="60">
        <v>0.0</v>
      </c>
      <c r="O51" s="60">
        <v>1.0</v>
      </c>
      <c r="P51" s="60">
        <v>0.0</v>
      </c>
      <c r="Q51" s="60">
        <v>1.0</v>
      </c>
      <c r="R51" s="60">
        <v>1.0</v>
      </c>
      <c r="S51" s="60">
        <v>0.0</v>
      </c>
      <c r="T51" s="13">
        <f t="shared" si="14"/>
        <v>3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S52" si="15">SUM(E45:E51)</f>
        <v>9</v>
      </c>
      <c r="F52" s="64">
        <f t="shared" si="15"/>
        <v>6</v>
      </c>
      <c r="G52" s="64">
        <f t="shared" si="15"/>
        <v>3</v>
      </c>
      <c r="H52" s="64">
        <f t="shared" si="15"/>
        <v>2</v>
      </c>
      <c r="I52" s="64">
        <f t="shared" si="15"/>
        <v>26</v>
      </c>
      <c r="J52" s="64">
        <f t="shared" si="15"/>
        <v>41</v>
      </c>
      <c r="K52" s="64">
        <f t="shared" si="15"/>
        <v>35</v>
      </c>
      <c r="L52" s="64">
        <f t="shared" si="15"/>
        <v>35</v>
      </c>
      <c r="M52" s="64">
        <f t="shared" si="15"/>
        <v>27</v>
      </c>
      <c r="N52" s="64">
        <f t="shared" si="15"/>
        <v>29</v>
      </c>
      <c r="O52" s="64">
        <f t="shared" si="15"/>
        <v>7</v>
      </c>
      <c r="P52" s="64">
        <f t="shared" si="15"/>
        <v>31</v>
      </c>
      <c r="Q52" s="64">
        <f t="shared" si="15"/>
        <v>20</v>
      </c>
      <c r="R52" s="64">
        <f t="shared" si="15"/>
        <v>32</v>
      </c>
      <c r="S52" s="64">
        <f t="shared" si="15"/>
        <v>48</v>
      </c>
      <c r="T52" s="13">
        <f t="shared" si="14"/>
        <v>351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5.0</v>
      </c>
      <c r="F54" s="60">
        <v>7.0</v>
      </c>
      <c r="G54" s="60">
        <v>4.0</v>
      </c>
      <c r="H54" s="60">
        <v>4.0</v>
      </c>
      <c r="I54" s="60">
        <v>7.0</v>
      </c>
      <c r="J54" s="60">
        <v>4.0</v>
      </c>
      <c r="K54" s="60">
        <v>3.0</v>
      </c>
      <c r="L54" s="60">
        <v>10.0</v>
      </c>
      <c r="M54" s="60">
        <v>11.0</v>
      </c>
      <c r="N54" s="60">
        <v>13.0</v>
      </c>
      <c r="O54" s="60">
        <v>3.0</v>
      </c>
      <c r="P54" s="60">
        <v>7.0</v>
      </c>
      <c r="Q54" s="60">
        <v>3.0</v>
      </c>
      <c r="R54" s="60">
        <v>6.0</v>
      </c>
      <c r="S54" s="60">
        <v>10.0</v>
      </c>
      <c r="T54" s="13">
        <f t="shared" si="14"/>
        <v>97</v>
      </c>
    </row>
    <row r="55" ht="15.0" customHeight="1">
      <c r="A55" s="31" t="s">
        <v>39</v>
      </c>
      <c r="B55" s="57"/>
      <c r="C55" s="58" t="s">
        <v>48</v>
      </c>
      <c r="D55" s="59"/>
      <c r="E55" s="60">
        <v>3.0</v>
      </c>
      <c r="F55" s="60">
        <v>2.0</v>
      </c>
      <c r="G55" s="60">
        <v>0.0</v>
      </c>
      <c r="H55" s="60">
        <v>3.0</v>
      </c>
      <c r="I55" s="60">
        <v>0.0</v>
      </c>
      <c r="J55" s="60">
        <v>2.0</v>
      </c>
      <c r="K55" s="60">
        <v>2.0</v>
      </c>
      <c r="L55" s="60">
        <v>0.0</v>
      </c>
      <c r="M55" s="60">
        <v>0.0</v>
      </c>
      <c r="N55" s="60">
        <v>2.0</v>
      </c>
      <c r="O55" s="60">
        <v>4.0</v>
      </c>
      <c r="P55" s="60">
        <v>4.0</v>
      </c>
      <c r="Q55" s="60">
        <v>0.0</v>
      </c>
      <c r="R55" s="60">
        <v>5.0</v>
      </c>
      <c r="S55" s="60">
        <v>3.0</v>
      </c>
      <c r="T55" s="13">
        <f t="shared" si="14"/>
        <v>30</v>
      </c>
    </row>
    <row r="56" ht="12.75" customHeight="1">
      <c r="A56" s="18"/>
      <c r="B56" s="57"/>
      <c r="C56" s="58" t="s">
        <v>49</v>
      </c>
      <c r="D56" s="59"/>
      <c r="E56" s="60">
        <v>5.0</v>
      </c>
      <c r="F56" s="60">
        <v>3.0</v>
      </c>
      <c r="G56" s="60">
        <v>8.0</v>
      </c>
      <c r="H56" s="60">
        <v>0.0</v>
      </c>
      <c r="I56" s="60">
        <v>10.0</v>
      </c>
      <c r="J56" s="60">
        <v>3.0</v>
      </c>
      <c r="K56" s="60">
        <v>4.0</v>
      </c>
      <c r="L56" s="60">
        <v>6.0</v>
      </c>
      <c r="M56" s="60">
        <v>5.0</v>
      </c>
      <c r="N56" s="60">
        <v>8.0</v>
      </c>
      <c r="O56" s="60">
        <v>2.0</v>
      </c>
      <c r="P56" s="60">
        <v>2.0</v>
      </c>
      <c r="Q56" s="60">
        <v>5.0</v>
      </c>
      <c r="R56" s="60">
        <v>0.0</v>
      </c>
      <c r="S56" s="60">
        <v>9.0</v>
      </c>
      <c r="T56" s="13">
        <f t="shared" si="14"/>
        <v>70</v>
      </c>
    </row>
    <row r="57" ht="12.75" customHeight="1">
      <c r="A57" s="18"/>
      <c r="B57" s="57"/>
      <c r="C57" s="58" t="s">
        <v>50</v>
      </c>
      <c r="D57" s="59"/>
      <c r="E57" s="60">
        <v>2.0</v>
      </c>
      <c r="F57" s="60">
        <v>0.0</v>
      </c>
      <c r="G57" s="60">
        <v>0.0</v>
      </c>
      <c r="H57" s="60">
        <v>0.0</v>
      </c>
      <c r="I57" s="60">
        <v>0.0</v>
      </c>
      <c r="J57" s="60">
        <v>1.0</v>
      </c>
      <c r="K57" s="60">
        <v>0.0</v>
      </c>
      <c r="L57" s="60">
        <v>1.0</v>
      </c>
      <c r="M57" s="60">
        <v>1.0</v>
      </c>
      <c r="N57" s="60">
        <v>1.0</v>
      </c>
      <c r="O57" s="60">
        <v>0.0</v>
      </c>
      <c r="P57" s="60">
        <v>0.0</v>
      </c>
      <c r="Q57" s="60">
        <v>1.0</v>
      </c>
      <c r="R57" s="60">
        <v>1.0</v>
      </c>
      <c r="S57" s="60">
        <v>2.0</v>
      </c>
      <c r="T57" s="13">
        <f t="shared" si="14"/>
        <v>10</v>
      </c>
    </row>
    <row r="58" ht="12.75" customHeight="1">
      <c r="A58" s="18"/>
      <c r="B58" s="57"/>
      <c r="C58" s="58" t="s">
        <v>51</v>
      </c>
      <c r="D58" s="59"/>
      <c r="E58" s="60">
        <v>1.0</v>
      </c>
      <c r="F58" s="60">
        <v>1.0</v>
      </c>
      <c r="G58" s="60">
        <v>0.0</v>
      </c>
      <c r="H58" s="60">
        <v>0.0</v>
      </c>
      <c r="I58" s="60">
        <v>0.0</v>
      </c>
      <c r="J58" s="60">
        <v>1.0</v>
      </c>
      <c r="K58" s="60">
        <v>0.0</v>
      </c>
      <c r="L58" s="60">
        <v>0.0</v>
      </c>
      <c r="M58" s="60">
        <v>0.0</v>
      </c>
      <c r="N58" s="60">
        <v>0.0</v>
      </c>
      <c r="O58" s="60">
        <v>1.0</v>
      </c>
      <c r="P58" s="60">
        <v>2.0</v>
      </c>
      <c r="Q58" s="60">
        <v>1.0</v>
      </c>
      <c r="R58" s="60">
        <v>0.0</v>
      </c>
      <c r="S58" s="60">
        <v>0.0</v>
      </c>
      <c r="T58" s="13">
        <f t="shared" si="14"/>
        <v>7</v>
      </c>
    </row>
    <row r="59" ht="12.75" customHeight="1">
      <c r="A59" s="18"/>
      <c r="B59" s="57"/>
      <c r="C59" s="58" t="s">
        <v>52</v>
      </c>
      <c r="D59" s="59"/>
      <c r="E59" s="60">
        <v>1.0</v>
      </c>
      <c r="F59" s="60">
        <v>0.0</v>
      </c>
      <c r="G59" s="60">
        <v>0.0</v>
      </c>
      <c r="H59" s="60">
        <v>0.0</v>
      </c>
      <c r="I59" s="60">
        <v>1.0</v>
      </c>
      <c r="J59" s="60">
        <v>0.0</v>
      </c>
      <c r="K59" s="60">
        <v>0.0</v>
      </c>
      <c r="L59" s="60">
        <v>1.0</v>
      </c>
      <c r="M59" s="60">
        <v>0.0</v>
      </c>
      <c r="N59" s="60">
        <v>0.0</v>
      </c>
      <c r="O59" s="60">
        <v>1.0</v>
      </c>
      <c r="P59" s="60">
        <v>1.0</v>
      </c>
      <c r="Q59" s="60">
        <v>1.0</v>
      </c>
      <c r="R59" s="60">
        <v>1.0</v>
      </c>
      <c r="S59" s="60">
        <v>2.0</v>
      </c>
      <c r="T59" s="13">
        <f t="shared" si="14"/>
        <v>9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0.0</v>
      </c>
      <c r="O60" s="60">
        <v>0.0</v>
      </c>
      <c r="P60" s="60">
        <v>0.0</v>
      </c>
      <c r="Q60" s="60">
        <v>0.0</v>
      </c>
      <c r="R60" s="60">
        <v>0.0</v>
      </c>
      <c r="S60" s="60">
        <v>1.0</v>
      </c>
      <c r="T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S61" si="16">SUM(E54:E60)</f>
        <v>17</v>
      </c>
      <c r="F61" s="64">
        <f t="shared" si="16"/>
        <v>13</v>
      </c>
      <c r="G61" s="64">
        <f t="shared" si="16"/>
        <v>12</v>
      </c>
      <c r="H61" s="64">
        <f t="shared" si="16"/>
        <v>7</v>
      </c>
      <c r="I61" s="64">
        <f t="shared" si="16"/>
        <v>18</v>
      </c>
      <c r="J61" s="64">
        <f t="shared" si="16"/>
        <v>11</v>
      </c>
      <c r="K61" s="64">
        <f t="shared" si="16"/>
        <v>9</v>
      </c>
      <c r="L61" s="64">
        <f t="shared" si="16"/>
        <v>18</v>
      </c>
      <c r="M61" s="64">
        <f t="shared" si="16"/>
        <v>17</v>
      </c>
      <c r="N61" s="64">
        <f t="shared" si="16"/>
        <v>24</v>
      </c>
      <c r="O61" s="64">
        <f t="shared" si="16"/>
        <v>11</v>
      </c>
      <c r="P61" s="64">
        <f t="shared" si="16"/>
        <v>16</v>
      </c>
      <c r="Q61" s="64">
        <f t="shared" si="16"/>
        <v>11</v>
      </c>
      <c r="R61" s="64">
        <f t="shared" si="16"/>
        <v>13</v>
      </c>
      <c r="S61" s="64">
        <f t="shared" si="16"/>
        <v>27</v>
      </c>
      <c r="T61" s="13">
        <f t="shared" si="14"/>
        <v>224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3.0</v>
      </c>
      <c r="F63" s="60">
        <v>2.0</v>
      </c>
      <c r="G63" s="60">
        <v>1.0</v>
      </c>
      <c r="H63" s="60">
        <v>3.0</v>
      </c>
      <c r="I63" s="60">
        <v>9.0</v>
      </c>
      <c r="J63" s="60">
        <v>5.0</v>
      </c>
      <c r="K63" s="60">
        <v>5.0</v>
      </c>
      <c r="L63" s="60">
        <v>4.0</v>
      </c>
      <c r="M63" s="60">
        <v>1.0</v>
      </c>
      <c r="N63" s="60">
        <v>0.0</v>
      </c>
      <c r="O63" s="60">
        <v>0.0</v>
      </c>
      <c r="P63" s="60">
        <v>5.0</v>
      </c>
      <c r="Q63" s="60">
        <v>3.0</v>
      </c>
      <c r="R63" s="60">
        <v>5.0</v>
      </c>
      <c r="S63" s="60">
        <v>6.0</v>
      </c>
      <c r="T63" s="13">
        <f t="shared" si="14"/>
        <v>52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5.0</v>
      </c>
      <c r="F64" s="60">
        <v>2.0</v>
      </c>
      <c r="G64" s="60">
        <v>2.0</v>
      </c>
      <c r="H64" s="60">
        <v>2.0</v>
      </c>
      <c r="I64" s="60">
        <v>1.0</v>
      </c>
      <c r="J64" s="60">
        <v>1.0</v>
      </c>
      <c r="K64" s="60">
        <v>1.0</v>
      </c>
      <c r="L64" s="60">
        <v>0.0</v>
      </c>
      <c r="M64" s="60">
        <v>0.0</v>
      </c>
      <c r="N64" s="60">
        <v>1.0</v>
      </c>
      <c r="O64" s="60">
        <v>1.0</v>
      </c>
      <c r="P64" s="60">
        <v>1.0</v>
      </c>
      <c r="Q64" s="60">
        <v>0.0</v>
      </c>
      <c r="R64" s="60">
        <v>1.0</v>
      </c>
      <c r="S64" s="60">
        <v>3.0</v>
      </c>
      <c r="T64" s="13">
        <f t="shared" si="14"/>
        <v>21</v>
      </c>
    </row>
    <row r="65" ht="12.75" customHeight="1">
      <c r="A65" s="18"/>
      <c r="B65" s="57"/>
      <c r="C65" s="58" t="s">
        <v>56</v>
      </c>
      <c r="D65" s="59"/>
      <c r="E65" s="60">
        <v>6.0</v>
      </c>
      <c r="F65" s="60">
        <v>6.0</v>
      </c>
      <c r="G65" s="60">
        <v>0.0</v>
      </c>
      <c r="H65" s="60">
        <v>8.0</v>
      </c>
      <c r="I65" s="60">
        <v>1.0</v>
      </c>
      <c r="J65" s="60">
        <v>2.0</v>
      </c>
      <c r="K65" s="60">
        <v>5.0</v>
      </c>
      <c r="L65" s="60">
        <v>2.0</v>
      </c>
      <c r="M65" s="60">
        <v>4.0</v>
      </c>
      <c r="N65" s="60">
        <v>0.0</v>
      </c>
      <c r="O65" s="60">
        <v>10.0</v>
      </c>
      <c r="P65" s="60">
        <v>20.0</v>
      </c>
      <c r="Q65" s="60">
        <v>3.0</v>
      </c>
      <c r="R65" s="60">
        <v>5.0</v>
      </c>
      <c r="S65" s="60">
        <v>15.0</v>
      </c>
      <c r="T65" s="13">
        <f t="shared" si="14"/>
        <v>87</v>
      </c>
    </row>
    <row r="66" ht="12.75" customHeight="1">
      <c r="A66" s="18"/>
      <c r="B66" s="57"/>
      <c r="C66" s="58" t="s">
        <v>57</v>
      </c>
      <c r="D66" s="59"/>
      <c r="E66" s="60">
        <v>0.0</v>
      </c>
      <c r="F66" s="60">
        <v>3.0</v>
      </c>
      <c r="G66" s="60">
        <v>0.0</v>
      </c>
      <c r="H66" s="60">
        <v>1.0</v>
      </c>
      <c r="I66" s="60">
        <v>22.0</v>
      </c>
      <c r="J66" s="60">
        <v>8.0</v>
      </c>
      <c r="K66" s="60">
        <v>5.0</v>
      </c>
      <c r="L66" s="60">
        <v>3.0</v>
      </c>
      <c r="M66" s="60">
        <v>0.0</v>
      </c>
      <c r="N66" s="60">
        <v>0.0</v>
      </c>
      <c r="O66" s="60">
        <v>9.0</v>
      </c>
      <c r="P66" s="60">
        <v>16.0</v>
      </c>
      <c r="Q66" s="60">
        <v>8.0</v>
      </c>
      <c r="R66" s="60">
        <v>6.0</v>
      </c>
      <c r="S66" s="60">
        <v>9.0</v>
      </c>
      <c r="T66" s="13">
        <f t="shared" si="14"/>
        <v>90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1.0</v>
      </c>
      <c r="G67" s="60">
        <v>0.0</v>
      </c>
      <c r="H67" s="60">
        <v>0.0</v>
      </c>
      <c r="I67" s="60">
        <v>2.0</v>
      </c>
      <c r="J67" s="60">
        <v>0.0</v>
      </c>
      <c r="K67" s="60">
        <v>2.0</v>
      </c>
      <c r="L67" s="60">
        <v>1.0</v>
      </c>
      <c r="M67" s="60">
        <v>0.0</v>
      </c>
      <c r="N67" s="60">
        <v>1.0</v>
      </c>
      <c r="O67" s="60">
        <v>0.0</v>
      </c>
      <c r="P67" s="60">
        <v>1.0</v>
      </c>
      <c r="Q67" s="60">
        <v>0.0</v>
      </c>
      <c r="R67" s="60">
        <v>0.0</v>
      </c>
      <c r="S67" s="60">
        <v>0.0</v>
      </c>
      <c r="T67" s="13">
        <f t="shared" si="14"/>
        <v>8</v>
      </c>
    </row>
    <row r="68" ht="12.75" customHeight="1">
      <c r="A68" s="18"/>
      <c r="B68" s="57"/>
      <c r="C68" s="58" t="s">
        <v>59</v>
      </c>
      <c r="D68" s="59"/>
      <c r="E68" s="60">
        <v>7.0</v>
      </c>
      <c r="F68" s="60">
        <v>9.0</v>
      </c>
      <c r="G68" s="60">
        <v>1.0</v>
      </c>
      <c r="H68" s="60">
        <v>5.0</v>
      </c>
      <c r="I68" s="60">
        <v>19.0</v>
      </c>
      <c r="J68" s="60">
        <v>36.0</v>
      </c>
      <c r="K68" s="60">
        <v>41.0</v>
      </c>
      <c r="L68" s="60">
        <v>2.0</v>
      </c>
      <c r="M68" s="60">
        <v>0.0</v>
      </c>
      <c r="N68" s="60">
        <v>4.0</v>
      </c>
      <c r="O68" s="60">
        <v>0.0</v>
      </c>
      <c r="P68" s="60">
        <v>0.0</v>
      </c>
      <c r="Q68" s="60">
        <v>0.0</v>
      </c>
      <c r="R68" s="60">
        <v>1.0</v>
      </c>
      <c r="S68" s="60">
        <v>0.0</v>
      </c>
      <c r="T68" s="13">
        <f t="shared" si="14"/>
        <v>125</v>
      </c>
    </row>
    <row r="69" ht="12.75" customHeight="1">
      <c r="A69" s="18"/>
      <c r="B69" s="57"/>
      <c r="C69" s="58" t="s">
        <v>60</v>
      </c>
      <c r="D69" s="59"/>
      <c r="E69" s="60">
        <v>1.0</v>
      </c>
      <c r="F69" s="60">
        <v>2.0</v>
      </c>
      <c r="G69" s="60">
        <v>0.0</v>
      </c>
      <c r="H69" s="60">
        <v>0.0</v>
      </c>
      <c r="I69" s="60">
        <v>2.0</v>
      </c>
      <c r="J69" s="60">
        <v>1.0</v>
      </c>
      <c r="K69" s="60">
        <v>1.0</v>
      </c>
      <c r="L69" s="60">
        <v>0.0</v>
      </c>
      <c r="M69" s="60">
        <v>0.0</v>
      </c>
      <c r="N69" s="60">
        <v>0.0</v>
      </c>
      <c r="O69" s="60">
        <v>1.0</v>
      </c>
      <c r="P69" s="60">
        <v>0.0</v>
      </c>
      <c r="Q69" s="60">
        <v>0.0</v>
      </c>
      <c r="R69" s="60">
        <v>1.0</v>
      </c>
      <c r="S69" s="60">
        <v>23.0</v>
      </c>
      <c r="T69" s="13">
        <f t="shared" si="14"/>
        <v>32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S70" si="17">SUM(E63:E69)</f>
        <v>22</v>
      </c>
      <c r="F70" s="64">
        <f t="shared" si="17"/>
        <v>25</v>
      </c>
      <c r="G70" s="64">
        <f t="shared" si="17"/>
        <v>4</v>
      </c>
      <c r="H70" s="64">
        <f t="shared" si="17"/>
        <v>19</v>
      </c>
      <c r="I70" s="64">
        <f t="shared" si="17"/>
        <v>56</v>
      </c>
      <c r="J70" s="64">
        <f t="shared" si="17"/>
        <v>53</v>
      </c>
      <c r="K70" s="64">
        <f t="shared" si="17"/>
        <v>60</v>
      </c>
      <c r="L70" s="64">
        <f t="shared" si="17"/>
        <v>12</v>
      </c>
      <c r="M70" s="64">
        <f t="shared" si="17"/>
        <v>5</v>
      </c>
      <c r="N70" s="64">
        <f t="shared" si="17"/>
        <v>6</v>
      </c>
      <c r="O70" s="64">
        <f t="shared" si="17"/>
        <v>21</v>
      </c>
      <c r="P70" s="64">
        <f t="shared" si="17"/>
        <v>43</v>
      </c>
      <c r="Q70" s="64">
        <f t="shared" si="17"/>
        <v>14</v>
      </c>
      <c r="R70" s="64">
        <f t="shared" si="17"/>
        <v>19</v>
      </c>
      <c r="S70" s="64">
        <f t="shared" si="17"/>
        <v>56</v>
      </c>
      <c r="T70" s="13">
        <f t="shared" si="14"/>
        <v>415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5.0</v>
      </c>
      <c r="F72" s="60">
        <v>2.0</v>
      </c>
      <c r="G72" s="60">
        <v>4.0</v>
      </c>
      <c r="H72" s="60">
        <v>1.0</v>
      </c>
      <c r="I72" s="60">
        <v>2.0</v>
      </c>
      <c r="J72" s="60">
        <v>5.0</v>
      </c>
      <c r="K72" s="60">
        <v>4.0</v>
      </c>
      <c r="L72" s="60">
        <v>4.0</v>
      </c>
      <c r="M72" s="60">
        <v>3.0</v>
      </c>
      <c r="N72" s="60">
        <v>5.0</v>
      </c>
      <c r="O72" s="60">
        <v>3.0</v>
      </c>
      <c r="P72" s="60">
        <v>4.0</v>
      </c>
      <c r="Q72" s="60">
        <v>2.0</v>
      </c>
      <c r="R72" s="60">
        <v>4.0</v>
      </c>
      <c r="S72" s="60">
        <v>2.0</v>
      </c>
      <c r="T72" s="13">
        <f t="shared" si="14"/>
        <v>50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9.0</v>
      </c>
      <c r="F73" s="60">
        <v>4.0</v>
      </c>
      <c r="G73" s="60">
        <v>8.0</v>
      </c>
      <c r="H73" s="60">
        <v>4.0</v>
      </c>
      <c r="I73" s="60">
        <v>3.0</v>
      </c>
      <c r="J73" s="60">
        <v>1.0</v>
      </c>
      <c r="K73" s="60">
        <v>1.0</v>
      </c>
      <c r="L73" s="60">
        <v>17.0</v>
      </c>
      <c r="M73" s="60">
        <v>7.0</v>
      </c>
      <c r="N73" s="60">
        <v>10.0</v>
      </c>
      <c r="O73" s="60">
        <v>4.0</v>
      </c>
      <c r="P73" s="60">
        <v>1.0</v>
      </c>
      <c r="Q73" s="60">
        <v>12.0</v>
      </c>
      <c r="R73" s="60">
        <v>3.0</v>
      </c>
      <c r="S73" s="60">
        <v>1.0</v>
      </c>
      <c r="T73" s="13">
        <f t="shared" si="14"/>
        <v>85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0.0</v>
      </c>
      <c r="G74" s="60">
        <v>1.0</v>
      </c>
      <c r="H74" s="60">
        <v>0.0</v>
      </c>
      <c r="I74" s="60">
        <v>0.0</v>
      </c>
      <c r="J74" s="60">
        <v>0.0</v>
      </c>
      <c r="K74" s="60">
        <v>0.0</v>
      </c>
      <c r="L74" s="60">
        <v>0.0</v>
      </c>
      <c r="M74" s="60">
        <v>2.0</v>
      </c>
      <c r="N74" s="60">
        <v>0.0</v>
      </c>
      <c r="O74" s="60">
        <v>0.0</v>
      </c>
      <c r="P74" s="60">
        <v>0.0</v>
      </c>
      <c r="Q74" s="60">
        <v>0.0</v>
      </c>
      <c r="R74" s="60">
        <v>1.0</v>
      </c>
      <c r="S74" s="60">
        <v>0.0</v>
      </c>
      <c r="T74" s="13">
        <f t="shared" si="14"/>
        <v>4</v>
      </c>
    </row>
    <row r="75" ht="12.75" customHeight="1">
      <c r="A75" s="18"/>
      <c r="B75" s="57"/>
      <c r="C75" s="58" t="s">
        <v>64</v>
      </c>
      <c r="D75" s="59"/>
      <c r="E75" s="60">
        <v>1.0</v>
      </c>
      <c r="F75" s="60">
        <v>0.0</v>
      </c>
      <c r="G75" s="60">
        <v>0.0</v>
      </c>
      <c r="H75" s="60">
        <v>0.0</v>
      </c>
      <c r="I75" s="60">
        <v>0.0</v>
      </c>
      <c r="J75" s="60">
        <v>0.0</v>
      </c>
      <c r="K75" s="60">
        <v>0.0</v>
      </c>
      <c r="L75" s="60">
        <v>0.0</v>
      </c>
      <c r="M75" s="60">
        <v>1.0</v>
      </c>
      <c r="N75" s="60">
        <v>0.0</v>
      </c>
      <c r="O75" s="60">
        <v>0.0</v>
      </c>
      <c r="P75" s="60">
        <v>3.0</v>
      </c>
      <c r="Q75" s="60">
        <v>0.0</v>
      </c>
      <c r="R75" s="60">
        <v>0.0</v>
      </c>
      <c r="S75" s="60">
        <v>0.0</v>
      </c>
      <c r="T75" s="13">
        <f t="shared" si="14"/>
        <v>5</v>
      </c>
    </row>
    <row r="76" ht="12.75" customHeight="1">
      <c r="A76" s="18"/>
      <c r="B76" s="57"/>
      <c r="C76" s="58" t="s">
        <v>65</v>
      </c>
      <c r="D76" s="59"/>
      <c r="E76" s="60">
        <v>9.0</v>
      </c>
      <c r="F76" s="60">
        <v>0.0</v>
      </c>
      <c r="G76" s="60">
        <v>8.0</v>
      </c>
      <c r="H76" s="60">
        <v>1.0</v>
      </c>
      <c r="I76" s="60">
        <v>1.0</v>
      </c>
      <c r="J76" s="60">
        <v>3.0</v>
      </c>
      <c r="K76" s="60">
        <v>5.0</v>
      </c>
      <c r="L76" s="60">
        <v>14.0</v>
      </c>
      <c r="M76" s="60">
        <v>17.0</v>
      </c>
      <c r="N76" s="60">
        <v>13.0</v>
      </c>
      <c r="O76" s="60">
        <v>7.0</v>
      </c>
      <c r="P76" s="60">
        <v>14.0</v>
      </c>
      <c r="Q76" s="60">
        <v>12.0</v>
      </c>
      <c r="R76" s="60">
        <v>9.0</v>
      </c>
      <c r="S76" s="60">
        <v>5.0</v>
      </c>
      <c r="T76" s="13">
        <f t="shared" si="14"/>
        <v>118</v>
      </c>
    </row>
    <row r="77" ht="12.75" customHeight="1">
      <c r="A77" s="18"/>
      <c r="B77" s="57"/>
      <c r="C77" s="58" t="s">
        <v>66</v>
      </c>
      <c r="D77" s="59"/>
      <c r="E77" s="60">
        <v>1.0</v>
      </c>
      <c r="F77" s="60">
        <v>1.0</v>
      </c>
      <c r="G77" s="60">
        <v>1.0</v>
      </c>
      <c r="H77" s="60">
        <v>1.0</v>
      </c>
      <c r="I77" s="60">
        <v>0.0</v>
      </c>
      <c r="J77" s="60">
        <v>0.0</v>
      </c>
      <c r="K77" s="60">
        <v>0.0</v>
      </c>
      <c r="L77" s="60">
        <v>1.0</v>
      </c>
      <c r="M77" s="60">
        <v>0.0</v>
      </c>
      <c r="N77" s="60">
        <v>0.0</v>
      </c>
      <c r="O77" s="60">
        <v>0.0</v>
      </c>
      <c r="P77" s="60">
        <v>0.0</v>
      </c>
      <c r="Q77" s="60">
        <v>1.0</v>
      </c>
      <c r="R77" s="60">
        <v>0.0</v>
      </c>
      <c r="S77" s="60">
        <v>0.0</v>
      </c>
      <c r="T77" s="13">
        <f t="shared" si="14"/>
        <v>6</v>
      </c>
    </row>
    <row r="78" ht="12.75" customHeight="1">
      <c r="A78" s="18"/>
      <c r="B78" s="57"/>
      <c r="C78" s="58" t="s">
        <v>67</v>
      </c>
      <c r="D78" s="59"/>
      <c r="E78" s="60">
        <v>3.0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60">
        <v>0.0</v>
      </c>
      <c r="O78" s="60">
        <v>0.0</v>
      </c>
      <c r="P78" s="60">
        <v>1.0</v>
      </c>
      <c r="Q78" s="60">
        <v>0.0</v>
      </c>
      <c r="R78" s="60">
        <v>0.0</v>
      </c>
      <c r="S78" s="60">
        <v>0.0</v>
      </c>
      <c r="T78" s="13">
        <f t="shared" si="14"/>
        <v>4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S79" si="18">SUM(E72:E78)</f>
        <v>28</v>
      </c>
      <c r="F79" s="64">
        <f t="shared" si="18"/>
        <v>7</v>
      </c>
      <c r="G79" s="64">
        <f t="shared" si="18"/>
        <v>22</v>
      </c>
      <c r="H79" s="64">
        <f t="shared" si="18"/>
        <v>7</v>
      </c>
      <c r="I79" s="64">
        <f t="shared" si="18"/>
        <v>6</v>
      </c>
      <c r="J79" s="64">
        <f t="shared" si="18"/>
        <v>9</v>
      </c>
      <c r="K79" s="64">
        <f t="shared" si="18"/>
        <v>10</v>
      </c>
      <c r="L79" s="64">
        <f t="shared" si="18"/>
        <v>36</v>
      </c>
      <c r="M79" s="64">
        <f t="shared" si="18"/>
        <v>30</v>
      </c>
      <c r="N79" s="64">
        <f t="shared" si="18"/>
        <v>28</v>
      </c>
      <c r="O79" s="64">
        <f t="shared" si="18"/>
        <v>14</v>
      </c>
      <c r="P79" s="64">
        <f t="shared" si="18"/>
        <v>23</v>
      </c>
      <c r="Q79" s="64">
        <f t="shared" si="18"/>
        <v>27</v>
      </c>
      <c r="R79" s="64">
        <f t="shared" si="18"/>
        <v>17</v>
      </c>
      <c r="S79" s="64">
        <f t="shared" si="18"/>
        <v>8</v>
      </c>
      <c r="T79" s="13">
        <f t="shared" si="14"/>
        <v>272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2.0</v>
      </c>
      <c r="F81" s="60">
        <v>4.0</v>
      </c>
      <c r="G81" s="60">
        <v>5.0</v>
      </c>
      <c r="H81" s="60">
        <v>6.0</v>
      </c>
      <c r="I81" s="60">
        <v>3.0</v>
      </c>
      <c r="J81" s="60">
        <v>3.0</v>
      </c>
      <c r="K81" s="60">
        <v>4.0</v>
      </c>
      <c r="L81" s="60">
        <v>2.0</v>
      </c>
      <c r="M81" s="60">
        <v>2.0</v>
      </c>
      <c r="N81" s="60">
        <v>3.0</v>
      </c>
      <c r="O81" s="60">
        <v>13.0</v>
      </c>
      <c r="P81" s="60">
        <v>2.0</v>
      </c>
      <c r="Q81" s="60">
        <v>5.0</v>
      </c>
      <c r="R81" s="60">
        <v>12.0</v>
      </c>
      <c r="S81" s="60">
        <v>5.0</v>
      </c>
      <c r="T81" s="13">
        <f t="shared" si="14"/>
        <v>71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5.0</v>
      </c>
      <c r="F82" s="60">
        <v>10.0</v>
      </c>
      <c r="G82" s="60">
        <v>18.0</v>
      </c>
      <c r="H82" s="60">
        <v>12.0</v>
      </c>
      <c r="I82" s="60">
        <v>3.0</v>
      </c>
      <c r="J82" s="60">
        <v>11.0</v>
      </c>
      <c r="K82" s="60">
        <v>9.0</v>
      </c>
      <c r="L82" s="60">
        <v>17.0</v>
      </c>
      <c r="M82" s="60">
        <v>23.0</v>
      </c>
      <c r="N82" s="60">
        <v>17.0</v>
      </c>
      <c r="O82" s="60">
        <v>1.0</v>
      </c>
      <c r="P82" s="60">
        <v>4.0</v>
      </c>
      <c r="Q82" s="60">
        <v>2.0</v>
      </c>
      <c r="R82" s="60">
        <v>5.0</v>
      </c>
      <c r="S82" s="60">
        <v>1.0</v>
      </c>
      <c r="T82" s="13">
        <f t="shared" si="14"/>
        <v>138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0.0</v>
      </c>
      <c r="H83" s="60">
        <v>0.0</v>
      </c>
      <c r="I83" s="60">
        <v>0.0</v>
      </c>
      <c r="J83" s="60">
        <v>0.0</v>
      </c>
      <c r="K83" s="60">
        <v>1.0</v>
      </c>
      <c r="L83" s="60">
        <v>1.0</v>
      </c>
      <c r="M83" s="60">
        <v>0.0</v>
      </c>
      <c r="N83" s="60">
        <v>1.0</v>
      </c>
      <c r="O83" s="60">
        <v>1.0</v>
      </c>
      <c r="P83" s="60">
        <v>0.0</v>
      </c>
      <c r="Q83" s="60">
        <v>1.0</v>
      </c>
      <c r="R83" s="60">
        <v>0.0</v>
      </c>
      <c r="S83" s="60">
        <v>0.0</v>
      </c>
      <c r="T83" s="13">
        <f t="shared" si="14"/>
        <v>5</v>
      </c>
    </row>
    <row r="84" ht="12.75" customHeight="1">
      <c r="A84" s="18"/>
      <c r="B84" s="57"/>
      <c r="C84" s="58" t="s">
        <v>72</v>
      </c>
      <c r="D84" s="59"/>
      <c r="E84" s="60">
        <v>1.0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60">
        <v>2.0</v>
      </c>
      <c r="O84" s="60">
        <v>1.0</v>
      </c>
      <c r="P84" s="60">
        <v>1.0</v>
      </c>
      <c r="Q84" s="60">
        <v>0.0</v>
      </c>
      <c r="R84" s="60">
        <v>0.0</v>
      </c>
      <c r="S84" s="60">
        <v>1.0</v>
      </c>
      <c r="T84" s="13">
        <f t="shared" si="14"/>
        <v>6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1.0</v>
      </c>
      <c r="H85" s="60">
        <v>0.0</v>
      </c>
      <c r="I85" s="60">
        <v>1.0</v>
      </c>
      <c r="J85" s="60">
        <v>0.0</v>
      </c>
      <c r="K85" s="60">
        <v>0.0</v>
      </c>
      <c r="L85" s="60">
        <v>0.0</v>
      </c>
      <c r="M85" s="60">
        <v>0.0</v>
      </c>
      <c r="N85" s="60">
        <v>0.0</v>
      </c>
      <c r="O85" s="60">
        <v>1.0</v>
      </c>
      <c r="P85" s="60">
        <v>0.0</v>
      </c>
      <c r="Q85" s="60">
        <v>0.0</v>
      </c>
      <c r="R85" s="60">
        <v>0.0</v>
      </c>
      <c r="S85" s="60">
        <v>0.0</v>
      </c>
      <c r="T85" s="13">
        <f t="shared" si="14"/>
        <v>3</v>
      </c>
    </row>
    <row r="86" ht="12.75" customHeight="1">
      <c r="A86" s="18"/>
      <c r="B86" s="57"/>
      <c r="C86" s="58" t="s">
        <v>74</v>
      </c>
      <c r="D86" s="59"/>
      <c r="E86" s="60">
        <v>32.0</v>
      </c>
      <c r="F86" s="60">
        <v>44.0</v>
      </c>
      <c r="G86" s="60">
        <v>85.0</v>
      </c>
      <c r="H86" s="60">
        <v>31.0</v>
      </c>
      <c r="I86" s="60">
        <v>2.0</v>
      </c>
      <c r="J86" s="60">
        <v>2.0</v>
      </c>
      <c r="K86" s="60">
        <v>3.0</v>
      </c>
      <c r="L86" s="60">
        <v>12.0</v>
      </c>
      <c r="M86" s="60">
        <v>11.0</v>
      </c>
      <c r="N86" s="60">
        <v>18.0</v>
      </c>
      <c r="O86" s="60">
        <v>62.0</v>
      </c>
      <c r="P86" s="60">
        <v>30.0</v>
      </c>
      <c r="Q86" s="60">
        <v>91.0</v>
      </c>
      <c r="R86" s="60">
        <v>48.0</v>
      </c>
      <c r="S86" s="60">
        <v>11.0</v>
      </c>
      <c r="T86" s="13">
        <f t="shared" si="14"/>
        <v>482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1.0</v>
      </c>
      <c r="K87" s="60">
        <v>0.0</v>
      </c>
      <c r="L87" s="60">
        <v>0.0</v>
      </c>
      <c r="M87" s="60">
        <v>0.0</v>
      </c>
      <c r="N87" s="60">
        <v>0.0</v>
      </c>
      <c r="O87" s="60">
        <v>0.0</v>
      </c>
      <c r="P87" s="60">
        <v>1.0</v>
      </c>
      <c r="Q87" s="60">
        <v>0.0</v>
      </c>
      <c r="R87" s="60">
        <v>1.0</v>
      </c>
      <c r="S87" s="60">
        <v>0.0</v>
      </c>
      <c r="T87" s="13">
        <f t="shared" si="14"/>
        <v>3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S88" si="19">SUM(E81:E87)</f>
        <v>40</v>
      </c>
      <c r="F88" s="64">
        <f t="shared" si="19"/>
        <v>58</v>
      </c>
      <c r="G88" s="64">
        <f t="shared" si="19"/>
        <v>109</v>
      </c>
      <c r="H88" s="64">
        <f t="shared" si="19"/>
        <v>49</v>
      </c>
      <c r="I88" s="64">
        <f t="shared" si="19"/>
        <v>9</v>
      </c>
      <c r="J88" s="64">
        <f t="shared" si="19"/>
        <v>17</v>
      </c>
      <c r="K88" s="64">
        <f t="shared" si="19"/>
        <v>17</v>
      </c>
      <c r="L88" s="64">
        <f t="shared" si="19"/>
        <v>32</v>
      </c>
      <c r="M88" s="64">
        <f t="shared" si="19"/>
        <v>36</v>
      </c>
      <c r="N88" s="64">
        <f t="shared" si="19"/>
        <v>41</v>
      </c>
      <c r="O88" s="64">
        <f t="shared" si="19"/>
        <v>79</v>
      </c>
      <c r="P88" s="64">
        <f t="shared" si="19"/>
        <v>38</v>
      </c>
      <c r="Q88" s="64">
        <f t="shared" si="19"/>
        <v>99</v>
      </c>
      <c r="R88" s="64">
        <f t="shared" si="19"/>
        <v>66</v>
      </c>
      <c r="S88" s="64">
        <f t="shared" si="19"/>
        <v>18</v>
      </c>
      <c r="T88" s="13">
        <f t="shared" si="14"/>
        <v>708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0.0</v>
      </c>
      <c r="J90" s="60">
        <v>0.0</v>
      </c>
      <c r="K90" s="60">
        <v>0.0</v>
      </c>
      <c r="L90" s="60">
        <v>1.0</v>
      </c>
      <c r="M90" s="60">
        <v>1.0</v>
      </c>
      <c r="N90" s="60">
        <v>0.0</v>
      </c>
      <c r="O90" s="60">
        <v>0.0</v>
      </c>
      <c r="P90" s="60">
        <v>0.0</v>
      </c>
      <c r="Q90" s="60">
        <v>0.0</v>
      </c>
      <c r="R90" s="60">
        <v>1.0</v>
      </c>
      <c r="S90" s="60">
        <v>1.0</v>
      </c>
      <c r="T90" s="13">
        <f t="shared" si="14"/>
        <v>4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1.0</v>
      </c>
      <c r="F91" s="60">
        <v>0.0</v>
      </c>
      <c r="G91" s="60">
        <v>0.0</v>
      </c>
      <c r="H91" s="60">
        <v>0.0</v>
      </c>
      <c r="I91" s="60">
        <v>2.0</v>
      </c>
      <c r="J91" s="60">
        <v>1.0</v>
      </c>
      <c r="K91" s="60">
        <v>0.0</v>
      </c>
      <c r="L91" s="60">
        <v>0.0</v>
      </c>
      <c r="M91" s="60">
        <v>0.0</v>
      </c>
      <c r="N91" s="60">
        <v>0.0</v>
      </c>
      <c r="O91" s="60">
        <v>0.0</v>
      </c>
      <c r="P91" s="60">
        <v>0.0</v>
      </c>
      <c r="Q91" s="60">
        <v>0.0</v>
      </c>
      <c r="R91" s="60">
        <v>0.0</v>
      </c>
      <c r="S91" s="60">
        <v>0.0</v>
      </c>
      <c r="T91" s="13">
        <f t="shared" si="14"/>
        <v>4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S92" si="20">SUM(E90:E91)</f>
        <v>1</v>
      </c>
      <c r="F92" s="64">
        <f t="shared" si="20"/>
        <v>0</v>
      </c>
      <c r="G92" s="64">
        <f t="shared" si="20"/>
        <v>0</v>
      </c>
      <c r="H92" s="64">
        <f t="shared" si="20"/>
        <v>0</v>
      </c>
      <c r="I92" s="64">
        <f t="shared" si="20"/>
        <v>2</v>
      </c>
      <c r="J92" s="64">
        <f t="shared" si="20"/>
        <v>1</v>
      </c>
      <c r="K92" s="64">
        <f t="shared" si="20"/>
        <v>0</v>
      </c>
      <c r="L92" s="64">
        <f t="shared" si="20"/>
        <v>1</v>
      </c>
      <c r="M92" s="64">
        <f t="shared" si="20"/>
        <v>1</v>
      </c>
      <c r="N92" s="64">
        <f t="shared" si="20"/>
        <v>0</v>
      </c>
      <c r="O92" s="64">
        <f t="shared" si="20"/>
        <v>0</v>
      </c>
      <c r="P92" s="64">
        <f t="shared" si="20"/>
        <v>0</v>
      </c>
      <c r="Q92" s="64">
        <f t="shared" si="20"/>
        <v>0</v>
      </c>
      <c r="R92" s="64">
        <f t="shared" si="20"/>
        <v>1</v>
      </c>
      <c r="S92" s="64">
        <f t="shared" si="20"/>
        <v>1</v>
      </c>
      <c r="T92" s="13">
        <f t="shared" si="14"/>
        <v>8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1.0</v>
      </c>
      <c r="F94" s="60">
        <v>1.0</v>
      </c>
      <c r="G94" s="60">
        <v>0.0</v>
      </c>
      <c r="H94" s="60">
        <v>3.0</v>
      </c>
      <c r="I94" s="60">
        <v>11.0</v>
      </c>
      <c r="J94" s="60">
        <v>11.0</v>
      </c>
      <c r="K94" s="60">
        <v>9.0</v>
      </c>
      <c r="L94" s="60">
        <v>1.0</v>
      </c>
      <c r="M94" s="60">
        <v>2.0</v>
      </c>
      <c r="N94" s="60">
        <v>5.0</v>
      </c>
      <c r="O94" s="60">
        <v>1.0</v>
      </c>
      <c r="P94" s="60">
        <v>2.0</v>
      </c>
      <c r="Q94" s="60">
        <v>1.0</v>
      </c>
      <c r="R94" s="60">
        <v>2.0</v>
      </c>
      <c r="S94" s="60">
        <v>1.0</v>
      </c>
      <c r="T94" s="13">
        <f t="shared" si="14"/>
        <v>51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15.0</v>
      </c>
      <c r="F95" s="60">
        <v>15.0</v>
      </c>
      <c r="G95" s="60">
        <v>1.0</v>
      </c>
      <c r="H95" s="60">
        <v>13.0</v>
      </c>
      <c r="I95" s="60">
        <v>22.0</v>
      </c>
      <c r="J95" s="60">
        <v>40.0</v>
      </c>
      <c r="K95" s="60">
        <v>23.0</v>
      </c>
      <c r="L95" s="60">
        <v>9.0</v>
      </c>
      <c r="M95" s="60">
        <v>41.0</v>
      </c>
      <c r="N95" s="60">
        <v>15.0</v>
      </c>
      <c r="O95" s="60">
        <v>11.0</v>
      </c>
      <c r="P95" s="60">
        <v>6.0</v>
      </c>
      <c r="Q95" s="60">
        <v>9.0</v>
      </c>
      <c r="R95" s="60">
        <v>13.0</v>
      </c>
      <c r="S95" s="60">
        <v>6.0</v>
      </c>
      <c r="T95" s="13">
        <f t="shared" si="14"/>
        <v>239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0.0</v>
      </c>
      <c r="J96" s="60">
        <v>0.0</v>
      </c>
      <c r="K96" s="60">
        <v>0.0</v>
      </c>
      <c r="L96" s="60">
        <v>0.0</v>
      </c>
      <c r="M96" s="60">
        <v>1.0</v>
      </c>
      <c r="N96" s="60">
        <v>1.0</v>
      </c>
      <c r="O96" s="60">
        <v>0.0</v>
      </c>
      <c r="P96" s="60">
        <v>0.0</v>
      </c>
      <c r="Q96" s="60">
        <v>0.0</v>
      </c>
      <c r="R96" s="60">
        <v>1.0</v>
      </c>
      <c r="S96" s="60">
        <v>0.0</v>
      </c>
      <c r="T96" s="13">
        <f t="shared" si="14"/>
        <v>3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2.0</v>
      </c>
      <c r="G97" s="60">
        <v>0.0</v>
      </c>
      <c r="H97" s="60">
        <v>1.0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60">
        <v>0.0</v>
      </c>
      <c r="P97" s="60">
        <v>0.0</v>
      </c>
      <c r="Q97" s="60">
        <v>0.0</v>
      </c>
      <c r="R97" s="60">
        <v>1.0</v>
      </c>
      <c r="S97" s="60">
        <v>0.0</v>
      </c>
      <c r="T97" s="13">
        <f t="shared" si="14"/>
        <v>4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0.0</v>
      </c>
      <c r="S98" s="60">
        <v>0.0</v>
      </c>
      <c r="T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0.0</v>
      </c>
      <c r="M99" s="60">
        <v>0.0</v>
      </c>
      <c r="N99" s="60">
        <v>0.0</v>
      </c>
      <c r="O99" s="60">
        <v>0.0</v>
      </c>
      <c r="P99" s="60">
        <v>0.0</v>
      </c>
      <c r="Q99" s="60">
        <v>0.0</v>
      </c>
      <c r="R99" s="60">
        <v>0.0</v>
      </c>
      <c r="S99" s="60">
        <v>0.0</v>
      </c>
      <c r="T99" s="13">
        <f t="shared" si="14"/>
        <v>0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60">
        <v>0.0</v>
      </c>
      <c r="S100" s="60">
        <v>1.0</v>
      </c>
      <c r="T100" s="13">
        <f t="shared" si="14"/>
        <v>1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S101" si="21">SUM(E94:E100)</f>
        <v>16</v>
      </c>
      <c r="F101" s="64">
        <f t="shared" si="21"/>
        <v>18</v>
      </c>
      <c r="G101" s="64">
        <f t="shared" si="21"/>
        <v>1</v>
      </c>
      <c r="H101" s="64">
        <f t="shared" si="21"/>
        <v>17</v>
      </c>
      <c r="I101" s="64">
        <f t="shared" si="21"/>
        <v>33</v>
      </c>
      <c r="J101" s="64">
        <f t="shared" si="21"/>
        <v>51</v>
      </c>
      <c r="K101" s="64">
        <f t="shared" si="21"/>
        <v>32</v>
      </c>
      <c r="L101" s="64">
        <f t="shared" si="21"/>
        <v>10</v>
      </c>
      <c r="M101" s="64">
        <f t="shared" si="21"/>
        <v>44</v>
      </c>
      <c r="N101" s="64">
        <f t="shared" si="21"/>
        <v>21</v>
      </c>
      <c r="O101" s="64">
        <f t="shared" si="21"/>
        <v>12</v>
      </c>
      <c r="P101" s="64">
        <f t="shared" si="21"/>
        <v>8</v>
      </c>
      <c r="Q101" s="64">
        <f t="shared" si="21"/>
        <v>10</v>
      </c>
      <c r="R101" s="64">
        <f t="shared" si="21"/>
        <v>17</v>
      </c>
      <c r="S101" s="64">
        <f t="shared" si="21"/>
        <v>8</v>
      </c>
      <c r="T101" s="13">
        <f t="shared" si="14"/>
        <v>298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2.0</v>
      </c>
      <c r="G103" s="60">
        <v>0.0</v>
      </c>
      <c r="H103" s="60">
        <v>0.0</v>
      </c>
      <c r="I103" s="60">
        <v>0.0</v>
      </c>
      <c r="J103" s="60">
        <v>0.0</v>
      </c>
      <c r="K103" s="60">
        <v>0.0</v>
      </c>
      <c r="L103" s="60">
        <v>5.0</v>
      </c>
      <c r="M103" s="60">
        <v>1.0</v>
      </c>
      <c r="N103" s="60">
        <v>0.0</v>
      </c>
      <c r="O103" s="60">
        <v>0.0</v>
      </c>
      <c r="P103" s="60">
        <v>2.0</v>
      </c>
      <c r="Q103" s="60">
        <v>0.0</v>
      </c>
      <c r="R103" s="60">
        <v>2.0</v>
      </c>
      <c r="S103" s="60">
        <v>4.0</v>
      </c>
      <c r="T103" s="13">
        <f t="shared" si="14"/>
        <v>16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3.0</v>
      </c>
      <c r="F104" s="60">
        <v>1.0</v>
      </c>
      <c r="G104" s="60">
        <v>1.0</v>
      </c>
      <c r="H104" s="60">
        <v>2.0</v>
      </c>
      <c r="I104" s="60">
        <v>3.0</v>
      </c>
      <c r="J104" s="60">
        <v>1.0</v>
      </c>
      <c r="K104" s="60">
        <v>2.0</v>
      </c>
      <c r="L104" s="60">
        <v>2.0</v>
      </c>
      <c r="M104" s="60">
        <v>0.0</v>
      </c>
      <c r="N104" s="60">
        <v>7.0</v>
      </c>
      <c r="O104" s="60">
        <v>0.0</v>
      </c>
      <c r="P104" s="60">
        <v>2.0</v>
      </c>
      <c r="Q104" s="60">
        <v>0.0</v>
      </c>
      <c r="R104" s="60">
        <v>1.0</v>
      </c>
      <c r="S104" s="60">
        <v>13.0</v>
      </c>
      <c r="T104" s="13">
        <f t="shared" si="14"/>
        <v>38</v>
      </c>
    </row>
    <row r="105" ht="12.75" customHeight="1">
      <c r="A105" s="18"/>
      <c r="B105" s="57"/>
      <c r="C105" s="58" t="s">
        <v>90</v>
      </c>
      <c r="D105" s="59"/>
      <c r="E105" s="60">
        <v>1.0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0.0</v>
      </c>
      <c r="O105" s="60">
        <v>0.0</v>
      </c>
      <c r="P105" s="60">
        <v>0.0</v>
      </c>
      <c r="Q105" s="60">
        <v>1.0</v>
      </c>
      <c r="R105" s="60">
        <v>0.0</v>
      </c>
      <c r="S105" s="60">
        <v>0.0</v>
      </c>
      <c r="T105" s="13">
        <f t="shared" si="14"/>
        <v>2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60">
        <v>0.0</v>
      </c>
      <c r="O106" s="60">
        <v>0.0</v>
      </c>
      <c r="P106" s="60">
        <v>1.0</v>
      </c>
      <c r="Q106" s="60">
        <v>0.0</v>
      </c>
      <c r="R106" s="60">
        <v>0.0</v>
      </c>
      <c r="S106" s="60">
        <v>0.0</v>
      </c>
      <c r="T106" s="13">
        <f t="shared" si="14"/>
        <v>1</v>
      </c>
    </row>
    <row r="107" ht="12.75" customHeight="1">
      <c r="A107" s="18"/>
      <c r="B107" s="57"/>
      <c r="C107" s="58" t="s">
        <v>92</v>
      </c>
      <c r="D107" s="59"/>
      <c r="E107" s="60">
        <v>1.0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60">
        <v>0.0</v>
      </c>
      <c r="P107" s="60">
        <v>1.0</v>
      </c>
      <c r="Q107" s="60">
        <v>0.0</v>
      </c>
      <c r="R107" s="60">
        <v>0.0</v>
      </c>
      <c r="S107" s="60">
        <v>0.0</v>
      </c>
      <c r="T107" s="13">
        <f t="shared" si="14"/>
        <v>2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1.0</v>
      </c>
      <c r="N108" s="60">
        <v>0.0</v>
      </c>
      <c r="O108" s="60">
        <v>0.0</v>
      </c>
      <c r="P108" s="60">
        <v>0.0</v>
      </c>
      <c r="Q108" s="60">
        <v>0.0</v>
      </c>
      <c r="R108" s="60">
        <v>0.0</v>
      </c>
      <c r="S108" s="60">
        <v>0.0</v>
      </c>
      <c r="T108" s="13">
        <f t="shared" si="14"/>
        <v>1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1.0</v>
      </c>
      <c r="G109" s="60">
        <v>0.0</v>
      </c>
      <c r="H109" s="60">
        <v>0.0</v>
      </c>
      <c r="I109" s="60">
        <v>0.0</v>
      </c>
      <c r="J109" s="60">
        <v>0.0</v>
      </c>
      <c r="K109" s="60">
        <v>0.0</v>
      </c>
      <c r="L109" s="60">
        <v>3.0</v>
      </c>
      <c r="M109" s="60">
        <v>2.0</v>
      </c>
      <c r="N109" s="60">
        <v>0.0</v>
      </c>
      <c r="O109" s="60">
        <v>0.0</v>
      </c>
      <c r="P109" s="60">
        <v>0.0</v>
      </c>
      <c r="Q109" s="60">
        <v>0.0</v>
      </c>
      <c r="R109" s="60">
        <v>0.0</v>
      </c>
      <c r="S109" s="60">
        <v>0.0</v>
      </c>
      <c r="T109" s="13">
        <f t="shared" si="14"/>
        <v>6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S110" si="22">SUM(E103:E109)</f>
        <v>5</v>
      </c>
      <c r="F110" s="64">
        <f t="shared" si="22"/>
        <v>4</v>
      </c>
      <c r="G110" s="64">
        <f t="shared" si="22"/>
        <v>1</v>
      </c>
      <c r="H110" s="64">
        <f t="shared" si="22"/>
        <v>2</v>
      </c>
      <c r="I110" s="64">
        <f t="shared" si="22"/>
        <v>3</v>
      </c>
      <c r="J110" s="64">
        <f t="shared" si="22"/>
        <v>1</v>
      </c>
      <c r="K110" s="64">
        <f t="shared" si="22"/>
        <v>2</v>
      </c>
      <c r="L110" s="64">
        <f t="shared" si="22"/>
        <v>10</v>
      </c>
      <c r="M110" s="64">
        <f t="shared" si="22"/>
        <v>4</v>
      </c>
      <c r="N110" s="64">
        <f t="shared" si="22"/>
        <v>7</v>
      </c>
      <c r="O110" s="64">
        <f t="shared" si="22"/>
        <v>0</v>
      </c>
      <c r="P110" s="64">
        <f t="shared" si="22"/>
        <v>6</v>
      </c>
      <c r="Q110" s="64">
        <f t="shared" si="22"/>
        <v>1</v>
      </c>
      <c r="R110" s="64">
        <f t="shared" si="22"/>
        <v>3</v>
      </c>
      <c r="S110" s="64">
        <f t="shared" si="22"/>
        <v>17</v>
      </c>
      <c r="T110" s="13">
        <f t="shared" si="14"/>
        <v>66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60">
        <v>0.0</v>
      </c>
      <c r="P112" s="60">
        <v>0.0</v>
      </c>
      <c r="Q112" s="60">
        <v>0.0</v>
      </c>
      <c r="R112" s="60">
        <v>0.0</v>
      </c>
      <c r="S112" s="60">
        <v>0.0</v>
      </c>
      <c r="T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60">
        <v>0.0</v>
      </c>
      <c r="O113" s="60">
        <v>0.0</v>
      </c>
      <c r="P113" s="60">
        <v>1.0</v>
      </c>
      <c r="Q113" s="60">
        <v>0.0</v>
      </c>
      <c r="R113" s="60">
        <v>0.0</v>
      </c>
      <c r="S113" s="60">
        <v>0.0</v>
      </c>
      <c r="T113" s="13">
        <f t="shared" si="14"/>
        <v>1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S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0</v>
      </c>
      <c r="N114" s="64">
        <f t="shared" si="23"/>
        <v>0</v>
      </c>
      <c r="O114" s="64">
        <f t="shared" si="23"/>
        <v>0</v>
      </c>
      <c r="P114" s="64">
        <f t="shared" si="23"/>
        <v>1</v>
      </c>
      <c r="Q114" s="64">
        <f t="shared" si="23"/>
        <v>0</v>
      </c>
      <c r="R114" s="64">
        <f t="shared" si="23"/>
        <v>0</v>
      </c>
      <c r="S114" s="64">
        <f t="shared" si="23"/>
        <v>0</v>
      </c>
      <c r="T114" s="13">
        <f t="shared" si="14"/>
        <v>1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0.0</v>
      </c>
      <c r="I116" s="60">
        <v>0.0</v>
      </c>
      <c r="J116" s="60">
        <v>0.0</v>
      </c>
      <c r="K116" s="60">
        <v>0.0</v>
      </c>
      <c r="L116" s="60">
        <v>0.0</v>
      </c>
      <c r="M116" s="60">
        <v>0.0</v>
      </c>
      <c r="N116" s="60">
        <v>0.0</v>
      </c>
      <c r="O116" s="60">
        <v>0.0</v>
      </c>
      <c r="P116" s="60">
        <v>0.0</v>
      </c>
      <c r="Q116" s="60">
        <v>0.0</v>
      </c>
      <c r="R116" s="60">
        <v>0.0</v>
      </c>
      <c r="S116" s="60">
        <v>1.0</v>
      </c>
      <c r="T116" s="13">
        <f t="shared" si="14"/>
        <v>1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0.0</v>
      </c>
      <c r="G117" s="60">
        <v>0.0</v>
      </c>
      <c r="H117" s="60">
        <v>0.0</v>
      </c>
      <c r="I117" s="60">
        <v>0.0</v>
      </c>
      <c r="J117" s="60">
        <v>0.0</v>
      </c>
      <c r="K117" s="60">
        <v>0.0</v>
      </c>
      <c r="L117" s="60">
        <v>0.0</v>
      </c>
      <c r="M117" s="60">
        <v>4.0</v>
      </c>
      <c r="N117" s="60">
        <v>3.0</v>
      </c>
      <c r="O117" s="60">
        <v>1.0</v>
      </c>
      <c r="P117" s="60">
        <v>0.0</v>
      </c>
      <c r="Q117" s="60">
        <v>0.0</v>
      </c>
      <c r="R117" s="60">
        <v>3.0</v>
      </c>
      <c r="S117" s="60">
        <v>3.0</v>
      </c>
      <c r="T117" s="13">
        <f t="shared" si="14"/>
        <v>14</v>
      </c>
      <c r="U117" s="5"/>
      <c r="V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60">
        <v>0.0</v>
      </c>
      <c r="S118" s="60">
        <v>0.0</v>
      </c>
      <c r="T118" s="13">
        <f t="shared" si="14"/>
        <v>0</v>
      </c>
      <c r="U118" s="5"/>
      <c r="V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60">
        <v>0.0</v>
      </c>
      <c r="S119" s="60">
        <v>0.0</v>
      </c>
      <c r="T119" s="13">
        <f t="shared" si="14"/>
        <v>0</v>
      </c>
      <c r="U119" s="5"/>
      <c r="V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0.0</v>
      </c>
      <c r="P120" s="60">
        <v>0.0</v>
      </c>
      <c r="Q120" s="60">
        <v>0.0</v>
      </c>
      <c r="R120" s="60">
        <v>0.0</v>
      </c>
      <c r="S120" s="60">
        <v>0.0</v>
      </c>
      <c r="T120" s="13">
        <f t="shared" si="14"/>
        <v>0</v>
      </c>
      <c r="U120" s="5"/>
      <c r="V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60">
        <v>0.0</v>
      </c>
      <c r="P121" s="60">
        <v>0.0</v>
      </c>
      <c r="Q121" s="60">
        <v>0.0</v>
      </c>
      <c r="R121" s="60">
        <v>0.0</v>
      </c>
      <c r="S121" s="60">
        <v>0.0</v>
      </c>
      <c r="T121" s="13">
        <f t="shared" si="14"/>
        <v>0</v>
      </c>
      <c r="U121" s="5"/>
      <c r="V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60">
        <v>0.0</v>
      </c>
      <c r="P122" s="60">
        <v>0.0</v>
      </c>
      <c r="Q122" s="60">
        <v>0.0</v>
      </c>
      <c r="R122" s="60">
        <v>0.0</v>
      </c>
      <c r="S122" s="60">
        <v>0.0</v>
      </c>
      <c r="T122" s="13">
        <f t="shared" si="14"/>
        <v>0</v>
      </c>
      <c r="U122" s="5"/>
      <c r="V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S123" si="24">SUM(E116:E122)</f>
        <v>0</v>
      </c>
      <c r="F123" s="64">
        <f t="shared" si="24"/>
        <v>0</v>
      </c>
      <c r="G123" s="64">
        <f t="shared" si="24"/>
        <v>0</v>
      </c>
      <c r="H123" s="64">
        <f t="shared" si="24"/>
        <v>0</v>
      </c>
      <c r="I123" s="64">
        <f t="shared" si="24"/>
        <v>0</v>
      </c>
      <c r="J123" s="64">
        <f t="shared" si="24"/>
        <v>0</v>
      </c>
      <c r="K123" s="64">
        <f t="shared" si="24"/>
        <v>0</v>
      </c>
      <c r="L123" s="64">
        <f t="shared" si="24"/>
        <v>0</v>
      </c>
      <c r="M123" s="64">
        <f t="shared" si="24"/>
        <v>4</v>
      </c>
      <c r="N123" s="64">
        <f t="shared" si="24"/>
        <v>3</v>
      </c>
      <c r="O123" s="64">
        <f t="shared" si="24"/>
        <v>1</v>
      </c>
      <c r="P123" s="64">
        <f t="shared" si="24"/>
        <v>0</v>
      </c>
      <c r="Q123" s="64">
        <f t="shared" si="24"/>
        <v>0</v>
      </c>
      <c r="R123" s="64">
        <f t="shared" si="24"/>
        <v>3</v>
      </c>
      <c r="S123" s="64">
        <f t="shared" si="24"/>
        <v>4</v>
      </c>
      <c r="T123" s="13">
        <f t="shared" si="14"/>
        <v>15</v>
      </c>
      <c r="U123" s="5"/>
      <c r="V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13">
        <f t="shared" si="14"/>
        <v>0</v>
      </c>
      <c r="U124" s="5"/>
      <c r="V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1.0</v>
      </c>
      <c r="J125" s="60">
        <v>1.0</v>
      </c>
      <c r="K125" s="60">
        <v>1.0</v>
      </c>
      <c r="L125" s="60">
        <v>1.0</v>
      </c>
      <c r="M125" s="60">
        <v>1.0</v>
      </c>
      <c r="N125" s="60">
        <v>0.0</v>
      </c>
      <c r="O125" s="60">
        <v>0.0</v>
      </c>
      <c r="P125" s="60">
        <v>0.0</v>
      </c>
      <c r="Q125" s="60">
        <v>0.0</v>
      </c>
      <c r="R125" s="60">
        <v>0.0</v>
      </c>
      <c r="S125" s="60">
        <v>1.0</v>
      </c>
      <c r="T125" s="13">
        <f t="shared" si="14"/>
        <v>6</v>
      </c>
      <c r="U125" s="5"/>
      <c r="V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3">
        <f t="shared" si="14"/>
        <v>0</v>
      </c>
      <c r="U126" s="5"/>
      <c r="V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S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1</v>
      </c>
      <c r="J127" s="64">
        <f t="shared" si="25"/>
        <v>1</v>
      </c>
      <c r="K127" s="64">
        <f t="shared" si="25"/>
        <v>1</v>
      </c>
      <c r="L127" s="64">
        <f t="shared" si="25"/>
        <v>1</v>
      </c>
      <c r="M127" s="64">
        <f t="shared" si="25"/>
        <v>1</v>
      </c>
      <c r="N127" s="64">
        <f t="shared" si="25"/>
        <v>0</v>
      </c>
      <c r="O127" s="64">
        <f t="shared" si="25"/>
        <v>0</v>
      </c>
      <c r="P127" s="64">
        <f t="shared" si="25"/>
        <v>0</v>
      </c>
      <c r="Q127" s="64">
        <f t="shared" si="25"/>
        <v>0</v>
      </c>
      <c r="R127" s="64">
        <f t="shared" si="25"/>
        <v>0</v>
      </c>
      <c r="S127" s="64">
        <f t="shared" si="25"/>
        <v>1</v>
      </c>
      <c r="T127" s="13">
        <f t="shared" si="14"/>
        <v>6</v>
      </c>
      <c r="U127" s="5"/>
      <c r="V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13">
        <f t="shared" si="14"/>
        <v>0</v>
      </c>
      <c r="U128" s="5"/>
      <c r="V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1.0</v>
      </c>
      <c r="H129" s="60">
        <v>2.0</v>
      </c>
      <c r="I129" s="60">
        <v>2.0</v>
      </c>
      <c r="J129" s="60">
        <v>3.0</v>
      </c>
      <c r="K129" s="60">
        <v>3.0</v>
      </c>
      <c r="L129" s="60">
        <v>0.0</v>
      </c>
      <c r="M129" s="60">
        <v>0.0</v>
      </c>
      <c r="N129" s="60">
        <v>0.0</v>
      </c>
      <c r="O129" s="60">
        <v>0.0</v>
      </c>
      <c r="P129" s="60">
        <v>0.0</v>
      </c>
      <c r="Q129" s="60">
        <v>1.0</v>
      </c>
      <c r="R129" s="60">
        <v>1.0</v>
      </c>
      <c r="S129" s="60">
        <v>0.0</v>
      </c>
      <c r="T129" s="13">
        <f t="shared" si="14"/>
        <v>13</v>
      </c>
      <c r="U129" s="5"/>
      <c r="V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0.0</v>
      </c>
      <c r="G130" s="60">
        <v>0.0</v>
      </c>
      <c r="H130" s="60">
        <v>0.0</v>
      </c>
      <c r="I130" s="60">
        <v>6.0</v>
      </c>
      <c r="J130" s="60">
        <v>7.0</v>
      </c>
      <c r="K130" s="60">
        <v>4.0</v>
      </c>
      <c r="L130" s="60">
        <v>0.0</v>
      </c>
      <c r="M130" s="60">
        <v>0.0</v>
      </c>
      <c r="N130" s="60">
        <v>1.0</v>
      </c>
      <c r="O130" s="60">
        <v>0.0</v>
      </c>
      <c r="P130" s="60">
        <v>0.0</v>
      </c>
      <c r="Q130" s="60">
        <v>0.0</v>
      </c>
      <c r="R130" s="60">
        <v>6.0</v>
      </c>
      <c r="S130" s="60">
        <v>1.0</v>
      </c>
      <c r="T130" s="13">
        <f t="shared" si="14"/>
        <v>25</v>
      </c>
      <c r="U130" s="1"/>
      <c r="V130" s="1"/>
    </row>
    <row r="131" ht="12.75" customHeight="1">
      <c r="A131" s="18"/>
      <c r="B131" s="57"/>
      <c r="C131" s="58" t="s">
        <v>112</v>
      </c>
      <c r="D131" s="59"/>
      <c r="E131" s="60">
        <v>1.0</v>
      </c>
      <c r="F131" s="60">
        <v>1.0</v>
      </c>
      <c r="G131" s="60">
        <v>1.0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60">
        <v>1.0</v>
      </c>
      <c r="O131" s="60">
        <v>0.0</v>
      </c>
      <c r="P131" s="60">
        <v>1.0</v>
      </c>
      <c r="Q131" s="60">
        <v>0.0</v>
      </c>
      <c r="R131" s="60">
        <v>0.0</v>
      </c>
      <c r="S131" s="60">
        <v>0.0</v>
      </c>
      <c r="T131" s="13">
        <f t="shared" si="14"/>
        <v>5</v>
      </c>
      <c r="U131" s="54"/>
      <c r="V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60">
        <v>0.0</v>
      </c>
      <c r="P132" s="60">
        <v>0.0</v>
      </c>
      <c r="Q132" s="60">
        <v>0.0</v>
      </c>
      <c r="R132" s="60">
        <v>0.0</v>
      </c>
      <c r="S132" s="60">
        <v>0.0</v>
      </c>
      <c r="T132" s="13">
        <f t="shared" si="14"/>
        <v>0</v>
      </c>
      <c r="U132" s="5"/>
      <c r="V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60">
        <v>0.0</v>
      </c>
      <c r="P133" s="60">
        <v>0.0</v>
      </c>
      <c r="Q133" s="60">
        <v>0.0</v>
      </c>
      <c r="R133" s="60">
        <v>0.0</v>
      </c>
      <c r="S133" s="60">
        <v>0.0</v>
      </c>
      <c r="T133" s="13">
        <f t="shared" si="14"/>
        <v>0</v>
      </c>
      <c r="U133" s="5"/>
      <c r="V133" s="5"/>
    </row>
    <row r="134" ht="12.75" customHeight="1">
      <c r="A134" s="18"/>
      <c r="B134" s="57"/>
      <c r="C134" s="58" t="s">
        <v>115</v>
      </c>
      <c r="D134" s="59"/>
      <c r="E134" s="60">
        <v>1.0</v>
      </c>
      <c r="F134" s="60">
        <v>0.0</v>
      </c>
      <c r="G134" s="60">
        <v>0.0</v>
      </c>
      <c r="H134" s="60">
        <v>0.0</v>
      </c>
      <c r="I134" s="60">
        <v>0.0</v>
      </c>
      <c r="J134" s="60">
        <v>1.0</v>
      </c>
      <c r="K134" s="60">
        <v>3.0</v>
      </c>
      <c r="L134" s="60">
        <v>0.0</v>
      </c>
      <c r="M134" s="60">
        <v>0.0</v>
      </c>
      <c r="N134" s="60">
        <v>0.0</v>
      </c>
      <c r="O134" s="60">
        <v>0.0</v>
      </c>
      <c r="P134" s="60">
        <v>0.0</v>
      </c>
      <c r="Q134" s="60">
        <v>0.0</v>
      </c>
      <c r="R134" s="60">
        <v>0.0</v>
      </c>
      <c r="S134" s="60">
        <v>0.0</v>
      </c>
      <c r="T134" s="13">
        <f t="shared" si="14"/>
        <v>5</v>
      </c>
      <c r="U134" s="5"/>
      <c r="V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60">
        <v>0.0</v>
      </c>
      <c r="Q135" s="60">
        <v>0.0</v>
      </c>
      <c r="R135" s="60">
        <v>0.0</v>
      </c>
      <c r="S135" s="60">
        <v>0.0</v>
      </c>
      <c r="T135" s="13">
        <f t="shared" si="14"/>
        <v>0</v>
      </c>
      <c r="U135" s="5"/>
      <c r="V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S136" si="26">SUM(E129:E135)</f>
        <v>2</v>
      </c>
      <c r="F136" s="64">
        <f t="shared" si="26"/>
        <v>1</v>
      </c>
      <c r="G136" s="64">
        <f t="shared" si="26"/>
        <v>2</v>
      </c>
      <c r="H136" s="64">
        <f t="shared" si="26"/>
        <v>2</v>
      </c>
      <c r="I136" s="64">
        <f t="shared" si="26"/>
        <v>8</v>
      </c>
      <c r="J136" s="64">
        <f t="shared" si="26"/>
        <v>11</v>
      </c>
      <c r="K136" s="64">
        <f t="shared" si="26"/>
        <v>10</v>
      </c>
      <c r="L136" s="64">
        <f t="shared" si="26"/>
        <v>0</v>
      </c>
      <c r="M136" s="64">
        <f t="shared" si="26"/>
        <v>0</v>
      </c>
      <c r="N136" s="64">
        <f t="shared" si="26"/>
        <v>2</v>
      </c>
      <c r="O136" s="64">
        <f t="shared" si="26"/>
        <v>0</v>
      </c>
      <c r="P136" s="64">
        <f t="shared" si="26"/>
        <v>1</v>
      </c>
      <c r="Q136" s="64">
        <f t="shared" si="26"/>
        <v>1</v>
      </c>
      <c r="R136" s="64">
        <f t="shared" si="26"/>
        <v>7</v>
      </c>
      <c r="S136" s="64">
        <f t="shared" si="26"/>
        <v>1</v>
      </c>
      <c r="T136" s="13">
        <f t="shared" si="14"/>
        <v>48</v>
      </c>
      <c r="U136" s="5"/>
      <c r="V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13">
        <f t="shared" si="14"/>
        <v>0</v>
      </c>
      <c r="U137" s="5"/>
      <c r="V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6.0</v>
      </c>
      <c r="J138" s="60">
        <v>0.0</v>
      </c>
      <c r="K138" s="60">
        <v>0.0</v>
      </c>
      <c r="L138" s="60">
        <v>0.0</v>
      </c>
      <c r="M138" s="60">
        <v>0.0</v>
      </c>
      <c r="N138" s="60">
        <v>0.0</v>
      </c>
      <c r="O138" s="60">
        <v>0.0</v>
      </c>
      <c r="P138" s="60">
        <v>0.0</v>
      </c>
      <c r="Q138" s="60">
        <v>0.0</v>
      </c>
      <c r="R138" s="60">
        <v>0.0</v>
      </c>
      <c r="S138" s="60">
        <v>0.0</v>
      </c>
      <c r="T138" s="13">
        <f t="shared" si="14"/>
        <v>6</v>
      </c>
      <c r="U138" s="5"/>
      <c r="V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1.0</v>
      </c>
      <c r="G139" s="60">
        <v>1.0</v>
      </c>
      <c r="H139" s="60">
        <v>0.0</v>
      </c>
      <c r="I139" s="60">
        <v>21.0</v>
      </c>
      <c r="J139" s="60">
        <v>0.0</v>
      </c>
      <c r="K139" s="60">
        <v>3.0</v>
      </c>
      <c r="L139" s="60">
        <v>0.0</v>
      </c>
      <c r="M139" s="60">
        <v>0.0</v>
      </c>
      <c r="N139" s="60">
        <v>6.0</v>
      </c>
      <c r="O139" s="60">
        <v>0.0</v>
      </c>
      <c r="P139" s="60">
        <v>0.0</v>
      </c>
      <c r="Q139" s="60">
        <v>2.0</v>
      </c>
      <c r="R139" s="60">
        <v>1.0</v>
      </c>
      <c r="S139" s="60">
        <v>0.0</v>
      </c>
      <c r="T139" s="13">
        <f t="shared" si="14"/>
        <v>35</v>
      </c>
      <c r="U139" s="5"/>
      <c r="V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1.0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60">
        <v>0.0</v>
      </c>
      <c r="Q140" s="60">
        <v>0.0</v>
      </c>
      <c r="R140" s="60">
        <v>0.0</v>
      </c>
      <c r="S140" s="60">
        <v>0.0</v>
      </c>
      <c r="T140" s="13">
        <f t="shared" si="14"/>
        <v>1</v>
      </c>
      <c r="U140" s="5"/>
      <c r="V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60">
        <v>0.0</v>
      </c>
      <c r="O141" s="60">
        <v>0.0</v>
      </c>
      <c r="P141" s="60">
        <v>0.0</v>
      </c>
      <c r="Q141" s="60">
        <v>0.0</v>
      </c>
      <c r="R141" s="60">
        <v>0.0</v>
      </c>
      <c r="S141" s="60">
        <v>0.0</v>
      </c>
      <c r="T141" s="13">
        <f t="shared" si="14"/>
        <v>0</v>
      </c>
      <c r="U141" s="1"/>
      <c r="V141" s="1"/>
    </row>
    <row r="142" ht="12.75" customHeight="1">
      <c r="A142" s="18"/>
      <c r="B142" s="57"/>
      <c r="C142" s="58" t="s">
        <v>122</v>
      </c>
      <c r="D142" s="59"/>
      <c r="E142" s="60">
        <v>1.0</v>
      </c>
      <c r="F142" s="60">
        <v>6.0</v>
      </c>
      <c r="G142" s="60">
        <v>0.0</v>
      </c>
      <c r="H142" s="60">
        <v>7.0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0.0</v>
      </c>
      <c r="O142" s="60">
        <v>0.0</v>
      </c>
      <c r="P142" s="60">
        <v>0.0</v>
      </c>
      <c r="Q142" s="60">
        <v>0.0</v>
      </c>
      <c r="R142" s="60">
        <v>0.0</v>
      </c>
      <c r="S142" s="60">
        <v>0.0</v>
      </c>
      <c r="T142" s="13">
        <f t="shared" si="14"/>
        <v>14</v>
      </c>
      <c r="U142" s="54"/>
      <c r="V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0.0</v>
      </c>
      <c r="P143" s="60">
        <v>0.0</v>
      </c>
      <c r="Q143" s="60">
        <v>0.0</v>
      </c>
      <c r="R143" s="60">
        <v>0.0</v>
      </c>
      <c r="S143" s="60">
        <v>0.0</v>
      </c>
      <c r="T143" s="13">
        <f t="shared" si="14"/>
        <v>0</v>
      </c>
      <c r="U143" s="5"/>
      <c r="V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60">
        <v>0.0</v>
      </c>
      <c r="P144" s="60">
        <v>0.0</v>
      </c>
      <c r="Q144" s="60">
        <v>0.0</v>
      </c>
      <c r="R144" s="60">
        <v>0.0</v>
      </c>
      <c r="S144" s="60">
        <v>0.0</v>
      </c>
      <c r="T144" s="13">
        <f t="shared" si="14"/>
        <v>0</v>
      </c>
      <c r="U144" s="5"/>
      <c r="V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S145" si="27">SUM(E138:E144)</f>
        <v>1</v>
      </c>
      <c r="F145" s="64">
        <f t="shared" si="27"/>
        <v>7</v>
      </c>
      <c r="G145" s="64">
        <f t="shared" si="27"/>
        <v>1</v>
      </c>
      <c r="H145" s="64">
        <f t="shared" si="27"/>
        <v>8</v>
      </c>
      <c r="I145" s="64">
        <f t="shared" si="27"/>
        <v>27</v>
      </c>
      <c r="J145" s="64">
        <f t="shared" si="27"/>
        <v>0</v>
      </c>
      <c r="K145" s="64">
        <f t="shared" si="27"/>
        <v>3</v>
      </c>
      <c r="L145" s="64">
        <f t="shared" si="27"/>
        <v>0</v>
      </c>
      <c r="M145" s="64">
        <f t="shared" si="27"/>
        <v>0</v>
      </c>
      <c r="N145" s="64">
        <f t="shared" si="27"/>
        <v>6</v>
      </c>
      <c r="O145" s="64">
        <f t="shared" si="27"/>
        <v>0</v>
      </c>
      <c r="P145" s="64">
        <f t="shared" si="27"/>
        <v>0</v>
      </c>
      <c r="Q145" s="64">
        <f t="shared" si="27"/>
        <v>2</v>
      </c>
      <c r="R145" s="64">
        <f t="shared" si="27"/>
        <v>1</v>
      </c>
      <c r="S145" s="64">
        <f t="shared" si="27"/>
        <v>0</v>
      </c>
      <c r="T145" s="13">
        <f t="shared" si="14"/>
        <v>56</v>
      </c>
      <c r="U145" s="5"/>
      <c r="V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13">
        <f t="shared" si="14"/>
        <v>0</v>
      </c>
      <c r="U146" s="5"/>
      <c r="V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2.0</v>
      </c>
      <c r="F147" s="60">
        <v>2.0</v>
      </c>
      <c r="G147" s="60">
        <v>1.0</v>
      </c>
      <c r="H147" s="60">
        <v>4.0</v>
      </c>
      <c r="I147" s="60">
        <v>4.0</v>
      </c>
      <c r="J147" s="60">
        <v>6.0</v>
      </c>
      <c r="K147" s="60">
        <v>4.0</v>
      </c>
      <c r="L147" s="60">
        <v>2.0</v>
      </c>
      <c r="M147" s="60">
        <v>0.0</v>
      </c>
      <c r="N147" s="60">
        <v>2.0</v>
      </c>
      <c r="O147" s="60">
        <v>3.0</v>
      </c>
      <c r="P147" s="60">
        <v>6.0</v>
      </c>
      <c r="Q147" s="60">
        <v>2.0</v>
      </c>
      <c r="R147" s="60">
        <v>2.0</v>
      </c>
      <c r="S147" s="60">
        <v>2.0</v>
      </c>
      <c r="T147" s="13">
        <f t="shared" si="14"/>
        <v>42</v>
      </c>
      <c r="U147" s="5"/>
      <c r="V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2.0</v>
      </c>
      <c r="F148" s="60">
        <v>6.0</v>
      </c>
      <c r="G148" s="60">
        <v>4.0</v>
      </c>
      <c r="H148" s="60">
        <v>7.0</v>
      </c>
      <c r="I148" s="60">
        <v>5.0</v>
      </c>
      <c r="J148" s="60">
        <v>4.0</v>
      </c>
      <c r="K148" s="60">
        <v>3.0</v>
      </c>
      <c r="L148" s="60">
        <v>2.0</v>
      </c>
      <c r="M148" s="60">
        <v>0.0</v>
      </c>
      <c r="N148" s="60">
        <v>5.0</v>
      </c>
      <c r="O148" s="60">
        <v>0.0</v>
      </c>
      <c r="P148" s="60">
        <v>0.0</v>
      </c>
      <c r="Q148" s="60">
        <v>3.0</v>
      </c>
      <c r="R148" s="60">
        <v>1.0</v>
      </c>
      <c r="S148" s="60">
        <v>0.0</v>
      </c>
      <c r="T148" s="13">
        <f t="shared" si="14"/>
        <v>42</v>
      </c>
      <c r="U148" s="5"/>
      <c r="V148" s="5"/>
    </row>
    <row r="149" ht="12.75" customHeight="1">
      <c r="A149" s="18"/>
      <c r="B149" s="57"/>
      <c r="C149" s="58" t="s">
        <v>128</v>
      </c>
      <c r="D149" s="59"/>
      <c r="E149" s="60">
        <v>17.0</v>
      </c>
      <c r="F149" s="60">
        <v>7.0</v>
      </c>
      <c r="G149" s="60">
        <v>9.0</v>
      </c>
      <c r="H149" s="60">
        <v>64.0</v>
      </c>
      <c r="I149" s="60">
        <v>17.0</v>
      </c>
      <c r="J149" s="60">
        <v>3.0</v>
      </c>
      <c r="K149" s="60">
        <v>4.0</v>
      </c>
      <c r="L149" s="60">
        <v>0.0</v>
      </c>
      <c r="M149" s="60">
        <v>0.0</v>
      </c>
      <c r="N149" s="60">
        <v>0.0</v>
      </c>
      <c r="O149" s="60">
        <v>1.0</v>
      </c>
      <c r="P149" s="60">
        <v>1.0</v>
      </c>
      <c r="Q149" s="60">
        <v>0.0</v>
      </c>
      <c r="R149" s="60">
        <v>0.0</v>
      </c>
      <c r="S149" s="60">
        <v>0.0</v>
      </c>
      <c r="T149" s="13">
        <f t="shared" si="14"/>
        <v>123</v>
      </c>
      <c r="U149" s="5"/>
      <c r="V149" s="5"/>
    </row>
    <row r="150" ht="12.75" customHeight="1">
      <c r="A150" s="18"/>
      <c r="B150" s="57"/>
      <c r="C150" s="58" t="s">
        <v>129</v>
      </c>
      <c r="D150" s="59"/>
      <c r="E150" s="60">
        <v>7.0</v>
      </c>
      <c r="F150" s="60">
        <v>2.0</v>
      </c>
      <c r="G150" s="60">
        <v>6.0</v>
      </c>
      <c r="H150" s="60">
        <v>9.0</v>
      </c>
      <c r="I150" s="60">
        <v>18.0</v>
      </c>
      <c r="J150" s="60">
        <v>17.0</v>
      </c>
      <c r="K150" s="60">
        <v>4.0</v>
      </c>
      <c r="L150" s="60">
        <v>0.0</v>
      </c>
      <c r="M150" s="60">
        <v>0.0</v>
      </c>
      <c r="N150" s="60">
        <v>0.0</v>
      </c>
      <c r="O150" s="60">
        <v>2.0</v>
      </c>
      <c r="P150" s="60">
        <v>8.0</v>
      </c>
      <c r="Q150" s="60">
        <v>0.0</v>
      </c>
      <c r="R150" s="60">
        <v>1.0</v>
      </c>
      <c r="S150" s="60">
        <v>8.0</v>
      </c>
      <c r="T150" s="13">
        <f t="shared" si="14"/>
        <v>82</v>
      </c>
      <c r="U150" s="5"/>
      <c r="V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0.0</v>
      </c>
      <c r="J151" s="60">
        <v>0.0</v>
      </c>
      <c r="K151" s="60">
        <v>0.0</v>
      </c>
      <c r="L151" s="60">
        <v>0.0</v>
      </c>
      <c r="M151" s="60">
        <v>0.0</v>
      </c>
      <c r="N151" s="60">
        <v>1.0</v>
      </c>
      <c r="O151" s="60">
        <v>0.0</v>
      </c>
      <c r="P151" s="60">
        <v>0.0</v>
      </c>
      <c r="Q151" s="60">
        <v>1.0</v>
      </c>
      <c r="R151" s="60">
        <v>0.0</v>
      </c>
      <c r="S151" s="60">
        <v>1.0</v>
      </c>
      <c r="T151" s="13">
        <f t="shared" si="14"/>
        <v>3</v>
      </c>
      <c r="U151" s="1"/>
      <c r="V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1.0</v>
      </c>
      <c r="I152" s="60">
        <v>0.0</v>
      </c>
      <c r="J152" s="60">
        <v>0.0</v>
      </c>
      <c r="K152" s="60">
        <v>0.0</v>
      </c>
      <c r="L152" s="60">
        <v>0.0</v>
      </c>
      <c r="M152" s="60">
        <v>0.0</v>
      </c>
      <c r="N152" s="60">
        <v>0.0</v>
      </c>
      <c r="O152" s="60">
        <v>0.0</v>
      </c>
      <c r="P152" s="60">
        <v>0.0</v>
      </c>
      <c r="Q152" s="60">
        <v>2.0</v>
      </c>
      <c r="R152" s="60">
        <v>0.0</v>
      </c>
      <c r="S152" s="60">
        <v>0.0</v>
      </c>
      <c r="T152" s="13">
        <f t="shared" si="14"/>
        <v>3</v>
      </c>
      <c r="U152" s="54"/>
      <c r="V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0.0</v>
      </c>
      <c r="N153" s="60">
        <v>0.0</v>
      </c>
      <c r="O153" s="60">
        <v>0.0</v>
      </c>
      <c r="P153" s="60">
        <v>0.0</v>
      </c>
      <c r="Q153" s="60">
        <v>0.0</v>
      </c>
      <c r="R153" s="60">
        <v>0.0</v>
      </c>
      <c r="S153" s="60">
        <v>0.0</v>
      </c>
      <c r="T153" s="13">
        <f t="shared" si="14"/>
        <v>0</v>
      </c>
      <c r="U153" s="5"/>
      <c r="V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S154" si="28">SUM(E147:E153)</f>
        <v>28</v>
      </c>
      <c r="F154" s="64">
        <f t="shared" si="28"/>
        <v>17</v>
      </c>
      <c r="G154" s="64">
        <f t="shared" si="28"/>
        <v>20</v>
      </c>
      <c r="H154" s="64">
        <f t="shared" si="28"/>
        <v>85</v>
      </c>
      <c r="I154" s="64">
        <f t="shared" si="28"/>
        <v>44</v>
      </c>
      <c r="J154" s="64">
        <f t="shared" si="28"/>
        <v>30</v>
      </c>
      <c r="K154" s="64">
        <f t="shared" si="28"/>
        <v>15</v>
      </c>
      <c r="L154" s="64">
        <f t="shared" si="28"/>
        <v>4</v>
      </c>
      <c r="M154" s="64">
        <f t="shared" si="28"/>
        <v>0</v>
      </c>
      <c r="N154" s="64">
        <f t="shared" si="28"/>
        <v>8</v>
      </c>
      <c r="O154" s="64">
        <f t="shared" si="28"/>
        <v>6</v>
      </c>
      <c r="P154" s="64">
        <f t="shared" si="28"/>
        <v>15</v>
      </c>
      <c r="Q154" s="64">
        <f t="shared" si="28"/>
        <v>8</v>
      </c>
      <c r="R154" s="64">
        <f t="shared" si="28"/>
        <v>4</v>
      </c>
      <c r="S154" s="64">
        <f t="shared" si="28"/>
        <v>11</v>
      </c>
      <c r="T154" s="13">
        <f t="shared" si="14"/>
        <v>295</v>
      </c>
      <c r="U154" s="5"/>
      <c r="V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13">
        <f t="shared" si="14"/>
        <v>0</v>
      </c>
      <c r="U155" s="5"/>
      <c r="V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1.0</v>
      </c>
      <c r="F156" s="60">
        <v>2.0</v>
      </c>
      <c r="G156" s="60">
        <v>0.0</v>
      </c>
      <c r="H156" s="60">
        <v>0.0</v>
      </c>
      <c r="I156" s="60">
        <v>1.0</v>
      </c>
      <c r="J156" s="60">
        <v>1.0</v>
      </c>
      <c r="K156" s="60">
        <v>0.0</v>
      </c>
      <c r="L156" s="60">
        <v>0.0</v>
      </c>
      <c r="M156" s="60">
        <v>0.0</v>
      </c>
      <c r="N156" s="60">
        <v>0.0</v>
      </c>
      <c r="O156" s="60">
        <v>2.0</v>
      </c>
      <c r="P156" s="60">
        <v>0.0</v>
      </c>
      <c r="Q156" s="60">
        <v>1.0</v>
      </c>
      <c r="R156" s="60">
        <v>1.0</v>
      </c>
      <c r="S156" s="60">
        <v>3.0</v>
      </c>
      <c r="T156" s="13">
        <f t="shared" si="14"/>
        <v>12</v>
      </c>
      <c r="U156" s="5"/>
      <c r="V156" s="5"/>
    </row>
    <row r="157" ht="12.75" customHeight="1">
      <c r="A157" s="31"/>
      <c r="B157" s="50"/>
      <c r="C157" s="58" t="s">
        <v>135</v>
      </c>
      <c r="D157" s="65"/>
      <c r="E157" s="60">
        <v>1.0</v>
      </c>
      <c r="F157" s="60">
        <v>0.0</v>
      </c>
      <c r="G157" s="60">
        <v>0.0</v>
      </c>
      <c r="H157" s="60">
        <v>1.0</v>
      </c>
      <c r="I157" s="60">
        <v>0.0</v>
      </c>
      <c r="J157" s="60">
        <v>0.0</v>
      </c>
      <c r="K157" s="60">
        <v>0.0</v>
      </c>
      <c r="L157" s="60">
        <v>0.0</v>
      </c>
      <c r="M157" s="60">
        <v>0.0</v>
      </c>
      <c r="N157" s="60">
        <v>0.0</v>
      </c>
      <c r="O157" s="60">
        <v>1.0</v>
      </c>
      <c r="P157" s="60">
        <v>1.0</v>
      </c>
      <c r="Q157" s="60">
        <v>1.0</v>
      </c>
      <c r="R157" s="60">
        <v>0.0</v>
      </c>
      <c r="S157" s="60">
        <v>0.0</v>
      </c>
      <c r="T157" s="13">
        <f t="shared" si="14"/>
        <v>5</v>
      </c>
      <c r="U157" s="5"/>
      <c r="V157" s="5"/>
    </row>
    <row r="158" ht="12.75" customHeight="1">
      <c r="A158" s="31"/>
      <c r="B158" s="50"/>
      <c r="C158" s="58" t="s">
        <v>136</v>
      </c>
      <c r="D158" s="65"/>
      <c r="E158" s="60">
        <v>1.0</v>
      </c>
      <c r="F158" s="60">
        <v>1.0</v>
      </c>
      <c r="G158" s="60">
        <v>0.0</v>
      </c>
      <c r="H158" s="60">
        <v>0.0</v>
      </c>
      <c r="I158" s="60">
        <v>0.0</v>
      </c>
      <c r="J158" s="60">
        <v>0.0</v>
      </c>
      <c r="K158" s="60">
        <v>0.0</v>
      </c>
      <c r="L158" s="60">
        <v>1.0</v>
      </c>
      <c r="M158" s="60">
        <v>0.0</v>
      </c>
      <c r="N158" s="60">
        <v>0.0</v>
      </c>
      <c r="O158" s="60">
        <v>1.0</v>
      </c>
      <c r="P158" s="60">
        <v>0.0</v>
      </c>
      <c r="Q158" s="60">
        <v>0.0</v>
      </c>
      <c r="R158" s="60">
        <v>0.0</v>
      </c>
      <c r="S158" s="60">
        <v>0.0</v>
      </c>
      <c r="T158" s="13">
        <f t="shared" si="14"/>
        <v>4</v>
      </c>
      <c r="U158" s="5"/>
      <c r="V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60">
        <v>0.0</v>
      </c>
      <c r="O159" s="60">
        <v>0.0</v>
      </c>
      <c r="P159" s="60">
        <v>0.0</v>
      </c>
      <c r="Q159" s="60">
        <v>0.0</v>
      </c>
      <c r="R159" s="60">
        <v>0.0</v>
      </c>
      <c r="S159" s="60">
        <v>0.0</v>
      </c>
      <c r="T159" s="13">
        <f t="shared" si="14"/>
        <v>0</v>
      </c>
      <c r="U159" s="5"/>
      <c r="V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1.0</v>
      </c>
      <c r="L160" s="60">
        <v>1.0</v>
      </c>
      <c r="M160" s="60">
        <v>0.0</v>
      </c>
      <c r="N160" s="60">
        <v>0.0</v>
      </c>
      <c r="O160" s="60">
        <v>0.0</v>
      </c>
      <c r="P160" s="60">
        <v>1.0</v>
      </c>
      <c r="Q160" s="60">
        <v>0.0</v>
      </c>
      <c r="R160" s="60">
        <v>0.0</v>
      </c>
      <c r="S160" s="60">
        <v>0.0</v>
      </c>
      <c r="T160" s="13">
        <f t="shared" si="14"/>
        <v>3</v>
      </c>
      <c r="U160" s="5"/>
      <c r="V160" s="5"/>
    </row>
    <row r="161" ht="12.75" customHeight="1">
      <c r="A161" s="31"/>
      <c r="B161" s="57"/>
      <c r="C161" s="58" t="s">
        <v>139</v>
      </c>
      <c r="D161" s="59"/>
      <c r="E161" s="60">
        <v>1.0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0.0</v>
      </c>
      <c r="R161" s="60">
        <v>1.0</v>
      </c>
      <c r="S161" s="60">
        <v>0.0</v>
      </c>
      <c r="T161" s="13">
        <f t="shared" si="14"/>
        <v>2</v>
      </c>
      <c r="U161" s="5"/>
      <c r="V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S162" si="29">SUM(E156:E161)</f>
        <v>4</v>
      </c>
      <c r="F162" s="64">
        <f t="shared" si="29"/>
        <v>3</v>
      </c>
      <c r="G162" s="64">
        <f t="shared" si="29"/>
        <v>0</v>
      </c>
      <c r="H162" s="64">
        <f t="shared" si="29"/>
        <v>1</v>
      </c>
      <c r="I162" s="64">
        <f t="shared" si="29"/>
        <v>1</v>
      </c>
      <c r="J162" s="64">
        <f t="shared" si="29"/>
        <v>1</v>
      </c>
      <c r="K162" s="64">
        <f t="shared" si="29"/>
        <v>1</v>
      </c>
      <c r="L162" s="64">
        <f t="shared" si="29"/>
        <v>2</v>
      </c>
      <c r="M162" s="64">
        <f t="shared" si="29"/>
        <v>0</v>
      </c>
      <c r="N162" s="64">
        <f t="shared" si="29"/>
        <v>0</v>
      </c>
      <c r="O162" s="64">
        <f t="shared" si="29"/>
        <v>4</v>
      </c>
      <c r="P162" s="64">
        <f t="shared" si="29"/>
        <v>2</v>
      </c>
      <c r="Q162" s="64">
        <f t="shared" si="29"/>
        <v>2</v>
      </c>
      <c r="R162" s="64">
        <f t="shared" si="29"/>
        <v>2</v>
      </c>
      <c r="S162" s="64">
        <f t="shared" si="29"/>
        <v>3</v>
      </c>
      <c r="T162" s="13">
        <f t="shared" si="14"/>
        <v>26</v>
      </c>
      <c r="U162" s="5"/>
      <c r="V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13">
        <f t="shared" si="14"/>
        <v>0</v>
      </c>
      <c r="U163" s="5"/>
      <c r="V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1.0</v>
      </c>
      <c r="M164" s="60">
        <v>0.0</v>
      </c>
      <c r="N164" s="60">
        <v>0.0</v>
      </c>
      <c r="O164" s="60">
        <v>0.0</v>
      </c>
      <c r="P164" s="60">
        <v>0.0</v>
      </c>
      <c r="Q164" s="60">
        <v>0.0</v>
      </c>
      <c r="R164" s="60">
        <v>0.0</v>
      </c>
      <c r="S164" s="60">
        <v>0.0</v>
      </c>
      <c r="T164" s="13">
        <f t="shared" si="14"/>
        <v>1</v>
      </c>
      <c r="U164" s="5"/>
      <c r="V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1.0</v>
      </c>
      <c r="J165" s="60">
        <v>0.0</v>
      </c>
      <c r="K165" s="60">
        <v>0.0</v>
      </c>
      <c r="L165" s="60">
        <v>0.0</v>
      </c>
      <c r="M165" s="60">
        <v>0.0</v>
      </c>
      <c r="N165" s="60">
        <v>0.0</v>
      </c>
      <c r="O165" s="60">
        <v>0.0</v>
      </c>
      <c r="P165" s="60">
        <v>0.0</v>
      </c>
      <c r="Q165" s="60">
        <v>0.0</v>
      </c>
      <c r="R165" s="60">
        <v>0.0</v>
      </c>
      <c r="S165" s="60">
        <v>0.0</v>
      </c>
      <c r="T165" s="13">
        <f t="shared" si="14"/>
        <v>1</v>
      </c>
      <c r="U165" s="1"/>
      <c r="V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60">
        <v>0.0</v>
      </c>
      <c r="P166" s="60">
        <v>0.0</v>
      </c>
      <c r="Q166" s="60">
        <v>0.0</v>
      </c>
      <c r="R166" s="60">
        <v>0.0</v>
      </c>
      <c r="S166" s="60">
        <v>0.0</v>
      </c>
      <c r="T166" s="13">
        <f t="shared" si="14"/>
        <v>0</v>
      </c>
      <c r="U166" s="54"/>
      <c r="V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1.0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60">
        <v>0.0</v>
      </c>
      <c r="S167" s="60">
        <v>0.0</v>
      </c>
      <c r="T167" s="13">
        <f t="shared" si="14"/>
        <v>1</v>
      </c>
      <c r="U167" s="5"/>
      <c r="V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0.0</v>
      </c>
      <c r="R168" s="60">
        <v>0.0</v>
      </c>
      <c r="S168" s="60">
        <v>0.0</v>
      </c>
      <c r="T168" s="13">
        <f t="shared" si="14"/>
        <v>0</v>
      </c>
      <c r="U168" s="5"/>
      <c r="V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1.0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60">
        <v>0.0</v>
      </c>
      <c r="P169" s="60">
        <v>0.0</v>
      </c>
      <c r="Q169" s="60">
        <v>0.0</v>
      </c>
      <c r="R169" s="60">
        <v>0.0</v>
      </c>
      <c r="S169" s="60">
        <v>0.0</v>
      </c>
      <c r="T169" s="13">
        <f t="shared" si="14"/>
        <v>1</v>
      </c>
      <c r="U169" s="5"/>
      <c r="V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60">
        <v>0.0</v>
      </c>
      <c r="S170" s="60">
        <v>0.0</v>
      </c>
      <c r="T170" s="13">
        <f t="shared" si="14"/>
        <v>0</v>
      </c>
      <c r="U170" s="5"/>
      <c r="V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S171" si="30">SUM(E164:E170)</f>
        <v>0</v>
      </c>
      <c r="F171" s="64">
        <f t="shared" si="30"/>
        <v>0</v>
      </c>
      <c r="G171" s="64">
        <f t="shared" si="30"/>
        <v>1</v>
      </c>
      <c r="H171" s="64">
        <f t="shared" si="30"/>
        <v>1</v>
      </c>
      <c r="I171" s="64">
        <f t="shared" si="30"/>
        <v>1</v>
      </c>
      <c r="J171" s="64">
        <f t="shared" si="30"/>
        <v>0</v>
      </c>
      <c r="K171" s="64">
        <f t="shared" si="30"/>
        <v>0</v>
      </c>
      <c r="L171" s="64">
        <f t="shared" si="30"/>
        <v>1</v>
      </c>
      <c r="M171" s="64">
        <f t="shared" si="30"/>
        <v>0</v>
      </c>
      <c r="N171" s="64">
        <f t="shared" si="30"/>
        <v>0</v>
      </c>
      <c r="O171" s="64">
        <f t="shared" si="30"/>
        <v>0</v>
      </c>
      <c r="P171" s="64">
        <f t="shared" si="30"/>
        <v>0</v>
      </c>
      <c r="Q171" s="64">
        <f t="shared" si="30"/>
        <v>0</v>
      </c>
      <c r="R171" s="64">
        <f t="shared" si="30"/>
        <v>0</v>
      </c>
      <c r="S171" s="64">
        <f t="shared" si="30"/>
        <v>0</v>
      </c>
      <c r="T171" s="13">
        <f t="shared" si="14"/>
        <v>4</v>
      </c>
      <c r="U171" s="5"/>
      <c r="V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13">
        <f t="shared" si="14"/>
        <v>0</v>
      </c>
      <c r="U172" s="5"/>
      <c r="V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1.0</v>
      </c>
      <c r="F173" s="60">
        <v>1.0</v>
      </c>
      <c r="G173" s="60">
        <v>1.0</v>
      </c>
      <c r="H173" s="60">
        <v>0.0</v>
      </c>
      <c r="I173" s="60">
        <v>2.0</v>
      </c>
      <c r="J173" s="60">
        <v>1.0</v>
      </c>
      <c r="K173" s="60">
        <v>0.0</v>
      </c>
      <c r="L173" s="60">
        <v>1.0</v>
      </c>
      <c r="M173" s="60">
        <v>6.0</v>
      </c>
      <c r="N173" s="60">
        <v>1.0</v>
      </c>
      <c r="O173" s="60">
        <v>0.0</v>
      </c>
      <c r="P173" s="60">
        <v>0.0</v>
      </c>
      <c r="Q173" s="60">
        <v>0.0</v>
      </c>
      <c r="R173" s="60">
        <v>0.0</v>
      </c>
      <c r="S173" s="60">
        <v>1.0</v>
      </c>
      <c r="T173" s="13">
        <f t="shared" si="14"/>
        <v>15</v>
      </c>
      <c r="U173" s="5"/>
      <c r="V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0.0</v>
      </c>
      <c r="G174" s="60">
        <v>2.0</v>
      </c>
      <c r="H174" s="60">
        <v>1.0</v>
      </c>
      <c r="I174" s="60">
        <v>0.0</v>
      </c>
      <c r="J174" s="60">
        <v>0.0</v>
      </c>
      <c r="K174" s="60">
        <v>0.0</v>
      </c>
      <c r="L174" s="60">
        <v>0.0</v>
      </c>
      <c r="M174" s="60">
        <v>1.0</v>
      </c>
      <c r="N174" s="60">
        <v>0.0</v>
      </c>
      <c r="O174" s="60">
        <v>0.0</v>
      </c>
      <c r="P174" s="60">
        <v>0.0</v>
      </c>
      <c r="Q174" s="60">
        <v>0.0</v>
      </c>
      <c r="R174" s="60">
        <v>0.0</v>
      </c>
      <c r="S174" s="60">
        <v>0.0</v>
      </c>
      <c r="T174" s="13">
        <f t="shared" si="14"/>
        <v>4</v>
      </c>
      <c r="U174" s="5"/>
      <c r="V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0.0</v>
      </c>
      <c r="G175" s="60">
        <v>3.0</v>
      </c>
      <c r="H175" s="60">
        <v>1.0</v>
      </c>
      <c r="I175" s="60">
        <v>0.0</v>
      </c>
      <c r="J175" s="60">
        <v>0.0</v>
      </c>
      <c r="K175" s="60">
        <v>1.0</v>
      </c>
      <c r="L175" s="60">
        <v>4.0</v>
      </c>
      <c r="M175" s="60">
        <v>1.0</v>
      </c>
      <c r="N175" s="60">
        <v>2.0</v>
      </c>
      <c r="O175" s="60">
        <v>1.0</v>
      </c>
      <c r="P175" s="60">
        <v>0.0</v>
      </c>
      <c r="Q175" s="60">
        <v>0.0</v>
      </c>
      <c r="R175" s="60">
        <v>0.0</v>
      </c>
      <c r="S175" s="60">
        <v>0.0</v>
      </c>
      <c r="T175" s="13">
        <f t="shared" si="14"/>
        <v>13</v>
      </c>
      <c r="U175" s="5"/>
      <c r="V175" s="5"/>
    </row>
    <row r="176" ht="12.75" customHeight="1">
      <c r="A176" s="18"/>
      <c r="B176" s="57"/>
      <c r="C176" s="58" t="s">
        <v>152</v>
      </c>
      <c r="D176" s="59"/>
      <c r="E176" s="60">
        <v>6.0</v>
      </c>
      <c r="F176" s="60">
        <v>13.0</v>
      </c>
      <c r="G176" s="60">
        <v>14.0</v>
      </c>
      <c r="H176" s="60">
        <v>6.0</v>
      </c>
      <c r="I176" s="60">
        <v>5.0</v>
      </c>
      <c r="J176" s="60">
        <v>3.0</v>
      </c>
      <c r="K176" s="60">
        <v>7.0</v>
      </c>
      <c r="L176" s="60">
        <v>37.0</v>
      </c>
      <c r="M176" s="60">
        <v>15.0</v>
      </c>
      <c r="N176" s="60">
        <v>16.0</v>
      </c>
      <c r="O176" s="60">
        <v>0.0</v>
      </c>
      <c r="P176" s="60">
        <v>0.0</v>
      </c>
      <c r="Q176" s="60">
        <v>1.0</v>
      </c>
      <c r="R176" s="60">
        <v>1.0</v>
      </c>
      <c r="S176" s="60">
        <v>0.0</v>
      </c>
      <c r="T176" s="13">
        <f t="shared" si="14"/>
        <v>124</v>
      </c>
      <c r="U176" s="1"/>
      <c r="V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60">
        <v>1.0</v>
      </c>
      <c r="O177" s="60">
        <v>0.0</v>
      </c>
      <c r="P177" s="60">
        <v>0.0</v>
      </c>
      <c r="Q177" s="60">
        <v>0.0</v>
      </c>
      <c r="R177" s="60">
        <v>0.0</v>
      </c>
      <c r="S177" s="60">
        <v>0.0</v>
      </c>
      <c r="T177" s="13">
        <f t="shared" si="14"/>
        <v>1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60">
        <v>1.0</v>
      </c>
      <c r="P178" s="60">
        <v>0.0</v>
      </c>
      <c r="Q178" s="60">
        <v>0.0</v>
      </c>
      <c r="R178" s="60">
        <v>0.0</v>
      </c>
      <c r="S178" s="60">
        <v>0.0</v>
      </c>
      <c r="T178" s="13">
        <f t="shared" si="14"/>
        <v>1</v>
      </c>
      <c r="U178" s="5"/>
      <c r="V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60">
        <v>0.0</v>
      </c>
      <c r="O179" s="60">
        <v>0.0</v>
      </c>
      <c r="P179" s="60">
        <v>1.0</v>
      </c>
      <c r="Q179" s="60">
        <v>0.0</v>
      </c>
      <c r="R179" s="60">
        <v>0.0</v>
      </c>
      <c r="S179" s="60">
        <v>0.0</v>
      </c>
      <c r="T179" s="13">
        <f t="shared" si="14"/>
        <v>1</v>
      </c>
      <c r="U179" s="5"/>
      <c r="V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S180" si="31">SUM(E173:E179)</f>
        <v>7</v>
      </c>
      <c r="F180" s="64">
        <f t="shared" si="31"/>
        <v>14</v>
      </c>
      <c r="G180" s="64">
        <f t="shared" si="31"/>
        <v>20</v>
      </c>
      <c r="H180" s="64">
        <f t="shared" si="31"/>
        <v>8</v>
      </c>
      <c r="I180" s="64">
        <f t="shared" si="31"/>
        <v>7</v>
      </c>
      <c r="J180" s="64">
        <f t="shared" si="31"/>
        <v>4</v>
      </c>
      <c r="K180" s="64">
        <f t="shared" si="31"/>
        <v>8</v>
      </c>
      <c r="L180" s="64">
        <f t="shared" si="31"/>
        <v>42</v>
      </c>
      <c r="M180" s="64">
        <f t="shared" si="31"/>
        <v>23</v>
      </c>
      <c r="N180" s="64">
        <f t="shared" si="31"/>
        <v>20</v>
      </c>
      <c r="O180" s="64">
        <f t="shared" si="31"/>
        <v>2</v>
      </c>
      <c r="P180" s="64">
        <f t="shared" si="31"/>
        <v>1</v>
      </c>
      <c r="Q180" s="64">
        <f t="shared" si="31"/>
        <v>1</v>
      </c>
      <c r="R180" s="64">
        <f t="shared" si="31"/>
        <v>1</v>
      </c>
      <c r="S180" s="64">
        <f t="shared" si="31"/>
        <v>1</v>
      </c>
      <c r="T180" s="13">
        <f t="shared" si="14"/>
        <v>159</v>
      </c>
      <c r="U180" s="5"/>
      <c r="V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13">
        <f t="shared" si="14"/>
        <v>0</v>
      </c>
      <c r="U181" s="5"/>
      <c r="V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1.0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0.0</v>
      </c>
      <c r="L182" s="60">
        <v>0.0</v>
      </c>
      <c r="M182" s="60">
        <v>0.0</v>
      </c>
      <c r="N182" s="60">
        <v>0.0</v>
      </c>
      <c r="O182" s="60">
        <v>0.0</v>
      </c>
      <c r="P182" s="60">
        <v>1.0</v>
      </c>
      <c r="Q182" s="60">
        <v>0.0</v>
      </c>
      <c r="R182" s="60">
        <v>0.0</v>
      </c>
      <c r="S182" s="60">
        <v>0.0</v>
      </c>
      <c r="T182" s="13">
        <f t="shared" si="14"/>
        <v>2</v>
      </c>
      <c r="U182" s="5"/>
      <c r="V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60">
        <v>0.0</v>
      </c>
      <c r="L183" s="60">
        <v>0.0</v>
      </c>
      <c r="M183" s="60">
        <v>0.0</v>
      </c>
      <c r="N183" s="60">
        <v>0.0</v>
      </c>
      <c r="O183" s="60">
        <v>0.0</v>
      </c>
      <c r="P183" s="60">
        <v>0.0</v>
      </c>
      <c r="Q183" s="60">
        <v>0.0</v>
      </c>
      <c r="R183" s="60">
        <v>0.0</v>
      </c>
      <c r="S183" s="60">
        <v>0.0</v>
      </c>
      <c r="T183" s="13">
        <f t="shared" si="14"/>
        <v>0</v>
      </c>
      <c r="U183" s="5"/>
      <c r="V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60">
        <v>0.0</v>
      </c>
      <c r="P184" s="60">
        <v>0.0</v>
      </c>
      <c r="Q184" s="60">
        <v>0.0</v>
      </c>
      <c r="R184" s="60">
        <v>0.0</v>
      </c>
      <c r="S184" s="60">
        <v>0.0</v>
      </c>
      <c r="T184" s="13">
        <f t="shared" si="14"/>
        <v>0</v>
      </c>
      <c r="U184" s="5"/>
      <c r="V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60">
        <v>1.0</v>
      </c>
      <c r="S185" s="60">
        <v>0.0</v>
      </c>
      <c r="T185" s="13">
        <f t="shared" si="14"/>
        <v>1</v>
      </c>
      <c r="U185" s="5"/>
      <c r="V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60">
        <v>0.0</v>
      </c>
      <c r="P186" s="60">
        <v>0.0</v>
      </c>
      <c r="Q186" s="60">
        <v>0.0</v>
      </c>
      <c r="R186" s="60">
        <v>0.0</v>
      </c>
      <c r="S186" s="60">
        <v>0.0</v>
      </c>
      <c r="T186" s="13">
        <f t="shared" si="14"/>
        <v>0</v>
      </c>
      <c r="U186" s="5"/>
      <c r="V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S187" si="32">SUM(E182:E186)</f>
        <v>1</v>
      </c>
      <c r="F187" s="64">
        <f t="shared" si="32"/>
        <v>0</v>
      </c>
      <c r="G187" s="64">
        <f t="shared" si="32"/>
        <v>0</v>
      </c>
      <c r="H187" s="64">
        <f t="shared" si="32"/>
        <v>0</v>
      </c>
      <c r="I187" s="64">
        <f t="shared" si="32"/>
        <v>0</v>
      </c>
      <c r="J187" s="64">
        <f t="shared" si="32"/>
        <v>0</v>
      </c>
      <c r="K187" s="64">
        <f t="shared" si="32"/>
        <v>0</v>
      </c>
      <c r="L187" s="64">
        <f t="shared" si="32"/>
        <v>0</v>
      </c>
      <c r="M187" s="64">
        <f t="shared" si="32"/>
        <v>0</v>
      </c>
      <c r="N187" s="64">
        <f t="shared" si="32"/>
        <v>0</v>
      </c>
      <c r="O187" s="64">
        <f t="shared" si="32"/>
        <v>0</v>
      </c>
      <c r="P187" s="64">
        <f t="shared" si="32"/>
        <v>1</v>
      </c>
      <c r="Q187" s="64">
        <f t="shared" si="32"/>
        <v>0</v>
      </c>
      <c r="R187" s="64">
        <f t="shared" si="32"/>
        <v>1</v>
      </c>
      <c r="S187" s="64">
        <f t="shared" si="32"/>
        <v>0</v>
      </c>
      <c r="T187" s="13">
        <f t="shared" si="14"/>
        <v>3</v>
      </c>
      <c r="U187" s="1"/>
      <c r="V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3">
        <f t="shared" si="14"/>
        <v>0</v>
      </c>
      <c r="U189" s="5"/>
      <c r="V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74" t="s">
        <v>184</v>
      </c>
      <c r="P190" s="74" t="s">
        <v>185</v>
      </c>
      <c r="Q190" s="74" t="s">
        <v>186</v>
      </c>
      <c r="R190" s="74" t="s">
        <v>188</v>
      </c>
      <c r="S190" s="74" t="s">
        <v>189</v>
      </c>
      <c r="T190" s="13">
        <f t="shared" si="14"/>
        <v>0</v>
      </c>
      <c r="U190" s="5"/>
      <c r="V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S191" si="33">E187+E180+E162+E154+E145+E136+E127+E123+E114+E110+E101+E92+E88+E79+E70+E61+E52</f>
        <v>181</v>
      </c>
      <c r="F191" s="19">
        <f t="shared" si="33"/>
        <v>173</v>
      </c>
      <c r="G191" s="19">
        <f t="shared" si="33"/>
        <v>195</v>
      </c>
      <c r="H191" s="19">
        <f t="shared" si="33"/>
        <v>207</v>
      </c>
      <c r="I191" s="19">
        <f t="shared" si="33"/>
        <v>241</v>
      </c>
      <c r="J191" s="19">
        <f t="shared" si="33"/>
        <v>231</v>
      </c>
      <c r="K191" s="19">
        <f t="shared" si="33"/>
        <v>203</v>
      </c>
      <c r="L191" s="19">
        <f t="shared" si="33"/>
        <v>203</v>
      </c>
      <c r="M191" s="19">
        <f t="shared" si="33"/>
        <v>192</v>
      </c>
      <c r="N191" s="19">
        <f t="shared" si="33"/>
        <v>195</v>
      </c>
      <c r="O191" s="19">
        <f t="shared" si="33"/>
        <v>157</v>
      </c>
      <c r="P191" s="19">
        <f t="shared" si="33"/>
        <v>186</v>
      </c>
      <c r="Q191" s="19">
        <f t="shared" si="33"/>
        <v>196</v>
      </c>
      <c r="R191" s="19">
        <f t="shared" si="33"/>
        <v>187</v>
      </c>
      <c r="S191" s="19">
        <f t="shared" si="33"/>
        <v>204</v>
      </c>
      <c r="T191" s="13">
        <f t="shared" si="14"/>
        <v>2951</v>
      </c>
      <c r="U191" s="5"/>
      <c r="V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15.0</v>
      </c>
      <c r="F192" s="60">
        <v>17.0</v>
      </c>
      <c r="G192" s="60">
        <v>5.0</v>
      </c>
      <c r="H192" s="60">
        <v>15.0</v>
      </c>
      <c r="I192" s="60">
        <v>24.0</v>
      </c>
      <c r="J192" s="60">
        <v>11.0</v>
      </c>
      <c r="K192" s="60">
        <v>11.0</v>
      </c>
      <c r="L192" s="60">
        <v>16.0</v>
      </c>
      <c r="M192" s="60">
        <v>17.0</v>
      </c>
      <c r="N192" s="60">
        <v>16.0</v>
      </c>
      <c r="O192" s="60">
        <v>14.0</v>
      </c>
      <c r="P192" s="60">
        <v>8.0</v>
      </c>
      <c r="Q192" s="60">
        <v>4.0</v>
      </c>
      <c r="R192" s="60">
        <v>23.0</v>
      </c>
      <c r="S192" s="60">
        <v>14.0</v>
      </c>
      <c r="T192" s="13">
        <f t="shared" si="14"/>
        <v>210</v>
      </c>
      <c r="U192" s="5"/>
      <c r="V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S193" si="34">SUM(E191:E192)</f>
        <v>196</v>
      </c>
      <c r="F193" s="13">
        <f t="shared" si="34"/>
        <v>190</v>
      </c>
      <c r="G193" s="13">
        <f t="shared" si="34"/>
        <v>200</v>
      </c>
      <c r="H193" s="13">
        <f t="shared" si="34"/>
        <v>222</v>
      </c>
      <c r="I193" s="13">
        <f t="shared" si="34"/>
        <v>265</v>
      </c>
      <c r="J193" s="13">
        <f t="shared" si="34"/>
        <v>242</v>
      </c>
      <c r="K193" s="13">
        <f t="shared" si="34"/>
        <v>214</v>
      </c>
      <c r="L193" s="13">
        <f t="shared" si="34"/>
        <v>219</v>
      </c>
      <c r="M193" s="13">
        <f t="shared" si="34"/>
        <v>209</v>
      </c>
      <c r="N193" s="13">
        <f t="shared" si="34"/>
        <v>211</v>
      </c>
      <c r="O193" s="13">
        <f t="shared" si="34"/>
        <v>171</v>
      </c>
      <c r="P193" s="13">
        <f t="shared" si="34"/>
        <v>194</v>
      </c>
      <c r="Q193" s="13">
        <f t="shared" si="34"/>
        <v>200</v>
      </c>
      <c r="R193" s="13">
        <f t="shared" si="34"/>
        <v>210</v>
      </c>
      <c r="S193" s="13">
        <f t="shared" si="34"/>
        <v>218</v>
      </c>
      <c r="T193" s="13">
        <f t="shared" si="14"/>
        <v>3161</v>
      </c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4"/>
      <c r="V199" s="54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4"/>
      <c r="V208" s="54"/>
    </row>
    <row r="209" ht="12.75" customHeight="1">
      <c r="U209" s="54"/>
      <c r="V209" s="54"/>
    </row>
    <row r="210" ht="12.75" customHeight="1">
      <c r="U210" s="54"/>
      <c r="V210" s="54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4"/>
      <c r="V219" s="54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4"/>
      <c r="V230" s="54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45:S51">
    <cfRule type="containsBlanks" dxfId="1" priority="10">
      <formula>LEN(TRIM(E45))=0</formula>
    </cfRule>
  </conditionalFormatting>
  <conditionalFormatting sqref="E54:S60">
    <cfRule type="containsBlanks" dxfId="1" priority="11">
      <formula>LEN(TRIM(E54))=0</formula>
    </cfRule>
  </conditionalFormatting>
  <conditionalFormatting sqref="E63:S69">
    <cfRule type="containsBlanks" dxfId="1" priority="12">
      <formula>LEN(TRIM(E63))=0</formula>
    </cfRule>
  </conditionalFormatting>
  <conditionalFormatting sqref="E72:S78">
    <cfRule type="containsBlanks" dxfId="1" priority="13">
      <formula>LEN(TRIM(E72))=0</formula>
    </cfRule>
  </conditionalFormatting>
  <conditionalFormatting sqref="E81:S87">
    <cfRule type="containsBlanks" dxfId="1" priority="14">
      <formula>LEN(TRIM(E81))=0</formula>
    </cfRule>
  </conditionalFormatting>
  <conditionalFormatting sqref="E90:S91">
    <cfRule type="containsBlanks" dxfId="1" priority="15">
      <formula>LEN(TRIM(E90))=0</formula>
    </cfRule>
  </conditionalFormatting>
  <conditionalFormatting sqref="E94:S100">
    <cfRule type="containsBlanks" dxfId="1" priority="16">
      <formula>LEN(TRIM(E94))=0</formula>
    </cfRule>
  </conditionalFormatting>
  <conditionalFormatting sqref="E103:S109">
    <cfRule type="containsBlanks" dxfId="1" priority="17">
      <formula>LEN(TRIM(E103))=0</formula>
    </cfRule>
  </conditionalFormatting>
  <conditionalFormatting sqref="E112:S113">
    <cfRule type="containsBlanks" dxfId="1" priority="18">
      <formula>LEN(TRIM(E112))=0</formula>
    </cfRule>
  </conditionalFormatting>
  <conditionalFormatting sqref="E116:S122">
    <cfRule type="containsBlanks" dxfId="1" priority="19">
      <formula>LEN(TRIM(E116))=0</formula>
    </cfRule>
  </conditionalFormatting>
  <conditionalFormatting sqref="E125:S126">
    <cfRule type="containsBlanks" dxfId="1" priority="20">
      <formula>LEN(TRIM(E125))=0</formula>
    </cfRule>
  </conditionalFormatting>
  <conditionalFormatting sqref="E129:S135">
    <cfRule type="containsBlanks" dxfId="1" priority="21">
      <formula>LEN(TRIM(E129))=0</formula>
    </cfRule>
  </conditionalFormatting>
  <conditionalFormatting sqref="E138:S144">
    <cfRule type="containsBlanks" dxfId="1" priority="22">
      <formula>LEN(TRIM(E138))=0</formula>
    </cfRule>
  </conditionalFormatting>
  <conditionalFormatting sqref="E147:S153">
    <cfRule type="containsBlanks" dxfId="1" priority="23">
      <formula>LEN(TRIM(E147))=0</formula>
    </cfRule>
  </conditionalFormatting>
  <conditionalFormatting sqref="E156:S161">
    <cfRule type="containsBlanks" dxfId="1" priority="24">
      <formula>LEN(TRIM(E156))=0</formula>
    </cfRule>
  </conditionalFormatting>
  <conditionalFormatting sqref="E164:S170">
    <cfRule type="containsBlanks" dxfId="1" priority="25">
      <formula>LEN(TRIM(E164))=0</formula>
    </cfRule>
  </conditionalFormatting>
  <conditionalFormatting sqref="E173:S179">
    <cfRule type="containsBlanks" dxfId="1" priority="26">
      <formula>LEN(TRIM(E173))=0</formula>
    </cfRule>
  </conditionalFormatting>
  <conditionalFormatting sqref="E182:S186">
    <cfRule type="containsBlanks" dxfId="1" priority="27">
      <formula>LEN(TRIM(E182))=0</formula>
    </cfRule>
  </conditionalFormatting>
  <conditionalFormatting sqref="E191:S192">
    <cfRule type="containsBlanks" dxfId="1" priority="28">
      <formula>LEN(TRIM(E191))=0</formula>
    </cfRule>
  </conditionalFormatting>
  <conditionalFormatting sqref="E193:S193">
    <cfRule type="expression" dxfId="0" priority="29">
      <formula>E193&lt;&gt;#REF!</formula>
    </cfRule>
  </conditionalFormatting>
  <conditionalFormatting sqref="E193:S193">
    <cfRule type="expression" dxfId="2" priority="30">
      <formula>#REF!&lt;&gt;E193</formula>
    </cfRule>
  </conditionalFormatting>
  <conditionalFormatting sqref="E193:S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13" t="s">
        <v>188</v>
      </c>
      <c r="S13" s="13" t="s">
        <v>189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60">
        <v>135.0</v>
      </c>
      <c r="F14" s="60">
        <v>128.0</v>
      </c>
      <c r="G14" s="60">
        <v>143.0</v>
      </c>
      <c r="H14" s="60">
        <v>143.0</v>
      </c>
      <c r="I14" s="60">
        <v>133.0</v>
      </c>
      <c r="J14" s="60">
        <v>148.0</v>
      </c>
      <c r="K14" s="60">
        <v>149.0</v>
      </c>
      <c r="L14" s="60">
        <v>139.0</v>
      </c>
      <c r="M14" s="60">
        <v>126.0</v>
      </c>
      <c r="N14" s="60">
        <v>141.0</v>
      </c>
      <c r="O14" s="60">
        <v>126.0</v>
      </c>
      <c r="P14" s="60">
        <v>141.0</v>
      </c>
      <c r="Q14" s="60">
        <v>124.0</v>
      </c>
      <c r="R14" s="60">
        <v>133.0</v>
      </c>
      <c r="S14" s="60">
        <v>137.0</v>
      </c>
      <c r="T14" s="13">
        <f t="shared" ref="T14:T16" si="1">SUM(E14:S14)</f>
        <v>2046</v>
      </c>
    </row>
    <row r="15" ht="12.75" customHeight="1">
      <c r="A15" s="18"/>
      <c r="B15" s="26"/>
      <c r="C15" s="27"/>
      <c r="D15" s="19" t="s">
        <v>13</v>
      </c>
      <c r="E15" s="60">
        <v>135.0</v>
      </c>
      <c r="F15" s="60">
        <v>144.0</v>
      </c>
      <c r="G15" s="60">
        <v>136.0</v>
      </c>
      <c r="H15" s="60">
        <v>145.0</v>
      </c>
      <c r="I15" s="60">
        <v>139.0</v>
      </c>
      <c r="J15" s="60">
        <v>139.0</v>
      </c>
      <c r="K15" s="60">
        <v>135.0</v>
      </c>
      <c r="L15" s="60">
        <v>135.0</v>
      </c>
      <c r="M15" s="60">
        <v>140.0</v>
      </c>
      <c r="N15" s="60">
        <v>146.0</v>
      </c>
      <c r="O15" s="60">
        <v>145.0</v>
      </c>
      <c r="P15" s="60">
        <v>138.0</v>
      </c>
      <c r="Q15" s="60">
        <v>148.0</v>
      </c>
      <c r="R15" s="60">
        <v>143.0</v>
      </c>
      <c r="S15" s="60">
        <v>159.0</v>
      </c>
      <c r="T15" s="13">
        <f t="shared" si="1"/>
        <v>2127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270</v>
      </c>
      <c r="F16" s="13">
        <f t="shared" si="2"/>
        <v>272</v>
      </c>
      <c r="G16" s="13">
        <f t="shared" si="2"/>
        <v>279</v>
      </c>
      <c r="H16" s="13">
        <f t="shared" si="2"/>
        <v>288</v>
      </c>
      <c r="I16" s="13">
        <f t="shared" si="2"/>
        <v>272</v>
      </c>
      <c r="J16" s="13">
        <f t="shared" si="2"/>
        <v>287</v>
      </c>
      <c r="K16" s="13">
        <f t="shared" si="2"/>
        <v>284</v>
      </c>
      <c r="L16" s="13">
        <f t="shared" si="2"/>
        <v>274</v>
      </c>
      <c r="M16" s="13">
        <f t="shared" si="2"/>
        <v>266</v>
      </c>
      <c r="N16" s="13">
        <f t="shared" si="2"/>
        <v>287</v>
      </c>
      <c r="O16" s="13">
        <f t="shared" si="2"/>
        <v>271</v>
      </c>
      <c r="P16" s="13">
        <f t="shared" si="2"/>
        <v>279</v>
      </c>
      <c r="Q16" s="13">
        <f t="shared" si="2"/>
        <v>272</v>
      </c>
      <c r="R16" s="13">
        <f t="shared" si="2"/>
        <v>276</v>
      </c>
      <c r="S16" s="13">
        <f t="shared" si="2"/>
        <v>296</v>
      </c>
      <c r="T16" s="13">
        <f t="shared" si="1"/>
        <v>4173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13" t="s">
        <v>188</v>
      </c>
      <c r="S18" s="13" t="s">
        <v>189</v>
      </c>
      <c r="T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104.0</v>
      </c>
      <c r="F19" s="60">
        <v>107.0</v>
      </c>
      <c r="G19" s="60">
        <v>115.0</v>
      </c>
      <c r="H19" s="60">
        <v>107.0</v>
      </c>
      <c r="I19" s="60">
        <v>87.0</v>
      </c>
      <c r="J19" s="60">
        <v>109.0</v>
      </c>
      <c r="K19" s="60">
        <v>123.0</v>
      </c>
      <c r="L19" s="60">
        <v>105.0</v>
      </c>
      <c r="M19" s="60">
        <v>88.0</v>
      </c>
      <c r="N19" s="60">
        <v>109.0</v>
      </c>
      <c r="O19" s="60">
        <v>95.0</v>
      </c>
      <c r="P19" s="60">
        <v>114.0</v>
      </c>
      <c r="Q19" s="60">
        <v>96.0</v>
      </c>
      <c r="R19" s="60">
        <v>100.0</v>
      </c>
      <c r="S19" s="60">
        <v>100.0</v>
      </c>
      <c r="T19" s="13">
        <f t="shared" ref="T19:T30" si="3">SUM(E19:S19)</f>
        <v>1559</v>
      </c>
    </row>
    <row r="20" ht="12.75" customHeight="1">
      <c r="A20" s="34"/>
      <c r="B20" s="27"/>
      <c r="C20" s="35"/>
      <c r="D20" s="19" t="s">
        <v>13</v>
      </c>
      <c r="E20" s="60">
        <v>113.0</v>
      </c>
      <c r="F20" s="60">
        <v>113.0</v>
      </c>
      <c r="G20" s="60">
        <v>113.0</v>
      </c>
      <c r="H20" s="60">
        <v>113.0</v>
      </c>
      <c r="I20" s="60">
        <v>107.0</v>
      </c>
      <c r="J20" s="60">
        <v>116.0</v>
      </c>
      <c r="K20" s="60">
        <v>117.0</v>
      </c>
      <c r="L20" s="60">
        <v>117.0</v>
      </c>
      <c r="M20" s="60">
        <v>112.0</v>
      </c>
      <c r="N20" s="60">
        <v>119.0</v>
      </c>
      <c r="O20" s="60">
        <v>117.0</v>
      </c>
      <c r="P20" s="60">
        <v>118.0</v>
      </c>
      <c r="Q20" s="60">
        <v>116.0</v>
      </c>
      <c r="R20" s="60">
        <v>120.0</v>
      </c>
      <c r="S20" s="60">
        <v>133.0</v>
      </c>
      <c r="T20" s="13">
        <f t="shared" si="3"/>
        <v>1744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217</v>
      </c>
      <c r="F21" s="13">
        <f t="shared" si="4"/>
        <v>220</v>
      </c>
      <c r="G21" s="13">
        <f t="shared" si="4"/>
        <v>228</v>
      </c>
      <c r="H21" s="13">
        <f t="shared" si="4"/>
        <v>220</v>
      </c>
      <c r="I21" s="13">
        <f t="shared" si="4"/>
        <v>194</v>
      </c>
      <c r="J21" s="13">
        <f t="shared" si="4"/>
        <v>225</v>
      </c>
      <c r="K21" s="13">
        <f t="shared" si="4"/>
        <v>240</v>
      </c>
      <c r="L21" s="13">
        <f t="shared" si="4"/>
        <v>222</v>
      </c>
      <c r="M21" s="13">
        <f t="shared" si="4"/>
        <v>200</v>
      </c>
      <c r="N21" s="13">
        <f t="shared" si="4"/>
        <v>228</v>
      </c>
      <c r="O21" s="13">
        <f t="shared" si="4"/>
        <v>212</v>
      </c>
      <c r="P21" s="13">
        <f t="shared" si="4"/>
        <v>232</v>
      </c>
      <c r="Q21" s="13">
        <f t="shared" si="4"/>
        <v>212</v>
      </c>
      <c r="R21" s="13">
        <f t="shared" si="4"/>
        <v>220</v>
      </c>
      <c r="S21" s="13">
        <f t="shared" si="4"/>
        <v>233</v>
      </c>
      <c r="T21" s="13">
        <f t="shared" si="3"/>
        <v>3303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1.0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1.0</v>
      </c>
      <c r="F25" s="60">
        <v>2.0</v>
      </c>
      <c r="G25" s="60">
        <v>0.0</v>
      </c>
      <c r="H25" s="60">
        <v>2.0</v>
      </c>
      <c r="I25" s="60">
        <v>2.0</v>
      </c>
      <c r="J25" s="60">
        <v>0.0</v>
      </c>
      <c r="K25" s="60">
        <v>3.0</v>
      </c>
      <c r="L25" s="60">
        <v>4.0</v>
      </c>
      <c r="M25" s="60">
        <v>3.0</v>
      </c>
      <c r="N25" s="60">
        <v>0.0</v>
      </c>
      <c r="O25" s="60">
        <v>1.0</v>
      </c>
      <c r="P25" s="60">
        <v>0.0</v>
      </c>
      <c r="Q25" s="60">
        <v>1.0</v>
      </c>
      <c r="R25" s="60">
        <v>0.0</v>
      </c>
      <c r="S25" s="60">
        <v>1.0</v>
      </c>
      <c r="T25" s="13">
        <f t="shared" si="3"/>
        <v>20</v>
      </c>
    </row>
    <row r="26" ht="12.75" customHeight="1">
      <c r="A26" s="34"/>
      <c r="B26" s="27"/>
      <c r="C26" s="35"/>
      <c r="D26" s="19" t="s">
        <v>13</v>
      </c>
      <c r="E26" s="60">
        <v>4.0</v>
      </c>
      <c r="F26" s="60">
        <v>1.0</v>
      </c>
      <c r="G26" s="60">
        <v>1.0</v>
      </c>
      <c r="H26" s="60">
        <v>5.0</v>
      </c>
      <c r="I26" s="60">
        <v>3.0</v>
      </c>
      <c r="J26" s="60">
        <v>0.0</v>
      </c>
      <c r="K26" s="60">
        <v>1.0</v>
      </c>
      <c r="L26" s="60">
        <v>8.0</v>
      </c>
      <c r="M26" s="60">
        <v>3.0</v>
      </c>
      <c r="N26" s="60">
        <v>0.0</v>
      </c>
      <c r="O26" s="60">
        <v>1.0</v>
      </c>
      <c r="P26" s="60">
        <v>0.0</v>
      </c>
      <c r="Q26" s="60">
        <v>1.0</v>
      </c>
      <c r="R26" s="60">
        <v>0.0</v>
      </c>
      <c r="S26" s="60">
        <v>0.0</v>
      </c>
      <c r="T26" s="13">
        <f t="shared" si="3"/>
        <v>28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5</v>
      </c>
      <c r="F27" s="13">
        <f t="shared" si="6"/>
        <v>3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0</v>
      </c>
      <c r="K27" s="13">
        <f t="shared" si="6"/>
        <v>4</v>
      </c>
      <c r="L27" s="13">
        <f t="shared" si="6"/>
        <v>12</v>
      </c>
      <c r="M27" s="13">
        <f t="shared" si="6"/>
        <v>6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1</v>
      </c>
      <c r="T27" s="13">
        <f t="shared" si="3"/>
        <v>48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109</v>
      </c>
      <c r="G28" s="13">
        <f t="shared" si="7"/>
        <v>115</v>
      </c>
      <c r="H28" s="13">
        <f t="shared" si="7"/>
        <v>109</v>
      </c>
      <c r="I28" s="13">
        <f t="shared" si="7"/>
        <v>89</v>
      </c>
      <c r="J28" s="13">
        <f t="shared" si="7"/>
        <v>110</v>
      </c>
      <c r="K28" s="13">
        <f t="shared" si="7"/>
        <v>126</v>
      </c>
      <c r="L28" s="13">
        <f t="shared" si="7"/>
        <v>109</v>
      </c>
      <c r="M28" s="13">
        <f t="shared" si="7"/>
        <v>91</v>
      </c>
      <c r="N28" s="13">
        <f t="shared" si="7"/>
        <v>109</v>
      </c>
      <c r="O28" s="13">
        <f t="shared" si="7"/>
        <v>96</v>
      </c>
      <c r="P28" s="13">
        <f t="shared" si="7"/>
        <v>114</v>
      </c>
      <c r="Q28" s="13">
        <f t="shared" si="7"/>
        <v>97</v>
      </c>
      <c r="R28" s="13">
        <f t="shared" si="7"/>
        <v>100</v>
      </c>
      <c r="S28" s="13">
        <f t="shared" si="7"/>
        <v>101</v>
      </c>
      <c r="T28" s="13">
        <f t="shared" si="3"/>
        <v>1580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117</v>
      </c>
      <c r="F29" s="13">
        <f t="shared" si="8"/>
        <v>114</v>
      </c>
      <c r="G29" s="13">
        <f t="shared" si="8"/>
        <v>114</v>
      </c>
      <c r="H29" s="13">
        <f t="shared" si="8"/>
        <v>118</v>
      </c>
      <c r="I29" s="13">
        <f t="shared" si="8"/>
        <v>110</v>
      </c>
      <c r="J29" s="13">
        <f t="shared" si="8"/>
        <v>116</v>
      </c>
      <c r="K29" s="13">
        <f t="shared" si="8"/>
        <v>118</v>
      </c>
      <c r="L29" s="13">
        <f t="shared" si="8"/>
        <v>125</v>
      </c>
      <c r="M29" s="13">
        <f t="shared" si="8"/>
        <v>115</v>
      </c>
      <c r="N29" s="13">
        <f t="shared" si="8"/>
        <v>119</v>
      </c>
      <c r="O29" s="13">
        <f t="shared" si="8"/>
        <v>118</v>
      </c>
      <c r="P29" s="13">
        <f t="shared" si="8"/>
        <v>118</v>
      </c>
      <c r="Q29" s="13">
        <f t="shared" si="8"/>
        <v>117</v>
      </c>
      <c r="R29" s="13">
        <f t="shared" si="8"/>
        <v>120</v>
      </c>
      <c r="S29" s="13">
        <f t="shared" si="8"/>
        <v>133</v>
      </c>
      <c r="T29" s="13">
        <f t="shared" si="3"/>
        <v>1772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222</v>
      </c>
      <c r="F30" s="13">
        <f t="shared" si="9"/>
        <v>223</v>
      </c>
      <c r="G30" s="13">
        <f t="shared" si="9"/>
        <v>229</v>
      </c>
      <c r="H30" s="13">
        <f t="shared" si="9"/>
        <v>227</v>
      </c>
      <c r="I30" s="13">
        <f t="shared" si="9"/>
        <v>199</v>
      </c>
      <c r="J30" s="13">
        <f t="shared" si="9"/>
        <v>226</v>
      </c>
      <c r="K30" s="13">
        <f t="shared" si="9"/>
        <v>244</v>
      </c>
      <c r="L30" s="13">
        <f t="shared" si="9"/>
        <v>234</v>
      </c>
      <c r="M30" s="13">
        <f t="shared" si="9"/>
        <v>206</v>
      </c>
      <c r="N30" s="13">
        <f t="shared" si="9"/>
        <v>228</v>
      </c>
      <c r="O30" s="13">
        <f t="shared" si="9"/>
        <v>214</v>
      </c>
      <c r="P30" s="13">
        <f t="shared" si="9"/>
        <v>232</v>
      </c>
      <c r="Q30" s="13">
        <f t="shared" si="9"/>
        <v>214</v>
      </c>
      <c r="R30" s="13">
        <f t="shared" si="9"/>
        <v>220</v>
      </c>
      <c r="S30" s="13">
        <f t="shared" si="9"/>
        <v>234</v>
      </c>
      <c r="T30" s="13">
        <f t="shared" si="3"/>
        <v>3352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4" t="s">
        <v>184</v>
      </c>
      <c r="P32" s="74" t="s">
        <v>185</v>
      </c>
      <c r="Q32" s="74" t="s">
        <v>186</v>
      </c>
      <c r="R32" s="74" t="s">
        <v>188</v>
      </c>
      <c r="S32" s="74" t="s">
        <v>189</v>
      </c>
      <c r="T32" s="73"/>
    </row>
    <row r="33" ht="12.75" customHeight="1">
      <c r="A33" s="19">
        <v>1.0</v>
      </c>
      <c r="B33" s="20" t="s">
        <v>27</v>
      </c>
      <c r="C33" s="15"/>
      <c r="D33" s="16"/>
      <c r="E33" s="60">
        <v>271.0</v>
      </c>
      <c r="F33" s="60">
        <v>273.0</v>
      </c>
      <c r="G33" s="60">
        <v>285.0</v>
      </c>
      <c r="H33" s="60">
        <v>289.0</v>
      </c>
      <c r="I33" s="60">
        <v>292.0</v>
      </c>
      <c r="J33" s="60">
        <v>283.0</v>
      </c>
      <c r="K33" s="60">
        <v>280.0</v>
      </c>
      <c r="L33" s="60">
        <v>271.0</v>
      </c>
      <c r="M33" s="60">
        <v>265.0</v>
      </c>
      <c r="N33" s="60">
        <v>288.0</v>
      </c>
      <c r="O33" s="60">
        <v>274.0</v>
      </c>
      <c r="P33" s="60">
        <v>280.0</v>
      </c>
      <c r="Q33" s="60">
        <v>274.0</v>
      </c>
      <c r="R33" s="60">
        <v>277.0</v>
      </c>
      <c r="S33" s="60">
        <v>297.0</v>
      </c>
      <c r="T33" s="13">
        <f t="shared" ref="T33:T36" si="10">SUM(E33:S33)</f>
        <v>4199</v>
      </c>
    </row>
    <row r="34" ht="12.75" customHeight="1">
      <c r="A34" s="19">
        <v>2.0</v>
      </c>
      <c r="B34" s="20" t="s">
        <v>28</v>
      </c>
      <c r="C34" s="15"/>
      <c r="D34" s="16"/>
      <c r="E34" s="75">
        <v>222.0</v>
      </c>
      <c r="F34" s="75">
        <v>223.0</v>
      </c>
      <c r="G34" s="75">
        <v>229.0</v>
      </c>
      <c r="H34" s="75">
        <v>227.0</v>
      </c>
      <c r="I34" s="75">
        <v>199.0</v>
      </c>
      <c r="J34" s="75">
        <v>226.0</v>
      </c>
      <c r="K34" s="75">
        <v>244.0</v>
      </c>
      <c r="L34" s="75">
        <v>234.0</v>
      </c>
      <c r="M34" s="75">
        <v>206.0</v>
      </c>
      <c r="N34" s="75">
        <v>228.0</v>
      </c>
      <c r="O34" s="75">
        <v>214.0</v>
      </c>
      <c r="P34" s="75">
        <v>232.0</v>
      </c>
      <c r="Q34" s="75">
        <v>214.0</v>
      </c>
      <c r="R34" s="75">
        <v>220.0</v>
      </c>
      <c r="S34" s="75">
        <v>234.0</v>
      </c>
      <c r="T34" s="13">
        <f t="shared" si="10"/>
        <v>3352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0.0</v>
      </c>
      <c r="G35" s="60">
        <v>1.0</v>
      </c>
      <c r="H35" s="60">
        <v>0.0</v>
      </c>
      <c r="I35" s="60">
        <v>19.0</v>
      </c>
      <c r="J35" s="60">
        <v>0.0</v>
      </c>
      <c r="K35" s="60">
        <v>2.0</v>
      </c>
      <c r="L35" s="60">
        <v>1.0</v>
      </c>
      <c r="M35" s="60">
        <v>2.0</v>
      </c>
      <c r="N35" s="60">
        <v>0.0</v>
      </c>
      <c r="O35" s="60">
        <v>0.0</v>
      </c>
      <c r="P35" s="60">
        <v>0.0</v>
      </c>
      <c r="Q35" s="60">
        <v>1.0</v>
      </c>
      <c r="R35" s="60">
        <v>2.0</v>
      </c>
      <c r="S35" s="60">
        <v>1.0</v>
      </c>
      <c r="T35" s="13">
        <f t="shared" si="10"/>
        <v>29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49</v>
      </c>
      <c r="F36" s="13">
        <f t="shared" si="11"/>
        <v>50</v>
      </c>
      <c r="G36" s="13">
        <f t="shared" si="11"/>
        <v>55</v>
      </c>
      <c r="H36" s="13">
        <f t="shared" si="11"/>
        <v>62</v>
      </c>
      <c r="I36" s="13">
        <f t="shared" si="11"/>
        <v>74</v>
      </c>
      <c r="J36" s="13">
        <f t="shared" si="11"/>
        <v>57</v>
      </c>
      <c r="K36" s="13">
        <f t="shared" si="11"/>
        <v>34</v>
      </c>
      <c r="L36" s="13">
        <f t="shared" si="11"/>
        <v>36</v>
      </c>
      <c r="M36" s="13">
        <f t="shared" si="11"/>
        <v>57</v>
      </c>
      <c r="N36" s="13">
        <f t="shared" si="11"/>
        <v>60</v>
      </c>
      <c r="O36" s="13">
        <f t="shared" si="11"/>
        <v>60</v>
      </c>
      <c r="P36" s="13">
        <f t="shared" si="11"/>
        <v>48</v>
      </c>
      <c r="Q36" s="13">
        <f t="shared" si="11"/>
        <v>59</v>
      </c>
      <c r="R36" s="13">
        <f t="shared" si="11"/>
        <v>55</v>
      </c>
      <c r="S36" s="13">
        <f t="shared" si="11"/>
        <v>62</v>
      </c>
      <c r="T36" s="13">
        <f t="shared" si="10"/>
        <v>818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4" t="s">
        <v>184</v>
      </c>
      <c r="P38" s="74" t="s">
        <v>185</v>
      </c>
      <c r="Q38" s="74" t="s">
        <v>186</v>
      </c>
      <c r="R38" s="74" t="s">
        <v>188</v>
      </c>
      <c r="S38" s="74" t="s">
        <v>189</v>
      </c>
      <c r="T38" s="73"/>
    </row>
    <row r="39" ht="12.75" customHeight="1">
      <c r="A39" s="31"/>
      <c r="B39" s="46" t="s">
        <v>33</v>
      </c>
      <c r="C39" s="23"/>
      <c r="D39" s="19" t="s">
        <v>12</v>
      </c>
      <c r="E39" s="60">
        <v>2.0</v>
      </c>
      <c r="F39" s="60">
        <v>0.0</v>
      </c>
      <c r="G39" s="60">
        <v>0.0</v>
      </c>
      <c r="H39" s="60">
        <v>2.0</v>
      </c>
      <c r="I39" s="60">
        <v>0.0</v>
      </c>
      <c r="J39" s="60">
        <v>0.0</v>
      </c>
      <c r="K39" s="60">
        <v>0.0</v>
      </c>
      <c r="L39" s="60">
        <v>1.0</v>
      </c>
      <c r="M39" s="60">
        <v>0.0</v>
      </c>
      <c r="N39" s="60">
        <v>0.0</v>
      </c>
      <c r="O39" s="60">
        <v>0.0</v>
      </c>
      <c r="P39" s="60">
        <v>0.0</v>
      </c>
      <c r="Q39" s="60">
        <v>0.0</v>
      </c>
      <c r="R39" s="60">
        <v>0.0</v>
      </c>
      <c r="S39" s="60">
        <v>0.0</v>
      </c>
      <c r="T39" s="13">
        <f t="shared" ref="T39:T41" si="12">SUM(E39:S39)</f>
        <v>5</v>
      </c>
    </row>
    <row r="40" ht="12.75" customHeight="1">
      <c r="A40" s="34"/>
      <c r="C40" s="27"/>
      <c r="D40" s="19" t="s">
        <v>13</v>
      </c>
      <c r="E40" s="60">
        <v>2.0</v>
      </c>
      <c r="F40" s="60">
        <v>0.0</v>
      </c>
      <c r="G40" s="60">
        <v>1.0</v>
      </c>
      <c r="H40" s="60">
        <v>0.0</v>
      </c>
      <c r="I40" s="60">
        <v>0.0</v>
      </c>
      <c r="J40" s="60">
        <v>0.0</v>
      </c>
      <c r="K40" s="60">
        <v>0.0</v>
      </c>
      <c r="L40" s="60">
        <v>1.0</v>
      </c>
      <c r="M40" s="60">
        <v>0.0</v>
      </c>
      <c r="N40" s="60">
        <v>0.0</v>
      </c>
      <c r="O40" s="60">
        <v>0.0</v>
      </c>
      <c r="P40" s="60">
        <v>0.0</v>
      </c>
      <c r="Q40" s="60">
        <v>0.0</v>
      </c>
      <c r="R40" s="60">
        <v>0.0</v>
      </c>
      <c r="S40" s="60">
        <v>0.0</v>
      </c>
      <c r="T40" s="13">
        <f t="shared" si="12"/>
        <v>4</v>
      </c>
    </row>
    <row r="41" ht="12.75" customHeight="1">
      <c r="A41" s="44"/>
      <c r="B41" s="47"/>
      <c r="C41" s="28"/>
      <c r="D41" s="13" t="s">
        <v>14</v>
      </c>
      <c r="E41" s="13">
        <f t="shared" ref="E41:S41" si="13">SUM(E39:E40)</f>
        <v>4</v>
      </c>
      <c r="F41" s="13">
        <f t="shared" si="13"/>
        <v>0</v>
      </c>
      <c r="G41" s="13">
        <f t="shared" si="13"/>
        <v>1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9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74" t="s">
        <v>184</v>
      </c>
      <c r="P43" s="74" t="s">
        <v>185</v>
      </c>
      <c r="Q43" s="74" t="s">
        <v>186</v>
      </c>
      <c r="R43" s="74" t="s">
        <v>188</v>
      </c>
      <c r="S43" s="74" t="s">
        <v>189</v>
      </c>
      <c r="T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10.0</v>
      </c>
      <c r="F45" s="60">
        <v>6.0</v>
      </c>
      <c r="G45" s="60">
        <v>21.0</v>
      </c>
      <c r="H45" s="60">
        <v>8.0</v>
      </c>
      <c r="I45" s="60">
        <v>6.0</v>
      </c>
      <c r="J45" s="60">
        <v>7.0</v>
      </c>
      <c r="K45" s="60">
        <v>6.0</v>
      </c>
      <c r="L45" s="60">
        <v>8.0</v>
      </c>
      <c r="M45" s="60">
        <v>11.0</v>
      </c>
      <c r="N45" s="60">
        <v>12.0</v>
      </c>
      <c r="O45" s="60">
        <v>16.0</v>
      </c>
      <c r="P45" s="60">
        <v>14.0</v>
      </c>
      <c r="Q45" s="60">
        <v>0.0</v>
      </c>
      <c r="R45" s="60">
        <v>3.0</v>
      </c>
      <c r="S45" s="60">
        <v>5.0</v>
      </c>
      <c r="T45" s="13">
        <f t="shared" ref="T45:T193" si="14">SUM(E45:S45)</f>
        <v>133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31.0</v>
      </c>
      <c r="F46" s="60">
        <v>32.0</v>
      </c>
      <c r="G46" s="60">
        <v>60.0</v>
      </c>
      <c r="H46" s="60">
        <v>38.0</v>
      </c>
      <c r="I46" s="60">
        <v>8.0</v>
      </c>
      <c r="J46" s="60">
        <v>23.0</v>
      </c>
      <c r="K46" s="60">
        <v>35.0</v>
      </c>
      <c r="L46" s="60">
        <v>40.0</v>
      </c>
      <c r="M46" s="60">
        <v>88.0</v>
      </c>
      <c r="N46" s="60">
        <v>113.0</v>
      </c>
      <c r="O46" s="60">
        <v>54.0</v>
      </c>
      <c r="P46" s="60">
        <v>56.0</v>
      </c>
      <c r="Q46" s="60">
        <v>47.0</v>
      </c>
      <c r="R46" s="60">
        <v>58.0</v>
      </c>
      <c r="S46" s="60">
        <v>91.0</v>
      </c>
      <c r="T46" s="13">
        <f t="shared" si="14"/>
        <v>774</v>
      </c>
    </row>
    <row r="47" ht="12.75" customHeight="1">
      <c r="A47" s="18"/>
      <c r="B47" s="57"/>
      <c r="C47" s="58" t="s">
        <v>41</v>
      </c>
      <c r="D47" s="59"/>
      <c r="E47" s="60">
        <v>0.0</v>
      </c>
      <c r="F47" s="60">
        <v>1.0</v>
      </c>
      <c r="G47" s="60">
        <v>2.0</v>
      </c>
      <c r="H47" s="60">
        <v>4.0</v>
      </c>
      <c r="I47" s="60">
        <v>0.0</v>
      </c>
      <c r="J47" s="60">
        <v>0.0</v>
      </c>
      <c r="K47" s="60">
        <v>0.0</v>
      </c>
      <c r="L47" s="60">
        <v>0.0</v>
      </c>
      <c r="M47" s="60">
        <v>1.0</v>
      </c>
      <c r="N47" s="60">
        <v>0.0</v>
      </c>
      <c r="O47" s="60">
        <v>1.0</v>
      </c>
      <c r="P47" s="60">
        <v>5.0</v>
      </c>
      <c r="Q47" s="60">
        <v>1.0</v>
      </c>
      <c r="R47" s="60">
        <v>1.0</v>
      </c>
      <c r="S47" s="60">
        <v>0.0</v>
      </c>
      <c r="T47" s="13">
        <f t="shared" si="14"/>
        <v>16</v>
      </c>
    </row>
    <row r="48" ht="12.75" customHeight="1">
      <c r="A48" s="18"/>
      <c r="B48" s="57"/>
      <c r="C48" s="58" t="s">
        <v>42</v>
      </c>
      <c r="D48" s="59"/>
      <c r="E48" s="60">
        <v>2.0</v>
      </c>
      <c r="F48" s="60">
        <v>0.0</v>
      </c>
      <c r="G48" s="60">
        <v>0.0</v>
      </c>
      <c r="H48" s="60">
        <v>1.0</v>
      </c>
      <c r="I48" s="60">
        <v>0.0</v>
      </c>
      <c r="J48" s="60">
        <v>2.0</v>
      </c>
      <c r="K48" s="60">
        <v>3.0</v>
      </c>
      <c r="L48" s="60">
        <v>0.0</v>
      </c>
      <c r="M48" s="60">
        <v>1.0</v>
      </c>
      <c r="N48" s="60">
        <v>2.0</v>
      </c>
      <c r="O48" s="60">
        <v>0.0</v>
      </c>
      <c r="P48" s="60">
        <v>0.0</v>
      </c>
      <c r="Q48" s="60">
        <v>1.0</v>
      </c>
      <c r="R48" s="60">
        <v>0.0</v>
      </c>
      <c r="S48" s="60">
        <v>1.0</v>
      </c>
      <c r="T48" s="13">
        <f t="shared" si="14"/>
        <v>13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1.0</v>
      </c>
      <c r="J49" s="60">
        <v>0.0</v>
      </c>
      <c r="K49" s="60">
        <v>0.0</v>
      </c>
      <c r="L49" s="60">
        <v>1.0</v>
      </c>
      <c r="M49" s="60">
        <v>0.0</v>
      </c>
      <c r="N49" s="60">
        <v>0.0</v>
      </c>
      <c r="O49" s="60">
        <v>0.0</v>
      </c>
      <c r="P49" s="60">
        <v>0.0</v>
      </c>
      <c r="Q49" s="60">
        <v>0.0</v>
      </c>
      <c r="R49" s="60">
        <v>0.0</v>
      </c>
      <c r="S49" s="60">
        <v>0.0</v>
      </c>
      <c r="T49" s="13">
        <f t="shared" si="14"/>
        <v>2</v>
      </c>
    </row>
    <row r="50" ht="12.75" customHeight="1">
      <c r="A50" s="18"/>
      <c r="B50" s="57"/>
      <c r="C50" s="58" t="s">
        <v>44</v>
      </c>
      <c r="D50" s="59"/>
      <c r="E50" s="60">
        <v>1.0</v>
      </c>
      <c r="F50" s="60">
        <v>0.0</v>
      </c>
      <c r="G50" s="60">
        <v>0.0</v>
      </c>
      <c r="H50" s="60">
        <v>2.0</v>
      </c>
      <c r="I50" s="60">
        <v>2.0</v>
      </c>
      <c r="J50" s="60">
        <v>0.0</v>
      </c>
      <c r="K50" s="60">
        <v>2.0</v>
      </c>
      <c r="L50" s="60">
        <v>0.0</v>
      </c>
      <c r="M50" s="60">
        <v>0.0</v>
      </c>
      <c r="N50" s="60">
        <v>0.0</v>
      </c>
      <c r="O50" s="60">
        <v>0.0</v>
      </c>
      <c r="P50" s="60">
        <v>0.0</v>
      </c>
      <c r="Q50" s="60">
        <v>0.0</v>
      </c>
      <c r="R50" s="60">
        <v>0.0</v>
      </c>
      <c r="S50" s="60">
        <v>0.0</v>
      </c>
      <c r="T50" s="13">
        <f t="shared" si="14"/>
        <v>7</v>
      </c>
    </row>
    <row r="51" ht="12.75" customHeight="1">
      <c r="A51" s="18"/>
      <c r="B51" s="57"/>
      <c r="C51" s="58" t="s">
        <v>45</v>
      </c>
      <c r="D51" s="59"/>
      <c r="E51" s="60">
        <v>1.0</v>
      </c>
      <c r="F51" s="60">
        <v>0.0</v>
      </c>
      <c r="G51" s="60">
        <v>0.0</v>
      </c>
      <c r="H51" s="60">
        <v>1.0</v>
      </c>
      <c r="I51" s="60">
        <v>0.0</v>
      </c>
      <c r="J51" s="60">
        <v>0.0</v>
      </c>
      <c r="K51" s="60">
        <v>0.0</v>
      </c>
      <c r="L51" s="60">
        <v>0.0</v>
      </c>
      <c r="M51" s="60">
        <v>0.0</v>
      </c>
      <c r="N51" s="60">
        <v>0.0</v>
      </c>
      <c r="O51" s="60">
        <v>0.0</v>
      </c>
      <c r="P51" s="60">
        <v>1.0</v>
      </c>
      <c r="Q51" s="60">
        <v>0.0</v>
      </c>
      <c r="R51" s="60">
        <v>0.0</v>
      </c>
      <c r="S51" s="60">
        <v>1.0</v>
      </c>
      <c r="T51" s="13">
        <f t="shared" si="14"/>
        <v>4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S52" si="15">SUM(E45:E51)</f>
        <v>45</v>
      </c>
      <c r="F52" s="64">
        <f t="shared" si="15"/>
        <v>39</v>
      </c>
      <c r="G52" s="64">
        <f t="shared" si="15"/>
        <v>83</v>
      </c>
      <c r="H52" s="64">
        <f t="shared" si="15"/>
        <v>54</v>
      </c>
      <c r="I52" s="64">
        <f t="shared" si="15"/>
        <v>17</v>
      </c>
      <c r="J52" s="64">
        <f t="shared" si="15"/>
        <v>32</v>
      </c>
      <c r="K52" s="64">
        <f t="shared" si="15"/>
        <v>46</v>
      </c>
      <c r="L52" s="64">
        <f t="shared" si="15"/>
        <v>49</v>
      </c>
      <c r="M52" s="64">
        <f t="shared" si="15"/>
        <v>101</v>
      </c>
      <c r="N52" s="64">
        <f t="shared" si="15"/>
        <v>127</v>
      </c>
      <c r="O52" s="64">
        <f t="shared" si="15"/>
        <v>71</v>
      </c>
      <c r="P52" s="64">
        <f t="shared" si="15"/>
        <v>76</v>
      </c>
      <c r="Q52" s="64">
        <f t="shared" si="15"/>
        <v>49</v>
      </c>
      <c r="R52" s="64">
        <f t="shared" si="15"/>
        <v>62</v>
      </c>
      <c r="S52" s="64">
        <f t="shared" si="15"/>
        <v>98</v>
      </c>
      <c r="T52" s="13">
        <f t="shared" si="14"/>
        <v>949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5.0</v>
      </c>
      <c r="F54" s="60">
        <v>5.0</v>
      </c>
      <c r="G54" s="60">
        <v>8.0</v>
      </c>
      <c r="H54" s="60">
        <v>16.0</v>
      </c>
      <c r="I54" s="60">
        <v>7.0</v>
      </c>
      <c r="J54" s="60">
        <v>9.0</v>
      </c>
      <c r="K54" s="60">
        <v>3.0</v>
      </c>
      <c r="L54" s="60">
        <v>10.0</v>
      </c>
      <c r="M54" s="60">
        <v>8.0</v>
      </c>
      <c r="N54" s="60">
        <v>9.0</v>
      </c>
      <c r="O54" s="60">
        <v>6.0</v>
      </c>
      <c r="P54" s="60">
        <v>20.0</v>
      </c>
      <c r="Q54" s="60">
        <v>6.0</v>
      </c>
      <c r="R54" s="60">
        <v>7.0</v>
      </c>
      <c r="S54" s="60">
        <v>3.0</v>
      </c>
      <c r="T54" s="13">
        <f t="shared" si="14"/>
        <v>122</v>
      </c>
    </row>
    <row r="55" ht="15.0" customHeight="1">
      <c r="A55" s="31" t="s">
        <v>39</v>
      </c>
      <c r="B55" s="57"/>
      <c r="C55" s="58" t="s">
        <v>48</v>
      </c>
      <c r="D55" s="59"/>
      <c r="E55" s="60">
        <v>2.0</v>
      </c>
      <c r="F55" s="60">
        <v>4.0</v>
      </c>
      <c r="G55" s="60">
        <v>4.0</v>
      </c>
      <c r="H55" s="60">
        <v>3.0</v>
      </c>
      <c r="I55" s="60">
        <v>6.0</v>
      </c>
      <c r="J55" s="60">
        <v>3.0</v>
      </c>
      <c r="K55" s="60">
        <v>2.0</v>
      </c>
      <c r="L55" s="60">
        <v>3.0</v>
      </c>
      <c r="M55" s="60">
        <v>1.0</v>
      </c>
      <c r="N55" s="60">
        <v>3.0</v>
      </c>
      <c r="O55" s="60">
        <v>3.0</v>
      </c>
      <c r="P55" s="60">
        <v>4.0</v>
      </c>
      <c r="Q55" s="60">
        <v>5.0</v>
      </c>
      <c r="R55" s="60">
        <v>4.0</v>
      </c>
      <c r="S55" s="60">
        <v>1.0</v>
      </c>
      <c r="T55" s="13">
        <f t="shared" si="14"/>
        <v>48</v>
      </c>
    </row>
    <row r="56" ht="12.75" customHeight="1">
      <c r="A56" s="18"/>
      <c r="B56" s="57"/>
      <c r="C56" s="58" t="s">
        <v>49</v>
      </c>
      <c r="D56" s="59"/>
      <c r="E56" s="60">
        <v>2.0</v>
      </c>
      <c r="F56" s="60">
        <v>1.0</v>
      </c>
      <c r="G56" s="60">
        <v>1.0</v>
      </c>
      <c r="H56" s="60">
        <v>6.0</v>
      </c>
      <c r="I56" s="60">
        <v>6.0</v>
      </c>
      <c r="J56" s="60">
        <v>3.0</v>
      </c>
      <c r="K56" s="60">
        <v>1.0</v>
      </c>
      <c r="L56" s="60">
        <v>0.0</v>
      </c>
      <c r="M56" s="60">
        <v>1.0</v>
      </c>
      <c r="N56" s="60">
        <v>1.0</v>
      </c>
      <c r="O56" s="60">
        <v>4.0</v>
      </c>
      <c r="P56" s="60">
        <v>4.0</v>
      </c>
      <c r="Q56" s="60">
        <v>3.0</v>
      </c>
      <c r="R56" s="60">
        <v>1.0</v>
      </c>
      <c r="S56" s="60">
        <v>1.0</v>
      </c>
      <c r="T56" s="13">
        <f t="shared" si="14"/>
        <v>35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0.0</v>
      </c>
      <c r="G57" s="60">
        <v>1.0</v>
      </c>
      <c r="H57" s="60">
        <v>2.0</v>
      </c>
      <c r="I57" s="60">
        <v>2.0</v>
      </c>
      <c r="J57" s="60">
        <v>0.0</v>
      </c>
      <c r="K57" s="60">
        <v>0.0</v>
      </c>
      <c r="L57" s="60">
        <v>1.0</v>
      </c>
      <c r="M57" s="60">
        <v>1.0</v>
      </c>
      <c r="N57" s="60">
        <v>0.0</v>
      </c>
      <c r="O57" s="60">
        <v>0.0</v>
      </c>
      <c r="P57" s="60">
        <v>1.0</v>
      </c>
      <c r="Q57" s="60">
        <v>2.0</v>
      </c>
      <c r="R57" s="60">
        <v>1.0</v>
      </c>
      <c r="S57" s="60">
        <v>1.0</v>
      </c>
      <c r="T57" s="13">
        <f t="shared" si="14"/>
        <v>12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0.0</v>
      </c>
      <c r="H58" s="60">
        <v>1.0</v>
      </c>
      <c r="I58" s="60">
        <v>0.0</v>
      </c>
      <c r="J58" s="60">
        <v>2.0</v>
      </c>
      <c r="K58" s="60">
        <v>0.0</v>
      </c>
      <c r="L58" s="60">
        <v>1.0</v>
      </c>
      <c r="M58" s="60">
        <v>0.0</v>
      </c>
      <c r="N58" s="60">
        <v>1.0</v>
      </c>
      <c r="O58" s="60">
        <v>1.0</v>
      </c>
      <c r="P58" s="60">
        <v>1.0</v>
      </c>
      <c r="Q58" s="60">
        <v>2.0</v>
      </c>
      <c r="R58" s="60">
        <v>1.0</v>
      </c>
      <c r="S58" s="60">
        <v>1.0</v>
      </c>
      <c r="T58" s="13">
        <f t="shared" si="14"/>
        <v>11</v>
      </c>
    </row>
    <row r="59" ht="12.75" customHeight="1">
      <c r="A59" s="18"/>
      <c r="B59" s="57"/>
      <c r="C59" s="58" t="s">
        <v>52</v>
      </c>
      <c r="D59" s="59"/>
      <c r="E59" s="60">
        <v>0.0</v>
      </c>
      <c r="F59" s="60">
        <v>1.0</v>
      </c>
      <c r="G59" s="60">
        <v>1.0</v>
      </c>
      <c r="H59" s="60">
        <v>1.0</v>
      </c>
      <c r="I59" s="60">
        <v>3.0</v>
      </c>
      <c r="J59" s="60">
        <v>2.0</v>
      </c>
      <c r="K59" s="60">
        <v>2.0</v>
      </c>
      <c r="L59" s="60">
        <v>15.0</v>
      </c>
      <c r="M59" s="60">
        <v>0.0</v>
      </c>
      <c r="N59" s="60">
        <v>0.0</v>
      </c>
      <c r="O59" s="60">
        <v>0.0</v>
      </c>
      <c r="P59" s="60">
        <v>0.0</v>
      </c>
      <c r="Q59" s="60">
        <v>0.0</v>
      </c>
      <c r="R59" s="60">
        <v>6.0</v>
      </c>
      <c r="S59" s="60">
        <v>3.0</v>
      </c>
      <c r="T59" s="13">
        <f t="shared" si="14"/>
        <v>34</v>
      </c>
    </row>
    <row r="60" ht="12.75" customHeight="1">
      <c r="A60" s="18"/>
      <c r="B60" s="57"/>
      <c r="C60" s="58" t="s">
        <v>53</v>
      </c>
      <c r="D60" s="59"/>
      <c r="E60" s="60">
        <v>1.0</v>
      </c>
      <c r="F60" s="60">
        <v>0.0</v>
      </c>
      <c r="G60" s="60">
        <v>0.0</v>
      </c>
      <c r="H60" s="60">
        <v>1.0</v>
      </c>
      <c r="I60" s="60">
        <v>0.0</v>
      </c>
      <c r="J60" s="60">
        <v>2.0</v>
      </c>
      <c r="K60" s="60">
        <v>0.0</v>
      </c>
      <c r="L60" s="60">
        <v>0.0</v>
      </c>
      <c r="M60" s="60">
        <v>0.0</v>
      </c>
      <c r="N60" s="60">
        <v>0.0</v>
      </c>
      <c r="O60" s="60">
        <v>0.0</v>
      </c>
      <c r="P60" s="60">
        <v>0.0</v>
      </c>
      <c r="Q60" s="60">
        <v>0.0</v>
      </c>
      <c r="R60" s="60">
        <v>1.0</v>
      </c>
      <c r="S60" s="60">
        <v>1.0</v>
      </c>
      <c r="T60" s="13">
        <f t="shared" si="14"/>
        <v>6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S61" si="16">SUM(E54:E60)</f>
        <v>10</v>
      </c>
      <c r="F61" s="64">
        <f t="shared" si="16"/>
        <v>11</v>
      </c>
      <c r="G61" s="64">
        <f t="shared" si="16"/>
        <v>15</v>
      </c>
      <c r="H61" s="64">
        <f t="shared" si="16"/>
        <v>30</v>
      </c>
      <c r="I61" s="64">
        <f t="shared" si="16"/>
        <v>24</v>
      </c>
      <c r="J61" s="64">
        <f t="shared" si="16"/>
        <v>21</v>
      </c>
      <c r="K61" s="64">
        <f t="shared" si="16"/>
        <v>8</v>
      </c>
      <c r="L61" s="64">
        <f t="shared" si="16"/>
        <v>30</v>
      </c>
      <c r="M61" s="64">
        <f t="shared" si="16"/>
        <v>11</v>
      </c>
      <c r="N61" s="64">
        <f t="shared" si="16"/>
        <v>14</v>
      </c>
      <c r="O61" s="64">
        <f t="shared" si="16"/>
        <v>14</v>
      </c>
      <c r="P61" s="64">
        <f t="shared" si="16"/>
        <v>30</v>
      </c>
      <c r="Q61" s="64">
        <f t="shared" si="16"/>
        <v>18</v>
      </c>
      <c r="R61" s="64">
        <f t="shared" si="16"/>
        <v>21</v>
      </c>
      <c r="S61" s="64">
        <f t="shared" si="16"/>
        <v>11</v>
      </c>
      <c r="T61" s="13">
        <f t="shared" si="14"/>
        <v>268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4.0</v>
      </c>
      <c r="F63" s="60">
        <v>5.0</v>
      </c>
      <c r="G63" s="60">
        <v>10.0</v>
      </c>
      <c r="H63" s="60">
        <v>9.0</v>
      </c>
      <c r="I63" s="60">
        <v>3.0</v>
      </c>
      <c r="J63" s="60">
        <v>5.0</v>
      </c>
      <c r="K63" s="60">
        <v>1.0</v>
      </c>
      <c r="L63" s="60">
        <v>1.0</v>
      </c>
      <c r="M63" s="60">
        <v>1.0</v>
      </c>
      <c r="N63" s="60">
        <v>8.0</v>
      </c>
      <c r="O63" s="60">
        <v>5.0</v>
      </c>
      <c r="P63" s="60">
        <v>8.0</v>
      </c>
      <c r="Q63" s="60">
        <v>1.0</v>
      </c>
      <c r="R63" s="60">
        <v>0.0</v>
      </c>
      <c r="S63" s="60">
        <v>2.0</v>
      </c>
      <c r="T63" s="13">
        <f t="shared" si="14"/>
        <v>63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2.0</v>
      </c>
      <c r="F64" s="60">
        <v>3.0</v>
      </c>
      <c r="G64" s="60">
        <v>4.0</v>
      </c>
      <c r="H64" s="60">
        <v>6.0</v>
      </c>
      <c r="I64" s="60">
        <v>9.0</v>
      </c>
      <c r="J64" s="60">
        <v>3.0</v>
      </c>
      <c r="K64" s="60">
        <v>8.0</v>
      </c>
      <c r="L64" s="60">
        <v>2.0</v>
      </c>
      <c r="M64" s="60">
        <v>8.0</v>
      </c>
      <c r="N64" s="60">
        <v>2.0</v>
      </c>
      <c r="O64" s="60">
        <v>4.0</v>
      </c>
      <c r="P64" s="60">
        <v>2.0</v>
      </c>
      <c r="Q64" s="60">
        <v>1.0</v>
      </c>
      <c r="R64" s="60">
        <v>0.0</v>
      </c>
      <c r="S64" s="60">
        <v>2.0</v>
      </c>
      <c r="T64" s="13">
        <f t="shared" si="14"/>
        <v>56</v>
      </c>
    </row>
    <row r="65" ht="12.75" customHeight="1">
      <c r="A65" s="18"/>
      <c r="B65" s="57"/>
      <c r="C65" s="58" t="s">
        <v>56</v>
      </c>
      <c r="D65" s="59"/>
      <c r="E65" s="60">
        <v>15.0</v>
      </c>
      <c r="F65" s="60">
        <v>9.0</v>
      </c>
      <c r="G65" s="60">
        <v>3.0</v>
      </c>
      <c r="H65" s="60">
        <v>6.0</v>
      </c>
      <c r="I65" s="60">
        <v>4.0</v>
      </c>
      <c r="J65" s="60">
        <v>6.0</v>
      </c>
      <c r="K65" s="60">
        <v>3.0</v>
      </c>
      <c r="L65" s="60">
        <v>6.0</v>
      </c>
      <c r="M65" s="60">
        <v>1.0</v>
      </c>
      <c r="N65" s="60">
        <v>19.0</v>
      </c>
      <c r="O65" s="60">
        <v>33.0</v>
      </c>
      <c r="P65" s="60">
        <v>27.0</v>
      </c>
      <c r="Q65" s="60">
        <v>1.0</v>
      </c>
      <c r="R65" s="60">
        <v>3.0</v>
      </c>
      <c r="S65" s="60">
        <v>3.0</v>
      </c>
      <c r="T65" s="13">
        <f t="shared" si="14"/>
        <v>139</v>
      </c>
    </row>
    <row r="66" ht="12.75" customHeight="1">
      <c r="A66" s="18"/>
      <c r="B66" s="57"/>
      <c r="C66" s="58" t="s">
        <v>57</v>
      </c>
      <c r="D66" s="59"/>
      <c r="E66" s="60">
        <v>8.0</v>
      </c>
      <c r="F66" s="60">
        <v>12.0</v>
      </c>
      <c r="G66" s="60">
        <v>6.0</v>
      </c>
      <c r="H66" s="60">
        <v>15.0</v>
      </c>
      <c r="I66" s="60">
        <v>5.0</v>
      </c>
      <c r="J66" s="60">
        <v>2.0</v>
      </c>
      <c r="K66" s="60">
        <v>0.0</v>
      </c>
      <c r="L66" s="60">
        <v>3.0</v>
      </c>
      <c r="M66" s="60">
        <v>0.0</v>
      </c>
      <c r="N66" s="60">
        <v>0.0</v>
      </c>
      <c r="O66" s="60">
        <v>1.0</v>
      </c>
      <c r="P66" s="60">
        <v>0.0</v>
      </c>
      <c r="Q66" s="60">
        <v>7.0</v>
      </c>
      <c r="R66" s="60">
        <v>6.0</v>
      </c>
      <c r="S66" s="60">
        <v>7.0</v>
      </c>
      <c r="T66" s="13">
        <f t="shared" si="14"/>
        <v>72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1.0</v>
      </c>
      <c r="G67" s="60">
        <v>0.0</v>
      </c>
      <c r="H67" s="60">
        <v>0.0</v>
      </c>
      <c r="I67" s="60">
        <v>1.0</v>
      </c>
      <c r="J67" s="60">
        <v>0.0</v>
      </c>
      <c r="K67" s="60">
        <v>0.0</v>
      </c>
      <c r="L67" s="60">
        <v>0.0</v>
      </c>
      <c r="M67" s="60">
        <v>0.0</v>
      </c>
      <c r="N67" s="60">
        <v>0.0</v>
      </c>
      <c r="O67" s="60">
        <v>1.0</v>
      </c>
      <c r="P67" s="60">
        <v>1.0</v>
      </c>
      <c r="Q67" s="60">
        <v>1.0</v>
      </c>
      <c r="R67" s="60">
        <v>0.0</v>
      </c>
      <c r="S67" s="60">
        <v>2.0</v>
      </c>
      <c r="T67" s="13">
        <f t="shared" si="14"/>
        <v>7</v>
      </c>
    </row>
    <row r="68" ht="12.75" customHeight="1">
      <c r="A68" s="18"/>
      <c r="B68" s="57"/>
      <c r="C68" s="58" t="s">
        <v>59</v>
      </c>
      <c r="D68" s="59"/>
      <c r="E68" s="60">
        <v>4.0</v>
      </c>
      <c r="F68" s="60">
        <v>7.0</v>
      </c>
      <c r="G68" s="60">
        <v>2.0</v>
      </c>
      <c r="H68" s="60">
        <v>8.0</v>
      </c>
      <c r="I68" s="60">
        <v>6.0</v>
      </c>
      <c r="J68" s="60">
        <v>15.0</v>
      </c>
      <c r="K68" s="60">
        <v>3.0</v>
      </c>
      <c r="L68" s="60">
        <v>6.0</v>
      </c>
      <c r="M68" s="60">
        <v>19.0</v>
      </c>
      <c r="N68" s="60">
        <v>13.0</v>
      </c>
      <c r="O68" s="60">
        <v>1.0</v>
      </c>
      <c r="P68" s="60">
        <v>1.0</v>
      </c>
      <c r="Q68" s="60">
        <v>7.0</v>
      </c>
      <c r="R68" s="60">
        <v>0.0</v>
      </c>
      <c r="S68" s="60">
        <v>1.0</v>
      </c>
      <c r="T68" s="13">
        <f t="shared" si="14"/>
        <v>93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1.0</v>
      </c>
      <c r="G69" s="60">
        <v>0.0</v>
      </c>
      <c r="H69" s="60">
        <v>1.0</v>
      </c>
      <c r="I69" s="60">
        <v>1.0</v>
      </c>
      <c r="J69" s="60">
        <v>0.0</v>
      </c>
      <c r="K69" s="60">
        <v>0.0</v>
      </c>
      <c r="L69" s="60">
        <v>1.0</v>
      </c>
      <c r="M69" s="60">
        <v>1.0</v>
      </c>
      <c r="N69" s="60">
        <v>0.0</v>
      </c>
      <c r="O69" s="60">
        <v>1.0</v>
      </c>
      <c r="P69" s="60">
        <v>2.0</v>
      </c>
      <c r="Q69" s="60">
        <v>3.0</v>
      </c>
      <c r="R69" s="60">
        <v>0.0</v>
      </c>
      <c r="S69" s="60">
        <v>7.0</v>
      </c>
      <c r="T69" s="13">
        <f t="shared" si="14"/>
        <v>18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S70" si="17">SUM(E63:E69)</f>
        <v>33</v>
      </c>
      <c r="F70" s="64">
        <f t="shared" si="17"/>
        <v>38</v>
      </c>
      <c r="G70" s="64">
        <f t="shared" si="17"/>
        <v>25</v>
      </c>
      <c r="H70" s="64">
        <f t="shared" si="17"/>
        <v>45</v>
      </c>
      <c r="I70" s="64">
        <f t="shared" si="17"/>
        <v>29</v>
      </c>
      <c r="J70" s="64">
        <f t="shared" si="17"/>
        <v>31</v>
      </c>
      <c r="K70" s="64">
        <f t="shared" si="17"/>
        <v>15</v>
      </c>
      <c r="L70" s="64">
        <f t="shared" si="17"/>
        <v>19</v>
      </c>
      <c r="M70" s="64">
        <f t="shared" si="17"/>
        <v>30</v>
      </c>
      <c r="N70" s="64">
        <f t="shared" si="17"/>
        <v>42</v>
      </c>
      <c r="O70" s="64">
        <f t="shared" si="17"/>
        <v>46</v>
      </c>
      <c r="P70" s="64">
        <f t="shared" si="17"/>
        <v>41</v>
      </c>
      <c r="Q70" s="64">
        <f t="shared" si="17"/>
        <v>21</v>
      </c>
      <c r="R70" s="64">
        <f t="shared" si="17"/>
        <v>9</v>
      </c>
      <c r="S70" s="64">
        <f t="shared" si="17"/>
        <v>24</v>
      </c>
      <c r="T70" s="13">
        <f t="shared" si="14"/>
        <v>448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0.0</v>
      </c>
      <c r="F72" s="60">
        <v>1.0</v>
      </c>
      <c r="G72" s="60">
        <v>3.0</v>
      </c>
      <c r="H72" s="60">
        <v>1.0</v>
      </c>
      <c r="I72" s="60">
        <v>1.0</v>
      </c>
      <c r="J72" s="60">
        <v>2.0</v>
      </c>
      <c r="K72" s="60">
        <v>4.0</v>
      </c>
      <c r="L72" s="60">
        <v>4.0</v>
      </c>
      <c r="M72" s="60">
        <v>1.0</v>
      </c>
      <c r="N72" s="60">
        <v>2.0</v>
      </c>
      <c r="O72" s="60">
        <v>3.0</v>
      </c>
      <c r="P72" s="60">
        <v>0.0</v>
      </c>
      <c r="Q72" s="60">
        <v>6.0</v>
      </c>
      <c r="R72" s="60">
        <v>2.0</v>
      </c>
      <c r="S72" s="60">
        <v>3.0</v>
      </c>
      <c r="T72" s="13">
        <f t="shared" si="14"/>
        <v>33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3.0</v>
      </c>
      <c r="F73" s="60">
        <v>14.0</v>
      </c>
      <c r="G73" s="60">
        <v>12.0</v>
      </c>
      <c r="H73" s="60">
        <v>7.0</v>
      </c>
      <c r="I73" s="60">
        <v>17.0</v>
      </c>
      <c r="J73" s="60">
        <v>21.0</v>
      </c>
      <c r="K73" s="60">
        <v>50.0</v>
      </c>
      <c r="L73" s="60">
        <v>25.0</v>
      </c>
      <c r="M73" s="60">
        <v>3.0</v>
      </c>
      <c r="N73" s="60">
        <v>4.0</v>
      </c>
      <c r="O73" s="60">
        <v>22.0</v>
      </c>
      <c r="P73" s="60">
        <v>14.0</v>
      </c>
      <c r="Q73" s="60">
        <v>23.0</v>
      </c>
      <c r="R73" s="60">
        <v>16.0</v>
      </c>
      <c r="S73" s="60">
        <v>12.0</v>
      </c>
      <c r="T73" s="13">
        <f t="shared" si="14"/>
        <v>243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0.0</v>
      </c>
      <c r="G74" s="60">
        <v>0.0</v>
      </c>
      <c r="H74" s="60">
        <v>0.0</v>
      </c>
      <c r="I74" s="60">
        <v>0.0</v>
      </c>
      <c r="J74" s="60">
        <v>0.0</v>
      </c>
      <c r="K74" s="60">
        <v>1.0</v>
      </c>
      <c r="L74" s="60">
        <v>0.0</v>
      </c>
      <c r="M74" s="60">
        <v>0.0</v>
      </c>
      <c r="N74" s="60">
        <v>1.0</v>
      </c>
      <c r="O74" s="60">
        <v>1.0</v>
      </c>
      <c r="P74" s="60">
        <v>0.0</v>
      </c>
      <c r="Q74" s="60">
        <v>0.0</v>
      </c>
      <c r="R74" s="60">
        <v>1.0</v>
      </c>
      <c r="S74" s="60">
        <v>0.0</v>
      </c>
      <c r="T74" s="13">
        <f t="shared" si="14"/>
        <v>4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2.0</v>
      </c>
      <c r="G75" s="60">
        <v>0.0</v>
      </c>
      <c r="H75" s="60">
        <v>0.0</v>
      </c>
      <c r="I75" s="60">
        <v>1.0</v>
      </c>
      <c r="J75" s="60">
        <v>0.0</v>
      </c>
      <c r="K75" s="60">
        <v>0.0</v>
      </c>
      <c r="L75" s="60">
        <v>2.0</v>
      </c>
      <c r="M75" s="60">
        <v>0.0</v>
      </c>
      <c r="N75" s="60">
        <v>0.0</v>
      </c>
      <c r="O75" s="60">
        <v>0.0</v>
      </c>
      <c r="P75" s="60">
        <v>0.0</v>
      </c>
      <c r="Q75" s="60">
        <v>1.0</v>
      </c>
      <c r="R75" s="60">
        <v>0.0</v>
      </c>
      <c r="S75" s="60">
        <v>1.0</v>
      </c>
      <c r="T75" s="13">
        <f t="shared" si="14"/>
        <v>7</v>
      </c>
    </row>
    <row r="76" ht="12.75" customHeight="1">
      <c r="A76" s="18"/>
      <c r="B76" s="57"/>
      <c r="C76" s="58" t="s">
        <v>65</v>
      </c>
      <c r="D76" s="59"/>
      <c r="E76" s="60">
        <v>2.0</v>
      </c>
      <c r="F76" s="60">
        <v>3.0</v>
      </c>
      <c r="G76" s="60">
        <v>1.0</v>
      </c>
      <c r="H76" s="60">
        <v>0.0</v>
      </c>
      <c r="I76" s="60">
        <v>1.0</v>
      </c>
      <c r="J76" s="60">
        <v>1.0</v>
      </c>
      <c r="K76" s="60">
        <v>1.0</v>
      </c>
      <c r="L76" s="60">
        <v>0.0</v>
      </c>
      <c r="M76" s="60">
        <v>0.0</v>
      </c>
      <c r="N76" s="60">
        <v>0.0</v>
      </c>
      <c r="O76" s="60">
        <v>0.0</v>
      </c>
      <c r="P76" s="60">
        <v>0.0</v>
      </c>
      <c r="Q76" s="60">
        <v>1.0</v>
      </c>
      <c r="R76" s="60">
        <v>0.0</v>
      </c>
      <c r="S76" s="60">
        <v>0.0</v>
      </c>
      <c r="T76" s="13">
        <f t="shared" si="14"/>
        <v>10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60">
        <v>0.0</v>
      </c>
      <c r="P77" s="60">
        <v>0.0</v>
      </c>
      <c r="Q77" s="60">
        <v>0.0</v>
      </c>
      <c r="R77" s="60">
        <v>1.0</v>
      </c>
      <c r="S77" s="60">
        <v>0.0</v>
      </c>
      <c r="T77" s="13">
        <f t="shared" si="14"/>
        <v>1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2.0</v>
      </c>
      <c r="J78" s="60">
        <v>1.0</v>
      </c>
      <c r="K78" s="60">
        <v>0.0</v>
      </c>
      <c r="L78" s="60">
        <v>1.0</v>
      </c>
      <c r="M78" s="60">
        <v>1.0</v>
      </c>
      <c r="N78" s="60">
        <v>0.0</v>
      </c>
      <c r="O78" s="60">
        <v>0.0</v>
      </c>
      <c r="P78" s="60">
        <v>0.0</v>
      </c>
      <c r="Q78" s="60">
        <v>4.0</v>
      </c>
      <c r="R78" s="60">
        <v>1.0</v>
      </c>
      <c r="S78" s="60">
        <v>1.0</v>
      </c>
      <c r="T78" s="13">
        <f t="shared" si="14"/>
        <v>11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S79" si="18">SUM(E72:E78)</f>
        <v>5</v>
      </c>
      <c r="F79" s="64">
        <f t="shared" si="18"/>
        <v>20</v>
      </c>
      <c r="G79" s="64">
        <f t="shared" si="18"/>
        <v>16</v>
      </c>
      <c r="H79" s="64">
        <f t="shared" si="18"/>
        <v>8</v>
      </c>
      <c r="I79" s="64">
        <f t="shared" si="18"/>
        <v>22</v>
      </c>
      <c r="J79" s="64">
        <f t="shared" si="18"/>
        <v>25</v>
      </c>
      <c r="K79" s="64">
        <f t="shared" si="18"/>
        <v>56</v>
      </c>
      <c r="L79" s="64">
        <f t="shared" si="18"/>
        <v>32</v>
      </c>
      <c r="M79" s="64">
        <f t="shared" si="18"/>
        <v>5</v>
      </c>
      <c r="N79" s="64">
        <f t="shared" si="18"/>
        <v>7</v>
      </c>
      <c r="O79" s="64">
        <f t="shared" si="18"/>
        <v>26</v>
      </c>
      <c r="P79" s="64">
        <f t="shared" si="18"/>
        <v>14</v>
      </c>
      <c r="Q79" s="64">
        <f t="shared" si="18"/>
        <v>35</v>
      </c>
      <c r="R79" s="64">
        <f t="shared" si="18"/>
        <v>21</v>
      </c>
      <c r="S79" s="64">
        <f t="shared" si="18"/>
        <v>17</v>
      </c>
      <c r="T79" s="13">
        <f t="shared" si="14"/>
        <v>309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1.0</v>
      </c>
      <c r="F81" s="60">
        <v>1.0</v>
      </c>
      <c r="G81" s="60">
        <v>0.0</v>
      </c>
      <c r="H81" s="60">
        <v>1.0</v>
      </c>
      <c r="I81" s="60">
        <v>2.0</v>
      </c>
      <c r="J81" s="60">
        <v>2.0</v>
      </c>
      <c r="K81" s="60">
        <v>1.0</v>
      </c>
      <c r="L81" s="60">
        <v>1.0</v>
      </c>
      <c r="M81" s="60">
        <v>0.0</v>
      </c>
      <c r="N81" s="60">
        <v>1.0</v>
      </c>
      <c r="O81" s="60">
        <v>0.0</v>
      </c>
      <c r="P81" s="60">
        <v>2.0</v>
      </c>
      <c r="Q81" s="60">
        <v>2.0</v>
      </c>
      <c r="R81" s="60">
        <v>0.0</v>
      </c>
      <c r="S81" s="60">
        <v>0.0</v>
      </c>
      <c r="T81" s="13">
        <f t="shared" si="14"/>
        <v>14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0.0</v>
      </c>
      <c r="F82" s="60">
        <v>4.0</v>
      </c>
      <c r="G82" s="60">
        <v>1.0</v>
      </c>
      <c r="H82" s="60">
        <v>0.0</v>
      </c>
      <c r="I82" s="60">
        <v>1.0</v>
      </c>
      <c r="J82" s="60">
        <v>5.0</v>
      </c>
      <c r="K82" s="60">
        <v>1.0</v>
      </c>
      <c r="L82" s="60">
        <v>2.0</v>
      </c>
      <c r="M82" s="60">
        <v>0.0</v>
      </c>
      <c r="N82" s="60">
        <v>0.0</v>
      </c>
      <c r="O82" s="60">
        <v>0.0</v>
      </c>
      <c r="P82" s="60">
        <v>1.0</v>
      </c>
      <c r="Q82" s="60">
        <v>1.0</v>
      </c>
      <c r="R82" s="60">
        <v>2.0</v>
      </c>
      <c r="S82" s="60">
        <v>3.0</v>
      </c>
      <c r="T82" s="13">
        <f t="shared" si="14"/>
        <v>21</v>
      </c>
    </row>
    <row r="83" ht="12.75" customHeight="1">
      <c r="A83" s="18"/>
      <c r="B83" s="57"/>
      <c r="C83" s="58" t="s">
        <v>71</v>
      </c>
      <c r="D83" s="59"/>
      <c r="E83" s="60">
        <v>3.0</v>
      </c>
      <c r="F83" s="60">
        <v>2.0</v>
      </c>
      <c r="G83" s="60">
        <v>2.0</v>
      </c>
      <c r="H83" s="60">
        <v>1.0</v>
      </c>
      <c r="I83" s="60">
        <v>0.0</v>
      </c>
      <c r="J83" s="60">
        <v>0.0</v>
      </c>
      <c r="K83" s="60">
        <v>1.0</v>
      </c>
      <c r="L83" s="60">
        <v>2.0</v>
      </c>
      <c r="M83" s="60">
        <v>1.0</v>
      </c>
      <c r="N83" s="60">
        <v>3.0</v>
      </c>
      <c r="O83" s="60">
        <v>0.0</v>
      </c>
      <c r="P83" s="60">
        <v>6.0</v>
      </c>
      <c r="Q83" s="60">
        <v>2.0</v>
      </c>
      <c r="R83" s="60">
        <v>3.0</v>
      </c>
      <c r="S83" s="60">
        <v>0.0</v>
      </c>
      <c r="T83" s="13">
        <f t="shared" si="14"/>
        <v>26</v>
      </c>
    </row>
    <row r="84" ht="12.75" customHeight="1">
      <c r="A84" s="18"/>
      <c r="B84" s="57"/>
      <c r="C84" s="58" t="s">
        <v>72</v>
      </c>
      <c r="D84" s="59"/>
      <c r="E84" s="60">
        <v>2.0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60">
        <v>1.0</v>
      </c>
      <c r="L84" s="60">
        <v>1.0</v>
      </c>
      <c r="M84" s="60">
        <v>3.0</v>
      </c>
      <c r="N84" s="60">
        <v>0.0</v>
      </c>
      <c r="O84" s="60">
        <v>1.0</v>
      </c>
      <c r="P84" s="60">
        <v>1.0</v>
      </c>
      <c r="Q84" s="60">
        <v>1.0</v>
      </c>
      <c r="R84" s="60">
        <v>7.0</v>
      </c>
      <c r="S84" s="60">
        <v>1.0</v>
      </c>
      <c r="T84" s="13">
        <f t="shared" si="14"/>
        <v>18</v>
      </c>
    </row>
    <row r="85" ht="12.75" customHeight="1">
      <c r="A85" s="18"/>
      <c r="B85" s="57"/>
      <c r="C85" s="58" t="s">
        <v>73</v>
      </c>
      <c r="D85" s="59"/>
      <c r="E85" s="60">
        <v>1.0</v>
      </c>
      <c r="F85" s="60">
        <v>0.0</v>
      </c>
      <c r="G85" s="60">
        <v>0.0</v>
      </c>
      <c r="H85" s="60">
        <v>0.0</v>
      </c>
      <c r="I85" s="60">
        <v>4.0</v>
      </c>
      <c r="J85" s="60">
        <v>0.0</v>
      </c>
      <c r="K85" s="60">
        <v>0.0</v>
      </c>
      <c r="L85" s="60">
        <v>0.0</v>
      </c>
      <c r="M85" s="60">
        <v>0.0</v>
      </c>
      <c r="N85" s="60">
        <v>0.0</v>
      </c>
      <c r="O85" s="60">
        <v>0.0</v>
      </c>
      <c r="P85" s="60">
        <v>0.0</v>
      </c>
      <c r="Q85" s="60">
        <v>0.0</v>
      </c>
      <c r="R85" s="60">
        <v>2.0</v>
      </c>
      <c r="S85" s="60">
        <v>0.0</v>
      </c>
      <c r="T85" s="13">
        <f t="shared" si="14"/>
        <v>7</v>
      </c>
    </row>
    <row r="86" ht="12.75" customHeight="1">
      <c r="A86" s="18"/>
      <c r="B86" s="57"/>
      <c r="C86" s="58" t="s">
        <v>74</v>
      </c>
      <c r="D86" s="59"/>
      <c r="E86" s="60">
        <v>4.0</v>
      </c>
      <c r="F86" s="60">
        <v>1.0</v>
      </c>
      <c r="G86" s="60">
        <v>2.0</v>
      </c>
      <c r="H86" s="60">
        <v>1.0</v>
      </c>
      <c r="I86" s="60">
        <v>4.0</v>
      </c>
      <c r="J86" s="60">
        <v>1.0</v>
      </c>
      <c r="K86" s="60">
        <v>1.0</v>
      </c>
      <c r="L86" s="60">
        <v>2.0</v>
      </c>
      <c r="M86" s="60">
        <v>2.0</v>
      </c>
      <c r="N86" s="60">
        <v>2.0</v>
      </c>
      <c r="O86" s="60">
        <v>0.0</v>
      </c>
      <c r="P86" s="60">
        <v>3.0</v>
      </c>
      <c r="Q86" s="60">
        <v>0.0</v>
      </c>
      <c r="R86" s="60">
        <v>0.0</v>
      </c>
      <c r="S86" s="60">
        <v>2.0</v>
      </c>
      <c r="T86" s="13">
        <f t="shared" si="14"/>
        <v>25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1.0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60">
        <v>0.0</v>
      </c>
      <c r="P87" s="60">
        <v>0.0</v>
      </c>
      <c r="Q87" s="60">
        <v>0.0</v>
      </c>
      <c r="R87" s="60">
        <v>0.0</v>
      </c>
      <c r="S87" s="60">
        <v>0.0</v>
      </c>
      <c r="T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S88" si="19">SUM(E81:E87)</f>
        <v>11</v>
      </c>
      <c r="F88" s="64">
        <f t="shared" si="19"/>
        <v>8</v>
      </c>
      <c r="G88" s="64">
        <f t="shared" si="19"/>
        <v>6</v>
      </c>
      <c r="H88" s="64">
        <f t="shared" si="19"/>
        <v>3</v>
      </c>
      <c r="I88" s="64">
        <f t="shared" si="19"/>
        <v>11</v>
      </c>
      <c r="J88" s="64">
        <f t="shared" si="19"/>
        <v>8</v>
      </c>
      <c r="K88" s="64">
        <f t="shared" si="19"/>
        <v>5</v>
      </c>
      <c r="L88" s="64">
        <f t="shared" si="19"/>
        <v>8</v>
      </c>
      <c r="M88" s="64">
        <f t="shared" si="19"/>
        <v>6</v>
      </c>
      <c r="N88" s="64">
        <f t="shared" si="19"/>
        <v>6</v>
      </c>
      <c r="O88" s="64">
        <f t="shared" si="19"/>
        <v>1</v>
      </c>
      <c r="P88" s="64">
        <f t="shared" si="19"/>
        <v>13</v>
      </c>
      <c r="Q88" s="64">
        <f t="shared" si="19"/>
        <v>6</v>
      </c>
      <c r="R88" s="64">
        <f t="shared" si="19"/>
        <v>14</v>
      </c>
      <c r="S88" s="64">
        <f t="shared" si="19"/>
        <v>6</v>
      </c>
      <c r="T88" s="13">
        <f t="shared" si="14"/>
        <v>112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0.0</v>
      </c>
      <c r="J90" s="60">
        <v>0.0</v>
      </c>
      <c r="K90" s="60">
        <v>1.0</v>
      </c>
      <c r="L90" s="60">
        <v>0.0</v>
      </c>
      <c r="M90" s="60">
        <v>0.0</v>
      </c>
      <c r="N90" s="60">
        <v>0.0</v>
      </c>
      <c r="O90" s="60">
        <v>0.0</v>
      </c>
      <c r="P90" s="60">
        <v>0.0</v>
      </c>
      <c r="Q90" s="60">
        <v>2.0</v>
      </c>
      <c r="R90" s="60">
        <v>1.0</v>
      </c>
      <c r="S90" s="60">
        <v>0.0</v>
      </c>
      <c r="T90" s="13">
        <f t="shared" si="14"/>
        <v>4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1.0</v>
      </c>
      <c r="F91" s="60">
        <v>0.0</v>
      </c>
      <c r="G91" s="60">
        <v>0.0</v>
      </c>
      <c r="H91" s="60">
        <v>0.0</v>
      </c>
      <c r="I91" s="60">
        <v>0.0</v>
      </c>
      <c r="J91" s="60">
        <v>1.0</v>
      </c>
      <c r="K91" s="60">
        <v>0.0</v>
      </c>
      <c r="L91" s="60">
        <v>0.0</v>
      </c>
      <c r="M91" s="60">
        <v>0.0</v>
      </c>
      <c r="N91" s="60">
        <v>1.0</v>
      </c>
      <c r="O91" s="60">
        <v>0.0</v>
      </c>
      <c r="P91" s="60">
        <v>0.0</v>
      </c>
      <c r="Q91" s="60">
        <v>2.0</v>
      </c>
      <c r="R91" s="60">
        <v>0.0</v>
      </c>
      <c r="S91" s="60">
        <v>3.0</v>
      </c>
      <c r="T91" s="13">
        <f t="shared" si="14"/>
        <v>8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S92" si="20">SUM(E90:E91)</f>
        <v>1</v>
      </c>
      <c r="F92" s="64">
        <f t="shared" si="20"/>
        <v>0</v>
      </c>
      <c r="G92" s="64">
        <f t="shared" si="20"/>
        <v>0</v>
      </c>
      <c r="H92" s="64">
        <f t="shared" si="20"/>
        <v>0</v>
      </c>
      <c r="I92" s="64">
        <f t="shared" si="20"/>
        <v>0</v>
      </c>
      <c r="J92" s="64">
        <f t="shared" si="20"/>
        <v>1</v>
      </c>
      <c r="K92" s="64">
        <f t="shared" si="20"/>
        <v>1</v>
      </c>
      <c r="L92" s="64">
        <f t="shared" si="20"/>
        <v>0</v>
      </c>
      <c r="M92" s="64">
        <f t="shared" si="20"/>
        <v>0</v>
      </c>
      <c r="N92" s="64">
        <f t="shared" si="20"/>
        <v>1</v>
      </c>
      <c r="O92" s="64">
        <f t="shared" si="20"/>
        <v>0</v>
      </c>
      <c r="P92" s="64">
        <f t="shared" si="20"/>
        <v>0</v>
      </c>
      <c r="Q92" s="64">
        <f t="shared" si="20"/>
        <v>4</v>
      </c>
      <c r="R92" s="64">
        <f t="shared" si="20"/>
        <v>1</v>
      </c>
      <c r="S92" s="64">
        <f t="shared" si="20"/>
        <v>3</v>
      </c>
      <c r="T92" s="13">
        <f t="shared" si="14"/>
        <v>12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1.0</v>
      </c>
      <c r="F94" s="60">
        <v>0.0</v>
      </c>
      <c r="G94" s="60">
        <v>0.0</v>
      </c>
      <c r="H94" s="60">
        <v>3.0</v>
      </c>
      <c r="I94" s="60">
        <v>1.0</v>
      </c>
      <c r="J94" s="60">
        <v>0.0</v>
      </c>
      <c r="K94" s="60">
        <v>1.0</v>
      </c>
      <c r="L94" s="60">
        <v>3.0</v>
      </c>
      <c r="M94" s="60">
        <v>0.0</v>
      </c>
      <c r="N94" s="60">
        <v>0.0</v>
      </c>
      <c r="O94" s="60">
        <v>1.0</v>
      </c>
      <c r="P94" s="60">
        <v>4.0</v>
      </c>
      <c r="Q94" s="60">
        <v>0.0</v>
      </c>
      <c r="R94" s="60">
        <v>1.0</v>
      </c>
      <c r="S94" s="60">
        <v>0.0</v>
      </c>
      <c r="T94" s="13">
        <f t="shared" si="14"/>
        <v>15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4.0</v>
      </c>
      <c r="F95" s="60">
        <v>8.0</v>
      </c>
      <c r="G95" s="60">
        <v>1.0</v>
      </c>
      <c r="H95" s="60">
        <v>12.0</v>
      </c>
      <c r="I95" s="60">
        <v>10.0</v>
      </c>
      <c r="J95" s="60">
        <v>12.0</v>
      </c>
      <c r="K95" s="60">
        <v>6.0</v>
      </c>
      <c r="L95" s="60">
        <v>18.0</v>
      </c>
      <c r="M95" s="60">
        <v>16.0</v>
      </c>
      <c r="N95" s="60">
        <v>1.0</v>
      </c>
      <c r="O95" s="60">
        <v>11.0</v>
      </c>
      <c r="P95" s="60">
        <v>5.0</v>
      </c>
      <c r="Q95" s="60">
        <v>0.0</v>
      </c>
      <c r="R95" s="60">
        <v>10.0</v>
      </c>
      <c r="S95" s="60">
        <v>2.0</v>
      </c>
      <c r="T95" s="13">
        <f t="shared" si="14"/>
        <v>116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4.0</v>
      </c>
      <c r="I96" s="60">
        <v>0.0</v>
      </c>
      <c r="J96" s="60">
        <v>1.0</v>
      </c>
      <c r="K96" s="60">
        <v>1.0</v>
      </c>
      <c r="L96" s="60">
        <v>1.0</v>
      </c>
      <c r="M96" s="60">
        <v>0.0</v>
      </c>
      <c r="N96" s="60">
        <v>0.0</v>
      </c>
      <c r="O96" s="60">
        <v>0.0</v>
      </c>
      <c r="P96" s="60">
        <v>0.0</v>
      </c>
      <c r="Q96" s="60">
        <v>1.0</v>
      </c>
      <c r="R96" s="60">
        <v>0.0</v>
      </c>
      <c r="S96" s="60">
        <v>3.0</v>
      </c>
      <c r="T96" s="13">
        <f t="shared" si="14"/>
        <v>11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60">
        <v>0.0</v>
      </c>
      <c r="P97" s="60">
        <v>0.0</v>
      </c>
      <c r="Q97" s="60">
        <v>0.0</v>
      </c>
      <c r="R97" s="60">
        <v>0.0</v>
      </c>
      <c r="S97" s="60">
        <v>0.0</v>
      </c>
      <c r="T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1.0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0.0</v>
      </c>
      <c r="S98" s="60">
        <v>0.0</v>
      </c>
      <c r="T98" s="13">
        <f t="shared" si="14"/>
        <v>1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60">
        <v>1.0</v>
      </c>
      <c r="L99" s="60">
        <v>0.0</v>
      </c>
      <c r="M99" s="60">
        <v>0.0</v>
      </c>
      <c r="N99" s="60">
        <v>0.0</v>
      </c>
      <c r="O99" s="60">
        <v>0.0</v>
      </c>
      <c r="P99" s="60">
        <v>2.0</v>
      </c>
      <c r="Q99" s="60">
        <v>0.0</v>
      </c>
      <c r="R99" s="60">
        <v>1.0</v>
      </c>
      <c r="S99" s="60">
        <v>1.0</v>
      </c>
      <c r="T99" s="13">
        <f t="shared" si="14"/>
        <v>5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60">
        <v>0.0</v>
      </c>
      <c r="S100" s="60">
        <v>0.0</v>
      </c>
      <c r="T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S101" si="21">SUM(E94:E100)</f>
        <v>5</v>
      </c>
      <c r="F101" s="64">
        <f t="shared" si="21"/>
        <v>8</v>
      </c>
      <c r="G101" s="64">
        <f t="shared" si="21"/>
        <v>1</v>
      </c>
      <c r="H101" s="64">
        <f t="shared" si="21"/>
        <v>19</v>
      </c>
      <c r="I101" s="64">
        <f t="shared" si="21"/>
        <v>11</v>
      </c>
      <c r="J101" s="64">
        <f t="shared" si="21"/>
        <v>13</v>
      </c>
      <c r="K101" s="64">
        <f t="shared" si="21"/>
        <v>9</v>
      </c>
      <c r="L101" s="64">
        <f t="shared" si="21"/>
        <v>23</v>
      </c>
      <c r="M101" s="64">
        <f t="shared" si="21"/>
        <v>16</v>
      </c>
      <c r="N101" s="64">
        <f t="shared" si="21"/>
        <v>1</v>
      </c>
      <c r="O101" s="64">
        <f t="shared" si="21"/>
        <v>12</v>
      </c>
      <c r="P101" s="64">
        <f t="shared" si="21"/>
        <v>11</v>
      </c>
      <c r="Q101" s="64">
        <f t="shared" si="21"/>
        <v>1</v>
      </c>
      <c r="R101" s="64">
        <f t="shared" si="21"/>
        <v>12</v>
      </c>
      <c r="S101" s="64">
        <f t="shared" si="21"/>
        <v>6</v>
      </c>
      <c r="T101" s="13">
        <f t="shared" si="14"/>
        <v>148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4.0</v>
      </c>
      <c r="G103" s="60">
        <v>3.0</v>
      </c>
      <c r="H103" s="60">
        <v>0.0</v>
      </c>
      <c r="I103" s="60">
        <v>0.0</v>
      </c>
      <c r="J103" s="60">
        <v>1.0</v>
      </c>
      <c r="K103" s="60">
        <v>7.0</v>
      </c>
      <c r="L103" s="60">
        <v>6.0</v>
      </c>
      <c r="M103" s="60">
        <v>1.0</v>
      </c>
      <c r="N103" s="60">
        <v>1.0</v>
      </c>
      <c r="O103" s="60">
        <v>1.0</v>
      </c>
      <c r="P103" s="60">
        <v>0.0</v>
      </c>
      <c r="Q103" s="60">
        <v>1.0</v>
      </c>
      <c r="R103" s="60">
        <v>4.0</v>
      </c>
      <c r="S103" s="60">
        <v>0.0</v>
      </c>
      <c r="T103" s="13">
        <f t="shared" si="14"/>
        <v>29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4.0</v>
      </c>
      <c r="F104" s="60">
        <v>8.0</v>
      </c>
      <c r="G104" s="60">
        <v>20.0</v>
      </c>
      <c r="H104" s="60">
        <v>7.0</v>
      </c>
      <c r="I104" s="60">
        <v>3.0</v>
      </c>
      <c r="J104" s="60">
        <v>5.0</v>
      </c>
      <c r="K104" s="60">
        <v>65.0</v>
      </c>
      <c r="L104" s="60">
        <v>26.0</v>
      </c>
      <c r="M104" s="60">
        <v>2.0</v>
      </c>
      <c r="N104" s="60">
        <v>1.0</v>
      </c>
      <c r="O104" s="60">
        <v>5.0</v>
      </c>
      <c r="P104" s="60">
        <v>2.0</v>
      </c>
      <c r="Q104" s="60">
        <v>6.0</v>
      </c>
      <c r="R104" s="60">
        <v>29.0</v>
      </c>
      <c r="S104" s="60">
        <v>21.0</v>
      </c>
      <c r="T104" s="13">
        <f t="shared" si="14"/>
        <v>204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2.0</v>
      </c>
      <c r="I105" s="60">
        <v>1.0</v>
      </c>
      <c r="J105" s="60">
        <v>1.0</v>
      </c>
      <c r="K105" s="60">
        <v>0.0</v>
      </c>
      <c r="L105" s="60">
        <v>1.0</v>
      </c>
      <c r="M105" s="60">
        <v>0.0</v>
      </c>
      <c r="N105" s="60">
        <v>0.0</v>
      </c>
      <c r="O105" s="60">
        <v>0.0</v>
      </c>
      <c r="P105" s="60">
        <v>0.0</v>
      </c>
      <c r="Q105" s="60">
        <v>0.0</v>
      </c>
      <c r="R105" s="60">
        <v>0.0</v>
      </c>
      <c r="S105" s="60">
        <v>0.0</v>
      </c>
      <c r="T105" s="13">
        <f t="shared" si="14"/>
        <v>5</v>
      </c>
    </row>
    <row r="106" ht="12.75" customHeight="1">
      <c r="A106" s="18"/>
      <c r="B106" s="57"/>
      <c r="C106" s="58" t="s">
        <v>91</v>
      </c>
      <c r="D106" s="59"/>
      <c r="E106" s="60">
        <v>1.0</v>
      </c>
      <c r="F106" s="60">
        <v>0.0</v>
      </c>
      <c r="G106" s="60">
        <v>0.0</v>
      </c>
      <c r="H106" s="60">
        <v>1.0</v>
      </c>
      <c r="I106" s="60">
        <v>0.0</v>
      </c>
      <c r="J106" s="60">
        <v>1.0</v>
      </c>
      <c r="K106" s="60">
        <v>0.0</v>
      </c>
      <c r="L106" s="60">
        <v>0.0</v>
      </c>
      <c r="M106" s="60">
        <v>0.0</v>
      </c>
      <c r="N106" s="60">
        <v>0.0</v>
      </c>
      <c r="O106" s="60">
        <v>0.0</v>
      </c>
      <c r="P106" s="60">
        <v>0.0</v>
      </c>
      <c r="Q106" s="60">
        <v>0.0</v>
      </c>
      <c r="R106" s="60">
        <v>0.0</v>
      </c>
      <c r="S106" s="60">
        <v>2.0</v>
      </c>
      <c r="T106" s="13">
        <f t="shared" si="14"/>
        <v>5</v>
      </c>
    </row>
    <row r="107" ht="12.75" customHeight="1">
      <c r="A107" s="18"/>
      <c r="B107" s="57"/>
      <c r="C107" s="58" t="s">
        <v>92</v>
      </c>
      <c r="D107" s="59"/>
      <c r="E107" s="60">
        <v>1.0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1.0</v>
      </c>
      <c r="L107" s="60">
        <v>0.0</v>
      </c>
      <c r="M107" s="60">
        <v>0.0</v>
      </c>
      <c r="N107" s="60">
        <v>0.0</v>
      </c>
      <c r="O107" s="60">
        <v>0.0</v>
      </c>
      <c r="P107" s="60">
        <v>2.0</v>
      </c>
      <c r="Q107" s="60">
        <v>0.0</v>
      </c>
      <c r="R107" s="60">
        <v>0.0</v>
      </c>
      <c r="S107" s="60">
        <v>0.0</v>
      </c>
      <c r="T107" s="13">
        <f t="shared" si="14"/>
        <v>4</v>
      </c>
    </row>
    <row r="108" ht="12.75" customHeight="1">
      <c r="A108" s="18"/>
      <c r="B108" s="57"/>
      <c r="C108" s="58" t="s">
        <v>93</v>
      </c>
      <c r="D108" s="59"/>
      <c r="E108" s="60">
        <v>1.0</v>
      </c>
      <c r="F108" s="60">
        <v>0.0</v>
      </c>
      <c r="G108" s="60">
        <v>0.0</v>
      </c>
      <c r="H108" s="60">
        <v>1.0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2.0</v>
      </c>
      <c r="O108" s="60">
        <v>1.0</v>
      </c>
      <c r="P108" s="60">
        <v>1.0</v>
      </c>
      <c r="Q108" s="60">
        <v>13.0</v>
      </c>
      <c r="R108" s="60">
        <v>3.0</v>
      </c>
      <c r="S108" s="60">
        <v>1.0</v>
      </c>
      <c r="T108" s="13">
        <f t="shared" si="14"/>
        <v>23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1.0</v>
      </c>
      <c r="G109" s="60">
        <v>1.0</v>
      </c>
      <c r="H109" s="60">
        <v>0.0</v>
      </c>
      <c r="I109" s="60">
        <v>1.0</v>
      </c>
      <c r="J109" s="60">
        <v>0.0</v>
      </c>
      <c r="K109" s="60">
        <v>1.0</v>
      </c>
      <c r="L109" s="60">
        <v>6.0</v>
      </c>
      <c r="M109" s="60">
        <v>4.0</v>
      </c>
      <c r="N109" s="60">
        <v>0.0</v>
      </c>
      <c r="O109" s="60">
        <v>0.0</v>
      </c>
      <c r="P109" s="60">
        <v>5.0</v>
      </c>
      <c r="Q109" s="60">
        <v>0.0</v>
      </c>
      <c r="R109" s="60">
        <v>1.0</v>
      </c>
      <c r="S109" s="60">
        <v>1.0</v>
      </c>
      <c r="T109" s="13">
        <f t="shared" si="14"/>
        <v>21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S110" si="22">SUM(E103:E109)</f>
        <v>7</v>
      </c>
      <c r="F110" s="64">
        <f t="shared" si="22"/>
        <v>13</v>
      </c>
      <c r="G110" s="64">
        <f t="shared" si="22"/>
        <v>24</v>
      </c>
      <c r="H110" s="64">
        <f t="shared" si="22"/>
        <v>11</v>
      </c>
      <c r="I110" s="64">
        <f t="shared" si="22"/>
        <v>5</v>
      </c>
      <c r="J110" s="64">
        <f t="shared" si="22"/>
        <v>8</v>
      </c>
      <c r="K110" s="64">
        <f t="shared" si="22"/>
        <v>74</v>
      </c>
      <c r="L110" s="64">
        <f t="shared" si="22"/>
        <v>39</v>
      </c>
      <c r="M110" s="64">
        <f t="shared" si="22"/>
        <v>7</v>
      </c>
      <c r="N110" s="64">
        <f t="shared" si="22"/>
        <v>4</v>
      </c>
      <c r="O110" s="64">
        <f t="shared" si="22"/>
        <v>7</v>
      </c>
      <c r="P110" s="64">
        <f t="shared" si="22"/>
        <v>10</v>
      </c>
      <c r="Q110" s="64">
        <f t="shared" si="22"/>
        <v>20</v>
      </c>
      <c r="R110" s="64">
        <f t="shared" si="22"/>
        <v>37</v>
      </c>
      <c r="S110" s="64">
        <f t="shared" si="22"/>
        <v>25</v>
      </c>
      <c r="T110" s="13">
        <f t="shared" si="14"/>
        <v>291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60">
        <v>0.0</v>
      </c>
      <c r="P112" s="60">
        <v>0.0</v>
      </c>
      <c r="Q112" s="60">
        <v>0.0</v>
      </c>
      <c r="R112" s="60">
        <v>0.0</v>
      </c>
      <c r="S112" s="60">
        <v>0.0</v>
      </c>
      <c r="T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1.0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60">
        <v>0.0</v>
      </c>
      <c r="O113" s="60">
        <v>0.0</v>
      </c>
      <c r="P113" s="60">
        <v>0.0</v>
      </c>
      <c r="Q113" s="60">
        <v>0.0</v>
      </c>
      <c r="R113" s="60">
        <v>0.0</v>
      </c>
      <c r="S113" s="60">
        <v>0.0</v>
      </c>
      <c r="T113" s="13">
        <f t="shared" si="14"/>
        <v>1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S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1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0</v>
      </c>
      <c r="N114" s="64">
        <f t="shared" si="23"/>
        <v>0</v>
      </c>
      <c r="O114" s="64">
        <f t="shared" si="23"/>
        <v>0</v>
      </c>
      <c r="P114" s="64">
        <f t="shared" si="23"/>
        <v>0</v>
      </c>
      <c r="Q114" s="64">
        <f t="shared" si="23"/>
        <v>0</v>
      </c>
      <c r="R114" s="64">
        <f t="shared" si="23"/>
        <v>0</v>
      </c>
      <c r="S114" s="64">
        <f t="shared" si="23"/>
        <v>0</v>
      </c>
      <c r="T114" s="13">
        <f t="shared" si="14"/>
        <v>1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4.0</v>
      </c>
      <c r="F116" s="60">
        <v>6.0</v>
      </c>
      <c r="G116" s="60">
        <v>3.0</v>
      </c>
      <c r="H116" s="60">
        <v>5.0</v>
      </c>
      <c r="I116" s="60">
        <v>5.0</v>
      </c>
      <c r="J116" s="60">
        <v>8.0</v>
      </c>
      <c r="K116" s="60">
        <v>0.0</v>
      </c>
      <c r="L116" s="60">
        <v>0.0</v>
      </c>
      <c r="M116" s="60">
        <v>0.0</v>
      </c>
      <c r="N116" s="60">
        <v>1.0</v>
      </c>
      <c r="O116" s="60">
        <v>1.0</v>
      </c>
      <c r="P116" s="60">
        <v>0.0</v>
      </c>
      <c r="Q116" s="60">
        <v>0.0</v>
      </c>
      <c r="R116" s="60">
        <v>1.0</v>
      </c>
      <c r="S116" s="60">
        <v>0.0</v>
      </c>
      <c r="T116" s="13">
        <f t="shared" si="14"/>
        <v>34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18.0</v>
      </c>
      <c r="F117" s="60">
        <v>40.0</v>
      </c>
      <c r="G117" s="60">
        <v>13.0</v>
      </c>
      <c r="H117" s="60">
        <v>14.0</v>
      </c>
      <c r="I117" s="60">
        <v>27.0</v>
      </c>
      <c r="J117" s="60">
        <v>38.0</v>
      </c>
      <c r="K117" s="60">
        <v>1.0</v>
      </c>
      <c r="L117" s="60">
        <v>1.0</v>
      </c>
      <c r="M117" s="60">
        <v>1.0</v>
      </c>
      <c r="N117" s="60">
        <v>0.0</v>
      </c>
      <c r="O117" s="60">
        <v>4.0</v>
      </c>
      <c r="P117" s="60">
        <v>0.0</v>
      </c>
      <c r="Q117" s="60">
        <v>0.0</v>
      </c>
      <c r="R117" s="60">
        <v>1.0</v>
      </c>
      <c r="S117" s="60">
        <v>3.0</v>
      </c>
      <c r="T117" s="13">
        <f t="shared" si="14"/>
        <v>161</v>
      </c>
      <c r="U117" s="5"/>
      <c r="V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1.0</v>
      </c>
      <c r="I118" s="60">
        <v>0.0</v>
      </c>
      <c r="J118" s="60">
        <v>1.0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60">
        <v>0.0</v>
      </c>
      <c r="S118" s="60">
        <v>0.0</v>
      </c>
      <c r="T118" s="13">
        <f t="shared" si="14"/>
        <v>2</v>
      </c>
      <c r="U118" s="5"/>
      <c r="V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1.0</v>
      </c>
      <c r="O119" s="60">
        <v>0.0</v>
      </c>
      <c r="P119" s="60">
        <v>0.0</v>
      </c>
      <c r="Q119" s="60">
        <v>0.0</v>
      </c>
      <c r="R119" s="60">
        <v>0.0</v>
      </c>
      <c r="S119" s="60">
        <v>0.0</v>
      </c>
      <c r="T119" s="13">
        <f t="shared" si="14"/>
        <v>1</v>
      </c>
      <c r="U119" s="5"/>
      <c r="V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0.0</v>
      </c>
      <c r="P120" s="60">
        <v>0.0</v>
      </c>
      <c r="Q120" s="60">
        <v>0.0</v>
      </c>
      <c r="R120" s="60">
        <v>0.0</v>
      </c>
      <c r="S120" s="60">
        <v>0.0</v>
      </c>
      <c r="T120" s="13">
        <f t="shared" si="14"/>
        <v>0</v>
      </c>
      <c r="U120" s="5"/>
      <c r="V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1.0</v>
      </c>
      <c r="N121" s="60">
        <v>0.0</v>
      </c>
      <c r="O121" s="60">
        <v>0.0</v>
      </c>
      <c r="P121" s="60">
        <v>0.0</v>
      </c>
      <c r="Q121" s="60">
        <v>0.0</v>
      </c>
      <c r="R121" s="60">
        <v>0.0</v>
      </c>
      <c r="S121" s="60">
        <v>0.0</v>
      </c>
      <c r="T121" s="13">
        <f t="shared" si="14"/>
        <v>1</v>
      </c>
      <c r="U121" s="5"/>
      <c r="V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1.0</v>
      </c>
      <c r="O122" s="60">
        <v>0.0</v>
      </c>
      <c r="P122" s="60">
        <v>0.0</v>
      </c>
      <c r="Q122" s="60">
        <v>0.0</v>
      </c>
      <c r="R122" s="60">
        <v>0.0</v>
      </c>
      <c r="S122" s="60">
        <v>0.0</v>
      </c>
      <c r="T122" s="13">
        <f t="shared" si="14"/>
        <v>1</v>
      </c>
      <c r="U122" s="5"/>
      <c r="V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S123" si="24">SUM(E116:E122)</f>
        <v>22</v>
      </c>
      <c r="F123" s="64">
        <f t="shared" si="24"/>
        <v>46</v>
      </c>
      <c r="G123" s="64">
        <f t="shared" si="24"/>
        <v>16</v>
      </c>
      <c r="H123" s="64">
        <f t="shared" si="24"/>
        <v>20</v>
      </c>
      <c r="I123" s="64">
        <f t="shared" si="24"/>
        <v>32</v>
      </c>
      <c r="J123" s="64">
        <f t="shared" si="24"/>
        <v>47</v>
      </c>
      <c r="K123" s="64">
        <f t="shared" si="24"/>
        <v>1</v>
      </c>
      <c r="L123" s="64">
        <f t="shared" si="24"/>
        <v>1</v>
      </c>
      <c r="M123" s="64">
        <f t="shared" si="24"/>
        <v>2</v>
      </c>
      <c r="N123" s="64">
        <f t="shared" si="24"/>
        <v>3</v>
      </c>
      <c r="O123" s="64">
        <f t="shared" si="24"/>
        <v>5</v>
      </c>
      <c r="P123" s="64">
        <f t="shared" si="24"/>
        <v>0</v>
      </c>
      <c r="Q123" s="64">
        <f t="shared" si="24"/>
        <v>0</v>
      </c>
      <c r="R123" s="64">
        <f t="shared" si="24"/>
        <v>2</v>
      </c>
      <c r="S123" s="64">
        <f t="shared" si="24"/>
        <v>3</v>
      </c>
      <c r="T123" s="13">
        <f t="shared" si="14"/>
        <v>200</v>
      </c>
      <c r="U123" s="5"/>
      <c r="V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13">
        <f t="shared" si="14"/>
        <v>0</v>
      </c>
      <c r="U124" s="5"/>
      <c r="V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0.0</v>
      </c>
      <c r="L125" s="60">
        <v>1.0</v>
      </c>
      <c r="M125" s="60">
        <v>0.0</v>
      </c>
      <c r="N125" s="60">
        <v>0.0</v>
      </c>
      <c r="O125" s="60">
        <v>0.0</v>
      </c>
      <c r="P125" s="60">
        <v>0.0</v>
      </c>
      <c r="Q125" s="60">
        <v>0.0</v>
      </c>
      <c r="R125" s="60">
        <v>2.0</v>
      </c>
      <c r="S125" s="60">
        <v>0.0</v>
      </c>
      <c r="T125" s="13">
        <f t="shared" si="14"/>
        <v>3</v>
      </c>
      <c r="U125" s="5"/>
      <c r="V125" s="5"/>
    </row>
    <row r="126" ht="12.75" customHeight="1">
      <c r="A126" s="31" t="s">
        <v>39</v>
      </c>
      <c r="B126" s="57"/>
      <c r="C126" s="58" t="s">
        <v>108</v>
      </c>
      <c r="D126" s="59"/>
      <c r="E126" s="60">
        <v>0.0</v>
      </c>
      <c r="F126" s="60">
        <v>0.0</v>
      </c>
      <c r="G126" s="60">
        <v>0.0</v>
      </c>
      <c r="H126" s="60">
        <v>0.0</v>
      </c>
      <c r="I126" s="60">
        <v>0.0</v>
      </c>
      <c r="J126" s="60">
        <v>0.0</v>
      </c>
      <c r="K126" s="60">
        <v>0.0</v>
      </c>
      <c r="L126" s="60">
        <v>0.0</v>
      </c>
      <c r="M126" s="60">
        <v>0.0</v>
      </c>
      <c r="N126" s="60">
        <v>0.0</v>
      </c>
      <c r="O126" s="60">
        <v>0.0</v>
      </c>
      <c r="P126" s="60">
        <v>0.0</v>
      </c>
      <c r="Q126" s="60">
        <v>0.0</v>
      </c>
      <c r="R126" s="60">
        <v>0.0</v>
      </c>
      <c r="S126" s="60">
        <v>0.0</v>
      </c>
      <c r="T126" s="13">
        <f t="shared" si="14"/>
        <v>0</v>
      </c>
      <c r="U126" s="5"/>
      <c r="V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S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0</v>
      </c>
      <c r="L127" s="64">
        <f t="shared" si="25"/>
        <v>1</v>
      </c>
      <c r="M127" s="64">
        <f t="shared" si="25"/>
        <v>0</v>
      </c>
      <c r="N127" s="64">
        <f t="shared" si="25"/>
        <v>0</v>
      </c>
      <c r="O127" s="64">
        <f t="shared" si="25"/>
        <v>0</v>
      </c>
      <c r="P127" s="64">
        <f t="shared" si="25"/>
        <v>0</v>
      </c>
      <c r="Q127" s="64">
        <f t="shared" si="25"/>
        <v>0</v>
      </c>
      <c r="R127" s="64">
        <f t="shared" si="25"/>
        <v>2</v>
      </c>
      <c r="S127" s="64">
        <f t="shared" si="25"/>
        <v>0</v>
      </c>
      <c r="T127" s="13">
        <f t="shared" si="14"/>
        <v>3</v>
      </c>
      <c r="U127" s="5"/>
      <c r="V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13">
        <f t="shared" si="14"/>
        <v>0</v>
      </c>
      <c r="U128" s="5"/>
      <c r="V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0.0</v>
      </c>
      <c r="H129" s="60">
        <v>0.0</v>
      </c>
      <c r="I129" s="60">
        <v>0.0</v>
      </c>
      <c r="J129" s="60">
        <v>1.0</v>
      </c>
      <c r="K129" s="60">
        <v>1.0</v>
      </c>
      <c r="L129" s="60">
        <v>0.0</v>
      </c>
      <c r="M129" s="60">
        <v>1.0</v>
      </c>
      <c r="N129" s="60">
        <v>0.0</v>
      </c>
      <c r="O129" s="60">
        <v>1.0</v>
      </c>
      <c r="P129" s="60">
        <v>1.0</v>
      </c>
      <c r="Q129" s="60">
        <v>0.0</v>
      </c>
      <c r="R129" s="60">
        <v>0.0</v>
      </c>
      <c r="S129" s="60">
        <v>0.0</v>
      </c>
      <c r="T129" s="13">
        <f t="shared" si="14"/>
        <v>5</v>
      </c>
      <c r="U129" s="5"/>
      <c r="V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1.0</v>
      </c>
      <c r="F130" s="60">
        <v>1.0</v>
      </c>
      <c r="G130" s="60">
        <v>5.0</v>
      </c>
      <c r="H130" s="60">
        <v>0.0</v>
      </c>
      <c r="I130" s="60">
        <v>5.0</v>
      </c>
      <c r="J130" s="60">
        <v>7.0</v>
      </c>
      <c r="K130" s="60">
        <v>2.0</v>
      </c>
      <c r="L130" s="60">
        <v>2.0</v>
      </c>
      <c r="M130" s="60">
        <v>1.0</v>
      </c>
      <c r="N130" s="60">
        <v>0.0</v>
      </c>
      <c r="O130" s="60">
        <v>0.0</v>
      </c>
      <c r="P130" s="60">
        <v>4.0</v>
      </c>
      <c r="Q130" s="60">
        <v>1.0</v>
      </c>
      <c r="R130" s="60">
        <v>0.0</v>
      </c>
      <c r="S130" s="60">
        <v>4.0</v>
      </c>
      <c r="T130" s="13">
        <f t="shared" si="14"/>
        <v>33</v>
      </c>
      <c r="U130" s="1"/>
      <c r="V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1.0</v>
      </c>
      <c r="L131" s="60">
        <v>1.0</v>
      </c>
      <c r="M131" s="60">
        <v>1.0</v>
      </c>
      <c r="N131" s="60">
        <v>0.0</v>
      </c>
      <c r="O131" s="60">
        <v>0.0</v>
      </c>
      <c r="P131" s="60">
        <v>0.0</v>
      </c>
      <c r="Q131" s="60">
        <v>0.0</v>
      </c>
      <c r="R131" s="60">
        <v>0.0</v>
      </c>
      <c r="S131" s="60">
        <v>0.0</v>
      </c>
      <c r="T131" s="13">
        <f t="shared" si="14"/>
        <v>3</v>
      </c>
      <c r="U131" s="54"/>
      <c r="V131" s="54"/>
    </row>
    <row r="132" ht="12.75" customHeight="1">
      <c r="A132" s="18"/>
      <c r="B132" s="57"/>
      <c r="C132" s="58" t="s">
        <v>113</v>
      </c>
      <c r="D132" s="59"/>
      <c r="E132" s="60">
        <v>1.0</v>
      </c>
      <c r="F132" s="60">
        <v>0.0</v>
      </c>
      <c r="G132" s="60">
        <v>0.0</v>
      </c>
      <c r="H132" s="60">
        <v>1.0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60">
        <v>0.0</v>
      </c>
      <c r="P132" s="60">
        <v>0.0</v>
      </c>
      <c r="Q132" s="60">
        <v>0.0</v>
      </c>
      <c r="R132" s="60">
        <v>0.0</v>
      </c>
      <c r="S132" s="60">
        <v>0.0</v>
      </c>
      <c r="T132" s="13">
        <f t="shared" si="14"/>
        <v>2</v>
      </c>
      <c r="U132" s="5"/>
      <c r="V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1.0</v>
      </c>
      <c r="K133" s="60">
        <v>0.0</v>
      </c>
      <c r="L133" s="60">
        <v>0.0</v>
      </c>
      <c r="M133" s="60">
        <v>1.0</v>
      </c>
      <c r="N133" s="60">
        <v>0.0</v>
      </c>
      <c r="O133" s="60">
        <v>0.0</v>
      </c>
      <c r="P133" s="60">
        <v>0.0</v>
      </c>
      <c r="Q133" s="60">
        <v>0.0</v>
      </c>
      <c r="R133" s="60">
        <v>0.0</v>
      </c>
      <c r="S133" s="60">
        <v>0.0</v>
      </c>
      <c r="T133" s="13">
        <f t="shared" si="14"/>
        <v>2</v>
      </c>
      <c r="U133" s="5"/>
      <c r="V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1.0</v>
      </c>
      <c r="G134" s="60">
        <v>0.0</v>
      </c>
      <c r="H134" s="60">
        <v>0.0</v>
      </c>
      <c r="I134" s="60">
        <v>0.0</v>
      </c>
      <c r="J134" s="60">
        <v>0.0</v>
      </c>
      <c r="K134" s="60">
        <v>0.0</v>
      </c>
      <c r="L134" s="60">
        <v>0.0</v>
      </c>
      <c r="M134" s="60">
        <v>0.0</v>
      </c>
      <c r="N134" s="60">
        <v>0.0</v>
      </c>
      <c r="O134" s="60">
        <v>0.0</v>
      </c>
      <c r="P134" s="60">
        <v>0.0</v>
      </c>
      <c r="Q134" s="60">
        <v>0.0</v>
      </c>
      <c r="R134" s="60">
        <v>0.0</v>
      </c>
      <c r="S134" s="60">
        <v>0.0</v>
      </c>
      <c r="T134" s="13">
        <f t="shared" si="14"/>
        <v>1</v>
      </c>
      <c r="U134" s="5"/>
      <c r="V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1.0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60">
        <v>0.0</v>
      </c>
      <c r="Q135" s="60">
        <v>0.0</v>
      </c>
      <c r="R135" s="60">
        <v>1.0</v>
      </c>
      <c r="S135" s="60">
        <v>0.0</v>
      </c>
      <c r="T135" s="13">
        <f t="shared" si="14"/>
        <v>2</v>
      </c>
      <c r="U135" s="5"/>
      <c r="V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S136" si="26">SUM(E129:E135)</f>
        <v>2</v>
      </c>
      <c r="F136" s="64">
        <f t="shared" si="26"/>
        <v>2</v>
      </c>
      <c r="G136" s="64">
        <f t="shared" si="26"/>
        <v>5</v>
      </c>
      <c r="H136" s="64">
        <f t="shared" si="26"/>
        <v>1</v>
      </c>
      <c r="I136" s="64">
        <f t="shared" si="26"/>
        <v>6</v>
      </c>
      <c r="J136" s="64">
        <f t="shared" si="26"/>
        <v>9</v>
      </c>
      <c r="K136" s="64">
        <f t="shared" si="26"/>
        <v>4</v>
      </c>
      <c r="L136" s="64">
        <f t="shared" si="26"/>
        <v>3</v>
      </c>
      <c r="M136" s="64">
        <f t="shared" si="26"/>
        <v>4</v>
      </c>
      <c r="N136" s="64">
        <f t="shared" si="26"/>
        <v>0</v>
      </c>
      <c r="O136" s="64">
        <f t="shared" si="26"/>
        <v>1</v>
      </c>
      <c r="P136" s="64">
        <f t="shared" si="26"/>
        <v>5</v>
      </c>
      <c r="Q136" s="64">
        <f t="shared" si="26"/>
        <v>1</v>
      </c>
      <c r="R136" s="64">
        <f t="shared" si="26"/>
        <v>1</v>
      </c>
      <c r="S136" s="64">
        <f t="shared" si="26"/>
        <v>4</v>
      </c>
      <c r="T136" s="13">
        <f t="shared" si="14"/>
        <v>48</v>
      </c>
      <c r="U136" s="5"/>
      <c r="V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13">
        <f t="shared" si="14"/>
        <v>0</v>
      </c>
      <c r="U137" s="5"/>
      <c r="V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60">
        <v>0.0</v>
      </c>
      <c r="N138" s="60">
        <v>0.0</v>
      </c>
      <c r="O138" s="60">
        <v>0.0</v>
      </c>
      <c r="P138" s="60">
        <v>0.0</v>
      </c>
      <c r="Q138" s="60">
        <v>0.0</v>
      </c>
      <c r="R138" s="60">
        <v>0.0</v>
      </c>
      <c r="S138" s="60">
        <v>0.0</v>
      </c>
      <c r="T138" s="13">
        <f t="shared" si="14"/>
        <v>0</v>
      </c>
      <c r="U138" s="5"/>
      <c r="V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0.0</v>
      </c>
      <c r="H139" s="60">
        <v>0.0</v>
      </c>
      <c r="I139" s="60">
        <v>0.0</v>
      </c>
      <c r="J139" s="60">
        <v>3.0</v>
      </c>
      <c r="K139" s="60">
        <v>0.0</v>
      </c>
      <c r="L139" s="60">
        <v>0.0</v>
      </c>
      <c r="M139" s="60">
        <v>0.0</v>
      </c>
      <c r="N139" s="60">
        <v>0.0</v>
      </c>
      <c r="O139" s="60">
        <v>0.0</v>
      </c>
      <c r="P139" s="60">
        <v>0.0</v>
      </c>
      <c r="Q139" s="60">
        <v>0.0</v>
      </c>
      <c r="R139" s="60">
        <v>0.0</v>
      </c>
      <c r="S139" s="60">
        <v>0.0</v>
      </c>
      <c r="T139" s="13">
        <f t="shared" si="14"/>
        <v>3</v>
      </c>
      <c r="U139" s="5"/>
      <c r="V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1.0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60">
        <v>0.0</v>
      </c>
      <c r="Q140" s="60">
        <v>0.0</v>
      </c>
      <c r="R140" s="60">
        <v>0.0</v>
      </c>
      <c r="S140" s="60">
        <v>0.0</v>
      </c>
      <c r="T140" s="13">
        <f t="shared" si="14"/>
        <v>1</v>
      </c>
      <c r="U140" s="5"/>
      <c r="V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1.0</v>
      </c>
      <c r="K141" s="60">
        <v>0.0</v>
      </c>
      <c r="L141" s="60">
        <v>0.0</v>
      </c>
      <c r="M141" s="60">
        <v>0.0</v>
      </c>
      <c r="N141" s="60">
        <v>0.0</v>
      </c>
      <c r="O141" s="60">
        <v>0.0</v>
      </c>
      <c r="P141" s="60">
        <v>0.0</v>
      </c>
      <c r="Q141" s="60">
        <v>0.0</v>
      </c>
      <c r="R141" s="60">
        <v>0.0</v>
      </c>
      <c r="S141" s="60">
        <v>0.0</v>
      </c>
      <c r="T141" s="13">
        <f t="shared" si="14"/>
        <v>1</v>
      </c>
      <c r="U141" s="1"/>
      <c r="V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0.0</v>
      </c>
      <c r="O142" s="60">
        <v>0.0</v>
      </c>
      <c r="P142" s="60">
        <v>0.0</v>
      </c>
      <c r="Q142" s="60">
        <v>0.0</v>
      </c>
      <c r="R142" s="60">
        <v>1.0</v>
      </c>
      <c r="S142" s="60">
        <v>0.0</v>
      </c>
      <c r="T142" s="13">
        <f t="shared" si="14"/>
        <v>1</v>
      </c>
      <c r="U142" s="54"/>
      <c r="V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0.0</v>
      </c>
      <c r="P143" s="60">
        <v>0.0</v>
      </c>
      <c r="Q143" s="60">
        <v>0.0</v>
      </c>
      <c r="R143" s="60">
        <v>0.0</v>
      </c>
      <c r="S143" s="60">
        <v>0.0</v>
      </c>
      <c r="T143" s="13">
        <f t="shared" si="14"/>
        <v>0</v>
      </c>
      <c r="U143" s="5"/>
      <c r="V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5.0</v>
      </c>
      <c r="I144" s="60">
        <v>2.0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60">
        <v>0.0</v>
      </c>
      <c r="P144" s="60">
        <v>0.0</v>
      </c>
      <c r="Q144" s="60">
        <v>0.0</v>
      </c>
      <c r="R144" s="60">
        <v>1.0</v>
      </c>
      <c r="S144" s="60">
        <v>0.0</v>
      </c>
      <c r="T144" s="13">
        <f t="shared" si="14"/>
        <v>8</v>
      </c>
      <c r="U144" s="5"/>
      <c r="V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S145" si="27">SUM(E138:E144)</f>
        <v>0</v>
      </c>
      <c r="F145" s="64">
        <f t="shared" si="27"/>
        <v>0</v>
      </c>
      <c r="G145" s="64">
        <f t="shared" si="27"/>
        <v>0</v>
      </c>
      <c r="H145" s="64">
        <f t="shared" si="27"/>
        <v>5</v>
      </c>
      <c r="I145" s="64">
        <f t="shared" si="27"/>
        <v>2</v>
      </c>
      <c r="J145" s="64">
        <f t="shared" si="27"/>
        <v>5</v>
      </c>
      <c r="K145" s="64">
        <f t="shared" si="27"/>
        <v>0</v>
      </c>
      <c r="L145" s="64">
        <f t="shared" si="27"/>
        <v>0</v>
      </c>
      <c r="M145" s="64">
        <f t="shared" si="27"/>
        <v>0</v>
      </c>
      <c r="N145" s="64">
        <f t="shared" si="27"/>
        <v>0</v>
      </c>
      <c r="O145" s="64">
        <f t="shared" si="27"/>
        <v>0</v>
      </c>
      <c r="P145" s="64">
        <f t="shared" si="27"/>
        <v>0</v>
      </c>
      <c r="Q145" s="64">
        <f t="shared" si="27"/>
        <v>0</v>
      </c>
      <c r="R145" s="64">
        <f t="shared" si="27"/>
        <v>2</v>
      </c>
      <c r="S145" s="64">
        <f t="shared" si="27"/>
        <v>0</v>
      </c>
      <c r="T145" s="13">
        <f t="shared" si="14"/>
        <v>14</v>
      </c>
      <c r="U145" s="5"/>
      <c r="V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13">
        <f t="shared" si="14"/>
        <v>0</v>
      </c>
      <c r="U146" s="5"/>
      <c r="V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5.0</v>
      </c>
      <c r="F147" s="60">
        <v>1.0</v>
      </c>
      <c r="G147" s="60">
        <v>3.0</v>
      </c>
      <c r="H147" s="60">
        <v>4.0</v>
      </c>
      <c r="I147" s="60">
        <v>4.0</v>
      </c>
      <c r="J147" s="60">
        <v>0.0</v>
      </c>
      <c r="K147" s="60">
        <v>1.0</v>
      </c>
      <c r="L147" s="60">
        <v>6.0</v>
      </c>
      <c r="M147" s="60">
        <v>0.0</v>
      </c>
      <c r="N147" s="60">
        <v>1.0</v>
      </c>
      <c r="O147" s="60">
        <v>0.0</v>
      </c>
      <c r="P147" s="60">
        <v>2.0</v>
      </c>
      <c r="Q147" s="60">
        <v>7.0</v>
      </c>
      <c r="R147" s="60">
        <v>2.0</v>
      </c>
      <c r="S147" s="60">
        <v>2.0</v>
      </c>
      <c r="T147" s="13">
        <f t="shared" si="14"/>
        <v>38</v>
      </c>
      <c r="U147" s="5"/>
      <c r="V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2.0</v>
      </c>
      <c r="F148" s="60">
        <v>1.0</v>
      </c>
      <c r="G148" s="60">
        <v>0.0</v>
      </c>
      <c r="H148" s="60">
        <v>1.0</v>
      </c>
      <c r="I148" s="60">
        <v>1.0</v>
      </c>
      <c r="J148" s="60">
        <v>7.0</v>
      </c>
      <c r="K148" s="60">
        <v>1.0</v>
      </c>
      <c r="L148" s="60">
        <v>1.0</v>
      </c>
      <c r="M148" s="60">
        <v>0.0</v>
      </c>
      <c r="N148" s="60">
        <v>1.0</v>
      </c>
      <c r="O148" s="60">
        <v>2.0</v>
      </c>
      <c r="P148" s="60">
        <v>0.0</v>
      </c>
      <c r="Q148" s="60">
        <v>1.0</v>
      </c>
      <c r="R148" s="60">
        <v>2.0</v>
      </c>
      <c r="S148" s="60">
        <v>4.0</v>
      </c>
      <c r="T148" s="13">
        <f t="shared" si="14"/>
        <v>24</v>
      </c>
      <c r="U148" s="5"/>
      <c r="V148" s="5"/>
    </row>
    <row r="149" ht="12.75" customHeight="1">
      <c r="A149" s="18"/>
      <c r="B149" s="57"/>
      <c r="C149" s="58" t="s">
        <v>128</v>
      </c>
      <c r="D149" s="59"/>
      <c r="E149" s="60">
        <v>26.0</v>
      </c>
      <c r="F149" s="60">
        <v>17.0</v>
      </c>
      <c r="G149" s="60">
        <v>11.0</v>
      </c>
      <c r="H149" s="60">
        <v>3.0</v>
      </c>
      <c r="I149" s="60">
        <v>1.0</v>
      </c>
      <c r="J149" s="60">
        <v>0.0</v>
      </c>
      <c r="K149" s="60">
        <v>2.0</v>
      </c>
      <c r="L149" s="60">
        <v>10.0</v>
      </c>
      <c r="M149" s="60">
        <v>0.0</v>
      </c>
      <c r="N149" s="60">
        <v>0.0</v>
      </c>
      <c r="O149" s="60">
        <v>0.0</v>
      </c>
      <c r="P149" s="60">
        <v>0.0</v>
      </c>
      <c r="Q149" s="60">
        <v>4.0</v>
      </c>
      <c r="R149" s="60">
        <v>0.0</v>
      </c>
      <c r="S149" s="60">
        <v>2.0</v>
      </c>
      <c r="T149" s="13">
        <f t="shared" si="14"/>
        <v>76</v>
      </c>
      <c r="U149" s="5"/>
      <c r="V149" s="5"/>
    </row>
    <row r="150" ht="12.75" customHeight="1">
      <c r="A150" s="18"/>
      <c r="B150" s="57"/>
      <c r="C150" s="58" t="s">
        <v>129</v>
      </c>
      <c r="D150" s="59"/>
      <c r="E150" s="60">
        <v>14.0</v>
      </c>
      <c r="F150" s="60">
        <v>1.0</v>
      </c>
      <c r="G150" s="60">
        <v>0.0</v>
      </c>
      <c r="H150" s="60">
        <v>1.0</v>
      </c>
      <c r="I150" s="60">
        <v>1.0</v>
      </c>
      <c r="J150" s="60">
        <v>0.0</v>
      </c>
      <c r="K150" s="60">
        <v>1.0</v>
      </c>
      <c r="L150" s="60">
        <v>1.0</v>
      </c>
      <c r="M150" s="60">
        <v>2.0</v>
      </c>
      <c r="N150" s="60">
        <v>1.0</v>
      </c>
      <c r="O150" s="60">
        <v>2.0</v>
      </c>
      <c r="P150" s="60">
        <v>1.0</v>
      </c>
      <c r="Q150" s="60">
        <v>5.0</v>
      </c>
      <c r="R150" s="60">
        <v>1.0</v>
      </c>
      <c r="S150" s="60">
        <v>0.0</v>
      </c>
      <c r="T150" s="13">
        <f t="shared" si="14"/>
        <v>31</v>
      </c>
      <c r="U150" s="5"/>
      <c r="V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0.0</v>
      </c>
      <c r="J151" s="60">
        <v>0.0</v>
      </c>
      <c r="K151" s="60">
        <v>0.0</v>
      </c>
      <c r="L151" s="60">
        <v>0.0</v>
      </c>
      <c r="M151" s="60">
        <v>0.0</v>
      </c>
      <c r="N151" s="60">
        <v>0.0</v>
      </c>
      <c r="O151" s="60">
        <v>0.0</v>
      </c>
      <c r="P151" s="60">
        <v>0.0</v>
      </c>
      <c r="Q151" s="60">
        <v>1.0</v>
      </c>
      <c r="R151" s="60">
        <v>0.0</v>
      </c>
      <c r="S151" s="60">
        <v>0.0</v>
      </c>
      <c r="T151" s="13">
        <f t="shared" si="14"/>
        <v>1</v>
      </c>
      <c r="U151" s="1"/>
      <c r="V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1.0</v>
      </c>
      <c r="J152" s="60">
        <v>0.0</v>
      </c>
      <c r="K152" s="60">
        <v>0.0</v>
      </c>
      <c r="L152" s="60">
        <v>0.0</v>
      </c>
      <c r="M152" s="60">
        <v>0.0</v>
      </c>
      <c r="N152" s="60">
        <v>0.0</v>
      </c>
      <c r="O152" s="60">
        <v>0.0</v>
      </c>
      <c r="P152" s="60">
        <v>0.0</v>
      </c>
      <c r="Q152" s="60">
        <v>0.0</v>
      </c>
      <c r="R152" s="60">
        <v>0.0</v>
      </c>
      <c r="S152" s="60">
        <v>1.0</v>
      </c>
      <c r="T152" s="13">
        <f t="shared" si="14"/>
        <v>2</v>
      </c>
      <c r="U152" s="54"/>
      <c r="V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0.0</v>
      </c>
      <c r="N153" s="60">
        <v>0.0</v>
      </c>
      <c r="O153" s="60">
        <v>0.0</v>
      </c>
      <c r="P153" s="60">
        <v>0.0</v>
      </c>
      <c r="Q153" s="60">
        <v>2.0</v>
      </c>
      <c r="R153" s="60">
        <v>2.0</v>
      </c>
      <c r="S153" s="60">
        <v>4.0</v>
      </c>
      <c r="T153" s="13">
        <f t="shared" si="14"/>
        <v>8</v>
      </c>
      <c r="U153" s="5"/>
      <c r="V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S154" si="28">SUM(E147:E153)</f>
        <v>47</v>
      </c>
      <c r="F154" s="64">
        <f t="shared" si="28"/>
        <v>20</v>
      </c>
      <c r="G154" s="64">
        <f t="shared" si="28"/>
        <v>14</v>
      </c>
      <c r="H154" s="64">
        <f t="shared" si="28"/>
        <v>9</v>
      </c>
      <c r="I154" s="64">
        <f t="shared" si="28"/>
        <v>8</v>
      </c>
      <c r="J154" s="64">
        <f t="shared" si="28"/>
        <v>7</v>
      </c>
      <c r="K154" s="64">
        <f t="shared" si="28"/>
        <v>5</v>
      </c>
      <c r="L154" s="64">
        <f t="shared" si="28"/>
        <v>18</v>
      </c>
      <c r="M154" s="64">
        <f t="shared" si="28"/>
        <v>2</v>
      </c>
      <c r="N154" s="64">
        <f t="shared" si="28"/>
        <v>3</v>
      </c>
      <c r="O154" s="64">
        <f t="shared" si="28"/>
        <v>4</v>
      </c>
      <c r="P154" s="64">
        <f t="shared" si="28"/>
        <v>3</v>
      </c>
      <c r="Q154" s="64">
        <f t="shared" si="28"/>
        <v>20</v>
      </c>
      <c r="R154" s="64">
        <f t="shared" si="28"/>
        <v>7</v>
      </c>
      <c r="S154" s="64">
        <f t="shared" si="28"/>
        <v>13</v>
      </c>
      <c r="T154" s="13">
        <f t="shared" si="14"/>
        <v>180</v>
      </c>
      <c r="U154" s="5"/>
      <c r="V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13">
        <f t="shared" si="14"/>
        <v>0</v>
      </c>
      <c r="U155" s="5"/>
      <c r="V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3.0</v>
      </c>
      <c r="F156" s="60">
        <v>0.0</v>
      </c>
      <c r="G156" s="60">
        <v>1.0</v>
      </c>
      <c r="H156" s="60">
        <v>1.0</v>
      </c>
      <c r="I156" s="60">
        <v>2.0</v>
      </c>
      <c r="J156" s="60">
        <v>0.0</v>
      </c>
      <c r="K156" s="60">
        <v>1.0</v>
      </c>
      <c r="L156" s="60">
        <v>1.0</v>
      </c>
      <c r="M156" s="60">
        <v>0.0</v>
      </c>
      <c r="N156" s="60">
        <v>0.0</v>
      </c>
      <c r="O156" s="60">
        <v>0.0</v>
      </c>
      <c r="P156" s="60">
        <v>2.0</v>
      </c>
      <c r="Q156" s="60">
        <v>2.0</v>
      </c>
      <c r="R156" s="60">
        <v>3.0</v>
      </c>
      <c r="S156" s="60">
        <v>0.0</v>
      </c>
      <c r="T156" s="13">
        <f t="shared" si="14"/>
        <v>16</v>
      </c>
      <c r="U156" s="5"/>
      <c r="V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0.0</v>
      </c>
      <c r="J157" s="60">
        <v>3.0</v>
      </c>
      <c r="K157" s="60">
        <v>1.0</v>
      </c>
      <c r="L157" s="60">
        <v>0.0</v>
      </c>
      <c r="M157" s="60">
        <v>1.0</v>
      </c>
      <c r="N157" s="60">
        <v>1.0</v>
      </c>
      <c r="O157" s="60">
        <v>0.0</v>
      </c>
      <c r="P157" s="60">
        <v>0.0</v>
      </c>
      <c r="Q157" s="60">
        <v>0.0</v>
      </c>
      <c r="R157" s="60">
        <v>3.0</v>
      </c>
      <c r="S157" s="60">
        <v>2.0</v>
      </c>
      <c r="T157" s="13">
        <f t="shared" si="14"/>
        <v>11</v>
      </c>
      <c r="U157" s="5"/>
      <c r="V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0.0</v>
      </c>
      <c r="H158" s="60">
        <v>0.0</v>
      </c>
      <c r="I158" s="60">
        <v>1.0</v>
      </c>
      <c r="J158" s="60">
        <v>0.0</v>
      </c>
      <c r="K158" s="60">
        <v>0.0</v>
      </c>
      <c r="L158" s="60">
        <v>0.0</v>
      </c>
      <c r="M158" s="60">
        <v>0.0</v>
      </c>
      <c r="N158" s="60">
        <v>0.0</v>
      </c>
      <c r="O158" s="60">
        <v>0.0</v>
      </c>
      <c r="P158" s="60">
        <v>1.0</v>
      </c>
      <c r="Q158" s="60">
        <v>1.0</v>
      </c>
      <c r="R158" s="60">
        <v>0.0</v>
      </c>
      <c r="S158" s="60">
        <v>0.0</v>
      </c>
      <c r="T158" s="13">
        <f t="shared" si="14"/>
        <v>3</v>
      </c>
      <c r="U158" s="5"/>
      <c r="V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1.0</v>
      </c>
      <c r="J159" s="60">
        <v>1.0</v>
      </c>
      <c r="K159" s="60">
        <v>0.0</v>
      </c>
      <c r="L159" s="60">
        <v>0.0</v>
      </c>
      <c r="M159" s="60">
        <v>1.0</v>
      </c>
      <c r="N159" s="60">
        <v>0.0</v>
      </c>
      <c r="O159" s="60">
        <v>0.0</v>
      </c>
      <c r="P159" s="60">
        <v>0.0</v>
      </c>
      <c r="Q159" s="60">
        <v>2.0</v>
      </c>
      <c r="R159" s="60">
        <v>0.0</v>
      </c>
      <c r="S159" s="60">
        <v>2.0</v>
      </c>
      <c r="T159" s="13">
        <f t="shared" si="14"/>
        <v>7</v>
      </c>
      <c r="U159" s="5"/>
      <c r="V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1.0</v>
      </c>
      <c r="J160" s="60">
        <v>0.0</v>
      </c>
      <c r="K160" s="60">
        <v>0.0</v>
      </c>
      <c r="L160" s="60">
        <v>0.0</v>
      </c>
      <c r="M160" s="60">
        <v>1.0</v>
      </c>
      <c r="N160" s="60">
        <v>1.0</v>
      </c>
      <c r="O160" s="60">
        <v>0.0</v>
      </c>
      <c r="P160" s="60">
        <v>0.0</v>
      </c>
      <c r="Q160" s="60">
        <v>0.0</v>
      </c>
      <c r="R160" s="60">
        <v>0.0</v>
      </c>
      <c r="S160" s="60">
        <v>0.0</v>
      </c>
      <c r="T160" s="13">
        <f t="shared" si="14"/>
        <v>3</v>
      </c>
      <c r="U160" s="5"/>
      <c r="V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1.0</v>
      </c>
      <c r="K161" s="60">
        <v>0.0</v>
      </c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1.0</v>
      </c>
      <c r="R161" s="60">
        <v>1.0</v>
      </c>
      <c r="S161" s="60">
        <v>1.0</v>
      </c>
      <c r="T161" s="13">
        <f t="shared" si="14"/>
        <v>4</v>
      </c>
      <c r="U161" s="5"/>
      <c r="V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S162" si="29">SUM(E156:E161)</f>
        <v>3</v>
      </c>
      <c r="F162" s="64">
        <f t="shared" si="29"/>
        <v>0</v>
      </c>
      <c r="G162" s="64">
        <f t="shared" si="29"/>
        <v>1</v>
      </c>
      <c r="H162" s="64">
        <f t="shared" si="29"/>
        <v>1</v>
      </c>
      <c r="I162" s="64">
        <f t="shared" si="29"/>
        <v>5</v>
      </c>
      <c r="J162" s="64">
        <f t="shared" si="29"/>
        <v>5</v>
      </c>
      <c r="K162" s="64">
        <f t="shared" si="29"/>
        <v>2</v>
      </c>
      <c r="L162" s="64">
        <f t="shared" si="29"/>
        <v>1</v>
      </c>
      <c r="M162" s="64">
        <f t="shared" si="29"/>
        <v>3</v>
      </c>
      <c r="N162" s="64">
        <f t="shared" si="29"/>
        <v>2</v>
      </c>
      <c r="O162" s="64">
        <f t="shared" si="29"/>
        <v>0</v>
      </c>
      <c r="P162" s="64">
        <f t="shared" si="29"/>
        <v>3</v>
      </c>
      <c r="Q162" s="64">
        <f t="shared" si="29"/>
        <v>6</v>
      </c>
      <c r="R162" s="64">
        <f t="shared" si="29"/>
        <v>7</v>
      </c>
      <c r="S162" s="64">
        <f t="shared" si="29"/>
        <v>5</v>
      </c>
      <c r="T162" s="13">
        <f t="shared" si="14"/>
        <v>44</v>
      </c>
      <c r="U162" s="5"/>
      <c r="V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13">
        <f t="shared" si="14"/>
        <v>0</v>
      </c>
      <c r="U163" s="5"/>
      <c r="V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60">
        <v>0.0</v>
      </c>
      <c r="O164" s="60">
        <v>0.0</v>
      </c>
      <c r="P164" s="60">
        <v>0.0</v>
      </c>
      <c r="Q164" s="60">
        <v>0.0</v>
      </c>
      <c r="R164" s="60">
        <v>0.0</v>
      </c>
      <c r="S164" s="60">
        <v>0.0</v>
      </c>
      <c r="T164" s="13">
        <f t="shared" si="14"/>
        <v>0</v>
      </c>
      <c r="U164" s="5"/>
      <c r="V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0.0</v>
      </c>
      <c r="J165" s="60">
        <v>0.0</v>
      </c>
      <c r="K165" s="60">
        <v>0.0</v>
      </c>
      <c r="L165" s="60">
        <v>0.0</v>
      </c>
      <c r="M165" s="60">
        <v>0.0</v>
      </c>
      <c r="N165" s="60">
        <v>1.0</v>
      </c>
      <c r="O165" s="60">
        <v>1.0</v>
      </c>
      <c r="P165" s="60">
        <v>0.0</v>
      </c>
      <c r="Q165" s="60">
        <v>1.0</v>
      </c>
      <c r="R165" s="60">
        <v>0.0</v>
      </c>
      <c r="S165" s="60">
        <v>0.0</v>
      </c>
      <c r="T165" s="13">
        <f t="shared" si="14"/>
        <v>3</v>
      </c>
      <c r="U165" s="1"/>
      <c r="V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1.0</v>
      </c>
      <c r="J166" s="60">
        <v>0.0</v>
      </c>
      <c r="K166" s="60">
        <v>0.0</v>
      </c>
      <c r="L166" s="60">
        <v>0.0</v>
      </c>
      <c r="M166" s="60">
        <v>2.0</v>
      </c>
      <c r="N166" s="60">
        <v>0.0</v>
      </c>
      <c r="O166" s="60">
        <v>0.0</v>
      </c>
      <c r="P166" s="60">
        <v>1.0</v>
      </c>
      <c r="Q166" s="60">
        <v>0.0</v>
      </c>
      <c r="R166" s="60">
        <v>0.0</v>
      </c>
      <c r="S166" s="60">
        <v>0.0</v>
      </c>
      <c r="T166" s="13">
        <f t="shared" si="14"/>
        <v>4</v>
      </c>
      <c r="U166" s="54"/>
      <c r="V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1.0</v>
      </c>
      <c r="K167" s="60">
        <v>0.0</v>
      </c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60">
        <v>0.0</v>
      </c>
      <c r="S167" s="60">
        <v>0.0</v>
      </c>
      <c r="T167" s="13">
        <f t="shared" si="14"/>
        <v>1</v>
      </c>
      <c r="U167" s="5"/>
      <c r="V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1.0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0.0</v>
      </c>
      <c r="R168" s="60">
        <v>0.0</v>
      </c>
      <c r="S168" s="60">
        <v>1.0</v>
      </c>
      <c r="T168" s="13">
        <f t="shared" si="14"/>
        <v>2</v>
      </c>
      <c r="U168" s="5"/>
      <c r="V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60">
        <v>0.0</v>
      </c>
      <c r="P169" s="60">
        <v>0.0</v>
      </c>
      <c r="Q169" s="60">
        <v>0.0</v>
      </c>
      <c r="R169" s="60">
        <v>0.0</v>
      </c>
      <c r="S169" s="60">
        <v>0.0</v>
      </c>
      <c r="T169" s="13">
        <f t="shared" si="14"/>
        <v>0</v>
      </c>
      <c r="U169" s="5"/>
      <c r="V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60">
        <v>0.0</v>
      </c>
      <c r="S170" s="60">
        <v>0.0</v>
      </c>
      <c r="T170" s="13">
        <f t="shared" si="14"/>
        <v>0</v>
      </c>
      <c r="U170" s="5"/>
      <c r="V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S171" si="30">SUM(E164:E170)</f>
        <v>1</v>
      </c>
      <c r="F171" s="64">
        <f t="shared" si="30"/>
        <v>0</v>
      </c>
      <c r="G171" s="64">
        <f t="shared" si="30"/>
        <v>0</v>
      </c>
      <c r="H171" s="64">
        <f t="shared" si="30"/>
        <v>0</v>
      </c>
      <c r="I171" s="64">
        <f t="shared" si="30"/>
        <v>1</v>
      </c>
      <c r="J171" s="64">
        <f t="shared" si="30"/>
        <v>1</v>
      </c>
      <c r="K171" s="64">
        <f t="shared" si="30"/>
        <v>0</v>
      </c>
      <c r="L171" s="64">
        <f t="shared" si="30"/>
        <v>0</v>
      </c>
      <c r="M171" s="64">
        <f t="shared" si="30"/>
        <v>2</v>
      </c>
      <c r="N171" s="64">
        <f t="shared" si="30"/>
        <v>1</v>
      </c>
      <c r="O171" s="64">
        <f t="shared" si="30"/>
        <v>1</v>
      </c>
      <c r="P171" s="64">
        <f t="shared" si="30"/>
        <v>1</v>
      </c>
      <c r="Q171" s="64">
        <f t="shared" si="30"/>
        <v>1</v>
      </c>
      <c r="R171" s="64">
        <f t="shared" si="30"/>
        <v>0</v>
      </c>
      <c r="S171" s="64">
        <f t="shared" si="30"/>
        <v>1</v>
      </c>
      <c r="T171" s="13">
        <f t="shared" si="14"/>
        <v>10</v>
      </c>
      <c r="U171" s="5"/>
      <c r="V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13">
        <f t="shared" si="14"/>
        <v>0</v>
      </c>
      <c r="U172" s="5"/>
      <c r="V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0.0</v>
      </c>
      <c r="G173" s="60">
        <v>1.0</v>
      </c>
      <c r="H173" s="60">
        <v>0.0</v>
      </c>
      <c r="I173" s="60">
        <v>0.0</v>
      </c>
      <c r="J173" s="60">
        <v>0.0</v>
      </c>
      <c r="K173" s="60">
        <v>0.0</v>
      </c>
      <c r="L173" s="60">
        <v>0.0</v>
      </c>
      <c r="M173" s="60">
        <v>0.0</v>
      </c>
      <c r="N173" s="60">
        <v>1.0</v>
      </c>
      <c r="O173" s="60">
        <v>1.0</v>
      </c>
      <c r="P173" s="60">
        <v>0.0</v>
      </c>
      <c r="Q173" s="60">
        <v>0.0</v>
      </c>
      <c r="R173" s="60">
        <v>0.0</v>
      </c>
      <c r="S173" s="60">
        <v>0.0</v>
      </c>
      <c r="T173" s="13">
        <f t="shared" si="14"/>
        <v>3</v>
      </c>
      <c r="U173" s="5"/>
      <c r="V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0.0</v>
      </c>
      <c r="G174" s="60">
        <v>0.0</v>
      </c>
      <c r="H174" s="60">
        <v>0.0</v>
      </c>
      <c r="I174" s="60">
        <v>0.0</v>
      </c>
      <c r="J174" s="60">
        <v>0.0</v>
      </c>
      <c r="K174" s="60">
        <v>0.0</v>
      </c>
      <c r="L174" s="60">
        <v>0.0</v>
      </c>
      <c r="M174" s="60">
        <v>1.0</v>
      </c>
      <c r="N174" s="60">
        <v>0.0</v>
      </c>
      <c r="O174" s="60">
        <v>0.0</v>
      </c>
      <c r="P174" s="60">
        <v>0.0</v>
      </c>
      <c r="Q174" s="60">
        <v>0.0</v>
      </c>
      <c r="R174" s="60">
        <v>0.0</v>
      </c>
      <c r="S174" s="60">
        <v>0.0</v>
      </c>
      <c r="T174" s="13">
        <f t="shared" si="14"/>
        <v>1</v>
      </c>
      <c r="U174" s="5"/>
      <c r="V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0.0</v>
      </c>
      <c r="G175" s="60">
        <v>0.0</v>
      </c>
      <c r="H175" s="60">
        <v>0.0</v>
      </c>
      <c r="I175" s="60">
        <v>2.0</v>
      </c>
      <c r="J175" s="60">
        <v>0.0</v>
      </c>
      <c r="K175" s="60">
        <v>0.0</v>
      </c>
      <c r="L175" s="60">
        <v>1.0</v>
      </c>
      <c r="M175" s="60">
        <v>0.0</v>
      </c>
      <c r="N175" s="60">
        <v>0.0</v>
      </c>
      <c r="O175" s="60">
        <v>0.0</v>
      </c>
      <c r="P175" s="60">
        <v>1.0</v>
      </c>
      <c r="Q175" s="60">
        <v>0.0</v>
      </c>
      <c r="R175" s="60">
        <v>1.0</v>
      </c>
      <c r="S175" s="60">
        <v>0.0</v>
      </c>
      <c r="T175" s="13">
        <f t="shared" si="14"/>
        <v>5</v>
      </c>
      <c r="U175" s="5"/>
      <c r="V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0.0</v>
      </c>
      <c r="G176" s="60">
        <v>0.0</v>
      </c>
      <c r="H176" s="60">
        <v>1.0</v>
      </c>
      <c r="I176" s="60">
        <v>1.0</v>
      </c>
      <c r="J176" s="60">
        <v>2.0</v>
      </c>
      <c r="K176" s="60">
        <v>0.0</v>
      </c>
      <c r="L176" s="60">
        <v>0.0</v>
      </c>
      <c r="M176" s="60">
        <v>1.0</v>
      </c>
      <c r="N176" s="60">
        <v>1.0</v>
      </c>
      <c r="O176" s="60">
        <v>0.0</v>
      </c>
      <c r="P176" s="60">
        <v>0.0</v>
      </c>
      <c r="Q176" s="60">
        <v>4.0</v>
      </c>
      <c r="R176" s="60">
        <v>1.0</v>
      </c>
      <c r="S176" s="60">
        <v>0.0</v>
      </c>
      <c r="T176" s="13">
        <f t="shared" si="14"/>
        <v>11</v>
      </c>
      <c r="U176" s="1"/>
      <c r="V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2.0</v>
      </c>
      <c r="I177" s="60">
        <v>0.0</v>
      </c>
      <c r="J177" s="60">
        <v>0.0</v>
      </c>
      <c r="K177" s="60">
        <v>1.0</v>
      </c>
      <c r="L177" s="60">
        <v>1.0</v>
      </c>
      <c r="M177" s="60">
        <v>0.0</v>
      </c>
      <c r="N177" s="60">
        <v>0.0</v>
      </c>
      <c r="O177" s="60">
        <v>5.0</v>
      </c>
      <c r="P177" s="60">
        <v>0.0</v>
      </c>
      <c r="Q177" s="60">
        <v>12.0</v>
      </c>
      <c r="R177" s="60">
        <v>0.0</v>
      </c>
      <c r="S177" s="60">
        <v>1.0</v>
      </c>
      <c r="T177" s="13">
        <f t="shared" si="14"/>
        <v>22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60">
        <v>0.0</v>
      </c>
      <c r="P178" s="60">
        <v>0.0</v>
      </c>
      <c r="Q178" s="60">
        <v>0.0</v>
      </c>
      <c r="R178" s="60">
        <v>0.0</v>
      </c>
      <c r="S178" s="60">
        <v>0.0</v>
      </c>
      <c r="T178" s="13">
        <f t="shared" si="14"/>
        <v>0</v>
      </c>
      <c r="U178" s="5"/>
      <c r="V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60">
        <v>0.0</v>
      </c>
      <c r="O179" s="60">
        <v>0.0</v>
      </c>
      <c r="P179" s="60">
        <v>0.0</v>
      </c>
      <c r="Q179" s="60">
        <v>0.0</v>
      </c>
      <c r="R179" s="60">
        <v>0.0</v>
      </c>
      <c r="S179" s="60">
        <v>0.0</v>
      </c>
      <c r="T179" s="13">
        <f t="shared" si="14"/>
        <v>0</v>
      </c>
      <c r="U179" s="5"/>
      <c r="V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S180" si="31">SUM(E173:E179)</f>
        <v>0</v>
      </c>
      <c r="F180" s="64">
        <f t="shared" si="31"/>
        <v>0</v>
      </c>
      <c r="G180" s="64">
        <f t="shared" si="31"/>
        <v>1</v>
      </c>
      <c r="H180" s="64">
        <f t="shared" si="31"/>
        <v>3</v>
      </c>
      <c r="I180" s="64">
        <f t="shared" si="31"/>
        <v>3</v>
      </c>
      <c r="J180" s="64">
        <f t="shared" si="31"/>
        <v>2</v>
      </c>
      <c r="K180" s="64">
        <f t="shared" si="31"/>
        <v>1</v>
      </c>
      <c r="L180" s="64">
        <f t="shared" si="31"/>
        <v>2</v>
      </c>
      <c r="M180" s="64">
        <f t="shared" si="31"/>
        <v>2</v>
      </c>
      <c r="N180" s="64">
        <f t="shared" si="31"/>
        <v>2</v>
      </c>
      <c r="O180" s="64">
        <f t="shared" si="31"/>
        <v>6</v>
      </c>
      <c r="P180" s="64">
        <f t="shared" si="31"/>
        <v>1</v>
      </c>
      <c r="Q180" s="64">
        <f t="shared" si="31"/>
        <v>16</v>
      </c>
      <c r="R180" s="64">
        <f t="shared" si="31"/>
        <v>2</v>
      </c>
      <c r="S180" s="64">
        <f t="shared" si="31"/>
        <v>1</v>
      </c>
      <c r="T180" s="13">
        <f t="shared" si="14"/>
        <v>42</v>
      </c>
      <c r="U180" s="5"/>
      <c r="V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13">
        <f t="shared" si="14"/>
        <v>0</v>
      </c>
      <c r="U181" s="5"/>
      <c r="V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3.0</v>
      </c>
      <c r="F182" s="60">
        <v>0.0</v>
      </c>
      <c r="G182" s="60">
        <v>0.0</v>
      </c>
      <c r="H182" s="60">
        <v>1.0</v>
      </c>
      <c r="I182" s="60">
        <v>0.0</v>
      </c>
      <c r="J182" s="60">
        <v>0.0</v>
      </c>
      <c r="K182" s="60">
        <v>1.0</v>
      </c>
      <c r="L182" s="60">
        <v>0.0</v>
      </c>
      <c r="M182" s="60">
        <v>0.0</v>
      </c>
      <c r="N182" s="60">
        <v>0.0</v>
      </c>
      <c r="O182" s="60">
        <v>0.0</v>
      </c>
      <c r="P182" s="60">
        <v>1.0</v>
      </c>
      <c r="Q182" s="60">
        <v>0.0</v>
      </c>
      <c r="R182" s="60">
        <v>0.0</v>
      </c>
      <c r="S182" s="60">
        <v>0.0</v>
      </c>
      <c r="T182" s="13">
        <f t="shared" si="14"/>
        <v>6</v>
      </c>
      <c r="U182" s="5"/>
      <c r="V182" s="5"/>
    </row>
    <row r="183" ht="12.75" customHeight="1">
      <c r="A183" s="31"/>
      <c r="B183" s="50"/>
      <c r="C183" s="58" t="s">
        <v>158</v>
      </c>
      <c r="D183" s="65"/>
      <c r="E183" s="60">
        <v>1.0</v>
      </c>
      <c r="F183" s="60">
        <v>1.0</v>
      </c>
      <c r="G183" s="60">
        <v>1.0</v>
      </c>
      <c r="H183" s="60">
        <v>1.0</v>
      </c>
      <c r="I183" s="60">
        <v>4.0</v>
      </c>
      <c r="J183" s="60">
        <v>2.0</v>
      </c>
      <c r="K183" s="60">
        <v>4.0</v>
      </c>
      <c r="L183" s="60">
        <v>4.0</v>
      </c>
      <c r="M183" s="60">
        <v>7.0</v>
      </c>
      <c r="N183" s="60">
        <v>1.0</v>
      </c>
      <c r="O183" s="60">
        <v>0.0</v>
      </c>
      <c r="P183" s="60">
        <v>10.0</v>
      </c>
      <c r="Q183" s="60">
        <v>4.0</v>
      </c>
      <c r="R183" s="60">
        <v>3.0</v>
      </c>
      <c r="S183" s="60">
        <v>4.0</v>
      </c>
      <c r="T183" s="13">
        <f t="shared" si="14"/>
        <v>47</v>
      </c>
      <c r="U183" s="5"/>
      <c r="V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1.0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60">
        <v>0.0</v>
      </c>
      <c r="P184" s="60">
        <v>0.0</v>
      </c>
      <c r="Q184" s="60">
        <v>0.0</v>
      </c>
      <c r="R184" s="60">
        <v>2.0</v>
      </c>
      <c r="S184" s="60">
        <v>1.0</v>
      </c>
      <c r="T184" s="13">
        <f t="shared" si="14"/>
        <v>4</v>
      </c>
      <c r="U184" s="5"/>
      <c r="V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60">
        <v>0.0</v>
      </c>
      <c r="S185" s="60">
        <v>0.0</v>
      </c>
      <c r="T185" s="13">
        <f t="shared" si="14"/>
        <v>0</v>
      </c>
      <c r="U185" s="5"/>
      <c r="V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1.0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60">
        <v>0.0</v>
      </c>
      <c r="P186" s="60">
        <v>0.0</v>
      </c>
      <c r="Q186" s="60">
        <v>0.0</v>
      </c>
      <c r="R186" s="60">
        <v>0.0</v>
      </c>
      <c r="S186" s="60">
        <v>0.0</v>
      </c>
      <c r="T186" s="13">
        <f t="shared" si="14"/>
        <v>1</v>
      </c>
      <c r="U186" s="5"/>
      <c r="V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S187" si="32">SUM(E182:E186)</f>
        <v>4</v>
      </c>
      <c r="F187" s="64">
        <f t="shared" si="32"/>
        <v>2</v>
      </c>
      <c r="G187" s="64">
        <f t="shared" si="32"/>
        <v>1</v>
      </c>
      <c r="H187" s="64">
        <f t="shared" si="32"/>
        <v>2</v>
      </c>
      <c r="I187" s="64">
        <f t="shared" si="32"/>
        <v>5</v>
      </c>
      <c r="J187" s="64">
        <f t="shared" si="32"/>
        <v>2</v>
      </c>
      <c r="K187" s="64">
        <f t="shared" si="32"/>
        <v>5</v>
      </c>
      <c r="L187" s="64">
        <f t="shared" si="32"/>
        <v>4</v>
      </c>
      <c r="M187" s="64">
        <f t="shared" si="32"/>
        <v>7</v>
      </c>
      <c r="N187" s="64">
        <f t="shared" si="32"/>
        <v>1</v>
      </c>
      <c r="O187" s="64">
        <f t="shared" si="32"/>
        <v>0</v>
      </c>
      <c r="P187" s="64">
        <f t="shared" si="32"/>
        <v>11</v>
      </c>
      <c r="Q187" s="64">
        <f t="shared" si="32"/>
        <v>4</v>
      </c>
      <c r="R187" s="64">
        <f t="shared" si="32"/>
        <v>5</v>
      </c>
      <c r="S187" s="64">
        <f t="shared" si="32"/>
        <v>5</v>
      </c>
      <c r="T187" s="13">
        <f t="shared" si="14"/>
        <v>58</v>
      </c>
      <c r="U187" s="1"/>
      <c r="V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3">
        <f t="shared" si="14"/>
        <v>0</v>
      </c>
      <c r="U189" s="5"/>
      <c r="V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74" t="s">
        <v>184</v>
      </c>
      <c r="P190" s="74" t="s">
        <v>185</v>
      </c>
      <c r="Q190" s="74" t="s">
        <v>186</v>
      </c>
      <c r="R190" s="74" t="s">
        <v>188</v>
      </c>
      <c r="S190" s="74" t="s">
        <v>189</v>
      </c>
      <c r="T190" s="13">
        <f t="shared" si="14"/>
        <v>0</v>
      </c>
      <c r="U190" s="5"/>
      <c r="V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S191" si="33">E187+E180+E162+E154+E145+E136+E127+E123+E114+E110+E101+E92+E88+E79+E70+E61+E52</f>
        <v>195</v>
      </c>
      <c r="F191" s="19">
        <f t="shared" si="33"/>
        <v>207</v>
      </c>
      <c r="G191" s="19">
        <f t="shared" si="33"/>
        <v>208</v>
      </c>
      <c r="H191" s="19">
        <f t="shared" si="33"/>
        <v>212</v>
      </c>
      <c r="I191" s="19">
        <f t="shared" si="33"/>
        <v>180</v>
      </c>
      <c r="J191" s="19">
        <f t="shared" si="33"/>
        <v>216</v>
      </c>
      <c r="K191" s="19">
        <f t="shared" si="33"/>
        <v>232</v>
      </c>
      <c r="L191" s="19">
        <f t="shared" si="33"/>
        <v>230</v>
      </c>
      <c r="M191" s="19">
        <f t="shared" si="33"/>
        <v>196</v>
      </c>
      <c r="N191" s="19">
        <f t="shared" si="33"/>
        <v>213</v>
      </c>
      <c r="O191" s="19">
        <f t="shared" si="33"/>
        <v>193</v>
      </c>
      <c r="P191" s="19">
        <f t="shared" si="33"/>
        <v>218</v>
      </c>
      <c r="Q191" s="19">
        <f t="shared" si="33"/>
        <v>201</v>
      </c>
      <c r="R191" s="19">
        <f t="shared" si="33"/>
        <v>205</v>
      </c>
      <c r="S191" s="19">
        <f t="shared" si="33"/>
        <v>221</v>
      </c>
      <c r="T191" s="13">
        <f t="shared" si="14"/>
        <v>3127</v>
      </c>
      <c r="U191" s="5"/>
      <c r="V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26.0</v>
      </c>
      <c r="F192" s="60">
        <v>16.0</v>
      </c>
      <c r="G192" s="60">
        <v>21.0</v>
      </c>
      <c r="H192" s="60">
        <v>14.0</v>
      </c>
      <c r="I192" s="60">
        <v>19.0</v>
      </c>
      <c r="J192" s="60">
        <v>9.0</v>
      </c>
      <c r="K192" s="60">
        <v>12.0</v>
      </c>
      <c r="L192" s="60">
        <v>3.0</v>
      </c>
      <c r="M192" s="60">
        <v>8.0</v>
      </c>
      <c r="N192" s="60">
        <v>15.0</v>
      </c>
      <c r="O192" s="60">
        <v>20.0</v>
      </c>
      <c r="P192" s="60">
        <v>13.0</v>
      </c>
      <c r="Q192" s="60">
        <v>12.0</v>
      </c>
      <c r="R192" s="60">
        <v>15.0</v>
      </c>
      <c r="S192" s="60">
        <v>12.0</v>
      </c>
      <c r="T192" s="13">
        <f t="shared" si="14"/>
        <v>215</v>
      </c>
      <c r="U192" s="5"/>
      <c r="V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S193" si="34">SUM(E191:E192)</f>
        <v>221</v>
      </c>
      <c r="F193" s="13">
        <f t="shared" si="34"/>
        <v>223</v>
      </c>
      <c r="G193" s="13">
        <f t="shared" si="34"/>
        <v>229</v>
      </c>
      <c r="H193" s="13">
        <f t="shared" si="34"/>
        <v>226</v>
      </c>
      <c r="I193" s="13">
        <f t="shared" si="34"/>
        <v>199</v>
      </c>
      <c r="J193" s="13">
        <f t="shared" si="34"/>
        <v>225</v>
      </c>
      <c r="K193" s="13">
        <f t="shared" si="34"/>
        <v>244</v>
      </c>
      <c r="L193" s="13">
        <f t="shared" si="34"/>
        <v>233</v>
      </c>
      <c r="M193" s="13">
        <f t="shared" si="34"/>
        <v>204</v>
      </c>
      <c r="N193" s="13">
        <f t="shared" si="34"/>
        <v>228</v>
      </c>
      <c r="O193" s="13">
        <f t="shared" si="34"/>
        <v>213</v>
      </c>
      <c r="P193" s="13">
        <f t="shared" si="34"/>
        <v>231</v>
      </c>
      <c r="Q193" s="13">
        <f t="shared" si="34"/>
        <v>213</v>
      </c>
      <c r="R193" s="13">
        <f t="shared" si="34"/>
        <v>220</v>
      </c>
      <c r="S193" s="13">
        <f t="shared" si="34"/>
        <v>233</v>
      </c>
      <c r="T193" s="13">
        <f t="shared" si="14"/>
        <v>3342</v>
      </c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4"/>
      <c r="V199" s="54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4"/>
      <c r="V208" s="54"/>
    </row>
    <row r="209" ht="12.75" customHeight="1">
      <c r="U209" s="54"/>
      <c r="V209" s="54"/>
    </row>
    <row r="210" ht="12.75" customHeight="1">
      <c r="U210" s="54"/>
      <c r="V210" s="54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4"/>
      <c r="V219" s="54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4"/>
      <c r="V230" s="54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45:S51">
    <cfRule type="containsBlanks" dxfId="1" priority="10">
      <formula>LEN(TRIM(E45))=0</formula>
    </cfRule>
  </conditionalFormatting>
  <conditionalFormatting sqref="E54:S60">
    <cfRule type="containsBlanks" dxfId="1" priority="11">
      <formula>LEN(TRIM(E54))=0</formula>
    </cfRule>
  </conditionalFormatting>
  <conditionalFormatting sqref="E63:S69">
    <cfRule type="containsBlanks" dxfId="1" priority="12">
      <formula>LEN(TRIM(E63))=0</formula>
    </cfRule>
  </conditionalFormatting>
  <conditionalFormatting sqref="E72:S78">
    <cfRule type="containsBlanks" dxfId="1" priority="13">
      <formula>LEN(TRIM(E72))=0</formula>
    </cfRule>
  </conditionalFormatting>
  <conditionalFormatting sqref="E81:S87">
    <cfRule type="containsBlanks" dxfId="1" priority="14">
      <formula>LEN(TRIM(E81))=0</formula>
    </cfRule>
  </conditionalFormatting>
  <conditionalFormatting sqref="E90:S91">
    <cfRule type="containsBlanks" dxfId="1" priority="15">
      <formula>LEN(TRIM(E90))=0</formula>
    </cfRule>
  </conditionalFormatting>
  <conditionalFormatting sqref="E94:S100">
    <cfRule type="containsBlanks" dxfId="1" priority="16">
      <formula>LEN(TRIM(E94))=0</formula>
    </cfRule>
  </conditionalFormatting>
  <conditionalFormatting sqref="E103:S109">
    <cfRule type="containsBlanks" dxfId="1" priority="17">
      <formula>LEN(TRIM(E103))=0</formula>
    </cfRule>
  </conditionalFormatting>
  <conditionalFormatting sqref="E112:S113">
    <cfRule type="containsBlanks" dxfId="1" priority="18">
      <formula>LEN(TRIM(E112))=0</formula>
    </cfRule>
  </conditionalFormatting>
  <conditionalFormatting sqref="E116:S122">
    <cfRule type="containsBlanks" dxfId="1" priority="19">
      <formula>LEN(TRIM(E116))=0</formula>
    </cfRule>
  </conditionalFormatting>
  <conditionalFormatting sqref="E125:S126">
    <cfRule type="containsBlanks" dxfId="1" priority="20">
      <formula>LEN(TRIM(E125))=0</formula>
    </cfRule>
  </conditionalFormatting>
  <conditionalFormatting sqref="E129:S135">
    <cfRule type="containsBlanks" dxfId="1" priority="21">
      <formula>LEN(TRIM(E129))=0</formula>
    </cfRule>
  </conditionalFormatting>
  <conditionalFormatting sqref="E138:S144">
    <cfRule type="containsBlanks" dxfId="1" priority="22">
      <formula>LEN(TRIM(E138))=0</formula>
    </cfRule>
  </conditionalFormatting>
  <conditionalFormatting sqref="E147:S153">
    <cfRule type="containsBlanks" dxfId="1" priority="23">
      <formula>LEN(TRIM(E147))=0</formula>
    </cfRule>
  </conditionalFormatting>
  <conditionalFormatting sqref="E156:S161">
    <cfRule type="containsBlanks" dxfId="1" priority="24">
      <formula>LEN(TRIM(E156))=0</formula>
    </cfRule>
  </conditionalFormatting>
  <conditionalFormatting sqref="E164:S170">
    <cfRule type="containsBlanks" dxfId="1" priority="25">
      <formula>LEN(TRIM(E164))=0</formula>
    </cfRule>
  </conditionalFormatting>
  <conditionalFormatting sqref="E173:S179">
    <cfRule type="containsBlanks" dxfId="1" priority="26">
      <formula>LEN(TRIM(E173))=0</formula>
    </cfRule>
  </conditionalFormatting>
  <conditionalFormatting sqref="E182:S186">
    <cfRule type="containsBlanks" dxfId="1" priority="27">
      <formula>LEN(TRIM(E182))=0</formula>
    </cfRule>
  </conditionalFormatting>
  <conditionalFormatting sqref="E191:S192">
    <cfRule type="containsBlanks" dxfId="1" priority="28">
      <formula>LEN(TRIM(E191))=0</formula>
    </cfRule>
  </conditionalFormatting>
  <conditionalFormatting sqref="E193:S193">
    <cfRule type="expression" dxfId="0" priority="29">
      <formula>E193&lt;&gt;#REF!</formula>
    </cfRule>
  </conditionalFormatting>
  <conditionalFormatting sqref="E193:S193">
    <cfRule type="expression" dxfId="2" priority="30">
      <formula>#REF!&lt;&gt;E193</formula>
    </cfRule>
  </conditionalFormatting>
  <conditionalFormatting sqref="E193:S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13" t="s">
        <v>188</v>
      </c>
      <c r="S13" s="13" t="s">
        <v>189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60">
        <v>121.0</v>
      </c>
      <c r="F14" s="60">
        <v>132.0</v>
      </c>
      <c r="G14" s="60">
        <v>126.0</v>
      </c>
      <c r="H14" s="60">
        <v>116.0</v>
      </c>
      <c r="I14" s="60">
        <v>129.0</v>
      </c>
      <c r="J14" s="60">
        <v>127.0</v>
      </c>
      <c r="K14" s="60">
        <v>140.0</v>
      </c>
      <c r="L14" s="60">
        <v>127.0</v>
      </c>
      <c r="M14" s="60">
        <v>103.0</v>
      </c>
      <c r="N14" s="60">
        <v>120.0</v>
      </c>
      <c r="O14" s="60">
        <v>137.0</v>
      </c>
      <c r="P14" s="60">
        <v>152.0</v>
      </c>
      <c r="Q14" s="60">
        <v>140.0</v>
      </c>
      <c r="R14" s="60">
        <v>131.0</v>
      </c>
      <c r="S14" s="60">
        <v>152.0</v>
      </c>
      <c r="T14" s="13">
        <f t="shared" ref="T14:T16" si="1">SUM(E14:S14)</f>
        <v>1953</v>
      </c>
    </row>
    <row r="15" ht="12.75" customHeight="1">
      <c r="A15" s="18"/>
      <c r="B15" s="26"/>
      <c r="C15" s="27"/>
      <c r="D15" s="19" t="s">
        <v>13</v>
      </c>
      <c r="E15" s="60">
        <v>152.0</v>
      </c>
      <c r="F15" s="60">
        <v>131.0</v>
      </c>
      <c r="G15" s="60">
        <v>143.0</v>
      </c>
      <c r="H15" s="60">
        <v>124.0</v>
      </c>
      <c r="I15" s="60">
        <v>131.0</v>
      </c>
      <c r="J15" s="60">
        <v>132.0</v>
      </c>
      <c r="K15" s="60">
        <v>144.0</v>
      </c>
      <c r="L15" s="60">
        <v>128.0</v>
      </c>
      <c r="M15" s="60">
        <v>120.0</v>
      </c>
      <c r="N15" s="60">
        <v>119.0</v>
      </c>
      <c r="O15" s="60">
        <v>146.0</v>
      </c>
      <c r="P15" s="60">
        <v>137.0</v>
      </c>
      <c r="Q15" s="60">
        <v>151.0</v>
      </c>
      <c r="R15" s="60">
        <v>142.0</v>
      </c>
      <c r="S15" s="60">
        <v>137.0</v>
      </c>
      <c r="T15" s="13">
        <f t="shared" si="1"/>
        <v>2037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273</v>
      </c>
      <c r="F16" s="13">
        <f t="shared" si="2"/>
        <v>263</v>
      </c>
      <c r="G16" s="13">
        <f t="shared" si="2"/>
        <v>269</v>
      </c>
      <c r="H16" s="13">
        <f t="shared" si="2"/>
        <v>240</v>
      </c>
      <c r="I16" s="13">
        <f t="shared" si="2"/>
        <v>260</v>
      </c>
      <c r="J16" s="13">
        <f t="shared" si="2"/>
        <v>259</v>
      </c>
      <c r="K16" s="13">
        <f t="shared" si="2"/>
        <v>284</v>
      </c>
      <c r="L16" s="13">
        <f t="shared" si="2"/>
        <v>255</v>
      </c>
      <c r="M16" s="13">
        <f t="shared" si="2"/>
        <v>223</v>
      </c>
      <c r="N16" s="13">
        <f t="shared" si="2"/>
        <v>239</v>
      </c>
      <c r="O16" s="13">
        <f t="shared" si="2"/>
        <v>283</v>
      </c>
      <c r="P16" s="13">
        <f t="shared" si="2"/>
        <v>289</v>
      </c>
      <c r="Q16" s="13">
        <f t="shared" si="2"/>
        <v>291</v>
      </c>
      <c r="R16" s="13">
        <f t="shared" si="2"/>
        <v>273</v>
      </c>
      <c r="S16" s="13">
        <f t="shared" si="2"/>
        <v>289</v>
      </c>
      <c r="T16" s="13">
        <f t="shared" si="1"/>
        <v>3990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13" t="s">
        <v>188</v>
      </c>
      <c r="S18" s="13" t="s">
        <v>189</v>
      </c>
      <c r="T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86.0</v>
      </c>
      <c r="F19" s="60">
        <v>91.0</v>
      </c>
      <c r="G19" s="60">
        <v>87.0</v>
      </c>
      <c r="H19" s="60">
        <v>85.0</v>
      </c>
      <c r="I19" s="60">
        <v>89.0</v>
      </c>
      <c r="J19" s="60">
        <v>93.0</v>
      </c>
      <c r="K19" s="60">
        <v>108.0</v>
      </c>
      <c r="L19" s="60">
        <v>86.0</v>
      </c>
      <c r="M19" s="60">
        <v>78.0</v>
      </c>
      <c r="N19" s="60">
        <v>85.0</v>
      </c>
      <c r="O19" s="60">
        <v>114.0</v>
      </c>
      <c r="P19" s="60">
        <v>108.0</v>
      </c>
      <c r="Q19" s="60">
        <v>107.0</v>
      </c>
      <c r="R19" s="60">
        <v>105.0</v>
      </c>
      <c r="S19" s="60">
        <v>126.0</v>
      </c>
      <c r="T19" s="13">
        <f t="shared" ref="T19:T30" si="3">SUM(E19:S19)</f>
        <v>1448</v>
      </c>
    </row>
    <row r="20" ht="12.75" customHeight="1">
      <c r="A20" s="34"/>
      <c r="B20" s="27"/>
      <c r="C20" s="35"/>
      <c r="D20" s="19" t="s">
        <v>13</v>
      </c>
      <c r="E20" s="60">
        <v>121.0</v>
      </c>
      <c r="F20" s="60">
        <v>110.0</v>
      </c>
      <c r="G20" s="60">
        <v>115.0</v>
      </c>
      <c r="H20" s="60">
        <v>103.0</v>
      </c>
      <c r="I20" s="60">
        <v>108.0</v>
      </c>
      <c r="J20" s="60">
        <v>104.0</v>
      </c>
      <c r="K20" s="60">
        <v>117.0</v>
      </c>
      <c r="L20" s="60">
        <v>112.0</v>
      </c>
      <c r="M20" s="60">
        <v>103.0</v>
      </c>
      <c r="N20" s="60">
        <v>98.0</v>
      </c>
      <c r="O20" s="60">
        <v>121.0</v>
      </c>
      <c r="P20" s="60">
        <v>111.0</v>
      </c>
      <c r="Q20" s="60">
        <v>121.0</v>
      </c>
      <c r="R20" s="60">
        <v>124.0</v>
      </c>
      <c r="S20" s="60">
        <v>124.0</v>
      </c>
      <c r="T20" s="13">
        <f t="shared" si="3"/>
        <v>1692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207</v>
      </c>
      <c r="F21" s="13">
        <f t="shared" si="4"/>
        <v>201</v>
      </c>
      <c r="G21" s="13">
        <f t="shared" si="4"/>
        <v>202</v>
      </c>
      <c r="H21" s="13">
        <f t="shared" si="4"/>
        <v>188</v>
      </c>
      <c r="I21" s="13">
        <f t="shared" si="4"/>
        <v>197</v>
      </c>
      <c r="J21" s="13">
        <f t="shared" si="4"/>
        <v>197</v>
      </c>
      <c r="K21" s="13">
        <f t="shared" si="4"/>
        <v>225</v>
      </c>
      <c r="L21" s="13">
        <f t="shared" si="4"/>
        <v>198</v>
      </c>
      <c r="M21" s="13">
        <f t="shared" si="4"/>
        <v>181</v>
      </c>
      <c r="N21" s="13">
        <f t="shared" si="4"/>
        <v>183</v>
      </c>
      <c r="O21" s="13">
        <f t="shared" si="4"/>
        <v>235</v>
      </c>
      <c r="P21" s="13">
        <f t="shared" si="4"/>
        <v>219</v>
      </c>
      <c r="Q21" s="13">
        <f t="shared" si="4"/>
        <v>228</v>
      </c>
      <c r="R21" s="13">
        <f t="shared" si="4"/>
        <v>229</v>
      </c>
      <c r="S21" s="13">
        <f t="shared" si="4"/>
        <v>250</v>
      </c>
      <c r="T21" s="13">
        <f t="shared" si="3"/>
        <v>3140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1.0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0.0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60">
        <v>0.0</v>
      </c>
      <c r="N25" s="60">
        <v>0.0</v>
      </c>
      <c r="O25" s="60">
        <v>0.0</v>
      </c>
      <c r="P25" s="60">
        <v>0.0</v>
      </c>
      <c r="Q25" s="60">
        <v>0.0</v>
      </c>
      <c r="R25" s="60">
        <v>0.0</v>
      </c>
      <c r="S25" s="60">
        <v>0.0</v>
      </c>
      <c r="T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60">
        <v>1.0</v>
      </c>
      <c r="F26" s="60">
        <v>0.0</v>
      </c>
      <c r="G26" s="60">
        <v>0.0</v>
      </c>
      <c r="H26" s="60">
        <v>0.0</v>
      </c>
      <c r="I26" s="60">
        <v>0.0</v>
      </c>
      <c r="J26" s="60">
        <v>0.0</v>
      </c>
      <c r="K26" s="60">
        <v>0.0</v>
      </c>
      <c r="L26" s="60">
        <v>0.0</v>
      </c>
      <c r="M26" s="60">
        <v>0.0</v>
      </c>
      <c r="N26" s="60">
        <v>0.0</v>
      </c>
      <c r="O26" s="60">
        <v>0.0</v>
      </c>
      <c r="P26" s="60">
        <v>0.0</v>
      </c>
      <c r="Q26" s="60">
        <v>0.0</v>
      </c>
      <c r="R26" s="60">
        <v>0.0</v>
      </c>
      <c r="S26" s="60">
        <v>0.0</v>
      </c>
      <c r="T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1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86</v>
      </c>
      <c r="F28" s="13">
        <f t="shared" si="7"/>
        <v>91</v>
      </c>
      <c r="G28" s="13">
        <f t="shared" si="7"/>
        <v>87</v>
      </c>
      <c r="H28" s="13">
        <f t="shared" si="7"/>
        <v>86</v>
      </c>
      <c r="I28" s="13">
        <f t="shared" si="7"/>
        <v>89</v>
      </c>
      <c r="J28" s="13">
        <f t="shared" si="7"/>
        <v>93</v>
      </c>
      <c r="K28" s="13">
        <f t="shared" si="7"/>
        <v>108</v>
      </c>
      <c r="L28" s="13">
        <f t="shared" si="7"/>
        <v>86</v>
      </c>
      <c r="M28" s="13">
        <f t="shared" si="7"/>
        <v>78</v>
      </c>
      <c r="N28" s="13">
        <f t="shared" si="7"/>
        <v>85</v>
      </c>
      <c r="O28" s="13">
        <f t="shared" si="7"/>
        <v>114</v>
      </c>
      <c r="P28" s="13">
        <f t="shared" si="7"/>
        <v>108</v>
      </c>
      <c r="Q28" s="13">
        <f t="shared" si="7"/>
        <v>107</v>
      </c>
      <c r="R28" s="13">
        <f t="shared" si="7"/>
        <v>105</v>
      </c>
      <c r="S28" s="13">
        <f t="shared" si="7"/>
        <v>126</v>
      </c>
      <c r="T28" s="13">
        <f t="shared" si="3"/>
        <v>1449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122</v>
      </c>
      <c r="F29" s="13">
        <f t="shared" si="8"/>
        <v>110</v>
      </c>
      <c r="G29" s="13">
        <f t="shared" si="8"/>
        <v>115</v>
      </c>
      <c r="H29" s="13">
        <f t="shared" si="8"/>
        <v>103</v>
      </c>
      <c r="I29" s="13">
        <f t="shared" si="8"/>
        <v>108</v>
      </c>
      <c r="J29" s="13">
        <f t="shared" si="8"/>
        <v>104</v>
      </c>
      <c r="K29" s="13">
        <f t="shared" si="8"/>
        <v>117</v>
      </c>
      <c r="L29" s="13">
        <f t="shared" si="8"/>
        <v>112</v>
      </c>
      <c r="M29" s="13">
        <f t="shared" si="8"/>
        <v>103</v>
      </c>
      <c r="N29" s="13">
        <f t="shared" si="8"/>
        <v>98</v>
      </c>
      <c r="O29" s="13">
        <f t="shared" si="8"/>
        <v>121</v>
      </c>
      <c r="P29" s="13">
        <f t="shared" si="8"/>
        <v>111</v>
      </c>
      <c r="Q29" s="13">
        <f t="shared" si="8"/>
        <v>121</v>
      </c>
      <c r="R29" s="13">
        <f t="shared" si="8"/>
        <v>124</v>
      </c>
      <c r="S29" s="13">
        <f t="shared" si="8"/>
        <v>124</v>
      </c>
      <c r="T29" s="13">
        <f t="shared" si="3"/>
        <v>1693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208</v>
      </c>
      <c r="F30" s="13">
        <f t="shared" si="9"/>
        <v>201</v>
      </c>
      <c r="G30" s="13">
        <f t="shared" si="9"/>
        <v>202</v>
      </c>
      <c r="H30" s="13">
        <f t="shared" si="9"/>
        <v>189</v>
      </c>
      <c r="I30" s="13">
        <f t="shared" si="9"/>
        <v>197</v>
      </c>
      <c r="J30" s="13">
        <f t="shared" si="9"/>
        <v>197</v>
      </c>
      <c r="K30" s="13">
        <f t="shared" si="9"/>
        <v>225</v>
      </c>
      <c r="L30" s="13">
        <f t="shared" si="9"/>
        <v>198</v>
      </c>
      <c r="M30" s="13">
        <f t="shared" si="9"/>
        <v>181</v>
      </c>
      <c r="N30" s="13">
        <f t="shared" si="9"/>
        <v>183</v>
      </c>
      <c r="O30" s="13">
        <f t="shared" si="9"/>
        <v>235</v>
      </c>
      <c r="P30" s="13">
        <f t="shared" si="9"/>
        <v>219</v>
      </c>
      <c r="Q30" s="13">
        <f t="shared" si="9"/>
        <v>228</v>
      </c>
      <c r="R30" s="13">
        <f t="shared" si="9"/>
        <v>229</v>
      </c>
      <c r="S30" s="13">
        <f t="shared" si="9"/>
        <v>250</v>
      </c>
      <c r="T30" s="13">
        <f t="shared" si="3"/>
        <v>3142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73"/>
    </row>
    <row r="32" ht="12.75" customHeight="1">
      <c r="A32" s="44" t="s">
        <v>25</v>
      </c>
      <c r="B32" s="14" t="s">
        <v>26</v>
      </c>
      <c r="C32" s="15"/>
      <c r="D32" s="16"/>
      <c r="E32" s="13" t="s">
        <v>172</v>
      </c>
      <c r="F32" s="13" t="s">
        <v>173</v>
      </c>
      <c r="G32" s="13" t="s">
        <v>174</v>
      </c>
      <c r="H32" s="13" t="s">
        <v>175</v>
      </c>
      <c r="I32" s="13" t="s">
        <v>176</v>
      </c>
      <c r="J32" s="13" t="s">
        <v>177</v>
      </c>
      <c r="K32" s="13" t="s">
        <v>179</v>
      </c>
      <c r="L32" s="13" t="s">
        <v>180</v>
      </c>
      <c r="M32" s="13" t="s">
        <v>181</v>
      </c>
      <c r="N32" s="13" t="s">
        <v>183</v>
      </c>
      <c r="O32" s="13" t="s">
        <v>184</v>
      </c>
      <c r="P32" s="13" t="s">
        <v>185</v>
      </c>
      <c r="Q32" s="13" t="s">
        <v>186</v>
      </c>
      <c r="R32" s="13" t="s">
        <v>188</v>
      </c>
      <c r="S32" s="13" t="s">
        <v>189</v>
      </c>
      <c r="T32" s="73"/>
    </row>
    <row r="33" ht="12.75" customHeight="1">
      <c r="A33" s="19">
        <v>1.0</v>
      </c>
      <c r="B33" s="20" t="s">
        <v>27</v>
      </c>
      <c r="C33" s="15"/>
      <c r="D33" s="16"/>
      <c r="E33" s="60">
        <v>272.0</v>
      </c>
      <c r="F33" s="60">
        <v>269.0</v>
      </c>
      <c r="G33" s="60">
        <v>275.0</v>
      </c>
      <c r="H33" s="60">
        <v>245.0</v>
      </c>
      <c r="I33" s="60">
        <v>266.0</v>
      </c>
      <c r="J33" s="60">
        <v>265.0</v>
      </c>
      <c r="K33" s="60">
        <v>287.0</v>
      </c>
      <c r="L33" s="60">
        <v>261.0</v>
      </c>
      <c r="M33" s="60">
        <v>228.0</v>
      </c>
      <c r="N33" s="60">
        <v>236.0</v>
      </c>
      <c r="O33" s="60">
        <v>290.0</v>
      </c>
      <c r="P33" s="60">
        <v>295.0</v>
      </c>
      <c r="Q33" s="60">
        <v>294.0</v>
      </c>
      <c r="R33" s="60">
        <v>279.0</v>
      </c>
      <c r="S33" s="60">
        <v>295.0</v>
      </c>
      <c r="T33" s="13">
        <f t="shared" ref="T33:T36" si="10">SUM(E33:S33)</f>
        <v>4057</v>
      </c>
    </row>
    <row r="34" ht="12.75" customHeight="1">
      <c r="A34" s="19">
        <v>2.0</v>
      </c>
      <c r="B34" s="20" t="s">
        <v>28</v>
      </c>
      <c r="C34" s="15"/>
      <c r="D34" s="16"/>
      <c r="E34" s="75">
        <v>208.0</v>
      </c>
      <c r="F34" s="75">
        <v>201.0</v>
      </c>
      <c r="G34" s="75">
        <v>202.0</v>
      </c>
      <c r="H34" s="75">
        <v>189.0</v>
      </c>
      <c r="I34" s="75">
        <v>197.0</v>
      </c>
      <c r="J34" s="75">
        <v>197.0</v>
      </c>
      <c r="K34" s="75">
        <v>225.0</v>
      </c>
      <c r="L34" s="75">
        <v>198.0</v>
      </c>
      <c r="M34" s="75">
        <v>181.0</v>
      </c>
      <c r="N34" s="75">
        <v>183.0</v>
      </c>
      <c r="O34" s="75">
        <v>235.0</v>
      </c>
      <c r="P34" s="75">
        <v>219.0</v>
      </c>
      <c r="Q34" s="75">
        <v>228.0</v>
      </c>
      <c r="R34" s="75">
        <v>229.0</v>
      </c>
      <c r="S34" s="75">
        <v>250.0</v>
      </c>
      <c r="T34" s="13">
        <f t="shared" si="10"/>
        <v>3142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0.0</v>
      </c>
      <c r="G35" s="60">
        <v>0.0</v>
      </c>
      <c r="H35" s="60">
        <v>0.0</v>
      </c>
      <c r="I35" s="60">
        <v>0.0</v>
      </c>
      <c r="J35" s="60">
        <v>0.0</v>
      </c>
      <c r="K35" s="60">
        <v>3.0</v>
      </c>
      <c r="L35" s="60">
        <v>16.0</v>
      </c>
      <c r="M35" s="60">
        <v>0.0</v>
      </c>
      <c r="N35" s="60">
        <v>0.0</v>
      </c>
      <c r="O35" s="60">
        <v>0.0</v>
      </c>
      <c r="P35" s="60">
        <v>0.0</v>
      </c>
      <c r="Q35" s="60">
        <v>0.0</v>
      </c>
      <c r="R35" s="60">
        <v>0.0</v>
      </c>
      <c r="S35" s="60">
        <v>0.0</v>
      </c>
      <c r="T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64</v>
      </c>
      <c r="F36" s="13">
        <f t="shared" si="11"/>
        <v>68</v>
      </c>
      <c r="G36" s="13">
        <f t="shared" si="11"/>
        <v>73</v>
      </c>
      <c r="H36" s="13">
        <f t="shared" si="11"/>
        <v>56</v>
      </c>
      <c r="I36" s="13">
        <f t="shared" si="11"/>
        <v>69</v>
      </c>
      <c r="J36" s="13">
        <f t="shared" si="11"/>
        <v>68</v>
      </c>
      <c r="K36" s="13">
        <f t="shared" si="11"/>
        <v>59</v>
      </c>
      <c r="L36" s="13">
        <f t="shared" si="11"/>
        <v>47</v>
      </c>
      <c r="M36" s="13">
        <f t="shared" si="11"/>
        <v>47</v>
      </c>
      <c r="N36" s="13">
        <f t="shared" si="11"/>
        <v>53</v>
      </c>
      <c r="O36" s="13">
        <f t="shared" si="11"/>
        <v>55</v>
      </c>
      <c r="P36" s="13">
        <f t="shared" si="11"/>
        <v>76</v>
      </c>
      <c r="Q36" s="13">
        <f t="shared" si="11"/>
        <v>66</v>
      </c>
      <c r="R36" s="13">
        <f t="shared" si="11"/>
        <v>50</v>
      </c>
      <c r="S36" s="13">
        <f t="shared" si="11"/>
        <v>45</v>
      </c>
      <c r="T36" s="13">
        <f t="shared" si="10"/>
        <v>896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73"/>
    </row>
    <row r="38" ht="12.75" customHeight="1">
      <c r="A38" s="45" t="s">
        <v>31</v>
      </c>
      <c r="B38" s="14" t="s">
        <v>32</v>
      </c>
      <c r="C38" s="15"/>
      <c r="D38" s="16"/>
      <c r="E38" s="13" t="s">
        <v>172</v>
      </c>
      <c r="F38" s="13" t="s">
        <v>173</v>
      </c>
      <c r="G38" s="13" t="s">
        <v>174</v>
      </c>
      <c r="H38" s="13" t="s">
        <v>175</v>
      </c>
      <c r="I38" s="13" t="s">
        <v>176</v>
      </c>
      <c r="J38" s="13" t="s">
        <v>177</v>
      </c>
      <c r="K38" s="13" t="s">
        <v>179</v>
      </c>
      <c r="L38" s="13" t="s">
        <v>180</v>
      </c>
      <c r="M38" s="13" t="s">
        <v>181</v>
      </c>
      <c r="N38" s="13" t="s">
        <v>183</v>
      </c>
      <c r="O38" s="13" t="s">
        <v>184</v>
      </c>
      <c r="P38" s="13" t="s">
        <v>185</v>
      </c>
      <c r="Q38" s="13" t="s">
        <v>186</v>
      </c>
      <c r="R38" s="13" t="s">
        <v>188</v>
      </c>
      <c r="S38" s="13" t="s">
        <v>189</v>
      </c>
      <c r="T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0.0</v>
      </c>
      <c r="Q39" s="60">
        <v>0.0</v>
      </c>
      <c r="R39" s="60">
        <v>0.0</v>
      </c>
      <c r="S39" s="60">
        <v>0.0</v>
      </c>
      <c r="T39" s="13">
        <f t="shared" ref="T39:T41" si="12">SUM(E39:S39)</f>
        <v>0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60">
        <v>0.0</v>
      </c>
      <c r="Q40" s="60">
        <v>0.0</v>
      </c>
      <c r="R40" s="60">
        <v>0.0</v>
      </c>
      <c r="S40" s="60">
        <v>0.0</v>
      </c>
      <c r="T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172</v>
      </c>
      <c r="F43" s="13" t="s">
        <v>173</v>
      </c>
      <c r="G43" s="13" t="s">
        <v>174</v>
      </c>
      <c r="H43" s="13" t="s">
        <v>175</v>
      </c>
      <c r="I43" s="13" t="s">
        <v>176</v>
      </c>
      <c r="J43" s="13" t="s">
        <v>177</v>
      </c>
      <c r="K43" s="13" t="s">
        <v>179</v>
      </c>
      <c r="L43" s="13" t="s">
        <v>180</v>
      </c>
      <c r="M43" s="13" t="s">
        <v>181</v>
      </c>
      <c r="N43" s="13" t="s">
        <v>183</v>
      </c>
      <c r="O43" s="13" t="s">
        <v>184</v>
      </c>
      <c r="P43" s="13" t="s">
        <v>185</v>
      </c>
      <c r="Q43" s="13" t="s">
        <v>186</v>
      </c>
      <c r="R43" s="13" t="s">
        <v>188</v>
      </c>
      <c r="S43" s="13" t="s">
        <v>189</v>
      </c>
      <c r="T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4.0</v>
      </c>
      <c r="F45" s="60">
        <v>16.0</v>
      </c>
      <c r="G45" s="60">
        <v>19.0</v>
      </c>
      <c r="H45" s="60">
        <v>1.0</v>
      </c>
      <c r="I45" s="60">
        <v>15.0</v>
      </c>
      <c r="J45" s="60">
        <v>5.0</v>
      </c>
      <c r="K45" s="60">
        <v>11.0</v>
      </c>
      <c r="L45" s="60">
        <v>4.0</v>
      </c>
      <c r="M45" s="60">
        <v>6.0</v>
      </c>
      <c r="N45" s="60">
        <v>4.0</v>
      </c>
      <c r="O45" s="60">
        <v>4.0</v>
      </c>
      <c r="P45" s="60">
        <v>2.0</v>
      </c>
      <c r="Q45" s="60">
        <v>5.0</v>
      </c>
      <c r="R45" s="60">
        <v>6.0</v>
      </c>
      <c r="S45" s="60">
        <v>6.0</v>
      </c>
      <c r="T45" s="13">
        <f t="shared" ref="T45:T193" si="14">SUM(E45:S45)</f>
        <v>108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13.0</v>
      </c>
      <c r="F46" s="60">
        <v>31.0</v>
      </c>
      <c r="G46" s="60">
        <v>40.0</v>
      </c>
      <c r="H46" s="60">
        <v>25.0</v>
      </c>
      <c r="I46" s="60">
        <v>44.0</v>
      </c>
      <c r="J46" s="60">
        <v>41.0</v>
      </c>
      <c r="K46" s="60">
        <v>17.0</v>
      </c>
      <c r="L46" s="60">
        <v>19.0</v>
      </c>
      <c r="M46" s="60">
        <v>11.0</v>
      </c>
      <c r="N46" s="60">
        <v>16.0</v>
      </c>
      <c r="O46" s="60">
        <v>7.0</v>
      </c>
      <c r="P46" s="60">
        <v>15.0</v>
      </c>
      <c r="Q46" s="60">
        <v>8.0</v>
      </c>
      <c r="R46" s="60">
        <v>5.0</v>
      </c>
      <c r="S46" s="60">
        <v>5.0</v>
      </c>
      <c r="T46" s="13">
        <f t="shared" si="14"/>
        <v>297</v>
      </c>
    </row>
    <row r="47" ht="12.75" customHeight="1">
      <c r="A47" s="18"/>
      <c r="B47" s="57"/>
      <c r="C47" s="58" t="s">
        <v>41</v>
      </c>
      <c r="D47" s="59"/>
      <c r="E47" s="60">
        <v>1.0</v>
      </c>
      <c r="F47" s="60">
        <v>2.0</v>
      </c>
      <c r="G47" s="60">
        <v>4.0</v>
      </c>
      <c r="H47" s="60">
        <v>5.0</v>
      </c>
      <c r="I47" s="60">
        <v>2.0</v>
      </c>
      <c r="J47" s="60">
        <v>2.0</v>
      </c>
      <c r="K47" s="60">
        <v>1.0</v>
      </c>
      <c r="L47" s="60">
        <v>3.0</v>
      </c>
      <c r="M47" s="60">
        <v>0.0</v>
      </c>
      <c r="N47" s="60">
        <v>0.0</v>
      </c>
      <c r="O47" s="60">
        <v>1.0</v>
      </c>
      <c r="P47" s="60">
        <v>6.0</v>
      </c>
      <c r="Q47" s="60">
        <v>2.0</v>
      </c>
      <c r="R47" s="60">
        <v>2.0</v>
      </c>
      <c r="S47" s="60">
        <v>1.0</v>
      </c>
      <c r="T47" s="13">
        <f t="shared" si="14"/>
        <v>32</v>
      </c>
    </row>
    <row r="48" ht="12.75" customHeight="1">
      <c r="A48" s="18"/>
      <c r="B48" s="57"/>
      <c r="C48" s="58" t="s">
        <v>42</v>
      </c>
      <c r="D48" s="59"/>
      <c r="E48" s="60">
        <v>1.0</v>
      </c>
      <c r="F48" s="60">
        <v>1.0</v>
      </c>
      <c r="G48" s="60">
        <v>0.0</v>
      </c>
      <c r="H48" s="60">
        <v>0.0</v>
      </c>
      <c r="I48" s="60">
        <v>0.0</v>
      </c>
      <c r="J48" s="60">
        <v>0.0</v>
      </c>
      <c r="K48" s="60">
        <v>0.0</v>
      </c>
      <c r="L48" s="60">
        <v>1.0</v>
      </c>
      <c r="M48" s="60">
        <v>0.0</v>
      </c>
      <c r="N48" s="60">
        <v>0.0</v>
      </c>
      <c r="O48" s="60">
        <v>0.0</v>
      </c>
      <c r="P48" s="60">
        <v>0.0</v>
      </c>
      <c r="Q48" s="60">
        <v>0.0</v>
      </c>
      <c r="R48" s="60">
        <v>0.0</v>
      </c>
      <c r="S48" s="60">
        <v>0.0</v>
      </c>
      <c r="T48" s="13">
        <f t="shared" si="14"/>
        <v>3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60">
        <v>0.0</v>
      </c>
      <c r="N49" s="60">
        <v>0.0</v>
      </c>
      <c r="O49" s="60">
        <v>0.0</v>
      </c>
      <c r="P49" s="60">
        <v>0.0</v>
      </c>
      <c r="Q49" s="60">
        <v>0.0</v>
      </c>
      <c r="R49" s="60">
        <v>0.0</v>
      </c>
      <c r="S49" s="60">
        <v>0.0</v>
      </c>
      <c r="T49" s="13">
        <f t="shared" si="14"/>
        <v>0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3.0</v>
      </c>
      <c r="G50" s="60">
        <v>0.0</v>
      </c>
      <c r="H50" s="60">
        <v>0.0</v>
      </c>
      <c r="I50" s="60">
        <v>3.0</v>
      </c>
      <c r="J50" s="60">
        <v>0.0</v>
      </c>
      <c r="K50" s="60">
        <v>0.0</v>
      </c>
      <c r="L50" s="60">
        <v>0.0</v>
      </c>
      <c r="M50" s="60">
        <v>0.0</v>
      </c>
      <c r="N50" s="60">
        <v>0.0</v>
      </c>
      <c r="O50" s="60">
        <v>0.0</v>
      </c>
      <c r="P50" s="60">
        <v>0.0</v>
      </c>
      <c r="Q50" s="60">
        <v>0.0</v>
      </c>
      <c r="R50" s="60">
        <v>0.0</v>
      </c>
      <c r="S50" s="60">
        <v>2.0</v>
      </c>
      <c r="T50" s="13">
        <f t="shared" si="14"/>
        <v>8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1.0</v>
      </c>
      <c r="K51" s="60">
        <v>0.0</v>
      </c>
      <c r="L51" s="60">
        <v>0.0</v>
      </c>
      <c r="M51" s="60">
        <v>1.0</v>
      </c>
      <c r="N51" s="60">
        <v>0.0</v>
      </c>
      <c r="O51" s="60">
        <v>0.0</v>
      </c>
      <c r="P51" s="60">
        <v>0.0</v>
      </c>
      <c r="Q51" s="60">
        <v>0.0</v>
      </c>
      <c r="R51" s="60">
        <v>0.0</v>
      </c>
      <c r="S51" s="60">
        <v>0.0</v>
      </c>
      <c r="T51" s="13">
        <f t="shared" si="14"/>
        <v>2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S52" si="15">SUM(E45:E51)</f>
        <v>19</v>
      </c>
      <c r="F52" s="64">
        <f t="shared" si="15"/>
        <v>53</v>
      </c>
      <c r="G52" s="64">
        <f t="shared" si="15"/>
        <v>63</v>
      </c>
      <c r="H52" s="64">
        <f t="shared" si="15"/>
        <v>31</v>
      </c>
      <c r="I52" s="64">
        <f t="shared" si="15"/>
        <v>64</v>
      </c>
      <c r="J52" s="64">
        <f t="shared" si="15"/>
        <v>49</v>
      </c>
      <c r="K52" s="64">
        <f t="shared" si="15"/>
        <v>29</v>
      </c>
      <c r="L52" s="64">
        <f t="shared" si="15"/>
        <v>27</v>
      </c>
      <c r="M52" s="64">
        <f t="shared" si="15"/>
        <v>18</v>
      </c>
      <c r="N52" s="64">
        <f t="shared" si="15"/>
        <v>20</v>
      </c>
      <c r="O52" s="64">
        <f t="shared" si="15"/>
        <v>12</v>
      </c>
      <c r="P52" s="64">
        <f t="shared" si="15"/>
        <v>23</v>
      </c>
      <c r="Q52" s="64">
        <f t="shared" si="15"/>
        <v>15</v>
      </c>
      <c r="R52" s="64">
        <f t="shared" si="15"/>
        <v>13</v>
      </c>
      <c r="S52" s="64">
        <f t="shared" si="15"/>
        <v>14</v>
      </c>
      <c r="T52" s="13">
        <f t="shared" si="14"/>
        <v>450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8.0</v>
      </c>
      <c r="F54" s="60">
        <v>9.0</v>
      </c>
      <c r="G54" s="60">
        <v>8.0</v>
      </c>
      <c r="H54" s="60">
        <v>10.0</v>
      </c>
      <c r="I54" s="60">
        <v>3.0</v>
      </c>
      <c r="J54" s="60">
        <v>11.0</v>
      </c>
      <c r="K54" s="60">
        <v>11.0</v>
      </c>
      <c r="L54" s="60">
        <v>10.0</v>
      </c>
      <c r="M54" s="60">
        <v>5.0</v>
      </c>
      <c r="N54" s="60">
        <v>13.0</v>
      </c>
      <c r="O54" s="60">
        <v>5.0</v>
      </c>
      <c r="P54" s="60">
        <v>4.0</v>
      </c>
      <c r="Q54" s="60">
        <v>5.0</v>
      </c>
      <c r="R54" s="60">
        <v>3.0</v>
      </c>
      <c r="S54" s="60">
        <v>10.0</v>
      </c>
      <c r="T54" s="13">
        <f t="shared" si="14"/>
        <v>115</v>
      </c>
    </row>
    <row r="55" ht="15.0" customHeight="1">
      <c r="A55" s="31" t="s">
        <v>39</v>
      </c>
      <c r="B55" s="57"/>
      <c r="C55" s="58" t="s">
        <v>48</v>
      </c>
      <c r="D55" s="59"/>
      <c r="E55" s="60">
        <v>2.0</v>
      </c>
      <c r="F55" s="60">
        <v>1.0</v>
      </c>
      <c r="G55" s="60">
        <v>3.0</v>
      </c>
      <c r="H55" s="60">
        <v>1.0</v>
      </c>
      <c r="I55" s="60">
        <v>4.0</v>
      </c>
      <c r="J55" s="60">
        <v>4.0</v>
      </c>
      <c r="K55" s="60">
        <v>0.0</v>
      </c>
      <c r="L55" s="60">
        <v>4.0</v>
      </c>
      <c r="M55" s="60">
        <v>2.0</v>
      </c>
      <c r="N55" s="60">
        <v>2.0</v>
      </c>
      <c r="O55" s="60">
        <v>2.0</v>
      </c>
      <c r="P55" s="60">
        <v>4.0</v>
      </c>
      <c r="Q55" s="60">
        <v>1.0</v>
      </c>
      <c r="R55" s="60">
        <v>0.0</v>
      </c>
      <c r="S55" s="60">
        <v>5.0</v>
      </c>
      <c r="T55" s="13">
        <f t="shared" si="14"/>
        <v>35</v>
      </c>
    </row>
    <row r="56" ht="12.75" customHeight="1">
      <c r="A56" s="18"/>
      <c r="B56" s="57"/>
      <c r="C56" s="58" t="s">
        <v>49</v>
      </c>
      <c r="D56" s="59"/>
      <c r="E56" s="60">
        <v>1.0</v>
      </c>
      <c r="F56" s="60">
        <v>1.0</v>
      </c>
      <c r="G56" s="60">
        <v>3.0</v>
      </c>
      <c r="H56" s="60">
        <v>6.0</v>
      </c>
      <c r="I56" s="60">
        <v>2.0</v>
      </c>
      <c r="J56" s="60">
        <v>2.0</v>
      </c>
      <c r="K56" s="60">
        <v>6.0</v>
      </c>
      <c r="L56" s="60">
        <v>5.0</v>
      </c>
      <c r="M56" s="60">
        <v>2.0</v>
      </c>
      <c r="N56" s="60">
        <v>2.0</v>
      </c>
      <c r="O56" s="60">
        <v>0.0</v>
      </c>
      <c r="P56" s="60">
        <v>1.0</v>
      </c>
      <c r="Q56" s="60">
        <v>6.0</v>
      </c>
      <c r="R56" s="60">
        <v>2.0</v>
      </c>
      <c r="S56" s="60">
        <v>2.0</v>
      </c>
      <c r="T56" s="13">
        <f t="shared" si="14"/>
        <v>41</v>
      </c>
    </row>
    <row r="57" ht="12.75" customHeight="1">
      <c r="A57" s="18"/>
      <c r="B57" s="57"/>
      <c r="C57" s="58" t="s">
        <v>50</v>
      </c>
      <c r="D57" s="59"/>
      <c r="E57" s="60">
        <v>1.0</v>
      </c>
      <c r="F57" s="60">
        <v>1.0</v>
      </c>
      <c r="G57" s="60">
        <v>2.0</v>
      </c>
      <c r="H57" s="60">
        <v>0.0</v>
      </c>
      <c r="I57" s="60">
        <v>1.0</v>
      </c>
      <c r="J57" s="60">
        <v>2.0</v>
      </c>
      <c r="K57" s="60">
        <v>0.0</v>
      </c>
      <c r="L57" s="60">
        <v>0.0</v>
      </c>
      <c r="M57" s="60">
        <v>2.0</v>
      </c>
      <c r="N57" s="60">
        <v>0.0</v>
      </c>
      <c r="O57" s="60">
        <v>1.0</v>
      </c>
      <c r="P57" s="60">
        <v>0.0</v>
      </c>
      <c r="Q57" s="60">
        <v>0.0</v>
      </c>
      <c r="R57" s="60">
        <v>0.0</v>
      </c>
      <c r="S57" s="60">
        <v>1.0</v>
      </c>
      <c r="T57" s="13">
        <f t="shared" si="14"/>
        <v>11</v>
      </c>
    </row>
    <row r="58" ht="12.75" customHeight="1">
      <c r="A58" s="18"/>
      <c r="B58" s="57"/>
      <c r="C58" s="58" t="s">
        <v>51</v>
      </c>
      <c r="D58" s="59"/>
      <c r="E58" s="60">
        <v>1.0</v>
      </c>
      <c r="F58" s="60">
        <v>0.0</v>
      </c>
      <c r="G58" s="60">
        <v>0.0</v>
      </c>
      <c r="H58" s="60">
        <v>0.0</v>
      </c>
      <c r="I58" s="60">
        <v>1.0</v>
      </c>
      <c r="J58" s="60">
        <v>1.0</v>
      </c>
      <c r="K58" s="60">
        <v>1.0</v>
      </c>
      <c r="L58" s="60">
        <v>0.0</v>
      </c>
      <c r="M58" s="60">
        <v>0.0</v>
      </c>
      <c r="N58" s="60">
        <v>0.0</v>
      </c>
      <c r="O58" s="60">
        <v>0.0</v>
      </c>
      <c r="P58" s="60">
        <v>0.0</v>
      </c>
      <c r="Q58" s="60">
        <v>0.0</v>
      </c>
      <c r="R58" s="60">
        <v>0.0</v>
      </c>
      <c r="S58" s="60">
        <v>0.0</v>
      </c>
      <c r="T58" s="13">
        <f t="shared" si="14"/>
        <v>4</v>
      </c>
    </row>
    <row r="59" ht="12.75" customHeight="1">
      <c r="A59" s="18"/>
      <c r="B59" s="57"/>
      <c r="C59" s="58" t="s">
        <v>52</v>
      </c>
      <c r="D59" s="59"/>
      <c r="E59" s="60">
        <v>2.0</v>
      </c>
      <c r="F59" s="60">
        <v>0.0</v>
      </c>
      <c r="G59" s="60">
        <v>0.0</v>
      </c>
      <c r="H59" s="60">
        <v>1.0</v>
      </c>
      <c r="I59" s="60">
        <v>1.0</v>
      </c>
      <c r="J59" s="60">
        <v>2.0</v>
      </c>
      <c r="K59" s="60">
        <v>0.0</v>
      </c>
      <c r="L59" s="60">
        <v>2.0</v>
      </c>
      <c r="M59" s="60">
        <v>1.0</v>
      </c>
      <c r="N59" s="60">
        <v>0.0</v>
      </c>
      <c r="O59" s="60">
        <v>1.0</v>
      </c>
      <c r="P59" s="60">
        <v>0.0</v>
      </c>
      <c r="Q59" s="60">
        <v>0.0</v>
      </c>
      <c r="R59" s="60">
        <v>0.0</v>
      </c>
      <c r="S59" s="60">
        <v>0.0</v>
      </c>
      <c r="T59" s="13">
        <f t="shared" si="14"/>
        <v>10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1.0</v>
      </c>
      <c r="L60" s="60">
        <v>0.0</v>
      </c>
      <c r="M60" s="60">
        <v>0.0</v>
      </c>
      <c r="N60" s="60">
        <v>0.0</v>
      </c>
      <c r="O60" s="60">
        <v>0.0</v>
      </c>
      <c r="P60" s="60">
        <v>0.0</v>
      </c>
      <c r="Q60" s="60">
        <v>0.0</v>
      </c>
      <c r="R60" s="60">
        <v>0.0</v>
      </c>
      <c r="S60" s="60">
        <v>0.0</v>
      </c>
      <c r="T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S61" si="16">SUM(E54:E60)</f>
        <v>15</v>
      </c>
      <c r="F61" s="64">
        <f t="shared" si="16"/>
        <v>12</v>
      </c>
      <c r="G61" s="64">
        <f t="shared" si="16"/>
        <v>16</v>
      </c>
      <c r="H61" s="64">
        <f t="shared" si="16"/>
        <v>18</v>
      </c>
      <c r="I61" s="64">
        <f t="shared" si="16"/>
        <v>12</v>
      </c>
      <c r="J61" s="64">
        <f t="shared" si="16"/>
        <v>22</v>
      </c>
      <c r="K61" s="64">
        <f t="shared" si="16"/>
        <v>19</v>
      </c>
      <c r="L61" s="64">
        <f t="shared" si="16"/>
        <v>21</v>
      </c>
      <c r="M61" s="64">
        <f t="shared" si="16"/>
        <v>12</v>
      </c>
      <c r="N61" s="64">
        <f t="shared" si="16"/>
        <v>17</v>
      </c>
      <c r="O61" s="64">
        <f t="shared" si="16"/>
        <v>9</v>
      </c>
      <c r="P61" s="64">
        <f t="shared" si="16"/>
        <v>9</v>
      </c>
      <c r="Q61" s="64">
        <f t="shared" si="16"/>
        <v>12</v>
      </c>
      <c r="R61" s="64">
        <f t="shared" si="16"/>
        <v>5</v>
      </c>
      <c r="S61" s="64">
        <f t="shared" si="16"/>
        <v>18</v>
      </c>
      <c r="T61" s="13">
        <f t="shared" si="14"/>
        <v>217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7.0</v>
      </c>
      <c r="F63" s="60">
        <v>4.0</v>
      </c>
      <c r="G63" s="60">
        <v>4.0</v>
      </c>
      <c r="H63" s="60">
        <v>4.0</v>
      </c>
      <c r="I63" s="60">
        <v>2.0</v>
      </c>
      <c r="J63" s="60">
        <v>1.0</v>
      </c>
      <c r="K63" s="60">
        <v>7.0</v>
      </c>
      <c r="L63" s="60">
        <v>4.0</v>
      </c>
      <c r="M63" s="60">
        <v>6.0</v>
      </c>
      <c r="N63" s="60">
        <v>8.0</v>
      </c>
      <c r="O63" s="60">
        <v>4.0</v>
      </c>
      <c r="P63" s="60">
        <v>3.0</v>
      </c>
      <c r="Q63" s="60">
        <v>9.0</v>
      </c>
      <c r="R63" s="60">
        <v>2.0</v>
      </c>
      <c r="S63" s="60">
        <v>9.0</v>
      </c>
      <c r="T63" s="13">
        <f t="shared" si="14"/>
        <v>74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1.0</v>
      </c>
      <c r="F64" s="60">
        <v>0.0</v>
      </c>
      <c r="G64" s="60">
        <v>1.0</v>
      </c>
      <c r="H64" s="60">
        <v>0.0</v>
      </c>
      <c r="I64" s="60">
        <v>0.0</v>
      </c>
      <c r="J64" s="60">
        <v>2.0</v>
      </c>
      <c r="K64" s="60">
        <v>2.0</v>
      </c>
      <c r="L64" s="60">
        <v>2.0</v>
      </c>
      <c r="M64" s="60">
        <v>0.0</v>
      </c>
      <c r="N64" s="60">
        <v>1.0</v>
      </c>
      <c r="O64" s="60">
        <v>0.0</v>
      </c>
      <c r="P64" s="60">
        <v>2.0</v>
      </c>
      <c r="Q64" s="60">
        <v>2.0</v>
      </c>
      <c r="R64" s="60">
        <v>0.0</v>
      </c>
      <c r="S64" s="60">
        <v>1.0</v>
      </c>
      <c r="T64" s="13">
        <f t="shared" si="14"/>
        <v>14</v>
      </c>
    </row>
    <row r="65" ht="12.75" customHeight="1">
      <c r="A65" s="18"/>
      <c r="B65" s="57"/>
      <c r="C65" s="58" t="s">
        <v>56</v>
      </c>
      <c r="D65" s="59"/>
      <c r="E65" s="60">
        <v>5.0</v>
      </c>
      <c r="F65" s="60">
        <v>9.0</v>
      </c>
      <c r="G65" s="60">
        <v>12.0</v>
      </c>
      <c r="H65" s="60">
        <v>22.0</v>
      </c>
      <c r="I65" s="60">
        <v>1.0</v>
      </c>
      <c r="J65" s="60">
        <v>16.0</v>
      </c>
      <c r="K65" s="60">
        <v>15.0</v>
      </c>
      <c r="L65" s="60">
        <v>3.0</v>
      </c>
      <c r="M65" s="60">
        <v>52.0</v>
      </c>
      <c r="N65" s="60">
        <v>3.0</v>
      </c>
      <c r="O65" s="60">
        <v>5.0</v>
      </c>
      <c r="P65" s="60">
        <v>43.0</v>
      </c>
      <c r="Q65" s="60">
        <v>52.0</v>
      </c>
      <c r="R65" s="60">
        <v>5.0</v>
      </c>
      <c r="S65" s="60">
        <v>38.0</v>
      </c>
      <c r="T65" s="13">
        <f t="shared" si="14"/>
        <v>281</v>
      </c>
    </row>
    <row r="66" ht="12.75" customHeight="1">
      <c r="A66" s="18"/>
      <c r="B66" s="57"/>
      <c r="C66" s="58" t="s">
        <v>57</v>
      </c>
      <c r="D66" s="59"/>
      <c r="E66" s="60">
        <v>8.0</v>
      </c>
      <c r="F66" s="60">
        <v>2.0</v>
      </c>
      <c r="G66" s="60">
        <v>6.0</v>
      </c>
      <c r="H66" s="60">
        <v>2.0</v>
      </c>
      <c r="I66" s="60">
        <v>3.0</v>
      </c>
      <c r="J66" s="60">
        <v>3.0</v>
      </c>
      <c r="K66" s="60">
        <v>10.0</v>
      </c>
      <c r="L66" s="60">
        <v>2.0</v>
      </c>
      <c r="M66" s="60">
        <v>7.0</v>
      </c>
      <c r="N66" s="60">
        <v>3.0</v>
      </c>
      <c r="O66" s="60">
        <v>7.0</v>
      </c>
      <c r="P66" s="60">
        <v>0.0</v>
      </c>
      <c r="Q66" s="60">
        <v>5.0</v>
      </c>
      <c r="R66" s="60">
        <v>1.0</v>
      </c>
      <c r="S66" s="60">
        <v>1.0</v>
      </c>
      <c r="T66" s="13">
        <f t="shared" si="14"/>
        <v>60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2.0</v>
      </c>
      <c r="H67" s="60">
        <v>0.0</v>
      </c>
      <c r="I67" s="60">
        <v>0.0</v>
      </c>
      <c r="J67" s="60">
        <v>0.0</v>
      </c>
      <c r="K67" s="60">
        <v>1.0</v>
      </c>
      <c r="L67" s="60">
        <v>0.0</v>
      </c>
      <c r="M67" s="60">
        <v>0.0</v>
      </c>
      <c r="N67" s="60">
        <v>0.0</v>
      </c>
      <c r="O67" s="60">
        <v>0.0</v>
      </c>
      <c r="P67" s="60">
        <v>0.0</v>
      </c>
      <c r="Q67" s="60">
        <v>0.0</v>
      </c>
      <c r="R67" s="60">
        <v>0.0</v>
      </c>
      <c r="S67" s="60">
        <v>0.0</v>
      </c>
      <c r="T67" s="13">
        <f t="shared" si="14"/>
        <v>3</v>
      </c>
    </row>
    <row r="68" ht="12.75" customHeight="1">
      <c r="A68" s="18"/>
      <c r="B68" s="57"/>
      <c r="C68" s="58" t="s">
        <v>59</v>
      </c>
      <c r="D68" s="59"/>
      <c r="E68" s="60">
        <v>26.0</v>
      </c>
      <c r="F68" s="60">
        <v>17.0</v>
      </c>
      <c r="G68" s="60">
        <v>4.0</v>
      </c>
      <c r="H68" s="60">
        <v>8.0</v>
      </c>
      <c r="I68" s="60">
        <v>11.0</v>
      </c>
      <c r="J68" s="60">
        <v>2.0</v>
      </c>
      <c r="K68" s="60">
        <v>6.0</v>
      </c>
      <c r="L68" s="60">
        <v>10.0</v>
      </c>
      <c r="M68" s="60">
        <v>1.0</v>
      </c>
      <c r="N68" s="60">
        <v>2.0</v>
      </c>
      <c r="O68" s="60">
        <v>3.0</v>
      </c>
      <c r="P68" s="60">
        <v>6.0</v>
      </c>
      <c r="Q68" s="60">
        <v>2.0</v>
      </c>
      <c r="R68" s="60">
        <v>6.0</v>
      </c>
      <c r="S68" s="60">
        <v>18.0</v>
      </c>
      <c r="T68" s="13">
        <f t="shared" si="14"/>
        <v>122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0.0</v>
      </c>
      <c r="G69" s="60">
        <v>1.0</v>
      </c>
      <c r="H69" s="60">
        <v>0.0</v>
      </c>
      <c r="I69" s="60">
        <v>0.0</v>
      </c>
      <c r="J69" s="60">
        <v>3.0</v>
      </c>
      <c r="K69" s="60">
        <v>2.0</v>
      </c>
      <c r="L69" s="60">
        <v>6.0</v>
      </c>
      <c r="M69" s="60">
        <v>1.0</v>
      </c>
      <c r="N69" s="60">
        <v>3.0</v>
      </c>
      <c r="O69" s="60">
        <v>0.0</v>
      </c>
      <c r="P69" s="60">
        <v>0.0</v>
      </c>
      <c r="Q69" s="60">
        <v>0.0</v>
      </c>
      <c r="R69" s="60">
        <v>0.0</v>
      </c>
      <c r="S69" s="60">
        <v>1.0</v>
      </c>
      <c r="T69" s="13">
        <f t="shared" si="14"/>
        <v>17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S70" si="17">SUM(E63:E69)</f>
        <v>47</v>
      </c>
      <c r="F70" s="64">
        <f t="shared" si="17"/>
        <v>32</v>
      </c>
      <c r="G70" s="64">
        <f t="shared" si="17"/>
        <v>30</v>
      </c>
      <c r="H70" s="64">
        <f t="shared" si="17"/>
        <v>36</v>
      </c>
      <c r="I70" s="64">
        <f t="shared" si="17"/>
        <v>17</v>
      </c>
      <c r="J70" s="64">
        <f t="shared" si="17"/>
        <v>27</v>
      </c>
      <c r="K70" s="64">
        <f t="shared" si="17"/>
        <v>43</v>
      </c>
      <c r="L70" s="64">
        <f t="shared" si="17"/>
        <v>27</v>
      </c>
      <c r="M70" s="64">
        <f t="shared" si="17"/>
        <v>67</v>
      </c>
      <c r="N70" s="64">
        <f t="shared" si="17"/>
        <v>20</v>
      </c>
      <c r="O70" s="64">
        <f t="shared" si="17"/>
        <v>19</v>
      </c>
      <c r="P70" s="64">
        <f t="shared" si="17"/>
        <v>54</v>
      </c>
      <c r="Q70" s="64">
        <f t="shared" si="17"/>
        <v>70</v>
      </c>
      <c r="R70" s="64">
        <f t="shared" si="17"/>
        <v>14</v>
      </c>
      <c r="S70" s="64">
        <f t="shared" si="17"/>
        <v>68</v>
      </c>
      <c r="T70" s="13">
        <f t="shared" si="14"/>
        <v>571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4.0</v>
      </c>
      <c r="F72" s="60">
        <v>9.0</v>
      </c>
      <c r="G72" s="60">
        <v>5.0</v>
      </c>
      <c r="H72" s="60">
        <v>2.0</v>
      </c>
      <c r="I72" s="60">
        <v>1.0</v>
      </c>
      <c r="J72" s="60">
        <v>6.0</v>
      </c>
      <c r="K72" s="60">
        <v>5.0</v>
      </c>
      <c r="L72" s="60">
        <v>3.0</v>
      </c>
      <c r="M72" s="60">
        <v>4.0</v>
      </c>
      <c r="N72" s="60">
        <v>1.0</v>
      </c>
      <c r="O72" s="60">
        <v>1.0</v>
      </c>
      <c r="P72" s="60">
        <v>2.0</v>
      </c>
      <c r="Q72" s="60">
        <v>5.0</v>
      </c>
      <c r="R72" s="60">
        <v>1.0</v>
      </c>
      <c r="S72" s="60">
        <v>1.0</v>
      </c>
      <c r="T72" s="13">
        <f t="shared" si="14"/>
        <v>50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1.0</v>
      </c>
      <c r="F73" s="60">
        <v>3.0</v>
      </c>
      <c r="G73" s="60">
        <v>1.0</v>
      </c>
      <c r="H73" s="60">
        <v>4.0</v>
      </c>
      <c r="I73" s="60">
        <v>3.0</v>
      </c>
      <c r="J73" s="60">
        <v>5.0</v>
      </c>
      <c r="K73" s="60">
        <v>7.0</v>
      </c>
      <c r="L73" s="60">
        <v>3.0</v>
      </c>
      <c r="M73" s="60">
        <v>2.0</v>
      </c>
      <c r="N73" s="60">
        <v>3.0</v>
      </c>
      <c r="O73" s="60">
        <v>7.0</v>
      </c>
      <c r="P73" s="60">
        <v>3.0</v>
      </c>
      <c r="Q73" s="60">
        <v>2.0</v>
      </c>
      <c r="R73" s="60">
        <v>9.0</v>
      </c>
      <c r="S73" s="60">
        <v>4.0</v>
      </c>
      <c r="T73" s="13">
        <f t="shared" si="14"/>
        <v>57</v>
      </c>
    </row>
    <row r="74" ht="12.75" customHeight="1">
      <c r="A74" s="18"/>
      <c r="B74" s="57"/>
      <c r="C74" s="58" t="s">
        <v>63</v>
      </c>
      <c r="D74" s="59"/>
      <c r="E74" s="60">
        <v>1.0</v>
      </c>
      <c r="F74" s="60">
        <v>1.0</v>
      </c>
      <c r="G74" s="60">
        <v>1.0</v>
      </c>
      <c r="H74" s="60">
        <v>0.0</v>
      </c>
      <c r="I74" s="60">
        <v>2.0</v>
      </c>
      <c r="J74" s="60">
        <v>1.0</v>
      </c>
      <c r="K74" s="60">
        <v>0.0</v>
      </c>
      <c r="L74" s="60">
        <v>1.0</v>
      </c>
      <c r="M74" s="60">
        <v>0.0</v>
      </c>
      <c r="N74" s="60">
        <v>0.0</v>
      </c>
      <c r="O74" s="60">
        <v>0.0</v>
      </c>
      <c r="P74" s="60">
        <v>0.0</v>
      </c>
      <c r="Q74" s="60">
        <v>1.0</v>
      </c>
      <c r="R74" s="60">
        <v>0.0</v>
      </c>
      <c r="S74" s="60">
        <v>1.0</v>
      </c>
      <c r="T74" s="13">
        <f t="shared" si="14"/>
        <v>9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0.0</v>
      </c>
      <c r="G75" s="60">
        <v>1.0</v>
      </c>
      <c r="H75" s="60">
        <v>1.0</v>
      </c>
      <c r="I75" s="60">
        <v>0.0</v>
      </c>
      <c r="J75" s="60">
        <v>1.0</v>
      </c>
      <c r="K75" s="60">
        <v>1.0</v>
      </c>
      <c r="L75" s="60">
        <v>1.0</v>
      </c>
      <c r="M75" s="60">
        <v>0.0</v>
      </c>
      <c r="N75" s="60">
        <v>2.0</v>
      </c>
      <c r="O75" s="60">
        <v>0.0</v>
      </c>
      <c r="P75" s="60">
        <v>0.0</v>
      </c>
      <c r="Q75" s="60">
        <v>0.0</v>
      </c>
      <c r="R75" s="60">
        <v>0.0</v>
      </c>
      <c r="S75" s="60">
        <v>0.0</v>
      </c>
      <c r="T75" s="13">
        <f t="shared" si="14"/>
        <v>7</v>
      </c>
    </row>
    <row r="76" ht="12.75" customHeight="1">
      <c r="A76" s="18"/>
      <c r="B76" s="57"/>
      <c r="C76" s="58" t="s">
        <v>65</v>
      </c>
      <c r="D76" s="59"/>
      <c r="E76" s="60">
        <v>19.0</v>
      </c>
      <c r="F76" s="60">
        <v>9.0</v>
      </c>
      <c r="G76" s="60">
        <v>5.0</v>
      </c>
      <c r="H76" s="60">
        <v>10.0</v>
      </c>
      <c r="I76" s="60">
        <v>6.0</v>
      </c>
      <c r="J76" s="60">
        <v>10.0</v>
      </c>
      <c r="K76" s="60">
        <v>1.0</v>
      </c>
      <c r="L76" s="60">
        <v>2.0</v>
      </c>
      <c r="M76" s="60">
        <v>22.0</v>
      </c>
      <c r="N76" s="60">
        <v>4.0</v>
      </c>
      <c r="O76" s="60">
        <v>1.0</v>
      </c>
      <c r="P76" s="60">
        <v>0.0</v>
      </c>
      <c r="Q76" s="60">
        <v>0.0</v>
      </c>
      <c r="R76" s="60">
        <v>2.0</v>
      </c>
      <c r="S76" s="60">
        <v>0.0</v>
      </c>
      <c r="T76" s="13">
        <f t="shared" si="14"/>
        <v>91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60">
        <v>0.0</v>
      </c>
      <c r="P77" s="60">
        <v>0.0</v>
      </c>
      <c r="Q77" s="60">
        <v>0.0</v>
      </c>
      <c r="R77" s="60">
        <v>0.0</v>
      </c>
      <c r="S77" s="60">
        <v>0.0</v>
      </c>
      <c r="T77" s="13">
        <f t="shared" si="14"/>
        <v>0</v>
      </c>
    </row>
    <row r="78" ht="12.75" customHeight="1">
      <c r="A78" s="18"/>
      <c r="B78" s="57"/>
      <c r="C78" s="58" t="s">
        <v>67</v>
      </c>
      <c r="D78" s="59"/>
      <c r="E78" s="60">
        <v>1.0</v>
      </c>
      <c r="F78" s="60">
        <v>3.0</v>
      </c>
      <c r="G78" s="60">
        <v>0.0</v>
      </c>
      <c r="H78" s="60">
        <v>0.0</v>
      </c>
      <c r="I78" s="60">
        <v>0.0</v>
      </c>
      <c r="J78" s="60">
        <v>0.0</v>
      </c>
      <c r="K78" s="60">
        <v>1.0</v>
      </c>
      <c r="L78" s="60">
        <v>0.0</v>
      </c>
      <c r="M78" s="60">
        <v>0.0</v>
      </c>
      <c r="N78" s="60">
        <v>0.0</v>
      </c>
      <c r="O78" s="60">
        <v>0.0</v>
      </c>
      <c r="P78" s="60">
        <v>0.0</v>
      </c>
      <c r="Q78" s="60">
        <v>0.0</v>
      </c>
      <c r="R78" s="60">
        <v>0.0</v>
      </c>
      <c r="S78" s="60">
        <v>0.0</v>
      </c>
      <c r="T78" s="13">
        <f t="shared" si="14"/>
        <v>5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S79" si="18">SUM(E72:E78)</f>
        <v>26</v>
      </c>
      <c r="F79" s="64">
        <f t="shared" si="18"/>
        <v>25</v>
      </c>
      <c r="G79" s="64">
        <f t="shared" si="18"/>
        <v>13</v>
      </c>
      <c r="H79" s="64">
        <f t="shared" si="18"/>
        <v>17</v>
      </c>
      <c r="I79" s="64">
        <f t="shared" si="18"/>
        <v>12</v>
      </c>
      <c r="J79" s="64">
        <f t="shared" si="18"/>
        <v>23</v>
      </c>
      <c r="K79" s="64">
        <f t="shared" si="18"/>
        <v>15</v>
      </c>
      <c r="L79" s="64">
        <f t="shared" si="18"/>
        <v>10</v>
      </c>
      <c r="M79" s="64">
        <f t="shared" si="18"/>
        <v>28</v>
      </c>
      <c r="N79" s="64">
        <f t="shared" si="18"/>
        <v>10</v>
      </c>
      <c r="O79" s="64">
        <f t="shared" si="18"/>
        <v>9</v>
      </c>
      <c r="P79" s="64">
        <f t="shared" si="18"/>
        <v>5</v>
      </c>
      <c r="Q79" s="64">
        <f t="shared" si="18"/>
        <v>8</v>
      </c>
      <c r="R79" s="64">
        <f t="shared" si="18"/>
        <v>12</v>
      </c>
      <c r="S79" s="64">
        <f t="shared" si="18"/>
        <v>6</v>
      </c>
      <c r="T79" s="13">
        <f t="shared" si="14"/>
        <v>219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3.0</v>
      </c>
      <c r="F81" s="60">
        <v>0.0</v>
      </c>
      <c r="G81" s="60">
        <v>3.0</v>
      </c>
      <c r="H81" s="60">
        <v>0.0</v>
      </c>
      <c r="I81" s="60">
        <v>1.0</v>
      </c>
      <c r="J81" s="60">
        <v>0.0</v>
      </c>
      <c r="K81" s="60">
        <v>6.0</v>
      </c>
      <c r="L81" s="60">
        <v>9.0</v>
      </c>
      <c r="M81" s="60">
        <v>0.0</v>
      </c>
      <c r="N81" s="60">
        <v>4.0</v>
      </c>
      <c r="O81" s="60">
        <v>9.0</v>
      </c>
      <c r="P81" s="60">
        <v>3.0</v>
      </c>
      <c r="Q81" s="60">
        <v>4.0</v>
      </c>
      <c r="R81" s="60">
        <v>5.0</v>
      </c>
      <c r="S81" s="60">
        <v>8.0</v>
      </c>
      <c r="T81" s="13">
        <f t="shared" si="14"/>
        <v>55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0.0</v>
      </c>
      <c r="F82" s="60">
        <v>1.0</v>
      </c>
      <c r="G82" s="60">
        <v>10.0</v>
      </c>
      <c r="H82" s="60">
        <v>0.0</v>
      </c>
      <c r="I82" s="60">
        <v>2.0</v>
      </c>
      <c r="J82" s="60">
        <v>1.0</v>
      </c>
      <c r="K82" s="60">
        <v>2.0</v>
      </c>
      <c r="L82" s="60">
        <v>15.0</v>
      </c>
      <c r="M82" s="60">
        <v>0.0</v>
      </c>
      <c r="N82" s="60">
        <v>2.0</v>
      </c>
      <c r="O82" s="60">
        <v>4.0</v>
      </c>
      <c r="P82" s="60">
        <v>12.0</v>
      </c>
      <c r="Q82" s="60">
        <v>9.0</v>
      </c>
      <c r="R82" s="60">
        <v>14.0</v>
      </c>
      <c r="S82" s="60">
        <v>14.0</v>
      </c>
      <c r="T82" s="13">
        <f t="shared" si="14"/>
        <v>86</v>
      </c>
    </row>
    <row r="83" ht="12.75" customHeight="1">
      <c r="A83" s="18"/>
      <c r="B83" s="57"/>
      <c r="C83" s="58" t="s">
        <v>71</v>
      </c>
      <c r="D83" s="59"/>
      <c r="E83" s="60">
        <v>1.0</v>
      </c>
      <c r="F83" s="60">
        <v>0.0</v>
      </c>
      <c r="G83" s="60">
        <v>1.0</v>
      </c>
      <c r="H83" s="60">
        <v>0.0</v>
      </c>
      <c r="I83" s="60">
        <v>1.0</v>
      </c>
      <c r="J83" s="60">
        <v>1.0</v>
      </c>
      <c r="K83" s="60">
        <v>0.0</v>
      </c>
      <c r="L83" s="60">
        <v>1.0</v>
      </c>
      <c r="M83" s="60">
        <v>0.0</v>
      </c>
      <c r="N83" s="60">
        <v>0.0</v>
      </c>
      <c r="O83" s="60">
        <v>1.0</v>
      </c>
      <c r="P83" s="60">
        <v>1.0</v>
      </c>
      <c r="Q83" s="60">
        <v>0.0</v>
      </c>
      <c r="R83" s="60">
        <v>1.0</v>
      </c>
      <c r="S83" s="60">
        <v>0.0</v>
      </c>
      <c r="T83" s="13">
        <f t="shared" si="14"/>
        <v>8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60">
        <v>0.0</v>
      </c>
      <c r="O84" s="60">
        <v>1.0</v>
      </c>
      <c r="P84" s="60">
        <v>0.0</v>
      </c>
      <c r="Q84" s="60">
        <v>0.0</v>
      </c>
      <c r="R84" s="60">
        <v>0.0</v>
      </c>
      <c r="S84" s="60">
        <v>0.0</v>
      </c>
      <c r="T84" s="13">
        <f t="shared" si="14"/>
        <v>1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1.0</v>
      </c>
      <c r="H85" s="60">
        <v>0.0</v>
      </c>
      <c r="I85" s="60">
        <v>0.0</v>
      </c>
      <c r="J85" s="60">
        <v>0.0</v>
      </c>
      <c r="K85" s="60">
        <v>0.0</v>
      </c>
      <c r="L85" s="60">
        <v>1.0</v>
      </c>
      <c r="M85" s="60">
        <v>0.0</v>
      </c>
      <c r="N85" s="60">
        <v>0.0</v>
      </c>
      <c r="O85" s="60">
        <v>0.0</v>
      </c>
      <c r="P85" s="60">
        <v>0.0</v>
      </c>
      <c r="Q85" s="60">
        <v>0.0</v>
      </c>
      <c r="R85" s="60">
        <v>0.0</v>
      </c>
      <c r="S85" s="60">
        <v>0.0</v>
      </c>
      <c r="T85" s="13">
        <f t="shared" si="14"/>
        <v>2</v>
      </c>
    </row>
    <row r="86" ht="12.75" customHeight="1">
      <c r="A86" s="18"/>
      <c r="B86" s="57"/>
      <c r="C86" s="58" t="s">
        <v>74</v>
      </c>
      <c r="D86" s="59"/>
      <c r="E86" s="60">
        <v>3.0</v>
      </c>
      <c r="F86" s="60">
        <v>1.0</v>
      </c>
      <c r="G86" s="60">
        <v>12.0</v>
      </c>
      <c r="H86" s="60">
        <v>2.0</v>
      </c>
      <c r="I86" s="60">
        <v>2.0</v>
      </c>
      <c r="J86" s="60">
        <v>1.0</v>
      </c>
      <c r="K86" s="60">
        <v>46.0</v>
      </c>
      <c r="L86" s="60">
        <v>34.0</v>
      </c>
      <c r="M86" s="60">
        <v>2.0</v>
      </c>
      <c r="N86" s="60">
        <v>2.0</v>
      </c>
      <c r="O86" s="60">
        <v>49.0</v>
      </c>
      <c r="P86" s="60">
        <v>22.0</v>
      </c>
      <c r="Q86" s="60">
        <v>17.0</v>
      </c>
      <c r="R86" s="60">
        <v>65.0</v>
      </c>
      <c r="S86" s="60">
        <v>33.0</v>
      </c>
      <c r="T86" s="13">
        <f t="shared" si="14"/>
        <v>291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60">
        <v>2.0</v>
      </c>
      <c r="P87" s="60">
        <v>1.0</v>
      </c>
      <c r="Q87" s="60">
        <v>0.0</v>
      </c>
      <c r="R87" s="60">
        <v>0.0</v>
      </c>
      <c r="S87" s="60">
        <v>0.0</v>
      </c>
      <c r="T87" s="13">
        <f t="shared" si="14"/>
        <v>3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S88" si="19">SUM(E81:E87)</f>
        <v>7</v>
      </c>
      <c r="F88" s="64">
        <f t="shared" si="19"/>
        <v>2</v>
      </c>
      <c r="G88" s="64">
        <f t="shared" si="19"/>
        <v>27</v>
      </c>
      <c r="H88" s="64">
        <f t="shared" si="19"/>
        <v>2</v>
      </c>
      <c r="I88" s="64">
        <f t="shared" si="19"/>
        <v>6</v>
      </c>
      <c r="J88" s="64">
        <f t="shared" si="19"/>
        <v>3</v>
      </c>
      <c r="K88" s="64">
        <f t="shared" si="19"/>
        <v>54</v>
      </c>
      <c r="L88" s="64">
        <f t="shared" si="19"/>
        <v>60</v>
      </c>
      <c r="M88" s="64">
        <f t="shared" si="19"/>
        <v>2</v>
      </c>
      <c r="N88" s="64">
        <f t="shared" si="19"/>
        <v>8</v>
      </c>
      <c r="O88" s="64">
        <f t="shared" si="19"/>
        <v>66</v>
      </c>
      <c r="P88" s="64">
        <f t="shared" si="19"/>
        <v>39</v>
      </c>
      <c r="Q88" s="64">
        <f t="shared" si="19"/>
        <v>30</v>
      </c>
      <c r="R88" s="64">
        <f t="shared" si="19"/>
        <v>85</v>
      </c>
      <c r="S88" s="64">
        <f t="shared" si="19"/>
        <v>55</v>
      </c>
      <c r="T88" s="13">
        <f t="shared" si="14"/>
        <v>446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0.0</v>
      </c>
      <c r="J90" s="60">
        <v>1.0</v>
      </c>
      <c r="K90" s="60">
        <v>0.0</v>
      </c>
      <c r="L90" s="60">
        <v>0.0</v>
      </c>
      <c r="M90" s="60">
        <v>0.0</v>
      </c>
      <c r="N90" s="60">
        <v>1.0</v>
      </c>
      <c r="O90" s="60">
        <v>0.0</v>
      </c>
      <c r="P90" s="60">
        <v>0.0</v>
      </c>
      <c r="Q90" s="60">
        <v>2.0</v>
      </c>
      <c r="R90" s="60">
        <v>0.0</v>
      </c>
      <c r="S90" s="60">
        <v>0.0</v>
      </c>
      <c r="T90" s="13">
        <f t="shared" si="14"/>
        <v>4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0.0</v>
      </c>
      <c r="J91" s="60">
        <v>2.0</v>
      </c>
      <c r="K91" s="60">
        <v>1.0</v>
      </c>
      <c r="L91" s="60">
        <v>0.0</v>
      </c>
      <c r="M91" s="60">
        <v>0.0</v>
      </c>
      <c r="N91" s="60">
        <v>0.0</v>
      </c>
      <c r="O91" s="60">
        <v>1.0</v>
      </c>
      <c r="P91" s="60">
        <v>1.0</v>
      </c>
      <c r="Q91" s="60">
        <v>0.0</v>
      </c>
      <c r="R91" s="60">
        <v>0.0</v>
      </c>
      <c r="S91" s="60">
        <v>0.0</v>
      </c>
      <c r="T91" s="13">
        <f t="shared" si="14"/>
        <v>5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S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0</v>
      </c>
      <c r="I92" s="64">
        <f t="shared" si="20"/>
        <v>0</v>
      </c>
      <c r="J92" s="64">
        <f t="shared" si="20"/>
        <v>3</v>
      </c>
      <c r="K92" s="64">
        <f t="shared" si="20"/>
        <v>1</v>
      </c>
      <c r="L92" s="64">
        <f t="shared" si="20"/>
        <v>0</v>
      </c>
      <c r="M92" s="64">
        <f t="shared" si="20"/>
        <v>0</v>
      </c>
      <c r="N92" s="64">
        <f t="shared" si="20"/>
        <v>1</v>
      </c>
      <c r="O92" s="64">
        <f t="shared" si="20"/>
        <v>1</v>
      </c>
      <c r="P92" s="64">
        <f t="shared" si="20"/>
        <v>1</v>
      </c>
      <c r="Q92" s="64">
        <f t="shared" si="20"/>
        <v>2</v>
      </c>
      <c r="R92" s="64">
        <f t="shared" si="20"/>
        <v>0</v>
      </c>
      <c r="S92" s="64">
        <f t="shared" si="20"/>
        <v>0</v>
      </c>
      <c r="T92" s="13">
        <f t="shared" si="14"/>
        <v>9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3.0</v>
      </c>
      <c r="F94" s="60">
        <v>1.0</v>
      </c>
      <c r="G94" s="60">
        <v>2.0</v>
      </c>
      <c r="H94" s="60">
        <v>2.0</v>
      </c>
      <c r="I94" s="60">
        <v>1.0</v>
      </c>
      <c r="J94" s="60">
        <v>0.0</v>
      </c>
      <c r="K94" s="60">
        <v>0.0</v>
      </c>
      <c r="L94" s="60">
        <v>2.0</v>
      </c>
      <c r="M94" s="60">
        <v>0.0</v>
      </c>
      <c r="N94" s="60">
        <v>0.0</v>
      </c>
      <c r="O94" s="60">
        <v>1.0</v>
      </c>
      <c r="P94" s="60">
        <v>3.0</v>
      </c>
      <c r="Q94" s="60">
        <v>2.0</v>
      </c>
      <c r="R94" s="60">
        <v>1.0</v>
      </c>
      <c r="S94" s="60">
        <v>1.0</v>
      </c>
      <c r="T94" s="13">
        <f t="shared" si="14"/>
        <v>19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10.0</v>
      </c>
      <c r="F95" s="60">
        <v>7.0</v>
      </c>
      <c r="G95" s="60">
        <v>4.0</v>
      </c>
      <c r="H95" s="60">
        <v>10.0</v>
      </c>
      <c r="I95" s="60">
        <v>5.0</v>
      </c>
      <c r="J95" s="60">
        <v>5.0</v>
      </c>
      <c r="K95" s="60">
        <v>3.0</v>
      </c>
      <c r="L95" s="60">
        <v>3.0</v>
      </c>
      <c r="M95" s="60">
        <v>2.0</v>
      </c>
      <c r="N95" s="60">
        <v>1.0</v>
      </c>
      <c r="O95" s="60">
        <v>0.0</v>
      </c>
      <c r="P95" s="60">
        <v>19.0</v>
      </c>
      <c r="Q95" s="60">
        <v>13.0</v>
      </c>
      <c r="R95" s="60">
        <v>7.0</v>
      </c>
      <c r="S95" s="60">
        <v>4.0</v>
      </c>
      <c r="T95" s="13">
        <f t="shared" si="14"/>
        <v>93</v>
      </c>
    </row>
    <row r="96" ht="12.75" customHeight="1">
      <c r="A96" s="31"/>
      <c r="B96" s="57"/>
      <c r="C96" s="58" t="s">
        <v>82</v>
      </c>
      <c r="D96" s="59"/>
      <c r="E96" s="60">
        <v>4.0</v>
      </c>
      <c r="F96" s="60">
        <v>0.0</v>
      </c>
      <c r="G96" s="60">
        <v>0.0</v>
      </c>
      <c r="H96" s="60">
        <v>0.0</v>
      </c>
      <c r="I96" s="60">
        <v>1.0</v>
      </c>
      <c r="J96" s="60">
        <v>0.0</v>
      </c>
      <c r="K96" s="60">
        <v>0.0</v>
      </c>
      <c r="L96" s="60">
        <v>0.0</v>
      </c>
      <c r="M96" s="60">
        <v>0.0</v>
      </c>
      <c r="N96" s="60">
        <v>0.0</v>
      </c>
      <c r="O96" s="60">
        <v>0.0</v>
      </c>
      <c r="P96" s="60">
        <v>0.0</v>
      </c>
      <c r="Q96" s="60">
        <v>1.0</v>
      </c>
      <c r="R96" s="60">
        <v>0.0</v>
      </c>
      <c r="S96" s="60">
        <v>0.0</v>
      </c>
      <c r="T96" s="13">
        <f t="shared" si="14"/>
        <v>6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60">
        <v>0.0</v>
      </c>
      <c r="P97" s="60">
        <v>0.0</v>
      </c>
      <c r="Q97" s="60">
        <v>0.0</v>
      </c>
      <c r="R97" s="60">
        <v>0.0</v>
      </c>
      <c r="S97" s="60">
        <v>0.0</v>
      </c>
      <c r="T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0.0</v>
      </c>
      <c r="S98" s="60">
        <v>0.0</v>
      </c>
      <c r="T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2.0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1.0</v>
      </c>
      <c r="M99" s="60">
        <v>0.0</v>
      </c>
      <c r="N99" s="60">
        <v>0.0</v>
      </c>
      <c r="O99" s="60">
        <v>0.0</v>
      </c>
      <c r="P99" s="60">
        <v>1.0</v>
      </c>
      <c r="Q99" s="60">
        <v>0.0</v>
      </c>
      <c r="R99" s="60">
        <v>0.0</v>
      </c>
      <c r="S99" s="60">
        <v>0.0</v>
      </c>
      <c r="T99" s="13">
        <f t="shared" si="14"/>
        <v>4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60">
        <v>0.0</v>
      </c>
      <c r="S100" s="60">
        <v>0.0</v>
      </c>
      <c r="T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S101" si="21">SUM(E94:E100)</f>
        <v>17</v>
      </c>
      <c r="F101" s="64">
        <f t="shared" si="21"/>
        <v>10</v>
      </c>
      <c r="G101" s="64">
        <f t="shared" si="21"/>
        <v>6</v>
      </c>
      <c r="H101" s="64">
        <f t="shared" si="21"/>
        <v>12</v>
      </c>
      <c r="I101" s="64">
        <f t="shared" si="21"/>
        <v>7</v>
      </c>
      <c r="J101" s="64">
        <f t="shared" si="21"/>
        <v>5</v>
      </c>
      <c r="K101" s="64">
        <f t="shared" si="21"/>
        <v>3</v>
      </c>
      <c r="L101" s="64">
        <f t="shared" si="21"/>
        <v>6</v>
      </c>
      <c r="M101" s="64">
        <f t="shared" si="21"/>
        <v>2</v>
      </c>
      <c r="N101" s="64">
        <f t="shared" si="21"/>
        <v>1</v>
      </c>
      <c r="O101" s="64">
        <f t="shared" si="21"/>
        <v>1</v>
      </c>
      <c r="P101" s="64">
        <f t="shared" si="21"/>
        <v>23</v>
      </c>
      <c r="Q101" s="64">
        <f t="shared" si="21"/>
        <v>16</v>
      </c>
      <c r="R101" s="64">
        <f t="shared" si="21"/>
        <v>8</v>
      </c>
      <c r="S101" s="64">
        <f t="shared" si="21"/>
        <v>5</v>
      </c>
      <c r="T101" s="13">
        <f t="shared" si="14"/>
        <v>122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1.0</v>
      </c>
      <c r="F103" s="60">
        <v>1.0</v>
      </c>
      <c r="G103" s="60">
        <v>0.0</v>
      </c>
      <c r="H103" s="60">
        <v>3.0</v>
      </c>
      <c r="I103" s="60">
        <v>1.0</v>
      </c>
      <c r="J103" s="60">
        <v>1.0</v>
      </c>
      <c r="K103" s="60">
        <v>0.0</v>
      </c>
      <c r="L103" s="60">
        <v>0.0</v>
      </c>
      <c r="M103" s="60">
        <v>0.0</v>
      </c>
      <c r="N103" s="60">
        <v>2.0</v>
      </c>
      <c r="O103" s="60">
        <v>1.0</v>
      </c>
      <c r="P103" s="60">
        <v>1.0</v>
      </c>
      <c r="Q103" s="60">
        <v>0.0</v>
      </c>
      <c r="R103" s="60">
        <v>0.0</v>
      </c>
      <c r="S103" s="60">
        <v>1.0</v>
      </c>
      <c r="T103" s="13">
        <f t="shared" si="14"/>
        <v>12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3.0</v>
      </c>
      <c r="F104" s="60">
        <v>9.0</v>
      </c>
      <c r="G104" s="60">
        <v>3.0</v>
      </c>
      <c r="H104" s="60">
        <v>1.0</v>
      </c>
      <c r="I104" s="60">
        <v>2.0</v>
      </c>
      <c r="J104" s="60">
        <v>5.0</v>
      </c>
      <c r="K104" s="60">
        <v>3.0</v>
      </c>
      <c r="L104" s="60">
        <v>1.0</v>
      </c>
      <c r="M104" s="60">
        <v>14.0</v>
      </c>
      <c r="N104" s="60">
        <v>19.0</v>
      </c>
      <c r="O104" s="60">
        <v>0.0</v>
      </c>
      <c r="P104" s="60">
        <v>0.0</v>
      </c>
      <c r="Q104" s="60">
        <v>0.0</v>
      </c>
      <c r="R104" s="60">
        <v>1.0</v>
      </c>
      <c r="S104" s="60">
        <v>1.0</v>
      </c>
      <c r="T104" s="13">
        <f t="shared" si="14"/>
        <v>62</v>
      </c>
    </row>
    <row r="105" ht="12.75" customHeight="1">
      <c r="A105" s="18"/>
      <c r="B105" s="57"/>
      <c r="C105" s="58" t="s">
        <v>90</v>
      </c>
      <c r="D105" s="59"/>
      <c r="E105" s="60">
        <v>1.0</v>
      </c>
      <c r="F105" s="60">
        <v>0.0</v>
      </c>
      <c r="G105" s="60">
        <v>0.0</v>
      </c>
      <c r="H105" s="60">
        <v>1.0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2.0</v>
      </c>
      <c r="O105" s="60">
        <v>0.0</v>
      </c>
      <c r="P105" s="60">
        <v>0.0</v>
      </c>
      <c r="Q105" s="60">
        <v>0.0</v>
      </c>
      <c r="R105" s="60">
        <v>0.0</v>
      </c>
      <c r="S105" s="60">
        <v>0.0</v>
      </c>
      <c r="T105" s="13">
        <f t="shared" si="14"/>
        <v>4</v>
      </c>
    </row>
    <row r="106" ht="12.75" customHeight="1">
      <c r="A106" s="18"/>
      <c r="B106" s="57"/>
      <c r="C106" s="58" t="s">
        <v>91</v>
      </c>
      <c r="D106" s="59"/>
      <c r="E106" s="60">
        <v>1.0</v>
      </c>
      <c r="F106" s="60">
        <v>1.0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1.0</v>
      </c>
      <c r="N106" s="60">
        <v>1.0</v>
      </c>
      <c r="O106" s="60">
        <v>0.0</v>
      </c>
      <c r="P106" s="60">
        <v>0.0</v>
      </c>
      <c r="Q106" s="60">
        <v>0.0</v>
      </c>
      <c r="R106" s="60">
        <v>0.0</v>
      </c>
      <c r="S106" s="60">
        <v>0.0</v>
      </c>
      <c r="T106" s="13">
        <f t="shared" si="14"/>
        <v>4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1.0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60">
        <v>0.0</v>
      </c>
      <c r="P107" s="60">
        <v>0.0</v>
      </c>
      <c r="Q107" s="60">
        <v>0.0</v>
      </c>
      <c r="R107" s="60">
        <v>0.0</v>
      </c>
      <c r="S107" s="60">
        <v>0.0</v>
      </c>
      <c r="T107" s="13">
        <f t="shared" si="14"/>
        <v>1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1.0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1.0</v>
      </c>
      <c r="N108" s="60">
        <v>3.0</v>
      </c>
      <c r="O108" s="60">
        <v>0.0</v>
      </c>
      <c r="P108" s="60">
        <v>0.0</v>
      </c>
      <c r="Q108" s="60">
        <v>0.0</v>
      </c>
      <c r="R108" s="60">
        <v>0.0</v>
      </c>
      <c r="S108" s="60">
        <v>0.0</v>
      </c>
      <c r="T108" s="13">
        <f t="shared" si="14"/>
        <v>5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0.0</v>
      </c>
      <c r="J109" s="60">
        <v>3.0</v>
      </c>
      <c r="K109" s="60">
        <v>2.0</v>
      </c>
      <c r="L109" s="60">
        <v>2.0</v>
      </c>
      <c r="M109" s="60">
        <v>0.0</v>
      </c>
      <c r="N109" s="60">
        <v>0.0</v>
      </c>
      <c r="O109" s="60">
        <v>0.0</v>
      </c>
      <c r="P109" s="60">
        <v>0.0</v>
      </c>
      <c r="Q109" s="60">
        <v>2.0</v>
      </c>
      <c r="R109" s="60">
        <v>0.0</v>
      </c>
      <c r="S109" s="60">
        <v>1.0</v>
      </c>
      <c r="T109" s="13">
        <f t="shared" si="14"/>
        <v>10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S110" si="22">SUM(E103:E109)</f>
        <v>6</v>
      </c>
      <c r="F110" s="64">
        <f t="shared" si="22"/>
        <v>12</v>
      </c>
      <c r="G110" s="64">
        <f t="shared" si="22"/>
        <v>3</v>
      </c>
      <c r="H110" s="64">
        <f t="shared" si="22"/>
        <v>6</v>
      </c>
      <c r="I110" s="64">
        <f t="shared" si="22"/>
        <v>3</v>
      </c>
      <c r="J110" s="64">
        <f t="shared" si="22"/>
        <v>9</v>
      </c>
      <c r="K110" s="64">
        <f t="shared" si="22"/>
        <v>5</v>
      </c>
      <c r="L110" s="64">
        <f t="shared" si="22"/>
        <v>3</v>
      </c>
      <c r="M110" s="64">
        <f t="shared" si="22"/>
        <v>16</v>
      </c>
      <c r="N110" s="64">
        <f t="shared" si="22"/>
        <v>27</v>
      </c>
      <c r="O110" s="64">
        <f t="shared" si="22"/>
        <v>1</v>
      </c>
      <c r="P110" s="64">
        <f t="shared" si="22"/>
        <v>1</v>
      </c>
      <c r="Q110" s="64">
        <f t="shared" si="22"/>
        <v>2</v>
      </c>
      <c r="R110" s="64">
        <f t="shared" si="22"/>
        <v>1</v>
      </c>
      <c r="S110" s="64">
        <f t="shared" si="22"/>
        <v>3</v>
      </c>
      <c r="T110" s="13">
        <f t="shared" si="14"/>
        <v>98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1.0</v>
      </c>
      <c r="H112" s="60">
        <v>0.0</v>
      </c>
      <c r="I112" s="60">
        <v>1.0</v>
      </c>
      <c r="J112" s="60">
        <v>0.0</v>
      </c>
      <c r="K112" s="60">
        <v>0.0</v>
      </c>
      <c r="L112" s="60">
        <v>0.0</v>
      </c>
      <c r="M112" s="60">
        <v>0.0</v>
      </c>
      <c r="N112" s="60">
        <v>1.0</v>
      </c>
      <c r="O112" s="60">
        <v>2.0</v>
      </c>
      <c r="P112" s="60">
        <v>0.0</v>
      </c>
      <c r="Q112" s="60">
        <v>0.0</v>
      </c>
      <c r="R112" s="60">
        <v>0.0</v>
      </c>
      <c r="S112" s="60">
        <v>0.0</v>
      </c>
      <c r="T112" s="13">
        <f t="shared" si="14"/>
        <v>5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1.0</v>
      </c>
      <c r="M113" s="60">
        <v>0.0</v>
      </c>
      <c r="N113" s="60">
        <v>2.0</v>
      </c>
      <c r="O113" s="60">
        <v>0.0</v>
      </c>
      <c r="P113" s="60">
        <v>0.0</v>
      </c>
      <c r="Q113" s="60">
        <v>0.0</v>
      </c>
      <c r="R113" s="60">
        <v>0.0</v>
      </c>
      <c r="S113" s="60">
        <v>0.0</v>
      </c>
      <c r="T113" s="13">
        <f t="shared" si="14"/>
        <v>3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S114" si="23">SUM(E112:E113)</f>
        <v>0</v>
      </c>
      <c r="F114" s="64">
        <f t="shared" si="23"/>
        <v>0</v>
      </c>
      <c r="G114" s="64">
        <f t="shared" si="23"/>
        <v>1</v>
      </c>
      <c r="H114" s="64">
        <f t="shared" si="23"/>
        <v>0</v>
      </c>
      <c r="I114" s="64">
        <f t="shared" si="23"/>
        <v>1</v>
      </c>
      <c r="J114" s="64">
        <f t="shared" si="23"/>
        <v>0</v>
      </c>
      <c r="K114" s="64">
        <f t="shared" si="23"/>
        <v>0</v>
      </c>
      <c r="L114" s="64">
        <f t="shared" si="23"/>
        <v>1</v>
      </c>
      <c r="M114" s="64">
        <f t="shared" si="23"/>
        <v>0</v>
      </c>
      <c r="N114" s="64">
        <f t="shared" si="23"/>
        <v>3</v>
      </c>
      <c r="O114" s="64">
        <f t="shared" si="23"/>
        <v>2</v>
      </c>
      <c r="P114" s="64">
        <f t="shared" si="23"/>
        <v>0</v>
      </c>
      <c r="Q114" s="64">
        <f t="shared" si="23"/>
        <v>0</v>
      </c>
      <c r="R114" s="64">
        <f t="shared" si="23"/>
        <v>0</v>
      </c>
      <c r="S114" s="64">
        <f t="shared" si="23"/>
        <v>0</v>
      </c>
      <c r="T114" s="13">
        <f t="shared" si="14"/>
        <v>8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1.0</v>
      </c>
      <c r="F116" s="60">
        <v>0.0</v>
      </c>
      <c r="G116" s="60">
        <v>0.0</v>
      </c>
      <c r="H116" s="60">
        <v>1.0</v>
      </c>
      <c r="I116" s="60">
        <v>0.0</v>
      </c>
      <c r="J116" s="60">
        <v>0.0</v>
      </c>
      <c r="K116" s="60">
        <v>0.0</v>
      </c>
      <c r="L116" s="60">
        <v>0.0</v>
      </c>
      <c r="M116" s="60">
        <v>0.0</v>
      </c>
      <c r="N116" s="60">
        <v>0.0</v>
      </c>
      <c r="O116" s="60">
        <v>1.0</v>
      </c>
      <c r="P116" s="60">
        <v>1.0</v>
      </c>
      <c r="Q116" s="60">
        <v>3.0</v>
      </c>
      <c r="R116" s="60">
        <v>1.0</v>
      </c>
      <c r="S116" s="60">
        <v>5.0</v>
      </c>
      <c r="T116" s="13">
        <f t="shared" si="14"/>
        <v>13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2.0</v>
      </c>
      <c r="G117" s="60">
        <v>0.0</v>
      </c>
      <c r="H117" s="60">
        <v>0.0</v>
      </c>
      <c r="I117" s="60">
        <v>4.0</v>
      </c>
      <c r="J117" s="60">
        <v>2.0</v>
      </c>
      <c r="K117" s="60">
        <v>0.0</v>
      </c>
      <c r="L117" s="60">
        <v>0.0</v>
      </c>
      <c r="M117" s="60">
        <v>1.0</v>
      </c>
      <c r="N117" s="60">
        <v>0.0</v>
      </c>
      <c r="O117" s="60">
        <v>19.0</v>
      </c>
      <c r="P117" s="60">
        <v>11.0</v>
      </c>
      <c r="Q117" s="60">
        <v>13.0</v>
      </c>
      <c r="R117" s="60">
        <v>24.0</v>
      </c>
      <c r="S117" s="60">
        <v>22.0</v>
      </c>
      <c r="T117" s="13">
        <f t="shared" si="14"/>
        <v>98</v>
      </c>
      <c r="U117" s="5"/>
      <c r="V117" s="5"/>
    </row>
    <row r="118" ht="12.75" customHeight="1">
      <c r="A118" s="18"/>
      <c r="B118" s="57"/>
      <c r="C118" s="58" t="s">
        <v>101</v>
      </c>
      <c r="D118" s="59"/>
      <c r="E118" s="60">
        <v>2.0</v>
      </c>
      <c r="F118" s="60">
        <v>0.0</v>
      </c>
      <c r="G118" s="60">
        <v>1.0</v>
      </c>
      <c r="H118" s="60">
        <v>0.0</v>
      </c>
      <c r="I118" s="60">
        <v>2.0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60">
        <v>1.0</v>
      </c>
      <c r="S118" s="60">
        <v>0.0</v>
      </c>
      <c r="T118" s="13">
        <f t="shared" si="14"/>
        <v>6</v>
      </c>
      <c r="U118" s="5"/>
      <c r="V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60">
        <v>0.0</v>
      </c>
      <c r="S119" s="60">
        <v>0.0</v>
      </c>
      <c r="T119" s="13">
        <f t="shared" si="14"/>
        <v>0</v>
      </c>
      <c r="U119" s="5"/>
      <c r="V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0.0</v>
      </c>
      <c r="P120" s="60">
        <v>1.0</v>
      </c>
      <c r="Q120" s="60">
        <v>0.0</v>
      </c>
      <c r="R120" s="60">
        <v>0.0</v>
      </c>
      <c r="S120" s="60">
        <v>0.0</v>
      </c>
      <c r="T120" s="13">
        <f t="shared" si="14"/>
        <v>1</v>
      </c>
      <c r="U120" s="5"/>
      <c r="V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2.0</v>
      </c>
      <c r="G121" s="60">
        <v>0.0</v>
      </c>
      <c r="H121" s="60">
        <v>0.0</v>
      </c>
      <c r="I121" s="60">
        <v>0.0</v>
      </c>
      <c r="J121" s="60">
        <v>2.0</v>
      </c>
      <c r="K121" s="60">
        <v>0.0</v>
      </c>
      <c r="L121" s="60">
        <v>0.0</v>
      </c>
      <c r="M121" s="60">
        <v>0.0</v>
      </c>
      <c r="N121" s="60">
        <v>0.0</v>
      </c>
      <c r="O121" s="60">
        <v>1.0</v>
      </c>
      <c r="P121" s="60">
        <v>0.0</v>
      </c>
      <c r="Q121" s="60">
        <v>1.0</v>
      </c>
      <c r="R121" s="60">
        <v>0.0</v>
      </c>
      <c r="S121" s="60">
        <v>1.0</v>
      </c>
      <c r="T121" s="13">
        <f t="shared" si="14"/>
        <v>7</v>
      </c>
      <c r="U121" s="5"/>
      <c r="V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60">
        <v>0.0</v>
      </c>
      <c r="P122" s="60">
        <v>1.0</v>
      </c>
      <c r="Q122" s="60">
        <v>0.0</v>
      </c>
      <c r="R122" s="60">
        <v>0.0</v>
      </c>
      <c r="S122" s="60">
        <v>0.0</v>
      </c>
      <c r="T122" s="13">
        <f t="shared" si="14"/>
        <v>1</v>
      </c>
      <c r="U122" s="5"/>
      <c r="V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S123" si="24">SUM(E116:E122)</f>
        <v>3</v>
      </c>
      <c r="F123" s="64">
        <f t="shared" si="24"/>
        <v>4</v>
      </c>
      <c r="G123" s="64">
        <f t="shared" si="24"/>
        <v>1</v>
      </c>
      <c r="H123" s="64">
        <f t="shared" si="24"/>
        <v>1</v>
      </c>
      <c r="I123" s="64">
        <f t="shared" si="24"/>
        <v>6</v>
      </c>
      <c r="J123" s="64">
        <f t="shared" si="24"/>
        <v>4</v>
      </c>
      <c r="K123" s="64">
        <f t="shared" si="24"/>
        <v>0</v>
      </c>
      <c r="L123" s="64">
        <f t="shared" si="24"/>
        <v>0</v>
      </c>
      <c r="M123" s="64">
        <f t="shared" si="24"/>
        <v>1</v>
      </c>
      <c r="N123" s="64">
        <f t="shared" si="24"/>
        <v>0</v>
      </c>
      <c r="O123" s="64">
        <f t="shared" si="24"/>
        <v>21</v>
      </c>
      <c r="P123" s="64">
        <f t="shared" si="24"/>
        <v>14</v>
      </c>
      <c r="Q123" s="64">
        <f t="shared" si="24"/>
        <v>17</v>
      </c>
      <c r="R123" s="64">
        <f t="shared" si="24"/>
        <v>26</v>
      </c>
      <c r="S123" s="64">
        <f t="shared" si="24"/>
        <v>28</v>
      </c>
      <c r="T123" s="13">
        <f t="shared" si="14"/>
        <v>126</v>
      </c>
      <c r="U123" s="5"/>
      <c r="V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13">
        <f t="shared" si="14"/>
        <v>0</v>
      </c>
      <c r="U124" s="5"/>
      <c r="V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0.0</v>
      </c>
      <c r="L125" s="60">
        <v>2.0</v>
      </c>
      <c r="M125" s="60">
        <v>0.0</v>
      </c>
      <c r="N125" s="60">
        <v>0.0</v>
      </c>
      <c r="O125" s="60">
        <v>0.0</v>
      </c>
      <c r="P125" s="60">
        <v>0.0</v>
      </c>
      <c r="Q125" s="60">
        <v>0.0</v>
      </c>
      <c r="R125" s="60">
        <v>0.0</v>
      </c>
      <c r="S125" s="60">
        <v>0.0</v>
      </c>
      <c r="T125" s="13">
        <f t="shared" si="14"/>
        <v>2</v>
      </c>
      <c r="U125" s="5"/>
      <c r="V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3">
        <f t="shared" si="14"/>
        <v>0</v>
      </c>
      <c r="U126" s="5"/>
      <c r="V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S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0</v>
      </c>
      <c r="L127" s="64">
        <f t="shared" si="25"/>
        <v>2</v>
      </c>
      <c r="M127" s="64">
        <f t="shared" si="25"/>
        <v>0</v>
      </c>
      <c r="N127" s="64">
        <f t="shared" si="25"/>
        <v>0</v>
      </c>
      <c r="O127" s="64">
        <f t="shared" si="25"/>
        <v>0</v>
      </c>
      <c r="P127" s="64">
        <f t="shared" si="25"/>
        <v>0</v>
      </c>
      <c r="Q127" s="64">
        <f t="shared" si="25"/>
        <v>0</v>
      </c>
      <c r="R127" s="64">
        <f t="shared" si="25"/>
        <v>0</v>
      </c>
      <c r="S127" s="64">
        <f t="shared" si="25"/>
        <v>0</v>
      </c>
      <c r="T127" s="13">
        <f t="shared" si="14"/>
        <v>2</v>
      </c>
      <c r="U127" s="5"/>
      <c r="V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13">
        <f t="shared" si="14"/>
        <v>0</v>
      </c>
      <c r="U128" s="5"/>
      <c r="V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3.0</v>
      </c>
      <c r="F129" s="60">
        <v>1.0</v>
      </c>
      <c r="G129" s="60">
        <v>2.0</v>
      </c>
      <c r="H129" s="60">
        <v>0.0</v>
      </c>
      <c r="I129" s="60">
        <v>3.0</v>
      </c>
      <c r="J129" s="60">
        <v>0.0</v>
      </c>
      <c r="K129" s="60">
        <v>0.0</v>
      </c>
      <c r="L129" s="60">
        <v>0.0</v>
      </c>
      <c r="M129" s="60">
        <v>1.0</v>
      </c>
      <c r="N129" s="60">
        <v>0.0</v>
      </c>
      <c r="O129" s="60">
        <v>0.0</v>
      </c>
      <c r="P129" s="60">
        <v>0.0</v>
      </c>
      <c r="Q129" s="60">
        <v>0.0</v>
      </c>
      <c r="R129" s="60">
        <v>0.0</v>
      </c>
      <c r="S129" s="60">
        <v>1.0</v>
      </c>
      <c r="T129" s="13">
        <f t="shared" si="14"/>
        <v>11</v>
      </c>
      <c r="U129" s="5"/>
      <c r="V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1.0</v>
      </c>
      <c r="G130" s="60">
        <v>2.0</v>
      </c>
      <c r="H130" s="60">
        <v>18.0</v>
      </c>
      <c r="I130" s="60">
        <v>7.0</v>
      </c>
      <c r="J130" s="60">
        <v>0.0</v>
      </c>
      <c r="K130" s="60">
        <v>0.0</v>
      </c>
      <c r="L130" s="60">
        <v>1.0</v>
      </c>
      <c r="M130" s="60">
        <v>0.0</v>
      </c>
      <c r="N130" s="60">
        <v>0.0</v>
      </c>
      <c r="O130" s="60">
        <v>0.0</v>
      </c>
      <c r="P130" s="60">
        <v>0.0</v>
      </c>
      <c r="Q130" s="60">
        <v>0.0</v>
      </c>
      <c r="R130" s="60">
        <v>0.0</v>
      </c>
      <c r="S130" s="60">
        <v>0.0</v>
      </c>
      <c r="T130" s="13">
        <f t="shared" si="14"/>
        <v>29</v>
      </c>
      <c r="U130" s="1"/>
      <c r="V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1.0</v>
      </c>
      <c r="I131" s="60">
        <v>3.0</v>
      </c>
      <c r="J131" s="60">
        <v>0.0</v>
      </c>
      <c r="K131" s="60">
        <v>0.0</v>
      </c>
      <c r="L131" s="60">
        <v>0.0</v>
      </c>
      <c r="M131" s="60">
        <v>2.0</v>
      </c>
      <c r="N131" s="60">
        <v>1.0</v>
      </c>
      <c r="O131" s="60">
        <v>0.0</v>
      </c>
      <c r="P131" s="60">
        <v>1.0</v>
      </c>
      <c r="Q131" s="60">
        <v>1.0</v>
      </c>
      <c r="R131" s="60">
        <v>0.0</v>
      </c>
      <c r="S131" s="60">
        <v>0.0</v>
      </c>
      <c r="T131" s="13">
        <f t="shared" si="14"/>
        <v>9</v>
      </c>
      <c r="U131" s="54"/>
      <c r="V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1.0</v>
      </c>
      <c r="H132" s="60">
        <v>0.0</v>
      </c>
      <c r="I132" s="60">
        <v>0.0</v>
      </c>
      <c r="J132" s="60">
        <v>0.0</v>
      </c>
      <c r="K132" s="60">
        <v>2.0</v>
      </c>
      <c r="L132" s="60">
        <v>0.0</v>
      </c>
      <c r="M132" s="60">
        <v>0.0</v>
      </c>
      <c r="N132" s="60">
        <v>0.0</v>
      </c>
      <c r="O132" s="60">
        <v>0.0</v>
      </c>
      <c r="P132" s="60">
        <v>0.0</v>
      </c>
      <c r="Q132" s="60">
        <v>0.0</v>
      </c>
      <c r="R132" s="60">
        <v>0.0</v>
      </c>
      <c r="S132" s="60">
        <v>1.0</v>
      </c>
      <c r="T132" s="13">
        <f t="shared" si="14"/>
        <v>4</v>
      </c>
      <c r="U132" s="5"/>
      <c r="V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60">
        <v>0.0</v>
      </c>
      <c r="P133" s="60">
        <v>1.0</v>
      </c>
      <c r="Q133" s="60">
        <v>0.0</v>
      </c>
      <c r="R133" s="60">
        <v>0.0</v>
      </c>
      <c r="S133" s="60">
        <v>0.0</v>
      </c>
      <c r="T133" s="13">
        <f t="shared" si="14"/>
        <v>1</v>
      </c>
      <c r="U133" s="5"/>
      <c r="V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1.0</v>
      </c>
      <c r="H134" s="60">
        <v>0.0</v>
      </c>
      <c r="I134" s="60">
        <v>0.0</v>
      </c>
      <c r="J134" s="60">
        <v>0.0</v>
      </c>
      <c r="K134" s="60">
        <v>0.0</v>
      </c>
      <c r="L134" s="60">
        <v>0.0</v>
      </c>
      <c r="M134" s="60">
        <v>0.0</v>
      </c>
      <c r="N134" s="60">
        <v>0.0</v>
      </c>
      <c r="O134" s="60">
        <v>0.0</v>
      </c>
      <c r="P134" s="60">
        <v>0.0</v>
      </c>
      <c r="Q134" s="60">
        <v>0.0</v>
      </c>
      <c r="R134" s="60">
        <v>0.0</v>
      </c>
      <c r="S134" s="60">
        <v>0.0</v>
      </c>
      <c r="T134" s="13">
        <f t="shared" si="14"/>
        <v>1</v>
      </c>
      <c r="U134" s="5"/>
      <c r="V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60">
        <v>1.0</v>
      </c>
      <c r="Q135" s="60">
        <v>0.0</v>
      </c>
      <c r="R135" s="60">
        <v>0.0</v>
      </c>
      <c r="S135" s="60">
        <v>0.0</v>
      </c>
      <c r="T135" s="13">
        <f t="shared" si="14"/>
        <v>1</v>
      </c>
      <c r="U135" s="5"/>
      <c r="V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S136" si="26">SUM(E129:E135)</f>
        <v>3</v>
      </c>
      <c r="F136" s="64">
        <f t="shared" si="26"/>
        <v>2</v>
      </c>
      <c r="G136" s="64">
        <f t="shared" si="26"/>
        <v>6</v>
      </c>
      <c r="H136" s="64">
        <f t="shared" si="26"/>
        <v>19</v>
      </c>
      <c r="I136" s="64">
        <f t="shared" si="26"/>
        <v>13</v>
      </c>
      <c r="J136" s="64">
        <f t="shared" si="26"/>
        <v>0</v>
      </c>
      <c r="K136" s="64">
        <f t="shared" si="26"/>
        <v>2</v>
      </c>
      <c r="L136" s="64">
        <f t="shared" si="26"/>
        <v>1</v>
      </c>
      <c r="M136" s="64">
        <f t="shared" si="26"/>
        <v>3</v>
      </c>
      <c r="N136" s="64">
        <f t="shared" si="26"/>
        <v>1</v>
      </c>
      <c r="O136" s="64">
        <f t="shared" si="26"/>
        <v>0</v>
      </c>
      <c r="P136" s="64">
        <f t="shared" si="26"/>
        <v>3</v>
      </c>
      <c r="Q136" s="64">
        <f t="shared" si="26"/>
        <v>1</v>
      </c>
      <c r="R136" s="64">
        <f t="shared" si="26"/>
        <v>0</v>
      </c>
      <c r="S136" s="64">
        <f t="shared" si="26"/>
        <v>2</v>
      </c>
      <c r="T136" s="13">
        <f t="shared" si="14"/>
        <v>56</v>
      </c>
      <c r="U136" s="5"/>
      <c r="V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13">
        <f t="shared" si="14"/>
        <v>0</v>
      </c>
      <c r="U137" s="5"/>
      <c r="V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60">
        <v>0.0</v>
      </c>
      <c r="N138" s="60">
        <v>0.0</v>
      </c>
      <c r="O138" s="60">
        <v>0.0</v>
      </c>
      <c r="P138" s="60">
        <v>1.0</v>
      </c>
      <c r="Q138" s="60">
        <v>0.0</v>
      </c>
      <c r="R138" s="60">
        <v>0.0</v>
      </c>
      <c r="S138" s="60">
        <v>1.0</v>
      </c>
      <c r="T138" s="13">
        <f t="shared" si="14"/>
        <v>2</v>
      </c>
      <c r="U138" s="5"/>
      <c r="V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3.0</v>
      </c>
      <c r="G139" s="60">
        <v>0.0</v>
      </c>
      <c r="H139" s="60">
        <v>0.0</v>
      </c>
      <c r="I139" s="60">
        <v>2.0</v>
      </c>
      <c r="J139" s="60">
        <v>0.0</v>
      </c>
      <c r="K139" s="60">
        <v>0.0</v>
      </c>
      <c r="L139" s="60">
        <v>0.0</v>
      </c>
      <c r="M139" s="60">
        <v>0.0</v>
      </c>
      <c r="N139" s="60">
        <v>0.0</v>
      </c>
      <c r="O139" s="60">
        <v>0.0</v>
      </c>
      <c r="P139" s="60">
        <v>0.0</v>
      </c>
      <c r="Q139" s="60">
        <v>0.0</v>
      </c>
      <c r="R139" s="60">
        <v>0.0</v>
      </c>
      <c r="S139" s="60">
        <v>0.0</v>
      </c>
      <c r="T139" s="13">
        <f t="shared" si="14"/>
        <v>5</v>
      </c>
      <c r="U139" s="5"/>
      <c r="V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1.0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60">
        <v>0.0</v>
      </c>
      <c r="Q140" s="60">
        <v>0.0</v>
      </c>
      <c r="R140" s="60">
        <v>0.0</v>
      </c>
      <c r="S140" s="60">
        <v>0.0</v>
      </c>
      <c r="T140" s="13">
        <f t="shared" si="14"/>
        <v>1</v>
      </c>
      <c r="U140" s="5"/>
      <c r="V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1.0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60">
        <v>0.0</v>
      </c>
      <c r="O141" s="60">
        <v>0.0</v>
      </c>
      <c r="P141" s="60">
        <v>0.0</v>
      </c>
      <c r="Q141" s="60">
        <v>0.0</v>
      </c>
      <c r="R141" s="60">
        <v>0.0</v>
      </c>
      <c r="S141" s="60">
        <v>0.0</v>
      </c>
      <c r="T141" s="13">
        <f t="shared" si="14"/>
        <v>1</v>
      </c>
      <c r="U141" s="1"/>
      <c r="V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1.0</v>
      </c>
      <c r="L142" s="60">
        <v>0.0</v>
      </c>
      <c r="M142" s="60">
        <v>0.0</v>
      </c>
      <c r="N142" s="60">
        <v>0.0</v>
      </c>
      <c r="O142" s="60">
        <v>0.0</v>
      </c>
      <c r="P142" s="60">
        <v>0.0</v>
      </c>
      <c r="Q142" s="60">
        <v>0.0</v>
      </c>
      <c r="R142" s="60">
        <v>0.0</v>
      </c>
      <c r="S142" s="60">
        <v>0.0</v>
      </c>
      <c r="T142" s="13">
        <f t="shared" si="14"/>
        <v>1</v>
      </c>
      <c r="U142" s="54"/>
      <c r="V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0.0</v>
      </c>
      <c r="P143" s="60">
        <v>0.0</v>
      </c>
      <c r="Q143" s="60">
        <v>0.0</v>
      </c>
      <c r="R143" s="60">
        <v>0.0</v>
      </c>
      <c r="S143" s="60">
        <v>0.0</v>
      </c>
      <c r="T143" s="13">
        <f t="shared" si="14"/>
        <v>0</v>
      </c>
      <c r="U143" s="5"/>
      <c r="V143" s="5"/>
    </row>
    <row r="144" ht="12.75" customHeight="1">
      <c r="A144" s="18"/>
      <c r="B144" s="57"/>
      <c r="C144" s="58" t="s">
        <v>124</v>
      </c>
      <c r="D144" s="59"/>
      <c r="E144" s="60">
        <v>7.0</v>
      </c>
      <c r="F144" s="60">
        <v>2.0</v>
      </c>
      <c r="G144" s="60">
        <v>1.0</v>
      </c>
      <c r="H144" s="60">
        <v>8.0</v>
      </c>
      <c r="I144" s="60">
        <v>4.0</v>
      </c>
      <c r="J144" s="60">
        <v>0.0</v>
      </c>
      <c r="K144" s="60">
        <v>1.0</v>
      </c>
      <c r="L144" s="60">
        <v>0.0</v>
      </c>
      <c r="M144" s="60">
        <v>0.0</v>
      </c>
      <c r="N144" s="60">
        <v>0.0</v>
      </c>
      <c r="O144" s="60">
        <v>0.0</v>
      </c>
      <c r="P144" s="60">
        <v>0.0</v>
      </c>
      <c r="Q144" s="60">
        <v>0.0</v>
      </c>
      <c r="R144" s="60">
        <v>0.0</v>
      </c>
      <c r="S144" s="60">
        <v>1.0</v>
      </c>
      <c r="T144" s="13">
        <f t="shared" si="14"/>
        <v>24</v>
      </c>
      <c r="U144" s="5"/>
      <c r="V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S145" si="27">SUM(E138:E144)</f>
        <v>7</v>
      </c>
      <c r="F145" s="64">
        <f t="shared" si="27"/>
        <v>6</v>
      </c>
      <c r="G145" s="64">
        <f t="shared" si="27"/>
        <v>1</v>
      </c>
      <c r="H145" s="64">
        <f t="shared" si="27"/>
        <v>9</v>
      </c>
      <c r="I145" s="64">
        <f t="shared" si="27"/>
        <v>6</v>
      </c>
      <c r="J145" s="64">
        <f t="shared" si="27"/>
        <v>0</v>
      </c>
      <c r="K145" s="64">
        <f t="shared" si="27"/>
        <v>2</v>
      </c>
      <c r="L145" s="64">
        <f t="shared" si="27"/>
        <v>0</v>
      </c>
      <c r="M145" s="64">
        <f t="shared" si="27"/>
        <v>0</v>
      </c>
      <c r="N145" s="64">
        <f t="shared" si="27"/>
        <v>0</v>
      </c>
      <c r="O145" s="64">
        <f t="shared" si="27"/>
        <v>0</v>
      </c>
      <c r="P145" s="64">
        <f t="shared" si="27"/>
        <v>1</v>
      </c>
      <c r="Q145" s="64">
        <f t="shared" si="27"/>
        <v>0</v>
      </c>
      <c r="R145" s="64">
        <f t="shared" si="27"/>
        <v>0</v>
      </c>
      <c r="S145" s="64">
        <f t="shared" si="27"/>
        <v>2</v>
      </c>
      <c r="T145" s="13">
        <f t="shared" si="14"/>
        <v>34</v>
      </c>
      <c r="U145" s="5"/>
      <c r="V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13">
        <f t="shared" si="14"/>
        <v>0</v>
      </c>
      <c r="U146" s="5"/>
      <c r="V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0.0</v>
      </c>
      <c r="F147" s="60">
        <v>4.0</v>
      </c>
      <c r="G147" s="60">
        <v>1.0</v>
      </c>
      <c r="H147" s="60">
        <v>2.0</v>
      </c>
      <c r="I147" s="60">
        <v>6.0</v>
      </c>
      <c r="J147" s="60">
        <v>2.0</v>
      </c>
      <c r="K147" s="60">
        <v>1.0</v>
      </c>
      <c r="L147" s="60">
        <v>5.0</v>
      </c>
      <c r="M147" s="60">
        <v>8.0</v>
      </c>
      <c r="N147" s="60">
        <v>6.0</v>
      </c>
      <c r="O147" s="60">
        <v>6.0</v>
      </c>
      <c r="P147" s="60">
        <v>3.0</v>
      </c>
      <c r="Q147" s="60">
        <v>3.0</v>
      </c>
      <c r="R147" s="60">
        <v>8.0</v>
      </c>
      <c r="S147" s="60">
        <v>0.0</v>
      </c>
      <c r="T147" s="13">
        <f t="shared" si="14"/>
        <v>55</v>
      </c>
      <c r="U147" s="5"/>
      <c r="V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2.0</v>
      </c>
      <c r="F148" s="60">
        <v>1.0</v>
      </c>
      <c r="G148" s="60">
        <v>2.0</v>
      </c>
      <c r="H148" s="60">
        <v>1.0</v>
      </c>
      <c r="I148" s="60">
        <v>2.0</v>
      </c>
      <c r="J148" s="60">
        <v>1.0</v>
      </c>
      <c r="K148" s="60">
        <v>1.0</v>
      </c>
      <c r="L148" s="60">
        <v>1.0</v>
      </c>
      <c r="M148" s="60">
        <v>0.0</v>
      </c>
      <c r="N148" s="60">
        <v>1.0</v>
      </c>
      <c r="O148" s="60">
        <v>1.0</v>
      </c>
      <c r="P148" s="60">
        <v>1.0</v>
      </c>
      <c r="Q148" s="60">
        <v>0.0</v>
      </c>
      <c r="R148" s="60">
        <v>1.0</v>
      </c>
      <c r="S148" s="60">
        <v>1.0</v>
      </c>
      <c r="T148" s="13">
        <f t="shared" si="14"/>
        <v>16</v>
      </c>
      <c r="U148" s="5"/>
      <c r="V148" s="5"/>
    </row>
    <row r="149" ht="12.75" customHeight="1">
      <c r="A149" s="18"/>
      <c r="B149" s="57"/>
      <c r="C149" s="58" t="s">
        <v>128</v>
      </c>
      <c r="D149" s="59"/>
      <c r="E149" s="60">
        <v>13.0</v>
      </c>
      <c r="F149" s="60">
        <v>15.0</v>
      </c>
      <c r="G149" s="60">
        <v>6.0</v>
      </c>
      <c r="H149" s="60">
        <v>6.0</v>
      </c>
      <c r="I149" s="60">
        <v>5.0</v>
      </c>
      <c r="J149" s="60">
        <v>17.0</v>
      </c>
      <c r="K149" s="60">
        <v>16.0</v>
      </c>
      <c r="L149" s="60">
        <v>11.0</v>
      </c>
      <c r="M149" s="60">
        <v>0.0</v>
      </c>
      <c r="N149" s="60">
        <v>4.0</v>
      </c>
      <c r="O149" s="60">
        <v>4.0</v>
      </c>
      <c r="P149" s="60">
        <v>8.0</v>
      </c>
      <c r="Q149" s="60">
        <v>5.0</v>
      </c>
      <c r="R149" s="60">
        <v>4.0</v>
      </c>
      <c r="S149" s="60">
        <v>1.0</v>
      </c>
      <c r="T149" s="13">
        <f t="shared" si="14"/>
        <v>115</v>
      </c>
      <c r="U149" s="5"/>
      <c r="V149" s="5"/>
    </row>
    <row r="150" ht="12.75" customHeight="1">
      <c r="A150" s="18"/>
      <c r="B150" s="57"/>
      <c r="C150" s="58" t="s">
        <v>129</v>
      </c>
      <c r="D150" s="59"/>
      <c r="E150" s="60">
        <v>0.0</v>
      </c>
      <c r="F150" s="60">
        <v>1.0</v>
      </c>
      <c r="G150" s="60">
        <v>8.0</v>
      </c>
      <c r="H150" s="60">
        <v>0.0</v>
      </c>
      <c r="I150" s="60">
        <v>5.0</v>
      </c>
      <c r="J150" s="60">
        <v>7.0</v>
      </c>
      <c r="K150" s="60">
        <v>7.0</v>
      </c>
      <c r="L150" s="60">
        <v>4.0</v>
      </c>
      <c r="M150" s="60">
        <v>13.0</v>
      </c>
      <c r="N150" s="60">
        <v>32.0</v>
      </c>
      <c r="O150" s="60">
        <v>42.0</v>
      </c>
      <c r="P150" s="60">
        <v>7.0</v>
      </c>
      <c r="Q150" s="60">
        <v>30.0</v>
      </c>
      <c r="R150" s="60">
        <v>18.0</v>
      </c>
      <c r="S150" s="60">
        <v>15.0</v>
      </c>
      <c r="T150" s="13">
        <f t="shared" si="14"/>
        <v>189</v>
      </c>
      <c r="U150" s="5"/>
      <c r="V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1.0</v>
      </c>
      <c r="I151" s="60">
        <v>0.0</v>
      </c>
      <c r="J151" s="60">
        <v>0.0</v>
      </c>
      <c r="K151" s="60">
        <v>0.0</v>
      </c>
      <c r="L151" s="60">
        <v>0.0</v>
      </c>
      <c r="M151" s="60">
        <v>0.0</v>
      </c>
      <c r="N151" s="60">
        <v>1.0</v>
      </c>
      <c r="O151" s="60">
        <v>0.0</v>
      </c>
      <c r="P151" s="60">
        <v>1.0</v>
      </c>
      <c r="Q151" s="60">
        <v>1.0</v>
      </c>
      <c r="R151" s="60">
        <v>1.0</v>
      </c>
      <c r="S151" s="60">
        <v>0.0</v>
      </c>
      <c r="T151" s="13">
        <f t="shared" si="14"/>
        <v>5</v>
      </c>
      <c r="U151" s="1"/>
      <c r="V151" s="1"/>
    </row>
    <row r="152" ht="12.75" customHeight="1">
      <c r="A152" s="18"/>
      <c r="B152" s="57"/>
      <c r="C152" s="58" t="s">
        <v>131</v>
      </c>
      <c r="D152" s="59"/>
      <c r="E152" s="60">
        <v>1.0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60">
        <v>1.0</v>
      </c>
      <c r="L152" s="60">
        <v>0.0</v>
      </c>
      <c r="M152" s="60">
        <v>0.0</v>
      </c>
      <c r="N152" s="60">
        <v>0.0</v>
      </c>
      <c r="O152" s="60">
        <v>0.0</v>
      </c>
      <c r="P152" s="60">
        <v>0.0</v>
      </c>
      <c r="Q152" s="60">
        <v>0.0</v>
      </c>
      <c r="R152" s="60">
        <v>0.0</v>
      </c>
      <c r="S152" s="60">
        <v>0.0</v>
      </c>
      <c r="T152" s="13">
        <f t="shared" si="14"/>
        <v>2</v>
      </c>
      <c r="U152" s="54"/>
      <c r="V152" s="54"/>
    </row>
    <row r="153" ht="12.75" customHeight="1">
      <c r="A153" s="18"/>
      <c r="B153" s="57"/>
      <c r="C153" s="58" t="s">
        <v>132</v>
      </c>
      <c r="D153" s="59"/>
      <c r="E153" s="60">
        <v>1.0</v>
      </c>
      <c r="F153" s="60">
        <v>2.0</v>
      </c>
      <c r="G153" s="60">
        <v>1.0</v>
      </c>
      <c r="H153" s="60">
        <v>0.0</v>
      </c>
      <c r="I153" s="60">
        <v>1.0</v>
      </c>
      <c r="J153" s="60">
        <v>0.0</v>
      </c>
      <c r="K153" s="60">
        <v>0.0</v>
      </c>
      <c r="L153" s="60">
        <v>0.0</v>
      </c>
      <c r="M153" s="60">
        <v>0.0</v>
      </c>
      <c r="N153" s="60">
        <v>0.0</v>
      </c>
      <c r="O153" s="60">
        <v>0.0</v>
      </c>
      <c r="P153" s="60">
        <v>0.0</v>
      </c>
      <c r="Q153" s="60">
        <v>0.0</v>
      </c>
      <c r="R153" s="60">
        <v>0.0</v>
      </c>
      <c r="S153" s="60">
        <v>0.0</v>
      </c>
      <c r="T153" s="13">
        <f t="shared" si="14"/>
        <v>5</v>
      </c>
      <c r="U153" s="5"/>
      <c r="V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S154" si="28">SUM(E147:E153)</f>
        <v>17</v>
      </c>
      <c r="F154" s="64">
        <f t="shared" si="28"/>
        <v>23</v>
      </c>
      <c r="G154" s="64">
        <f t="shared" si="28"/>
        <v>18</v>
      </c>
      <c r="H154" s="64">
        <f t="shared" si="28"/>
        <v>10</v>
      </c>
      <c r="I154" s="64">
        <f t="shared" si="28"/>
        <v>19</v>
      </c>
      <c r="J154" s="64">
        <f t="shared" si="28"/>
        <v>27</v>
      </c>
      <c r="K154" s="64">
        <f t="shared" si="28"/>
        <v>26</v>
      </c>
      <c r="L154" s="64">
        <f t="shared" si="28"/>
        <v>21</v>
      </c>
      <c r="M154" s="64">
        <f t="shared" si="28"/>
        <v>21</v>
      </c>
      <c r="N154" s="64">
        <f t="shared" si="28"/>
        <v>44</v>
      </c>
      <c r="O154" s="64">
        <f t="shared" si="28"/>
        <v>53</v>
      </c>
      <c r="P154" s="64">
        <f t="shared" si="28"/>
        <v>20</v>
      </c>
      <c r="Q154" s="64">
        <f t="shared" si="28"/>
        <v>39</v>
      </c>
      <c r="R154" s="64">
        <f t="shared" si="28"/>
        <v>32</v>
      </c>
      <c r="S154" s="64">
        <f t="shared" si="28"/>
        <v>17</v>
      </c>
      <c r="T154" s="13">
        <f t="shared" si="14"/>
        <v>387</v>
      </c>
      <c r="U154" s="5"/>
      <c r="V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13">
        <f t="shared" si="14"/>
        <v>0</v>
      </c>
      <c r="U155" s="5"/>
      <c r="V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2.0</v>
      </c>
      <c r="F156" s="60">
        <v>0.0</v>
      </c>
      <c r="G156" s="60">
        <v>0.0</v>
      </c>
      <c r="H156" s="60">
        <v>1.0</v>
      </c>
      <c r="I156" s="60">
        <v>1.0</v>
      </c>
      <c r="J156" s="60">
        <v>2.0</v>
      </c>
      <c r="K156" s="60">
        <v>4.0</v>
      </c>
      <c r="L156" s="60">
        <v>0.0</v>
      </c>
      <c r="M156" s="60">
        <v>0.0</v>
      </c>
      <c r="N156" s="60">
        <v>4.0</v>
      </c>
      <c r="O156" s="60">
        <v>0.0</v>
      </c>
      <c r="P156" s="60">
        <v>1.0</v>
      </c>
      <c r="Q156" s="60">
        <v>0.0</v>
      </c>
      <c r="R156" s="60">
        <v>1.0</v>
      </c>
      <c r="S156" s="60">
        <v>0.0</v>
      </c>
      <c r="T156" s="13">
        <f t="shared" si="14"/>
        <v>16</v>
      </c>
      <c r="U156" s="5"/>
      <c r="V156" s="5"/>
    </row>
    <row r="157" ht="12.75" customHeight="1">
      <c r="A157" s="31"/>
      <c r="B157" s="50"/>
      <c r="C157" s="58" t="s">
        <v>135</v>
      </c>
      <c r="D157" s="65"/>
      <c r="E157" s="60">
        <v>1.0</v>
      </c>
      <c r="F157" s="60">
        <v>1.0</v>
      </c>
      <c r="G157" s="60">
        <v>0.0</v>
      </c>
      <c r="H157" s="60">
        <v>2.0</v>
      </c>
      <c r="I157" s="60">
        <v>1.0</v>
      </c>
      <c r="J157" s="60">
        <v>0.0</v>
      </c>
      <c r="K157" s="60">
        <v>0.0</v>
      </c>
      <c r="L157" s="60">
        <v>0.0</v>
      </c>
      <c r="M157" s="60">
        <v>0.0</v>
      </c>
      <c r="N157" s="60">
        <v>0.0</v>
      </c>
      <c r="O157" s="60">
        <v>0.0</v>
      </c>
      <c r="P157" s="60">
        <v>1.0</v>
      </c>
      <c r="Q157" s="60">
        <v>0.0</v>
      </c>
      <c r="R157" s="60">
        <v>0.0</v>
      </c>
      <c r="S157" s="60">
        <v>0.0</v>
      </c>
      <c r="T157" s="13">
        <f t="shared" si="14"/>
        <v>6</v>
      </c>
      <c r="U157" s="5"/>
      <c r="V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1.0</v>
      </c>
      <c r="G158" s="60">
        <v>0.0</v>
      </c>
      <c r="H158" s="60">
        <v>0.0</v>
      </c>
      <c r="I158" s="60">
        <v>0.0</v>
      </c>
      <c r="J158" s="60">
        <v>0.0</v>
      </c>
      <c r="K158" s="60">
        <v>0.0</v>
      </c>
      <c r="L158" s="60">
        <v>0.0</v>
      </c>
      <c r="M158" s="60">
        <v>0.0</v>
      </c>
      <c r="N158" s="60">
        <v>0.0</v>
      </c>
      <c r="O158" s="60">
        <v>0.0</v>
      </c>
      <c r="P158" s="60">
        <v>0.0</v>
      </c>
      <c r="Q158" s="60">
        <v>0.0</v>
      </c>
      <c r="R158" s="60">
        <v>0.0</v>
      </c>
      <c r="S158" s="60">
        <v>0.0</v>
      </c>
      <c r="T158" s="13">
        <f t="shared" si="14"/>
        <v>1</v>
      </c>
      <c r="U158" s="5"/>
      <c r="V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1.0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60">
        <v>0.0</v>
      </c>
      <c r="O159" s="60">
        <v>0.0</v>
      </c>
      <c r="P159" s="60">
        <v>0.0</v>
      </c>
      <c r="Q159" s="60">
        <v>0.0</v>
      </c>
      <c r="R159" s="60">
        <v>0.0</v>
      </c>
      <c r="S159" s="60">
        <v>0.0</v>
      </c>
      <c r="T159" s="13">
        <f t="shared" si="14"/>
        <v>1</v>
      </c>
      <c r="U159" s="5"/>
      <c r="V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1.0</v>
      </c>
      <c r="L160" s="60">
        <v>0.0</v>
      </c>
      <c r="M160" s="60">
        <v>0.0</v>
      </c>
      <c r="N160" s="60">
        <v>0.0</v>
      </c>
      <c r="O160" s="60">
        <v>0.0</v>
      </c>
      <c r="P160" s="60">
        <v>0.0</v>
      </c>
      <c r="Q160" s="60">
        <v>0.0</v>
      </c>
      <c r="R160" s="60">
        <v>0.0</v>
      </c>
      <c r="S160" s="60">
        <v>0.0</v>
      </c>
      <c r="T160" s="13">
        <f t="shared" si="14"/>
        <v>1</v>
      </c>
      <c r="U160" s="5"/>
      <c r="V160" s="5"/>
    </row>
    <row r="161" ht="12.75" customHeight="1">
      <c r="A161" s="31"/>
      <c r="B161" s="57"/>
      <c r="C161" s="58" t="s">
        <v>139</v>
      </c>
      <c r="D161" s="59"/>
      <c r="E161" s="60">
        <v>1.0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0.0</v>
      </c>
      <c r="R161" s="60">
        <v>0.0</v>
      </c>
      <c r="S161" s="60">
        <v>0.0</v>
      </c>
      <c r="T161" s="13">
        <f t="shared" si="14"/>
        <v>1</v>
      </c>
      <c r="U161" s="5"/>
      <c r="V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S162" si="29">SUM(E156:E161)</f>
        <v>4</v>
      </c>
      <c r="F162" s="64">
        <f t="shared" si="29"/>
        <v>2</v>
      </c>
      <c r="G162" s="64">
        <f t="shared" si="29"/>
        <v>0</v>
      </c>
      <c r="H162" s="64">
        <f t="shared" si="29"/>
        <v>4</v>
      </c>
      <c r="I162" s="64">
        <f t="shared" si="29"/>
        <v>2</v>
      </c>
      <c r="J162" s="64">
        <f t="shared" si="29"/>
        <v>2</v>
      </c>
      <c r="K162" s="64">
        <f t="shared" si="29"/>
        <v>5</v>
      </c>
      <c r="L162" s="64">
        <f t="shared" si="29"/>
        <v>0</v>
      </c>
      <c r="M162" s="64">
        <f t="shared" si="29"/>
        <v>0</v>
      </c>
      <c r="N162" s="64">
        <f t="shared" si="29"/>
        <v>4</v>
      </c>
      <c r="O162" s="64">
        <f t="shared" si="29"/>
        <v>0</v>
      </c>
      <c r="P162" s="64">
        <f t="shared" si="29"/>
        <v>2</v>
      </c>
      <c r="Q162" s="64">
        <f t="shared" si="29"/>
        <v>0</v>
      </c>
      <c r="R162" s="64">
        <f t="shared" si="29"/>
        <v>1</v>
      </c>
      <c r="S162" s="64">
        <f t="shared" si="29"/>
        <v>0</v>
      </c>
      <c r="T162" s="13">
        <f t="shared" si="14"/>
        <v>26</v>
      </c>
      <c r="U162" s="5"/>
      <c r="V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13">
        <f t="shared" si="14"/>
        <v>0</v>
      </c>
      <c r="U163" s="5"/>
      <c r="V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1.0</v>
      </c>
      <c r="H164" s="60">
        <v>0.0</v>
      </c>
      <c r="I164" s="60">
        <v>0.0</v>
      </c>
      <c r="J164" s="60">
        <v>1.0</v>
      </c>
      <c r="K164" s="60">
        <v>0.0</v>
      </c>
      <c r="L164" s="60">
        <v>0.0</v>
      </c>
      <c r="M164" s="60">
        <v>0.0</v>
      </c>
      <c r="N164" s="60">
        <v>1.0</v>
      </c>
      <c r="O164" s="60">
        <v>0.0</v>
      </c>
      <c r="P164" s="60">
        <v>0.0</v>
      </c>
      <c r="Q164" s="60">
        <v>0.0</v>
      </c>
      <c r="R164" s="60">
        <v>0.0</v>
      </c>
      <c r="S164" s="60">
        <v>0.0</v>
      </c>
      <c r="T164" s="13">
        <f t="shared" si="14"/>
        <v>3</v>
      </c>
      <c r="U164" s="5"/>
      <c r="V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3.0</v>
      </c>
      <c r="I165" s="60">
        <v>0.0</v>
      </c>
      <c r="J165" s="60">
        <v>1.0</v>
      </c>
      <c r="K165" s="60">
        <v>0.0</v>
      </c>
      <c r="L165" s="60">
        <v>0.0</v>
      </c>
      <c r="M165" s="60">
        <v>0.0</v>
      </c>
      <c r="N165" s="60">
        <v>2.0</v>
      </c>
      <c r="O165" s="60">
        <v>0.0</v>
      </c>
      <c r="P165" s="60">
        <v>0.0</v>
      </c>
      <c r="Q165" s="60">
        <v>0.0</v>
      </c>
      <c r="R165" s="60">
        <v>0.0</v>
      </c>
      <c r="S165" s="60">
        <v>0.0</v>
      </c>
      <c r="T165" s="13">
        <f t="shared" si="14"/>
        <v>6</v>
      </c>
      <c r="U165" s="1"/>
      <c r="V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60">
        <v>0.0</v>
      </c>
      <c r="P166" s="60">
        <v>0.0</v>
      </c>
      <c r="Q166" s="60">
        <v>0.0</v>
      </c>
      <c r="R166" s="60">
        <v>0.0</v>
      </c>
      <c r="S166" s="60">
        <v>0.0</v>
      </c>
      <c r="T166" s="13">
        <f t="shared" si="14"/>
        <v>0</v>
      </c>
      <c r="U166" s="54"/>
      <c r="V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60">
        <v>0.0</v>
      </c>
      <c r="S167" s="60">
        <v>0.0</v>
      </c>
      <c r="T167" s="13">
        <f t="shared" si="14"/>
        <v>0</v>
      </c>
      <c r="U167" s="5"/>
      <c r="V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0.0</v>
      </c>
      <c r="R168" s="60">
        <v>0.0</v>
      </c>
      <c r="S168" s="60">
        <v>0.0</v>
      </c>
      <c r="T168" s="13">
        <f t="shared" si="14"/>
        <v>0</v>
      </c>
      <c r="U168" s="5"/>
      <c r="V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1.0</v>
      </c>
      <c r="M169" s="60">
        <v>0.0</v>
      </c>
      <c r="N169" s="60">
        <v>0.0</v>
      </c>
      <c r="O169" s="60">
        <v>0.0</v>
      </c>
      <c r="P169" s="60">
        <v>0.0</v>
      </c>
      <c r="Q169" s="60">
        <v>0.0</v>
      </c>
      <c r="R169" s="60">
        <v>0.0</v>
      </c>
      <c r="S169" s="60">
        <v>0.0</v>
      </c>
      <c r="T169" s="13">
        <f t="shared" si="14"/>
        <v>1</v>
      </c>
      <c r="U169" s="5"/>
      <c r="V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60">
        <v>0.0</v>
      </c>
      <c r="S170" s="60">
        <v>0.0</v>
      </c>
      <c r="T170" s="13">
        <f t="shared" si="14"/>
        <v>0</v>
      </c>
      <c r="U170" s="5"/>
      <c r="V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S171" si="30">SUM(E164:E170)</f>
        <v>0</v>
      </c>
      <c r="F171" s="64">
        <f t="shared" si="30"/>
        <v>0</v>
      </c>
      <c r="G171" s="64">
        <f t="shared" si="30"/>
        <v>1</v>
      </c>
      <c r="H171" s="64">
        <f t="shared" si="30"/>
        <v>3</v>
      </c>
      <c r="I171" s="64">
        <f t="shared" si="30"/>
        <v>0</v>
      </c>
      <c r="J171" s="64">
        <f t="shared" si="30"/>
        <v>2</v>
      </c>
      <c r="K171" s="64">
        <f t="shared" si="30"/>
        <v>0</v>
      </c>
      <c r="L171" s="64">
        <f t="shared" si="30"/>
        <v>1</v>
      </c>
      <c r="M171" s="64">
        <f t="shared" si="30"/>
        <v>0</v>
      </c>
      <c r="N171" s="64">
        <f t="shared" si="30"/>
        <v>3</v>
      </c>
      <c r="O171" s="64">
        <f t="shared" si="30"/>
        <v>0</v>
      </c>
      <c r="P171" s="64">
        <f t="shared" si="30"/>
        <v>0</v>
      </c>
      <c r="Q171" s="64">
        <f t="shared" si="30"/>
        <v>0</v>
      </c>
      <c r="R171" s="64">
        <f t="shared" si="30"/>
        <v>0</v>
      </c>
      <c r="S171" s="64">
        <f t="shared" si="30"/>
        <v>0</v>
      </c>
      <c r="T171" s="13">
        <f t="shared" si="14"/>
        <v>10</v>
      </c>
      <c r="U171" s="5"/>
      <c r="V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13">
        <f t="shared" si="14"/>
        <v>0</v>
      </c>
      <c r="U172" s="5"/>
      <c r="V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1.0</v>
      </c>
      <c r="G173" s="60">
        <v>0.0</v>
      </c>
      <c r="H173" s="60">
        <v>3.0</v>
      </c>
      <c r="I173" s="60">
        <v>4.0</v>
      </c>
      <c r="J173" s="60">
        <v>2.0</v>
      </c>
      <c r="K173" s="60">
        <v>0.0</v>
      </c>
      <c r="L173" s="60">
        <v>0.0</v>
      </c>
      <c r="M173" s="60">
        <v>0.0</v>
      </c>
      <c r="N173" s="60">
        <v>1.0</v>
      </c>
      <c r="O173" s="60">
        <v>2.0</v>
      </c>
      <c r="P173" s="60">
        <v>1.0</v>
      </c>
      <c r="Q173" s="60">
        <v>1.0</v>
      </c>
      <c r="R173" s="60">
        <v>3.0</v>
      </c>
      <c r="S173" s="60">
        <v>0.0</v>
      </c>
      <c r="T173" s="13">
        <f t="shared" si="14"/>
        <v>18</v>
      </c>
      <c r="U173" s="5"/>
      <c r="V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1.0</v>
      </c>
      <c r="G174" s="60">
        <v>0.0</v>
      </c>
      <c r="H174" s="60">
        <v>0.0</v>
      </c>
      <c r="I174" s="60">
        <v>1.0</v>
      </c>
      <c r="J174" s="60">
        <v>1.0</v>
      </c>
      <c r="K174" s="60">
        <v>0.0</v>
      </c>
      <c r="L174" s="60">
        <v>0.0</v>
      </c>
      <c r="M174" s="60">
        <v>0.0</v>
      </c>
      <c r="N174" s="60">
        <v>0.0</v>
      </c>
      <c r="O174" s="60">
        <v>1.0</v>
      </c>
      <c r="P174" s="60">
        <v>0.0</v>
      </c>
      <c r="Q174" s="60">
        <v>0.0</v>
      </c>
      <c r="R174" s="60">
        <v>0.0</v>
      </c>
      <c r="S174" s="60">
        <v>1.0</v>
      </c>
      <c r="T174" s="13">
        <f t="shared" si="14"/>
        <v>5</v>
      </c>
      <c r="U174" s="5"/>
      <c r="V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0.0</v>
      </c>
      <c r="G175" s="60">
        <v>1.0</v>
      </c>
      <c r="H175" s="60">
        <v>1.0</v>
      </c>
      <c r="I175" s="60">
        <v>0.0</v>
      </c>
      <c r="J175" s="60">
        <v>0.0</v>
      </c>
      <c r="K175" s="60">
        <v>1.0</v>
      </c>
      <c r="L175" s="60">
        <v>0.0</v>
      </c>
      <c r="M175" s="60">
        <v>1.0</v>
      </c>
      <c r="N175" s="60">
        <v>0.0</v>
      </c>
      <c r="O175" s="60">
        <v>3.0</v>
      </c>
      <c r="P175" s="60">
        <v>2.0</v>
      </c>
      <c r="Q175" s="60">
        <v>1.0</v>
      </c>
      <c r="R175" s="60">
        <v>2.0</v>
      </c>
      <c r="S175" s="60">
        <v>2.0</v>
      </c>
      <c r="T175" s="13">
        <f t="shared" si="14"/>
        <v>14</v>
      </c>
      <c r="U175" s="5"/>
      <c r="V175" s="5"/>
    </row>
    <row r="176" ht="12.75" customHeight="1">
      <c r="A176" s="18"/>
      <c r="B176" s="57"/>
      <c r="C176" s="58" t="s">
        <v>152</v>
      </c>
      <c r="D176" s="59"/>
      <c r="E176" s="60">
        <v>2.0</v>
      </c>
      <c r="F176" s="60">
        <v>0.0</v>
      </c>
      <c r="G176" s="60">
        <v>0.0</v>
      </c>
      <c r="H176" s="60">
        <v>1.0</v>
      </c>
      <c r="I176" s="60">
        <v>0.0</v>
      </c>
      <c r="J176" s="60">
        <v>2.0</v>
      </c>
      <c r="K176" s="60">
        <v>1.0</v>
      </c>
      <c r="L176" s="60">
        <v>0.0</v>
      </c>
      <c r="M176" s="60">
        <v>1.0</v>
      </c>
      <c r="N176" s="60">
        <v>0.0</v>
      </c>
      <c r="O176" s="60">
        <v>13.0</v>
      </c>
      <c r="P176" s="60">
        <v>7.0</v>
      </c>
      <c r="Q176" s="60">
        <v>6.0</v>
      </c>
      <c r="R176" s="60">
        <v>14.0</v>
      </c>
      <c r="S176" s="60">
        <v>11.0</v>
      </c>
      <c r="T176" s="13">
        <f t="shared" si="14"/>
        <v>58</v>
      </c>
      <c r="U176" s="1"/>
      <c r="V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2.0</v>
      </c>
      <c r="J177" s="60">
        <v>0.0</v>
      </c>
      <c r="K177" s="60">
        <v>0.0</v>
      </c>
      <c r="L177" s="60">
        <v>0.0</v>
      </c>
      <c r="M177" s="60">
        <v>0.0</v>
      </c>
      <c r="N177" s="60">
        <v>0.0</v>
      </c>
      <c r="O177" s="60">
        <v>0.0</v>
      </c>
      <c r="P177" s="60">
        <v>2.0</v>
      </c>
      <c r="Q177" s="60">
        <v>0.0</v>
      </c>
      <c r="R177" s="60">
        <v>0.0</v>
      </c>
      <c r="S177" s="60">
        <v>0.0</v>
      </c>
      <c r="T177" s="13">
        <f t="shared" si="14"/>
        <v>4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60">
        <v>0.0</v>
      </c>
      <c r="P178" s="60">
        <v>0.0</v>
      </c>
      <c r="Q178" s="60">
        <v>0.0</v>
      </c>
      <c r="R178" s="60">
        <v>0.0</v>
      </c>
      <c r="S178" s="60">
        <v>0.0</v>
      </c>
      <c r="T178" s="13">
        <f t="shared" si="14"/>
        <v>0</v>
      </c>
      <c r="U178" s="5"/>
      <c r="V178" s="5"/>
    </row>
    <row r="179" ht="12.75" customHeight="1">
      <c r="A179" s="18"/>
      <c r="B179" s="57"/>
      <c r="C179" s="58" t="s">
        <v>155</v>
      </c>
      <c r="D179" s="59"/>
      <c r="E179" s="60">
        <v>1.0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1.0</v>
      </c>
      <c r="M179" s="60">
        <v>0.0</v>
      </c>
      <c r="N179" s="60">
        <v>0.0</v>
      </c>
      <c r="O179" s="60">
        <v>0.0</v>
      </c>
      <c r="P179" s="60">
        <v>0.0</v>
      </c>
      <c r="Q179" s="60">
        <v>1.0</v>
      </c>
      <c r="R179" s="60">
        <v>1.0</v>
      </c>
      <c r="S179" s="60">
        <v>0.0</v>
      </c>
      <c r="T179" s="13">
        <f t="shared" si="14"/>
        <v>4</v>
      </c>
      <c r="U179" s="5"/>
      <c r="V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S180" si="31">SUM(E173:E179)</f>
        <v>3</v>
      </c>
      <c r="F180" s="64">
        <f t="shared" si="31"/>
        <v>2</v>
      </c>
      <c r="G180" s="64">
        <f t="shared" si="31"/>
        <v>1</v>
      </c>
      <c r="H180" s="64">
        <f t="shared" si="31"/>
        <v>5</v>
      </c>
      <c r="I180" s="64">
        <f t="shared" si="31"/>
        <v>7</v>
      </c>
      <c r="J180" s="64">
        <f t="shared" si="31"/>
        <v>5</v>
      </c>
      <c r="K180" s="64">
        <f t="shared" si="31"/>
        <v>2</v>
      </c>
      <c r="L180" s="64">
        <f t="shared" si="31"/>
        <v>1</v>
      </c>
      <c r="M180" s="64">
        <f t="shared" si="31"/>
        <v>2</v>
      </c>
      <c r="N180" s="64">
        <f t="shared" si="31"/>
        <v>1</v>
      </c>
      <c r="O180" s="64">
        <f t="shared" si="31"/>
        <v>19</v>
      </c>
      <c r="P180" s="64">
        <f t="shared" si="31"/>
        <v>12</v>
      </c>
      <c r="Q180" s="64">
        <f t="shared" si="31"/>
        <v>9</v>
      </c>
      <c r="R180" s="64">
        <f t="shared" si="31"/>
        <v>20</v>
      </c>
      <c r="S180" s="64">
        <f t="shared" si="31"/>
        <v>14</v>
      </c>
      <c r="T180" s="13">
        <f t="shared" si="14"/>
        <v>103</v>
      </c>
      <c r="U180" s="5"/>
      <c r="V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13">
        <f t="shared" si="14"/>
        <v>0</v>
      </c>
      <c r="U181" s="5"/>
      <c r="V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1.0</v>
      </c>
      <c r="F182" s="60">
        <v>0.0</v>
      </c>
      <c r="G182" s="60">
        <v>1.0</v>
      </c>
      <c r="H182" s="60">
        <v>0.0</v>
      </c>
      <c r="I182" s="60">
        <v>0.0</v>
      </c>
      <c r="J182" s="60">
        <v>1.0</v>
      </c>
      <c r="K182" s="60">
        <v>0.0</v>
      </c>
      <c r="L182" s="60">
        <v>1.0</v>
      </c>
      <c r="M182" s="60">
        <v>0.0</v>
      </c>
      <c r="N182" s="60">
        <v>0.0</v>
      </c>
      <c r="O182" s="60">
        <v>1.0</v>
      </c>
      <c r="P182" s="60">
        <v>1.0</v>
      </c>
      <c r="Q182" s="60">
        <v>0.0</v>
      </c>
      <c r="R182" s="60">
        <v>0.0</v>
      </c>
      <c r="S182" s="60">
        <v>0.0</v>
      </c>
      <c r="T182" s="13">
        <f t="shared" si="14"/>
        <v>6</v>
      </c>
      <c r="U182" s="5"/>
      <c r="V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2.0</v>
      </c>
      <c r="G183" s="60">
        <v>0.0</v>
      </c>
      <c r="H183" s="60">
        <v>0.0</v>
      </c>
      <c r="I183" s="60">
        <v>0.0</v>
      </c>
      <c r="J183" s="60">
        <v>0.0</v>
      </c>
      <c r="K183" s="60">
        <v>0.0</v>
      </c>
      <c r="L183" s="60">
        <v>1.0</v>
      </c>
      <c r="M183" s="60">
        <v>0.0</v>
      </c>
      <c r="N183" s="60">
        <v>0.0</v>
      </c>
      <c r="O183" s="60">
        <v>0.0</v>
      </c>
      <c r="P183" s="60">
        <v>0.0</v>
      </c>
      <c r="Q183" s="60">
        <v>0.0</v>
      </c>
      <c r="R183" s="60">
        <v>0.0</v>
      </c>
      <c r="S183" s="60">
        <v>0.0</v>
      </c>
      <c r="T183" s="13">
        <f t="shared" si="14"/>
        <v>3</v>
      </c>
      <c r="U183" s="5"/>
      <c r="V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60">
        <v>0.0</v>
      </c>
      <c r="P184" s="60">
        <v>0.0</v>
      </c>
      <c r="Q184" s="60">
        <v>0.0</v>
      </c>
      <c r="R184" s="60">
        <v>0.0</v>
      </c>
      <c r="S184" s="60">
        <v>0.0</v>
      </c>
      <c r="T184" s="13">
        <f t="shared" si="14"/>
        <v>0</v>
      </c>
      <c r="U184" s="5"/>
      <c r="V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60">
        <v>0.0</v>
      </c>
      <c r="S185" s="60">
        <v>0.0</v>
      </c>
      <c r="T185" s="13">
        <f t="shared" si="14"/>
        <v>0</v>
      </c>
      <c r="U185" s="5"/>
      <c r="V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60">
        <v>0.0</v>
      </c>
      <c r="P186" s="60">
        <v>0.0</v>
      </c>
      <c r="Q186" s="60">
        <v>0.0</v>
      </c>
      <c r="R186" s="60">
        <v>1.0</v>
      </c>
      <c r="S186" s="60">
        <v>0.0</v>
      </c>
      <c r="T186" s="13">
        <f t="shared" si="14"/>
        <v>1</v>
      </c>
      <c r="U186" s="5"/>
      <c r="V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S187" si="32">SUM(E182:E186)</f>
        <v>1</v>
      </c>
      <c r="F187" s="64">
        <f t="shared" si="32"/>
        <v>2</v>
      </c>
      <c r="G187" s="64">
        <f t="shared" si="32"/>
        <v>1</v>
      </c>
      <c r="H187" s="64">
        <f t="shared" si="32"/>
        <v>0</v>
      </c>
      <c r="I187" s="64">
        <f t="shared" si="32"/>
        <v>0</v>
      </c>
      <c r="J187" s="64">
        <f t="shared" si="32"/>
        <v>1</v>
      </c>
      <c r="K187" s="64">
        <f t="shared" si="32"/>
        <v>0</v>
      </c>
      <c r="L187" s="64">
        <f t="shared" si="32"/>
        <v>2</v>
      </c>
      <c r="M187" s="64">
        <f t="shared" si="32"/>
        <v>0</v>
      </c>
      <c r="N187" s="64">
        <f t="shared" si="32"/>
        <v>0</v>
      </c>
      <c r="O187" s="64">
        <f t="shared" si="32"/>
        <v>1</v>
      </c>
      <c r="P187" s="64">
        <f t="shared" si="32"/>
        <v>1</v>
      </c>
      <c r="Q187" s="64">
        <f t="shared" si="32"/>
        <v>0</v>
      </c>
      <c r="R187" s="64">
        <f t="shared" si="32"/>
        <v>1</v>
      </c>
      <c r="S187" s="64">
        <f t="shared" si="32"/>
        <v>0</v>
      </c>
      <c r="T187" s="13">
        <f t="shared" si="14"/>
        <v>10</v>
      </c>
      <c r="U187" s="1"/>
      <c r="V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3">
        <f t="shared" si="14"/>
        <v>0</v>
      </c>
      <c r="U189" s="5"/>
      <c r="V189" s="5"/>
    </row>
    <row r="190" ht="12.75" customHeight="1">
      <c r="A190" s="45" t="s">
        <v>162</v>
      </c>
      <c r="B190" s="14" t="s">
        <v>163</v>
      </c>
      <c r="C190" s="15"/>
      <c r="D190" s="16"/>
      <c r="E190" s="13" t="s">
        <v>172</v>
      </c>
      <c r="F190" s="13" t="s">
        <v>173</v>
      </c>
      <c r="G190" s="13" t="s">
        <v>174</v>
      </c>
      <c r="H190" s="13" t="s">
        <v>175</v>
      </c>
      <c r="I190" s="13" t="s">
        <v>176</v>
      </c>
      <c r="J190" s="13" t="s">
        <v>177</v>
      </c>
      <c r="K190" s="13" t="s">
        <v>179</v>
      </c>
      <c r="L190" s="13" t="s">
        <v>180</v>
      </c>
      <c r="M190" s="13" t="s">
        <v>181</v>
      </c>
      <c r="N190" s="13" t="s">
        <v>183</v>
      </c>
      <c r="O190" s="13" t="s">
        <v>184</v>
      </c>
      <c r="P190" s="13" t="s">
        <v>185</v>
      </c>
      <c r="Q190" s="13" t="s">
        <v>186</v>
      </c>
      <c r="R190" s="13" t="s">
        <v>188</v>
      </c>
      <c r="S190" s="13" t="s">
        <v>189</v>
      </c>
      <c r="T190" s="13">
        <f t="shared" si="14"/>
        <v>0</v>
      </c>
      <c r="U190" s="5"/>
      <c r="V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S191" si="33">E187+E180+E162+E154+E145+E136+E127+E123+E114+E110+E101+E92+E88+E79+E70+E61+E52</f>
        <v>175</v>
      </c>
      <c r="F191" s="19">
        <f t="shared" si="33"/>
        <v>187</v>
      </c>
      <c r="G191" s="19">
        <f t="shared" si="33"/>
        <v>187</v>
      </c>
      <c r="H191" s="19">
        <f t="shared" si="33"/>
        <v>170</v>
      </c>
      <c r="I191" s="19">
        <f t="shared" si="33"/>
        <v>175</v>
      </c>
      <c r="J191" s="19">
        <f t="shared" si="33"/>
        <v>180</v>
      </c>
      <c r="K191" s="19">
        <f t="shared" si="33"/>
        <v>206</v>
      </c>
      <c r="L191" s="19">
        <f t="shared" si="33"/>
        <v>182</v>
      </c>
      <c r="M191" s="19">
        <f t="shared" si="33"/>
        <v>172</v>
      </c>
      <c r="N191" s="19">
        <f t="shared" si="33"/>
        <v>157</v>
      </c>
      <c r="O191" s="19">
        <f t="shared" si="33"/>
        <v>214</v>
      </c>
      <c r="P191" s="19">
        <f t="shared" si="33"/>
        <v>208</v>
      </c>
      <c r="Q191" s="19">
        <f t="shared" si="33"/>
        <v>221</v>
      </c>
      <c r="R191" s="19">
        <f t="shared" si="33"/>
        <v>218</v>
      </c>
      <c r="S191" s="19">
        <f t="shared" si="33"/>
        <v>232</v>
      </c>
      <c r="T191" s="13">
        <f t="shared" si="14"/>
        <v>2884</v>
      </c>
      <c r="U191" s="5"/>
      <c r="V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33.0</v>
      </c>
      <c r="F192" s="60">
        <v>14.0</v>
      </c>
      <c r="G192" s="60">
        <v>14.0</v>
      </c>
      <c r="H192" s="60">
        <v>16.0</v>
      </c>
      <c r="I192" s="60">
        <v>22.0</v>
      </c>
      <c r="J192" s="60">
        <v>15.0</v>
      </c>
      <c r="K192" s="60">
        <v>19.0</v>
      </c>
      <c r="L192" s="60">
        <v>15.0</v>
      </c>
      <c r="M192" s="60">
        <v>9.0</v>
      </c>
      <c r="N192" s="60">
        <v>23.0</v>
      </c>
      <c r="O192" s="60">
        <v>21.0</v>
      </c>
      <c r="P192" s="60">
        <v>11.0</v>
      </c>
      <c r="Q192" s="60">
        <v>7.0</v>
      </c>
      <c r="R192" s="60">
        <v>11.0</v>
      </c>
      <c r="S192" s="60">
        <v>18.0</v>
      </c>
      <c r="T192" s="13">
        <f t="shared" si="14"/>
        <v>248</v>
      </c>
      <c r="U192" s="5"/>
      <c r="V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S193" si="34">SUM(E191:E192)</f>
        <v>208</v>
      </c>
      <c r="F193" s="13">
        <f t="shared" si="34"/>
        <v>201</v>
      </c>
      <c r="G193" s="13">
        <f t="shared" si="34"/>
        <v>201</v>
      </c>
      <c r="H193" s="13">
        <f t="shared" si="34"/>
        <v>186</v>
      </c>
      <c r="I193" s="13">
        <f t="shared" si="34"/>
        <v>197</v>
      </c>
      <c r="J193" s="13">
        <f t="shared" si="34"/>
        <v>195</v>
      </c>
      <c r="K193" s="13">
        <f t="shared" si="34"/>
        <v>225</v>
      </c>
      <c r="L193" s="13">
        <f t="shared" si="34"/>
        <v>197</v>
      </c>
      <c r="M193" s="13">
        <f t="shared" si="34"/>
        <v>181</v>
      </c>
      <c r="N193" s="13">
        <f t="shared" si="34"/>
        <v>180</v>
      </c>
      <c r="O193" s="13">
        <f t="shared" si="34"/>
        <v>235</v>
      </c>
      <c r="P193" s="13">
        <f t="shared" si="34"/>
        <v>219</v>
      </c>
      <c r="Q193" s="13">
        <f t="shared" si="34"/>
        <v>228</v>
      </c>
      <c r="R193" s="13">
        <f t="shared" si="34"/>
        <v>229</v>
      </c>
      <c r="S193" s="13">
        <f t="shared" si="34"/>
        <v>250</v>
      </c>
      <c r="T193" s="13">
        <f t="shared" si="14"/>
        <v>3132</v>
      </c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4"/>
      <c r="V199" s="54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4"/>
      <c r="V208" s="54"/>
    </row>
    <row r="209" ht="12.75" customHeight="1">
      <c r="U209" s="54"/>
      <c r="V209" s="54"/>
    </row>
    <row r="210" ht="12.75" customHeight="1">
      <c r="U210" s="54"/>
      <c r="V210" s="54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4"/>
      <c r="V219" s="54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4"/>
      <c r="V230" s="54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45:S51">
    <cfRule type="containsBlanks" dxfId="1" priority="10">
      <formula>LEN(TRIM(E45))=0</formula>
    </cfRule>
  </conditionalFormatting>
  <conditionalFormatting sqref="E54:S60">
    <cfRule type="containsBlanks" dxfId="1" priority="11">
      <formula>LEN(TRIM(E54))=0</formula>
    </cfRule>
  </conditionalFormatting>
  <conditionalFormatting sqref="E63:S69">
    <cfRule type="containsBlanks" dxfId="1" priority="12">
      <formula>LEN(TRIM(E63))=0</formula>
    </cfRule>
  </conditionalFormatting>
  <conditionalFormatting sqref="E72:S78">
    <cfRule type="containsBlanks" dxfId="1" priority="13">
      <formula>LEN(TRIM(E72))=0</formula>
    </cfRule>
  </conditionalFormatting>
  <conditionalFormatting sqref="E81:S87">
    <cfRule type="containsBlanks" dxfId="1" priority="14">
      <formula>LEN(TRIM(E81))=0</formula>
    </cfRule>
  </conditionalFormatting>
  <conditionalFormatting sqref="E90:S91">
    <cfRule type="containsBlanks" dxfId="1" priority="15">
      <formula>LEN(TRIM(E90))=0</formula>
    </cfRule>
  </conditionalFormatting>
  <conditionalFormatting sqref="E94:S100">
    <cfRule type="containsBlanks" dxfId="1" priority="16">
      <formula>LEN(TRIM(E94))=0</formula>
    </cfRule>
  </conditionalFormatting>
  <conditionalFormatting sqref="E103:S109">
    <cfRule type="containsBlanks" dxfId="1" priority="17">
      <formula>LEN(TRIM(E103))=0</formula>
    </cfRule>
  </conditionalFormatting>
  <conditionalFormatting sqref="E112:S113">
    <cfRule type="containsBlanks" dxfId="1" priority="18">
      <formula>LEN(TRIM(E112))=0</formula>
    </cfRule>
  </conditionalFormatting>
  <conditionalFormatting sqref="E116:S122">
    <cfRule type="containsBlanks" dxfId="1" priority="19">
      <formula>LEN(TRIM(E116))=0</formula>
    </cfRule>
  </conditionalFormatting>
  <conditionalFormatting sqref="E125:S126">
    <cfRule type="containsBlanks" dxfId="1" priority="20">
      <formula>LEN(TRIM(E125))=0</formula>
    </cfRule>
  </conditionalFormatting>
  <conditionalFormatting sqref="E129:S135">
    <cfRule type="containsBlanks" dxfId="1" priority="21">
      <formula>LEN(TRIM(E129))=0</formula>
    </cfRule>
  </conditionalFormatting>
  <conditionalFormatting sqref="E138:S144">
    <cfRule type="containsBlanks" dxfId="1" priority="22">
      <formula>LEN(TRIM(E138))=0</formula>
    </cfRule>
  </conditionalFormatting>
  <conditionalFormatting sqref="E147:S153">
    <cfRule type="containsBlanks" dxfId="1" priority="23">
      <formula>LEN(TRIM(E147))=0</formula>
    </cfRule>
  </conditionalFormatting>
  <conditionalFormatting sqref="E156:S161">
    <cfRule type="containsBlanks" dxfId="1" priority="24">
      <formula>LEN(TRIM(E156))=0</formula>
    </cfRule>
  </conditionalFormatting>
  <conditionalFormatting sqref="E164:S170">
    <cfRule type="containsBlanks" dxfId="1" priority="25">
      <formula>LEN(TRIM(E164))=0</formula>
    </cfRule>
  </conditionalFormatting>
  <conditionalFormatting sqref="E173:S179">
    <cfRule type="containsBlanks" dxfId="1" priority="26">
      <formula>LEN(TRIM(E173))=0</formula>
    </cfRule>
  </conditionalFormatting>
  <conditionalFormatting sqref="E182:S186">
    <cfRule type="containsBlanks" dxfId="1" priority="27">
      <formula>LEN(TRIM(E182))=0</formula>
    </cfRule>
  </conditionalFormatting>
  <conditionalFormatting sqref="E191:S192">
    <cfRule type="containsBlanks" dxfId="1" priority="28">
      <formula>LEN(TRIM(E191))=0</formula>
    </cfRule>
  </conditionalFormatting>
  <conditionalFormatting sqref="E193:S193">
    <cfRule type="expression" dxfId="0" priority="29">
      <formula>E193&lt;&gt;#REF!</formula>
    </cfRule>
  </conditionalFormatting>
  <conditionalFormatting sqref="E193:S193">
    <cfRule type="expression" dxfId="2" priority="30">
      <formula>#REF!&lt;&gt;E193</formula>
    </cfRule>
  </conditionalFormatting>
  <conditionalFormatting sqref="E193:S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60">
        <v>125.0</v>
      </c>
      <c r="F14" s="60">
        <v>144.0</v>
      </c>
      <c r="G14" s="60">
        <v>147.0</v>
      </c>
      <c r="H14" s="60">
        <v>146.0</v>
      </c>
      <c r="I14" s="60">
        <v>104.0</v>
      </c>
      <c r="J14" s="60">
        <v>123.0</v>
      </c>
      <c r="K14" s="60">
        <v>133.0</v>
      </c>
      <c r="L14" s="60">
        <v>130.0</v>
      </c>
      <c r="M14" s="60">
        <v>121.0</v>
      </c>
      <c r="N14" s="60">
        <v>132.0</v>
      </c>
      <c r="O14" s="13">
        <f t="shared" ref="O14:O16" si="1">SUM(E14:N14)</f>
        <v>1305</v>
      </c>
    </row>
    <row r="15" ht="12.75" customHeight="1">
      <c r="A15" s="18"/>
      <c r="B15" s="26"/>
      <c r="C15" s="27"/>
      <c r="D15" s="19" t="s">
        <v>13</v>
      </c>
      <c r="E15" s="60">
        <v>127.0</v>
      </c>
      <c r="F15" s="60">
        <v>125.0</v>
      </c>
      <c r="G15" s="60">
        <v>108.0</v>
      </c>
      <c r="H15" s="60">
        <v>137.0</v>
      </c>
      <c r="I15" s="60">
        <v>112.0</v>
      </c>
      <c r="J15" s="60">
        <v>133.0</v>
      </c>
      <c r="K15" s="60">
        <v>134.0</v>
      </c>
      <c r="L15" s="60">
        <v>133.0</v>
      </c>
      <c r="M15" s="60">
        <v>126.0</v>
      </c>
      <c r="N15" s="60">
        <v>128.0</v>
      </c>
      <c r="O15" s="13">
        <f t="shared" si="1"/>
        <v>1263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252</v>
      </c>
      <c r="F16" s="13">
        <f t="shared" si="2"/>
        <v>269</v>
      </c>
      <c r="G16" s="13">
        <f t="shared" si="2"/>
        <v>255</v>
      </c>
      <c r="H16" s="13">
        <f t="shared" si="2"/>
        <v>283</v>
      </c>
      <c r="I16" s="13">
        <f t="shared" si="2"/>
        <v>216</v>
      </c>
      <c r="J16" s="13">
        <f t="shared" si="2"/>
        <v>256</v>
      </c>
      <c r="K16" s="13">
        <f t="shared" si="2"/>
        <v>267</v>
      </c>
      <c r="L16" s="13">
        <f t="shared" si="2"/>
        <v>263</v>
      </c>
      <c r="M16" s="13">
        <f t="shared" si="2"/>
        <v>247</v>
      </c>
      <c r="N16" s="13">
        <f t="shared" si="2"/>
        <v>260</v>
      </c>
      <c r="O16" s="13">
        <f t="shared" si="1"/>
        <v>2568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106.0</v>
      </c>
      <c r="F19" s="60">
        <v>112.0</v>
      </c>
      <c r="G19" s="60">
        <v>103.0</v>
      </c>
      <c r="H19" s="60">
        <v>122.0</v>
      </c>
      <c r="I19" s="60">
        <v>98.0</v>
      </c>
      <c r="J19" s="60">
        <v>111.0</v>
      </c>
      <c r="K19" s="60">
        <v>110.0</v>
      </c>
      <c r="L19" s="60">
        <v>109.0</v>
      </c>
      <c r="M19" s="60">
        <v>101.0</v>
      </c>
      <c r="N19" s="60">
        <v>113.0</v>
      </c>
      <c r="O19" s="13">
        <f t="shared" ref="O19:O30" si="3">SUM(E19:N19)</f>
        <v>1085</v>
      </c>
    </row>
    <row r="20" ht="12.75" customHeight="1">
      <c r="A20" s="34"/>
      <c r="B20" s="27"/>
      <c r="C20" s="35"/>
      <c r="D20" s="19" t="s">
        <v>13</v>
      </c>
      <c r="E20" s="60">
        <v>116.0</v>
      </c>
      <c r="F20" s="60">
        <v>111.0</v>
      </c>
      <c r="G20" s="60">
        <v>123.0</v>
      </c>
      <c r="H20" s="60">
        <v>125.0</v>
      </c>
      <c r="I20" s="60">
        <v>107.0</v>
      </c>
      <c r="J20" s="60">
        <v>123.0</v>
      </c>
      <c r="K20" s="60">
        <v>117.0</v>
      </c>
      <c r="L20" s="60">
        <v>116.0</v>
      </c>
      <c r="M20" s="60">
        <v>115.0</v>
      </c>
      <c r="N20" s="60">
        <v>114.0</v>
      </c>
      <c r="O20" s="13">
        <f t="shared" si="3"/>
        <v>1167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222</v>
      </c>
      <c r="F21" s="13">
        <f t="shared" si="4"/>
        <v>223</v>
      </c>
      <c r="G21" s="13">
        <f t="shared" si="4"/>
        <v>226</v>
      </c>
      <c r="H21" s="13">
        <f t="shared" si="4"/>
        <v>247</v>
      </c>
      <c r="I21" s="13">
        <f t="shared" si="4"/>
        <v>205</v>
      </c>
      <c r="J21" s="13">
        <f t="shared" si="4"/>
        <v>234</v>
      </c>
      <c r="K21" s="13">
        <f t="shared" si="4"/>
        <v>227</v>
      </c>
      <c r="L21" s="13">
        <f t="shared" si="4"/>
        <v>225</v>
      </c>
      <c r="M21" s="13">
        <f t="shared" si="4"/>
        <v>216</v>
      </c>
      <c r="N21" s="13">
        <f t="shared" si="4"/>
        <v>227</v>
      </c>
      <c r="O21" s="13">
        <f t="shared" si="3"/>
        <v>2252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1.0</v>
      </c>
      <c r="K22" s="60">
        <v>1.0</v>
      </c>
      <c r="L22" s="60">
        <v>0.0</v>
      </c>
      <c r="M22" s="60">
        <v>0.0</v>
      </c>
      <c r="N22" s="60">
        <v>0.0</v>
      </c>
      <c r="O22" s="13">
        <f t="shared" si="3"/>
        <v>2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2.0</v>
      </c>
      <c r="G23" s="60">
        <v>0.0</v>
      </c>
      <c r="H23" s="60">
        <v>0.0</v>
      </c>
      <c r="I23" s="60">
        <v>0.0</v>
      </c>
      <c r="J23" s="60">
        <v>0.0</v>
      </c>
      <c r="K23" s="60">
        <v>2.0</v>
      </c>
      <c r="L23" s="60">
        <v>2.0</v>
      </c>
      <c r="M23" s="60">
        <v>0.0</v>
      </c>
      <c r="N23" s="60">
        <v>2.0</v>
      </c>
      <c r="O23" s="13">
        <f t="shared" si="3"/>
        <v>8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3"/>
        <v>10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0.0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60">
        <v>0.0</v>
      </c>
      <c r="N25" s="60">
        <v>0.0</v>
      </c>
      <c r="O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1.0</v>
      </c>
      <c r="G26" s="60">
        <v>2.0</v>
      </c>
      <c r="H26" s="60">
        <v>0.0</v>
      </c>
      <c r="I26" s="60">
        <v>0.0</v>
      </c>
      <c r="J26" s="60">
        <v>0.0</v>
      </c>
      <c r="K26" s="60">
        <v>0.0</v>
      </c>
      <c r="L26" s="60">
        <v>0.0</v>
      </c>
      <c r="M26" s="60">
        <v>0.0</v>
      </c>
      <c r="N26" s="60">
        <v>0.0</v>
      </c>
      <c r="O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3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N28" si="7">SUM(E19,E22,E25)</f>
        <v>106</v>
      </c>
      <c r="F28" s="13">
        <f t="shared" si="7"/>
        <v>112</v>
      </c>
      <c r="G28" s="13">
        <f t="shared" si="7"/>
        <v>103</v>
      </c>
      <c r="H28" s="13">
        <f t="shared" si="7"/>
        <v>122</v>
      </c>
      <c r="I28" s="13">
        <f t="shared" si="7"/>
        <v>98</v>
      </c>
      <c r="J28" s="13">
        <f t="shared" si="7"/>
        <v>112</v>
      </c>
      <c r="K28" s="13">
        <f t="shared" si="7"/>
        <v>111</v>
      </c>
      <c r="L28" s="13">
        <f t="shared" si="7"/>
        <v>109</v>
      </c>
      <c r="M28" s="13">
        <f t="shared" si="7"/>
        <v>101</v>
      </c>
      <c r="N28" s="13">
        <f t="shared" si="7"/>
        <v>113</v>
      </c>
      <c r="O28" s="13">
        <f t="shared" si="3"/>
        <v>1087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116</v>
      </c>
      <c r="F29" s="13">
        <f t="shared" si="8"/>
        <v>114</v>
      </c>
      <c r="G29" s="13">
        <f t="shared" si="8"/>
        <v>125</v>
      </c>
      <c r="H29" s="13">
        <f t="shared" si="8"/>
        <v>125</v>
      </c>
      <c r="I29" s="13">
        <f t="shared" si="8"/>
        <v>107</v>
      </c>
      <c r="J29" s="13">
        <f t="shared" si="8"/>
        <v>123</v>
      </c>
      <c r="K29" s="13">
        <f t="shared" si="8"/>
        <v>119</v>
      </c>
      <c r="L29" s="13">
        <f t="shared" si="8"/>
        <v>118</v>
      </c>
      <c r="M29" s="13">
        <f t="shared" si="8"/>
        <v>115</v>
      </c>
      <c r="N29" s="13">
        <f t="shared" si="8"/>
        <v>116</v>
      </c>
      <c r="O29" s="13">
        <f t="shared" si="3"/>
        <v>1178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222</v>
      </c>
      <c r="F30" s="13">
        <f t="shared" si="9"/>
        <v>226</v>
      </c>
      <c r="G30" s="13">
        <f t="shared" si="9"/>
        <v>228</v>
      </c>
      <c r="H30" s="13">
        <f t="shared" si="9"/>
        <v>247</v>
      </c>
      <c r="I30" s="13">
        <f t="shared" si="9"/>
        <v>205</v>
      </c>
      <c r="J30" s="13">
        <f t="shared" si="9"/>
        <v>235</v>
      </c>
      <c r="K30" s="13">
        <f t="shared" si="9"/>
        <v>230</v>
      </c>
      <c r="L30" s="13">
        <f t="shared" si="9"/>
        <v>227</v>
      </c>
      <c r="M30" s="13">
        <f t="shared" si="9"/>
        <v>216</v>
      </c>
      <c r="N30" s="13">
        <f t="shared" si="9"/>
        <v>229</v>
      </c>
      <c r="O30" s="13">
        <f t="shared" si="3"/>
        <v>2265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3"/>
    </row>
    <row r="33" ht="12.75" customHeight="1">
      <c r="A33" s="19">
        <v>1.0</v>
      </c>
      <c r="B33" s="20" t="s">
        <v>27</v>
      </c>
      <c r="C33" s="15"/>
      <c r="D33" s="16"/>
      <c r="E33" s="60">
        <v>243.0</v>
      </c>
      <c r="F33" s="60">
        <v>269.0</v>
      </c>
      <c r="G33" s="60">
        <v>236.0</v>
      </c>
      <c r="H33" s="60">
        <v>283.0</v>
      </c>
      <c r="I33" s="60">
        <v>216.0</v>
      </c>
      <c r="J33" s="60">
        <v>256.0</v>
      </c>
      <c r="K33" s="60">
        <v>267.0</v>
      </c>
      <c r="L33" s="60">
        <v>264.0</v>
      </c>
      <c r="M33" s="60">
        <v>247.0</v>
      </c>
      <c r="N33" s="60">
        <v>261.0</v>
      </c>
      <c r="O33" s="13">
        <f t="shared" ref="O33:O36" si="10">SUM(E33:N33)</f>
        <v>2542</v>
      </c>
    </row>
    <row r="34" ht="12.75" customHeight="1">
      <c r="A34" s="19">
        <v>2.0</v>
      </c>
      <c r="B34" s="20" t="s">
        <v>28</v>
      </c>
      <c r="C34" s="15"/>
      <c r="D34" s="16"/>
      <c r="E34" s="75">
        <v>222.0</v>
      </c>
      <c r="F34" s="75">
        <v>226.0</v>
      </c>
      <c r="G34" s="75">
        <v>228.0</v>
      </c>
      <c r="H34" s="75">
        <v>247.0</v>
      </c>
      <c r="I34" s="75">
        <v>205.0</v>
      </c>
      <c r="J34" s="75">
        <v>235.0</v>
      </c>
      <c r="K34" s="75">
        <v>230.0</v>
      </c>
      <c r="L34" s="75">
        <v>227.0</v>
      </c>
      <c r="M34" s="75">
        <v>216.0</v>
      </c>
      <c r="N34" s="75">
        <v>229.0</v>
      </c>
      <c r="O34" s="13">
        <f t="shared" si="10"/>
        <v>2265</v>
      </c>
    </row>
    <row r="35" ht="12.75" customHeight="1">
      <c r="A35" s="19">
        <v>3.0</v>
      </c>
      <c r="B35" s="20" t="s">
        <v>29</v>
      </c>
      <c r="C35" s="15"/>
      <c r="D35" s="16"/>
      <c r="E35" s="60">
        <v>1.0</v>
      </c>
      <c r="F35" s="60">
        <v>0.0</v>
      </c>
      <c r="G35" s="60">
        <v>0.0</v>
      </c>
      <c r="H35" s="60">
        <v>1.0</v>
      </c>
      <c r="I35" s="60">
        <v>0.0</v>
      </c>
      <c r="J35" s="60">
        <v>2.0</v>
      </c>
      <c r="K35" s="60">
        <v>2.0</v>
      </c>
      <c r="L35" s="60">
        <v>0.0</v>
      </c>
      <c r="M35" s="60">
        <v>0.0</v>
      </c>
      <c r="N35" s="60">
        <v>2.0</v>
      </c>
      <c r="O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75">
        <v>20.0</v>
      </c>
      <c r="F36" s="75">
        <v>43.0</v>
      </c>
      <c r="G36" s="75">
        <v>8.0</v>
      </c>
      <c r="H36" s="75">
        <v>35.0</v>
      </c>
      <c r="I36" s="75">
        <v>11.0</v>
      </c>
      <c r="J36" s="75">
        <v>19.0</v>
      </c>
      <c r="K36" s="75">
        <v>35.0</v>
      </c>
      <c r="L36" s="75">
        <v>37.0</v>
      </c>
      <c r="M36" s="75">
        <v>31.0</v>
      </c>
      <c r="N36" s="75">
        <v>30.0</v>
      </c>
      <c r="O36" s="13">
        <f t="shared" si="10"/>
        <v>269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1.0</v>
      </c>
      <c r="I39" s="60">
        <v>0.0</v>
      </c>
      <c r="J39" s="60">
        <v>0.0</v>
      </c>
      <c r="K39" s="60">
        <v>1.0</v>
      </c>
      <c r="L39" s="60">
        <v>0.0</v>
      </c>
      <c r="M39" s="60">
        <v>0.0</v>
      </c>
      <c r="N39" s="60">
        <v>0.0</v>
      </c>
      <c r="O39" s="13">
        <f t="shared" ref="O39:O41" si="11">SUM(E39:N39)</f>
        <v>2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6.0</v>
      </c>
      <c r="I40" s="60">
        <v>0.0</v>
      </c>
      <c r="J40" s="60">
        <v>2.0</v>
      </c>
      <c r="K40" s="60">
        <v>1.0</v>
      </c>
      <c r="L40" s="60">
        <v>0.0</v>
      </c>
      <c r="M40" s="60">
        <v>0.0</v>
      </c>
      <c r="N40" s="60">
        <v>0.0</v>
      </c>
      <c r="O40" s="13">
        <f t="shared" si="11"/>
        <v>9</v>
      </c>
    </row>
    <row r="41" ht="12.75" customHeight="1">
      <c r="A41" s="44"/>
      <c r="B41" s="47"/>
      <c r="C41" s="28"/>
      <c r="D41" s="13" t="s">
        <v>14</v>
      </c>
      <c r="E41" s="13">
        <f t="shared" ref="E41:N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7</v>
      </c>
      <c r="I41" s="13">
        <f t="shared" si="12"/>
        <v>0</v>
      </c>
      <c r="J41" s="13">
        <f t="shared" si="12"/>
        <v>2</v>
      </c>
      <c r="K41" s="13">
        <f t="shared" si="12"/>
        <v>2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1"/>
        <v>11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4.0</v>
      </c>
      <c r="F45" s="60">
        <v>5.0</v>
      </c>
      <c r="G45" s="60">
        <v>5.0</v>
      </c>
      <c r="H45" s="60">
        <v>10.0</v>
      </c>
      <c r="I45" s="60">
        <v>5.0</v>
      </c>
      <c r="J45" s="60">
        <v>6.0</v>
      </c>
      <c r="K45" s="60">
        <v>6.0</v>
      </c>
      <c r="L45" s="60">
        <v>5.0</v>
      </c>
      <c r="M45" s="60">
        <v>8.0</v>
      </c>
      <c r="N45" s="60">
        <v>8.0</v>
      </c>
      <c r="O45" s="13">
        <f t="shared" ref="O45:O193" si="13">SUM(E45:N45)</f>
        <v>62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11.0</v>
      </c>
      <c r="F46" s="60">
        <v>13.0</v>
      </c>
      <c r="G46" s="60">
        <v>48.0</v>
      </c>
      <c r="H46" s="60">
        <v>13.0</v>
      </c>
      <c r="I46" s="60">
        <v>16.0</v>
      </c>
      <c r="J46" s="60">
        <v>9.0</v>
      </c>
      <c r="K46" s="60">
        <v>50.0</v>
      </c>
      <c r="L46" s="60">
        <v>38.0</v>
      </c>
      <c r="M46" s="60">
        <v>56.0</v>
      </c>
      <c r="N46" s="60">
        <v>48.0</v>
      </c>
      <c r="O46" s="13">
        <f t="shared" si="13"/>
        <v>302</v>
      </c>
    </row>
    <row r="47" ht="12.75" customHeight="1">
      <c r="A47" s="18"/>
      <c r="B47" s="57"/>
      <c r="C47" s="58" t="s">
        <v>41</v>
      </c>
      <c r="D47" s="59"/>
      <c r="E47" s="60">
        <v>1.0</v>
      </c>
      <c r="F47" s="60">
        <v>1.0</v>
      </c>
      <c r="G47" s="60">
        <v>2.0</v>
      </c>
      <c r="H47" s="60">
        <v>2.0</v>
      </c>
      <c r="I47" s="60">
        <v>0.0</v>
      </c>
      <c r="J47" s="60">
        <v>1.0</v>
      </c>
      <c r="K47" s="60">
        <v>1.0</v>
      </c>
      <c r="L47" s="60">
        <v>0.0</v>
      </c>
      <c r="M47" s="60">
        <v>1.0</v>
      </c>
      <c r="N47" s="60">
        <v>1.0</v>
      </c>
      <c r="O47" s="13">
        <f t="shared" si="13"/>
        <v>10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2.0</v>
      </c>
      <c r="H48" s="60">
        <v>0.0</v>
      </c>
      <c r="I48" s="60">
        <v>0.0</v>
      </c>
      <c r="J48" s="60">
        <v>0.0</v>
      </c>
      <c r="K48" s="60">
        <v>0.0</v>
      </c>
      <c r="L48" s="60">
        <v>0.0</v>
      </c>
      <c r="M48" s="60">
        <v>0.0</v>
      </c>
      <c r="N48" s="60">
        <v>0.0</v>
      </c>
      <c r="O48" s="13">
        <f t="shared" si="13"/>
        <v>2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1.0</v>
      </c>
      <c r="K49" s="60">
        <v>0.0</v>
      </c>
      <c r="L49" s="60">
        <v>0.0</v>
      </c>
      <c r="M49" s="60">
        <v>0.0</v>
      </c>
      <c r="N49" s="60">
        <v>0.0</v>
      </c>
      <c r="O49" s="13">
        <f t="shared" si="13"/>
        <v>1</v>
      </c>
    </row>
    <row r="50" ht="12.75" customHeight="1">
      <c r="A50" s="18"/>
      <c r="B50" s="57"/>
      <c r="C50" s="58" t="s">
        <v>44</v>
      </c>
      <c r="D50" s="59"/>
      <c r="E50" s="60">
        <v>1.0</v>
      </c>
      <c r="F50" s="60">
        <v>5.0</v>
      </c>
      <c r="G50" s="60">
        <v>5.0</v>
      </c>
      <c r="H50" s="60">
        <v>3.0</v>
      </c>
      <c r="I50" s="60">
        <v>0.0</v>
      </c>
      <c r="J50" s="60">
        <v>1.0</v>
      </c>
      <c r="K50" s="60">
        <v>3.0</v>
      </c>
      <c r="L50" s="60">
        <v>4.0</v>
      </c>
      <c r="M50" s="60">
        <v>4.0</v>
      </c>
      <c r="N50" s="60">
        <v>0.0</v>
      </c>
      <c r="O50" s="13">
        <f t="shared" si="13"/>
        <v>26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60">
        <v>1.0</v>
      </c>
      <c r="L51" s="60">
        <v>1.0</v>
      </c>
      <c r="M51" s="60">
        <v>0.0</v>
      </c>
      <c r="N51" s="60">
        <v>0.0</v>
      </c>
      <c r="O51" s="13">
        <f t="shared" si="13"/>
        <v>2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N52" si="14">SUM(E45:E51)</f>
        <v>17</v>
      </c>
      <c r="F52" s="64">
        <f t="shared" si="14"/>
        <v>24</v>
      </c>
      <c r="G52" s="64">
        <f t="shared" si="14"/>
        <v>62</v>
      </c>
      <c r="H52" s="64">
        <f t="shared" si="14"/>
        <v>28</v>
      </c>
      <c r="I52" s="64">
        <f t="shared" si="14"/>
        <v>21</v>
      </c>
      <c r="J52" s="64">
        <f t="shared" si="14"/>
        <v>18</v>
      </c>
      <c r="K52" s="64">
        <f t="shared" si="14"/>
        <v>61</v>
      </c>
      <c r="L52" s="64">
        <f t="shared" si="14"/>
        <v>48</v>
      </c>
      <c r="M52" s="64">
        <f t="shared" si="14"/>
        <v>69</v>
      </c>
      <c r="N52" s="64">
        <f t="shared" si="14"/>
        <v>57</v>
      </c>
      <c r="O52" s="13">
        <f t="shared" si="13"/>
        <v>405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3">
        <f t="shared" si="13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6.0</v>
      </c>
      <c r="F54" s="60">
        <v>10.0</v>
      </c>
      <c r="G54" s="60">
        <v>5.0</v>
      </c>
      <c r="H54" s="60">
        <v>15.0</v>
      </c>
      <c r="I54" s="60">
        <v>9.0</v>
      </c>
      <c r="J54" s="60">
        <v>13.0</v>
      </c>
      <c r="K54" s="60">
        <v>12.0</v>
      </c>
      <c r="L54" s="60">
        <v>8.0</v>
      </c>
      <c r="M54" s="60">
        <v>4.0</v>
      </c>
      <c r="N54" s="60">
        <v>15.0</v>
      </c>
      <c r="O54" s="13">
        <f t="shared" si="13"/>
        <v>97</v>
      </c>
    </row>
    <row r="55" ht="15.0" customHeight="1">
      <c r="A55" s="31" t="s">
        <v>39</v>
      </c>
      <c r="B55" s="57"/>
      <c r="C55" s="58" t="s">
        <v>48</v>
      </c>
      <c r="D55" s="59"/>
      <c r="E55" s="60">
        <v>1.0</v>
      </c>
      <c r="F55" s="60">
        <v>3.0</v>
      </c>
      <c r="G55" s="60">
        <v>3.0</v>
      </c>
      <c r="H55" s="60">
        <v>1.0</v>
      </c>
      <c r="I55" s="60">
        <v>2.0</v>
      </c>
      <c r="J55" s="60">
        <v>3.0</v>
      </c>
      <c r="K55" s="60">
        <v>6.0</v>
      </c>
      <c r="L55" s="60">
        <v>2.0</v>
      </c>
      <c r="M55" s="60">
        <v>3.0</v>
      </c>
      <c r="N55" s="60">
        <v>2.0</v>
      </c>
      <c r="O55" s="13">
        <f t="shared" si="13"/>
        <v>26</v>
      </c>
    </row>
    <row r="56" ht="12.75" customHeight="1">
      <c r="A56" s="18"/>
      <c r="B56" s="57"/>
      <c r="C56" s="58" t="s">
        <v>49</v>
      </c>
      <c r="D56" s="59"/>
      <c r="E56" s="60">
        <v>41.0</v>
      </c>
      <c r="F56" s="60">
        <v>30.0</v>
      </c>
      <c r="G56" s="60">
        <v>44.0</v>
      </c>
      <c r="H56" s="60">
        <v>39.0</v>
      </c>
      <c r="I56" s="60">
        <v>73.0</v>
      </c>
      <c r="J56" s="60">
        <v>62.0</v>
      </c>
      <c r="K56" s="60">
        <v>14.0</v>
      </c>
      <c r="L56" s="60">
        <v>11.0</v>
      </c>
      <c r="M56" s="60">
        <v>12.0</v>
      </c>
      <c r="N56" s="60">
        <v>7.0</v>
      </c>
      <c r="O56" s="13">
        <f t="shared" si="13"/>
        <v>333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1.0</v>
      </c>
      <c r="G57" s="60">
        <v>0.0</v>
      </c>
      <c r="H57" s="60">
        <v>1.0</v>
      </c>
      <c r="I57" s="60">
        <v>0.0</v>
      </c>
      <c r="J57" s="60">
        <v>0.0</v>
      </c>
      <c r="K57" s="60">
        <v>2.0</v>
      </c>
      <c r="L57" s="60">
        <v>1.0</v>
      </c>
      <c r="M57" s="60">
        <v>1.0</v>
      </c>
      <c r="N57" s="60">
        <v>0.0</v>
      </c>
      <c r="O57" s="13">
        <f t="shared" si="13"/>
        <v>6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1.0</v>
      </c>
      <c r="H58" s="60">
        <v>0.0</v>
      </c>
      <c r="I58" s="60">
        <v>0.0</v>
      </c>
      <c r="J58" s="60">
        <v>0.0</v>
      </c>
      <c r="K58" s="60">
        <v>1.0</v>
      </c>
      <c r="L58" s="60">
        <v>0.0</v>
      </c>
      <c r="M58" s="60">
        <v>0.0</v>
      </c>
      <c r="N58" s="60">
        <v>2.0</v>
      </c>
      <c r="O58" s="13">
        <f t="shared" si="13"/>
        <v>4</v>
      </c>
    </row>
    <row r="59" ht="12.75" customHeight="1">
      <c r="A59" s="18"/>
      <c r="B59" s="57"/>
      <c r="C59" s="58" t="s">
        <v>52</v>
      </c>
      <c r="D59" s="59"/>
      <c r="E59" s="60">
        <v>1.0</v>
      </c>
      <c r="F59" s="60">
        <v>2.0</v>
      </c>
      <c r="G59" s="60">
        <v>3.0</v>
      </c>
      <c r="H59" s="60">
        <v>3.0</v>
      </c>
      <c r="I59" s="60">
        <v>0.0</v>
      </c>
      <c r="J59" s="60">
        <v>0.0</v>
      </c>
      <c r="K59" s="60">
        <v>1.0</v>
      </c>
      <c r="L59" s="60">
        <v>0.0</v>
      </c>
      <c r="M59" s="60">
        <v>1.0</v>
      </c>
      <c r="N59" s="60">
        <v>3.0</v>
      </c>
      <c r="O59" s="13">
        <f t="shared" si="13"/>
        <v>14</v>
      </c>
    </row>
    <row r="60" ht="12.75" customHeight="1">
      <c r="A60" s="18"/>
      <c r="B60" s="57"/>
      <c r="C60" s="58" t="s">
        <v>53</v>
      </c>
      <c r="D60" s="59"/>
      <c r="E60" s="60">
        <v>1.0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0.0</v>
      </c>
      <c r="O60" s="13">
        <f t="shared" si="13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N61" si="15">SUM(E54:E60)</f>
        <v>50</v>
      </c>
      <c r="F61" s="64">
        <f t="shared" si="15"/>
        <v>46</v>
      </c>
      <c r="G61" s="64">
        <f t="shared" si="15"/>
        <v>56</v>
      </c>
      <c r="H61" s="64">
        <f t="shared" si="15"/>
        <v>59</v>
      </c>
      <c r="I61" s="64">
        <f t="shared" si="15"/>
        <v>84</v>
      </c>
      <c r="J61" s="64">
        <f t="shared" si="15"/>
        <v>78</v>
      </c>
      <c r="K61" s="64">
        <f t="shared" si="15"/>
        <v>36</v>
      </c>
      <c r="L61" s="64">
        <f t="shared" si="15"/>
        <v>22</v>
      </c>
      <c r="M61" s="64">
        <f t="shared" si="15"/>
        <v>21</v>
      </c>
      <c r="N61" s="64">
        <f t="shared" si="15"/>
        <v>29</v>
      </c>
      <c r="O61" s="13">
        <f t="shared" si="13"/>
        <v>481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3">
        <f t="shared" si="13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4.0</v>
      </c>
      <c r="F63" s="60">
        <v>3.0</v>
      </c>
      <c r="G63" s="60">
        <v>5.0</v>
      </c>
      <c r="H63" s="60">
        <v>6.0</v>
      </c>
      <c r="I63" s="60">
        <v>1.0</v>
      </c>
      <c r="J63" s="60">
        <v>2.0</v>
      </c>
      <c r="K63" s="60">
        <v>3.0</v>
      </c>
      <c r="L63" s="60">
        <v>12.0</v>
      </c>
      <c r="M63" s="60">
        <v>1.0</v>
      </c>
      <c r="N63" s="60">
        <v>1.0</v>
      </c>
      <c r="O63" s="13">
        <f t="shared" si="13"/>
        <v>38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2.0</v>
      </c>
      <c r="F64" s="60">
        <v>2.0</v>
      </c>
      <c r="G64" s="60">
        <v>0.0</v>
      </c>
      <c r="H64" s="60">
        <v>2.0</v>
      </c>
      <c r="I64" s="60">
        <v>2.0</v>
      </c>
      <c r="J64" s="60">
        <v>0.0</v>
      </c>
      <c r="K64" s="60">
        <v>2.0</v>
      </c>
      <c r="L64" s="60">
        <v>0.0</v>
      </c>
      <c r="M64" s="60">
        <v>1.0</v>
      </c>
      <c r="N64" s="60">
        <v>0.0</v>
      </c>
      <c r="O64" s="13">
        <f t="shared" si="13"/>
        <v>11</v>
      </c>
    </row>
    <row r="65" ht="12.75" customHeight="1">
      <c r="A65" s="18"/>
      <c r="B65" s="57"/>
      <c r="C65" s="58" t="s">
        <v>56</v>
      </c>
      <c r="D65" s="59"/>
      <c r="E65" s="60">
        <v>0.0</v>
      </c>
      <c r="F65" s="60">
        <v>2.0</v>
      </c>
      <c r="G65" s="60">
        <v>0.0</v>
      </c>
      <c r="H65" s="60">
        <v>0.0</v>
      </c>
      <c r="I65" s="60">
        <v>0.0</v>
      </c>
      <c r="J65" s="60">
        <v>0.0</v>
      </c>
      <c r="K65" s="60">
        <v>2.0</v>
      </c>
      <c r="L65" s="60">
        <v>2.0</v>
      </c>
      <c r="M65" s="60">
        <v>0.0</v>
      </c>
      <c r="N65" s="60">
        <v>0.0</v>
      </c>
      <c r="O65" s="13">
        <f t="shared" si="13"/>
        <v>6</v>
      </c>
    </row>
    <row r="66" ht="12.75" customHeight="1">
      <c r="A66" s="18"/>
      <c r="B66" s="57"/>
      <c r="C66" s="58" t="s">
        <v>57</v>
      </c>
      <c r="D66" s="59"/>
      <c r="E66" s="60">
        <v>2.0</v>
      </c>
      <c r="F66" s="60">
        <v>0.0</v>
      </c>
      <c r="G66" s="60">
        <v>1.0</v>
      </c>
      <c r="H66" s="60">
        <v>0.0</v>
      </c>
      <c r="I66" s="60">
        <v>1.0</v>
      </c>
      <c r="J66" s="60">
        <v>0.0</v>
      </c>
      <c r="K66" s="60">
        <v>5.0</v>
      </c>
      <c r="L66" s="60">
        <v>1.0</v>
      </c>
      <c r="M66" s="60">
        <v>0.0</v>
      </c>
      <c r="N66" s="60">
        <v>0.0</v>
      </c>
      <c r="O66" s="13">
        <f t="shared" si="13"/>
        <v>10</v>
      </c>
    </row>
    <row r="67" ht="12.75" customHeight="1">
      <c r="A67" s="18"/>
      <c r="B67" s="57"/>
      <c r="C67" s="58" t="s">
        <v>58</v>
      </c>
      <c r="D67" s="59"/>
      <c r="E67" s="60">
        <v>1.0</v>
      </c>
      <c r="F67" s="60">
        <v>1.0</v>
      </c>
      <c r="G67" s="60">
        <v>0.0</v>
      </c>
      <c r="H67" s="60">
        <v>1.0</v>
      </c>
      <c r="I67" s="60">
        <v>0.0</v>
      </c>
      <c r="J67" s="60">
        <v>1.0</v>
      </c>
      <c r="K67" s="60">
        <v>0.0</v>
      </c>
      <c r="L67" s="60">
        <v>1.0</v>
      </c>
      <c r="M67" s="60">
        <v>0.0</v>
      </c>
      <c r="N67" s="60">
        <v>0.0</v>
      </c>
      <c r="O67" s="13">
        <f t="shared" si="13"/>
        <v>5</v>
      </c>
    </row>
    <row r="68" ht="12.75" customHeight="1">
      <c r="A68" s="18"/>
      <c r="B68" s="57"/>
      <c r="C68" s="58" t="s">
        <v>59</v>
      </c>
      <c r="D68" s="59"/>
      <c r="E68" s="60">
        <v>18.0</v>
      </c>
      <c r="F68" s="60">
        <v>20.0</v>
      </c>
      <c r="G68" s="60">
        <v>9.0</v>
      </c>
      <c r="H68" s="60">
        <v>74.0</v>
      </c>
      <c r="I68" s="60">
        <v>9.0</v>
      </c>
      <c r="J68" s="60">
        <v>6.0</v>
      </c>
      <c r="K68" s="60">
        <v>17.0</v>
      </c>
      <c r="L68" s="60">
        <v>14.0</v>
      </c>
      <c r="M68" s="60">
        <v>16.0</v>
      </c>
      <c r="N68" s="60">
        <v>7.0</v>
      </c>
      <c r="O68" s="13">
        <f t="shared" si="13"/>
        <v>190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1.0</v>
      </c>
      <c r="G69" s="60">
        <v>0.0</v>
      </c>
      <c r="H69" s="60">
        <v>0.0</v>
      </c>
      <c r="I69" s="60">
        <v>0.0</v>
      </c>
      <c r="J69" s="60">
        <v>0.0</v>
      </c>
      <c r="K69" s="60">
        <v>0.0</v>
      </c>
      <c r="L69" s="60">
        <v>7.0</v>
      </c>
      <c r="M69" s="60">
        <v>0.0</v>
      </c>
      <c r="N69" s="60">
        <v>0.0</v>
      </c>
      <c r="O69" s="13">
        <f t="shared" si="13"/>
        <v>8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N70" si="16">SUM(E63:E69)</f>
        <v>27</v>
      </c>
      <c r="F70" s="64">
        <f t="shared" si="16"/>
        <v>29</v>
      </c>
      <c r="G70" s="64">
        <f t="shared" si="16"/>
        <v>15</v>
      </c>
      <c r="H70" s="64">
        <f t="shared" si="16"/>
        <v>83</v>
      </c>
      <c r="I70" s="64">
        <f t="shared" si="16"/>
        <v>13</v>
      </c>
      <c r="J70" s="64">
        <f t="shared" si="16"/>
        <v>9</v>
      </c>
      <c r="K70" s="64">
        <f t="shared" si="16"/>
        <v>29</v>
      </c>
      <c r="L70" s="64">
        <f t="shared" si="16"/>
        <v>37</v>
      </c>
      <c r="M70" s="64">
        <f t="shared" si="16"/>
        <v>18</v>
      </c>
      <c r="N70" s="64">
        <f t="shared" si="16"/>
        <v>8</v>
      </c>
      <c r="O70" s="13">
        <f t="shared" si="13"/>
        <v>268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3">
        <f t="shared" si="13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1.0</v>
      </c>
      <c r="F72" s="60">
        <v>8.0</v>
      </c>
      <c r="G72" s="60">
        <v>2.0</v>
      </c>
      <c r="H72" s="60">
        <v>3.0</v>
      </c>
      <c r="I72" s="60">
        <v>4.0</v>
      </c>
      <c r="J72" s="60">
        <v>5.0</v>
      </c>
      <c r="K72" s="60">
        <v>3.0</v>
      </c>
      <c r="L72" s="60">
        <v>1.0</v>
      </c>
      <c r="M72" s="60">
        <v>2.0</v>
      </c>
      <c r="N72" s="60">
        <v>0.0</v>
      </c>
      <c r="O72" s="13">
        <f t="shared" si="13"/>
        <v>29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6.0</v>
      </c>
      <c r="F73" s="60">
        <v>17.0</v>
      </c>
      <c r="G73" s="60">
        <v>9.0</v>
      </c>
      <c r="H73" s="60">
        <v>0.0</v>
      </c>
      <c r="I73" s="60">
        <v>2.0</v>
      </c>
      <c r="J73" s="60">
        <v>21.0</v>
      </c>
      <c r="K73" s="60">
        <v>2.0</v>
      </c>
      <c r="L73" s="60">
        <v>2.0</v>
      </c>
      <c r="M73" s="60">
        <v>0.0</v>
      </c>
      <c r="N73" s="60">
        <v>1.0</v>
      </c>
      <c r="O73" s="13">
        <f t="shared" si="13"/>
        <v>60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1.0</v>
      </c>
      <c r="G74" s="60">
        <v>0.0</v>
      </c>
      <c r="H74" s="60">
        <v>0.0</v>
      </c>
      <c r="I74" s="60">
        <v>1.0</v>
      </c>
      <c r="J74" s="60">
        <v>1.0</v>
      </c>
      <c r="K74" s="60">
        <v>0.0</v>
      </c>
      <c r="L74" s="60">
        <v>0.0</v>
      </c>
      <c r="M74" s="60">
        <v>0.0</v>
      </c>
      <c r="N74" s="60">
        <v>0.0</v>
      </c>
      <c r="O74" s="13">
        <f t="shared" si="13"/>
        <v>3</v>
      </c>
    </row>
    <row r="75" ht="12.75" customHeight="1">
      <c r="A75" s="18"/>
      <c r="B75" s="57"/>
      <c r="C75" s="58" t="s">
        <v>64</v>
      </c>
      <c r="D75" s="59"/>
      <c r="E75" s="60">
        <v>1.0</v>
      </c>
      <c r="F75" s="60">
        <v>0.0</v>
      </c>
      <c r="G75" s="60">
        <v>1.0</v>
      </c>
      <c r="H75" s="60">
        <v>1.0</v>
      </c>
      <c r="I75" s="60">
        <v>1.0</v>
      </c>
      <c r="J75" s="60">
        <v>0.0</v>
      </c>
      <c r="K75" s="60">
        <v>0.0</v>
      </c>
      <c r="L75" s="60">
        <v>0.0</v>
      </c>
      <c r="M75" s="60">
        <v>0.0</v>
      </c>
      <c r="N75" s="60">
        <v>0.0</v>
      </c>
      <c r="O75" s="13">
        <f t="shared" si="13"/>
        <v>4</v>
      </c>
    </row>
    <row r="76" ht="12.75" customHeight="1">
      <c r="A76" s="18"/>
      <c r="B76" s="57"/>
      <c r="C76" s="58" t="s">
        <v>65</v>
      </c>
      <c r="D76" s="59"/>
      <c r="E76" s="60">
        <v>42.0</v>
      </c>
      <c r="F76" s="60">
        <v>11.0</v>
      </c>
      <c r="G76" s="60">
        <v>19.0</v>
      </c>
      <c r="H76" s="60">
        <v>18.0</v>
      </c>
      <c r="I76" s="60">
        <v>33.0</v>
      </c>
      <c r="J76" s="60">
        <v>12.0</v>
      </c>
      <c r="K76" s="60">
        <v>5.0</v>
      </c>
      <c r="L76" s="60">
        <v>1.0</v>
      </c>
      <c r="M76" s="60">
        <v>11.0</v>
      </c>
      <c r="N76" s="60">
        <v>0.0</v>
      </c>
      <c r="O76" s="13">
        <f t="shared" si="13"/>
        <v>152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13">
        <f t="shared" si="13"/>
        <v>0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60">
        <v>0.0</v>
      </c>
      <c r="O78" s="13">
        <f t="shared" si="13"/>
        <v>0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N79" si="17">SUM(E72:E78)</f>
        <v>50</v>
      </c>
      <c r="F79" s="64">
        <f t="shared" si="17"/>
        <v>37</v>
      </c>
      <c r="G79" s="64">
        <f t="shared" si="17"/>
        <v>31</v>
      </c>
      <c r="H79" s="64">
        <f t="shared" si="17"/>
        <v>22</v>
      </c>
      <c r="I79" s="64">
        <f t="shared" si="17"/>
        <v>41</v>
      </c>
      <c r="J79" s="64">
        <f t="shared" si="17"/>
        <v>39</v>
      </c>
      <c r="K79" s="64">
        <f t="shared" si="17"/>
        <v>10</v>
      </c>
      <c r="L79" s="64">
        <f t="shared" si="17"/>
        <v>4</v>
      </c>
      <c r="M79" s="64">
        <f t="shared" si="17"/>
        <v>13</v>
      </c>
      <c r="N79" s="64">
        <f t="shared" si="17"/>
        <v>1</v>
      </c>
      <c r="O79" s="13">
        <f t="shared" si="13"/>
        <v>248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3">
        <f t="shared" si="13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3.0</v>
      </c>
      <c r="F81" s="60">
        <v>2.0</v>
      </c>
      <c r="G81" s="60">
        <v>1.0</v>
      </c>
      <c r="H81" s="60">
        <v>3.0</v>
      </c>
      <c r="I81" s="60">
        <v>1.0</v>
      </c>
      <c r="J81" s="60">
        <v>5.0</v>
      </c>
      <c r="K81" s="60">
        <v>10.0</v>
      </c>
      <c r="L81" s="60">
        <v>1.0</v>
      </c>
      <c r="M81" s="60">
        <v>0.0</v>
      </c>
      <c r="N81" s="60">
        <v>12.0</v>
      </c>
      <c r="O81" s="13">
        <f t="shared" si="13"/>
        <v>38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7.0</v>
      </c>
      <c r="F82" s="60">
        <v>4.0</v>
      </c>
      <c r="G82" s="60">
        <v>13.0</v>
      </c>
      <c r="H82" s="60">
        <v>1.0</v>
      </c>
      <c r="I82" s="60">
        <v>9.0</v>
      </c>
      <c r="J82" s="60">
        <v>34.0</v>
      </c>
      <c r="K82" s="60">
        <v>21.0</v>
      </c>
      <c r="L82" s="60">
        <v>0.0</v>
      </c>
      <c r="M82" s="60">
        <v>7.0</v>
      </c>
      <c r="N82" s="60">
        <v>13.0</v>
      </c>
      <c r="O82" s="13">
        <f t="shared" si="13"/>
        <v>109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1.0</v>
      </c>
      <c r="H83" s="60">
        <v>1.0</v>
      </c>
      <c r="I83" s="60">
        <v>0.0</v>
      </c>
      <c r="J83" s="60">
        <v>0.0</v>
      </c>
      <c r="K83" s="60">
        <v>0.0</v>
      </c>
      <c r="L83" s="60">
        <v>2.0</v>
      </c>
      <c r="M83" s="60">
        <v>0.0</v>
      </c>
      <c r="N83" s="60">
        <v>0.0</v>
      </c>
      <c r="O83" s="13">
        <f t="shared" si="13"/>
        <v>4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60">
        <v>0.0</v>
      </c>
      <c r="O84" s="13">
        <f t="shared" si="13"/>
        <v>0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0.0</v>
      </c>
      <c r="H85" s="60">
        <v>0.0</v>
      </c>
      <c r="I85" s="60">
        <v>0.0</v>
      </c>
      <c r="J85" s="60">
        <v>0.0</v>
      </c>
      <c r="K85" s="60">
        <v>0.0</v>
      </c>
      <c r="L85" s="60">
        <v>0.0</v>
      </c>
      <c r="M85" s="60">
        <v>0.0</v>
      </c>
      <c r="N85" s="60">
        <v>0.0</v>
      </c>
      <c r="O85" s="13">
        <f t="shared" si="13"/>
        <v>0</v>
      </c>
    </row>
    <row r="86" ht="12.75" customHeight="1">
      <c r="A86" s="18"/>
      <c r="B86" s="57"/>
      <c r="C86" s="58" t="s">
        <v>74</v>
      </c>
      <c r="D86" s="59"/>
      <c r="E86" s="60">
        <v>0.0</v>
      </c>
      <c r="F86" s="60">
        <v>0.0</v>
      </c>
      <c r="G86" s="60">
        <v>0.0</v>
      </c>
      <c r="H86" s="60">
        <v>2.0</v>
      </c>
      <c r="I86" s="60">
        <v>0.0</v>
      </c>
      <c r="J86" s="60">
        <v>0.0</v>
      </c>
      <c r="K86" s="60">
        <v>2.0</v>
      </c>
      <c r="L86" s="60">
        <v>7.0</v>
      </c>
      <c r="M86" s="60">
        <v>0.0</v>
      </c>
      <c r="N86" s="60">
        <v>0.0</v>
      </c>
      <c r="O86" s="13">
        <f t="shared" si="13"/>
        <v>11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13">
        <f t="shared" si="13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N88" si="18">SUM(E81:E87)</f>
        <v>10</v>
      </c>
      <c r="F88" s="64">
        <f t="shared" si="18"/>
        <v>6</v>
      </c>
      <c r="G88" s="64">
        <f t="shared" si="18"/>
        <v>15</v>
      </c>
      <c r="H88" s="64">
        <f t="shared" si="18"/>
        <v>7</v>
      </c>
      <c r="I88" s="64">
        <f t="shared" si="18"/>
        <v>10</v>
      </c>
      <c r="J88" s="64">
        <f t="shared" si="18"/>
        <v>39</v>
      </c>
      <c r="K88" s="64">
        <f t="shared" si="18"/>
        <v>33</v>
      </c>
      <c r="L88" s="64">
        <f t="shared" si="18"/>
        <v>10</v>
      </c>
      <c r="M88" s="64">
        <f t="shared" si="18"/>
        <v>7</v>
      </c>
      <c r="N88" s="64">
        <f t="shared" si="18"/>
        <v>25</v>
      </c>
      <c r="O88" s="13">
        <f t="shared" si="13"/>
        <v>162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3">
        <f t="shared" si="13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1.0</v>
      </c>
      <c r="I90" s="60">
        <v>0.0</v>
      </c>
      <c r="J90" s="60">
        <v>0.0</v>
      </c>
      <c r="K90" s="60">
        <v>0.0</v>
      </c>
      <c r="L90" s="60">
        <v>0.0</v>
      </c>
      <c r="M90" s="60">
        <v>0.0</v>
      </c>
      <c r="N90" s="60">
        <v>0.0</v>
      </c>
      <c r="O90" s="13">
        <f t="shared" si="13"/>
        <v>1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0.0</v>
      </c>
      <c r="J91" s="60">
        <v>0.0</v>
      </c>
      <c r="K91" s="60">
        <v>2.0</v>
      </c>
      <c r="L91" s="60">
        <v>0.0</v>
      </c>
      <c r="M91" s="60">
        <v>0.0</v>
      </c>
      <c r="N91" s="60">
        <v>0.0</v>
      </c>
      <c r="O91" s="13">
        <f t="shared" si="13"/>
        <v>2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N92" si="19">SUM(E90:E91)</f>
        <v>0</v>
      </c>
      <c r="F92" s="64">
        <f t="shared" si="19"/>
        <v>0</v>
      </c>
      <c r="G92" s="64">
        <f t="shared" si="19"/>
        <v>0</v>
      </c>
      <c r="H92" s="64">
        <f t="shared" si="19"/>
        <v>1</v>
      </c>
      <c r="I92" s="64">
        <f t="shared" si="19"/>
        <v>0</v>
      </c>
      <c r="J92" s="64">
        <f t="shared" si="19"/>
        <v>0</v>
      </c>
      <c r="K92" s="64">
        <f t="shared" si="19"/>
        <v>2</v>
      </c>
      <c r="L92" s="64">
        <f t="shared" si="19"/>
        <v>0</v>
      </c>
      <c r="M92" s="64">
        <f t="shared" si="19"/>
        <v>0</v>
      </c>
      <c r="N92" s="64">
        <f t="shared" si="19"/>
        <v>0</v>
      </c>
      <c r="O92" s="13">
        <f t="shared" si="13"/>
        <v>3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3">
        <f t="shared" si="13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0.0</v>
      </c>
      <c r="F94" s="60">
        <v>1.0</v>
      </c>
      <c r="G94" s="60">
        <v>0.0</v>
      </c>
      <c r="H94" s="60">
        <v>0.0</v>
      </c>
      <c r="I94" s="60">
        <v>0.0</v>
      </c>
      <c r="J94" s="60">
        <v>1.0</v>
      </c>
      <c r="K94" s="60">
        <v>4.0</v>
      </c>
      <c r="L94" s="60">
        <v>2.0</v>
      </c>
      <c r="M94" s="60">
        <v>0.0</v>
      </c>
      <c r="N94" s="60">
        <v>7.0</v>
      </c>
      <c r="O94" s="13">
        <f t="shared" si="13"/>
        <v>15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2.0</v>
      </c>
      <c r="F95" s="60">
        <v>6.0</v>
      </c>
      <c r="G95" s="60">
        <v>0.0</v>
      </c>
      <c r="H95" s="60">
        <v>1.0</v>
      </c>
      <c r="I95" s="60">
        <v>0.0</v>
      </c>
      <c r="J95" s="60">
        <v>3.0</v>
      </c>
      <c r="K95" s="60">
        <v>20.0</v>
      </c>
      <c r="L95" s="60">
        <v>19.0</v>
      </c>
      <c r="M95" s="60">
        <v>4.0</v>
      </c>
      <c r="N95" s="60">
        <v>32.0</v>
      </c>
      <c r="O95" s="13">
        <f t="shared" si="13"/>
        <v>87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0.0</v>
      </c>
      <c r="J96" s="60">
        <v>0.0</v>
      </c>
      <c r="K96" s="60">
        <v>0.0</v>
      </c>
      <c r="L96" s="60">
        <v>0.0</v>
      </c>
      <c r="M96" s="60">
        <v>0.0</v>
      </c>
      <c r="N96" s="60">
        <v>0.0</v>
      </c>
      <c r="O96" s="13">
        <f t="shared" si="13"/>
        <v>0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1.0</v>
      </c>
      <c r="N97" s="60">
        <v>0.0</v>
      </c>
      <c r="O97" s="13">
        <f t="shared" si="13"/>
        <v>1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1.0</v>
      </c>
      <c r="L98" s="60">
        <v>0.0</v>
      </c>
      <c r="M98" s="60">
        <v>0.0</v>
      </c>
      <c r="N98" s="60">
        <v>0.0</v>
      </c>
      <c r="O98" s="13">
        <f t="shared" si="13"/>
        <v>1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0.0</v>
      </c>
      <c r="M99" s="60">
        <v>0.0</v>
      </c>
      <c r="N99" s="60">
        <v>0.0</v>
      </c>
      <c r="O99" s="13">
        <f t="shared" si="13"/>
        <v>0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2.0</v>
      </c>
      <c r="G100" s="60">
        <v>0.0</v>
      </c>
      <c r="H100" s="60">
        <v>0.0</v>
      </c>
      <c r="I100" s="60">
        <v>2.0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13">
        <f t="shared" si="13"/>
        <v>4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N101" si="20">SUM(E94:E100)</f>
        <v>2</v>
      </c>
      <c r="F101" s="64">
        <f t="shared" si="20"/>
        <v>9</v>
      </c>
      <c r="G101" s="64">
        <f t="shared" si="20"/>
        <v>0</v>
      </c>
      <c r="H101" s="64">
        <f t="shared" si="20"/>
        <v>1</v>
      </c>
      <c r="I101" s="64">
        <f t="shared" si="20"/>
        <v>2</v>
      </c>
      <c r="J101" s="64">
        <f t="shared" si="20"/>
        <v>4</v>
      </c>
      <c r="K101" s="64">
        <f t="shared" si="20"/>
        <v>25</v>
      </c>
      <c r="L101" s="64">
        <f t="shared" si="20"/>
        <v>21</v>
      </c>
      <c r="M101" s="64">
        <f t="shared" si="20"/>
        <v>5</v>
      </c>
      <c r="N101" s="64">
        <f t="shared" si="20"/>
        <v>39</v>
      </c>
      <c r="O101" s="13">
        <f t="shared" si="13"/>
        <v>108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3">
        <f t="shared" si="13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1.0</v>
      </c>
      <c r="F103" s="60">
        <v>4.0</v>
      </c>
      <c r="G103" s="60">
        <v>0.0</v>
      </c>
      <c r="H103" s="60">
        <v>2.0</v>
      </c>
      <c r="I103" s="60">
        <v>0.0</v>
      </c>
      <c r="J103" s="60">
        <v>0.0</v>
      </c>
      <c r="K103" s="60">
        <v>0.0</v>
      </c>
      <c r="L103" s="60">
        <v>1.0</v>
      </c>
      <c r="M103" s="60">
        <v>1.0</v>
      </c>
      <c r="N103" s="60">
        <v>2.0</v>
      </c>
      <c r="O103" s="13">
        <f t="shared" si="13"/>
        <v>11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0.0</v>
      </c>
      <c r="F104" s="60">
        <v>4.0</v>
      </c>
      <c r="G104" s="60">
        <v>6.0</v>
      </c>
      <c r="H104" s="60">
        <v>0.0</v>
      </c>
      <c r="I104" s="60">
        <v>1.0</v>
      </c>
      <c r="J104" s="60">
        <v>0.0</v>
      </c>
      <c r="K104" s="60">
        <v>1.0</v>
      </c>
      <c r="L104" s="60">
        <v>12.0</v>
      </c>
      <c r="M104" s="60">
        <v>5.0</v>
      </c>
      <c r="N104" s="60">
        <v>24.0</v>
      </c>
      <c r="O104" s="13">
        <f t="shared" si="13"/>
        <v>53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0.0</v>
      </c>
      <c r="O105" s="13">
        <f t="shared" si="13"/>
        <v>0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1.0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60">
        <v>0.0</v>
      </c>
      <c r="O106" s="13">
        <f t="shared" si="13"/>
        <v>1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1.0</v>
      </c>
      <c r="G107" s="60">
        <v>0.0</v>
      </c>
      <c r="H107" s="60">
        <v>0.0</v>
      </c>
      <c r="I107" s="60">
        <v>2.0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13">
        <f t="shared" si="13"/>
        <v>3</v>
      </c>
    </row>
    <row r="108" ht="12.75" customHeight="1">
      <c r="A108" s="18"/>
      <c r="B108" s="57"/>
      <c r="C108" s="58" t="s">
        <v>93</v>
      </c>
      <c r="D108" s="59"/>
      <c r="E108" s="60">
        <v>1.0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13">
        <f t="shared" si="13"/>
        <v>1</v>
      </c>
    </row>
    <row r="109" ht="12.75" customHeight="1">
      <c r="A109" s="18"/>
      <c r="B109" s="57"/>
      <c r="C109" s="58" t="s">
        <v>94</v>
      </c>
      <c r="D109" s="59"/>
      <c r="E109" s="60">
        <v>4.0</v>
      </c>
      <c r="F109" s="60">
        <v>1.0</v>
      </c>
      <c r="G109" s="60">
        <v>0.0</v>
      </c>
      <c r="H109" s="60">
        <v>0.0</v>
      </c>
      <c r="I109" s="60">
        <v>0.0</v>
      </c>
      <c r="J109" s="60">
        <v>2.0</v>
      </c>
      <c r="K109" s="60">
        <v>0.0</v>
      </c>
      <c r="L109" s="60">
        <v>0.0</v>
      </c>
      <c r="M109" s="60">
        <v>0.0</v>
      </c>
      <c r="N109" s="60">
        <v>0.0</v>
      </c>
      <c r="O109" s="13">
        <f t="shared" si="13"/>
        <v>7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N110" si="21">SUM(E103:E109)</f>
        <v>6</v>
      </c>
      <c r="F110" s="64">
        <f t="shared" si="21"/>
        <v>10</v>
      </c>
      <c r="G110" s="64">
        <f t="shared" si="21"/>
        <v>6</v>
      </c>
      <c r="H110" s="64">
        <f t="shared" si="21"/>
        <v>3</v>
      </c>
      <c r="I110" s="64">
        <f t="shared" si="21"/>
        <v>3</v>
      </c>
      <c r="J110" s="64">
        <f t="shared" si="21"/>
        <v>2</v>
      </c>
      <c r="K110" s="64">
        <f t="shared" si="21"/>
        <v>1</v>
      </c>
      <c r="L110" s="64">
        <f t="shared" si="21"/>
        <v>13</v>
      </c>
      <c r="M110" s="64">
        <f t="shared" si="21"/>
        <v>6</v>
      </c>
      <c r="N110" s="64">
        <f t="shared" si="21"/>
        <v>26</v>
      </c>
      <c r="O110" s="13">
        <f t="shared" si="13"/>
        <v>76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13">
        <f t="shared" si="13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13">
        <f t="shared" si="13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60">
        <v>0.0</v>
      </c>
      <c r="O113" s="13">
        <f t="shared" si="13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N114" si="22">SUM(E112:E113)</f>
        <v>0</v>
      </c>
      <c r="F114" s="64">
        <f t="shared" si="22"/>
        <v>0</v>
      </c>
      <c r="G114" s="64">
        <f t="shared" si="22"/>
        <v>0</v>
      </c>
      <c r="H114" s="64">
        <f t="shared" si="22"/>
        <v>0</v>
      </c>
      <c r="I114" s="64">
        <f t="shared" si="22"/>
        <v>0</v>
      </c>
      <c r="J114" s="64">
        <f t="shared" si="22"/>
        <v>0</v>
      </c>
      <c r="K114" s="64">
        <f t="shared" si="22"/>
        <v>0</v>
      </c>
      <c r="L114" s="64">
        <f t="shared" si="22"/>
        <v>0</v>
      </c>
      <c r="M114" s="64">
        <f t="shared" si="22"/>
        <v>0</v>
      </c>
      <c r="N114" s="64">
        <f t="shared" si="22"/>
        <v>0</v>
      </c>
      <c r="O114" s="13">
        <f t="shared" si="13"/>
        <v>0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13">
        <f t="shared" si="13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1.0</v>
      </c>
      <c r="I116" s="60">
        <v>0.0</v>
      </c>
      <c r="J116" s="60">
        <v>0.0</v>
      </c>
      <c r="K116" s="60">
        <v>0.0</v>
      </c>
      <c r="L116" s="60">
        <v>0.0</v>
      </c>
      <c r="M116" s="60">
        <v>0.0</v>
      </c>
      <c r="N116" s="60">
        <v>0.0</v>
      </c>
      <c r="O116" s="13">
        <f t="shared" si="13"/>
        <v>1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1.0</v>
      </c>
      <c r="F117" s="60">
        <v>0.0</v>
      </c>
      <c r="G117" s="60">
        <v>2.0</v>
      </c>
      <c r="H117" s="60">
        <v>4.0</v>
      </c>
      <c r="I117" s="60">
        <v>8.0</v>
      </c>
      <c r="J117" s="60">
        <v>3.0</v>
      </c>
      <c r="K117" s="60">
        <v>0.0</v>
      </c>
      <c r="L117" s="60">
        <v>1.0</v>
      </c>
      <c r="M117" s="60">
        <v>0.0</v>
      </c>
      <c r="N117" s="60">
        <v>0.0</v>
      </c>
      <c r="O117" s="13">
        <f t="shared" si="13"/>
        <v>19</v>
      </c>
      <c r="P117" s="5"/>
      <c r="Q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13">
        <f t="shared" si="13"/>
        <v>0</v>
      </c>
      <c r="P118" s="5"/>
      <c r="Q118" s="5"/>
    </row>
    <row r="119" ht="12.75" customHeight="1">
      <c r="A119" s="18"/>
      <c r="B119" s="57"/>
      <c r="C119" s="58" t="s">
        <v>102</v>
      </c>
      <c r="D119" s="59"/>
      <c r="E119" s="60">
        <v>1.0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13">
        <f t="shared" si="13"/>
        <v>1</v>
      </c>
      <c r="P119" s="5"/>
      <c r="Q119" s="5"/>
    </row>
    <row r="120" ht="12.75" customHeight="1">
      <c r="A120" s="18"/>
      <c r="B120" s="57"/>
      <c r="C120" s="58" t="s">
        <v>103</v>
      </c>
      <c r="D120" s="59"/>
      <c r="E120" s="60">
        <v>2.0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1.0</v>
      </c>
      <c r="M120" s="60">
        <v>0.0</v>
      </c>
      <c r="N120" s="60">
        <v>0.0</v>
      </c>
      <c r="O120" s="13">
        <f t="shared" si="13"/>
        <v>3</v>
      </c>
      <c r="P120" s="5"/>
      <c r="Q120" s="5"/>
    </row>
    <row r="121" ht="12.75" customHeight="1">
      <c r="A121" s="18"/>
      <c r="B121" s="57"/>
      <c r="C121" s="58" t="s">
        <v>104</v>
      </c>
      <c r="D121" s="59"/>
      <c r="E121" s="60">
        <v>1.0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13">
        <f t="shared" si="13"/>
        <v>1</v>
      </c>
      <c r="P121" s="5"/>
      <c r="Q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13">
        <f t="shared" si="13"/>
        <v>0</v>
      </c>
      <c r="P122" s="5"/>
      <c r="Q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N123" si="23">SUM(E116:E122)</f>
        <v>5</v>
      </c>
      <c r="F123" s="64">
        <f t="shared" si="23"/>
        <v>0</v>
      </c>
      <c r="G123" s="64">
        <f t="shared" si="23"/>
        <v>2</v>
      </c>
      <c r="H123" s="64">
        <f t="shared" si="23"/>
        <v>5</v>
      </c>
      <c r="I123" s="64">
        <f t="shared" si="23"/>
        <v>8</v>
      </c>
      <c r="J123" s="64">
        <f t="shared" si="23"/>
        <v>3</v>
      </c>
      <c r="K123" s="64">
        <f t="shared" si="23"/>
        <v>0</v>
      </c>
      <c r="L123" s="64">
        <f t="shared" si="23"/>
        <v>2</v>
      </c>
      <c r="M123" s="64">
        <f t="shared" si="23"/>
        <v>0</v>
      </c>
      <c r="N123" s="64">
        <f t="shared" si="23"/>
        <v>0</v>
      </c>
      <c r="O123" s="13">
        <f t="shared" si="13"/>
        <v>25</v>
      </c>
      <c r="P123" s="5"/>
      <c r="Q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13">
        <f t="shared" si="13"/>
        <v>0</v>
      </c>
      <c r="P124" s="5"/>
      <c r="Q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1.0</v>
      </c>
      <c r="G125" s="60">
        <v>0.0</v>
      </c>
      <c r="H125" s="60">
        <v>0.0</v>
      </c>
      <c r="I125" s="60">
        <v>0.0</v>
      </c>
      <c r="J125" s="19"/>
      <c r="K125" s="60">
        <v>0.0</v>
      </c>
      <c r="L125" s="60">
        <v>0.0</v>
      </c>
      <c r="M125" s="60">
        <v>0.0</v>
      </c>
      <c r="N125" s="60">
        <v>0.0</v>
      </c>
      <c r="O125" s="13">
        <f t="shared" si="13"/>
        <v>1</v>
      </c>
      <c r="P125" s="5"/>
      <c r="Q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3">
        <f t="shared" si="13"/>
        <v>0</v>
      </c>
      <c r="P126" s="5"/>
      <c r="Q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N127" si="24">SUM(E125:E126)</f>
        <v>0</v>
      </c>
      <c r="F127" s="64">
        <f t="shared" si="24"/>
        <v>1</v>
      </c>
      <c r="G127" s="64">
        <f t="shared" si="24"/>
        <v>0</v>
      </c>
      <c r="H127" s="64">
        <f t="shared" si="24"/>
        <v>0</v>
      </c>
      <c r="I127" s="64">
        <f t="shared" si="24"/>
        <v>0</v>
      </c>
      <c r="J127" s="64">
        <f t="shared" si="24"/>
        <v>0</v>
      </c>
      <c r="K127" s="64">
        <f t="shared" si="24"/>
        <v>0</v>
      </c>
      <c r="L127" s="64">
        <f t="shared" si="24"/>
        <v>0</v>
      </c>
      <c r="M127" s="64">
        <f t="shared" si="24"/>
        <v>0</v>
      </c>
      <c r="N127" s="64">
        <f t="shared" si="24"/>
        <v>0</v>
      </c>
      <c r="O127" s="13">
        <f t="shared" si="13"/>
        <v>1</v>
      </c>
      <c r="P127" s="5"/>
      <c r="Q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13">
        <f t="shared" si="13"/>
        <v>0</v>
      </c>
      <c r="P128" s="5"/>
      <c r="Q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0.0</v>
      </c>
      <c r="H129" s="60">
        <v>0.0</v>
      </c>
      <c r="I129" s="60">
        <v>0.0</v>
      </c>
      <c r="J129" s="60">
        <v>1.0</v>
      </c>
      <c r="K129" s="60">
        <v>0.0</v>
      </c>
      <c r="L129" s="60">
        <v>0.0</v>
      </c>
      <c r="M129" s="60">
        <v>1.0</v>
      </c>
      <c r="N129" s="60">
        <v>1.0</v>
      </c>
      <c r="O129" s="13">
        <f t="shared" si="13"/>
        <v>3</v>
      </c>
      <c r="P129" s="5"/>
      <c r="Q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0.0</v>
      </c>
      <c r="G130" s="60">
        <v>0.0</v>
      </c>
      <c r="H130" s="60">
        <v>0.0</v>
      </c>
      <c r="I130" s="60">
        <v>1.0</v>
      </c>
      <c r="J130" s="60">
        <v>1.0</v>
      </c>
      <c r="K130" s="60">
        <v>1.0</v>
      </c>
      <c r="L130" s="60">
        <v>1.0</v>
      </c>
      <c r="M130" s="60">
        <v>0.0</v>
      </c>
      <c r="N130" s="60">
        <v>0.0</v>
      </c>
      <c r="O130" s="13">
        <f t="shared" si="13"/>
        <v>4</v>
      </c>
      <c r="P130" s="1"/>
      <c r="Q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60">
        <v>0.0</v>
      </c>
      <c r="O131" s="13">
        <f t="shared" si="13"/>
        <v>0</v>
      </c>
      <c r="P131" s="54"/>
      <c r="Q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13">
        <f t="shared" si="13"/>
        <v>0</v>
      </c>
      <c r="P132" s="5"/>
      <c r="Q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13">
        <f t="shared" si="13"/>
        <v>0</v>
      </c>
      <c r="P133" s="5"/>
      <c r="Q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0.0</v>
      </c>
      <c r="K134" s="60">
        <v>0.0</v>
      </c>
      <c r="L134" s="60">
        <v>0.0</v>
      </c>
      <c r="M134" s="60">
        <v>0.0</v>
      </c>
      <c r="N134" s="60">
        <v>0.0</v>
      </c>
      <c r="O134" s="13">
        <f t="shared" si="13"/>
        <v>0</v>
      </c>
      <c r="P134" s="5"/>
      <c r="Q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13">
        <f t="shared" si="13"/>
        <v>0</v>
      </c>
      <c r="P135" s="5"/>
      <c r="Q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N136" si="25">SUM(E129:E135)</f>
        <v>0</v>
      </c>
      <c r="F136" s="64">
        <f t="shared" si="25"/>
        <v>0</v>
      </c>
      <c r="G136" s="64">
        <f t="shared" si="25"/>
        <v>0</v>
      </c>
      <c r="H136" s="64">
        <f t="shared" si="25"/>
        <v>0</v>
      </c>
      <c r="I136" s="64">
        <f t="shared" si="25"/>
        <v>1</v>
      </c>
      <c r="J136" s="64">
        <f t="shared" si="25"/>
        <v>2</v>
      </c>
      <c r="K136" s="64">
        <f t="shared" si="25"/>
        <v>1</v>
      </c>
      <c r="L136" s="64">
        <f t="shared" si="25"/>
        <v>1</v>
      </c>
      <c r="M136" s="64">
        <f t="shared" si="25"/>
        <v>1</v>
      </c>
      <c r="N136" s="64">
        <f t="shared" si="25"/>
        <v>1</v>
      </c>
      <c r="O136" s="13">
        <f t="shared" si="13"/>
        <v>7</v>
      </c>
      <c r="P136" s="5"/>
      <c r="Q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13">
        <f t="shared" si="13"/>
        <v>0</v>
      </c>
      <c r="P137" s="5"/>
      <c r="Q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60">
        <v>0.0</v>
      </c>
      <c r="N138" s="60">
        <v>0.0</v>
      </c>
      <c r="O138" s="13">
        <f t="shared" si="13"/>
        <v>0</v>
      </c>
      <c r="P138" s="5"/>
      <c r="Q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0.0</v>
      </c>
      <c r="H139" s="60">
        <v>0.0</v>
      </c>
      <c r="I139" s="60">
        <v>0.0</v>
      </c>
      <c r="J139" s="60">
        <v>0.0</v>
      </c>
      <c r="K139" s="60">
        <v>2.0</v>
      </c>
      <c r="L139" s="60">
        <v>1.0</v>
      </c>
      <c r="M139" s="60">
        <v>0.0</v>
      </c>
      <c r="N139" s="60">
        <v>0.0</v>
      </c>
      <c r="O139" s="13">
        <f t="shared" si="13"/>
        <v>3</v>
      </c>
      <c r="P139" s="5"/>
      <c r="Q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13">
        <f t="shared" si="13"/>
        <v>0</v>
      </c>
      <c r="P140" s="5"/>
      <c r="Q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60">
        <v>0.0</v>
      </c>
      <c r="O141" s="13">
        <f t="shared" si="13"/>
        <v>0</v>
      </c>
      <c r="P141" s="1"/>
      <c r="Q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2.0</v>
      </c>
      <c r="G142" s="60">
        <v>6.0</v>
      </c>
      <c r="H142" s="60">
        <v>3.0</v>
      </c>
      <c r="I142" s="60">
        <v>1.0</v>
      </c>
      <c r="J142" s="60">
        <v>1.0</v>
      </c>
      <c r="K142" s="60">
        <v>0.0</v>
      </c>
      <c r="L142" s="60">
        <v>0.0</v>
      </c>
      <c r="M142" s="60">
        <v>0.0</v>
      </c>
      <c r="N142" s="60">
        <v>0.0</v>
      </c>
      <c r="O142" s="13">
        <f t="shared" si="13"/>
        <v>13</v>
      </c>
      <c r="P142" s="54"/>
      <c r="Q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13">
        <f t="shared" si="13"/>
        <v>0</v>
      </c>
      <c r="P143" s="5"/>
      <c r="Q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2.0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13">
        <f t="shared" si="13"/>
        <v>2</v>
      </c>
      <c r="P144" s="5"/>
      <c r="Q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N145" si="26">SUM(E138:E144)</f>
        <v>0</v>
      </c>
      <c r="F145" s="64">
        <f t="shared" si="26"/>
        <v>2</v>
      </c>
      <c r="G145" s="64">
        <f t="shared" si="26"/>
        <v>6</v>
      </c>
      <c r="H145" s="64">
        <f t="shared" si="26"/>
        <v>3</v>
      </c>
      <c r="I145" s="64">
        <f t="shared" si="26"/>
        <v>3</v>
      </c>
      <c r="J145" s="64">
        <f t="shared" si="26"/>
        <v>1</v>
      </c>
      <c r="K145" s="64">
        <f t="shared" si="26"/>
        <v>2</v>
      </c>
      <c r="L145" s="64">
        <f t="shared" si="26"/>
        <v>1</v>
      </c>
      <c r="M145" s="64">
        <f t="shared" si="26"/>
        <v>0</v>
      </c>
      <c r="N145" s="64">
        <f t="shared" si="26"/>
        <v>0</v>
      </c>
      <c r="O145" s="13">
        <f t="shared" si="13"/>
        <v>18</v>
      </c>
      <c r="P145" s="5"/>
      <c r="Q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13">
        <f t="shared" si="13"/>
        <v>0</v>
      </c>
      <c r="P146" s="5"/>
      <c r="Q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5.0</v>
      </c>
      <c r="F147" s="60">
        <v>4.0</v>
      </c>
      <c r="G147" s="60">
        <v>3.0</v>
      </c>
      <c r="H147" s="60">
        <v>2.0</v>
      </c>
      <c r="I147" s="60">
        <v>2.0</v>
      </c>
      <c r="J147" s="60">
        <v>3.0</v>
      </c>
      <c r="K147" s="60">
        <v>3.0</v>
      </c>
      <c r="L147" s="60">
        <v>1.0</v>
      </c>
      <c r="M147" s="60">
        <v>1.0</v>
      </c>
      <c r="N147" s="60">
        <v>6.0</v>
      </c>
      <c r="O147" s="13">
        <f t="shared" si="13"/>
        <v>30</v>
      </c>
      <c r="P147" s="5"/>
      <c r="Q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6.0</v>
      </c>
      <c r="F148" s="60">
        <v>6.0</v>
      </c>
      <c r="G148" s="60">
        <v>5.0</v>
      </c>
      <c r="H148" s="60">
        <v>4.0</v>
      </c>
      <c r="I148" s="60">
        <v>4.0</v>
      </c>
      <c r="J148" s="60">
        <v>5.0</v>
      </c>
      <c r="K148" s="60">
        <v>7.0</v>
      </c>
      <c r="L148" s="60">
        <v>7.0</v>
      </c>
      <c r="M148" s="60">
        <v>5.0</v>
      </c>
      <c r="N148" s="60">
        <v>5.0</v>
      </c>
      <c r="O148" s="13">
        <f t="shared" si="13"/>
        <v>54</v>
      </c>
      <c r="P148" s="5"/>
      <c r="Q148" s="5"/>
    </row>
    <row r="149" ht="12.75" customHeight="1">
      <c r="A149" s="18"/>
      <c r="B149" s="57"/>
      <c r="C149" s="58" t="s">
        <v>128</v>
      </c>
      <c r="D149" s="59"/>
      <c r="E149" s="60">
        <v>28.0</v>
      </c>
      <c r="F149" s="60">
        <v>39.0</v>
      </c>
      <c r="G149" s="60">
        <v>16.0</v>
      </c>
      <c r="H149" s="60">
        <v>11.0</v>
      </c>
      <c r="I149" s="60">
        <v>8.0</v>
      </c>
      <c r="J149" s="60">
        <v>16.0</v>
      </c>
      <c r="K149" s="60">
        <v>12.0</v>
      </c>
      <c r="L149" s="60">
        <v>36.0</v>
      </c>
      <c r="M149" s="60">
        <v>58.0</v>
      </c>
      <c r="N149" s="60">
        <v>18.0</v>
      </c>
      <c r="O149" s="13">
        <f t="shared" si="13"/>
        <v>242</v>
      </c>
      <c r="P149" s="5"/>
      <c r="Q149" s="5"/>
    </row>
    <row r="150" ht="12.75" customHeight="1">
      <c r="A150" s="18"/>
      <c r="B150" s="57"/>
      <c r="C150" s="58" t="s">
        <v>129</v>
      </c>
      <c r="D150" s="59"/>
      <c r="E150" s="60">
        <v>1.0</v>
      </c>
      <c r="F150" s="60">
        <v>1.0</v>
      </c>
      <c r="G150" s="60">
        <v>0.0</v>
      </c>
      <c r="H150" s="60">
        <v>0.0</v>
      </c>
      <c r="I150" s="60">
        <v>0.0</v>
      </c>
      <c r="J150" s="60">
        <v>0.0</v>
      </c>
      <c r="K150" s="60">
        <v>1.0</v>
      </c>
      <c r="L150" s="60">
        <v>1.0</v>
      </c>
      <c r="M150" s="60">
        <v>0.0</v>
      </c>
      <c r="N150" s="60">
        <v>0.0</v>
      </c>
      <c r="O150" s="13">
        <f t="shared" si="13"/>
        <v>4</v>
      </c>
      <c r="P150" s="5"/>
      <c r="Q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0.0</v>
      </c>
      <c r="J151" s="60">
        <v>0.0</v>
      </c>
      <c r="K151" s="60">
        <v>0.0</v>
      </c>
      <c r="L151" s="60">
        <v>0.0</v>
      </c>
      <c r="M151" s="60">
        <v>0.0</v>
      </c>
      <c r="N151" s="60">
        <v>0.0</v>
      </c>
      <c r="O151" s="13">
        <f t="shared" si="13"/>
        <v>0</v>
      </c>
      <c r="P151" s="1"/>
      <c r="Q151" s="1"/>
    </row>
    <row r="152" ht="12.75" customHeight="1">
      <c r="A152" s="18"/>
      <c r="B152" s="57"/>
      <c r="C152" s="58" t="s">
        <v>131</v>
      </c>
      <c r="D152" s="59"/>
      <c r="E152" s="60">
        <v>1.0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60">
        <v>0.0</v>
      </c>
      <c r="L152" s="60">
        <v>1.0</v>
      </c>
      <c r="M152" s="60">
        <v>0.0</v>
      </c>
      <c r="N152" s="60">
        <v>0.0</v>
      </c>
      <c r="O152" s="13">
        <f t="shared" si="13"/>
        <v>2</v>
      </c>
      <c r="P152" s="54"/>
      <c r="Q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1.0</v>
      </c>
      <c r="N153" s="60">
        <v>0.0</v>
      </c>
      <c r="O153" s="13">
        <f t="shared" si="13"/>
        <v>1</v>
      </c>
      <c r="P153" s="5"/>
      <c r="Q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N154" si="27">SUM(E147:E153)</f>
        <v>41</v>
      </c>
      <c r="F154" s="64">
        <f t="shared" si="27"/>
        <v>50</v>
      </c>
      <c r="G154" s="64">
        <f t="shared" si="27"/>
        <v>24</v>
      </c>
      <c r="H154" s="64">
        <f t="shared" si="27"/>
        <v>17</v>
      </c>
      <c r="I154" s="64">
        <f t="shared" si="27"/>
        <v>14</v>
      </c>
      <c r="J154" s="64">
        <f t="shared" si="27"/>
        <v>24</v>
      </c>
      <c r="K154" s="64">
        <f t="shared" si="27"/>
        <v>23</v>
      </c>
      <c r="L154" s="64">
        <f t="shared" si="27"/>
        <v>46</v>
      </c>
      <c r="M154" s="64">
        <f t="shared" si="27"/>
        <v>65</v>
      </c>
      <c r="N154" s="64">
        <f t="shared" si="27"/>
        <v>29</v>
      </c>
      <c r="O154" s="13">
        <f t="shared" si="13"/>
        <v>333</v>
      </c>
      <c r="P154" s="5"/>
      <c r="Q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13">
        <f t="shared" si="13"/>
        <v>0</v>
      </c>
      <c r="P155" s="5"/>
      <c r="Q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0.0</v>
      </c>
      <c r="F156" s="60">
        <v>0.0</v>
      </c>
      <c r="G156" s="60">
        <v>0.0</v>
      </c>
      <c r="H156" s="60">
        <v>0.0</v>
      </c>
      <c r="I156" s="60">
        <v>0.0</v>
      </c>
      <c r="J156" s="60">
        <v>0.0</v>
      </c>
      <c r="K156" s="60">
        <v>0.0</v>
      </c>
      <c r="L156" s="60">
        <v>2.0</v>
      </c>
      <c r="M156" s="60">
        <v>1.0</v>
      </c>
      <c r="N156" s="60">
        <v>0.0</v>
      </c>
      <c r="O156" s="13">
        <f t="shared" si="13"/>
        <v>3</v>
      </c>
      <c r="P156" s="5"/>
      <c r="Q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0.0</v>
      </c>
      <c r="J157" s="60">
        <v>0.0</v>
      </c>
      <c r="K157" s="60">
        <v>0.0</v>
      </c>
      <c r="L157" s="60">
        <v>2.0</v>
      </c>
      <c r="M157" s="60">
        <v>0.0</v>
      </c>
      <c r="N157" s="60">
        <v>0.0</v>
      </c>
      <c r="O157" s="13">
        <f t="shared" si="13"/>
        <v>2</v>
      </c>
      <c r="P157" s="5"/>
      <c r="Q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1.0</v>
      </c>
      <c r="H158" s="60">
        <v>0.0</v>
      </c>
      <c r="I158" s="60">
        <v>0.0</v>
      </c>
      <c r="J158" s="60">
        <v>1.0</v>
      </c>
      <c r="K158" s="60">
        <v>0.0</v>
      </c>
      <c r="L158" s="60">
        <v>0.0</v>
      </c>
      <c r="M158" s="60">
        <v>0.0</v>
      </c>
      <c r="N158" s="60">
        <v>0.0</v>
      </c>
      <c r="O158" s="13">
        <f t="shared" si="13"/>
        <v>2</v>
      </c>
      <c r="P158" s="5"/>
      <c r="Q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60">
        <v>0.0</v>
      </c>
      <c r="O159" s="13">
        <f t="shared" si="13"/>
        <v>0</v>
      </c>
      <c r="P159" s="5"/>
      <c r="Q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0.0</v>
      </c>
      <c r="N160" s="60">
        <v>0.0</v>
      </c>
      <c r="O160" s="13">
        <f t="shared" si="13"/>
        <v>0</v>
      </c>
      <c r="P160" s="5"/>
      <c r="Q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1.0</v>
      </c>
      <c r="M161" s="60">
        <v>0.0</v>
      </c>
      <c r="N161" s="60">
        <v>0.0</v>
      </c>
      <c r="O161" s="13">
        <f t="shared" si="13"/>
        <v>1</v>
      </c>
      <c r="P161" s="5"/>
      <c r="Q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N162" si="28">SUM(E156:E161)</f>
        <v>0</v>
      </c>
      <c r="F162" s="64">
        <f t="shared" si="28"/>
        <v>0</v>
      </c>
      <c r="G162" s="64">
        <f t="shared" si="28"/>
        <v>1</v>
      </c>
      <c r="H162" s="64">
        <f t="shared" si="28"/>
        <v>0</v>
      </c>
      <c r="I162" s="64">
        <f t="shared" si="28"/>
        <v>0</v>
      </c>
      <c r="J162" s="64">
        <f t="shared" si="28"/>
        <v>1</v>
      </c>
      <c r="K162" s="64">
        <f t="shared" si="28"/>
        <v>0</v>
      </c>
      <c r="L162" s="64">
        <f t="shared" si="28"/>
        <v>5</v>
      </c>
      <c r="M162" s="64">
        <f t="shared" si="28"/>
        <v>1</v>
      </c>
      <c r="N162" s="64">
        <f t="shared" si="28"/>
        <v>0</v>
      </c>
      <c r="O162" s="13">
        <f t="shared" si="13"/>
        <v>8</v>
      </c>
      <c r="P162" s="5"/>
      <c r="Q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13">
        <f t="shared" si="13"/>
        <v>0</v>
      </c>
      <c r="P163" s="5"/>
      <c r="Q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60">
        <v>0.0</v>
      </c>
      <c r="O164" s="13">
        <f t="shared" si="13"/>
        <v>0</v>
      </c>
      <c r="P164" s="5"/>
      <c r="Q164" s="5"/>
    </row>
    <row r="165" ht="12.75" customHeight="1">
      <c r="A165" s="31"/>
      <c r="B165" s="50"/>
      <c r="C165" s="58" t="s">
        <v>142</v>
      </c>
      <c r="D165" s="65"/>
      <c r="E165" s="60">
        <v>1.0</v>
      </c>
      <c r="F165" s="60">
        <v>0.0</v>
      </c>
      <c r="G165" s="60">
        <v>0.0</v>
      </c>
      <c r="H165" s="60">
        <v>0.0</v>
      </c>
      <c r="I165" s="60">
        <v>0.0</v>
      </c>
      <c r="J165" s="60">
        <v>0.0</v>
      </c>
      <c r="K165" s="60">
        <v>0.0</v>
      </c>
      <c r="L165" s="60">
        <v>0.0</v>
      </c>
      <c r="M165" s="60">
        <v>1.0</v>
      </c>
      <c r="N165" s="60">
        <v>0.0</v>
      </c>
      <c r="O165" s="13">
        <f t="shared" si="13"/>
        <v>2</v>
      </c>
      <c r="P165" s="1"/>
      <c r="Q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13">
        <f t="shared" si="13"/>
        <v>0</v>
      </c>
      <c r="P166" s="54"/>
      <c r="Q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13">
        <f t="shared" si="13"/>
        <v>0</v>
      </c>
      <c r="P167" s="5"/>
      <c r="Q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13">
        <f t="shared" si="13"/>
        <v>0</v>
      </c>
      <c r="P168" s="5"/>
      <c r="Q168" s="5"/>
    </row>
    <row r="169" ht="12.75" customHeight="1">
      <c r="A169" s="18"/>
      <c r="B169" s="57"/>
      <c r="C169" s="58" t="s">
        <v>146</v>
      </c>
      <c r="D169" s="59"/>
      <c r="E169" s="60">
        <v>1.0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13">
        <f t="shared" si="13"/>
        <v>1</v>
      </c>
      <c r="P169" s="5"/>
      <c r="Q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13">
        <f t="shared" si="13"/>
        <v>0</v>
      </c>
      <c r="P170" s="5"/>
      <c r="Q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N171" si="29">SUM(E164:E170)</f>
        <v>2</v>
      </c>
      <c r="F171" s="64">
        <f t="shared" si="29"/>
        <v>0</v>
      </c>
      <c r="G171" s="64">
        <f t="shared" si="29"/>
        <v>0</v>
      </c>
      <c r="H171" s="64">
        <f t="shared" si="29"/>
        <v>0</v>
      </c>
      <c r="I171" s="64">
        <f t="shared" si="29"/>
        <v>0</v>
      </c>
      <c r="J171" s="64">
        <f t="shared" si="29"/>
        <v>0</v>
      </c>
      <c r="K171" s="64">
        <f t="shared" si="29"/>
        <v>0</v>
      </c>
      <c r="L171" s="64">
        <f t="shared" si="29"/>
        <v>0</v>
      </c>
      <c r="M171" s="64">
        <f t="shared" si="29"/>
        <v>1</v>
      </c>
      <c r="N171" s="64">
        <f t="shared" si="29"/>
        <v>0</v>
      </c>
      <c r="O171" s="13">
        <f t="shared" si="13"/>
        <v>3</v>
      </c>
      <c r="P171" s="5"/>
      <c r="Q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13">
        <f t="shared" si="13"/>
        <v>0</v>
      </c>
      <c r="P172" s="5"/>
      <c r="Q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1.0</v>
      </c>
      <c r="G173" s="60">
        <v>0.0</v>
      </c>
      <c r="H173" s="60">
        <v>0.0</v>
      </c>
      <c r="I173" s="60">
        <v>0.0</v>
      </c>
      <c r="J173" s="60">
        <v>0.0</v>
      </c>
      <c r="K173" s="60">
        <v>0.0</v>
      </c>
      <c r="L173" s="60">
        <v>1.0</v>
      </c>
      <c r="M173" s="60">
        <v>0.0</v>
      </c>
      <c r="N173" s="60">
        <v>0.0</v>
      </c>
      <c r="O173" s="13">
        <f t="shared" si="13"/>
        <v>2</v>
      </c>
      <c r="P173" s="5"/>
      <c r="Q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0.0</v>
      </c>
      <c r="G174" s="60">
        <v>0.0</v>
      </c>
      <c r="H174" s="60">
        <v>2.0</v>
      </c>
      <c r="I174" s="60">
        <v>0.0</v>
      </c>
      <c r="J174" s="60">
        <v>0.0</v>
      </c>
      <c r="K174" s="60">
        <v>0.0</v>
      </c>
      <c r="L174" s="60">
        <v>1.0</v>
      </c>
      <c r="M174" s="60">
        <v>0.0</v>
      </c>
      <c r="N174" s="60">
        <v>0.0</v>
      </c>
      <c r="O174" s="13">
        <f t="shared" si="13"/>
        <v>3</v>
      </c>
      <c r="P174" s="5"/>
      <c r="Q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0.0</v>
      </c>
      <c r="G175" s="60">
        <v>0.0</v>
      </c>
      <c r="H175" s="60">
        <v>0.0</v>
      </c>
      <c r="I175" s="60">
        <v>0.0</v>
      </c>
      <c r="J175" s="60">
        <v>1.0</v>
      </c>
      <c r="K175" s="60">
        <v>0.0</v>
      </c>
      <c r="L175" s="60">
        <v>0.0</v>
      </c>
      <c r="M175" s="60">
        <v>0.0</v>
      </c>
      <c r="N175" s="60">
        <v>0.0</v>
      </c>
      <c r="O175" s="13">
        <f t="shared" si="13"/>
        <v>1</v>
      </c>
      <c r="P175" s="5"/>
      <c r="Q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0.0</v>
      </c>
      <c r="G176" s="60">
        <v>0.0</v>
      </c>
      <c r="H176" s="60">
        <v>0.0</v>
      </c>
      <c r="I176" s="60">
        <v>1.0</v>
      </c>
      <c r="J176" s="60">
        <v>0.0</v>
      </c>
      <c r="K176" s="60">
        <v>1.0</v>
      </c>
      <c r="L176" s="60">
        <v>1.0</v>
      </c>
      <c r="M176" s="60">
        <v>0.0</v>
      </c>
      <c r="N176" s="60">
        <v>0.0</v>
      </c>
      <c r="O176" s="13">
        <f t="shared" si="13"/>
        <v>3</v>
      </c>
      <c r="P176" s="1"/>
      <c r="Q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1.0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60">
        <v>0.0</v>
      </c>
      <c r="O177" s="13">
        <f t="shared" si="13"/>
        <v>1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13">
        <f t="shared" si="13"/>
        <v>0</v>
      </c>
      <c r="P178" s="5"/>
      <c r="Q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1.0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60">
        <v>0.0</v>
      </c>
      <c r="O179" s="13">
        <f t="shared" si="13"/>
        <v>1</v>
      </c>
      <c r="P179" s="5"/>
      <c r="Q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N180" si="30">SUM(E173:E179)</f>
        <v>0</v>
      </c>
      <c r="F180" s="64">
        <f t="shared" si="30"/>
        <v>1</v>
      </c>
      <c r="G180" s="64">
        <f t="shared" si="30"/>
        <v>0</v>
      </c>
      <c r="H180" s="64">
        <f t="shared" si="30"/>
        <v>4</v>
      </c>
      <c r="I180" s="64">
        <f t="shared" si="30"/>
        <v>1</v>
      </c>
      <c r="J180" s="64">
        <f t="shared" si="30"/>
        <v>1</v>
      </c>
      <c r="K180" s="64">
        <f t="shared" si="30"/>
        <v>1</v>
      </c>
      <c r="L180" s="64">
        <f t="shared" si="30"/>
        <v>3</v>
      </c>
      <c r="M180" s="64">
        <f t="shared" si="30"/>
        <v>0</v>
      </c>
      <c r="N180" s="64">
        <f t="shared" si="30"/>
        <v>0</v>
      </c>
      <c r="O180" s="13">
        <f t="shared" si="13"/>
        <v>11</v>
      </c>
      <c r="P180" s="5"/>
      <c r="Q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13">
        <f t="shared" si="13"/>
        <v>0</v>
      </c>
      <c r="P181" s="5"/>
      <c r="Q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0.0</v>
      </c>
      <c r="L182" s="60">
        <v>0.0</v>
      </c>
      <c r="M182" s="60">
        <v>0.0</v>
      </c>
      <c r="N182" s="60">
        <v>0.0</v>
      </c>
      <c r="O182" s="13">
        <f t="shared" si="13"/>
        <v>0</v>
      </c>
      <c r="P182" s="5"/>
      <c r="Q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60">
        <v>0.0</v>
      </c>
      <c r="L183" s="60">
        <v>0.0</v>
      </c>
      <c r="M183" s="60">
        <v>0.0</v>
      </c>
      <c r="N183" s="60">
        <v>0.0</v>
      </c>
      <c r="O183" s="13">
        <f t="shared" si="13"/>
        <v>0</v>
      </c>
      <c r="P183" s="5"/>
      <c r="Q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13">
        <f t="shared" si="13"/>
        <v>0</v>
      </c>
      <c r="P184" s="5"/>
      <c r="Q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13">
        <f t="shared" si="13"/>
        <v>0</v>
      </c>
      <c r="P185" s="5"/>
      <c r="Q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13">
        <f t="shared" si="13"/>
        <v>0</v>
      </c>
      <c r="P186" s="5"/>
      <c r="Q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N187" si="31">SUM(E182:E186)</f>
        <v>0</v>
      </c>
      <c r="F187" s="64">
        <f t="shared" si="31"/>
        <v>0</v>
      </c>
      <c r="G187" s="64">
        <f t="shared" si="31"/>
        <v>0</v>
      </c>
      <c r="H187" s="64">
        <f t="shared" si="31"/>
        <v>0</v>
      </c>
      <c r="I187" s="64">
        <f t="shared" si="31"/>
        <v>0</v>
      </c>
      <c r="J187" s="64">
        <f t="shared" si="31"/>
        <v>0</v>
      </c>
      <c r="K187" s="64">
        <f t="shared" si="31"/>
        <v>0</v>
      </c>
      <c r="L187" s="64">
        <f t="shared" si="31"/>
        <v>0</v>
      </c>
      <c r="M187" s="64">
        <f t="shared" si="31"/>
        <v>0</v>
      </c>
      <c r="N187" s="64">
        <f t="shared" si="31"/>
        <v>0</v>
      </c>
      <c r="O187" s="13">
        <f t="shared" si="13"/>
        <v>0</v>
      </c>
      <c r="P187" s="1"/>
      <c r="Q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13">
        <f t="shared" si="13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3">
        <f t="shared" si="13"/>
        <v>0</v>
      </c>
      <c r="P189" s="5"/>
      <c r="Q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13">
        <f t="shared" si="13"/>
        <v>0</v>
      </c>
      <c r="P190" s="5"/>
      <c r="Q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N191" si="32">E187+E180+E162+E154+E145+E136+E127+E123+E114+E110+E101+E92+E88+E79+E70+E61+E52</f>
        <v>208</v>
      </c>
      <c r="F191" s="19">
        <f t="shared" si="32"/>
        <v>215</v>
      </c>
      <c r="G191" s="19">
        <f t="shared" si="32"/>
        <v>218</v>
      </c>
      <c r="H191" s="19">
        <f t="shared" si="32"/>
        <v>233</v>
      </c>
      <c r="I191" s="19">
        <f t="shared" si="32"/>
        <v>201</v>
      </c>
      <c r="J191" s="19">
        <f t="shared" si="32"/>
        <v>221</v>
      </c>
      <c r="K191" s="19">
        <f t="shared" si="32"/>
        <v>224</v>
      </c>
      <c r="L191" s="19">
        <f t="shared" si="32"/>
        <v>213</v>
      </c>
      <c r="M191" s="19">
        <f t="shared" si="32"/>
        <v>206</v>
      </c>
      <c r="N191" s="19">
        <f t="shared" si="32"/>
        <v>215</v>
      </c>
      <c r="O191" s="13">
        <f t="shared" si="13"/>
        <v>2154</v>
      </c>
      <c r="P191" s="5"/>
      <c r="Q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12.0</v>
      </c>
      <c r="F192" s="60">
        <v>11.0</v>
      </c>
      <c r="G192" s="60">
        <v>10.0</v>
      </c>
      <c r="H192" s="60">
        <v>14.0</v>
      </c>
      <c r="I192" s="60">
        <v>4.0</v>
      </c>
      <c r="J192" s="60">
        <v>14.0</v>
      </c>
      <c r="K192" s="60">
        <v>6.0</v>
      </c>
      <c r="L192" s="60">
        <v>14.0</v>
      </c>
      <c r="M192" s="60">
        <v>9.0</v>
      </c>
      <c r="N192" s="60">
        <v>14.0</v>
      </c>
      <c r="O192" s="13">
        <f t="shared" si="13"/>
        <v>108</v>
      </c>
      <c r="P192" s="5"/>
      <c r="Q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N193" si="33">SUM(E191:E192)</f>
        <v>220</v>
      </c>
      <c r="F193" s="13">
        <f t="shared" si="33"/>
        <v>226</v>
      </c>
      <c r="G193" s="13">
        <f t="shared" si="33"/>
        <v>228</v>
      </c>
      <c r="H193" s="13">
        <f t="shared" si="33"/>
        <v>247</v>
      </c>
      <c r="I193" s="13">
        <f t="shared" si="33"/>
        <v>205</v>
      </c>
      <c r="J193" s="13">
        <f t="shared" si="33"/>
        <v>235</v>
      </c>
      <c r="K193" s="13">
        <f t="shared" si="33"/>
        <v>230</v>
      </c>
      <c r="L193" s="13">
        <f t="shared" si="33"/>
        <v>227</v>
      </c>
      <c r="M193" s="13">
        <f t="shared" si="33"/>
        <v>215</v>
      </c>
      <c r="N193" s="13">
        <f t="shared" si="33"/>
        <v>229</v>
      </c>
      <c r="O193" s="13">
        <f t="shared" si="13"/>
        <v>2262</v>
      </c>
      <c r="P193" s="5"/>
      <c r="Q193" s="5"/>
    </row>
    <row r="194" ht="12.75" customHeight="1">
      <c r="P194" s="5"/>
      <c r="Q194" s="5"/>
    </row>
    <row r="195" ht="12.75" customHeight="1">
      <c r="P195" s="5"/>
      <c r="Q195" s="5"/>
    </row>
    <row r="196" ht="12.75" customHeight="1">
      <c r="P196" s="1"/>
      <c r="Q196" s="1"/>
    </row>
    <row r="197" ht="12.75" customHeight="1">
      <c r="P197" s="1"/>
      <c r="Q197" s="1"/>
    </row>
    <row r="198" ht="12.75" customHeight="1">
      <c r="P198" s="1"/>
      <c r="Q198" s="1"/>
    </row>
    <row r="199" ht="12.75" customHeight="1">
      <c r="P199" s="54"/>
      <c r="Q199" s="54"/>
    </row>
    <row r="200" ht="12.75" customHeight="1">
      <c r="P200" s="5"/>
      <c r="Q200" s="5"/>
    </row>
    <row r="201" ht="12.75" customHeight="1">
      <c r="P201" s="5"/>
      <c r="Q201" s="5"/>
    </row>
    <row r="202" ht="12.75" customHeight="1">
      <c r="P202" s="5"/>
      <c r="Q202" s="5"/>
    </row>
    <row r="203" ht="12.75" customHeight="1">
      <c r="P203" s="5"/>
      <c r="Q203" s="5"/>
    </row>
    <row r="204" ht="12.75" customHeight="1">
      <c r="P204" s="5"/>
      <c r="Q204" s="5"/>
    </row>
    <row r="205" ht="12.75" customHeight="1">
      <c r="P205" s="5"/>
      <c r="Q205" s="5"/>
    </row>
    <row r="206" ht="12.75" customHeight="1">
      <c r="P206" s="5"/>
      <c r="Q206" s="5"/>
    </row>
    <row r="207" ht="12.75" customHeight="1">
      <c r="P207" s="1"/>
      <c r="Q207" s="1"/>
    </row>
    <row r="208" ht="12.75" customHeight="1">
      <c r="P208" s="54"/>
      <c r="Q208" s="54"/>
    </row>
    <row r="209" ht="12.75" customHeight="1">
      <c r="P209" s="54"/>
      <c r="Q209" s="54"/>
    </row>
    <row r="210" ht="12.75" customHeight="1">
      <c r="P210" s="54"/>
      <c r="Q210" s="54"/>
    </row>
    <row r="211" ht="12.75" customHeight="1">
      <c r="P211" s="5"/>
      <c r="Q211" s="5"/>
    </row>
    <row r="212" ht="12.75" customHeight="1">
      <c r="P212" s="5"/>
      <c r="Q212" s="5"/>
    </row>
    <row r="213" ht="12.75" customHeight="1">
      <c r="P213" s="5"/>
      <c r="Q213" s="5"/>
    </row>
    <row r="214" ht="12.75" customHeight="1">
      <c r="P214" s="5"/>
      <c r="Q214" s="5"/>
    </row>
    <row r="215" ht="12.75" customHeight="1">
      <c r="P215" s="5"/>
      <c r="Q215" s="5"/>
    </row>
    <row r="216" ht="12.75" customHeight="1">
      <c r="P216" s="5"/>
      <c r="Q216" s="5"/>
    </row>
    <row r="217" ht="12.75" customHeight="1">
      <c r="P217" s="5"/>
      <c r="Q217" s="5"/>
    </row>
    <row r="218" ht="12.75" customHeight="1">
      <c r="P218" s="1"/>
      <c r="Q218" s="1"/>
    </row>
    <row r="219" ht="12.75" customHeight="1">
      <c r="P219" s="54"/>
      <c r="Q219" s="54"/>
    </row>
    <row r="220" ht="12.75" customHeight="1">
      <c r="P220" s="5"/>
      <c r="Q220" s="5"/>
    </row>
    <row r="221" ht="12.75" customHeight="1">
      <c r="P221" s="5"/>
      <c r="Q221" s="5"/>
    </row>
    <row r="222" ht="12.75" customHeight="1">
      <c r="P222" s="5"/>
      <c r="Q222" s="5"/>
    </row>
    <row r="223" ht="12.75" customHeight="1">
      <c r="P223" s="5"/>
      <c r="Q223" s="5"/>
    </row>
    <row r="224" ht="12.75" customHeight="1">
      <c r="P224" s="5"/>
      <c r="Q224" s="5"/>
    </row>
    <row r="225" ht="12.75" customHeight="1">
      <c r="P225" s="5"/>
      <c r="Q225" s="5"/>
    </row>
    <row r="226" ht="12.75" customHeight="1">
      <c r="P226" s="5"/>
      <c r="Q226" s="5"/>
    </row>
    <row r="227" ht="12.75" customHeight="1">
      <c r="P227" s="5"/>
      <c r="Q227" s="5"/>
    </row>
    <row r="228" ht="12.75" customHeight="1">
      <c r="P228" s="5"/>
      <c r="Q228" s="5"/>
    </row>
    <row r="229" ht="12.75" customHeight="1">
      <c r="P229" s="1"/>
      <c r="Q229" s="1"/>
    </row>
    <row r="230" ht="12.75" customHeight="1">
      <c r="P230" s="54"/>
      <c r="Q230" s="54"/>
    </row>
    <row r="231" ht="12.75" customHeight="1">
      <c r="P231" s="5"/>
      <c r="Q231" s="5"/>
    </row>
    <row r="232" ht="12.75" customHeight="1">
      <c r="P232" s="5"/>
      <c r="Q232" s="5"/>
    </row>
    <row r="233" ht="12.75" customHeight="1">
      <c r="P233" s="5"/>
      <c r="Q233" s="5"/>
    </row>
    <row r="234" ht="12.75" customHeight="1">
      <c r="P234" s="5"/>
      <c r="Q234" s="5"/>
    </row>
    <row r="235" ht="12.75" customHeight="1">
      <c r="P235" s="5"/>
      <c r="Q235" s="5"/>
    </row>
    <row r="236" ht="12.75" customHeight="1">
      <c r="P236" s="5"/>
      <c r="Q236" s="5"/>
    </row>
    <row r="237" ht="12.75" customHeight="1">
      <c r="P237" s="5"/>
      <c r="Q237" s="5"/>
    </row>
    <row r="238" ht="12.75" customHeight="1">
      <c r="P238" s="5"/>
      <c r="Q238" s="5"/>
    </row>
    <row r="239" ht="12.75" customHeight="1">
      <c r="P239" s="5"/>
      <c r="Q239" s="5"/>
    </row>
    <row r="240" ht="12.75" customHeight="1">
      <c r="P240" s="1"/>
      <c r="Q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E34&lt;&gt;#REF!</formula>
    </cfRule>
  </conditionalFormatting>
  <conditionalFormatting sqref="E45:N51">
    <cfRule type="containsBlanks" dxfId="1" priority="10">
      <formula>LEN(TRIM(E45))=0</formula>
    </cfRule>
  </conditionalFormatting>
  <conditionalFormatting sqref="E54:N60">
    <cfRule type="containsBlanks" dxfId="1" priority="11">
      <formula>LEN(TRIM(E54))=0</formula>
    </cfRule>
  </conditionalFormatting>
  <conditionalFormatting sqref="E63:N69">
    <cfRule type="containsBlanks" dxfId="1" priority="12">
      <formula>LEN(TRIM(E63))=0</formula>
    </cfRule>
  </conditionalFormatting>
  <conditionalFormatting sqref="E72:N78">
    <cfRule type="containsBlanks" dxfId="1" priority="13">
      <formula>LEN(TRIM(E72))=0</formula>
    </cfRule>
  </conditionalFormatting>
  <conditionalFormatting sqref="E81:N87">
    <cfRule type="containsBlanks" dxfId="1" priority="14">
      <formula>LEN(TRIM(E81))=0</formula>
    </cfRule>
  </conditionalFormatting>
  <conditionalFormatting sqref="E90:N91">
    <cfRule type="containsBlanks" dxfId="1" priority="15">
      <formula>LEN(TRIM(E90))=0</formula>
    </cfRule>
  </conditionalFormatting>
  <conditionalFormatting sqref="E94:N100">
    <cfRule type="containsBlanks" dxfId="1" priority="16">
      <formula>LEN(TRIM(E94))=0</formula>
    </cfRule>
  </conditionalFormatting>
  <conditionalFormatting sqref="E103:N109">
    <cfRule type="containsBlanks" dxfId="1" priority="17">
      <formula>LEN(TRIM(E103))=0</formula>
    </cfRule>
  </conditionalFormatting>
  <conditionalFormatting sqref="E112:N113">
    <cfRule type="containsBlanks" dxfId="1" priority="18">
      <formula>LEN(TRIM(E112))=0</formula>
    </cfRule>
  </conditionalFormatting>
  <conditionalFormatting sqref="E116:N122">
    <cfRule type="containsBlanks" dxfId="1" priority="19">
      <formula>LEN(TRIM(E116))=0</formula>
    </cfRule>
  </conditionalFormatting>
  <conditionalFormatting sqref="E125:N126">
    <cfRule type="containsBlanks" dxfId="1" priority="20">
      <formula>LEN(TRIM(E125))=0</formula>
    </cfRule>
  </conditionalFormatting>
  <conditionalFormatting sqref="E129:N135">
    <cfRule type="containsBlanks" dxfId="1" priority="21">
      <formula>LEN(TRIM(E129))=0</formula>
    </cfRule>
  </conditionalFormatting>
  <conditionalFormatting sqref="E138:N144">
    <cfRule type="containsBlanks" dxfId="1" priority="22">
      <formula>LEN(TRIM(E138))=0</formula>
    </cfRule>
  </conditionalFormatting>
  <conditionalFormatting sqref="E147:N153">
    <cfRule type="containsBlanks" dxfId="1" priority="23">
      <formula>LEN(TRIM(E147))=0</formula>
    </cfRule>
  </conditionalFormatting>
  <conditionalFormatting sqref="E156:N161">
    <cfRule type="containsBlanks" dxfId="1" priority="24">
      <formula>LEN(TRIM(E156))=0</formula>
    </cfRule>
  </conditionalFormatting>
  <conditionalFormatting sqref="E164:N170">
    <cfRule type="containsBlanks" dxfId="1" priority="25">
      <formula>LEN(TRIM(E164))=0</formula>
    </cfRule>
  </conditionalFormatting>
  <conditionalFormatting sqref="E173:N179">
    <cfRule type="containsBlanks" dxfId="1" priority="26">
      <formula>LEN(TRIM(E173))=0</formula>
    </cfRule>
  </conditionalFormatting>
  <conditionalFormatting sqref="E182:N186">
    <cfRule type="containsBlanks" dxfId="1" priority="27">
      <formula>LEN(TRIM(E182))=0</formula>
    </cfRule>
  </conditionalFormatting>
  <conditionalFormatting sqref="E191:N192">
    <cfRule type="containsBlanks" dxfId="1" priority="28">
      <formula>LEN(TRIM(E191))=0</formula>
    </cfRule>
  </conditionalFormatting>
  <conditionalFormatting sqref="E193:N193">
    <cfRule type="expression" dxfId="0" priority="29">
      <formula>E193&lt;&gt;#REF!</formula>
    </cfRule>
  </conditionalFormatting>
  <conditionalFormatting sqref="E193:N193">
    <cfRule type="expression" dxfId="2" priority="30">
      <formula>#REF!&lt;&gt;E193</formula>
    </cfRule>
  </conditionalFormatting>
  <conditionalFormatting sqref="E193:N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198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13" t="s">
        <v>188</v>
      </c>
      <c r="S13" s="13" t="s">
        <v>189</v>
      </c>
      <c r="T13" s="13" t="s">
        <v>190</v>
      </c>
      <c r="U13" s="13" t="s">
        <v>191</v>
      </c>
      <c r="V13" s="13" t="s">
        <v>192</v>
      </c>
      <c r="W13" s="13" t="s">
        <v>193</v>
      </c>
      <c r="X13" s="13" t="s">
        <v>199</v>
      </c>
      <c r="Y13" s="13" t="s">
        <v>200</v>
      </c>
      <c r="Z13" s="13" t="s">
        <v>201</v>
      </c>
      <c r="AA13" s="13" t="s">
        <v>202</v>
      </c>
      <c r="AB13" s="13" t="s">
        <v>203</v>
      </c>
      <c r="AC13" s="13" t="s">
        <v>204</v>
      </c>
      <c r="AD13" s="13" t="s">
        <v>205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60">
        <v>112.0</v>
      </c>
      <c r="F14" s="60">
        <v>131.0</v>
      </c>
      <c r="G14" s="60">
        <v>133.0</v>
      </c>
      <c r="H14" s="60">
        <v>135.0</v>
      </c>
      <c r="I14" s="60">
        <v>137.0</v>
      </c>
      <c r="J14" s="60">
        <v>138.0</v>
      </c>
      <c r="K14" s="60">
        <v>129.0</v>
      </c>
      <c r="L14" s="60">
        <v>147.0</v>
      </c>
      <c r="M14" s="60">
        <v>117.0</v>
      </c>
      <c r="N14" s="60">
        <v>154.0</v>
      </c>
      <c r="O14" s="60">
        <v>158.0</v>
      </c>
      <c r="P14" s="60">
        <v>136.0</v>
      </c>
      <c r="Q14" s="60">
        <v>136.0</v>
      </c>
      <c r="R14" s="60">
        <v>130.0</v>
      </c>
      <c r="S14" s="60">
        <v>142.0</v>
      </c>
      <c r="T14" s="60">
        <v>140.0</v>
      </c>
      <c r="U14" s="60">
        <v>135.0</v>
      </c>
      <c r="V14" s="60">
        <v>125.0</v>
      </c>
      <c r="W14" s="60">
        <v>136.0</v>
      </c>
      <c r="X14" s="60">
        <v>134.0</v>
      </c>
      <c r="Y14" s="60">
        <v>137.0</v>
      </c>
      <c r="Z14" s="60">
        <v>135.0</v>
      </c>
      <c r="AA14" s="60">
        <v>128.0</v>
      </c>
      <c r="AB14" s="60">
        <v>134.0</v>
      </c>
      <c r="AC14" s="60">
        <v>143.0</v>
      </c>
      <c r="AD14" s="60">
        <v>146.0</v>
      </c>
      <c r="AE14" s="13">
        <f t="shared" ref="AE14:AE16" si="1">SUM(E14:AD14)</f>
        <v>3528</v>
      </c>
    </row>
    <row r="15" ht="12.75" customHeight="1">
      <c r="A15" s="18"/>
      <c r="B15" s="26"/>
      <c r="C15" s="27"/>
      <c r="D15" s="19" t="s">
        <v>13</v>
      </c>
      <c r="E15" s="60">
        <v>98.0</v>
      </c>
      <c r="F15" s="60">
        <v>128.0</v>
      </c>
      <c r="G15" s="60">
        <v>133.0</v>
      </c>
      <c r="H15" s="60">
        <v>132.0</v>
      </c>
      <c r="I15" s="60">
        <v>131.0</v>
      </c>
      <c r="J15" s="60">
        <v>130.0</v>
      </c>
      <c r="K15" s="60">
        <v>136.0</v>
      </c>
      <c r="L15" s="60">
        <v>125.0</v>
      </c>
      <c r="M15" s="60">
        <v>115.0</v>
      </c>
      <c r="N15" s="60">
        <v>134.0</v>
      </c>
      <c r="O15" s="60">
        <v>141.0</v>
      </c>
      <c r="P15" s="60">
        <v>128.0</v>
      </c>
      <c r="Q15" s="60">
        <v>137.0</v>
      </c>
      <c r="R15" s="60">
        <v>133.0</v>
      </c>
      <c r="S15" s="60">
        <v>130.0</v>
      </c>
      <c r="T15" s="60">
        <v>136.0</v>
      </c>
      <c r="U15" s="60">
        <v>126.0</v>
      </c>
      <c r="V15" s="60">
        <v>139.0</v>
      </c>
      <c r="W15" s="60">
        <v>135.0</v>
      </c>
      <c r="X15" s="60">
        <v>136.0</v>
      </c>
      <c r="Y15" s="60">
        <v>133.0</v>
      </c>
      <c r="Z15" s="60">
        <v>131.0</v>
      </c>
      <c r="AA15" s="60">
        <v>136.0</v>
      </c>
      <c r="AB15" s="60">
        <v>133.0</v>
      </c>
      <c r="AC15" s="60">
        <v>137.0</v>
      </c>
      <c r="AD15" s="60">
        <v>145.0</v>
      </c>
      <c r="AE15" s="13">
        <f t="shared" si="1"/>
        <v>3418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210</v>
      </c>
      <c r="F16" s="13">
        <f t="shared" si="2"/>
        <v>259</v>
      </c>
      <c r="G16" s="13">
        <f t="shared" si="2"/>
        <v>266</v>
      </c>
      <c r="H16" s="13">
        <f t="shared" si="2"/>
        <v>267</v>
      </c>
      <c r="I16" s="13">
        <f t="shared" si="2"/>
        <v>268</v>
      </c>
      <c r="J16" s="13">
        <f t="shared" si="2"/>
        <v>268</v>
      </c>
      <c r="K16" s="13">
        <f t="shared" si="2"/>
        <v>265</v>
      </c>
      <c r="L16" s="13">
        <f t="shared" si="2"/>
        <v>272</v>
      </c>
      <c r="M16" s="13">
        <f t="shared" si="2"/>
        <v>232</v>
      </c>
      <c r="N16" s="13">
        <f t="shared" si="2"/>
        <v>288</v>
      </c>
      <c r="O16" s="13">
        <f t="shared" si="2"/>
        <v>299</v>
      </c>
      <c r="P16" s="13">
        <f t="shared" si="2"/>
        <v>264</v>
      </c>
      <c r="Q16" s="13">
        <f t="shared" si="2"/>
        <v>273</v>
      </c>
      <c r="R16" s="13">
        <f t="shared" si="2"/>
        <v>263</v>
      </c>
      <c r="S16" s="13">
        <f t="shared" si="2"/>
        <v>272</v>
      </c>
      <c r="T16" s="13">
        <f t="shared" si="2"/>
        <v>276</v>
      </c>
      <c r="U16" s="13">
        <f t="shared" si="2"/>
        <v>261</v>
      </c>
      <c r="V16" s="13">
        <f t="shared" si="2"/>
        <v>264</v>
      </c>
      <c r="W16" s="13">
        <f t="shared" si="2"/>
        <v>271</v>
      </c>
      <c r="X16" s="13">
        <f t="shared" si="2"/>
        <v>270</v>
      </c>
      <c r="Y16" s="13">
        <f t="shared" si="2"/>
        <v>270</v>
      </c>
      <c r="Z16" s="13">
        <f t="shared" si="2"/>
        <v>266</v>
      </c>
      <c r="AA16" s="13">
        <f t="shared" si="2"/>
        <v>264</v>
      </c>
      <c r="AB16" s="13">
        <f t="shared" si="2"/>
        <v>267</v>
      </c>
      <c r="AC16" s="13">
        <f t="shared" si="2"/>
        <v>280</v>
      </c>
      <c r="AD16" s="13">
        <f t="shared" si="2"/>
        <v>291</v>
      </c>
      <c r="AE16" s="13">
        <f t="shared" si="1"/>
        <v>6946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19"/>
      <c r="U17" s="19"/>
      <c r="V17" s="19"/>
      <c r="W17" s="19"/>
      <c r="X17" s="76"/>
      <c r="Y17" s="19"/>
      <c r="Z17" s="19"/>
      <c r="AA17" s="19"/>
      <c r="AB17" s="19"/>
      <c r="AC17" s="76"/>
      <c r="AD17" s="19"/>
      <c r="AE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13" t="s">
        <v>188</v>
      </c>
      <c r="S18" s="13" t="s">
        <v>189</v>
      </c>
      <c r="T18" s="13" t="s">
        <v>190</v>
      </c>
      <c r="U18" s="13" t="s">
        <v>191</v>
      </c>
      <c r="V18" s="13" t="s">
        <v>192</v>
      </c>
      <c r="W18" s="13" t="s">
        <v>193</v>
      </c>
      <c r="X18" s="13" t="s">
        <v>199</v>
      </c>
      <c r="Y18" s="13" t="s">
        <v>200</v>
      </c>
      <c r="Z18" s="13" t="s">
        <v>201</v>
      </c>
      <c r="AA18" s="13" t="s">
        <v>202</v>
      </c>
      <c r="AB18" s="13" t="s">
        <v>203</v>
      </c>
      <c r="AC18" s="13" t="s">
        <v>204</v>
      </c>
      <c r="AD18" s="13" t="s">
        <v>205</v>
      </c>
      <c r="AE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69.0</v>
      </c>
      <c r="F19" s="60">
        <v>95.0</v>
      </c>
      <c r="G19" s="60">
        <v>102.0</v>
      </c>
      <c r="H19" s="60">
        <v>111.0</v>
      </c>
      <c r="I19" s="60">
        <v>101.0</v>
      </c>
      <c r="J19" s="60">
        <v>97.0</v>
      </c>
      <c r="K19" s="60">
        <v>103.0</v>
      </c>
      <c r="L19" s="60">
        <v>105.0</v>
      </c>
      <c r="M19" s="60">
        <v>77.0</v>
      </c>
      <c r="N19" s="60">
        <v>118.0</v>
      </c>
      <c r="O19" s="60">
        <v>118.0</v>
      </c>
      <c r="P19" s="60">
        <v>105.0</v>
      </c>
      <c r="Q19" s="60">
        <v>100.0</v>
      </c>
      <c r="R19" s="60">
        <v>96.0</v>
      </c>
      <c r="S19" s="60">
        <v>119.0</v>
      </c>
      <c r="T19" s="60">
        <v>107.0</v>
      </c>
      <c r="U19" s="60">
        <v>93.0</v>
      </c>
      <c r="V19" s="60">
        <v>98.0</v>
      </c>
      <c r="W19" s="60">
        <v>94.0</v>
      </c>
      <c r="X19" s="60">
        <v>93.0</v>
      </c>
      <c r="Y19" s="60">
        <v>87.0</v>
      </c>
      <c r="Z19" s="60">
        <v>91.0</v>
      </c>
      <c r="AA19" s="60">
        <v>79.0</v>
      </c>
      <c r="AB19" s="60">
        <v>107.0</v>
      </c>
      <c r="AC19" s="60">
        <v>99.0</v>
      </c>
      <c r="AD19" s="60">
        <v>98.0</v>
      </c>
      <c r="AE19" s="13">
        <f t="shared" ref="AE19:AE30" si="3">SUM(E19:AD19)</f>
        <v>2562</v>
      </c>
    </row>
    <row r="20" ht="12.75" customHeight="1">
      <c r="A20" s="34"/>
      <c r="B20" s="27"/>
      <c r="C20" s="35"/>
      <c r="D20" s="19" t="s">
        <v>13</v>
      </c>
      <c r="E20" s="60">
        <v>66.0</v>
      </c>
      <c r="F20" s="60">
        <v>102.0</v>
      </c>
      <c r="G20" s="60">
        <v>110.0</v>
      </c>
      <c r="H20" s="60">
        <v>106.0</v>
      </c>
      <c r="I20" s="60">
        <v>108.0</v>
      </c>
      <c r="J20" s="60">
        <v>106.0</v>
      </c>
      <c r="K20" s="60">
        <v>106.0</v>
      </c>
      <c r="L20" s="60">
        <v>101.0</v>
      </c>
      <c r="M20" s="60">
        <v>95.0</v>
      </c>
      <c r="N20" s="60">
        <v>102.0</v>
      </c>
      <c r="O20" s="60">
        <v>107.0</v>
      </c>
      <c r="P20" s="60">
        <v>102.0</v>
      </c>
      <c r="Q20" s="60">
        <v>115.0</v>
      </c>
      <c r="R20" s="60">
        <v>107.0</v>
      </c>
      <c r="S20" s="60">
        <v>108.0</v>
      </c>
      <c r="T20" s="60">
        <v>111.0</v>
      </c>
      <c r="U20" s="60">
        <v>100.0</v>
      </c>
      <c r="V20" s="60">
        <v>109.0</v>
      </c>
      <c r="W20" s="60">
        <v>105.0</v>
      </c>
      <c r="X20" s="60">
        <v>105.0</v>
      </c>
      <c r="Y20" s="60">
        <v>100.0</v>
      </c>
      <c r="Z20" s="60">
        <v>96.0</v>
      </c>
      <c r="AA20" s="60">
        <v>97.0</v>
      </c>
      <c r="AB20" s="60">
        <v>110.0</v>
      </c>
      <c r="AC20" s="60">
        <v>108.0</v>
      </c>
      <c r="AD20" s="60">
        <v>101.0</v>
      </c>
      <c r="AE20" s="13">
        <f t="shared" si="3"/>
        <v>2683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135</v>
      </c>
      <c r="F21" s="13">
        <f t="shared" si="4"/>
        <v>197</v>
      </c>
      <c r="G21" s="13">
        <f t="shared" si="4"/>
        <v>212</v>
      </c>
      <c r="H21" s="13">
        <f t="shared" si="4"/>
        <v>217</v>
      </c>
      <c r="I21" s="13">
        <f t="shared" si="4"/>
        <v>209</v>
      </c>
      <c r="J21" s="13">
        <f t="shared" si="4"/>
        <v>203</v>
      </c>
      <c r="K21" s="13">
        <f t="shared" si="4"/>
        <v>209</v>
      </c>
      <c r="L21" s="13">
        <f t="shared" si="4"/>
        <v>206</v>
      </c>
      <c r="M21" s="13">
        <f t="shared" si="4"/>
        <v>172</v>
      </c>
      <c r="N21" s="13">
        <f t="shared" si="4"/>
        <v>220</v>
      </c>
      <c r="O21" s="13">
        <f t="shared" si="4"/>
        <v>225</v>
      </c>
      <c r="P21" s="13">
        <f t="shared" si="4"/>
        <v>207</v>
      </c>
      <c r="Q21" s="13">
        <f t="shared" si="4"/>
        <v>215</v>
      </c>
      <c r="R21" s="13">
        <f t="shared" si="4"/>
        <v>203</v>
      </c>
      <c r="S21" s="13">
        <f t="shared" si="4"/>
        <v>227</v>
      </c>
      <c r="T21" s="13">
        <f t="shared" si="4"/>
        <v>218</v>
      </c>
      <c r="U21" s="13">
        <f t="shared" si="4"/>
        <v>193</v>
      </c>
      <c r="V21" s="13">
        <f t="shared" si="4"/>
        <v>207</v>
      </c>
      <c r="W21" s="13">
        <f t="shared" si="4"/>
        <v>199</v>
      </c>
      <c r="X21" s="13">
        <f t="shared" si="4"/>
        <v>198</v>
      </c>
      <c r="Y21" s="13">
        <f t="shared" si="4"/>
        <v>187</v>
      </c>
      <c r="Z21" s="13">
        <f t="shared" si="4"/>
        <v>187</v>
      </c>
      <c r="AA21" s="13">
        <f t="shared" si="4"/>
        <v>176</v>
      </c>
      <c r="AB21" s="13">
        <f t="shared" si="4"/>
        <v>217</v>
      </c>
      <c r="AC21" s="13">
        <f t="shared" si="4"/>
        <v>207</v>
      </c>
      <c r="AD21" s="13">
        <f t="shared" si="4"/>
        <v>199</v>
      </c>
      <c r="AE21" s="13">
        <f t="shared" si="3"/>
        <v>5245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60">
        <v>0.0</v>
      </c>
      <c r="Y22" s="60">
        <v>0.0</v>
      </c>
      <c r="Z22" s="60">
        <v>0.0</v>
      </c>
      <c r="AA22" s="60">
        <v>0.0</v>
      </c>
      <c r="AB22" s="60">
        <v>0.0</v>
      </c>
      <c r="AC22" s="60">
        <v>0.0</v>
      </c>
      <c r="AD22" s="60">
        <v>0.0</v>
      </c>
      <c r="AE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60">
        <v>0.0</v>
      </c>
      <c r="U23" s="60">
        <v>0.0</v>
      </c>
      <c r="V23" s="60">
        <v>0.0</v>
      </c>
      <c r="W23" s="60">
        <v>0.0</v>
      </c>
      <c r="X23" s="60">
        <v>0.0</v>
      </c>
      <c r="Y23" s="60">
        <v>0.0</v>
      </c>
      <c r="Z23" s="60">
        <v>0.0</v>
      </c>
      <c r="AA23" s="60">
        <v>0.0</v>
      </c>
      <c r="AB23" s="60">
        <v>0.0</v>
      </c>
      <c r="AC23" s="60">
        <v>0.0</v>
      </c>
      <c r="AD23" s="60">
        <v>0.0</v>
      </c>
      <c r="AE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3.0</v>
      </c>
      <c r="H25" s="60">
        <v>1.0</v>
      </c>
      <c r="I25" s="60">
        <v>2.0</v>
      </c>
      <c r="J25" s="60">
        <v>2.0</v>
      </c>
      <c r="K25" s="60">
        <v>3.0</v>
      </c>
      <c r="L25" s="60">
        <v>0.0</v>
      </c>
      <c r="M25" s="60">
        <v>1.0</v>
      </c>
      <c r="N25" s="60">
        <v>0.0</v>
      </c>
      <c r="O25" s="60">
        <v>0.0</v>
      </c>
      <c r="P25" s="60">
        <v>0.0</v>
      </c>
      <c r="Q25" s="60">
        <v>0.0</v>
      </c>
      <c r="R25" s="60">
        <v>0.0</v>
      </c>
      <c r="S25" s="60">
        <v>0.0</v>
      </c>
      <c r="T25" s="60">
        <v>1.0</v>
      </c>
      <c r="U25" s="60">
        <v>0.0</v>
      </c>
      <c r="V25" s="60">
        <v>0.0</v>
      </c>
      <c r="W25" s="60">
        <v>0.0</v>
      </c>
      <c r="X25" s="60">
        <v>0.0</v>
      </c>
      <c r="Y25" s="60">
        <v>0.0</v>
      </c>
      <c r="Z25" s="60">
        <v>1.0</v>
      </c>
      <c r="AA25" s="60">
        <v>0.0</v>
      </c>
      <c r="AB25" s="60">
        <v>0.0</v>
      </c>
      <c r="AC25" s="60">
        <v>0.0</v>
      </c>
      <c r="AD25" s="60">
        <v>0.0</v>
      </c>
      <c r="AE25" s="13">
        <f t="shared" si="3"/>
        <v>14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1.0</v>
      </c>
      <c r="G26" s="60">
        <v>4.0</v>
      </c>
      <c r="H26" s="60">
        <v>0.0</v>
      </c>
      <c r="I26" s="60">
        <v>5.0</v>
      </c>
      <c r="J26" s="60">
        <v>5.0</v>
      </c>
      <c r="K26" s="60">
        <v>2.0</v>
      </c>
      <c r="L26" s="60">
        <v>0.0</v>
      </c>
      <c r="M26" s="60">
        <v>3.0</v>
      </c>
      <c r="N26" s="60">
        <v>0.0</v>
      </c>
      <c r="O26" s="60">
        <v>0.0</v>
      </c>
      <c r="P26" s="60">
        <v>0.0</v>
      </c>
      <c r="Q26" s="60">
        <v>0.0</v>
      </c>
      <c r="R26" s="60">
        <v>0.0</v>
      </c>
      <c r="S26" s="60">
        <v>0.0</v>
      </c>
      <c r="T26" s="60">
        <v>2.0</v>
      </c>
      <c r="U26" s="60">
        <v>0.0</v>
      </c>
      <c r="V26" s="60">
        <v>0.0</v>
      </c>
      <c r="W26" s="60">
        <v>0.0</v>
      </c>
      <c r="X26" s="60">
        <v>0.0</v>
      </c>
      <c r="Y26" s="60">
        <v>0.0</v>
      </c>
      <c r="Z26" s="60">
        <v>0.0</v>
      </c>
      <c r="AA26" s="60">
        <v>0.0</v>
      </c>
      <c r="AB26" s="60">
        <v>0.0</v>
      </c>
      <c r="AC26" s="60">
        <v>0.0</v>
      </c>
      <c r="AD26" s="60">
        <v>0.0</v>
      </c>
      <c r="AE26" s="13">
        <f t="shared" si="3"/>
        <v>22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0</v>
      </c>
      <c r="F27" s="13">
        <f t="shared" si="6"/>
        <v>1</v>
      </c>
      <c r="G27" s="13">
        <f t="shared" si="6"/>
        <v>7</v>
      </c>
      <c r="H27" s="13">
        <f t="shared" si="6"/>
        <v>1</v>
      </c>
      <c r="I27" s="13">
        <f t="shared" si="6"/>
        <v>7</v>
      </c>
      <c r="J27" s="13">
        <f t="shared" si="6"/>
        <v>7</v>
      </c>
      <c r="K27" s="13">
        <f t="shared" si="6"/>
        <v>5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36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D28" si="7">SUM(E19,E22,E25)</f>
        <v>69</v>
      </c>
      <c r="F28" s="13">
        <f t="shared" si="7"/>
        <v>95</v>
      </c>
      <c r="G28" s="13">
        <f t="shared" si="7"/>
        <v>105</v>
      </c>
      <c r="H28" s="13">
        <f t="shared" si="7"/>
        <v>112</v>
      </c>
      <c r="I28" s="13">
        <f t="shared" si="7"/>
        <v>103</v>
      </c>
      <c r="J28" s="13">
        <f t="shared" si="7"/>
        <v>99</v>
      </c>
      <c r="K28" s="13">
        <f t="shared" si="7"/>
        <v>106</v>
      </c>
      <c r="L28" s="13">
        <f t="shared" si="7"/>
        <v>105</v>
      </c>
      <c r="M28" s="13">
        <f t="shared" si="7"/>
        <v>78</v>
      </c>
      <c r="N28" s="13">
        <f t="shared" si="7"/>
        <v>118</v>
      </c>
      <c r="O28" s="13">
        <f t="shared" si="7"/>
        <v>118</v>
      </c>
      <c r="P28" s="13">
        <f t="shared" si="7"/>
        <v>105</v>
      </c>
      <c r="Q28" s="13">
        <f t="shared" si="7"/>
        <v>100</v>
      </c>
      <c r="R28" s="13">
        <f t="shared" si="7"/>
        <v>96</v>
      </c>
      <c r="S28" s="13">
        <f t="shared" si="7"/>
        <v>119</v>
      </c>
      <c r="T28" s="13">
        <f t="shared" si="7"/>
        <v>108</v>
      </c>
      <c r="U28" s="13">
        <f t="shared" si="7"/>
        <v>93</v>
      </c>
      <c r="V28" s="13">
        <f t="shared" si="7"/>
        <v>98</v>
      </c>
      <c r="W28" s="13">
        <f t="shared" si="7"/>
        <v>94</v>
      </c>
      <c r="X28" s="13">
        <f t="shared" si="7"/>
        <v>93</v>
      </c>
      <c r="Y28" s="13">
        <f t="shared" si="7"/>
        <v>87</v>
      </c>
      <c r="Z28" s="13">
        <f t="shared" si="7"/>
        <v>92</v>
      </c>
      <c r="AA28" s="13">
        <f t="shared" si="7"/>
        <v>79</v>
      </c>
      <c r="AB28" s="13">
        <f t="shared" si="7"/>
        <v>107</v>
      </c>
      <c r="AC28" s="13">
        <f t="shared" si="7"/>
        <v>99</v>
      </c>
      <c r="AD28" s="13">
        <f t="shared" si="7"/>
        <v>98</v>
      </c>
      <c r="AE28" s="13">
        <f t="shared" si="3"/>
        <v>2576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66</v>
      </c>
      <c r="F29" s="13">
        <f t="shared" si="8"/>
        <v>103</v>
      </c>
      <c r="G29" s="13">
        <f t="shared" si="8"/>
        <v>114</v>
      </c>
      <c r="H29" s="13">
        <f t="shared" si="8"/>
        <v>106</v>
      </c>
      <c r="I29" s="13">
        <f t="shared" si="8"/>
        <v>113</v>
      </c>
      <c r="J29" s="13">
        <f t="shared" si="8"/>
        <v>111</v>
      </c>
      <c r="K29" s="13">
        <f t="shared" si="8"/>
        <v>108</v>
      </c>
      <c r="L29" s="13">
        <f t="shared" si="8"/>
        <v>101</v>
      </c>
      <c r="M29" s="13">
        <f t="shared" si="8"/>
        <v>98</v>
      </c>
      <c r="N29" s="13">
        <f t="shared" si="8"/>
        <v>102</v>
      </c>
      <c r="O29" s="13">
        <f t="shared" si="8"/>
        <v>107</v>
      </c>
      <c r="P29" s="13">
        <f t="shared" si="8"/>
        <v>102</v>
      </c>
      <c r="Q29" s="13">
        <f t="shared" si="8"/>
        <v>115</v>
      </c>
      <c r="R29" s="13">
        <f t="shared" si="8"/>
        <v>107</v>
      </c>
      <c r="S29" s="13">
        <f t="shared" si="8"/>
        <v>108</v>
      </c>
      <c r="T29" s="13">
        <f t="shared" si="8"/>
        <v>113</v>
      </c>
      <c r="U29" s="13">
        <f t="shared" si="8"/>
        <v>100</v>
      </c>
      <c r="V29" s="13">
        <f t="shared" si="8"/>
        <v>109</v>
      </c>
      <c r="W29" s="13">
        <f t="shared" si="8"/>
        <v>105</v>
      </c>
      <c r="X29" s="13">
        <f t="shared" si="8"/>
        <v>105</v>
      </c>
      <c r="Y29" s="13">
        <f t="shared" si="8"/>
        <v>100</v>
      </c>
      <c r="Z29" s="13">
        <f t="shared" si="8"/>
        <v>96</v>
      </c>
      <c r="AA29" s="13">
        <f t="shared" si="8"/>
        <v>97</v>
      </c>
      <c r="AB29" s="13">
        <f t="shared" si="8"/>
        <v>110</v>
      </c>
      <c r="AC29" s="13">
        <f t="shared" si="8"/>
        <v>108</v>
      </c>
      <c r="AD29" s="13">
        <f t="shared" si="8"/>
        <v>101</v>
      </c>
      <c r="AE29" s="13">
        <f t="shared" si="3"/>
        <v>2705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135</v>
      </c>
      <c r="F30" s="13">
        <f t="shared" si="9"/>
        <v>198</v>
      </c>
      <c r="G30" s="13">
        <f t="shared" si="9"/>
        <v>219</v>
      </c>
      <c r="H30" s="13">
        <f t="shared" si="9"/>
        <v>218</v>
      </c>
      <c r="I30" s="13">
        <f t="shared" si="9"/>
        <v>216</v>
      </c>
      <c r="J30" s="13">
        <f t="shared" si="9"/>
        <v>210</v>
      </c>
      <c r="K30" s="13">
        <f t="shared" si="9"/>
        <v>214</v>
      </c>
      <c r="L30" s="13">
        <f t="shared" si="9"/>
        <v>206</v>
      </c>
      <c r="M30" s="13">
        <f t="shared" si="9"/>
        <v>176</v>
      </c>
      <c r="N30" s="13">
        <f t="shared" si="9"/>
        <v>220</v>
      </c>
      <c r="O30" s="13">
        <f t="shared" si="9"/>
        <v>225</v>
      </c>
      <c r="P30" s="13">
        <f t="shared" si="9"/>
        <v>207</v>
      </c>
      <c r="Q30" s="13">
        <f t="shared" si="9"/>
        <v>215</v>
      </c>
      <c r="R30" s="13">
        <f t="shared" si="9"/>
        <v>203</v>
      </c>
      <c r="S30" s="13">
        <f t="shared" si="9"/>
        <v>227</v>
      </c>
      <c r="T30" s="13">
        <f t="shared" si="9"/>
        <v>221</v>
      </c>
      <c r="U30" s="13">
        <f t="shared" si="9"/>
        <v>193</v>
      </c>
      <c r="V30" s="13">
        <f t="shared" si="9"/>
        <v>207</v>
      </c>
      <c r="W30" s="13">
        <f t="shared" si="9"/>
        <v>199</v>
      </c>
      <c r="X30" s="13">
        <f t="shared" si="9"/>
        <v>198</v>
      </c>
      <c r="Y30" s="13">
        <f t="shared" si="9"/>
        <v>187</v>
      </c>
      <c r="Z30" s="13">
        <f t="shared" si="9"/>
        <v>188</v>
      </c>
      <c r="AA30" s="13">
        <f t="shared" si="9"/>
        <v>176</v>
      </c>
      <c r="AB30" s="13">
        <f t="shared" si="9"/>
        <v>217</v>
      </c>
      <c r="AC30" s="13">
        <f t="shared" si="9"/>
        <v>207</v>
      </c>
      <c r="AD30" s="13">
        <f t="shared" si="9"/>
        <v>199</v>
      </c>
      <c r="AE30" s="13">
        <f t="shared" si="3"/>
        <v>5281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19"/>
      <c r="U31" s="19"/>
      <c r="V31" s="19"/>
      <c r="W31" s="19"/>
      <c r="X31" s="76"/>
      <c r="Y31" s="19"/>
      <c r="Z31" s="19"/>
      <c r="AA31" s="19"/>
      <c r="AB31" s="19"/>
      <c r="AC31" s="76"/>
      <c r="AD31" s="19"/>
      <c r="AE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4" t="s">
        <v>184</v>
      </c>
      <c r="P32" s="74" t="s">
        <v>185</v>
      </c>
      <c r="Q32" s="74" t="s">
        <v>186</v>
      </c>
      <c r="R32" s="74" t="s">
        <v>188</v>
      </c>
      <c r="S32" s="74" t="s">
        <v>189</v>
      </c>
      <c r="T32" s="74" t="s">
        <v>190</v>
      </c>
      <c r="U32" s="74" t="s">
        <v>191</v>
      </c>
      <c r="V32" s="74" t="s">
        <v>192</v>
      </c>
      <c r="W32" s="74" t="s">
        <v>193</v>
      </c>
      <c r="X32" s="74" t="s">
        <v>199</v>
      </c>
      <c r="Y32" s="74" t="s">
        <v>200</v>
      </c>
      <c r="Z32" s="74" t="s">
        <v>201</v>
      </c>
      <c r="AA32" s="74" t="s">
        <v>202</v>
      </c>
      <c r="AB32" s="74" t="s">
        <v>203</v>
      </c>
      <c r="AC32" s="74" t="s">
        <v>204</v>
      </c>
      <c r="AD32" s="74" t="s">
        <v>205</v>
      </c>
      <c r="AE32" s="73"/>
    </row>
    <row r="33" ht="12.75" customHeight="1">
      <c r="A33" s="19">
        <v>1.0</v>
      </c>
      <c r="B33" s="20" t="s">
        <v>27</v>
      </c>
      <c r="C33" s="15"/>
      <c r="D33" s="16"/>
      <c r="E33" s="60">
        <v>215.0</v>
      </c>
      <c r="F33" s="60">
        <v>263.0</v>
      </c>
      <c r="G33" s="60">
        <v>272.0</v>
      </c>
      <c r="H33" s="60">
        <v>273.0</v>
      </c>
      <c r="I33" s="60">
        <v>274.0</v>
      </c>
      <c r="J33" s="60">
        <v>275.0</v>
      </c>
      <c r="K33" s="60">
        <v>271.0</v>
      </c>
      <c r="L33" s="60">
        <v>278.0</v>
      </c>
      <c r="M33" s="60">
        <v>237.0</v>
      </c>
      <c r="N33" s="60">
        <v>275.0</v>
      </c>
      <c r="O33" s="60">
        <v>306.0</v>
      </c>
      <c r="P33" s="60">
        <v>270.0</v>
      </c>
      <c r="Q33" s="60">
        <v>273.0</v>
      </c>
      <c r="R33" s="60">
        <v>270.0</v>
      </c>
      <c r="S33" s="60">
        <v>278.0</v>
      </c>
      <c r="T33" s="60">
        <v>282.0</v>
      </c>
      <c r="U33" s="60">
        <v>267.0</v>
      </c>
      <c r="V33" s="60">
        <v>272.0</v>
      </c>
      <c r="W33" s="60">
        <v>277.0</v>
      </c>
      <c r="X33" s="60">
        <v>276.0</v>
      </c>
      <c r="Y33" s="60">
        <v>266.0</v>
      </c>
      <c r="Z33" s="60">
        <v>270.0</v>
      </c>
      <c r="AA33" s="60">
        <v>272.0</v>
      </c>
      <c r="AB33" s="60">
        <v>263.0</v>
      </c>
      <c r="AC33" s="60">
        <v>287.0</v>
      </c>
      <c r="AD33" s="60">
        <v>287.0</v>
      </c>
      <c r="AE33" s="13">
        <f t="shared" ref="AE33:AE36" si="10">SUM(E33:AD33)</f>
        <v>7049</v>
      </c>
    </row>
    <row r="34" ht="12.75" customHeight="1">
      <c r="A34" s="19">
        <v>2.0</v>
      </c>
      <c r="B34" s="20" t="s">
        <v>28</v>
      </c>
      <c r="C34" s="15"/>
      <c r="D34" s="16"/>
      <c r="E34" s="75">
        <v>135.0</v>
      </c>
      <c r="F34" s="75">
        <v>198.0</v>
      </c>
      <c r="G34" s="75">
        <v>219.0</v>
      </c>
      <c r="H34" s="75">
        <v>218.0</v>
      </c>
      <c r="I34" s="75">
        <v>216.0</v>
      </c>
      <c r="J34" s="75">
        <v>210.0</v>
      </c>
      <c r="K34" s="75">
        <v>214.0</v>
      </c>
      <c r="L34" s="75">
        <v>206.0</v>
      </c>
      <c r="M34" s="75">
        <v>176.0</v>
      </c>
      <c r="N34" s="75">
        <v>220.0</v>
      </c>
      <c r="O34" s="75">
        <v>225.0</v>
      </c>
      <c r="P34" s="75">
        <v>207.0</v>
      </c>
      <c r="Q34" s="75">
        <v>215.0</v>
      </c>
      <c r="R34" s="75">
        <v>203.0</v>
      </c>
      <c r="S34" s="75">
        <v>227.0</v>
      </c>
      <c r="T34" s="75">
        <v>221.0</v>
      </c>
      <c r="U34" s="75">
        <v>193.0</v>
      </c>
      <c r="V34" s="75">
        <v>207.0</v>
      </c>
      <c r="W34" s="75">
        <v>199.0</v>
      </c>
      <c r="X34" s="75">
        <v>198.0</v>
      </c>
      <c r="Y34" s="75">
        <v>187.0</v>
      </c>
      <c r="Z34" s="75">
        <v>188.0</v>
      </c>
      <c r="AA34" s="75">
        <v>176.0</v>
      </c>
      <c r="AB34" s="75">
        <v>217.0</v>
      </c>
      <c r="AC34" s="75">
        <v>207.0</v>
      </c>
      <c r="AD34" s="75">
        <v>199.0</v>
      </c>
      <c r="AE34" s="13">
        <f t="shared" si="10"/>
        <v>5281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0.0</v>
      </c>
      <c r="G35" s="60">
        <v>1.0</v>
      </c>
      <c r="H35" s="60">
        <v>0.0</v>
      </c>
      <c r="I35" s="60">
        <v>0.0</v>
      </c>
      <c r="J35" s="60">
        <v>1.0</v>
      </c>
      <c r="K35" s="60">
        <v>0.0</v>
      </c>
      <c r="L35" s="60">
        <v>0.0</v>
      </c>
      <c r="M35" s="60">
        <v>0.0</v>
      </c>
      <c r="N35" s="60">
        <v>0.0</v>
      </c>
      <c r="O35" s="60">
        <v>0.0</v>
      </c>
      <c r="P35" s="60">
        <v>0.0</v>
      </c>
      <c r="Q35" s="60">
        <v>0.0</v>
      </c>
      <c r="R35" s="60">
        <v>0.0</v>
      </c>
      <c r="S35" s="60">
        <v>0.0</v>
      </c>
      <c r="T35" s="60">
        <v>2.0</v>
      </c>
      <c r="U35" s="60">
        <v>1.0</v>
      </c>
      <c r="V35" s="60">
        <v>0.0</v>
      </c>
      <c r="W35" s="60">
        <v>0.0</v>
      </c>
      <c r="X35" s="60">
        <v>0.0</v>
      </c>
      <c r="Y35" s="60">
        <v>0.0</v>
      </c>
      <c r="Z35" s="60">
        <v>0.0</v>
      </c>
      <c r="AA35" s="60">
        <v>0.0</v>
      </c>
      <c r="AB35" s="60">
        <v>0.0</v>
      </c>
      <c r="AC35" s="60">
        <v>0.0</v>
      </c>
      <c r="AD35" s="60">
        <v>0.0</v>
      </c>
      <c r="AE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80</v>
      </c>
      <c r="F36" s="13">
        <f t="shared" si="11"/>
        <v>65</v>
      </c>
      <c r="G36" s="13">
        <f t="shared" si="11"/>
        <v>52</v>
      </c>
      <c r="H36" s="13">
        <f t="shared" si="11"/>
        <v>55</v>
      </c>
      <c r="I36" s="13">
        <f t="shared" si="11"/>
        <v>58</v>
      </c>
      <c r="J36" s="13">
        <f t="shared" si="11"/>
        <v>64</v>
      </c>
      <c r="K36" s="13">
        <f t="shared" si="11"/>
        <v>57</v>
      </c>
      <c r="L36" s="13">
        <f t="shared" si="11"/>
        <v>72</v>
      </c>
      <c r="M36" s="13">
        <f t="shared" si="11"/>
        <v>61</v>
      </c>
      <c r="N36" s="13">
        <f t="shared" si="11"/>
        <v>55</v>
      </c>
      <c r="O36" s="13">
        <f t="shared" si="11"/>
        <v>81</v>
      </c>
      <c r="P36" s="13">
        <f t="shared" si="11"/>
        <v>63</v>
      </c>
      <c r="Q36" s="13">
        <f t="shared" si="11"/>
        <v>58</v>
      </c>
      <c r="R36" s="13">
        <f t="shared" si="11"/>
        <v>67</v>
      </c>
      <c r="S36" s="13">
        <f t="shared" si="11"/>
        <v>51</v>
      </c>
      <c r="T36" s="13">
        <f t="shared" si="11"/>
        <v>59</v>
      </c>
      <c r="U36" s="13">
        <f t="shared" si="11"/>
        <v>73</v>
      </c>
      <c r="V36" s="13">
        <f t="shared" si="11"/>
        <v>65</v>
      </c>
      <c r="W36" s="13">
        <f t="shared" si="11"/>
        <v>78</v>
      </c>
      <c r="X36" s="13">
        <f t="shared" si="11"/>
        <v>78</v>
      </c>
      <c r="Y36" s="13">
        <f t="shared" si="11"/>
        <v>79</v>
      </c>
      <c r="Z36" s="13">
        <f t="shared" si="11"/>
        <v>82</v>
      </c>
      <c r="AA36" s="13">
        <f t="shared" si="11"/>
        <v>96</v>
      </c>
      <c r="AB36" s="13">
        <f t="shared" si="11"/>
        <v>46</v>
      </c>
      <c r="AC36" s="13">
        <f t="shared" si="11"/>
        <v>80</v>
      </c>
      <c r="AD36" s="13">
        <f t="shared" si="11"/>
        <v>88</v>
      </c>
      <c r="AE36" s="13">
        <f t="shared" si="10"/>
        <v>1763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19"/>
      <c r="U37" s="19"/>
      <c r="V37" s="19"/>
      <c r="W37" s="19"/>
      <c r="X37" s="76"/>
      <c r="Y37" s="19"/>
      <c r="Z37" s="19"/>
      <c r="AA37" s="19"/>
      <c r="AB37" s="19"/>
      <c r="AC37" s="76"/>
      <c r="AD37" s="19"/>
      <c r="AE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4" t="s">
        <v>184</v>
      </c>
      <c r="P38" s="74" t="s">
        <v>185</v>
      </c>
      <c r="Q38" s="74" t="s">
        <v>186</v>
      </c>
      <c r="R38" s="74" t="s">
        <v>188</v>
      </c>
      <c r="S38" s="74" t="s">
        <v>189</v>
      </c>
      <c r="T38" s="74" t="s">
        <v>190</v>
      </c>
      <c r="U38" s="74" t="s">
        <v>191</v>
      </c>
      <c r="V38" s="74" t="s">
        <v>192</v>
      </c>
      <c r="W38" s="74" t="s">
        <v>193</v>
      </c>
      <c r="X38" s="74" t="s">
        <v>199</v>
      </c>
      <c r="Y38" s="74" t="s">
        <v>200</v>
      </c>
      <c r="Z38" s="74" t="s">
        <v>201</v>
      </c>
      <c r="AA38" s="74" t="s">
        <v>202</v>
      </c>
      <c r="AB38" s="74" t="s">
        <v>203</v>
      </c>
      <c r="AC38" s="74" t="s">
        <v>204</v>
      </c>
      <c r="AD38" s="74" t="s">
        <v>205</v>
      </c>
      <c r="AE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0.0</v>
      </c>
      <c r="Q39" s="60">
        <v>0.0</v>
      </c>
      <c r="R39" s="60">
        <v>0.0</v>
      </c>
      <c r="S39" s="60">
        <v>0.0</v>
      </c>
      <c r="T39" s="60">
        <v>0.0</v>
      </c>
      <c r="U39" s="60">
        <v>0.0</v>
      </c>
      <c r="V39" s="60">
        <v>0.0</v>
      </c>
      <c r="W39" s="60">
        <v>0.0</v>
      </c>
      <c r="X39" s="60">
        <v>0.0</v>
      </c>
      <c r="Y39" s="60">
        <v>0.0</v>
      </c>
      <c r="Z39" s="60">
        <v>0.0</v>
      </c>
      <c r="AA39" s="60">
        <v>0.0</v>
      </c>
      <c r="AB39" s="60">
        <v>0.0</v>
      </c>
      <c r="AC39" s="60">
        <v>0.0</v>
      </c>
      <c r="AD39" s="60">
        <v>0.0</v>
      </c>
      <c r="AE39" s="13">
        <f t="shared" ref="AE39:AE41" si="12">SUM(E39:AD39)</f>
        <v>0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60">
        <v>0.0</v>
      </c>
      <c r="Q40" s="60">
        <v>0.0</v>
      </c>
      <c r="R40" s="60">
        <v>0.0</v>
      </c>
      <c r="S40" s="60">
        <v>0.0</v>
      </c>
      <c r="T40" s="60">
        <v>0.0</v>
      </c>
      <c r="U40" s="60">
        <v>0.0</v>
      </c>
      <c r="V40" s="60">
        <v>0.0</v>
      </c>
      <c r="W40" s="60">
        <v>0.0</v>
      </c>
      <c r="X40" s="60">
        <v>0.0</v>
      </c>
      <c r="Y40" s="60">
        <v>0.0</v>
      </c>
      <c r="Z40" s="60">
        <v>0.0</v>
      </c>
      <c r="AA40" s="60">
        <v>0.0</v>
      </c>
      <c r="AB40" s="60">
        <v>0.0</v>
      </c>
      <c r="AC40" s="60">
        <v>0.0</v>
      </c>
      <c r="AD40" s="60">
        <v>0.0</v>
      </c>
      <c r="AE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9"/>
      <c r="U42" s="19"/>
      <c r="V42" s="19"/>
      <c r="W42" s="19"/>
      <c r="X42" s="76"/>
      <c r="Y42" s="19"/>
      <c r="Z42" s="19"/>
      <c r="AA42" s="19"/>
      <c r="AB42" s="19"/>
      <c r="AC42" s="76"/>
      <c r="AD42" s="19"/>
      <c r="AE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74" t="s">
        <v>184</v>
      </c>
      <c r="P43" s="74" t="s">
        <v>185</v>
      </c>
      <c r="Q43" s="74" t="s">
        <v>186</v>
      </c>
      <c r="R43" s="74" t="s">
        <v>188</v>
      </c>
      <c r="S43" s="74" t="s">
        <v>189</v>
      </c>
      <c r="T43" s="74" t="s">
        <v>190</v>
      </c>
      <c r="U43" s="74" t="s">
        <v>191</v>
      </c>
      <c r="V43" s="74" t="s">
        <v>192</v>
      </c>
      <c r="W43" s="74" t="s">
        <v>193</v>
      </c>
      <c r="X43" s="74" t="s">
        <v>199</v>
      </c>
      <c r="Y43" s="74" t="s">
        <v>200</v>
      </c>
      <c r="Z43" s="74" t="s">
        <v>201</v>
      </c>
      <c r="AA43" s="74" t="s">
        <v>202</v>
      </c>
      <c r="AB43" s="74" t="s">
        <v>203</v>
      </c>
      <c r="AC43" s="74" t="s">
        <v>204</v>
      </c>
      <c r="AD43" s="74" t="s">
        <v>205</v>
      </c>
      <c r="AE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9"/>
      <c r="U44" s="19"/>
      <c r="V44" s="19"/>
      <c r="W44" s="19"/>
      <c r="X44" s="76"/>
      <c r="Y44" s="19"/>
      <c r="Z44" s="19"/>
      <c r="AA44" s="19"/>
      <c r="AB44" s="19"/>
      <c r="AC44" s="76"/>
      <c r="AD44" s="19"/>
      <c r="AE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11.0</v>
      </c>
      <c r="F45" s="60">
        <v>0.0</v>
      </c>
      <c r="G45" s="60">
        <v>1.0</v>
      </c>
      <c r="H45" s="60">
        <v>3.0</v>
      </c>
      <c r="I45" s="60">
        <v>6.0</v>
      </c>
      <c r="J45" s="60">
        <v>3.0</v>
      </c>
      <c r="K45" s="60">
        <v>5.0</v>
      </c>
      <c r="L45" s="60">
        <v>10.0</v>
      </c>
      <c r="M45" s="60">
        <v>1.0</v>
      </c>
      <c r="N45" s="60">
        <v>4.0</v>
      </c>
      <c r="O45" s="60">
        <v>10.0</v>
      </c>
      <c r="P45" s="60">
        <v>5.0</v>
      </c>
      <c r="Q45" s="60">
        <v>4.0</v>
      </c>
      <c r="R45" s="60">
        <v>7.0</v>
      </c>
      <c r="S45" s="60">
        <v>5.0</v>
      </c>
      <c r="T45" s="60">
        <v>4.0</v>
      </c>
      <c r="U45" s="60">
        <v>9.0</v>
      </c>
      <c r="V45" s="60">
        <v>8.0</v>
      </c>
      <c r="W45" s="60">
        <v>9.0</v>
      </c>
      <c r="X45" s="60">
        <v>3.0</v>
      </c>
      <c r="Y45" s="60">
        <v>1.0</v>
      </c>
      <c r="Z45" s="60">
        <v>4.0</v>
      </c>
      <c r="AA45" s="60">
        <v>7.0</v>
      </c>
      <c r="AB45" s="60">
        <v>6.0</v>
      </c>
      <c r="AC45" s="60">
        <v>12.0</v>
      </c>
      <c r="AD45" s="60">
        <v>22.0</v>
      </c>
      <c r="AE45" s="13">
        <f t="shared" ref="AE45:AE193" si="14">SUM(E45:AD45)</f>
        <v>160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25.0</v>
      </c>
      <c r="F46" s="60">
        <v>2.0</v>
      </c>
      <c r="G46" s="60">
        <v>6.0</v>
      </c>
      <c r="H46" s="60">
        <v>11.0</v>
      </c>
      <c r="I46" s="60">
        <v>23.0</v>
      </c>
      <c r="J46" s="60">
        <v>15.0</v>
      </c>
      <c r="K46" s="60">
        <v>64.0</v>
      </c>
      <c r="L46" s="60">
        <v>37.0</v>
      </c>
      <c r="M46" s="60">
        <v>25.0</v>
      </c>
      <c r="N46" s="60">
        <v>20.0</v>
      </c>
      <c r="O46" s="60">
        <v>14.0</v>
      </c>
      <c r="P46" s="60">
        <v>11.0</v>
      </c>
      <c r="Q46" s="60">
        <v>14.0</v>
      </c>
      <c r="R46" s="60">
        <v>41.0</v>
      </c>
      <c r="S46" s="60">
        <v>14.0</v>
      </c>
      <c r="T46" s="60">
        <v>25.0</v>
      </c>
      <c r="U46" s="60">
        <v>31.0</v>
      </c>
      <c r="V46" s="60">
        <v>48.0</v>
      </c>
      <c r="W46" s="60">
        <v>15.0</v>
      </c>
      <c r="X46" s="60">
        <v>16.0</v>
      </c>
      <c r="Y46" s="60">
        <v>4.0</v>
      </c>
      <c r="Z46" s="60">
        <v>19.0</v>
      </c>
      <c r="AA46" s="60">
        <v>56.0</v>
      </c>
      <c r="AB46" s="60">
        <v>22.0</v>
      </c>
      <c r="AC46" s="60">
        <v>27.0</v>
      </c>
      <c r="AD46" s="60">
        <v>45.0</v>
      </c>
      <c r="AE46" s="13">
        <f t="shared" si="14"/>
        <v>630</v>
      </c>
    </row>
    <row r="47" ht="12.75" customHeight="1">
      <c r="A47" s="18"/>
      <c r="B47" s="57"/>
      <c r="C47" s="58" t="s">
        <v>41</v>
      </c>
      <c r="D47" s="59"/>
      <c r="E47" s="60">
        <v>0.0</v>
      </c>
      <c r="F47" s="60">
        <v>0.0</v>
      </c>
      <c r="G47" s="60">
        <v>0.0</v>
      </c>
      <c r="H47" s="60">
        <v>0.0</v>
      </c>
      <c r="I47" s="60">
        <v>0.0</v>
      </c>
      <c r="J47" s="60">
        <v>0.0</v>
      </c>
      <c r="K47" s="60">
        <v>0.0</v>
      </c>
      <c r="L47" s="60">
        <v>1.0</v>
      </c>
      <c r="M47" s="60">
        <v>0.0</v>
      </c>
      <c r="N47" s="60">
        <v>0.0</v>
      </c>
      <c r="O47" s="60">
        <v>0.0</v>
      </c>
      <c r="P47" s="60">
        <v>2.0</v>
      </c>
      <c r="Q47" s="60">
        <v>0.0</v>
      </c>
      <c r="R47" s="60">
        <v>1.0</v>
      </c>
      <c r="S47" s="60">
        <v>2.0</v>
      </c>
      <c r="T47" s="60">
        <v>1.0</v>
      </c>
      <c r="U47" s="60">
        <v>0.0</v>
      </c>
      <c r="V47" s="60">
        <v>2.0</v>
      </c>
      <c r="W47" s="60">
        <v>2.0</v>
      </c>
      <c r="X47" s="60">
        <v>2.0</v>
      </c>
      <c r="Y47" s="60">
        <v>0.0</v>
      </c>
      <c r="Z47" s="60">
        <v>0.0</v>
      </c>
      <c r="AA47" s="60">
        <v>5.0</v>
      </c>
      <c r="AB47" s="60">
        <v>0.0</v>
      </c>
      <c r="AC47" s="60">
        <v>0.0</v>
      </c>
      <c r="AD47" s="60">
        <v>0.0</v>
      </c>
      <c r="AE47" s="13">
        <f t="shared" si="14"/>
        <v>18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0.0</v>
      </c>
      <c r="H48" s="60">
        <v>0.0</v>
      </c>
      <c r="I48" s="60">
        <v>1.0</v>
      </c>
      <c r="J48" s="60">
        <v>0.0</v>
      </c>
      <c r="K48" s="60">
        <v>0.0</v>
      </c>
      <c r="L48" s="60">
        <v>0.0</v>
      </c>
      <c r="M48" s="60">
        <v>0.0</v>
      </c>
      <c r="N48" s="60">
        <v>0.0</v>
      </c>
      <c r="O48" s="60">
        <v>0.0</v>
      </c>
      <c r="P48" s="60">
        <v>0.0</v>
      </c>
      <c r="Q48" s="60">
        <v>1.0</v>
      </c>
      <c r="R48" s="60">
        <v>0.0</v>
      </c>
      <c r="S48" s="60">
        <v>1.0</v>
      </c>
      <c r="T48" s="60">
        <v>0.0</v>
      </c>
      <c r="U48" s="60">
        <v>0.0</v>
      </c>
      <c r="V48" s="60">
        <v>0.0</v>
      </c>
      <c r="W48" s="60">
        <v>0.0</v>
      </c>
      <c r="X48" s="60">
        <v>0.0</v>
      </c>
      <c r="Y48" s="60">
        <v>1.0</v>
      </c>
      <c r="Z48" s="60">
        <v>0.0</v>
      </c>
      <c r="AA48" s="60">
        <v>0.0</v>
      </c>
      <c r="AB48" s="60">
        <v>1.0</v>
      </c>
      <c r="AC48" s="60">
        <v>0.0</v>
      </c>
      <c r="AD48" s="60">
        <v>1.0</v>
      </c>
      <c r="AE48" s="13">
        <f t="shared" si="14"/>
        <v>6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1.0</v>
      </c>
      <c r="M49" s="60">
        <v>0.0</v>
      </c>
      <c r="N49" s="60">
        <v>0.0</v>
      </c>
      <c r="O49" s="60">
        <v>0.0</v>
      </c>
      <c r="P49" s="60">
        <v>0.0</v>
      </c>
      <c r="Q49" s="60">
        <v>0.0</v>
      </c>
      <c r="R49" s="60">
        <v>0.0</v>
      </c>
      <c r="S49" s="60">
        <v>0.0</v>
      </c>
      <c r="T49" s="60">
        <v>0.0</v>
      </c>
      <c r="U49" s="60">
        <v>0.0</v>
      </c>
      <c r="V49" s="60">
        <v>0.0</v>
      </c>
      <c r="W49" s="60">
        <v>0.0</v>
      </c>
      <c r="X49" s="60">
        <v>0.0</v>
      </c>
      <c r="Y49" s="60">
        <v>0.0</v>
      </c>
      <c r="Z49" s="60">
        <v>0.0</v>
      </c>
      <c r="AA49" s="60">
        <v>0.0</v>
      </c>
      <c r="AB49" s="60">
        <v>0.0</v>
      </c>
      <c r="AC49" s="60">
        <v>0.0</v>
      </c>
      <c r="AD49" s="60">
        <v>0.0</v>
      </c>
      <c r="AE49" s="13">
        <f t="shared" si="14"/>
        <v>1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1.0</v>
      </c>
      <c r="G50" s="60">
        <v>0.0</v>
      </c>
      <c r="H50" s="60">
        <v>0.0</v>
      </c>
      <c r="I50" s="60">
        <v>0.0</v>
      </c>
      <c r="J50" s="60">
        <v>1.0</v>
      </c>
      <c r="K50" s="60">
        <v>0.0</v>
      </c>
      <c r="L50" s="60">
        <v>0.0</v>
      </c>
      <c r="M50" s="60">
        <v>0.0</v>
      </c>
      <c r="N50" s="60">
        <v>1.0</v>
      </c>
      <c r="O50" s="60">
        <v>0.0</v>
      </c>
      <c r="P50" s="60">
        <v>0.0</v>
      </c>
      <c r="Q50" s="60">
        <v>5.0</v>
      </c>
      <c r="R50" s="60">
        <v>0.0</v>
      </c>
      <c r="S50" s="60">
        <v>0.0</v>
      </c>
      <c r="T50" s="60">
        <v>1.0</v>
      </c>
      <c r="U50" s="60">
        <v>0.0</v>
      </c>
      <c r="V50" s="60">
        <v>1.0</v>
      </c>
      <c r="W50" s="60">
        <v>0.0</v>
      </c>
      <c r="X50" s="60">
        <v>0.0</v>
      </c>
      <c r="Y50" s="60">
        <v>0.0</v>
      </c>
      <c r="Z50" s="60">
        <v>1.0</v>
      </c>
      <c r="AA50" s="60">
        <v>2.0</v>
      </c>
      <c r="AB50" s="60">
        <v>0.0</v>
      </c>
      <c r="AC50" s="60">
        <v>0.0</v>
      </c>
      <c r="AD50" s="60">
        <v>0.0</v>
      </c>
      <c r="AE50" s="13">
        <f t="shared" si="14"/>
        <v>13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60">
        <v>0.0</v>
      </c>
      <c r="L51" s="60">
        <v>0.0</v>
      </c>
      <c r="M51" s="60">
        <v>0.0</v>
      </c>
      <c r="N51" s="60">
        <v>0.0</v>
      </c>
      <c r="O51" s="60">
        <v>0.0</v>
      </c>
      <c r="P51" s="60">
        <v>0.0</v>
      </c>
      <c r="Q51" s="60">
        <v>0.0</v>
      </c>
      <c r="R51" s="60">
        <v>0.0</v>
      </c>
      <c r="S51" s="60">
        <v>0.0</v>
      </c>
      <c r="T51" s="60">
        <v>0.0</v>
      </c>
      <c r="U51" s="60">
        <v>0.0</v>
      </c>
      <c r="V51" s="60">
        <v>0.0</v>
      </c>
      <c r="W51" s="60">
        <v>0.0</v>
      </c>
      <c r="X51" s="60">
        <v>0.0</v>
      </c>
      <c r="Y51" s="60">
        <v>0.0</v>
      </c>
      <c r="Z51" s="60">
        <v>0.0</v>
      </c>
      <c r="AA51" s="60">
        <v>0.0</v>
      </c>
      <c r="AB51" s="60">
        <v>0.0</v>
      </c>
      <c r="AC51" s="60">
        <v>0.0</v>
      </c>
      <c r="AD51" s="60">
        <v>0.0</v>
      </c>
      <c r="AE51" s="13">
        <f t="shared" si="14"/>
        <v>0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AD52" si="15">SUM(E45:E51)</f>
        <v>36</v>
      </c>
      <c r="F52" s="64">
        <f t="shared" si="15"/>
        <v>3</v>
      </c>
      <c r="G52" s="64">
        <f t="shared" si="15"/>
        <v>7</v>
      </c>
      <c r="H52" s="64">
        <f t="shared" si="15"/>
        <v>14</v>
      </c>
      <c r="I52" s="64">
        <f t="shared" si="15"/>
        <v>30</v>
      </c>
      <c r="J52" s="64">
        <f t="shared" si="15"/>
        <v>19</v>
      </c>
      <c r="K52" s="64">
        <f t="shared" si="15"/>
        <v>69</v>
      </c>
      <c r="L52" s="64">
        <f t="shared" si="15"/>
        <v>49</v>
      </c>
      <c r="M52" s="64">
        <f t="shared" si="15"/>
        <v>26</v>
      </c>
      <c r="N52" s="64">
        <f t="shared" si="15"/>
        <v>25</v>
      </c>
      <c r="O52" s="64">
        <f t="shared" si="15"/>
        <v>24</v>
      </c>
      <c r="P52" s="64">
        <f t="shared" si="15"/>
        <v>18</v>
      </c>
      <c r="Q52" s="64">
        <f t="shared" si="15"/>
        <v>24</v>
      </c>
      <c r="R52" s="64">
        <f t="shared" si="15"/>
        <v>49</v>
      </c>
      <c r="S52" s="64">
        <f t="shared" si="15"/>
        <v>22</v>
      </c>
      <c r="T52" s="64">
        <f t="shared" si="15"/>
        <v>31</v>
      </c>
      <c r="U52" s="64">
        <f t="shared" si="15"/>
        <v>40</v>
      </c>
      <c r="V52" s="64">
        <f t="shared" si="15"/>
        <v>59</v>
      </c>
      <c r="W52" s="64">
        <f t="shared" si="15"/>
        <v>26</v>
      </c>
      <c r="X52" s="64">
        <f t="shared" si="15"/>
        <v>21</v>
      </c>
      <c r="Y52" s="64">
        <f t="shared" si="15"/>
        <v>6</v>
      </c>
      <c r="Z52" s="64">
        <f t="shared" si="15"/>
        <v>24</v>
      </c>
      <c r="AA52" s="64">
        <f t="shared" si="15"/>
        <v>70</v>
      </c>
      <c r="AB52" s="64">
        <f t="shared" si="15"/>
        <v>29</v>
      </c>
      <c r="AC52" s="64">
        <f t="shared" si="15"/>
        <v>39</v>
      </c>
      <c r="AD52" s="64">
        <f t="shared" si="15"/>
        <v>68</v>
      </c>
      <c r="AE52" s="13">
        <f t="shared" si="14"/>
        <v>828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0.0</v>
      </c>
      <c r="F54" s="60">
        <v>2.0</v>
      </c>
      <c r="G54" s="60">
        <v>6.0</v>
      </c>
      <c r="H54" s="60">
        <v>5.0</v>
      </c>
      <c r="I54" s="60">
        <v>7.0</v>
      </c>
      <c r="J54" s="60">
        <v>4.0</v>
      </c>
      <c r="K54" s="60">
        <v>7.0</v>
      </c>
      <c r="L54" s="60">
        <v>4.0</v>
      </c>
      <c r="M54" s="60">
        <v>4.0</v>
      </c>
      <c r="N54" s="60">
        <v>4.0</v>
      </c>
      <c r="O54" s="60">
        <v>6.0</v>
      </c>
      <c r="P54" s="60">
        <v>9.0</v>
      </c>
      <c r="Q54" s="60">
        <v>6.0</v>
      </c>
      <c r="R54" s="60">
        <v>11.0</v>
      </c>
      <c r="S54" s="60">
        <v>7.0</v>
      </c>
      <c r="T54" s="60">
        <v>6.0</v>
      </c>
      <c r="U54" s="60">
        <v>7.0</v>
      </c>
      <c r="V54" s="60">
        <v>2.0</v>
      </c>
      <c r="W54" s="60">
        <v>2.0</v>
      </c>
      <c r="X54" s="60">
        <v>2.0</v>
      </c>
      <c r="Y54" s="60">
        <v>6.0</v>
      </c>
      <c r="Z54" s="60">
        <v>5.0</v>
      </c>
      <c r="AA54" s="60">
        <v>2.0</v>
      </c>
      <c r="AB54" s="60">
        <v>2.0</v>
      </c>
      <c r="AC54" s="60">
        <v>7.0</v>
      </c>
      <c r="AD54" s="60">
        <v>7.0</v>
      </c>
      <c r="AE54" s="13">
        <f t="shared" si="14"/>
        <v>130</v>
      </c>
    </row>
    <row r="55" ht="15.0" customHeight="1">
      <c r="A55" s="31" t="s">
        <v>39</v>
      </c>
      <c r="B55" s="57"/>
      <c r="C55" s="58" t="s">
        <v>48</v>
      </c>
      <c r="D55" s="59"/>
      <c r="E55" s="60">
        <v>0.0</v>
      </c>
      <c r="F55" s="60">
        <v>0.0</v>
      </c>
      <c r="G55" s="60">
        <v>2.0</v>
      </c>
      <c r="H55" s="60">
        <v>1.0</v>
      </c>
      <c r="I55" s="60">
        <v>2.0</v>
      </c>
      <c r="J55" s="60">
        <v>0.0</v>
      </c>
      <c r="K55" s="60">
        <v>0.0</v>
      </c>
      <c r="L55" s="60">
        <v>0.0</v>
      </c>
      <c r="M55" s="60">
        <v>0.0</v>
      </c>
      <c r="N55" s="60">
        <v>0.0</v>
      </c>
      <c r="O55" s="60">
        <v>0.0</v>
      </c>
      <c r="P55" s="60">
        <v>2.0</v>
      </c>
      <c r="Q55" s="60">
        <v>3.0</v>
      </c>
      <c r="R55" s="60">
        <v>2.0</v>
      </c>
      <c r="S55" s="60">
        <v>3.0</v>
      </c>
      <c r="T55" s="60">
        <v>0.0</v>
      </c>
      <c r="U55" s="60">
        <v>3.0</v>
      </c>
      <c r="V55" s="60">
        <v>3.0</v>
      </c>
      <c r="W55" s="60">
        <v>0.0</v>
      </c>
      <c r="X55" s="60">
        <v>0.0</v>
      </c>
      <c r="Y55" s="60">
        <v>2.0</v>
      </c>
      <c r="Z55" s="60">
        <v>1.0</v>
      </c>
      <c r="AA55" s="60">
        <v>2.0</v>
      </c>
      <c r="AB55" s="60">
        <v>0.0</v>
      </c>
      <c r="AC55" s="60">
        <v>0.0</v>
      </c>
      <c r="AD55" s="60">
        <v>0.0</v>
      </c>
      <c r="AE55" s="13">
        <f t="shared" si="14"/>
        <v>26</v>
      </c>
    </row>
    <row r="56" ht="12.75" customHeight="1">
      <c r="A56" s="18"/>
      <c r="B56" s="57"/>
      <c r="C56" s="58" t="s">
        <v>49</v>
      </c>
      <c r="D56" s="59"/>
      <c r="E56" s="60">
        <v>1.0</v>
      </c>
      <c r="F56" s="60">
        <v>1.0</v>
      </c>
      <c r="G56" s="60">
        <v>3.0</v>
      </c>
      <c r="H56" s="60">
        <v>4.0</v>
      </c>
      <c r="I56" s="60">
        <v>3.0</v>
      </c>
      <c r="J56" s="60">
        <v>2.0</v>
      </c>
      <c r="K56" s="60">
        <v>2.0</v>
      </c>
      <c r="L56" s="60">
        <v>1.0</v>
      </c>
      <c r="M56" s="60">
        <v>0.0</v>
      </c>
      <c r="N56" s="60">
        <v>3.0</v>
      </c>
      <c r="O56" s="60">
        <v>2.0</v>
      </c>
      <c r="P56" s="60">
        <v>4.0</v>
      </c>
      <c r="Q56" s="60">
        <v>5.0</v>
      </c>
      <c r="R56" s="60">
        <v>5.0</v>
      </c>
      <c r="S56" s="60">
        <v>1.0</v>
      </c>
      <c r="T56" s="60">
        <v>1.0</v>
      </c>
      <c r="U56" s="60">
        <v>10.0</v>
      </c>
      <c r="V56" s="60">
        <v>9.0</v>
      </c>
      <c r="W56" s="60">
        <v>2.0</v>
      </c>
      <c r="X56" s="60">
        <v>1.0</v>
      </c>
      <c r="Y56" s="60">
        <v>3.0</v>
      </c>
      <c r="Z56" s="60">
        <v>2.0</v>
      </c>
      <c r="AA56" s="60">
        <v>1.0</v>
      </c>
      <c r="AB56" s="60">
        <v>1.0</v>
      </c>
      <c r="AC56" s="60">
        <v>0.0</v>
      </c>
      <c r="AD56" s="60">
        <v>2.0</v>
      </c>
      <c r="AE56" s="13">
        <f t="shared" si="14"/>
        <v>69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1.0</v>
      </c>
      <c r="G57" s="60">
        <v>0.0</v>
      </c>
      <c r="H57" s="60">
        <v>0.0</v>
      </c>
      <c r="I57" s="60">
        <v>0.0</v>
      </c>
      <c r="J57" s="60">
        <v>0.0</v>
      </c>
      <c r="K57" s="60">
        <v>1.0</v>
      </c>
      <c r="L57" s="60">
        <v>0.0</v>
      </c>
      <c r="M57" s="60">
        <v>0.0</v>
      </c>
      <c r="N57" s="60">
        <v>0.0</v>
      </c>
      <c r="O57" s="60">
        <v>0.0</v>
      </c>
      <c r="P57" s="60">
        <v>0.0</v>
      </c>
      <c r="Q57" s="60">
        <v>0.0</v>
      </c>
      <c r="R57" s="60">
        <v>1.0</v>
      </c>
      <c r="S57" s="60">
        <v>1.0</v>
      </c>
      <c r="T57" s="60">
        <v>0.0</v>
      </c>
      <c r="U57" s="60">
        <v>1.0</v>
      </c>
      <c r="V57" s="60">
        <v>0.0</v>
      </c>
      <c r="W57" s="60">
        <v>0.0</v>
      </c>
      <c r="X57" s="60">
        <v>2.0</v>
      </c>
      <c r="Y57" s="60">
        <v>0.0</v>
      </c>
      <c r="Z57" s="60">
        <v>0.0</v>
      </c>
      <c r="AA57" s="60">
        <v>0.0</v>
      </c>
      <c r="AB57" s="60">
        <v>0.0</v>
      </c>
      <c r="AC57" s="60">
        <v>0.0</v>
      </c>
      <c r="AD57" s="60">
        <v>0.0</v>
      </c>
      <c r="AE57" s="13">
        <f t="shared" si="14"/>
        <v>7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0.0</v>
      </c>
      <c r="H58" s="60">
        <v>0.0</v>
      </c>
      <c r="I58" s="60">
        <v>2.0</v>
      </c>
      <c r="J58" s="60">
        <v>1.0</v>
      </c>
      <c r="K58" s="60">
        <v>0.0</v>
      </c>
      <c r="L58" s="60">
        <v>1.0</v>
      </c>
      <c r="M58" s="60">
        <v>0.0</v>
      </c>
      <c r="N58" s="60">
        <v>0.0</v>
      </c>
      <c r="O58" s="60">
        <v>0.0</v>
      </c>
      <c r="P58" s="60">
        <v>0.0</v>
      </c>
      <c r="Q58" s="60">
        <v>0.0</v>
      </c>
      <c r="R58" s="60">
        <v>1.0</v>
      </c>
      <c r="S58" s="60">
        <v>1.0</v>
      </c>
      <c r="T58" s="60">
        <v>1.0</v>
      </c>
      <c r="U58" s="60">
        <v>1.0</v>
      </c>
      <c r="V58" s="60">
        <v>0.0</v>
      </c>
      <c r="W58" s="60">
        <v>0.0</v>
      </c>
      <c r="X58" s="60">
        <v>1.0</v>
      </c>
      <c r="Y58" s="60">
        <v>0.0</v>
      </c>
      <c r="Z58" s="60">
        <v>0.0</v>
      </c>
      <c r="AA58" s="60">
        <v>0.0</v>
      </c>
      <c r="AB58" s="60">
        <v>1.0</v>
      </c>
      <c r="AC58" s="60">
        <v>0.0</v>
      </c>
      <c r="AD58" s="60">
        <v>0.0</v>
      </c>
      <c r="AE58" s="13">
        <f t="shared" si="14"/>
        <v>10</v>
      </c>
    </row>
    <row r="59" ht="12.75" customHeight="1">
      <c r="A59" s="18"/>
      <c r="B59" s="57"/>
      <c r="C59" s="58" t="s">
        <v>52</v>
      </c>
      <c r="D59" s="59"/>
      <c r="E59" s="60">
        <v>11.0</v>
      </c>
      <c r="F59" s="60">
        <v>39.0</v>
      </c>
      <c r="G59" s="60">
        <v>85.0</v>
      </c>
      <c r="H59" s="60">
        <v>96.0</v>
      </c>
      <c r="I59" s="60">
        <v>51.0</v>
      </c>
      <c r="J59" s="60">
        <v>31.0</v>
      </c>
      <c r="K59" s="60">
        <v>20.0</v>
      </c>
      <c r="L59" s="60">
        <v>12.0</v>
      </c>
      <c r="M59" s="60">
        <v>7.0</v>
      </c>
      <c r="N59" s="60">
        <v>6.0</v>
      </c>
      <c r="O59" s="60">
        <v>21.0</v>
      </c>
      <c r="P59" s="60">
        <v>19.0</v>
      </c>
      <c r="Q59" s="60">
        <v>0.0</v>
      </c>
      <c r="R59" s="60">
        <v>0.0</v>
      </c>
      <c r="S59" s="60">
        <v>18.0</v>
      </c>
      <c r="T59" s="60">
        <v>38.0</v>
      </c>
      <c r="U59" s="60">
        <v>6.0</v>
      </c>
      <c r="V59" s="60">
        <v>20.0</v>
      </c>
      <c r="W59" s="60">
        <v>0.0</v>
      </c>
      <c r="X59" s="60">
        <v>1.0</v>
      </c>
      <c r="Y59" s="60">
        <v>0.0</v>
      </c>
      <c r="Z59" s="60">
        <v>1.0</v>
      </c>
      <c r="AA59" s="60">
        <v>4.0</v>
      </c>
      <c r="AB59" s="60">
        <v>6.0</v>
      </c>
      <c r="AC59" s="60">
        <v>2.0</v>
      </c>
      <c r="AD59" s="60">
        <v>4.0</v>
      </c>
      <c r="AE59" s="13">
        <f t="shared" si="14"/>
        <v>498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1.0</v>
      </c>
      <c r="H60" s="60">
        <v>0.0</v>
      </c>
      <c r="I60" s="60">
        <v>0.0</v>
      </c>
      <c r="J60" s="60">
        <v>1.0</v>
      </c>
      <c r="K60" s="60">
        <v>0.0</v>
      </c>
      <c r="L60" s="60">
        <v>0.0</v>
      </c>
      <c r="M60" s="60">
        <v>0.0</v>
      </c>
      <c r="N60" s="60">
        <v>0.0</v>
      </c>
      <c r="O60" s="60">
        <v>0.0</v>
      </c>
      <c r="P60" s="60">
        <v>0.0</v>
      </c>
      <c r="Q60" s="60">
        <v>0.0</v>
      </c>
      <c r="R60" s="60">
        <v>0.0</v>
      </c>
      <c r="S60" s="60">
        <v>0.0</v>
      </c>
      <c r="T60" s="60">
        <v>0.0</v>
      </c>
      <c r="U60" s="60">
        <v>1.0</v>
      </c>
      <c r="V60" s="60">
        <v>0.0</v>
      </c>
      <c r="W60" s="60">
        <v>0.0</v>
      </c>
      <c r="X60" s="60">
        <v>0.0</v>
      </c>
      <c r="Y60" s="60">
        <v>0.0</v>
      </c>
      <c r="Z60" s="60">
        <v>0.0</v>
      </c>
      <c r="AA60" s="60">
        <v>0.0</v>
      </c>
      <c r="AB60" s="60">
        <v>1.0</v>
      </c>
      <c r="AC60" s="60">
        <v>0.0</v>
      </c>
      <c r="AD60" s="60">
        <v>0.0</v>
      </c>
      <c r="AE60" s="13">
        <f t="shared" si="14"/>
        <v>4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AD61" si="16">SUM(E54:E60)</f>
        <v>12</v>
      </c>
      <c r="F61" s="64">
        <f t="shared" si="16"/>
        <v>43</v>
      </c>
      <c r="G61" s="64">
        <f t="shared" si="16"/>
        <v>97</v>
      </c>
      <c r="H61" s="64">
        <f t="shared" si="16"/>
        <v>106</v>
      </c>
      <c r="I61" s="64">
        <f t="shared" si="16"/>
        <v>65</v>
      </c>
      <c r="J61" s="64">
        <f t="shared" si="16"/>
        <v>39</v>
      </c>
      <c r="K61" s="64">
        <f t="shared" si="16"/>
        <v>30</v>
      </c>
      <c r="L61" s="64">
        <f t="shared" si="16"/>
        <v>18</v>
      </c>
      <c r="M61" s="64">
        <f t="shared" si="16"/>
        <v>11</v>
      </c>
      <c r="N61" s="64">
        <f t="shared" si="16"/>
        <v>13</v>
      </c>
      <c r="O61" s="64">
        <f t="shared" si="16"/>
        <v>29</v>
      </c>
      <c r="P61" s="64">
        <f t="shared" si="16"/>
        <v>34</v>
      </c>
      <c r="Q61" s="64">
        <f t="shared" si="16"/>
        <v>14</v>
      </c>
      <c r="R61" s="64">
        <f t="shared" si="16"/>
        <v>20</v>
      </c>
      <c r="S61" s="64">
        <f t="shared" si="16"/>
        <v>31</v>
      </c>
      <c r="T61" s="64">
        <f t="shared" si="16"/>
        <v>46</v>
      </c>
      <c r="U61" s="64">
        <f t="shared" si="16"/>
        <v>29</v>
      </c>
      <c r="V61" s="64">
        <f t="shared" si="16"/>
        <v>34</v>
      </c>
      <c r="W61" s="64">
        <f t="shared" si="16"/>
        <v>4</v>
      </c>
      <c r="X61" s="64">
        <f t="shared" si="16"/>
        <v>7</v>
      </c>
      <c r="Y61" s="64">
        <f t="shared" si="16"/>
        <v>11</v>
      </c>
      <c r="Z61" s="64">
        <f t="shared" si="16"/>
        <v>9</v>
      </c>
      <c r="AA61" s="64">
        <f t="shared" si="16"/>
        <v>9</v>
      </c>
      <c r="AB61" s="64">
        <f t="shared" si="16"/>
        <v>11</v>
      </c>
      <c r="AC61" s="64">
        <f t="shared" si="16"/>
        <v>9</v>
      </c>
      <c r="AD61" s="64">
        <f t="shared" si="16"/>
        <v>13</v>
      </c>
      <c r="AE61" s="13">
        <f t="shared" si="14"/>
        <v>744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2.0</v>
      </c>
      <c r="F63" s="60">
        <v>5.0</v>
      </c>
      <c r="G63" s="60">
        <v>2.0</v>
      </c>
      <c r="H63" s="60">
        <v>7.0</v>
      </c>
      <c r="I63" s="60">
        <v>6.0</v>
      </c>
      <c r="J63" s="60">
        <v>8.0</v>
      </c>
      <c r="K63" s="60">
        <v>7.0</v>
      </c>
      <c r="L63" s="60">
        <v>7.0</v>
      </c>
      <c r="M63" s="60">
        <v>3.0</v>
      </c>
      <c r="N63" s="60">
        <v>6.0</v>
      </c>
      <c r="O63" s="60">
        <v>7.0</v>
      </c>
      <c r="P63" s="60">
        <v>6.0</v>
      </c>
      <c r="Q63" s="60">
        <v>5.0</v>
      </c>
      <c r="R63" s="60">
        <v>5.0</v>
      </c>
      <c r="S63" s="60">
        <v>3.0</v>
      </c>
      <c r="T63" s="60">
        <v>4.0</v>
      </c>
      <c r="U63" s="60">
        <v>5.0</v>
      </c>
      <c r="V63" s="60">
        <v>2.0</v>
      </c>
      <c r="W63" s="60">
        <v>6.0</v>
      </c>
      <c r="X63" s="60">
        <v>4.0</v>
      </c>
      <c r="Y63" s="60">
        <v>4.0</v>
      </c>
      <c r="Z63" s="60">
        <v>3.0</v>
      </c>
      <c r="AA63" s="60">
        <v>3.0</v>
      </c>
      <c r="AB63" s="60">
        <v>10.0</v>
      </c>
      <c r="AC63" s="60">
        <v>8.0</v>
      </c>
      <c r="AD63" s="60">
        <v>11.0</v>
      </c>
      <c r="AE63" s="13">
        <f t="shared" si="14"/>
        <v>139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14.0</v>
      </c>
      <c r="F64" s="60">
        <v>1.0</v>
      </c>
      <c r="G64" s="60">
        <v>1.0</v>
      </c>
      <c r="H64" s="60">
        <v>3.0</v>
      </c>
      <c r="I64" s="60">
        <v>2.0</v>
      </c>
      <c r="J64" s="60">
        <v>2.0</v>
      </c>
      <c r="K64" s="60">
        <v>2.0</v>
      </c>
      <c r="L64" s="60">
        <v>1.0</v>
      </c>
      <c r="M64" s="60">
        <v>2.0</v>
      </c>
      <c r="N64" s="60">
        <v>1.0</v>
      </c>
      <c r="O64" s="60">
        <v>0.0</v>
      </c>
      <c r="P64" s="60">
        <v>0.0</v>
      </c>
      <c r="Q64" s="60">
        <v>3.0</v>
      </c>
      <c r="R64" s="60">
        <v>3.0</v>
      </c>
      <c r="S64" s="60">
        <v>3.0</v>
      </c>
      <c r="T64" s="60">
        <v>2.0</v>
      </c>
      <c r="U64" s="60">
        <v>5.0</v>
      </c>
      <c r="V64" s="60">
        <v>0.0</v>
      </c>
      <c r="W64" s="60">
        <v>2.0</v>
      </c>
      <c r="X64" s="60">
        <v>2.0</v>
      </c>
      <c r="Y64" s="60">
        <v>1.0</v>
      </c>
      <c r="Z64" s="60">
        <v>0.0</v>
      </c>
      <c r="AA64" s="60">
        <v>0.0</v>
      </c>
      <c r="AB64" s="60">
        <v>4.0</v>
      </c>
      <c r="AC64" s="60">
        <v>2.0</v>
      </c>
      <c r="AD64" s="60">
        <v>0.0</v>
      </c>
      <c r="AE64" s="13">
        <f t="shared" si="14"/>
        <v>56</v>
      </c>
    </row>
    <row r="65" ht="12.75" customHeight="1">
      <c r="A65" s="18"/>
      <c r="B65" s="57"/>
      <c r="C65" s="58" t="s">
        <v>56</v>
      </c>
      <c r="D65" s="59"/>
      <c r="E65" s="60">
        <v>1.0</v>
      </c>
      <c r="F65" s="60">
        <v>1.0</v>
      </c>
      <c r="G65" s="60">
        <v>2.0</v>
      </c>
      <c r="H65" s="60">
        <v>3.0</v>
      </c>
      <c r="I65" s="60">
        <v>9.0</v>
      </c>
      <c r="J65" s="60">
        <v>6.0</v>
      </c>
      <c r="K65" s="60">
        <v>3.0</v>
      </c>
      <c r="L65" s="60">
        <v>2.0</v>
      </c>
      <c r="M65" s="60">
        <v>1.0</v>
      </c>
      <c r="N65" s="60">
        <v>4.0</v>
      </c>
      <c r="O65" s="60">
        <v>11.0</v>
      </c>
      <c r="P65" s="60">
        <v>7.0</v>
      </c>
      <c r="Q65" s="60">
        <v>0.0</v>
      </c>
      <c r="R65" s="60">
        <v>1.0</v>
      </c>
      <c r="S65" s="60">
        <v>0.0</v>
      </c>
      <c r="T65" s="60">
        <v>0.0</v>
      </c>
      <c r="U65" s="60">
        <v>8.0</v>
      </c>
      <c r="V65" s="60">
        <v>3.0</v>
      </c>
      <c r="W65" s="60">
        <v>4.0</v>
      </c>
      <c r="X65" s="60">
        <v>0.0</v>
      </c>
      <c r="Y65" s="60">
        <v>1.0</v>
      </c>
      <c r="Z65" s="60">
        <v>0.0</v>
      </c>
      <c r="AA65" s="60">
        <v>0.0</v>
      </c>
      <c r="AB65" s="60">
        <v>2.0</v>
      </c>
      <c r="AC65" s="60">
        <v>3.0</v>
      </c>
      <c r="AD65" s="60">
        <v>1.0</v>
      </c>
      <c r="AE65" s="13">
        <f t="shared" si="14"/>
        <v>73</v>
      </c>
    </row>
    <row r="66" ht="12.75" customHeight="1">
      <c r="A66" s="18"/>
      <c r="B66" s="57"/>
      <c r="C66" s="58" t="s">
        <v>57</v>
      </c>
      <c r="D66" s="59"/>
      <c r="E66" s="60">
        <v>0.0</v>
      </c>
      <c r="F66" s="60">
        <v>1.0</v>
      </c>
      <c r="G66" s="60">
        <v>1.0</v>
      </c>
      <c r="H66" s="60">
        <v>0.0</v>
      </c>
      <c r="I66" s="60">
        <v>2.0</v>
      </c>
      <c r="J66" s="60">
        <v>6.0</v>
      </c>
      <c r="K66" s="60">
        <v>5.0</v>
      </c>
      <c r="L66" s="60">
        <v>1.0</v>
      </c>
      <c r="M66" s="60">
        <v>1.0</v>
      </c>
      <c r="N66" s="60">
        <v>0.0</v>
      </c>
      <c r="O66" s="60">
        <v>1.0</v>
      </c>
      <c r="P66" s="60">
        <v>1.0</v>
      </c>
      <c r="Q66" s="60">
        <v>0.0</v>
      </c>
      <c r="R66" s="60">
        <v>7.0</v>
      </c>
      <c r="S66" s="60">
        <v>2.0</v>
      </c>
      <c r="T66" s="60">
        <v>1.0</v>
      </c>
      <c r="U66" s="60">
        <v>0.0</v>
      </c>
      <c r="V66" s="60">
        <v>1.0</v>
      </c>
      <c r="W66" s="60">
        <v>0.0</v>
      </c>
      <c r="X66" s="60">
        <v>1.0</v>
      </c>
      <c r="Y66" s="60">
        <v>2.0</v>
      </c>
      <c r="Z66" s="60">
        <v>0.0</v>
      </c>
      <c r="AA66" s="60">
        <v>0.0</v>
      </c>
      <c r="AB66" s="60">
        <v>3.0</v>
      </c>
      <c r="AC66" s="60">
        <v>1.0</v>
      </c>
      <c r="AD66" s="60">
        <v>2.0</v>
      </c>
      <c r="AE66" s="13">
        <f t="shared" si="14"/>
        <v>39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0.0</v>
      </c>
      <c r="H67" s="60">
        <v>0.0</v>
      </c>
      <c r="I67" s="60">
        <v>0.0</v>
      </c>
      <c r="J67" s="60">
        <v>1.0</v>
      </c>
      <c r="K67" s="60">
        <v>0.0</v>
      </c>
      <c r="L67" s="60">
        <v>0.0</v>
      </c>
      <c r="M67" s="60">
        <v>0.0</v>
      </c>
      <c r="N67" s="60">
        <v>0.0</v>
      </c>
      <c r="O67" s="60">
        <v>0.0</v>
      </c>
      <c r="P67" s="60">
        <v>1.0</v>
      </c>
      <c r="Q67" s="60">
        <v>0.0</v>
      </c>
      <c r="R67" s="60">
        <v>0.0</v>
      </c>
      <c r="S67" s="60">
        <v>0.0</v>
      </c>
      <c r="T67" s="60">
        <v>0.0</v>
      </c>
      <c r="U67" s="60">
        <v>0.0</v>
      </c>
      <c r="V67" s="60">
        <v>1.0</v>
      </c>
      <c r="W67" s="60">
        <v>1.0</v>
      </c>
      <c r="X67" s="60">
        <v>0.0</v>
      </c>
      <c r="Y67" s="60">
        <v>1.0</v>
      </c>
      <c r="Z67" s="60">
        <v>0.0</v>
      </c>
      <c r="AA67" s="60">
        <v>0.0</v>
      </c>
      <c r="AB67" s="60">
        <v>0.0</v>
      </c>
      <c r="AC67" s="60">
        <v>0.0</v>
      </c>
      <c r="AD67" s="60">
        <v>0.0</v>
      </c>
      <c r="AE67" s="13">
        <f t="shared" si="14"/>
        <v>5</v>
      </c>
    </row>
    <row r="68" ht="12.75" customHeight="1">
      <c r="A68" s="18"/>
      <c r="B68" s="57"/>
      <c r="C68" s="58" t="s">
        <v>59</v>
      </c>
      <c r="D68" s="59"/>
      <c r="E68" s="60">
        <v>1.0</v>
      </c>
      <c r="F68" s="60">
        <v>36.0</v>
      </c>
      <c r="G68" s="60">
        <v>24.0</v>
      </c>
      <c r="H68" s="60">
        <v>25.0</v>
      </c>
      <c r="I68" s="60">
        <v>33.0</v>
      </c>
      <c r="J68" s="60">
        <v>86.0</v>
      </c>
      <c r="K68" s="60">
        <v>42.0</v>
      </c>
      <c r="L68" s="60">
        <v>52.0</v>
      </c>
      <c r="M68" s="60">
        <v>26.0</v>
      </c>
      <c r="N68" s="60">
        <v>23.0</v>
      </c>
      <c r="O68" s="60">
        <v>20.0</v>
      </c>
      <c r="P68" s="60">
        <v>19.0</v>
      </c>
      <c r="Q68" s="60">
        <v>35.0</v>
      </c>
      <c r="R68" s="60">
        <v>10.0</v>
      </c>
      <c r="S68" s="60">
        <v>7.0</v>
      </c>
      <c r="T68" s="60">
        <v>4.0</v>
      </c>
      <c r="U68" s="60">
        <v>10.0</v>
      </c>
      <c r="V68" s="60">
        <v>51.0</v>
      </c>
      <c r="W68" s="60">
        <v>62.0</v>
      </c>
      <c r="X68" s="60">
        <v>21.0</v>
      </c>
      <c r="Y68" s="60">
        <v>19.0</v>
      </c>
      <c r="Z68" s="60">
        <v>49.0</v>
      </c>
      <c r="AA68" s="60">
        <v>12.0</v>
      </c>
      <c r="AB68" s="60">
        <v>49.0</v>
      </c>
      <c r="AC68" s="60">
        <v>44.0</v>
      </c>
      <c r="AD68" s="60">
        <v>14.0</v>
      </c>
      <c r="AE68" s="13">
        <f t="shared" si="14"/>
        <v>774</v>
      </c>
    </row>
    <row r="69" ht="12.75" customHeight="1">
      <c r="A69" s="18"/>
      <c r="B69" s="57"/>
      <c r="C69" s="58" t="s">
        <v>60</v>
      </c>
      <c r="D69" s="59"/>
      <c r="E69" s="60">
        <v>29.0</v>
      </c>
      <c r="F69" s="60">
        <v>1.0</v>
      </c>
      <c r="G69" s="60">
        <v>0.0</v>
      </c>
      <c r="H69" s="60">
        <v>1.0</v>
      </c>
      <c r="I69" s="60">
        <v>0.0</v>
      </c>
      <c r="J69" s="60">
        <v>1.0</v>
      </c>
      <c r="K69" s="60">
        <v>1.0</v>
      </c>
      <c r="L69" s="60">
        <v>0.0</v>
      </c>
      <c r="M69" s="60">
        <v>0.0</v>
      </c>
      <c r="N69" s="60">
        <v>1.0</v>
      </c>
      <c r="O69" s="60">
        <v>0.0</v>
      </c>
      <c r="P69" s="60">
        <v>0.0</v>
      </c>
      <c r="Q69" s="60">
        <v>0.0</v>
      </c>
      <c r="R69" s="60">
        <v>1.0</v>
      </c>
      <c r="S69" s="60">
        <v>0.0</v>
      </c>
      <c r="T69" s="60">
        <v>0.0</v>
      </c>
      <c r="U69" s="60">
        <v>0.0</v>
      </c>
      <c r="V69" s="60">
        <v>0.0</v>
      </c>
      <c r="W69" s="60">
        <v>3.0</v>
      </c>
      <c r="X69" s="60">
        <v>0.0</v>
      </c>
      <c r="Y69" s="60">
        <v>1.0</v>
      </c>
      <c r="Z69" s="60">
        <v>0.0</v>
      </c>
      <c r="AA69" s="60">
        <v>0.0</v>
      </c>
      <c r="AB69" s="60">
        <v>0.0</v>
      </c>
      <c r="AC69" s="60">
        <v>0.0</v>
      </c>
      <c r="AD69" s="60">
        <v>0.0</v>
      </c>
      <c r="AE69" s="13">
        <f t="shared" si="14"/>
        <v>39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AD70" si="17">SUM(E63:E69)</f>
        <v>47</v>
      </c>
      <c r="F70" s="64">
        <f t="shared" si="17"/>
        <v>45</v>
      </c>
      <c r="G70" s="64">
        <f t="shared" si="17"/>
        <v>30</v>
      </c>
      <c r="H70" s="64">
        <f t="shared" si="17"/>
        <v>39</v>
      </c>
      <c r="I70" s="64">
        <f t="shared" si="17"/>
        <v>52</v>
      </c>
      <c r="J70" s="64">
        <f t="shared" si="17"/>
        <v>110</v>
      </c>
      <c r="K70" s="64">
        <f t="shared" si="17"/>
        <v>60</v>
      </c>
      <c r="L70" s="64">
        <f t="shared" si="17"/>
        <v>63</v>
      </c>
      <c r="M70" s="64">
        <f t="shared" si="17"/>
        <v>33</v>
      </c>
      <c r="N70" s="64">
        <f t="shared" si="17"/>
        <v>35</v>
      </c>
      <c r="O70" s="64">
        <f t="shared" si="17"/>
        <v>39</v>
      </c>
      <c r="P70" s="64">
        <f t="shared" si="17"/>
        <v>34</v>
      </c>
      <c r="Q70" s="64">
        <f t="shared" si="17"/>
        <v>43</v>
      </c>
      <c r="R70" s="64">
        <f t="shared" si="17"/>
        <v>27</v>
      </c>
      <c r="S70" s="64">
        <f t="shared" si="17"/>
        <v>15</v>
      </c>
      <c r="T70" s="64">
        <f t="shared" si="17"/>
        <v>11</v>
      </c>
      <c r="U70" s="64">
        <f t="shared" si="17"/>
        <v>28</v>
      </c>
      <c r="V70" s="64">
        <f t="shared" si="17"/>
        <v>58</v>
      </c>
      <c r="W70" s="64">
        <f t="shared" si="17"/>
        <v>78</v>
      </c>
      <c r="X70" s="64">
        <f t="shared" si="17"/>
        <v>28</v>
      </c>
      <c r="Y70" s="64">
        <f t="shared" si="17"/>
        <v>29</v>
      </c>
      <c r="Z70" s="64">
        <f t="shared" si="17"/>
        <v>52</v>
      </c>
      <c r="AA70" s="64">
        <f t="shared" si="17"/>
        <v>15</v>
      </c>
      <c r="AB70" s="64">
        <f t="shared" si="17"/>
        <v>68</v>
      </c>
      <c r="AC70" s="64">
        <f t="shared" si="17"/>
        <v>58</v>
      </c>
      <c r="AD70" s="64">
        <f t="shared" si="17"/>
        <v>28</v>
      </c>
      <c r="AE70" s="13">
        <f t="shared" si="14"/>
        <v>1125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1.0</v>
      </c>
      <c r="F72" s="60">
        <v>7.0</v>
      </c>
      <c r="G72" s="60">
        <v>4.0</v>
      </c>
      <c r="H72" s="60">
        <v>0.0</v>
      </c>
      <c r="I72" s="60">
        <v>0.0</v>
      </c>
      <c r="J72" s="60">
        <v>1.0</v>
      </c>
      <c r="K72" s="60">
        <v>1.0</v>
      </c>
      <c r="L72" s="60">
        <v>1.0</v>
      </c>
      <c r="M72" s="60">
        <v>0.0</v>
      </c>
      <c r="N72" s="60">
        <v>2.0</v>
      </c>
      <c r="O72" s="60">
        <v>3.0</v>
      </c>
      <c r="P72" s="60">
        <v>1.0</v>
      </c>
      <c r="Q72" s="60">
        <v>3.0</v>
      </c>
      <c r="R72" s="60">
        <v>0.0</v>
      </c>
      <c r="S72" s="60">
        <v>1.0</v>
      </c>
      <c r="T72" s="60">
        <v>1.0</v>
      </c>
      <c r="U72" s="60">
        <v>1.0</v>
      </c>
      <c r="V72" s="60">
        <v>0.0</v>
      </c>
      <c r="W72" s="60">
        <v>2.0</v>
      </c>
      <c r="X72" s="60">
        <v>7.0</v>
      </c>
      <c r="Y72" s="60">
        <v>2.0</v>
      </c>
      <c r="Z72" s="60">
        <v>1.0</v>
      </c>
      <c r="AA72" s="60">
        <v>3.0</v>
      </c>
      <c r="AB72" s="60">
        <v>3.0</v>
      </c>
      <c r="AC72" s="60">
        <v>3.0</v>
      </c>
      <c r="AD72" s="60">
        <v>5.0</v>
      </c>
      <c r="AE72" s="13">
        <f t="shared" si="14"/>
        <v>53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0.0</v>
      </c>
      <c r="F73" s="60">
        <v>0.0</v>
      </c>
      <c r="G73" s="60">
        <v>1.0</v>
      </c>
      <c r="H73" s="60">
        <v>0.0</v>
      </c>
      <c r="I73" s="60">
        <v>1.0</v>
      </c>
      <c r="J73" s="60">
        <v>0.0</v>
      </c>
      <c r="K73" s="60">
        <v>1.0</v>
      </c>
      <c r="L73" s="60">
        <v>0.0</v>
      </c>
      <c r="M73" s="60">
        <v>1.0</v>
      </c>
      <c r="N73" s="60">
        <v>0.0</v>
      </c>
      <c r="O73" s="60">
        <v>0.0</v>
      </c>
      <c r="P73" s="60">
        <v>0.0</v>
      </c>
      <c r="Q73" s="60">
        <v>3.0</v>
      </c>
      <c r="R73" s="60">
        <v>6.0</v>
      </c>
      <c r="S73" s="60">
        <v>5.0</v>
      </c>
      <c r="T73" s="60">
        <v>2.0</v>
      </c>
      <c r="U73" s="60">
        <v>0.0</v>
      </c>
      <c r="V73" s="60">
        <v>1.0</v>
      </c>
      <c r="W73" s="60">
        <v>1.0</v>
      </c>
      <c r="X73" s="60">
        <v>0.0</v>
      </c>
      <c r="Y73" s="60">
        <v>2.0</v>
      </c>
      <c r="Z73" s="60">
        <v>4.0</v>
      </c>
      <c r="AA73" s="60">
        <v>4.0</v>
      </c>
      <c r="AB73" s="60">
        <v>3.0</v>
      </c>
      <c r="AC73" s="60">
        <v>2.0</v>
      </c>
      <c r="AD73" s="60">
        <v>0.0</v>
      </c>
      <c r="AE73" s="13">
        <f t="shared" si="14"/>
        <v>37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0.0</v>
      </c>
      <c r="G74" s="60">
        <v>0.0</v>
      </c>
      <c r="H74" s="60">
        <v>0.0</v>
      </c>
      <c r="I74" s="60">
        <v>0.0</v>
      </c>
      <c r="J74" s="60">
        <v>0.0</v>
      </c>
      <c r="K74" s="60">
        <v>0.0</v>
      </c>
      <c r="L74" s="60">
        <v>0.0</v>
      </c>
      <c r="M74" s="60">
        <v>0.0</v>
      </c>
      <c r="N74" s="60">
        <v>0.0</v>
      </c>
      <c r="O74" s="60">
        <v>0.0</v>
      </c>
      <c r="P74" s="60">
        <v>0.0</v>
      </c>
      <c r="Q74" s="60">
        <v>3.0</v>
      </c>
      <c r="R74" s="60">
        <v>0.0</v>
      </c>
      <c r="S74" s="60">
        <v>0.0</v>
      </c>
      <c r="T74" s="60">
        <v>0.0</v>
      </c>
      <c r="U74" s="60">
        <v>1.0</v>
      </c>
      <c r="V74" s="60">
        <v>0.0</v>
      </c>
      <c r="W74" s="60">
        <v>0.0</v>
      </c>
      <c r="X74" s="60">
        <v>0.0</v>
      </c>
      <c r="Y74" s="60">
        <v>1.0</v>
      </c>
      <c r="Z74" s="60">
        <v>0.0</v>
      </c>
      <c r="AA74" s="60">
        <v>1.0</v>
      </c>
      <c r="AB74" s="60">
        <v>0.0</v>
      </c>
      <c r="AC74" s="60">
        <v>0.0</v>
      </c>
      <c r="AD74" s="60">
        <v>0.0</v>
      </c>
      <c r="AE74" s="13">
        <f t="shared" si="14"/>
        <v>6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2.0</v>
      </c>
      <c r="G75" s="60">
        <v>1.0</v>
      </c>
      <c r="H75" s="60">
        <v>2.0</v>
      </c>
      <c r="I75" s="60">
        <v>1.0</v>
      </c>
      <c r="J75" s="60">
        <v>0.0</v>
      </c>
      <c r="K75" s="60">
        <v>0.0</v>
      </c>
      <c r="L75" s="60">
        <v>0.0</v>
      </c>
      <c r="M75" s="60">
        <v>0.0</v>
      </c>
      <c r="N75" s="60">
        <v>0.0</v>
      </c>
      <c r="O75" s="60">
        <v>1.0</v>
      </c>
      <c r="P75" s="60">
        <v>0.0</v>
      </c>
      <c r="Q75" s="60">
        <v>0.0</v>
      </c>
      <c r="R75" s="60">
        <v>0.0</v>
      </c>
      <c r="S75" s="60">
        <v>0.0</v>
      </c>
      <c r="T75" s="60">
        <v>0.0</v>
      </c>
      <c r="U75" s="60">
        <v>0.0</v>
      </c>
      <c r="V75" s="60">
        <v>0.0</v>
      </c>
      <c r="W75" s="60">
        <v>0.0</v>
      </c>
      <c r="X75" s="60">
        <v>0.0</v>
      </c>
      <c r="Y75" s="60">
        <v>0.0</v>
      </c>
      <c r="Z75" s="60">
        <v>1.0</v>
      </c>
      <c r="AA75" s="60">
        <v>0.0</v>
      </c>
      <c r="AB75" s="60">
        <v>0.0</v>
      </c>
      <c r="AC75" s="60">
        <v>0.0</v>
      </c>
      <c r="AD75" s="60">
        <v>0.0</v>
      </c>
      <c r="AE75" s="13">
        <f t="shared" si="14"/>
        <v>8</v>
      </c>
    </row>
    <row r="76" ht="12.75" customHeight="1">
      <c r="A76" s="18"/>
      <c r="B76" s="57"/>
      <c r="C76" s="58" t="s">
        <v>65</v>
      </c>
      <c r="D76" s="59"/>
      <c r="E76" s="60">
        <v>4.0</v>
      </c>
      <c r="F76" s="60">
        <v>14.0</v>
      </c>
      <c r="G76" s="60">
        <v>15.0</v>
      </c>
      <c r="H76" s="60">
        <v>20.0</v>
      </c>
      <c r="I76" s="60">
        <v>7.0</v>
      </c>
      <c r="J76" s="60">
        <v>10.0</v>
      </c>
      <c r="K76" s="60">
        <v>10.0</v>
      </c>
      <c r="L76" s="60">
        <v>9.0</v>
      </c>
      <c r="M76" s="60">
        <v>4.0</v>
      </c>
      <c r="N76" s="60">
        <v>4.0</v>
      </c>
      <c r="O76" s="60">
        <v>5.0</v>
      </c>
      <c r="P76" s="60">
        <v>4.0</v>
      </c>
      <c r="Q76" s="60">
        <v>21.0</v>
      </c>
      <c r="R76" s="60">
        <v>7.0</v>
      </c>
      <c r="S76" s="60">
        <v>4.0</v>
      </c>
      <c r="T76" s="60">
        <v>2.0</v>
      </c>
      <c r="U76" s="60">
        <v>6.0</v>
      </c>
      <c r="V76" s="60">
        <v>10.0</v>
      </c>
      <c r="W76" s="60">
        <v>11.0</v>
      </c>
      <c r="X76" s="60">
        <v>17.0</v>
      </c>
      <c r="Y76" s="60">
        <v>4.0</v>
      </c>
      <c r="Z76" s="60">
        <v>36.0</v>
      </c>
      <c r="AA76" s="60">
        <v>2.0</v>
      </c>
      <c r="AB76" s="60">
        <v>9.0</v>
      </c>
      <c r="AC76" s="60">
        <v>6.0</v>
      </c>
      <c r="AD76" s="60">
        <v>5.0</v>
      </c>
      <c r="AE76" s="13">
        <f t="shared" si="14"/>
        <v>246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60">
        <v>0.0</v>
      </c>
      <c r="P77" s="60">
        <v>0.0</v>
      </c>
      <c r="Q77" s="60">
        <v>0.0</v>
      </c>
      <c r="R77" s="60">
        <v>0.0</v>
      </c>
      <c r="S77" s="60">
        <v>0.0</v>
      </c>
      <c r="T77" s="60">
        <v>0.0</v>
      </c>
      <c r="U77" s="60">
        <v>1.0</v>
      </c>
      <c r="V77" s="60">
        <v>0.0</v>
      </c>
      <c r="W77" s="60">
        <v>1.0</v>
      </c>
      <c r="X77" s="60">
        <v>0.0</v>
      </c>
      <c r="Y77" s="60">
        <v>0.0</v>
      </c>
      <c r="Z77" s="60">
        <v>0.0</v>
      </c>
      <c r="AA77" s="60">
        <v>0.0</v>
      </c>
      <c r="AB77" s="60">
        <v>0.0</v>
      </c>
      <c r="AC77" s="60">
        <v>0.0</v>
      </c>
      <c r="AD77" s="60">
        <v>0.0</v>
      </c>
      <c r="AE77" s="13">
        <f t="shared" si="14"/>
        <v>2</v>
      </c>
    </row>
    <row r="78" ht="12.75" customHeight="1">
      <c r="A78" s="18"/>
      <c r="B78" s="57"/>
      <c r="C78" s="58" t="s">
        <v>67</v>
      </c>
      <c r="D78" s="59"/>
      <c r="E78" s="60">
        <v>1.0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60">
        <v>0.0</v>
      </c>
      <c r="O78" s="60">
        <v>0.0</v>
      </c>
      <c r="P78" s="60">
        <v>0.0</v>
      </c>
      <c r="Q78" s="60">
        <v>0.0</v>
      </c>
      <c r="R78" s="60">
        <v>1.0</v>
      </c>
      <c r="S78" s="60">
        <v>1.0</v>
      </c>
      <c r="T78" s="60">
        <v>0.0</v>
      </c>
      <c r="U78" s="60">
        <v>0.0</v>
      </c>
      <c r="V78" s="60">
        <v>0.0</v>
      </c>
      <c r="W78" s="60">
        <v>0.0</v>
      </c>
      <c r="X78" s="60">
        <v>0.0</v>
      </c>
      <c r="Y78" s="60">
        <v>0.0</v>
      </c>
      <c r="Z78" s="60">
        <v>0.0</v>
      </c>
      <c r="AA78" s="60">
        <v>0.0</v>
      </c>
      <c r="AB78" s="60">
        <v>0.0</v>
      </c>
      <c r="AC78" s="60">
        <v>0.0</v>
      </c>
      <c r="AD78" s="60">
        <v>0.0</v>
      </c>
      <c r="AE78" s="13">
        <f t="shared" si="14"/>
        <v>3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AD79" si="18">SUM(E72:E78)</f>
        <v>6</v>
      </c>
      <c r="F79" s="64">
        <f t="shared" si="18"/>
        <v>23</v>
      </c>
      <c r="G79" s="64">
        <f t="shared" si="18"/>
        <v>21</v>
      </c>
      <c r="H79" s="64">
        <f t="shared" si="18"/>
        <v>22</v>
      </c>
      <c r="I79" s="64">
        <f t="shared" si="18"/>
        <v>9</v>
      </c>
      <c r="J79" s="64">
        <f t="shared" si="18"/>
        <v>11</v>
      </c>
      <c r="K79" s="64">
        <f t="shared" si="18"/>
        <v>12</v>
      </c>
      <c r="L79" s="64">
        <f t="shared" si="18"/>
        <v>10</v>
      </c>
      <c r="M79" s="64">
        <f t="shared" si="18"/>
        <v>5</v>
      </c>
      <c r="N79" s="64">
        <f t="shared" si="18"/>
        <v>6</v>
      </c>
      <c r="O79" s="64">
        <f t="shared" si="18"/>
        <v>9</v>
      </c>
      <c r="P79" s="64">
        <f t="shared" si="18"/>
        <v>5</v>
      </c>
      <c r="Q79" s="64">
        <f t="shared" si="18"/>
        <v>30</v>
      </c>
      <c r="R79" s="64">
        <f t="shared" si="18"/>
        <v>14</v>
      </c>
      <c r="S79" s="64">
        <f t="shared" si="18"/>
        <v>11</v>
      </c>
      <c r="T79" s="64">
        <f t="shared" si="18"/>
        <v>5</v>
      </c>
      <c r="U79" s="64">
        <f t="shared" si="18"/>
        <v>9</v>
      </c>
      <c r="V79" s="64">
        <f t="shared" si="18"/>
        <v>11</v>
      </c>
      <c r="W79" s="64">
        <f t="shared" si="18"/>
        <v>15</v>
      </c>
      <c r="X79" s="64">
        <f t="shared" si="18"/>
        <v>24</v>
      </c>
      <c r="Y79" s="64">
        <f t="shared" si="18"/>
        <v>9</v>
      </c>
      <c r="Z79" s="64">
        <f t="shared" si="18"/>
        <v>42</v>
      </c>
      <c r="AA79" s="64">
        <f t="shared" si="18"/>
        <v>10</v>
      </c>
      <c r="AB79" s="64">
        <f t="shared" si="18"/>
        <v>15</v>
      </c>
      <c r="AC79" s="64">
        <f t="shared" si="18"/>
        <v>11</v>
      </c>
      <c r="AD79" s="64">
        <f t="shared" si="18"/>
        <v>10</v>
      </c>
      <c r="AE79" s="13">
        <f t="shared" si="14"/>
        <v>355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1.0</v>
      </c>
      <c r="F81" s="60">
        <v>2.0</v>
      </c>
      <c r="G81" s="60">
        <v>5.0</v>
      </c>
      <c r="H81" s="60">
        <v>1.0</v>
      </c>
      <c r="I81" s="60">
        <v>3.0</v>
      </c>
      <c r="J81" s="60">
        <v>6.0</v>
      </c>
      <c r="K81" s="60">
        <v>10.0</v>
      </c>
      <c r="L81" s="60">
        <v>1.0</v>
      </c>
      <c r="M81" s="60">
        <v>5.0</v>
      </c>
      <c r="N81" s="60">
        <v>2.0</v>
      </c>
      <c r="O81" s="60">
        <v>13.0</v>
      </c>
      <c r="P81" s="60">
        <v>3.0</v>
      </c>
      <c r="Q81" s="60">
        <v>4.0</v>
      </c>
      <c r="R81" s="60">
        <v>3.0</v>
      </c>
      <c r="S81" s="60">
        <v>0.0</v>
      </c>
      <c r="T81" s="60">
        <v>11.0</v>
      </c>
      <c r="U81" s="60">
        <v>2.0</v>
      </c>
      <c r="V81" s="60">
        <v>1.0</v>
      </c>
      <c r="W81" s="60">
        <v>11.0</v>
      </c>
      <c r="X81" s="60">
        <v>0.0</v>
      </c>
      <c r="Y81" s="60">
        <v>2.0</v>
      </c>
      <c r="Z81" s="60">
        <v>5.0</v>
      </c>
      <c r="AA81" s="60">
        <v>0.0</v>
      </c>
      <c r="AB81" s="60">
        <v>10.0</v>
      </c>
      <c r="AC81" s="60">
        <v>3.0</v>
      </c>
      <c r="AD81" s="60">
        <v>7.0</v>
      </c>
      <c r="AE81" s="13">
        <f t="shared" si="14"/>
        <v>111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0.0</v>
      </c>
      <c r="F82" s="60">
        <v>8.0</v>
      </c>
      <c r="G82" s="60">
        <v>0.0</v>
      </c>
      <c r="H82" s="60">
        <v>0.0</v>
      </c>
      <c r="I82" s="60">
        <v>1.0</v>
      </c>
      <c r="J82" s="60">
        <v>6.0</v>
      </c>
      <c r="K82" s="60">
        <v>0.0</v>
      </c>
      <c r="L82" s="60">
        <v>1.0</v>
      </c>
      <c r="M82" s="60">
        <v>9.0</v>
      </c>
      <c r="N82" s="60">
        <v>20.0</v>
      </c>
      <c r="O82" s="60">
        <v>9.0</v>
      </c>
      <c r="P82" s="60">
        <v>13.0</v>
      </c>
      <c r="Q82" s="60">
        <v>1.0</v>
      </c>
      <c r="R82" s="60">
        <v>1.0</v>
      </c>
      <c r="S82" s="60">
        <v>0.0</v>
      </c>
      <c r="T82" s="60">
        <v>2.0</v>
      </c>
      <c r="U82" s="60">
        <v>0.0</v>
      </c>
      <c r="V82" s="60">
        <v>0.0</v>
      </c>
      <c r="W82" s="60">
        <v>0.0</v>
      </c>
      <c r="X82" s="60">
        <v>10.0</v>
      </c>
      <c r="Y82" s="60">
        <v>2.0</v>
      </c>
      <c r="Z82" s="60">
        <v>0.0</v>
      </c>
      <c r="AA82" s="60">
        <v>0.0</v>
      </c>
      <c r="AB82" s="60">
        <v>1.0</v>
      </c>
      <c r="AC82" s="60">
        <v>0.0</v>
      </c>
      <c r="AD82" s="60">
        <v>0.0</v>
      </c>
      <c r="AE82" s="13">
        <f t="shared" si="14"/>
        <v>84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0.0</v>
      </c>
      <c r="H83" s="60">
        <v>0.0</v>
      </c>
      <c r="I83" s="60">
        <v>0.0</v>
      </c>
      <c r="J83" s="60">
        <v>0.0</v>
      </c>
      <c r="K83" s="60">
        <v>0.0</v>
      </c>
      <c r="L83" s="60">
        <v>0.0</v>
      </c>
      <c r="M83" s="60">
        <v>0.0</v>
      </c>
      <c r="N83" s="60">
        <v>0.0</v>
      </c>
      <c r="O83" s="60">
        <v>1.0</v>
      </c>
      <c r="P83" s="60">
        <v>0.0</v>
      </c>
      <c r="Q83" s="60">
        <v>2.0</v>
      </c>
      <c r="R83" s="60">
        <v>1.0</v>
      </c>
      <c r="S83" s="60">
        <v>0.0</v>
      </c>
      <c r="T83" s="60">
        <v>0.0</v>
      </c>
      <c r="U83" s="60">
        <v>1.0</v>
      </c>
      <c r="V83" s="60">
        <v>0.0</v>
      </c>
      <c r="W83" s="60">
        <v>1.0</v>
      </c>
      <c r="X83" s="60">
        <v>0.0</v>
      </c>
      <c r="Y83" s="60">
        <v>4.0</v>
      </c>
      <c r="Z83" s="60">
        <v>0.0</v>
      </c>
      <c r="AA83" s="60">
        <v>1.0</v>
      </c>
      <c r="AB83" s="60">
        <v>0.0</v>
      </c>
      <c r="AC83" s="60">
        <v>0.0</v>
      </c>
      <c r="AD83" s="60">
        <v>0.0</v>
      </c>
      <c r="AE83" s="13">
        <f t="shared" si="14"/>
        <v>11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1.0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0.0</v>
      </c>
      <c r="N84" s="60">
        <v>0.0</v>
      </c>
      <c r="O84" s="60">
        <v>0.0</v>
      </c>
      <c r="P84" s="60">
        <v>1.0</v>
      </c>
      <c r="Q84" s="60">
        <v>0.0</v>
      </c>
      <c r="R84" s="60">
        <v>0.0</v>
      </c>
      <c r="S84" s="60">
        <v>0.0</v>
      </c>
      <c r="T84" s="60">
        <v>0.0</v>
      </c>
      <c r="U84" s="60">
        <v>0.0</v>
      </c>
      <c r="V84" s="60">
        <v>0.0</v>
      </c>
      <c r="W84" s="60">
        <v>0.0</v>
      </c>
      <c r="X84" s="60">
        <v>0.0</v>
      </c>
      <c r="Y84" s="60">
        <v>1.0</v>
      </c>
      <c r="Z84" s="60">
        <v>0.0</v>
      </c>
      <c r="AA84" s="60">
        <v>0.0</v>
      </c>
      <c r="AB84" s="60">
        <v>0.0</v>
      </c>
      <c r="AC84" s="60">
        <v>0.0</v>
      </c>
      <c r="AD84" s="60">
        <v>0.0</v>
      </c>
      <c r="AE84" s="13">
        <f t="shared" si="14"/>
        <v>3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1.0</v>
      </c>
      <c r="H85" s="60">
        <v>0.0</v>
      </c>
      <c r="I85" s="60">
        <v>0.0</v>
      </c>
      <c r="J85" s="60">
        <v>1.0</v>
      </c>
      <c r="K85" s="60">
        <v>0.0</v>
      </c>
      <c r="L85" s="60">
        <v>1.0</v>
      </c>
      <c r="M85" s="60">
        <v>0.0</v>
      </c>
      <c r="N85" s="60">
        <v>0.0</v>
      </c>
      <c r="O85" s="60">
        <v>0.0</v>
      </c>
      <c r="P85" s="60">
        <v>1.0</v>
      </c>
      <c r="Q85" s="60">
        <v>0.0</v>
      </c>
      <c r="R85" s="60">
        <v>0.0</v>
      </c>
      <c r="S85" s="60">
        <v>0.0</v>
      </c>
      <c r="T85" s="60">
        <v>0.0</v>
      </c>
      <c r="U85" s="60">
        <v>0.0</v>
      </c>
      <c r="V85" s="60">
        <v>0.0</v>
      </c>
      <c r="W85" s="60">
        <v>0.0</v>
      </c>
      <c r="X85" s="60">
        <v>0.0</v>
      </c>
      <c r="Y85" s="60">
        <v>0.0</v>
      </c>
      <c r="Z85" s="60">
        <v>0.0</v>
      </c>
      <c r="AA85" s="60">
        <v>0.0</v>
      </c>
      <c r="AB85" s="60">
        <v>0.0</v>
      </c>
      <c r="AC85" s="60">
        <v>0.0</v>
      </c>
      <c r="AD85" s="60">
        <v>0.0</v>
      </c>
      <c r="AE85" s="13">
        <f t="shared" si="14"/>
        <v>4</v>
      </c>
    </row>
    <row r="86" ht="12.75" customHeight="1">
      <c r="A86" s="18"/>
      <c r="B86" s="57"/>
      <c r="C86" s="58" t="s">
        <v>74</v>
      </c>
      <c r="D86" s="59"/>
      <c r="E86" s="60">
        <v>2.0</v>
      </c>
      <c r="F86" s="60">
        <v>12.0</v>
      </c>
      <c r="G86" s="60">
        <v>12.0</v>
      </c>
      <c r="H86" s="60">
        <v>7.0</v>
      </c>
      <c r="I86" s="60">
        <v>3.0</v>
      </c>
      <c r="J86" s="60">
        <v>0.0</v>
      </c>
      <c r="K86" s="60">
        <v>1.0</v>
      </c>
      <c r="L86" s="60">
        <v>1.0</v>
      </c>
      <c r="M86" s="60">
        <v>1.0</v>
      </c>
      <c r="N86" s="60">
        <v>0.0</v>
      </c>
      <c r="O86" s="60">
        <v>1.0</v>
      </c>
      <c r="P86" s="60">
        <v>7.0</v>
      </c>
      <c r="Q86" s="60">
        <v>51.0</v>
      </c>
      <c r="R86" s="60">
        <v>29.0</v>
      </c>
      <c r="S86" s="60">
        <v>1.0</v>
      </c>
      <c r="T86" s="60">
        <v>1.0</v>
      </c>
      <c r="U86" s="60">
        <v>1.0</v>
      </c>
      <c r="V86" s="60">
        <v>1.0</v>
      </c>
      <c r="W86" s="60">
        <v>1.0</v>
      </c>
      <c r="X86" s="60">
        <v>1.0</v>
      </c>
      <c r="Y86" s="60">
        <v>1.0</v>
      </c>
      <c r="Z86" s="60">
        <v>2.0</v>
      </c>
      <c r="AA86" s="60">
        <v>2.0</v>
      </c>
      <c r="AB86" s="60">
        <v>1.0</v>
      </c>
      <c r="AC86" s="60">
        <v>3.0</v>
      </c>
      <c r="AD86" s="60">
        <v>0.0</v>
      </c>
      <c r="AE86" s="13">
        <f t="shared" si="14"/>
        <v>142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1.0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60">
        <v>0.0</v>
      </c>
      <c r="P87" s="60">
        <v>0.0</v>
      </c>
      <c r="Q87" s="60">
        <v>0.0</v>
      </c>
      <c r="R87" s="60">
        <v>0.0</v>
      </c>
      <c r="S87" s="60">
        <v>0.0</v>
      </c>
      <c r="T87" s="60">
        <v>0.0</v>
      </c>
      <c r="U87" s="60">
        <v>0.0</v>
      </c>
      <c r="V87" s="60">
        <v>0.0</v>
      </c>
      <c r="W87" s="60">
        <v>0.0</v>
      </c>
      <c r="X87" s="60">
        <v>0.0</v>
      </c>
      <c r="Y87" s="60">
        <v>0.0</v>
      </c>
      <c r="Z87" s="60">
        <v>0.0</v>
      </c>
      <c r="AA87" s="60">
        <v>0.0</v>
      </c>
      <c r="AB87" s="60">
        <v>0.0</v>
      </c>
      <c r="AC87" s="60">
        <v>0.0</v>
      </c>
      <c r="AD87" s="60">
        <v>0.0</v>
      </c>
      <c r="AE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AD88" si="19">SUM(E81:E87)</f>
        <v>3</v>
      </c>
      <c r="F88" s="64">
        <f t="shared" si="19"/>
        <v>22</v>
      </c>
      <c r="G88" s="64">
        <f t="shared" si="19"/>
        <v>19</v>
      </c>
      <c r="H88" s="64">
        <f t="shared" si="19"/>
        <v>8</v>
      </c>
      <c r="I88" s="64">
        <f t="shared" si="19"/>
        <v>8</v>
      </c>
      <c r="J88" s="64">
        <f t="shared" si="19"/>
        <v>13</v>
      </c>
      <c r="K88" s="64">
        <f t="shared" si="19"/>
        <v>11</v>
      </c>
      <c r="L88" s="64">
        <f t="shared" si="19"/>
        <v>4</v>
      </c>
      <c r="M88" s="64">
        <f t="shared" si="19"/>
        <v>15</v>
      </c>
      <c r="N88" s="64">
        <f t="shared" si="19"/>
        <v>22</v>
      </c>
      <c r="O88" s="64">
        <f t="shared" si="19"/>
        <v>24</v>
      </c>
      <c r="P88" s="64">
        <f t="shared" si="19"/>
        <v>25</v>
      </c>
      <c r="Q88" s="64">
        <f t="shared" si="19"/>
        <v>58</v>
      </c>
      <c r="R88" s="64">
        <f t="shared" si="19"/>
        <v>34</v>
      </c>
      <c r="S88" s="64">
        <f t="shared" si="19"/>
        <v>1</v>
      </c>
      <c r="T88" s="64">
        <f t="shared" si="19"/>
        <v>14</v>
      </c>
      <c r="U88" s="64">
        <f t="shared" si="19"/>
        <v>4</v>
      </c>
      <c r="V88" s="64">
        <f t="shared" si="19"/>
        <v>2</v>
      </c>
      <c r="W88" s="64">
        <f t="shared" si="19"/>
        <v>13</v>
      </c>
      <c r="X88" s="64">
        <f t="shared" si="19"/>
        <v>11</v>
      </c>
      <c r="Y88" s="64">
        <f t="shared" si="19"/>
        <v>10</v>
      </c>
      <c r="Z88" s="64">
        <f t="shared" si="19"/>
        <v>7</v>
      </c>
      <c r="AA88" s="64">
        <f t="shared" si="19"/>
        <v>3</v>
      </c>
      <c r="AB88" s="64">
        <f t="shared" si="19"/>
        <v>12</v>
      </c>
      <c r="AC88" s="64">
        <f t="shared" si="19"/>
        <v>6</v>
      </c>
      <c r="AD88" s="64">
        <f t="shared" si="19"/>
        <v>7</v>
      </c>
      <c r="AE88" s="13">
        <f t="shared" si="14"/>
        <v>356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1.0</v>
      </c>
      <c r="I90" s="60">
        <v>0.0</v>
      </c>
      <c r="J90" s="60">
        <v>0.0</v>
      </c>
      <c r="K90" s="60">
        <v>0.0</v>
      </c>
      <c r="L90" s="60">
        <v>0.0</v>
      </c>
      <c r="M90" s="60">
        <v>0.0</v>
      </c>
      <c r="N90" s="60">
        <v>0.0</v>
      </c>
      <c r="O90" s="60">
        <v>0.0</v>
      </c>
      <c r="P90" s="60">
        <v>1.0</v>
      </c>
      <c r="Q90" s="60">
        <v>0.0</v>
      </c>
      <c r="R90" s="60">
        <v>1.0</v>
      </c>
      <c r="S90" s="60">
        <v>1.0</v>
      </c>
      <c r="T90" s="60">
        <v>0.0</v>
      </c>
      <c r="U90" s="60">
        <v>1.0</v>
      </c>
      <c r="V90" s="60">
        <v>0.0</v>
      </c>
      <c r="W90" s="60">
        <v>0.0</v>
      </c>
      <c r="X90" s="60">
        <v>0.0</v>
      </c>
      <c r="Y90" s="60">
        <v>0.0</v>
      </c>
      <c r="Z90" s="60">
        <v>0.0</v>
      </c>
      <c r="AA90" s="60">
        <v>1.0</v>
      </c>
      <c r="AB90" s="60">
        <v>0.0</v>
      </c>
      <c r="AC90" s="60">
        <v>1.0</v>
      </c>
      <c r="AD90" s="60">
        <v>0.0</v>
      </c>
      <c r="AE90" s="13">
        <f t="shared" si="14"/>
        <v>7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0.0</v>
      </c>
      <c r="J91" s="60">
        <v>0.0</v>
      </c>
      <c r="K91" s="60">
        <v>1.0</v>
      </c>
      <c r="L91" s="60">
        <v>0.0</v>
      </c>
      <c r="M91" s="60">
        <v>0.0</v>
      </c>
      <c r="N91" s="60">
        <v>0.0</v>
      </c>
      <c r="O91" s="60">
        <v>0.0</v>
      </c>
      <c r="P91" s="60">
        <v>1.0</v>
      </c>
      <c r="Q91" s="60">
        <v>0.0</v>
      </c>
      <c r="R91" s="60">
        <v>0.0</v>
      </c>
      <c r="S91" s="60">
        <v>1.0</v>
      </c>
      <c r="T91" s="60">
        <v>0.0</v>
      </c>
      <c r="U91" s="60">
        <v>0.0</v>
      </c>
      <c r="V91" s="60">
        <v>0.0</v>
      </c>
      <c r="W91" s="60">
        <v>0.0</v>
      </c>
      <c r="X91" s="60">
        <v>0.0</v>
      </c>
      <c r="Y91" s="60">
        <v>0.0</v>
      </c>
      <c r="Z91" s="60">
        <v>0.0</v>
      </c>
      <c r="AA91" s="60">
        <v>0.0</v>
      </c>
      <c r="AB91" s="60">
        <v>0.0</v>
      </c>
      <c r="AC91" s="60">
        <v>0.0</v>
      </c>
      <c r="AD91" s="60">
        <v>0.0</v>
      </c>
      <c r="AE91" s="13">
        <f t="shared" si="14"/>
        <v>3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AD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1</v>
      </c>
      <c r="I92" s="64">
        <f t="shared" si="20"/>
        <v>0</v>
      </c>
      <c r="J92" s="64">
        <f t="shared" si="20"/>
        <v>0</v>
      </c>
      <c r="K92" s="64">
        <f t="shared" si="20"/>
        <v>1</v>
      </c>
      <c r="L92" s="64">
        <f t="shared" si="20"/>
        <v>0</v>
      </c>
      <c r="M92" s="64">
        <f t="shared" si="20"/>
        <v>0</v>
      </c>
      <c r="N92" s="64">
        <f t="shared" si="20"/>
        <v>0</v>
      </c>
      <c r="O92" s="64">
        <f t="shared" si="20"/>
        <v>0</v>
      </c>
      <c r="P92" s="64">
        <f t="shared" si="20"/>
        <v>2</v>
      </c>
      <c r="Q92" s="64">
        <f t="shared" si="20"/>
        <v>0</v>
      </c>
      <c r="R92" s="64">
        <f t="shared" si="20"/>
        <v>1</v>
      </c>
      <c r="S92" s="64">
        <f t="shared" si="20"/>
        <v>2</v>
      </c>
      <c r="T92" s="64">
        <f t="shared" si="20"/>
        <v>0</v>
      </c>
      <c r="U92" s="64">
        <f t="shared" si="20"/>
        <v>1</v>
      </c>
      <c r="V92" s="64">
        <f t="shared" si="20"/>
        <v>0</v>
      </c>
      <c r="W92" s="64">
        <f t="shared" si="20"/>
        <v>0</v>
      </c>
      <c r="X92" s="64">
        <f t="shared" si="20"/>
        <v>0</v>
      </c>
      <c r="Y92" s="64">
        <f t="shared" si="20"/>
        <v>0</v>
      </c>
      <c r="Z92" s="64">
        <f t="shared" si="20"/>
        <v>0</v>
      </c>
      <c r="AA92" s="64">
        <f t="shared" si="20"/>
        <v>1</v>
      </c>
      <c r="AB92" s="64">
        <f t="shared" si="20"/>
        <v>0</v>
      </c>
      <c r="AC92" s="64">
        <f t="shared" si="20"/>
        <v>1</v>
      </c>
      <c r="AD92" s="64">
        <f t="shared" si="20"/>
        <v>0</v>
      </c>
      <c r="AE92" s="13">
        <f t="shared" si="14"/>
        <v>10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2.0</v>
      </c>
      <c r="F94" s="60">
        <v>0.0</v>
      </c>
      <c r="G94" s="60">
        <v>0.0</v>
      </c>
      <c r="H94" s="60">
        <v>1.0</v>
      </c>
      <c r="I94" s="60">
        <v>0.0</v>
      </c>
      <c r="J94" s="60">
        <v>1.0</v>
      </c>
      <c r="K94" s="60">
        <v>1.0</v>
      </c>
      <c r="L94" s="60">
        <v>1.0</v>
      </c>
      <c r="M94" s="60">
        <v>0.0</v>
      </c>
      <c r="N94" s="60">
        <v>0.0</v>
      </c>
      <c r="O94" s="60">
        <v>1.0</v>
      </c>
      <c r="P94" s="60">
        <v>0.0</v>
      </c>
      <c r="Q94" s="60">
        <v>0.0</v>
      </c>
      <c r="R94" s="60">
        <v>3.0</v>
      </c>
      <c r="S94" s="60">
        <v>4.0</v>
      </c>
      <c r="T94" s="60">
        <v>5.0</v>
      </c>
      <c r="U94" s="60">
        <v>0.0</v>
      </c>
      <c r="V94" s="60">
        <v>2.0</v>
      </c>
      <c r="W94" s="60">
        <v>1.0</v>
      </c>
      <c r="X94" s="60">
        <v>0.0</v>
      </c>
      <c r="Y94" s="60">
        <v>1.0</v>
      </c>
      <c r="Z94" s="60">
        <v>1.0</v>
      </c>
      <c r="AA94" s="60">
        <v>0.0</v>
      </c>
      <c r="AB94" s="60">
        <v>0.0</v>
      </c>
      <c r="AC94" s="60">
        <v>3.0</v>
      </c>
      <c r="AD94" s="60">
        <v>3.0</v>
      </c>
      <c r="AE94" s="13">
        <f t="shared" si="14"/>
        <v>30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1.0</v>
      </c>
      <c r="F95" s="60">
        <v>2.0</v>
      </c>
      <c r="G95" s="60">
        <v>0.0</v>
      </c>
      <c r="H95" s="60">
        <v>0.0</v>
      </c>
      <c r="I95" s="60">
        <v>0.0</v>
      </c>
      <c r="J95" s="60">
        <v>0.0</v>
      </c>
      <c r="K95" s="60">
        <v>2.0</v>
      </c>
      <c r="L95" s="60">
        <v>12.0</v>
      </c>
      <c r="M95" s="60">
        <v>0.0</v>
      </c>
      <c r="N95" s="60">
        <v>0.0</v>
      </c>
      <c r="O95" s="60">
        <v>0.0</v>
      </c>
      <c r="P95" s="60">
        <v>2.0</v>
      </c>
      <c r="Q95" s="60">
        <v>6.0</v>
      </c>
      <c r="R95" s="60">
        <v>17.0</v>
      </c>
      <c r="S95" s="60">
        <v>12.0</v>
      </c>
      <c r="T95" s="60">
        <v>12.0</v>
      </c>
      <c r="U95" s="60">
        <v>5.0</v>
      </c>
      <c r="V95" s="60">
        <v>11.0</v>
      </c>
      <c r="W95" s="60">
        <v>11.0</v>
      </c>
      <c r="X95" s="60">
        <v>9.0</v>
      </c>
      <c r="Y95" s="60">
        <v>5.0</v>
      </c>
      <c r="Z95" s="60">
        <v>4.0</v>
      </c>
      <c r="AA95" s="60">
        <v>4.0</v>
      </c>
      <c r="AB95" s="60">
        <v>9.0</v>
      </c>
      <c r="AC95" s="60">
        <v>14.0</v>
      </c>
      <c r="AD95" s="60">
        <v>3.0</v>
      </c>
      <c r="AE95" s="13">
        <f t="shared" si="14"/>
        <v>141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0.0</v>
      </c>
      <c r="J96" s="60">
        <v>0.0</v>
      </c>
      <c r="K96" s="60">
        <v>0.0</v>
      </c>
      <c r="L96" s="60">
        <v>0.0</v>
      </c>
      <c r="M96" s="60">
        <v>0.0</v>
      </c>
      <c r="N96" s="60">
        <v>1.0</v>
      </c>
      <c r="O96" s="60">
        <v>0.0</v>
      </c>
      <c r="P96" s="60">
        <v>0.0</v>
      </c>
      <c r="Q96" s="60">
        <v>0.0</v>
      </c>
      <c r="R96" s="60">
        <v>0.0</v>
      </c>
      <c r="S96" s="60">
        <v>0.0</v>
      </c>
      <c r="T96" s="60">
        <v>0.0</v>
      </c>
      <c r="U96" s="60">
        <v>0.0</v>
      </c>
      <c r="V96" s="60">
        <v>0.0</v>
      </c>
      <c r="W96" s="60">
        <v>0.0</v>
      </c>
      <c r="X96" s="60">
        <v>1.0</v>
      </c>
      <c r="Y96" s="60">
        <v>0.0</v>
      </c>
      <c r="Z96" s="60">
        <v>0.0</v>
      </c>
      <c r="AA96" s="60">
        <v>0.0</v>
      </c>
      <c r="AB96" s="60">
        <v>0.0</v>
      </c>
      <c r="AC96" s="60">
        <v>0.0</v>
      </c>
      <c r="AD96" s="60">
        <v>0.0</v>
      </c>
      <c r="AE96" s="13">
        <f t="shared" si="14"/>
        <v>2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60">
        <v>0.0</v>
      </c>
      <c r="P97" s="60">
        <v>0.0</v>
      </c>
      <c r="Q97" s="60">
        <v>0.0</v>
      </c>
      <c r="R97" s="60">
        <v>1.0</v>
      </c>
      <c r="S97" s="60">
        <v>0.0</v>
      </c>
      <c r="T97" s="60">
        <v>0.0</v>
      </c>
      <c r="U97" s="60">
        <v>0.0</v>
      </c>
      <c r="V97" s="60">
        <v>0.0</v>
      </c>
      <c r="W97" s="60">
        <v>0.0</v>
      </c>
      <c r="X97" s="60">
        <v>0.0</v>
      </c>
      <c r="Y97" s="60">
        <v>0.0</v>
      </c>
      <c r="Z97" s="60">
        <v>0.0</v>
      </c>
      <c r="AA97" s="60">
        <v>0.0</v>
      </c>
      <c r="AB97" s="60">
        <v>0.0</v>
      </c>
      <c r="AC97" s="60">
        <v>0.0</v>
      </c>
      <c r="AD97" s="60">
        <v>0.0</v>
      </c>
      <c r="AE97" s="13">
        <f t="shared" si="14"/>
        <v>1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0.0</v>
      </c>
      <c r="S98" s="60">
        <v>0.0</v>
      </c>
      <c r="T98" s="60">
        <v>0.0</v>
      </c>
      <c r="U98" s="60">
        <v>1.0</v>
      </c>
      <c r="V98" s="60">
        <v>0.0</v>
      </c>
      <c r="W98" s="60">
        <v>0.0</v>
      </c>
      <c r="X98" s="60">
        <v>0.0</v>
      </c>
      <c r="Y98" s="60">
        <v>0.0</v>
      </c>
      <c r="Z98" s="60">
        <v>0.0</v>
      </c>
      <c r="AA98" s="60">
        <v>0.0</v>
      </c>
      <c r="AB98" s="60">
        <v>0.0</v>
      </c>
      <c r="AC98" s="60">
        <v>0.0</v>
      </c>
      <c r="AD98" s="60">
        <v>0.0</v>
      </c>
      <c r="AE98" s="13">
        <f t="shared" si="14"/>
        <v>1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1.0</v>
      </c>
      <c r="I99" s="60">
        <v>0.0</v>
      </c>
      <c r="J99" s="60">
        <v>0.0</v>
      </c>
      <c r="K99" s="60">
        <v>0.0</v>
      </c>
      <c r="L99" s="60">
        <v>0.0</v>
      </c>
      <c r="M99" s="60">
        <v>0.0</v>
      </c>
      <c r="N99" s="60">
        <v>0.0</v>
      </c>
      <c r="O99" s="60">
        <v>0.0</v>
      </c>
      <c r="P99" s="60">
        <v>0.0</v>
      </c>
      <c r="Q99" s="60">
        <v>0.0</v>
      </c>
      <c r="R99" s="60">
        <v>0.0</v>
      </c>
      <c r="S99" s="60">
        <v>0.0</v>
      </c>
      <c r="T99" s="60">
        <v>0.0</v>
      </c>
      <c r="U99" s="60">
        <v>0.0</v>
      </c>
      <c r="V99" s="60">
        <v>0.0</v>
      </c>
      <c r="W99" s="60">
        <v>0.0</v>
      </c>
      <c r="X99" s="60">
        <v>0.0</v>
      </c>
      <c r="Y99" s="60">
        <v>0.0</v>
      </c>
      <c r="Z99" s="60">
        <v>0.0</v>
      </c>
      <c r="AA99" s="60">
        <v>0.0</v>
      </c>
      <c r="AB99" s="60">
        <v>1.0</v>
      </c>
      <c r="AC99" s="60">
        <v>0.0</v>
      </c>
      <c r="AD99" s="60">
        <v>0.0</v>
      </c>
      <c r="AE99" s="13">
        <f t="shared" si="14"/>
        <v>2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60">
        <v>0.0</v>
      </c>
      <c r="S100" s="60">
        <v>0.0</v>
      </c>
      <c r="T100" s="60">
        <v>0.0</v>
      </c>
      <c r="U100" s="60">
        <v>0.0</v>
      </c>
      <c r="V100" s="60">
        <v>0.0</v>
      </c>
      <c r="W100" s="60">
        <v>0.0</v>
      </c>
      <c r="X100" s="60">
        <v>0.0</v>
      </c>
      <c r="Y100" s="60">
        <v>0.0</v>
      </c>
      <c r="Z100" s="60">
        <v>0.0</v>
      </c>
      <c r="AA100" s="60">
        <v>0.0</v>
      </c>
      <c r="AB100" s="60">
        <v>0.0</v>
      </c>
      <c r="AC100" s="60">
        <v>0.0</v>
      </c>
      <c r="AD100" s="60">
        <v>0.0</v>
      </c>
      <c r="AE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AD101" si="21">SUM(E94:E100)</f>
        <v>3</v>
      </c>
      <c r="F101" s="64">
        <f t="shared" si="21"/>
        <v>2</v>
      </c>
      <c r="G101" s="64">
        <f t="shared" si="21"/>
        <v>0</v>
      </c>
      <c r="H101" s="64">
        <f t="shared" si="21"/>
        <v>2</v>
      </c>
      <c r="I101" s="64">
        <f t="shared" si="21"/>
        <v>0</v>
      </c>
      <c r="J101" s="64">
        <f t="shared" si="21"/>
        <v>1</v>
      </c>
      <c r="K101" s="64">
        <f t="shared" si="21"/>
        <v>3</v>
      </c>
      <c r="L101" s="64">
        <f t="shared" si="21"/>
        <v>13</v>
      </c>
      <c r="M101" s="64">
        <f t="shared" si="21"/>
        <v>0</v>
      </c>
      <c r="N101" s="64">
        <f t="shared" si="21"/>
        <v>1</v>
      </c>
      <c r="O101" s="64">
        <f t="shared" si="21"/>
        <v>1</v>
      </c>
      <c r="P101" s="64">
        <f t="shared" si="21"/>
        <v>2</v>
      </c>
      <c r="Q101" s="64">
        <f t="shared" si="21"/>
        <v>6</v>
      </c>
      <c r="R101" s="64">
        <f t="shared" si="21"/>
        <v>21</v>
      </c>
      <c r="S101" s="64">
        <f t="shared" si="21"/>
        <v>16</v>
      </c>
      <c r="T101" s="64">
        <f t="shared" si="21"/>
        <v>17</v>
      </c>
      <c r="U101" s="64">
        <f t="shared" si="21"/>
        <v>6</v>
      </c>
      <c r="V101" s="64">
        <f t="shared" si="21"/>
        <v>13</v>
      </c>
      <c r="W101" s="64">
        <f t="shared" si="21"/>
        <v>12</v>
      </c>
      <c r="X101" s="64">
        <f t="shared" si="21"/>
        <v>10</v>
      </c>
      <c r="Y101" s="64">
        <f t="shared" si="21"/>
        <v>6</v>
      </c>
      <c r="Z101" s="64">
        <f t="shared" si="21"/>
        <v>5</v>
      </c>
      <c r="AA101" s="64">
        <f t="shared" si="21"/>
        <v>4</v>
      </c>
      <c r="AB101" s="64">
        <f t="shared" si="21"/>
        <v>10</v>
      </c>
      <c r="AC101" s="64">
        <f t="shared" si="21"/>
        <v>17</v>
      </c>
      <c r="AD101" s="64">
        <f t="shared" si="21"/>
        <v>6</v>
      </c>
      <c r="AE101" s="13">
        <f t="shared" si="14"/>
        <v>177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1.0</v>
      </c>
      <c r="G103" s="60">
        <v>0.0</v>
      </c>
      <c r="H103" s="60">
        <v>0.0</v>
      </c>
      <c r="I103" s="60">
        <v>3.0</v>
      </c>
      <c r="J103" s="60">
        <v>0.0</v>
      </c>
      <c r="K103" s="60">
        <v>0.0</v>
      </c>
      <c r="L103" s="60">
        <v>0.0</v>
      </c>
      <c r="M103" s="60">
        <v>1.0</v>
      </c>
      <c r="N103" s="60">
        <v>0.0</v>
      </c>
      <c r="O103" s="60">
        <v>0.0</v>
      </c>
      <c r="P103" s="60">
        <v>0.0</v>
      </c>
      <c r="Q103" s="60">
        <v>0.0</v>
      </c>
      <c r="R103" s="60">
        <v>0.0</v>
      </c>
      <c r="S103" s="60">
        <v>0.0</v>
      </c>
      <c r="T103" s="60">
        <v>0.0</v>
      </c>
      <c r="U103" s="60">
        <v>0.0</v>
      </c>
      <c r="V103" s="60">
        <v>0.0</v>
      </c>
      <c r="W103" s="60">
        <v>0.0</v>
      </c>
      <c r="X103" s="60">
        <v>0.0</v>
      </c>
      <c r="Y103" s="60">
        <v>1.0</v>
      </c>
      <c r="Z103" s="60">
        <v>0.0</v>
      </c>
      <c r="AA103" s="60">
        <v>0.0</v>
      </c>
      <c r="AB103" s="60">
        <v>0.0</v>
      </c>
      <c r="AC103" s="60">
        <v>0.0</v>
      </c>
      <c r="AD103" s="60">
        <v>0.0</v>
      </c>
      <c r="AE103" s="13">
        <f t="shared" si="14"/>
        <v>6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0.0</v>
      </c>
      <c r="F104" s="60">
        <v>0.0</v>
      </c>
      <c r="G104" s="60">
        <v>0.0</v>
      </c>
      <c r="H104" s="60">
        <v>1.0</v>
      </c>
      <c r="I104" s="60">
        <v>4.0</v>
      </c>
      <c r="J104" s="60">
        <v>1.0</v>
      </c>
      <c r="K104" s="60">
        <v>1.0</v>
      </c>
      <c r="L104" s="60">
        <v>0.0</v>
      </c>
      <c r="M104" s="60">
        <v>3.0</v>
      </c>
      <c r="N104" s="60">
        <v>0.0</v>
      </c>
      <c r="O104" s="60">
        <v>2.0</v>
      </c>
      <c r="P104" s="60">
        <v>0.0</v>
      </c>
      <c r="Q104" s="60">
        <v>5.0</v>
      </c>
      <c r="R104" s="60">
        <v>0.0</v>
      </c>
      <c r="S104" s="60">
        <v>5.0</v>
      </c>
      <c r="T104" s="60">
        <v>2.0</v>
      </c>
      <c r="U104" s="60">
        <v>2.0</v>
      </c>
      <c r="V104" s="60">
        <v>2.0</v>
      </c>
      <c r="W104" s="60">
        <v>5.0</v>
      </c>
      <c r="X104" s="60">
        <v>3.0</v>
      </c>
      <c r="Y104" s="60">
        <v>4.0</v>
      </c>
      <c r="Z104" s="60">
        <v>2.0</v>
      </c>
      <c r="AA104" s="60">
        <v>1.0</v>
      </c>
      <c r="AB104" s="60">
        <v>3.0</v>
      </c>
      <c r="AC104" s="60">
        <v>4.0</v>
      </c>
      <c r="AD104" s="60">
        <v>2.0</v>
      </c>
      <c r="AE104" s="13">
        <f t="shared" si="14"/>
        <v>52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1.0</v>
      </c>
      <c r="J105" s="60">
        <v>0.0</v>
      </c>
      <c r="K105" s="60">
        <v>0.0</v>
      </c>
      <c r="L105" s="60">
        <v>0.0</v>
      </c>
      <c r="M105" s="60">
        <v>1.0</v>
      </c>
      <c r="N105" s="60">
        <v>0.0</v>
      </c>
      <c r="O105" s="60">
        <v>0.0</v>
      </c>
      <c r="P105" s="60">
        <v>0.0</v>
      </c>
      <c r="Q105" s="60">
        <v>0.0</v>
      </c>
      <c r="R105" s="60">
        <v>0.0</v>
      </c>
      <c r="S105" s="60">
        <v>0.0</v>
      </c>
      <c r="T105" s="60">
        <v>0.0</v>
      </c>
      <c r="U105" s="60">
        <v>0.0</v>
      </c>
      <c r="V105" s="60">
        <v>0.0</v>
      </c>
      <c r="W105" s="60">
        <v>0.0</v>
      </c>
      <c r="X105" s="60">
        <v>0.0</v>
      </c>
      <c r="Y105" s="60">
        <v>0.0</v>
      </c>
      <c r="Z105" s="60">
        <v>0.0</v>
      </c>
      <c r="AA105" s="60">
        <v>0.0</v>
      </c>
      <c r="AB105" s="60">
        <v>1.0</v>
      </c>
      <c r="AC105" s="60">
        <v>0.0</v>
      </c>
      <c r="AD105" s="60">
        <v>0.0</v>
      </c>
      <c r="AE105" s="13">
        <f t="shared" si="14"/>
        <v>3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60">
        <v>0.0</v>
      </c>
      <c r="O106" s="60">
        <v>1.0</v>
      </c>
      <c r="P106" s="60">
        <v>0.0</v>
      </c>
      <c r="Q106" s="60">
        <v>0.0</v>
      </c>
      <c r="R106" s="60">
        <v>0.0</v>
      </c>
      <c r="S106" s="60">
        <v>0.0</v>
      </c>
      <c r="T106" s="60">
        <v>0.0</v>
      </c>
      <c r="U106" s="60">
        <v>0.0</v>
      </c>
      <c r="V106" s="60">
        <v>0.0</v>
      </c>
      <c r="W106" s="60">
        <v>0.0</v>
      </c>
      <c r="X106" s="60">
        <v>0.0</v>
      </c>
      <c r="Y106" s="60">
        <v>0.0</v>
      </c>
      <c r="Z106" s="60">
        <v>0.0</v>
      </c>
      <c r="AA106" s="60">
        <v>0.0</v>
      </c>
      <c r="AB106" s="60">
        <v>0.0</v>
      </c>
      <c r="AC106" s="60">
        <v>0.0</v>
      </c>
      <c r="AD106" s="60">
        <v>0.0</v>
      </c>
      <c r="AE106" s="13">
        <f t="shared" si="14"/>
        <v>1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60">
        <v>0.0</v>
      </c>
      <c r="P107" s="60">
        <v>0.0</v>
      </c>
      <c r="Q107" s="60">
        <v>0.0</v>
      </c>
      <c r="R107" s="60">
        <v>1.0</v>
      </c>
      <c r="S107" s="60">
        <v>0.0</v>
      </c>
      <c r="T107" s="60">
        <v>0.0</v>
      </c>
      <c r="U107" s="60">
        <v>0.0</v>
      </c>
      <c r="V107" s="60">
        <v>0.0</v>
      </c>
      <c r="W107" s="60">
        <v>0.0</v>
      </c>
      <c r="X107" s="60">
        <v>0.0</v>
      </c>
      <c r="Y107" s="60">
        <v>0.0</v>
      </c>
      <c r="Z107" s="60">
        <v>0.0</v>
      </c>
      <c r="AA107" s="60">
        <v>0.0</v>
      </c>
      <c r="AB107" s="60">
        <v>0.0</v>
      </c>
      <c r="AC107" s="60">
        <v>0.0</v>
      </c>
      <c r="AD107" s="60">
        <v>0.0</v>
      </c>
      <c r="AE107" s="13">
        <f t="shared" si="14"/>
        <v>1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60">
        <v>0.0</v>
      </c>
      <c r="P108" s="60">
        <v>0.0</v>
      </c>
      <c r="Q108" s="60">
        <v>0.0</v>
      </c>
      <c r="R108" s="60">
        <v>0.0</v>
      </c>
      <c r="S108" s="60">
        <v>0.0</v>
      </c>
      <c r="T108" s="60">
        <v>0.0</v>
      </c>
      <c r="U108" s="60">
        <v>0.0</v>
      </c>
      <c r="V108" s="60">
        <v>0.0</v>
      </c>
      <c r="W108" s="60">
        <v>0.0</v>
      </c>
      <c r="X108" s="60">
        <v>0.0</v>
      </c>
      <c r="Y108" s="60">
        <v>0.0</v>
      </c>
      <c r="Z108" s="60">
        <v>0.0</v>
      </c>
      <c r="AA108" s="60">
        <v>0.0</v>
      </c>
      <c r="AB108" s="60">
        <v>0.0</v>
      </c>
      <c r="AC108" s="60">
        <v>0.0</v>
      </c>
      <c r="AD108" s="60">
        <v>0.0</v>
      </c>
      <c r="AE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0.0</v>
      </c>
      <c r="J109" s="60">
        <v>0.0</v>
      </c>
      <c r="K109" s="60">
        <v>0.0</v>
      </c>
      <c r="L109" s="60">
        <v>0.0</v>
      </c>
      <c r="M109" s="60">
        <v>0.0</v>
      </c>
      <c r="N109" s="60">
        <v>0.0</v>
      </c>
      <c r="O109" s="60">
        <v>0.0</v>
      </c>
      <c r="P109" s="60">
        <v>0.0</v>
      </c>
      <c r="Q109" s="60">
        <v>0.0</v>
      </c>
      <c r="R109" s="60">
        <v>2.0</v>
      </c>
      <c r="S109" s="60">
        <v>0.0</v>
      </c>
      <c r="T109" s="60">
        <v>0.0</v>
      </c>
      <c r="U109" s="60">
        <v>0.0</v>
      </c>
      <c r="V109" s="60">
        <v>0.0</v>
      </c>
      <c r="W109" s="60">
        <v>0.0</v>
      </c>
      <c r="X109" s="60">
        <v>0.0</v>
      </c>
      <c r="Y109" s="60">
        <v>0.0</v>
      </c>
      <c r="Z109" s="60">
        <v>0.0</v>
      </c>
      <c r="AA109" s="60">
        <v>0.0</v>
      </c>
      <c r="AB109" s="60">
        <v>0.0</v>
      </c>
      <c r="AC109" s="60">
        <v>0.0</v>
      </c>
      <c r="AD109" s="60">
        <v>0.0</v>
      </c>
      <c r="AE109" s="13">
        <f t="shared" si="14"/>
        <v>2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AD110" si="22">SUM(E103:E109)</f>
        <v>0</v>
      </c>
      <c r="F110" s="64">
        <f t="shared" si="22"/>
        <v>1</v>
      </c>
      <c r="G110" s="64">
        <f t="shared" si="22"/>
        <v>0</v>
      </c>
      <c r="H110" s="64">
        <f t="shared" si="22"/>
        <v>1</v>
      </c>
      <c r="I110" s="64">
        <f t="shared" si="22"/>
        <v>8</v>
      </c>
      <c r="J110" s="64">
        <f t="shared" si="22"/>
        <v>1</v>
      </c>
      <c r="K110" s="64">
        <f t="shared" si="22"/>
        <v>1</v>
      </c>
      <c r="L110" s="64">
        <f t="shared" si="22"/>
        <v>0</v>
      </c>
      <c r="M110" s="64">
        <f t="shared" si="22"/>
        <v>5</v>
      </c>
      <c r="N110" s="64">
        <f t="shared" si="22"/>
        <v>0</v>
      </c>
      <c r="O110" s="64">
        <f t="shared" si="22"/>
        <v>3</v>
      </c>
      <c r="P110" s="64">
        <f t="shared" si="22"/>
        <v>0</v>
      </c>
      <c r="Q110" s="64">
        <f t="shared" si="22"/>
        <v>5</v>
      </c>
      <c r="R110" s="64">
        <f t="shared" si="22"/>
        <v>3</v>
      </c>
      <c r="S110" s="64">
        <f t="shared" si="22"/>
        <v>5</v>
      </c>
      <c r="T110" s="64">
        <f t="shared" si="22"/>
        <v>2</v>
      </c>
      <c r="U110" s="64">
        <f t="shared" si="22"/>
        <v>2</v>
      </c>
      <c r="V110" s="64">
        <f t="shared" si="22"/>
        <v>2</v>
      </c>
      <c r="W110" s="64">
        <f t="shared" si="22"/>
        <v>5</v>
      </c>
      <c r="X110" s="64">
        <f t="shared" si="22"/>
        <v>3</v>
      </c>
      <c r="Y110" s="64">
        <f t="shared" si="22"/>
        <v>5</v>
      </c>
      <c r="Z110" s="64">
        <f t="shared" si="22"/>
        <v>2</v>
      </c>
      <c r="AA110" s="64">
        <f t="shared" si="22"/>
        <v>1</v>
      </c>
      <c r="AB110" s="64">
        <f t="shared" si="22"/>
        <v>4</v>
      </c>
      <c r="AC110" s="64">
        <f t="shared" si="22"/>
        <v>4</v>
      </c>
      <c r="AD110" s="64">
        <f t="shared" si="22"/>
        <v>2</v>
      </c>
      <c r="AE110" s="13">
        <f t="shared" si="14"/>
        <v>65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1.0</v>
      </c>
      <c r="N112" s="60">
        <v>0.0</v>
      </c>
      <c r="O112" s="60">
        <v>0.0</v>
      </c>
      <c r="P112" s="60">
        <v>0.0</v>
      </c>
      <c r="Q112" s="60">
        <v>0.0</v>
      </c>
      <c r="R112" s="60">
        <v>0.0</v>
      </c>
      <c r="S112" s="60">
        <v>0.0</v>
      </c>
      <c r="T112" s="60">
        <v>0.0</v>
      </c>
      <c r="U112" s="60">
        <v>0.0</v>
      </c>
      <c r="V112" s="60">
        <v>0.0</v>
      </c>
      <c r="W112" s="60">
        <v>0.0</v>
      </c>
      <c r="X112" s="60">
        <v>0.0</v>
      </c>
      <c r="Y112" s="60">
        <v>0.0</v>
      </c>
      <c r="Z112" s="60">
        <v>0.0</v>
      </c>
      <c r="AA112" s="60">
        <v>0.0</v>
      </c>
      <c r="AB112" s="60">
        <v>0.0</v>
      </c>
      <c r="AC112" s="60">
        <v>0.0</v>
      </c>
      <c r="AD112" s="60">
        <v>0.0</v>
      </c>
      <c r="AE112" s="13">
        <f t="shared" si="14"/>
        <v>1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60">
        <v>0.0</v>
      </c>
      <c r="O113" s="60">
        <v>0.0</v>
      </c>
      <c r="P113" s="60">
        <v>0.0</v>
      </c>
      <c r="Q113" s="60">
        <v>0.0</v>
      </c>
      <c r="R113" s="60">
        <v>0.0</v>
      </c>
      <c r="S113" s="60">
        <v>0.0</v>
      </c>
      <c r="T113" s="60">
        <v>0.0</v>
      </c>
      <c r="U113" s="60">
        <v>0.0</v>
      </c>
      <c r="V113" s="60">
        <v>0.0</v>
      </c>
      <c r="W113" s="60">
        <v>0.0</v>
      </c>
      <c r="X113" s="60">
        <v>0.0</v>
      </c>
      <c r="Y113" s="60">
        <v>0.0</v>
      </c>
      <c r="Z113" s="60">
        <v>0.0</v>
      </c>
      <c r="AA113" s="60">
        <v>0.0</v>
      </c>
      <c r="AB113" s="60">
        <v>0.0</v>
      </c>
      <c r="AC113" s="60">
        <v>0.0</v>
      </c>
      <c r="AD113" s="60">
        <v>0.0</v>
      </c>
      <c r="AE113" s="13">
        <f t="shared" si="14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AD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1</v>
      </c>
      <c r="N114" s="64">
        <f t="shared" si="23"/>
        <v>0</v>
      </c>
      <c r="O114" s="64">
        <f t="shared" si="23"/>
        <v>0</v>
      </c>
      <c r="P114" s="64">
        <f t="shared" si="23"/>
        <v>0</v>
      </c>
      <c r="Q114" s="64">
        <f t="shared" si="23"/>
        <v>0</v>
      </c>
      <c r="R114" s="64">
        <f t="shared" si="23"/>
        <v>0</v>
      </c>
      <c r="S114" s="64">
        <f t="shared" si="23"/>
        <v>0</v>
      </c>
      <c r="T114" s="64">
        <f t="shared" si="23"/>
        <v>0</v>
      </c>
      <c r="U114" s="64">
        <f t="shared" si="23"/>
        <v>0</v>
      </c>
      <c r="V114" s="64">
        <f t="shared" si="23"/>
        <v>0</v>
      </c>
      <c r="W114" s="64">
        <f t="shared" si="23"/>
        <v>0</v>
      </c>
      <c r="X114" s="64">
        <f t="shared" si="23"/>
        <v>0</v>
      </c>
      <c r="Y114" s="64">
        <f t="shared" si="23"/>
        <v>0</v>
      </c>
      <c r="Z114" s="64">
        <f t="shared" si="23"/>
        <v>0</v>
      </c>
      <c r="AA114" s="64">
        <f t="shared" si="23"/>
        <v>0</v>
      </c>
      <c r="AB114" s="64">
        <f t="shared" si="23"/>
        <v>0</v>
      </c>
      <c r="AC114" s="64">
        <f t="shared" si="23"/>
        <v>0</v>
      </c>
      <c r="AD114" s="64">
        <f t="shared" si="23"/>
        <v>0</v>
      </c>
      <c r="AE114" s="13">
        <f t="shared" si="14"/>
        <v>1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0.0</v>
      </c>
      <c r="I116" s="60">
        <v>0.0</v>
      </c>
      <c r="J116" s="60">
        <v>0.0</v>
      </c>
      <c r="K116" s="60">
        <v>0.0</v>
      </c>
      <c r="L116" s="60">
        <v>0.0</v>
      </c>
      <c r="M116" s="60">
        <v>1.0</v>
      </c>
      <c r="N116" s="60">
        <v>0.0</v>
      </c>
      <c r="O116" s="60">
        <v>0.0</v>
      </c>
      <c r="P116" s="60">
        <v>2.0</v>
      </c>
      <c r="Q116" s="60">
        <v>0.0</v>
      </c>
      <c r="R116" s="60">
        <v>0.0</v>
      </c>
      <c r="S116" s="60">
        <v>4.0</v>
      </c>
      <c r="T116" s="60">
        <v>3.0</v>
      </c>
      <c r="U116" s="60">
        <v>0.0</v>
      </c>
      <c r="V116" s="60">
        <v>0.0</v>
      </c>
      <c r="W116" s="60">
        <v>0.0</v>
      </c>
      <c r="X116" s="60">
        <v>0.0</v>
      </c>
      <c r="Y116" s="60">
        <v>0.0</v>
      </c>
      <c r="Z116" s="60">
        <v>0.0</v>
      </c>
      <c r="AA116" s="60">
        <v>0.0</v>
      </c>
      <c r="AB116" s="60">
        <v>0.0</v>
      </c>
      <c r="AC116" s="60">
        <v>0.0</v>
      </c>
      <c r="AD116" s="60">
        <v>0.0</v>
      </c>
      <c r="AE116" s="13">
        <f t="shared" si="14"/>
        <v>10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0.0</v>
      </c>
      <c r="G117" s="60">
        <v>0.0</v>
      </c>
      <c r="H117" s="60">
        <v>0.0</v>
      </c>
      <c r="I117" s="60">
        <v>0.0</v>
      </c>
      <c r="J117" s="60">
        <v>0.0</v>
      </c>
      <c r="K117" s="60">
        <v>0.0</v>
      </c>
      <c r="L117" s="60">
        <v>1.0</v>
      </c>
      <c r="M117" s="60">
        <v>2.0</v>
      </c>
      <c r="N117" s="60">
        <v>8.0</v>
      </c>
      <c r="O117" s="60">
        <v>5.0</v>
      </c>
      <c r="P117" s="60">
        <v>2.0</v>
      </c>
      <c r="Q117" s="60">
        <v>0.0</v>
      </c>
      <c r="R117" s="60">
        <v>0.0</v>
      </c>
      <c r="S117" s="60">
        <v>23.0</v>
      </c>
      <c r="T117" s="60">
        <v>38.0</v>
      </c>
      <c r="U117" s="60">
        <v>0.0</v>
      </c>
      <c r="V117" s="60">
        <v>0.0</v>
      </c>
      <c r="W117" s="60">
        <v>0.0</v>
      </c>
      <c r="X117" s="60">
        <v>0.0</v>
      </c>
      <c r="Y117" s="60">
        <v>4.0</v>
      </c>
      <c r="Z117" s="60">
        <v>1.0</v>
      </c>
      <c r="AA117" s="60">
        <v>2.0</v>
      </c>
      <c r="AB117" s="60">
        <v>0.0</v>
      </c>
      <c r="AC117" s="60">
        <v>0.0</v>
      </c>
      <c r="AD117" s="60">
        <v>0.0</v>
      </c>
      <c r="AE117" s="13">
        <f t="shared" si="14"/>
        <v>86</v>
      </c>
      <c r="AG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60">
        <v>0.0</v>
      </c>
      <c r="S118" s="60">
        <v>0.0</v>
      </c>
      <c r="T118" s="60">
        <v>0.0</v>
      </c>
      <c r="U118" s="60">
        <v>0.0</v>
      </c>
      <c r="V118" s="60">
        <v>0.0</v>
      </c>
      <c r="W118" s="60">
        <v>0.0</v>
      </c>
      <c r="X118" s="60">
        <v>0.0</v>
      </c>
      <c r="Y118" s="60">
        <v>0.0</v>
      </c>
      <c r="Z118" s="60">
        <v>0.0</v>
      </c>
      <c r="AA118" s="60">
        <v>0.0</v>
      </c>
      <c r="AB118" s="60">
        <v>1.0</v>
      </c>
      <c r="AC118" s="60">
        <v>0.0</v>
      </c>
      <c r="AD118" s="60">
        <v>0.0</v>
      </c>
      <c r="AE118" s="13">
        <f t="shared" si="14"/>
        <v>1</v>
      </c>
      <c r="AG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60">
        <v>0.0</v>
      </c>
      <c r="S119" s="60">
        <v>0.0</v>
      </c>
      <c r="T119" s="60">
        <v>0.0</v>
      </c>
      <c r="U119" s="60">
        <v>0.0</v>
      </c>
      <c r="V119" s="60">
        <v>0.0</v>
      </c>
      <c r="W119" s="60">
        <v>0.0</v>
      </c>
      <c r="X119" s="60">
        <v>0.0</v>
      </c>
      <c r="Y119" s="60">
        <v>0.0</v>
      </c>
      <c r="Z119" s="60">
        <v>0.0</v>
      </c>
      <c r="AA119" s="60">
        <v>0.0</v>
      </c>
      <c r="AB119" s="60">
        <v>0.0</v>
      </c>
      <c r="AC119" s="60">
        <v>0.0</v>
      </c>
      <c r="AD119" s="60">
        <v>0.0</v>
      </c>
      <c r="AE119" s="13">
        <f t="shared" si="14"/>
        <v>0</v>
      </c>
      <c r="AG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2.0</v>
      </c>
      <c r="L120" s="60">
        <v>0.0</v>
      </c>
      <c r="M120" s="60">
        <v>0.0</v>
      </c>
      <c r="N120" s="60">
        <v>0.0</v>
      </c>
      <c r="O120" s="60">
        <v>0.0</v>
      </c>
      <c r="P120" s="60">
        <v>0.0</v>
      </c>
      <c r="Q120" s="60">
        <v>0.0</v>
      </c>
      <c r="R120" s="60">
        <v>0.0</v>
      </c>
      <c r="S120" s="60">
        <v>0.0</v>
      </c>
      <c r="T120" s="60">
        <v>0.0</v>
      </c>
      <c r="U120" s="60">
        <v>0.0</v>
      </c>
      <c r="V120" s="60">
        <v>2.0</v>
      </c>
      <c r="W120" s="60">
        <v>0.0</v>
      </c>
      <c r="X120" s="60">
        <v>0.0</v>
      </c>
      <c r="Y120" s="60">
        <v>0.0</v>
      </c>
      <c r="Z120" s="60">
        <v>0.0</v>
      </c>
      <c r="AA120" s="60">
        <v>0.0</v>
      </c>
      <c r="AB120" s="60">
        <v>0.0</v>
      </c>
      <c r="AC120" s="60">
        <v>0.0</v>
      </c>
      <c r="AD120" s="60">
        <v>0.0</v>
      </c>
      <c r="AE120" s="13">
        <f t="shared" si="14"/>
        <v>4</v>
      </c>
      <c r="AG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1.0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60">
        <v>0.0</v>
      </c>
      <c r="P121" s="60">
        <v>0.0</v>
      </c>
      <c r="Q121" s="60">
        <v>0.0</v>
      </c>
      <c r="R121" s="60">
        <v>0.0</v>
      </c>
      <c r="S121" s="60">
        <v>0.0</v>
      </c>
      <c r="T121" s="60">
        <v>0.0</v>
      </c>
      <c r="U121" s="60">
        <v>0.0</v>
      </c>
      <c r="V121" s="60">
        <v>0.0</v>
      </c>
      <c r="W121" s="60">
        <v>0.0</v>
      </c>
      <c r="X121" s="60">
        <v>0.0</v>
      </c>
      <c r="Y121" s="60">
        <v>0.0</v>
      </c>
      <c r="Z121" s="60">
        <v>0.0</v>
      </c>
      <c r="AA121" s="60">
        <v>0.0</v>
      </c>
      <c r="AB121" s="60">
        <v>0.0</v>
      </c>
      <c r="AC121" s="60">
        <v>0.0</v>
      </c>
      <c r="AD121" s="60">
        <v>0.0</v>
      </c>
      <c r="AE121" s="13">
        <f t="shared" si="14"/>
        <v>1</v>
      </c>
      <c r="AG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60">
        <v>0.0</v>
      </c>
      <c r="P122" s="60">
        <v>0.0</v>
      </c>
      <c r="Q122" s="60">
        <v>0.0</v>
      </c>
      <c r="R122" s="60">
        <v>0.0</v>
      </c>
      <c r="S122" s="60">
        <v>0.0</v>
      </c>
      <c r="T122" s="60">
        <v>0.0</v>
      </c>
      <c r="U122" s="60">
        <v>0.0</v>
      </c>
      <c r="V122" s="60">
        <v>0.0</v>
      </c>
      <c r="W122" s="60">
        <v>0.0</v>
      </c>
      <c r="X122" s="60">
        <v>0.0</v>
      </c>
      <c r="Y122" s="60">
        <v>0.0</v>
      </c>
      <c r="Z122" s="60">
        <v>0.0</v>
      </c>
      <c r="AA122" s="60">
        <v>0.0</v>
      </c>
      <c r="AB122" s="60">
        <v>0.0</v>
      </c>
      <c r="AC122" s="60">
        <v>0.0</v>
      </c>
      <c r="AD122" s="60">
        <v>0.0</v>
      </c>
      <c r="AE122" s="13">
        <f t="shared" si="14"/>
        <v>0</v>
      </c>
      <c r="AG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AD123" si="24">SUM(E116:E122)</f>
        <v>0</v>
      </c>
      <c r="F123" s="64">
        <f t="shared" si="24"/>
        <v>0</v>
      </c>
      <c r="G123" s="64">
        <f t="shared" si="24"/>
        <v>1</v>
      </c>
      <c r="H123" s="64">
        <f t="shared" si="24"/>
        <v>0</v>
      </c>
      <c r="I123" s="64">
        <f t="shared" si="24"/>
        <v>0</v>
      </c>
      <c r="J123" s="64">
        <f t="shared" si="24"/>
        <v>0</v>
      </c>
      <c r="K123" s="64">
        <f t="shared" si="24"/>
        <v>2</v>
      </c>
      <c r="L123" s="64">
        <f t="shared" si="24"/>
        <v>1</v>
      </c>
      <c r="M123" s="64">
        <f t="shared" si="24"/>
        <v>3</v>
      </c>
      <c r="N123" s="64">
        <f t="shared" si="24"/>
        <v>8</v>
      </c>
      <c r="O123" s="64">
        <f t="shared" si="24"/>
        <v>5</v>
      </c>
      <c r="P123" s="64">
        <f t="shared" si="24"/>
        <v>4</v>
      </c>
      <c r="Q123" s="64">
        <f t="shared" si="24"/>
        <v>0</v>
      </c>
      <c r="R123" s="64">
        <f t="shared" si="24"/>
        <v>0</v>
      </c>
      <c r="S123" s="64">
        <f t="shared" si="24"/>
        <v>27</v>
      </c>
      <c r="T123" s="64">
        <f t="shared" si="24"/>
        <v>41</v>
      </c>
      <c r="U123" s="64">
        <f t="shared" si="24"/>
        <v>0</v>
      </c>
      <c r="V123" s="64">
        <f t="shared" si="24"/>
        <v>2</v>
      </c>
      <c r="W123" s="64">
        <f t="shared" si="24"/>
        <v>0</v>
      </c>
      <c r="X123" s="64">
        <f t="shared" si="24"/>
        <v>0</v>
      </c>
      <c r="Y123" s="64">
        <f t="shared" si="24"/>
        <v>4</v>
      </c>
      <c r="Z123" s="64">
        <f t="shared" si="24"/>
        <v>1</v>
      </c>
      <c r="AA123" s="64">
        <f t="shared" si="24"/>
        <v>2</v>
      </c>
      <c r="AB123" s="64">
        <f t="shared" si="24"/>
        <v>1</v>
      </c>
      <c r="AC123" s="64">
        <f t="shared" si="24"/>
        <v>0</v>
      </c>
      <c r="AD123" s="64">
        <f t="shared" si="24"/>
        <v>0</v>
      </c>
      <c r="AE123" s="13">
        <f t="shared" si="14"/>
        <v>102</v>
      </c>
      <c r="AG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13">
        <f t="shared" si="14"/>
        <v>0</v>
      </c>
      <c r="AG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0.0</v>
      </c>
      <c r="L125" s="60">
        <v>0.0</v>
      </c>
      <c r="M125" s="60">
        <v>0.0</v>
      </c>
      <c r="N125" s="60">
        <v>1.0</v>
      </c>
      <c r="O125" s="60">
        <v>0.0</v>
      </c>
      <c r="P125" s="60">
        <v>0.0</v>
      </c>
      <c r="Q125" s="60">
        <v>0.0</v>
      </c>
      <c r="R125" s="60">
        <v>1.0</v>
      </c>
      <c r="S125" s="60">
        <v>0.0</v>
      </c>
      <c r="T125" s="60">
        <v>1.0</v>
      </c>
      <c r="U125" s="60">
        <v>0.0</v>
      </c>
      <c r="V125" s="60">
        <v>0.0</v>
      </c>
      <c r="W125" s="60">
        <v>0.0</v>
      </c>
      <c r="X125" s="60">
        <v>0.0</v>
      </c>
      <c r="Y125" s="60">
        <v>0.0</v>
      </c>
      <c r="Z125" s="60">
        <v>0.0</v>
      </c>
      <c r="AA125" s="60">
        <v>0.0</v>
      </c>
      <c r="AB125" s="60">
        <v>1.0</v>
      </c>
      <c r="AC125" s="60">
        <v>0.0</v>
      </c>
      <c r="AD125" s="60">
        <v>0.0</v>
      </c>
      <c r="AE125" s="13">
        <f t="shared" si="14"/>
        <v>4</v>
      </c>
      <c r="AG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13">
        <f t="shared" si="14"/>
        <v>0</v>
      </c>
      <c r="AG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AD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0</v>
      </c>
      <c r="L127" s="64">
        <f t="shared" si="25"/>
        <v>0</v>
      </c>
      <c r="M127" s="64">
        <f t="shared" si="25"/>
        <v>0</v>
      </c>
      <c r="N127" s="64">
        <f t="shared" si="25"/>
        <v>1</v>
      </c>
      <c r="O127" s="64">
        <f t="shared" si="25"/>
        <v>0</v>
      </c>
      <c r="P127" s="64">
        <f t="shared" si="25"/>
        <v>0</v>
      </c>
      <c r="Q127" s="64">
        <f t="shared" si="25"/>
        <v>0</v>
      </c>
      <c r="R127" s="64">
        <f t="shared" si="25"/>
        <v>1</v>
      </c>
      <c r="S127" s="64">
        <f t="shared" si="25"/>
        <v>0</v>
      </c>
      <c r="T127" s="64">
        <f t="shared" si="25"/>
        <v>1</v>
      </c>
      <c r="U127" s="64">
        <f t="shared" si="25"/>
        <v>0</v>
      </c>
      <c r="V127" s="64">
        <f t="shared" si="25"/>
        <v>0</v>
      </c>
      <c r="W127" s="64">
        <f t="shared" si="25"/>
        <v>0</v>
      </c>
      <c r="X127" s="64">
        <f t="shared" si="25"/>
        <v>0</v>
      </c>
      <c r="Y127" s="64">
        <f t="shared" si="25"/>
        <v>0</v>
      </c>
      <c r="Z127" s="64">
        <f t="shared" si="25"/>
        <v>0</v>
      </c>
      <c r="AA127" s="64">
        <f t="shared" si="25"/>
        <v>0</v>
      </c>
      <c r="AB127" s="64">
        <f t="shared" si="25"/>
        <v>1</v>
      </c>
      <c r="AC127" s="64">
        <f t="shared" si="25"/>
        <v>0</v>
      </c>
      <c r="AD127" s="64">
        <f t="shared" si="25"/>
        <v>0</v>
      </c>
      <c r="AE127" s="13">
        <f t="shared" si="14"/>
        <v>4</v>
      </c>
      <c r="AG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13">
        <f t="shared" si="14"/>
        <v>0</v>
      </c>
      <c r="AG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0.0</v>
      </c>
      <c r="H129" s="60">
        <v>0.0</v>
      </c>
      <c r="I129" s="60">
        <v>0.0</v>
      </c>
      <c r="J129" s="60">
        <v>0.0</v>
      </c>
      <c r="K129" s="60">
        <v>0.0</v>
      </c>
      <c r="L129" s="60">
        <v>1.0</v>
      </c>
      <c r="M129" s="60">
        <v>0.0</v>
      </c>
      <c r="N129" s="60">
        <v>0.0</v>
      </c>
      <c r="O129" s="60">
        <v>0.0</v>
      </c>
      <c r="P129" s="60">
        <v>0.0</v>
      </c>
      <c r="Q129" s="60">
        <v>0.0</v>
      </c>
      <c r="R129" s="60">
        <v>2.0</v>
      </c>
      <c r="S129" s="60">
        <v>1.0</v>
      </c>
      <c r="T129" s="60">
        <v>0.0</v>
      </c>
      <c r="U129" s="60">
        <v>0.0</v>
      </c>
      <c r="V129" s="60">
        <v>0.0</v>
      </c>
      <c r="W129" s="60">
        <v>1.0</v>
      </c>
      <c r="X129" s="60">
        <v>0.0</v>
      </c>
      <c r="Y129" s="60">
        <v>0.0</v>
      </c>
      <c r="Z129" s="60">
        <v>0.0</v>
      </c>
      <c r="AA129" s="60">
        <v>2.0</v>
      </c>
      <c r="AB129" s="60">
        <v>1.0</v>
      </c>
      <c r="AC129" s="60">
        <v>1.0</v>
      </c>
      <c r="AD129" s="60">
        <v>0.0</v>
      </c>
      <c r="AE129" s="13">
        <f t="shared" si="14"/>
        <v>9</v>
      </c>
      <c r="AG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0.0</v>
      </c>
      <c r="G130" s="60">
        <v>2.0</v>
      </c>
      <c r="H130" s="60">
        <v>0.0</v>
      </c>
      <c r="I130" s="60">
        <v>1.0</v>
      </c>
      <c r="J130" s="60">
        <v>0.0</v>
      </c>
      <c r="K130" s="60">
        <v>1.0</v>
      </c>
      <c r="L130" s="60">
        <v>1.0</v>
      </c>
      <c r="M130" s="60">
        <v>0.0</v>
      </c>
      <c r="N130" s="60">
        <v>2.0</v>
      </c>
      <c r="O130" s="60">
        <v>3.0</v>
      </c>
      <c r="P130" s="60">
        <v>1.0</v>
      </c>
      <c r="Q130" s="60">
        <v>2.0</v>
      </c>
      <c r="R130" s="60">
        <v>3.0</v>
      </c>
      <c r="S130" s="60">
        <v>5.0</v>
      </c>
      <c r="T130" s="60">
        <v>0.0</v>
      </c>
      <c r="U130" s="60">
        <v>0.0</v>
      </c>
      <c r="V130" s="60">
        <v>0.0</v>
      </c>
      <c r="W130" s="60">
        <v>0.0</v>
      </c>
      <c r="X130" s="60">
        <v>3.0</v>
      </c>
      <c r="Y130" s="60">
        <v>0.0</v>
      </c>
      <c r="Z130" s="60">
        <v>2.0</v>
      </c>
      <c r="AA130" s="60">
        <v>10.0</v>
      </c>
      <c r="AB130" s="60">
        <v>1.0</v>
      </c>
      <c r="AC130" s="60">
        <v>0.0</v>
      </c>
      <c r="AD130" s="60">
        <v>0.0</v>
      </c>
      <c r="AE130" s="13">
        <f t="shared" si="14"/>
        <v>37</v>
      </c>
      <c r="AG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1.0</v>
      </c>
      <c r="M131" s="60">
        <v>0.0</v>
      </c>
      <c r="N131" s="60">
        <v>0.0</v>
      </c>
      <c r="O131" s="60">
        <v>0.0</v>
      </c>
      <c r="P131" s="60">
        <v>0.0</v>
      </c>
      <c r="Q131" s="60">
        <v>0.0</v>
      </c>
      <c r="R131" s="60">
        <v>0.0</v>
      </c>
      <c r="S131" s="60">
        <v>0.0</v>
      </c>
      <c r="T131" s="60">
        <v>1.0</v>
      </c>
      <c r="U131" s="60">
        <v>0.0</v>
      </c>
      <c r="V131" s="60">
        <v>0.0</v>
      </c>
      <c r="W131" s="60">
        <v>0.0</v>
      </c>
      <c r="X131" s="60">
        <v>0.0</v>
      </c>
      <c r="Y131" s="60">
        <v>0.0</v>
      </c>
      <c r="Z131" s="60">
        <v>0.0</v>
      </c>
      <c r="AA131" s="60">
        <v>0.0</v>
      </c>
      <c r="AB131" s="60">
        <v>0.0</v>
      </c>
      <c r="AC131" s="60">
        <v>0.0</v>
      </c>
      <c r="AD131" s="60">
        <v>0.0</v>
      </c>
      <c r="AE131" s="13">
        <f t="shared" si="14"/>
        <v>2</v>
      </c>
      <c r="AG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60">
        <v>0.0</v>
      </c>
      <c r="P132" s="60">
        <v>0.0</v>
      </c>
      <c r="Q132" s="60">
        <v>0.0</v>
      </c>
      <c r="R132" s="60">
        <v>1.0</v>
      </c>
      <c r="S132" s="60">
        <v>0.0</v>
      </c>
      <c r="T132" s="60">
        <v>0.0</v>
      </c>
      <c r="U132" s="60">
        <v>0.0</v>
      </c>
      <c r="V132" s="60">
        <v>0.0</v>
      </c>
      <c r="W132" s="60">
        <v>0.0</v>
      </c>
      <c r="X132" s="60">
        <v>0.0</v>
      </c>
      <c r="Y132" s="60">
        <v>0.0</v>
      </c>
      <c r="Z132" s="60">
        <v>0.0</v>
      </c>
      <c r="AA132" s="60">
        <v>1.0</v>
      </c>
      <c r="AB132" s="60">
        <v>0.0</v>
      </c>
      <c r="AC132" s="60">
        <v>0.0</v>
      </c>
      <c r="AD132" s="60">
        <v>0.0</v>
      </c>
      <c r="AE132" s="13">
        <f t="shared" si="14"/>
        <v>2</v>
      </c>
      <c r="AG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60">
        <v>0.0</v>
      </c>
      <c r="P133" s="60">
        <v>0.0</v>
      </c>
      <c r="Q133" s="60">
        <v>0.0</v>
      </c>
      <c r="R133" s="60">
        <v>0.0</v>
      </c>
      <c r="S133" s="60">
        <v>0.0</v>
      </c>
      <c r="T133" s="60">
        <v>0.0</v>
      </c>
      <c r="U133" s="60">
        <v>0.0</v>
      </c>
      <c r="V133" s="60">
        <v>0.0</v>
      </c>
      <c r="W133" s="60">
        <v>0.0</v>
      </c>
      <c r="X133" s="60">
        <v>0.0</v>
      </c>
      <c r="Y133" s="60">
        <v>0.0</v>
      </c>
      <c r="Z133" s="60">
        <v>0.0</v>
      </c>
      <c r="AA133" s="60">
        <v>0.0</v>
      </c>
      <c r="AB133" s="60">
        <v>0.0</v>
      </c>
      <c r="AC133" s="60">
        <v>0.0</v>
      </c>
      <c r="AD133" s="60">
        <v>0.0</v>
      </c>
      <c r="AE133" s="13">
        <f t="shared" si="14"/>
        <v>0</v>
      </c>
      <c r="AG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1.0</v>
      </c>
      <c r="K134" s="60">
        <v>0.0</v>
      </c>
      <c r="L134" s="60">
        <v>0.0</v>
      </c>
      <c r="M134" s="60">
        <v>0.0</v>
      </c>
      <c r="N134" s="60">
        <v>0.0</v>
      </c>
      <c r="O134" s="60">
        <v>0.0</v>
      </c>
      <c r="P134" s="60">
        <v>0.0</v>
      </c>
      <c r="Q134" s="60">
        <v>0.0</v>
      </c>
      <c r="R134" s="60">
        <v>1.0</v>
      </c>
      <c r="S134" s="60">
        <v>0.0</v>
      </c>
      <c r="T134" s="60">
        <v>2.0</v>
      </c>
      <c r="U134" s="60">
        <v>0.0</v>
      </c>
      <c r="V134" s="60">
        <v>0.0</v>
      </c>
      <c r="W134" s="60">
        <v>0.0</v>
      </c>
      <c r="X134" s="60">
        <v>0.0</v>
      </c>
      <c r="Y134" s="60">
        <v>0.0</v>
      </c>
      <c r="Z134" s="60">
        <v>0.0</v>
      </c>
      <c r="AA134" s="60">
        <v>2.0</v>
      </c>
      <c r="AB134" s="60">
        <v>0.0</v>
      </c>
      <c r="AC134" s="60">
        <v>0.0</v>
      </c>
      <c r="AD134" s="60">
        <v>0.0</v>
      </c>
      <c r="AE134" s="13">
        <f t="shared" si="14"/>
        <v>6</v>
      </c>
      <c r="AG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60">
        <v>0.0</v>
      </c>
      <c r="Q135" s="60">
        <v>0.0</v>
      </c>
      <c r="R135" s="60">
        <v>0.0</v>
      </c>
      <c r="S135" s="60">
        <v>0.0</v>
      </c>
      <c r="T135" s="60">
        <v>0.0</v>
      </c>
      <c r="U135" s="60">
        <v>0.0</v>
      </c>
      <c r="V135" s="60">
        <v>0.0</v>
      </c>
      <c r="W135" s="60">
        <v>1.0</v>
      </c>
      <c r="X135" s="60">
        <v>0.0</v>
      </c>
      <c r="Y135" s="60">
        <v>0.0</v>
      </c>
      <c r="Z135" s="60">
        <v>0.0</v>
      </c>
      <c r="AA135" s="60">
        <v>0.0</v>
      </c>
      <c r="AB135" s="60">
        <v>0.0</v>
      </c>
      <c r="AC135" s="60">
        <v>0.0</v>
      </c>
      <c r="AD135" s="60">
        <v>0.0</v>
      </c>
      <c r="AE135" s="13">
        <f t="shared" si="14"/>
        <v>1</v>
      </c>
      <c r="AG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AD136" si="26">SUM(E129:E135)</f>
        <v>0</v>
      </c>
      <c r="F136" s="64">
        <f t="shared" si="26"/>
        <v>0</v>
      </c>
      <c r="G136" s="64">
        <f t="shared" si="26"/>
        <v>2</v>
      </c>
      <c r="H136" s="64">
        <f t="shared" si="26"/>
        <v>0</v>
      </c>
      <c r="I136" s="64">
        <f t="shared" si="26"/>
        <v>1</v>
      </c>
      <c r="J136" s="64">
        <f t="shared" si="26"/>
        <v>1</v>
      </c>
      <c r="K136" s="64">
        <f t="shared" si="26"/>
        <v>1</v>
      </c>
      <c r="L136" s="64">
        <f t="shared" si="26"/>
        <v>3</v>
      </c>
      <c r="M136" s="64">
        <f t="shared" si="26"/>
        <v>0</v>
      </c>
      <c r="N136" s="64">
        <f t="shared" si="26"/>
        <v>2</v>
      </c>
      <c r="O136" s="64">
        <f t="shared" si="26"/>
        <v>3</v>
      </c>
      <c r="P136" s="64">
        <f t="shared" si="26"/>
        <v>1</v>
      </c>
      <c r="Q136" s="64">
        <f t="shared" si="26"/>
        <v>2</v>
      </c>
      <c r="R136" s="64">
        <f t="shared" si="26"/>
        <v>7</v>
      </c>
      <c r="S136" s="64">
        <f t="shared" si="26"/>
        <v>6</v>
      </c>
      <c r="T136" s="64">
        <f t="shared" si="26"/>
        <v>3</v>
      </c>
      <c r="U136" s="64">
        <f t="shared" si="26"/>
        <v>0</v>
      </c>
      <c r="V136" s="64">
        <f t="shared" si="26"/>
        <v>0</v>
      </c>
      <c r="W136" s="64">
        <f t="shared" si="26"/>
        <v>2</v>
      </c>
      <c r="X136" s="64">
        <f t="shared" si="26"/>
        <v>3</v>
      </c>
      <c r="Y136" s="64">
        <f t="shared" si="26"/>
        <v>0</v>
      </c>
      <c r="Z136" s="64">
        <f t="shared" si="26"/>
        <v>2</v>
      </c>
      <c r="AA136" s="64">
        <f t="shared" si="26"/>
        <v>15</v>
      </c>
      <c r="AB136" s="64">
        <f t="shared" si="26"/>
        <v>2</v>
      </c>
      <c r="AC136" s="64">
        <f t="shared" si="26"/>
        <v>1</v>
      </c>
      <c r="AD136" s="64">
        <f t="shared" si="26"/>
        <v>0</v>
      </c>
      <c r="AE136" s="13">
        <f t="shared" si="14"/>
        <v>57</v>
      </c>
      <c r="AG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13">
        <f t="shared" si="14"/>
        <v>0</v>
      </c>
      <c r="AG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5.0</v>
      </c>
      <c r="F138" s="60">
        <v>2.0</v>
      </c>
      <c r="G138" s="60">
        <v>2.0</v>
      </c>
      <c r="H138" s="60">
        <v>0.0</v>
      </c>
      <c r="I138" s="60">
        <v>0.0</v>
      </c>
      <c r="J138" s="60">
        <v>0.0</v>
      </c>
      <c r="K138" s="60">
        <v>2.0</v>
      </c>
      <c r="L138" s="60">
        <v>1.0</v>
      </c>
      <c r="M138" s="60">
        <v>5.0</v>
      </c>
      <c r="N138" s="60">
        <v>5.0</v>
      </c>
      <c r="O138" s="60">
        <v>5.0</v>
      </c>
      <c r="P138" s="60">
        <v>1.0</v>
      </c>
      <c r="Q138" s="60">
        <v>1.0</v>
      </c>
      <c r="R138" s="60">
        <v>0.0</v>
      </c>
      <c r="S138" s="60">
        <v>4.0</v>
      </c>
      <c r="T138" s="60">
        <v>6.0</v>
      </c>
      <c r="U138" s="60">
        <v>1.0</v>
      </c>
      <c r="V138" s="60">
        <v>2.0</v>
      </c>
      <c r="W138" s="60">
        <v>1.0</v>
      </c>
      <c r="X138" s="60">
        <v>9.0</v>
      </c>
      <c r="Y138" s="60">
        <v>9.0</v>
      </c>
      <c r="Z138" s="60">
        <v>0.0</v>
      </c>
      <c r="AA138" s="60">
        <v>1.0</v>
      </c>
      <c r="AB138" s="60">
        <v>5.0</v>
      </c>
      <c r="AC138" s="60">
        <v>2.0</v>
      </c>
      <c r="AD138" s="60">
        <v>4.0</v>
      </c>
      <c r="AE138" s="13">
        <f t="shared" si="14"/>
        <v>73</v>
      </c>
      <c r="AG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12.0</v>
      </c>
      <c r="F139" s="60">
        <v>24.0</v>
      </c>
      <c r="G139" s="60">
        <v>20.0</v>
      </c>
      <c r="H139" s="60">
        <v>1.0</v>
      </c>
      <c r="I139" s="60">
        <v>10.0</v>
      </c>
      <c r="J139" s="60">
        <v>2.0</v>
      </c>
      <c r="K139" s="60">
        <v>7.0</v>
      </c>
      <c r="L139" s="60">
        <v>7.0</v>
      </c>
      <c r="M139" s="60">
        <v>44.0</v>
      </c>
      <c r="N139" s="60">
        <v>67.0</v>
      </c>
      <c r="O139" s="60">
        <v>57.0</v>
      </c>
      <c r="P139" s="60">
        <v>27.0</v>
      </c>
      <c r="Q139" s="60">
        <v>9.0</v>
      </c>
      <c r="R139" s="60">
        <v>0.0</v>
      </c>
      <c r="S139" s="60">
        <v>35.0</v>
      </c>
      <c r="T139" s="60">
        <v>11.0</v>
      </c>
      <c r="U139" s="60">
        <v>53.0</v>
      </c>
      <c r="V139" s="60">
        <v>11.0</v>
      </c>
      <c r="W139" s="60">
        <v>27.0</v>
      </c>
      <c r="X139" s="60">
        <v>57.0</v>
      </c>
      <c r="Y139" s="60">
        <v>73.0</v>
      </c>
      <c r="Z139" s="60">
        <v>15.0</v>
      </c>
      <c r="AA139" s="60">
        <v>23.0</v>
      </c>
      <c r="AB139" s="60">
        <v>33.0</v>
      </c>
      <c r="AC139" s="60">
        <v>29.0</v>
      </c>
      <c r="AD139" s="60">
        <v>18.0</v>
      </c>
      <c r="AE139" s="13">
        <f t="shared" si="14"/>
        <v>672</v>
      </c>
      <c r="AG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2.0</v>
      </c>
      <c r="O140" s="60">
        <v>0.0</v>
      </c>
      <c r="P140" s="60">
        <v>0.0</v>
      </c>
      <c r="Q140" s="60">
        <v>0.0</v>
      </c>
      <c r="R140" s="60">
        <v>0.0</v>
      </c>
      <c r="S140" s="60">
        <v>0.0</v>
      </c>
      <c r="T140" s="60">
        <v>0.0</v>
      </c>
      <c r="U140" s="60">
        <v>1.0</v>
      </c>
      <c r="V140" s="60">
        <v>0.0</v>
      </c>
      <c r="W140" s="60">
        <v>2.0</v>
      </c>
      <c r="X140" s="60">
        <v>0.0</v>
      </c>
      <c r="Y140" s="60">
        <v>1.0</v>
      </c>
      <c r="Z140" s="60">
        <v>0.0</v>
      </c>
      <c r="AA140" s="60">
        <v>1.0</v>
      </c>
      <c r="AB140" s="60">
        <v>0.0</v>
      </c>
      <c r="AC140" s="60">
        <v>1.0</v>
      </c>
      <c r="AD140" s="60">
        <v>1.0</v>
      </c>
      <c r="AE140" s="13">
        <f t="shared" si="14"/>
        <v>9</v>
      </c>
      <c r="AG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1.0</v>
      </c>
      <c r="L141" s="60">
        <v>0.0</v>
      </c>
      <c r="M141" s="60">
        <v>1.0</v>
      </c>
      <c r="N141" s="60">
        <v>1.0</v>
      </c>
      <c r="O141" s="60">
        <v>0.0</v>
      </c>
      <c r="P141" s="60">
        <v>0.0</v>
      </c>
      <c r="Q141" s="60">
        <v>0.0</v>
      </c>
      <c r="R141" s="60">
        <v>0.0</v>
      </c>
      <c r="S141" s="60">
        <v>0.0</v>
      </c>
      <c r="T141" s="60">
        <v>1.0</v>
      </c>
      <c r="U141" s="60">
        <v>0.0</v>
      </c>
      <c r="V141" s="60">
        <v>0.0</v>
      </c>
      <c r="W141" s="60">
        <v>0.0</v>
      </c>
      <c r="X141" s="60">
        <v>0.0</v>
      </c>
      <c r="Y141" s="60">
        <v>1.0</v>
      </c>
      <c r="Z141" s="60">
        <v>0.0</v>
      </c>
      <c r="AA141" s="60">
        <v>0.0</v>
      </c>
      <c r="AB141" s="60">
        <v>0.0</v>
      </c>
      <c r="AC141" s="60">
        <v>1.0</v>
      </c>
      <c r="AD141" s="60">
        <v>0.0</v>
      </c>
      <c r="AE141" s="13">
        <f t="shared" si="14"/>
        <v>6</v>
      </c>
      <c r="AG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1.0</v>
      </c>
      <c r="O142" s="60">
        <v>0.0</v>
      </c>
      <c r="P142" s="60">
        <v>0.0</v>
      </c>
      <c r="Q142" s="60">
        <v>0.0</v>
      </c>
      <c r="R142" s="60">
        <v>0.0</v>
      </c>
      <c r="S142" s="60">
        <v>0.0</v>
      </c>
      <c r="T142" s="60">
        <v>0.0</v>
      </c>
      <c r="U142" s="60">
        <v>0.0</v>
      </c>
      <c r="V142" s="60">
        <v>0.0</v>
      </c>
      <c r="W142" s="60">
        <v>0.0</v>
      </c>
      <c r="X142" s="60">
        <v>0.0</v>
      </c>
      <c r="Y142" s="60">
        <v>0.0</v>
      </c>
      <c r="Z142" s="60">
        <v>0.0</v>
      </c>
      <c r="AA142" s="60">
        <v>0.0</v>
      </c>
      <c r="AB142" s="60">
        <v>1.0</v>
      </c>
      <c r="AC142" s="60">
        <v>0.0</v>
      </c>
      <c r="AD142" s="60">
        <v>0.0</v>
      </c>
      <c r="AE142" s="13">
        <f t="shared" si="14"/>
        <v>2</v>
      </c>
      <c r="AG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0.0</v>
      </c>
      <c r="P143" s="60">
        <v>0.0</v>
      </c>
      <c r="Q143" s="60">
        <v>0.0</v>
      </c>
      <c r="R143" s="60">
        <v>0.0</v>
      </c>
      <c r="S143" s="60">
        <v>0.0</v>
      </c>
      <c r="T143" s="60">
        <v>0.0</v>
      </c>
      <c r="U143" s="60">
        <v>0.0</v>
      </c>
      <c r="V143" s="60">
        <v>0.0</v>
      </c>
      <c r="W143" s="60">
        <v>1.0</v>
      </c>
      <c r="X143" s="60">
        <v>0.0</v>
      </c>
      <c r="Y143" s="60">
        <v>0.0</v>
      </c>
      <c r="Z143" s="60">
        <v>0.0</v>
      </c>
      <c r="AA143" s="60">
        <v>0.0</v>
      </c>
      <c r="AB143" s="60">
        <v>0.0</v>
      </c>
      <c r="AC143" s="60">
        <v>0.0</v>
      </c>
      <c r="AD143" s="60">
        <v>0.0</v>
      </c>
      <c r="AE143" s="13">
        <f t="shared" si="14"/>
        <v>1</v>
      </c>
      <c r="AG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1.0</v>
      </c>
      <c r="K144" s="60">
        <v>0.0</v>
      </c>
      <c r="L144" s="60">
        <v>0.0</v>
      </c>
      <c r="M144" s="60">
        <v>0.0</v>
      </c>
      <c r="N144" s="60">
        <v>0.0</v>
      </c>
      <c r="O144" s="60">
        <v>0.0</v>
      </c>
      <c r="P144" s="60">
        <v>0.0</v>
      </c>
      <c r="Q144" s="60">
        <v>0.0</v>
      </c>
      <c r="R144" s="60">
        <v>0.0</v>
      </c>
      <c r="S144" s="60">
        <v>0.0</v>
      </c>
      <c r="T144" s="60">
        <v>0.0</v>
      </c>
      <c r="U144" s="60">
        <v>0.0</v>
      </c>
      <c r="V144" s="60">
        <v>0.0</v>
      </c>
      <c r="W144" s="60">
        <v>1.0</v>
      </c>
      <c r="X144" s="60">
        <v>0.0</v>
      </c>
      <c r="Y144" s="60">
        <v>0.0</v>
      </c>
      <c r="Z144" s="60">
        <v>0.0</v>
      </c>
      <c r="AA144" s="60">
        <v>0.0</v>
      </c>
      <c r="AB144" s="60">
        <v>0.0</v>
      </c>
      <c r="AC144" s="60">
        <v>0.0</v>
      </c>
      <c r="AD144" s="60">
        <v>0.0</v>
      </c>
      <c r="AE144" s="13">
        <f t="shared" si="14"/>
        <v>2</v>
      </c>
      <c r="AG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AD145" si="27">SUM(E138:E144)</f>
        <v>17</v>
      </c>
      <c r="F145" s="64">
        <f t="shared" si="27"/>
        <v>26</v>
      </c>
      <c r="G145" s="64">
        <f t="shared" si="27"/>
        <v>22</v>
      </c>
      <c r="H145" s="64">
        <f t="shared" si="27"/>
        <v>1</v>
      </c>
      <c r="I145" s="64">
        <f t="shared" si="27"/>
        <v>10</v>
      </c>
      <c r="J145" s="64">
        <f t="shared" si="27"/>
        <v>3</v>
      </c>
      <c r="K145" s="64">
        <f t="shared" si="27"/>
        <v>10</v>
      </c>
      <c r="L145" s="64">
        <f t="shared" si="27"/>
        <v>8</v>
      </c>
      <c r="M145" s="64">
        <f t="shared" si="27"/>
        <v>50</v>
      </c>
      <c r="N145" s="64">
        <f t="shared" si="27"/>
        <v>76</v>
      </c>
      <c r="O145" s="64">
        <f t="shared" si="27"/>
        <v>62</v>
      </c>
      <c r="P145" s="64">
        <f t="shared" si="27"/>
        <v>28</v>
      </c>
      <c r="Q145" s="64">
        <f t="shared" si="27"/>
        <v>10</v>
      </c>
      <c r="R145" s="64">
        <f t="shared" si="27"/>
        <v>0</v>
      </c>
      <c r="S145" s="64">
        <f t="shared" si="27"/>
        <v>39</v>
      </c>
      <c r="T145" s="64">
        <f t="shared" si="27"/>
        <v>18</v>
      </c>
      <c r="U145" s="64">
        <f t="shared" si="27"/>
        <v>55</v>
      </c>
      <c r="V145" s="64">
        <f t="shared" si="27"/>
        <v>13</v>
      </c>
      <c r="W145" s="64">
        <f t="shared" si="27"/>
        <v>32</v>
      </c>
      <c r="X145" s="64">
        <f t="shared" si="27"/>
        <v>66</v>
      </c>
      <c r="Y145" s="64">
        <f t="shared" si="27"/>
        <v>84</v>
      </c>
      <c r="Z145" s="64">
        <f t="shared" si="27"/>
        <v>15</v>
      </c>
      <c r="AA145" s="64">
        <f t="shared" si="27"/>
        <v>25</v>
      </c>
      <c r="AB145" s="64">
        <f t="shared" si="27"/>
        <v>39</v>
      </c>
      <c r="AC145" s="64">
        <f t="shared" si="27"/>
        <v>33</v>
      </c>
      <c r="AD145" s="64">
        <f t="shared" si="27"/>
        <v>23</v>
      </c>
      <c r="AE145" s="13">
        <f t="shared" si="14"/>
        <v>765</v>
      </c>
      <c r="AG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13">
        <f t="shared" si="14"/>
        <v>0</v>
      </c>
      <c r="AG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0.0</v>
      </c>
      <c r="F147" s="60">
        <v>0.0</v>
      </c>
      <c r="G147" s="60">
        <v>0.0</v>
      </c>
      <c r="H147" s="60">
        <v>1.0</v>
      </c>
      <c r="I147" s="60">
        <v>2.0</v>
      </c>
      <c r="J147" s="60">
        <v>0.0</v>
      </c>
      <c r="K147" s="60">
        <v>1.0</v>
      </c>
      <c r="L147" s="60">
        <v>2.0</v>
      </c>
      <c r="M147" s="60">
        <v>1.0</v>
      </c>
      <c r="N147" s="60">
        <v>2.0</v>
      </c>
      <c r="O147" s="60">
        <v>0.0</v>
      </c>
      <c r="P147" s="60">
        <v>3.0</v>
      </c>
      <c r="Q147" s="60">
        <v>0.0</v>
      </c>
      <c r="R147" s="60">
        <v>1.0</v>
      </c>
      <c r="S147" s="60">
        <v>1.0</v>
      </c>
      <c r="T147" s="60">
        <v>0.0</v>
      </c>
      <c r="U147" s="60">
        <v>0.0</v>
      </c>
      <c r="V147" s="60">
        <v>1.0</v>
      </c>
      <c r="W147" s="60">
        <v>0.0</v>
      </c>
      <c r="X147" s="60">
        <v>1.0</v>
      </c>
      <c r="Y147" s="60">
        <v>0.0</v>
      </c>
      <c r="Z147" s="60">
        <v>3.0</v>
      </c>
      <c r="AA147" s="60">
        <v>0.0</v>
      </c>
      <c r="AB147" s="60">
        <v>0.0</v>
      </c>
      <c r="AC147" s="60">
        <v>0.0</v>
      </c>
      <c r="AD147" s="60">
        <v>1.0</v>
      </c>
      <c r="AE147" s="13">
        <f t="shared" si="14"/>
        <v>20</v>
      </c>
      <c r="AG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1.0</v>
      </c>
      <c r="F148" s="60">
        <v>3.0</v>
      </c>
      <c r="G148" s="60">
        <v>1.0</v>
      </c>
      <c r="H148" s="60">
        <v>4.0</v>
      </c>
      <c r="I148" s="60">
        <v>5.0</v>
      </c>
      <c r="J148" s="60">
        <v>1.0</v>
      </c>
      <c r="K148" s="60">
        <v>2.0</v>
      </c>
      <c r="L148" s="60">
        <v>1.0</v>
      </c>
      <c r="M148" s="60">
        <v>0.0</v>
      </c>
      <c r="N148" s="60">
        <v>7.0</v>
      </c>
      <c r="O148" s="60">
        <v>3.0</v>
      </c>
      <c r="P148" s="60">
        <v>1.0</v>
      </c>
      <c r="Q148" s="60">
        <v>1.0</v>
      </c>
      <c r="R148" s="60">
        <v>0.0</v>
      </c>
      <c r="S148" s="60">
        <v>0.0</v>
      </c>
      <c r="T148" s="60">
        <v>2.0</v>
      </c>
      <c r="U148" s="60">
        <v>0.0</v>
      </c>
      <c r="V148" s="60">
        <v>1.0</v>
      </c>
      <c r="W148" s="60">
        <v>0.0</v>
      </c>
      <c r="X148" s="60">
        <v>4.0</v>
      </c>
      <c r="Y148" s="60">
        <v>5.0</v>
      </c>
      <c r="Z148" s="60">
        <v>2.0</v>
      </c>
      <c r="AA148" s="60">
        <v>0.0</v>
      </c>
      <c r="AB148" s="60">
        <v>0.0</v>
      </c>
      <c r="AC148" s="60">
        <v>1.0</v>
      </c>
      <c r="AD148" s="60">
        <v>1.0</v>
      </c>
      <c r="AE148" s="13">
        <f t="shared" si="14"/>
        <v>46</v>
      </c>
      <c r="AG148" s="5"/>
    </row>
    <row r="149" ht="12.75" customHeight="1">
      <c r="A149" s="18"/>
      <c r="B149" s="57"/>
      <c r="C149" s="58" t="s">
        <v>128</v>
      </c>
      <c r="D149" s="59"/>
      <c r="E149" s="60">
        <v>2.0</v>
      </c>
      <c r="F149" s="60">
        <v>4.0</v>
      </c>
      <c r="G149" s="60">
        <v>1.0</v>
      </c>
      <c r="H149" s="60">
        <v>5.0</v>
      </c>
      <c r="I149" s="60">
        <v>4.0</v>
      </c>
      <c r="J149" s="60">
        <v>2.0</v>
      </c>
      <c r="K149" s="60">
        <v>2.0</v>
      </c>
      <c r="L149" s="60">
        <v>1.0</v>
      </c>
      <c r="M149" s="60">
        <v>2.0</v>
      </c>
      <c r="N149" s="60">
        <v>4.0</v>
      </c>
      <c r="O149" s="60">
        <v>2.0</v>
      </c>
      <c r="P149" s="60">
        <v>6.0</v>
      </c>
      <c r="Q149" s="60">
        <v>0.0</v>
      </c>
      <c r="R149" s="60">
        <v>0.0</v>
      </c>
      <c r="S149" s="60">
        <v>0.0</v>
      </c>
      <c r="T149" s="60">
        <v>1.0</v>
      </c>
      <c r="U149" s="60">
        <v>0.0</v>
      </c>
      <c r="V149" s="60">
        <v>0.0</v>
      </c>
      <c r="W149" s="60">
        <v>1.0</v>
      </c>
      <c r="X149" s="60">
        <v>0.0</v>
      </c>
      <c r="Y149" s="60">
        <v>3.0</v>
      </c>
      <c r="Z149" s="60">
        <v>2.0</v>
      </c>
      <c r="AA149" s="60">
        <v>1.0</v>
      </c>
      <c r="AB149" s="60">
        <v>1.0</v>
      </c>
      <c r="AC149" s="60">
        <v>0.0</v>
      </c>
      <c r="AD149" s="60">
        <v>3.0</v>
      </c>
      <c r="AE149" s="13">
        <f t="shared" si="14"/>
        <v>47</v>
      </c>
      <c r="AG149" s="5"/>
    </row>
    <row r="150" ht="12.75" customHeight="1">
      <c r="A150" s="18"/>
      <c r="B150" s="57"/>
      <c r="C150" s="58" t="s">
        <v>129</v>
      </c>
      <c r="D150" s="59"/>
      <c r="E150" s="60">
        <v>2.0</v>
      </c>
      <c r="F150" s="60">
        <v>1.0</v>
      </c>
      <c r="G150" s="60">
        <v>9.0</v>
      </c>
      <c r="H150" s="60">
        <v>1.0</v>
      </c>
      <c r="I150" s="60">
        <v>2.0</v>
      </c>
      <c r="J150" s="60">
        <v>1.0</v>
      </c>
      <c r="K150" s="60">
        <v>0.0</v>
      </c>
      <c r="L150" s="60">
        <v>8.0</v>
      </c>
      <c r="M150" s="60">
        <v>8.0</v>
      </c>
      <c r="N150" s="60">
        <v>3.0</v>
      </c>
      <c r="O150" s="60">
        <v>3.0</v>
      </c>
      <c r="P150" s="60">
        <v>7.0</v>
      </c>
      <c r="Q150" s="60">
        <v>8.0</v>
      </c>
      <c r="R150" s="60">
        <v>1.0</v>
      </c>
      <c r="S150" s="60">
        <v>7.0</v>
      </c>
      <c r="T150" s="60">
        <v>9.0</v>
      </c>
      <c r="U150" s="60">
        <v>0.0</v>
      </c>
      <c r="V150" s="60">
        <v>0.0</v>
      </c>
      <c r="W150" s="60">
        <v>0.0</v>
      </c>
      <c r="X150" s="60">
        <v>0.0</v>
      </c>
      <c r="Y150" s="60">
        <v>0.0</v>
      </c>
      <c r="Z150" s="60">
        <v>0.0</v>
      </c>
      <c r="AA150" s="60">
        <v>0.0</v>
      </c>
      <c r="AB150" s="60">
        <v>1.0</v>
      </c>
      <c r="AC150" s="60">
        <v>1.0</v>
      </c>
      <c r="AD150" s="60">
        <v>0.0</v>
      </c>
      <c r="AE150" s="13">
        <f t="shared" si="14"/>
        <v>72</v>
      </c>
      <c r="AG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0.0</v>
      </c>
      <c r="J151" s="60">
        <v>0.0</v>
      </c>
      <c r="K151" s="60">
        <v>0.0</v>
      </c>
      <c r="L151" s="60">
        <v>1.0</v>
      </c>
      <c r="M151" s="60">
        <v>0.0</v>
      </c>
      <c r="N151" s="60">
        <v>0.0</v>
      </c>
      <c r="O151" s="60">
        <v>1.0</v>
      </c>
      <c r="P151" s="60">
        <v>0.0</v>
      </c>
      <c r="Q151" s="60">
        <v>0.0</v>
      </c>
      <c r="R151" s="60">
        <v>0.0</v>
      </c>
      <c r="S151" s="60">
        <v>0.0</v>
      </c>
      <c r="T151" s="60">
        <v>0.0</v>
      </c>
      <c r="U151" s="60">
        <v>0.0</v>
      </c>
      <c r="V151" s="60">
        <v>0.0</v>
      </c>
      <c r="W151" s="60">
        <v>0.0</v>
      </c>
      <c r="X151" s="60">
        <v>0.0</v>
      </c>
      <c r="Y151" s="60">
        <v>0.0</v>
      </c>
      <c r="Z151" s="60">
        <v>0.0</v>
      </c>
      <c r="AA151" s="60">
        <v>0.0</v>
      </c>
      <c r="AB151" s="60">
        <v>0.0</v>
      </c>
      <c r="AC151" s="60">
        <v>0.0</v>
      </c>
      <c r="AD151" s="60">
        <v>0.0</v>
      </c>
      <c r="AE151" s="13">
        <f t="shared" si="14"/>
        <v>2</v>
      </c>
      <c r="AG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60">
        <v>0.0</v>
      </c>
      <c r="L152" s="60">
        <v>0.0</v>
      </c>
      <c r="M152" s="60">
        <v>0.0</v>
      </c>
      <c r="N152" s="60">
        <v>0.0</v>
      </c>
      <c r="O152" s="60">
        <v>1.0</v>
      </c>
      <c r="P152" s="60">
        <v>1.0</v>
      </c>
      <c r="Q152" s="60">
        <v>0.0</v>
      </c>
      <c r="R152" s="60">
        <v>0.0</v>
      </c>
      <c r="S152" s="60">
        <v>0.0</v>
      </c>
      <c r="T152" s="60">
        <v>0.0</v>
      </c>
      <c r="U152" s="60">
        <v>0.0</v>
      </c>
      <c r="V152" s="60">
        <v>0.0</v>
      </c>
      <c r="W152" s="60">
        <v>0.0</v>
      </c>
      <c r="X152" s="60">
        <v>0.0</v>
      </c>
      <c r="Y152" s="60">
        <v>0.0</v>
      </c>
      <c r="Z152" s="60">
        <v>0.0</v>
      </c>
      <c r="AA152" s="60">
        <v>0.0</v>
      </c>
      <c r="AB152" s="60">
        <v>0.0</v>
      </c>
      <c r="AC152" s="60">
        <v>0.0</v>
      </c>
      <c r="AD152" s="60">
        <v>0.0</v>
      </c>
      <c r="AE152" s="13">
        <f t="shared" si="14"/>
        <v>2</v>
      </c>
      <c r="AG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0.0</v>
      </c>
      <c r="N153" s="60">
        <v>0.0</v>
      </c>
      <c r="O153" s="60">
        <v>0.0</v>
      </c>
      <c r="P153" s="60">
        <v>0.0</v>
      </c>
      <c r="Q153" s="60">
        <v>0.0</v>
      </c>
      <c r="R153" s="60">
        <v>0.0</v>
      </c>
      <c r="S153" s="60">
        <v>0.0</v>
      </c>
      <c r="T153" s="60">
        <v>0.0</v>
      </c>
      <c r="U153" s="60">
        <v>0.0</v>
      </c>
      <c r="V153" s="60">
        <v>0.0</v>
      </c>
      <c r="W153" s="60">
        <v>0.0</v>
      </c>
      <c r="X153" s="60">
        <v>0.0</v>
      </c>
      <c r="Y153" s="60">
        <v>0.0</v>
      </c>
      <c r="Z153" s="60">
        <v>0.0</v>
      </c>
      <c r="AA153" s="60">
        <v>0.0</v>
      </c>
      <c r="AB153" s="60">
        <v>0.0</v>
      </c>
      <c r="AC153" s="60">
        <v>0.0</v>
      </c>
      <c r="AD153" s="60">
        <v>1.0</v>
      </c>
      <c r="AE153" s="13">
        <f t="shared" si="14"/>
        <v>1</v>
      </c>
      <c r="AG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AD154" si="28">SUM(E147:E153)</f>
        <v>5</v>
      </c>
      <c r="F154" s="64">
        <f t="shared" si="28"/>
        <v>8</v>
      </c>
      <c r="G154" s="64">
        <f t="shared" si="28"/>
        <v>11</v>
      </c>
      <c r="H154" s="64">
        <f t="shared" si="28"/>
        <v>11</v>
      </c>
      <c r="I154" s="64">
        <f t="shared" si="28"/>
        <v>13</v>
      </c>
      <c r="J154" s="64">
        <f t="shared" si="28"/>
        <v>4</v>
      </c>
      <c r="K154" s="64">
        <f t="shared" si="28"/>
        <v>5</v>
      </c>
      <c r="L154" s="64">
        <f t="shared" si="28"/>
        <v>13</v>
      </c>
      <c r="M154" s="64">
        <f t="shared" si="28"/>
        <v>11</v>
      </c>
      <c r="N154" s="64">
        <f t="shared" si="28"/>
        <v>16</v>
      </c>
      <c r="O154" s="64">
        <f t="shared" si="28"/>
        <v>10</v>
      </c>
      <c r="P154" s="64">
        <f t="shared" si="28"/>
        <v>18</v>
      </c>
      <c r="Q154" s="64">
        <f t="shared" si="28"/>
        <v>9</v>
      </c>
      <c r="R154" s="64">
        <f t="shared" si="28"/>
        <v>2</v>
      </c>
      <c r="S154" s="64">
        <f t="shared" si="28"/>
        <v>8</v>
      </c>
      <c r="T154" s="64">
        <f t="shared" si="28"/>
        <v>12</v>
      </c>
      <c r="U154" s="64">
        <f t="shared" si="28"/>
        <v>0</v>
      </c>
      <c r="V154" s="64">
        <f t="shared" si="28"/>
        <v>2</v>
      </c>
      <c r="W154" s="64">
        <f t="shared" si="28"/>
        <v>1</v>
      </c>
      <c r="X154" s="64">
        <f t="shared" si="28"/>
        <v>5</v>
      </c>
      <c r="Y154" s="64">
        <f t="shared" si="28"/>
        <v>8</v>
      </c>
      <c r="Z154" s="64">
        <f t="shared" si="28"/>
        <v>7</v>
      </c>
      <c r="AA154" s="64">
        <f t="shared" si="28"/>
        <v>1</v>
      </c>
      <c r="AB154" s="64">
        <f t="shared" si="28"/>
        <v>2</v>
      </c>
      <c r="AC154" s="64">
        <f t="shared" si="28"/>
        <v>2</v>
      </c>
      <c r="AD154" s="64">
        <f t="shared" si="28"/>
        <v>6</v>
      </c>
      <c r="AE154" s="13">
        <f t="shared" si="14"/>
        <v>190</v>
      </c>
      <c r="AG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13">
        <f t="shared" si="14"/>
        <v>0</v>
      </c>
      <c r="AG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0.0</v>
      </c>
      <c r="F156" s="60">
        <v>1.0</v>
      </c>
      <c r="G156" s="60">
        <v>0.0</v>
      </c>
      <c r="H156" s="60">
        <v>1.0</v>
      </c>
      <c r="I156" s="60">
        <v>2.0</v>
      </c>
      <c r="J156" s="60">
        <v>0.0</v>
      </c>
      <c r="K156" s="60">
        <v>0.0</v>
      </c>
      <c r="L156" s="60">
        <v>0.0</v>
      </c>
      <c r="M156" s="60">
        <v>2.0</v>
      </c>
      <c r="N156" s="60">
        <v>0.0</v>
      </c>
      <c r="O156" s="60">
        <v>0.0</v>
      </c>
      <c r="P156" s="60">
        <v>0.0</v>
      </c>
      <c r="Q156" s="60">
        <v>0.0</v>
      </c>
      <c r="R156" s="60">
        <v>0.0</v>
      </c>
      <c r="S156" s="60">
        <v>0.0</v>
      </c>
      <c r="T156" s="60">
        <v>0.0</v>
      </c>
      <c r="U156" s="60">
        <v>0.0</v>
      </c>
      <c r="V156" s="60">
        <v>0.0</v>
      </c>
      <c r="W156" s="60">
        <v>2.0</v>
      </c>
      <c r="X156" s="60">
        <v>1.0</v>
      </c>
      <c r="Y156" s="60">
        <v>0.0</v>
      </c>
      <c r="Z156" s="60">
        <v>0.0</v>
      </c>
      <c r="AA156" s="60">
        <v>0.0</v>
      </c>
      <c r="AB156" s="60">
        <v>1.0</v>
      </c>
      <c r="AC156" s="60">
        <v>0.0</v>
      </c>
      <c r="AD156" s="60">
        <v>0.0</v>
      </c>
      <c r="AE156" s="13">
        <f t="shared" si="14"/>
        <v>10</v>
      </c>
      <c r="AG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1.0</v>
      </c>
      <c r="J157" s="60">
        <v>0.0</v>
      </c>
      <c r="K157" s="60">
        <v>0.0</v>
      </c>
      <c r="L157" s="60">
        <v>0.0</v>
      </c>
      <c r="M157" s="60">
        <v>0.0</v>
      </c>
      <c r="N157" s="60">
        <v>0.0</v>
      </c>
      <c r="O157" s="60">
        <v>1.0</v>
      </c>
      <c r="P157" s="60">
        <v>0.0</v>
      </c>
      <c r="Q157" s="60">
        <v>0.0</v>
      </c>
      <c r="R157" s="60">
        <v>0.0</v>
      </c>
      <c r="S157" s="60">
        <v>0.0</v>
      </c>
      <c r="T157" s="60">
        <v>0.0</v>
      </c>
      <c r="U157" s="60">
        <v>0.0</v>
      </c>
      <c r="V157" s="60">
        <v>0.0</v>
      </c>
      <c r="W157" s="60">
        <v>1.0</v>
      </c>
      <c r="X157" s="60">
        <v>0.0</v>
      </c>
      <c r="Y157" s="60">
        <v>1.0</v>
      </c>
      <c r="Z157" s="60">
        <v>1.0</v>
      </c>
      <c r="AA157" s="60">
        <v>0.0</v>
      </c>
      <c r="AB157" s="60">
        <v>0.0</v>
      </c>
      <c r="AC157" s="60">
        <v>1.0</v>
      </c>
      <c r="AD157" s="60">
        <v>0.0</v>
      </c>
      <c r="AE157" s="13">
        <f t="shared" si="14"/>
        <v>6</v>
      </c>
      <c r="AG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1.0</v>
      </c>
      <c r="H158" s="60">
        <v>0.0</v>
      </c>
      <c r="I158" s="60">
        <v>0.0</v>
      </c>
      <c r="J158" s="60">
        <v>0.0</v>
      </c>
      <c r="K158" s="60">
        <v>0.0</v>
      </c>
      <c r="L158" s="60">
        <v>0.0</v>
      </c>
      <c r="M158" s="60">
        <v>0.0</v>
      </c>
      <c r="N158" s="60">
        <v>0.0</v>
      </c>
      <c r="O158" s="60">
        <v>0.0</v>
      </c>
      <c r="P158" s="60">
        <v>2.0</v>
      </c>
      <c r="Q158" s="60">
        <v>0.0</v>
      </c>
      <c r="R158" s="60">
        <v>0.0</v>
      </c>
      <c r="S158" s="60">
        <v>0.0</v>
      </c>
      <c r="T158" s="60">
        <v>0.0</v>
      </c>
      <c r="U158" s="60">
        <v>1.0</v>
      </c>
      <c r="V158" s="60">
        <v>0.0</v>
      </c>
      <c r="W158" s="60">
        <v>0.0</v>
      </c>
      <c r="X158" s="60">
        <v>0.0</v>
      </c>
      <c r="Y158" s="60">
        <v>0.0</v>
      </c>
      <c r="Z158" s="60">
        <v>0.0</v>
      </c>
      <c r="AA158" s="60">
        <v>0.0</v>
      </c>
      <c r="AB158" s="60">
        <v>1.0</v>
      </c>
      <c r="AC158" s="60">
        <v>1.0</v>
      </c>
      <c r="AD158" s="60">
        <v>0.0</v>
      </c>
      <c r="AE158" s="13">
        <f t="shared" si="14"/>
        <v>6</v>
      </c>
      <c r="AG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60">
        <v>0.0</v>
      </c>
      <c r="O159" s="60">
        <v>0.0</v>
      </c>
      <c r="P159" s="60">
        <v>0.0</v>
      </c>
      <c r="Q159" s="60">
        <v>0.0</v>
      </c>
      <c r="R159" s="60">
        <v>0.0</v>
      </c>
      <c r="S159" s="60">
        <v>0.0</v>
      </c>
      <c r="T159" s="60">
        <v>0.0</v>
      </c>
      <c r="U159" s="60">
        <v>0.0</v>
      </c>
      <c r="V159" s="60">
        <v>0.0</v>
      </c>
      <c r="W159" s="60">
        <v>0.0</v>
      </c>
      <c r="X159" s="60">
        <v>0.0</v>
      </c>
      <c r="Y159" s="60">
        <v>0.0</v>
      </c>
      <c r="Z159" s="60">
        <v>0.0</v>
      </c>
      <c r="AA159" s="60">
        <v>0.0</v>
      </c>
      <c r="AB159" s="60">
        <v>0.0</v>
      </c>
      <c r="AC159" s="60">
        <v>0.0</v>
      </c>
      <c r="AD159" s="60">
        <v>0.0</v>
      </c>
      <c r="AE159" s="13">
        <f t="shared" si="14"/>
        <v>0</v>
      </c>
      <c r="AG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0.0</v>
      </c>
      <c r="N160" s="60">
        <v>0.0</v>
      </c>
      <c r="O160" s="60">
        <v>0.0</v>
      </c>
      <c r="P160" s="60">
        <v>0.0</v>
      </c>
      <c r="Q160" s="60">
        <v>0.0</v>
      </c>
      <c r="R160" s="60">
        <v>0.0</v>
      </c>
      <c r="S160" s="60">
        <v>0.0</v>
      </c>
      <c r="T160" s="60">
        <v>0.0</v>
      </c>
      <c r="U160" s="60">
        <v>0.0</v>
      </c>
      <c r="V160" s="60">
        <v>0.0</v>
      </c>
      <c r="W160" s="60">
        <v>1.0</v>
      </c>
      <c r="X160" s="60">
        <v>0.0</v>
      </c>
      <c r="Y160" s="60">
        <v>0.0</v>
      </c>
      <c r="Z160" s="60">
        <v>0.0</v>
      </c>
      <c r="AA160" s="60">
        <v>0.0</v>
      </c>
      <c r="AB160" s="60">
        <v>0.0</v>
      </c>
      <c r="AC160" s="60">
        <v>0.0</v>
      </c>
      <c r="AD160" s="60">
        <v>0.0</v>
      </c>
      <c r="AE160" s="13">
        <f t="shared" si="14"/>
        <v>1</v>
      </c>
      <c r="AG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0.0</v>
      </c>
      <c r="R161" s="60">
        <v>0.0</v>
      </c>
      <c r="S161" s="60">
        <v>0.0</v>
      </c>
      <c r="T161" s="60">
        <v>0.0</v>
      </c>
      <c r="U161" s="60">
        <v>0.0</v>
      </c>
      <c r="V161" s="60">
        <v>0.0</v>
      </c>
      <c r="W161" s="60">
        <v>0.0</v>
      </c>
      <c r="X161" s="60">
        <v>0.0</v>
      </c>
      <c r="Y161" s="60">
        <v>0.0</v>
      </c>
      <c r="Z161" s="60">
        <v>0.0</v>
      </c>
      <c r="AA161" s="60">
        <v>0.0</v>
      </c>
      <c r="AB161" s="60">
        <v>0.0</v>
      </c>
      <c r="AC161" s="60">
        <v>0.0</v>
      </c>
      <c r="AD161" s="60">
        <v>0.0</v>
      </c>
      <c r="AE161" s="13">
        <f t="shared" si="14"/>
        <v>0</v>
      </c>
      <c r="AG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AD162" si="29">SUM(E156:E161)</f>
        <v>0</v>
      </c>
      <c r="F162" s="64">
        <f t="shared" si="29"/>
        <v>1</v>
      </c>
      <c r="G162" s="64">
        <f t="shared" si="29"/>
        <v>1</v>
      </c>
      <c r="H162" s="64">
        <f t="shared" si="29"/>
        <v>1</v>
      </c>
      <c r="I162" s="64">
        <f t="shared" si="29"/>
        <v>3</v>
      </c>
      <c r="J162" s="64">
        <f t="shared" si="29"/>
        <v>0</v>
      </c>
      <c r="K162" s="64">
        <f t="shared" si="29"/>
        <v>0</v>
      </c>
      <c r="L162" s="64">
        <f t="shared" si="29"/>
        <v>0</v>
      </c>
      <c r="M162" s="64">
        <f t="shared" si="29"/>
        <v>2</v>
      </c>
      <c r="N162" s="64">
        <f t="shared" si="29"/>
        <v>0</v>
      </c>
      <c r="O162" s="64">
        <f t="shared" si="29"/>
        <v>1</v>
      </c>
      <c r="P162" s="64">
        <f t="shared" si="29"/>
        <v>2</v>
      </c>
      <c r="Q162" s="64">
        <f t="shared" si="29"/>
        <v>0</v>
      </c>
      <c r="R162" s="64">
        <f t="shared" si="29"/>
        <v>0</v>
      </c>
      <c r="S162" s="64">
        <f t="shared" si="29"/>
        <v>0</v>
      </c>
      <c r="T162" s="64">
        <f t="shared" si="29"/>
        <v>0</v>
      </c>
      <c r="U162" s="64">
        <f t="shared" si="29"/>
        <v>1</v>
      </c>
      <c r="V162" s="64">
        <f t="shared" si="29"/>
        <v>0</v>
      </c>
      <c r="W162" s="64">
        <f t="shared" si="29"/>
        <v>4</v>
      </c>
      <c r="X162" s="64">
        <f t="shared" si="29"/>
        <v>1</v>
      </c>
      <c r="Y162" s="64">
        <f t="shared" si="29"/>
        <v>1</v>
      </c>
      <c r="Z162" s="64">
        <f t="shared" si="29"/>
        <v>1</v>
      </c>
      <c r="AA162" s="64">
        <f t="shared" si="29"/>
        <v>0</v>
      </c>
      <c r="AB162" s="64">
        <f t="shared" si="29"/>
        <v>2</v>
      </c>
      <c r="AC162" s="64">
        <f t="shared" si="29"/>
        <v>2</v>
      </c>
      <c r="AD162" s="64">
        <f t="shared" si="29"/>
        <v>0</v>
      </c>
      <c r="AE162" s="13">
        <f t="shared" si="14"/>
        <v>23</v>
      </c>
      <c r="AG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13">
        <f t="shared" si="14"/>
        <v>0</v>
      </c>
      <c r="AG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60">
        <v>0.0</v>
      </c>
      <c r="O164" s="60">
        <v>0.0</v>
      </c>
      <c r="P164" s="60">
        <v>0.0</v>
      </c>
      <c r="Q164" s="60">
        <v>0.0</v>
      </c>
      <c r="R164" s="60">
        <v>0.0</v>
      </c>
      <c r="S164" s="60">
        <v>0.0</v>
      </c>
      <c r="T164" s="60">
        <v>1.0</v>
      </c>
      <c r="U164" s="60">
        <v>0.0</v>
      </c>
      <c r="V164" s="60">
        <v>0.0</v>
      </c>
      <c r="W164" s="60">
        <v>0.0</v>
      </c>
      <c r="X164" s="60">
        <v>0.0</v>
      </c>
      <c r="Y164" s="60">
        <v>0.0</v>
      </c>
      <c r="Z164" s="60">
        <v>0.0</v>
      </c>
      <c r="AA164" s="60">
        <v>0.0</v>
      </c>
      <c r="AB164" s="60">
        <v>1.0</v>
      </c>
      <c r="AC164" s="60">
        <v>0.0</v>
      </c>
      <c r="AD164" s="60">
        <v>0.0</v>
      </c>
      <c r="AE164" s="13">
        <f t="shared" si="14"/>
        <v>2</v>
      </c>
      <c r="AG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0.0</v>
      </c>
      <c r="J165" s="60">
        <v>0.0</v>
      </c>
      <c r="K165" s="60">
        <v>1.0</v>
      </c>
      <c r="L165" s="60">
        <v>0.0</v>
      </c>
      <c r="M165" s="60">
        <v>0.0</v>
      </c>
      <c r="N165" s="60">
        <v>0.0</v>
      </c>
      <c r="O165" s="60">
        <v>0.0</v>
      </c>
      <c r="P165" s="60">
        <v>0.0</v>
      </c>
      <c r="Q165" s="60">
        <v>0.0</v>
      </c>
      <c r="R165" s="60">
        <v>0.0</v>
      </c>
      <c r="S165" s="60">
        <v>0.0</v>
      </c>
      <c r="T165" s="60">
        <v>0.0</v>
      </c>
      <c r="U165" s="60">
        <v>0.0</v>
      </c>
      <c r="V165" s="60">
        <v>0.0</v>
      </c>
      <c r="W165" s="60">
        <v>0.0</v>
      </c>
      <c r="X165" s="60">
        <v>1.0</v>
      </c>
      <c r="Y165" s="60">
        <v>0.0</v>
      </c>
      <c r="Z165" s="60">
        <v>0.0</v>
      </c>
      <c r="AA165" s="60">
        <v>0.0</v>
      </c>
      <c r="AB165" s="60">
        <v>0.0</v>
      </c>
      <c r="AC165" s="60">
        <v>0.0</v>
      </c>
      <c r="AD165" s="60">
        <v>0.0</v>
      </c>
      <c r="AE165" s="13">
        <f t="shared" si="14"/>
        <v>2</v>
      </c>
      <c r="AG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60">
        <v>0.0</v>
      </c>
      <c r="P166" s="60">
        <v>0.0</v>
      </c>
      <c r="Q166" s="60">
        <v>0.0</v>
      </c>
      <c r="R166" s="60">
        <v>0.0</v>
      </c>
      <c r="S166" s="60">
        <v>1.0</v>
      </c>
      <c r="T166" s="60">
        <v>0.0</v>
      </c>
      <c r="U166" s="60">
        <v>0.0</v>
      </c>
      <c r="V166" s="60">
        <v>1.0</v>
      </c>
      <c r="W166" s="60">
        <v>0.0</v>
      </c>
      <c r="X166" s="60">
        <v>0.0</v>
      </c>
      <c r="Y166" s="60">
        <v>0.0</v>
      </c>
      <c r="Z166" s="60">
        <v>0.0</v>
      </c>
      <c r="AA166" s="60">
        <v>0.0</v>
      </c>
      <c r="AB166" s="60">
        <v>0.0</v>
      </c>
      <c r="AC166" s="60">
        <v>0.0</v>
      </c>
      <c r="AD166" s="60">
        <v>0.0</v>
      </c>
      <c r="AE166" s="13">
        <f t="shared" si="14"/>
        <v>2</v>
      </c>
      <c r="AG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60">
        <v>0.0</v>
      </c>
      <c r="S167" s="60">
        <v>0.0</v>
      </c>
      <c r="T167" s="60">
        <v>0.0</v>
      </c>
      <c r="U167" s="60">
        <v>0.0</v>
      </c>
      <c r="V167" s="60">
        <v>0.0</v>
      </c>
      <c r="W167" s="60">
        <v>0.0</v>
      </c>
      <c r="X167" s="60">
        <v>0.0</v>
      </c>
      <c r="Y167" s="60">
        <v>0.0</v>
      </c>
      <c r="Z167" s="60">
        <v>0.0</v>
      </c>
      <c r="AA167" s="60">
        <v>0.0</v>
      </c>
      <c r="AB167" s="60">
        <v>0.0</v>
      </c>
      <c r="AC167" s="60">
        <v>0.0</v>
      </c>
      <c r="AD167" s="60">
        <v>0.0</v>
      </c>
      <c r="AE167" s="13">
        <f t="shared" si="14"/>
        <v>0</v>
      </c>
      <c r="AG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0.0</v>
      </c>
      <c r="R168" s="60">
        <v>0.0</v>
      </c>
      <c r="S168" s="60">
        <v>0.0</v>
      </c>
      <c r="T168" s="60">
        <v>0.0</v>
      </c>
      <c r="U168" s="60">
        <v>0.0</v>
      </c>
      <c r="V168" s="60">
        <v>0.0</v>
      </c>
      <c r="W168" s="60">
        <v>0.0</v>
      </c>
      <c r="X168" s="60">
        <v>0.0</v>
      </c>
      <c r="Y168" s="60">
        <v>0.0</v>
      </c>
      <c r="Z168" s="60">
        <v>0.0</v>
      </c>
      <c r="AA168" s="60">
        <v>0.0</v>
      </c>
      <c r="AB168" s="60">
        <v>0.0</v>
      </c>
      <c r="AC168" s="60">
        <v>0.0</v>
      </c>
      <c r="AD168" s="60">
        <v>0.0</v>
      </c>
      <c r="AE168" s="13">
        <f t="shared" si="14"/>
        <v>0</v>
      </c>
      <c r="AG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2.0</v>
      </c>
      <c r="G169" s="60">
        <v>2.0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60">
        <v>2.0</v>
      </c>
      <c r="P169" s="60">
        <v>0.0</v>
      </c>
      <c r="Q169" s="60">
        <v>0.0</v>
      </c>
      <c r="R169" s="60">
        <v>0.0</v>
      </c>
      <c r="S169" s="60">
        <v>1.0</v>
      </c>
      <c r="T169" s="60">
        <v>0.0</v>
      </c>
      <c r="U169" s="60">
        <v>1.0</v>
      </c>
      <c r="V169" s="60">
        <v>0.0</v>
      </c>
      <c r="W169" s="60">
        <v>0.0</v>
      </c>
      <c r="X169" s="60">
        <v>0.0</v>
      </c>
      <c r="Y169" s="60">
        <v>0.0</v>
      </c>
      <c r="Z169" s="60">
        <v>0.0</v>
      </c>
      <c r="AA169" s="60">
        <v>1.0</v>
      </c>
      <c r="AB169" s="60">
        <v>1.0</v>
      </c>
      <c r="AC169" s="60">
        <v>0.0</v>
      </c>
      <c r="AD169" s="60">
        <v>0.0</v>
      </c>
      <c r="AE169" s="13">
        <f t="shared" si="14"/>
        <v>10</v>
      </c>
      <c r="AG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60">
        <v>0.0</v>
      </c>
      <c r="S170" s="60">
        <v>0.0</v>
      </c>
      <c r="T170" s="60">
        <v>0.0</v>
      </c>
      <c r="U170" s="60">
        <v>0.0</v>
      </c>
      <c r="V170" s="60">
        <v>0.0</v>
      </c>
      <c r="W170" s="60">
        <v>0.0</v>
      </c>
      <c r="X170" s="60">
        <v>0.0</v>
      </c>
      <c r="Y170" s="60">
        <v>0.0</v>
      </c>
      <c r="Z170" s="60">
        <v>0.0</v>
      </c>
      <c r="AA170" s="60">
        <v>0.0</v>
      </c>
      <c r="AB170" s="60">
        <v>0.0</v>
      </c>
      <c r="AC170" s="60">
        <v>0.0</v>
      </c>
      <c r="AD170" s="60">
        <v>0.0</v>
      </c>
      <c r="AE170" s="13">
        <f t="shared" si="14"/>
        <v>0</v>
      </c>
      <c r="AG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AD171" si="30">SUM(E164:E170)</f>
        <v>0</v>
      </c>
      <c r="F171" s="64">
        <f t="shared" si="30"/>
        <v>2</v>
      </c>
      <c r="G171" s="64">
        <f t="shared" si="30"/>
        <v>2</v>
      </c>
      <c r="H171" s="64">
        <f t="shared" si="30"/>
        <v>0</v>
      </c>
      <c r="I171" s="64">
        <f t="shared" si="30"/>
        <v>0</v>
      </c>
      <c r="J171" s="64">
        <f t="shared" si="30"/>
        <v>0</v>
      </c>
      <c r="K171" s="64">
        <f t="shared" si="30"/>
        <v>1</v>
      </c>
      <c r="L171" s="64">
        <f t="shared" si="30"/>
        <v>0</v>
      </c>
      <c r="M171" s="64">
        <f t="shared" si="30"/>
        <v>0</v>
      </c>
      <c r="N171" s="64">
        <f t="shared" si="30"/>
        <v>0</v>
      </c>
      <c r="O171" s="64">
        <f t="shared" si="30"/>
        <v>2</v>
      </c>
      <c r="P171" s="64">
        <f t="shared" si="30"/>
        <v>0</v>
      </c>
      <c r="Q171" s="64">
        <f t="shared" si="30"/>
        <v>0</v>
      </c>
      <c r="R171" s="64">
        <f t="shared" si="30"/>
        <v>0</v>
      </c>
      <c r="S171" s="64">
        <f t="shared" si="30"/>
        <v>2</v>
      </c>
      <c r="T171" s="64">
        <f t="shared" si="30"/>
        <v>1</v>
      </c>
      <c r="U171" s="64">
        <f t="shared" si="30"/>
        <v>1</v>
      </c>
      <c r="V171" s="64">
        <f t="shared" si="30"/>
        <v>1</v>
      </c>
      <c r="W171" s="64">
        <f t="shared" si="30"/>
        <v>0</v>
      </c>
      <c r="X171" s="64">
        <f t="shared" si="30"/>
        <v>1</v>
      </c>
      <c r="Y171" s="64">
        <f t="shared" si="30"/>
        <v>0</v>
      </c>
      <c r="Z171" s="64">
        <f t="shared" si="30"/>
        <v>0</v>
      </c>
      <c r="AA171" s="64">
        <f t="shared" si="30"/>
        <v>1</v>
      </c>
      <c r="AB171" s="64">
        <f t="shared" si="30"/>
        <v>2</v>
      </c>
      <c r="AC171" s="64">
        <f t="shared" si="30"/>
        <v>0</v>
      </c>
      <c r="AD171" s="64">
        <f t="shared" si="30"/>
        <v>0</v>
      </c>
      <c r="AE171" s="13">
        <f t="shared" si="14"/>
        <v>16</v>
      </c>
      <c r="AG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13">
        <f t="shared" si="14"/>
        <v>0</v>
      </c>
      <c r="AG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0.0</v>
      </c>
      <c r="G173" s="60">
        <v>0.0</v>
      </c>
      <c r="H173" s="60">
        <v>0.0</v>
      </c>
      <c r="I173" s="60">
        <v>2.0</v>
      </c>
      <c r="J173" s="60">
        <v>1.0</v>
      </c>
      <c r="K173" s="60">
        <v>0.0</v>
      </c>
      <c r="L173" s="60">
        <v>6.0</v>
      </c>
      <c r="M173" s="60">
        <v>1.0</v>
      </c>
      <c r="N173" s="60">
        <v>1.0</v>
      </c>
      <c r="O173" s="60">
        <v>0.0</v>
      </c>
      <c r="P173" s="60">
        <v>2.0</v>
      </c>
      <c r="Q173" s="60">
        <v>0.0</v>
      </c>
      <c r="R173" s="60">
        <v>0.0</v>
      </c>
      <c r="S173" s="60">
        <v>3.0</v>
      </c>
      <c r="T173" s="60">
        <v>2.0</v>
      </c>
      <c r="U173" s="60">
        <v>4.0</v>
      </c>
      <c r="V173" s="60">
        <v>0.0</v>
      </c>
      <c r="W173" s="60">
        <v>0.0</v>
      </c>
      <c r="X173" s="60">
        <v>2.0</v>
      </c>
      <c r="Y173" s="60">
        <v>1.0</v>
      </c>
      <c r="Z173" s="60">
        <v>1.0</v>
      </c>
      <c r="AA173" s="60">
        <v>4.0</v>
      </c>
      <c r="AB173" s="60">
        <v>1.0</v>
      </c>
      <c r="AC173" s="60">
        <v>2.0</v>
      </c>
      <c r="AD173" s="60">
        <v>8.0</v>
      </c>
      <c r="AE173" s="13">
        <f t="shared" si="14"/>
        <v>41</v>
      </c>
      <c r="AG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1.0</v>
      </c>
      <c r="G174" s="60">
        <v>0.0</v>
      </c>
      <c r="H174" s="60">
        <v>1.0</v>
      </c>
      <c r="I174" s="60">
        <v>0.0</v>
      </c>
      <c r="J174" s="60">
        <v>1.0</v>
      </c>
      <c r="K174" s="60">
        <v>0.0</v>
      </c>
      <c r="L174" s="60">
        <v>0.0</v>
      </c>
      <c r="M174" s="60">
        <v>0.0</v>
      </c>
      <c r="N174" s="60">
        <v>0.0</v>
      </c>
      <c r="O174" s="60">
        <v>1.0</v>
      </c>
      <c r="P174" s="60">
        <v>2.0</v>
      </c>
      <c r="Q174" s="60">
        <v>0.0</v>
      </c>
      <c r="R174" s="60">
        <v>0.0</v>
      </c>
      <c r="S174" s="60">
        <v>1.0</v>
      </c>
      <c r="T174" s="60">
        <v>1.0</v>
      </c>
      <c r="U174" s="60">
        <v>1.0</v>
      </c>
      <c r="V174" s="60">
        <v>0.0</v>
      </c>
      <c r="W174" s="60">
        <v>1.0</v>
      </c>
      <c r="X174" s="60">
        <v>1.0</v>
      </c>
      <c r="Y174" s="60">
        <v>0.0</v>
      </c>
      <c r="Z174" s="60">
        <v>0.0</v>
      </c>
      <c r="AA174" s="60">
        <v>1.0</v>
      </c>
      <c r="AB174" s="60">
        <v>1.0</v>
      </c>
      <c r="AC174" s="60">
        <v>1.0</v>
      </c>
      <c r="AD174" s="60">
        <v>0.0</v>
      </c>
      <c r="AE174" s="13">
        <f t="shared" si="14"/>
        <v>14</v>
      </c>
      <c r="AG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0.0</v>
      </c>
      <c r="G175" s="60">
        <v>0.0</v>
      </c>
      <c r="H175" s="60">
        <v>0.0</v>
      </c>
      <c r="I175" s="60">
        <v>0.0</v>
      </c>
      <c r="J175" s="60">
        <v>0.0</v>
      </c>
      <c r="K175" s="60">
        <v>0.0</v>
      </c>
      <c r="L175" s="60">
        <v>0.0</v>
      </c>
      <c r="M175" s="60">
        <v>1.0</v>
      </c>
      <c r="N175" s="60">
        <v>1.0</v>
      </c>
      <c r="O175" s="60">
        <v>1.0</v>
      </c>
      <c r="P175" s="60">
        <v>4.0</v>
      </c>
      <c r="Q175" s="60">
        <v>0.0</v>
      </c>
      <c r="R175" s="60">
        <v>0.0</v>
      </c>
      <c r="S175" s="60">
        <v>0.0</v>
      </c>
      <c r="T175" s="60">
        <v>0.0</v>
      </c>
      <c r="U175" s="60">
        <v>0.0</v>
      </c>
      <c r="V175" s="60">
        <v>0.0</v>
      </c>
      <c r="W175" s="60">
        <v>0.0</v>
      </c>
      <c r="X175" s="60">
        <v>1.0</v>
      </c>
      <c r="Y175" s="60">
        <v>1.0</v>
      </c>
      <c r="Z175" s="60">
        <v>2.0</v>
      </c>
      <c r="AA175" s="60">
        <v>1.0</v>
      </c>
      <c r="AB175" s="60">
        <v>1.0</v>
      </c>
      <c r="AC175" s="60">
        <v>2.0</v>
      </c>
      <c r="AD175" s="60">
        <v>2.0</v>
      </c>
      <c r="AE175" s="13">
        <f t="shared" si="14"/>
        <v>17</v>
      </c>
      <c r="AG175" s="5"/>
    </row>
    <row r="176" ht="12.75" customHeight="1">
      <c r="A176" s="18"/>
      <c r="B176" s="57"/>
      <c r="C176" s="58" t="s">
        <v>152</v>
      </c>
      <c r="D176" s="59"/>
      <c r="E176" s="60">
        <v>0.0</v>
      </c>
      <c r="F176" s="60">
        <v>4.0</v>
      </c>
      <c r="G176" s="60">
        <v>0.0</v>
      </c>
      <c r="H176" s="60">
        <v>1.0</v>
      </c>
      <c r="I176" s="60">
        <v>7.0</v>
      </c>
      <c r="J176" s="60">
        <v>0.0</v>
      </c>
      <c r="K176" s="60">
        <v>2.0</v>
      </c>
      <c r="L176" s="60">
        <v>7.0</v>
      </c>
      <c r="M176" s="60">
        <v>5.0</v>
      </c>
      <c r="N176" s="60">
        <v>7.0</v>
      </c>
      <c r="O176" s="60">
        <v>3.0</v>
      </c>
      <c r="P176" s="60">
        <v>3.0</v>
      </c>
      <c r="Q176" s="60">
        <v>6.0</v>
      </c>
      <c r="R176" s="60">
        <v>8.0</v>
      </c>
      <c r="S176" s="60">
        <v>26.0</v>
      </c>
      <c r="T176" s="60">
        <v>1.0</v>
      </c>
      <c r="U176" s="60">
        <v>0.0</v>
      </c>
      <c r="V176" s="60">
        <v>0.0</v>
      </c>
      <c r="W176" s="60">
        <v>1.0</v>
      </c>
      <c r="X176" s="60">
        <v>3.0</v>
      </c>
      <c r="Y176" s="60">
        <v>7.0</v>
      </c>
      <c r="Z176" s="60">
        <v>11.0</v>
      </c>
      <c r="AA176" s="60">
        <v>9.0</v>
      </c>
      <c r="AB176" s="60">
        <v>6.0</v>
      </c>
      <c r="AC176" s="60">
        <v>12.0</v>
      </c>
      <c r="AD176" s="60">
        <v>19.0</v>
      </c>
      <c r="AE176" s="13">
        <f t="shared" si="14"/>
        <v>148</v>
      </c>
      <c r="AG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60">
        <v>1.0</v>
      </c>
      <c r="O177" s="60">
        <v>0.0</v>
      </c>
      <c r="P177" s="60">
        <v>1.0</v>
      </c>
      <c r="Q177" s="60">
        <v>2.0</v>
      </c>
      <c r="R177" s="60">
        <v>0.0</v>
      </c>
      <c r="S177" s="60">
        <v>0.0</v>
      </c>
      <c r="T177" s="60">
        <v>0.0</v>
      </c>
      <c r="U177" s="60">
        <v>0.0</v>
      </c>
      <c r="V177" s="60">
        <v>0.0</v>
      </c>
      <c r="W177" s="60">
        <v>0.0</v>
      </c>
      <c r="X177" s="60">
        <v>0.0</v>
      </c>
      <c r="Y177" s="60">
        <v>0.0</v>
      </c>
      <c r="Z177" s="60">
        <v>1.0</v>
      </c>
      <c r="AA177" s="60">
        <v>0.0</v>
      </c>
      <c r="AB177" s="60">
        <v>0.0</v>
      </c>
      <c r="AC177" s="60">
        <v>0.0</v>
      </c>
      <c r="AD177" s="60">
        <v>0.0</v>
      </c>
      <c r="AE177" s="13">
        <f t="shared" si="14"/>
        <v>5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60">
        <v>0.0</v>
      </c>
      <c r="P178" s="60">
        <v>0.0</v>
      </c>
      <c r="Q178" s="60">
        <v>0.0</v>
      </c>
      <c r="R178" s="60">
        <v>0.0</v>
      </c>
      <c r="S178" s="60">
        <v>1.0</v>
      </c>
      <c r="T178" s="60">
        <v>0.0</v>
      </c>
      <c r="U178" s="60">
        <v>0.0</v>
      </c>
      <c r="V178" s="60">
        <v>0.0</v>
      </c>
      <c r="W178" s="60">
        <v>0.0</v>
      </c>
      <c r="X178" s="60">
        <v>0.0</v>
      </c>
      <c r="Y178" s="60">
        <v>0.0</v>
      </c>
      <c r="Z178" s="60">
        <v>0.0</v>
      </c>
      <c r="AA178" s="60">
        <v>1.0</v>
      </c>
      <c r="AB178" s="60">
        <v>0.0</v>
      </c>
      <c r="AC178" s="60">
        <v>0.0</v>
      </c>
      <c r="AD178" s="60">
        <v>0.0</v>
      </c>
      <c r="AE178" s="13">
        <f t="shared" si="14"/>
        <v>2</v>
      </c>
      <c r="AG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60">
        <v>0.0</v>
      </c>
      <c r="O179" s="60">
        <v>0.0</v>
      </c>
      <c r="P179" s="60">
        <v>2.0</v>
      </c>
      <c r="Q179" s="60">
        <v>0.0</v>
      </c>
      <c r="R179" s="60">
        <v>0.0</v>
      </c>
      <c r="S179" s="60">
        <v>0.0</v>
      </c>
      <c r="T179" s="60">
        <v>0.0</v>
      </c>
      <c r="U179" s="60">
        <v>0.0</v>
      </c>
      <c r="V179" s="60">
        <v>0.0</v>
      </c>
      <c r="W179" s="60">
        <v>0.0</v>
      </c>
      <c r="X179" s="60">
        <v>0.0</v>
      </c>
      <c r="Y179" s="60">
        <v>0.0</v>
      </c>
      <c r="Z179" s="60">
        <v>1.0</v>
      </c>
      <c r="AA179" s="60">
        <v>0.0</v>
      </c>
      <c r="AB179" s="60">
        <v>1.0</v>
      </c>
      <c r="AC179" s="60">
        <v>0.0</v>
      </c>
      <c r="AD179" s="60">
        <v>0.0</v>
      </c>
      <c r="AE179" s="13">
        <f t="shared" si="14"/>
        <v>4</v>
      </c>
      <c r="AG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AD180" si="31">SUM(E173:E179)</f>
        <v>0</v>
      </c>
      <c r="F180" s="64">
        <f t="shared" si="31"/>
        <v>5</v>
      </c>
      <c r="G180" s="64">
        <f t="shared" si="31"/>
        <v>0</v>
      </c>
      <c r="H180" s="64">
        <f t="shared" si="31"/>
        <v>2</v>
      </c>
      <c r="I180" s="64">
        <f t="shared" si="31"/>
        <v>9</v>
      </c>
      <c r="J180" s="64">
        <f t="shared" si="31"/>
        <v>2</v>
      </c>
      <c r="K180" s="64">
        <f t="shared" si="31"/>
        <v>2</v>
      </c>
      <c r="L180" s="64">
        <f t="shared" si="31"/>
        <v>13</v>
      </c>
      <c r="M180" s="64">
        <f t="shared" si="31"/>
        <v>7</v>
      </c>
      <c r="N180" s="64">
        <f t="shared" si="31"/>
        <v>10</v>
      </c>
      <c r="O180" s="64">
        <f t="shared" si="31"/>
        <v>5</v>
      </c>
      <c r="P180" s="64">
        <f t="shared" si="31"/>
        <v>14</v>
      </c>
      <c r="Q180" s="64">
        <f t="shared" si="31"/>
        <v>8</v>
      </c>
      <c r="R180" s="64">
        <f t="shared" si="31"/>
        <v>8</v>
      </c>
      <c r="S180" s="64">
        <f t="shared" si="31"/>
        <v>31</v>
      </c>
      <c r="T180" s="64">
        <f t="shared" si="31"/>
        <v>4</v>
      </c>
      <c r="U180" s="64">
        <f t="shared" si="31"/>
        <v>5</v>
      </c>
      <c r="V180" s="64">
        <f t="shared" si="31"/>
        <v>0</v>
      </c>
      <c r="W180" s="64">
        <f t="shared" si="31"/>
        <v>2</v>
      </c>
      <c r="X180" s="64">
        <f t="shared" si="31"/>
        <v>7</v>
      </c>
      <c r="Y180" s="64">
        <f t="shared" si="31"/>
        <v>9</v>
      </c>
      <c r="Z180" s="64">
        <f t="shared" si="31"/>
        <v>16</v>
      </c>
      <c r="AA180" s="64">
        <f t="shared" si="31"/>
        <v>16</v>
      </c>
      <c r="AB180" s="64">
        <f t="shared" si="31"/>
        <v>10</v>
      </c>
      <c r="AC180" s="64">
        <f t="shared" si="31"/>
        <v>17</v>
      </c>
      <c r="AD180" s="64">
        <f t="shared" si="31"/>
        <v>29</v>
      </c>
      <c r="AE180" s="13">
        <f t="shared" si="14"/>
        <v>231</v>
      </c>
      <c r="AG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13">
        <f t="shared" si="14"/>
        <v>0</v>
      </c>
      <c r="AG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0.0</v>
      </c>
      <c r="L182" s="60">
        <v>0.0</v>
      </c>
      <c r="M182" s="60">
        <v>1.0</v>
      </c>
      <c r="N182" s="60">
        <v>0.0</v>
      </c>
      <c r="O182" s="60">
        <v>0.0</v>
      </c>
      <c r="P182" s="60">
        <v>0.0</v>
      </c>
      <c r="Q182" s="60">
        <v>0.0</v>
      </c>
      <c r="R182" s="60">
        <v>0.0</v>
      </c>
      <c r="S182" s="60">
        <v>0.0</v>
      </c>
      <c r="T182" s="60">
        <v>1.0</v>
      </c>
      <c r="U182" s="60">
        <v>0.0</v>
      </c>
      <c r="V182" s="60">
        <v>0.0</v>
      </c>
      <c r="W182" s="60">
        <v>0.0</v>
      </c>
      <c r="X182" s="60">
        <v>0.0</v>
      </c>
      <c r="Y182" s="60">
        <v>0.0</v>
      </c>
      <c r="Z182" s="60">
        <v>0.0</v>
      </c>
      <c r="AA182" s="60">
        <v>0.0</v>
      </c>
      <c r="AB182" s="60">
        <v>0.0</v>
      </c>
      <c r="AC182" s="60">
        <v>0.0</v>
      </c>
      <c r="AD182" s="60">
        <v>0.0</v>
      </c>
      <c r="AE182" s="13">
        <f t="shared" si="14"/>
        <v>2</v>
      </c>
      <c r="AG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2.0</v>
      </c>
      <c r="J183" s="60">
        <v>0.0</v>
      </c>
      <c r="K183" s="60">
        <v>0.0</v>
      </c>
      <c r="L183" s="60">
        <v>0.0</v>
      </c>
      <c r="M183" s="60">
        <v>0.0</v>
      </c>
      <c r="N183" s="60">
        <v>1.0</v>
      </c>
      <c r="O183" s="60">
        <v>1.0</v>
      </c>
      <c r="P183" s="60">
        <v>0.0</v>
      </c>
      <c r="Q183" s="60">
        <v>0.0</v>
      </c>
      <c r="R183" s="60">
        <v>0.0</v>
      </c>
      <c r="S183" s="60">
        <v>0.0</v>
      </c>
      <c r="T183" s="60">
        <v>0.0</v>
      </c>
      <c r="U183" s="60">
        <v>0.0</v>
      </c>
      <c r="V183" s="60">
        <v>0.0</v>
      </c>
      <c r="W183" s="60">
        <v>0.0</v>
      </c>
      <c r="X183" s="60">
        <v>0.0</v>
      </c>
      <c r="Y183" s="60">
        <v>0.0</v>
      </c>
      <c r="Z183" s="60">
        <v>0.0</v>
      </c>
      <c r="AA183" s="60">
        <v>0.0</v>
      </c>
      <c r="AB183" s="60">
        <v>0.0</v>
      </c>
      <c r="AC183" s="60">
        <v>0.0</v>
      </c>
      <c r="AD183" s="60">
        <v>0.0</v>
      </c>
      <c r="AE183" s="13">
        <f t="shared" si="14"/>
        <v>4</v>
      </c>
      <c r="AG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60">
        <v>0.0</v>
      </c>
      <c r="P184" s="60">
        <v>1.0</v>
      </c>
      <c r="Q184" s="60">
        <v>0.0</v>
      </c>
      <c r="R184" s="60">
        <v>0.0</v>
      </c>
      <c r="S184" s="60">
        <v>0.0</v>
      </c>
      <c r="T184" s="60">
        <v>0.0</v>
      </c>
      <c r="U184" s="60">
        <v>0.0</v>
      </c>
      <c r="V184" s="60">
        <v>0.0</v>
      </c>
      <c r="W184" s="60">
        <v>0.0</v>
      </c>
      <c r="X184" s="60">
        <v>0.0</v>
      </c>
      <c r="Y184" s="60">
        <v>0.0</v>
      </c>
      <c r="Z184" s="60">
        <v>0.0</v>
      </c>
      <c r="AA184" s="60">
        <v>0.0</v>
      </c>
      <c r="AB184" s="60">
        <v>0.0</v>
      </c>
      <c r="AC184" s="60">
        <v>0.0</v>
      </c>
      <c r="AD184" s="60">
        <v>0.0</v>
      </c>
      <c r="AE184" s="13">
        <f t="shared" si="14"/>
        <v>1</v>
      </c>
      <c r="AG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60">
        <v>0.0</v>
      </c>
      <c r="S185" s="60">
        <v>0.0</v>
      </c>
      <c r="T185" s="60">
        <v>0.0</v>
      </c>
      <c r="U185" s="60">
        <v>0.0</v>
      </c>
      <c r="V185" s="60">
        <v>0.0</v>
      </c>
      <c r="W185" s="60">
        <v>0.0</v>
      </c>
      <c r="X185" s="60">
        <v>0.0</v>
      </c>
      <c r="Y185" s="60">
        <v>0.0</v>
      </c>
      <c r="Z185" s="60">
        <v>0.0</v>
      </c>
      <c r="AA185" s="60">
        <v>0.0</v>
      </c>
      <c r="AB185" s="60">
        <v>0.0</v>
      </c>
      <c r="AC185" s="60">
        <v>0.0</v>
      </c>
      <c r="AD185" s="60">
        <v>0.0</v>
      </c>
      <c r="AE185" s="13">
        <f t="shared" si="14"/>
        <v>0</v>
      </c>
      <c r="AG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60">
        <v>0.0</v>
      </c>
      <c r="P186" s="60">
        <v>0.0</v>
      </c>
      <c r="Q186" s="60">
        <v>0.0</v>
      </c>
      <c r="R186" s="60">
        <v>0.0</v>
      </c>
      <c r="S186" s="60">
        <v>0.0</v>
      </c>
      <c r="T186" s="60">
        <v>0.0</v>
      </c>
      <c r="U186" s="60">
        <v>0.0</v>
      </c>
      <c r="V186" s="60">
        <v>0.0</v>
      </c>
      <c r="W186" s="60">
        <v>0.0</v>
      </c>
      <c r="X186" s="60">
        <v>0.0</v>
      </c>
      <c r="Y186" s="60">
        <v>0.0</v>
      </c>
      <c r="Z186" s="60">
        <v>0.0</v>
      </c>
      <c r="AA186" s="60">
        <v>0.0</v>
      </c>
      <c r="AB186" s="60">
        <v>0.0</v>
      </c>
      <c r="AC186" s="60">
        <v>0.0</v>
      </c>
      <c r="AD186" s="60">
        <v>0.0</v>
      </c>
      <c r="AE186" s="13">
        <f t="shared" si="14"/>
        <v>0</v>
      </c>
      <c r="AG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AD187" si="32">SUM(E182:E186)</f>
        <v>0</v>
      </c>
      <c r="F187" s="64">
        <f t="shared" si="32"/>
        <v>0</v>
      </c>
      <c r="G187" s="64">
        <f t="shared" si="32"/>
        <v>0</v>
      </c>
      <c r="H187" s="64">
        <f t="shared" si="32"/>
        <v>0</v>
      </c>
      <c r="I187" s="64">
        <f t="shared" si="32"/>
        <v>2</v>
      </c>
      <c r="J187" s="64">
        <f t="shared" si="32"/>
        <v>0</v>
      </c>
      <c r="K187" s="64">
        <f t="shared" si="32"/>
        <v>0</v>
      </c>
      <c r="L187" s="64">
        <f t="shared" si="32"/>
        <v>0</v>
      </c>
      <c r="M187" s="64">
        <f t="shared" si="32"/>
        <v>1</v>
      </c>
      <c r="N187" s="64">
        <f t="shared" si="32"/>
        <v>1</v>
      </c>
      <c r="O187" s="64">
        <f t="shared" si="32"/>
        <v>1</v>
      </c>
      <c r="P187" s="64">
        <f t="shared" si="32"/>
        <v>1</v>
      </c>
      <c r="Q187" s="64">
        <f t="shared" si="32"/>
        <v>0</v>
      </c>
      <c r="R187" s="64">
        <f t="shared" si="32"/>
        <v>0</v>
      </c>
      <c r="S187" s="64">
        <f t="shared" si="32"/>
        <v>0</v>
      </c>
      <c r="T187" s="64">
        <f t="shared" si="32"/>
        <v>1</v>
      </c>
      <c r="U187" s="64">
        <f t="shared" si="32"/>
        <v>0</v>
      </c>
      <c r="V187" s="64">
        <f t="shared" si="32"/>
        <v>0</v>
      </c>
      <c r="W187" s="64">
        <f t="shared" si="32"/>
        <v>0</v>
      </c>
      <c r="X187" s="64">
        <f t="shared" si="32"/>
        <v>0</v>
      </c>
      <c r="Y187" s="64">
        <f t="shared" si="32"/>
        <v>0</v>
      </c>
      <c r="Z187" s="64">
        <f t="shared" si="32"/>
        <v>0</v>
      </c>
      <c r="AA187" s="64">
        <f t="shared" si="32"/>
        <v>0</v>
      </c>
      <c r="AB187" s="64">
        <f t="shared" si="32"/>
        <v>0</v>
      </c>
      <c r="AC187" s="64">
        <f t="shared" si="32"/>
        <v>0</v>
      </c>
      <c r="AD187" s="64">
        <f t="shared" si="32"/>
        <v>0</v>
      </c>
      <c r="AE187" s="13">
        <f t="shared" si="14"/>
        <v>7</v>
      </c>
      <c r="AG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3">
        <f t="shared" si="14"/>
        <v>0</v>
      </c>
      <c r="AG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74" t="s">
        <v>184</v>
      </c>
      <c r="P190" s="74" t="s">
        <v>185</v>
      </c>
      <c r="Q190" s="74" t="s">
        <v>186</v>
      </c>
      <c r="R190" s="74" t="s">
        <v>188</v>
      </c>
      <c r="S190" s="74" t="s">
        <v>189</v>
      </c>
      <c r="T190" s="74" t="s">
        <v>190</v>
      </c>
      <c r="U190" s="74" t="s">
        <v>191</v>
      </c>
      <c r="V190" s="74" t="s">
        <v>192</v>
      </c>
      <c r="W190" s="74" t="s">
        <v>193</v>
      </c>
      <c r="X190" s="74" t="s">
        <v>199</v>
      </c>
      <c r="Y190" s="74" t="s">
        <v>200</v>
      </c>
      <c r="Z190" s="74" t="s">
        <v>201</v>
      </c>
      <c r="AA190" s="74" t="s">
        <v>202</v>
      </c>
      <c r="AB190" s="74" t="s">
        <v>203</v>
      </c>
      <c r="AC190" s="74" t="s">
        <v>204</v>
      </c>
      <c r="AD190" s="74" t="s">
        <v>205</v>
      </c>
      <c r="AE190" s="13">
        <f t="shared" si="14"/>
        <v>0</v>
      </c>
      <c r="AG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AD191" si="33">E187+E180+E162+E154+E145+E136+E127+E123+E114+E110+E101+E92+E88+E79+E70+E61+E52</f>
        <v>129</v>
      </c>
      <c r="F191" s="19">
        <f t="shared" si="33"/>
        <v>179</v>
      </c>
      <c r="G191" s="19">
        <f t="shared" si="33"/>
        <v>211</v>
      </c>
      <c r="H191" s="19">
        <f t="shared" si="33"/>
        <v>208</v>
      </c>
      <c r="I191" s="19">
        <f t="shared" si="33"/>
        <v>210</v>
      </c>
      <c r="J191" s="19">
        <f t="shared" si="33"/>
        <v>204</v>
      </c>
      <c r="K191" s="19">
        <f t="shared" si="33"/>
        <v>207</v>
      </c>
      <c r="L191" s="19">
        <f t="shared" si="33"/>
        <v>195</v>
      </c>
      <c r="M191" s="19">
        <f t="shared" si="33"/>
        <v>170</v>
      </c>
      <c r="N191" s="19">
        <f t="shared" si="33"/>
        <v>216</v>
      </c>
      <c r="O191" s="19">
        <f t="shared" si="33"/>
        <v>216</v>
      </c>
      <c r="P191" s="19">
        <f t="shared" si="33"/>
        <v>188</v>
      </c>
      <c r="Q191" s="19">
        <f t="shared" si="33"/>
        <v>209</v>
      </c>
      <c r="R191" s="19">
        <f t="shared" si="33"/>
        <v>187</v>
      </c>
      <c r="S191" s="19">
        <f t="shared" si="33"/>
        <v>214</v>
      </c>
      <c r="T191" s="19">
        <f t="shared" si="33"/>
        <v>206</v>
      </c>
      <c r="U191" s="19">
        <f t="shared" si="33"/>
        <v>180</v>
      </c>
      <c r="V191" s="19">
        <f t="shared" si="33"/>
        <v>196</v>
      </c>
      <c r="W191" s="19">
        <f t="shared" si="33"/>
        <v>194</v>
      </c>
      <c r="X191" s="19">
        <f t="shared" si="33"/>
        <v>186</v>
      </c>
      <c r="Y191" s="19">
        <f t="shared" si="33"/>
        <v>182</v>
      </c>
      <c r="Z191" s="19">
        <f t="shared" si="33"/>
        <v>183</v>
      </c>
      <c r="AA191" s="19">
        <f t="shared" si="33"/>
        <v>172</v>
      </c>
      <c r="AB191" s="19">
        <f t="shared" si="33"/>
        <v>206</v>
      </c>
      <c r="AC191" s="19">
        <f t="shared" si="33"/>
        <v>200</v>
      </c>
      <c r="AD191" s="19">
        <f t="shared" si="33"/>
        <v>192</v>
      </c>
      <c r="AE191" s="13">
        <f t="shared" si="14"/>
        <v>5040</v>
      </c>
      <c r="AG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6.0</v>
      </c>
      <c r="F192" s="60">
        <v>19.0</v>
      </c>
      <c r="G192" s="60">
        <v>6.0</v>
      </c>
      <c r="H192" s="60">
        <v>10.0</v>
      </c>
      <c r="I192" s="60">
        <v>6.0</v>
      </c>
      <c r="J192" s="60">
        <v>6.0</v>
      </c>
      <c r="K192" s="60">
        <v>5.0</v>
      </c>
      <c r="L192" s="60">
        <v>12.0</v>
      </c>
      <c r="M192" s="60">
        <v>6.0</v>
      </c>
      <c r="N192" s="60">
        <v>3.0</v>
      </c>
      <c r="O192" s="60">
        <v>8.0</v>
      </c>
      <c r="P192" s="60">
        <v>19.0</v>
      </c>
      <c r="Q192" s="60">
        <v>6.0</v>
      </c>
      <c r="R192" s="60">
        <v>14.0</v>
      </c>
      <c r="S192" s="60">
        <v>13.0</v>
      </c>
      <c r="T192" s="60">
        <v>14.0</v>
      </c>
      <c r="U192" s="60">
        <v>12.0</v>
      </c>
      <c r="V192" s="60">
        <v>10.0</v>
      </c>
      <c r="W192" s="60">
        <v>5.0</v>
      </c>
      <c r="X192" s="60">
        <v>11.0</v>
      </c>
      <c r="Y192" s="60">
        <v>5.0</v>
      </c>
      <c r="Z192" s="60">
        <v>5.0</v>
      </c>
      <c r="AA192" s="60">
        <v>3.0</v>
      </c>
      <c r="AB192" s="60">
        <v>9.0</v>
      </c>
      <c r="AC192" s="60">
        <v>7.0</v>
      </c>
      <c r="AD192" s="60">
        <v>7.0</v>
      </c>
      <c r="AE192" s="13">
        <f t="shared" si="14"/>
        <v>227</v>
      </c>
      <c r="AG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AD193" si="34">SUM(E191:E192)</f>
        <v>135</v>
      </c>
      <c r="F193" s="13">
        <f t="shared" si="34"/>
        <v>198</v>
      </c>
      <c r="G193" s="13">
        <f t="shared" si="34"/>
        <v>217</v>
      </c>
      <c r="H193" s="13">
        <f t="shared" si="34"/>
        <v>218</v>
      </c>
      <c r="I193" s="13">
        <f t="shared" si="34"/>
        <v>216</v>
      </c>
      <c r="J193" s="13">
        <f t="shared" si="34"/>
        <v>210</v>
      </c>
      <c r="K193" s="13">
        <f t="shared" si="34"/>
        <v>212</v>
      </c>
      <c r="L193" s="13">
        <f t="shared" si="34"/>
        <v>207</v>
      </c>
      <c r="M193" s="13">
        <f t="shared" si="34"/>
        <v>176</v>
      </c>
      <c r="N193" s="13">
        <f t="shared" si="34"/>
        <v>219</v>
      </c>
      <c r="O193" s="13">
        <f t="shared" si="34"/>
        <v>224</v>
      </c>
      <c r="P193" s="13">
        <f t="shared" si="34"/>
        <v>207</v>
      </c>
      <c r="Q193" s="13">
        <f t="shared" si="34"/>
        <v>215</v>
      </c>
      <c r="R193" s="13">
        <f t="shared" si="34"/>
        <v>201</v>
      </c>
      <c r="S193" s="13">
        <f t="shared" si="34"/>
        <v>227</v>
      </c>
      <c r="T193" s="13">
        <f t="shared" si="34"/>
        <v>220</v>
      </c>
      <c r="U193" s="13">
        <f t="shared" si="34"/>
        <v>192</v>
      </c>
      <c r="V193" s="13">
        <f t="shared" si="34"/>
        <v>206</v>
      </c>
      <c r="W193" s="13">
        <f t="shared" si="34"/>
        <v>199</v>
      </c>
      <c r="X193" s="13">
        <f t="shared" si="34"/>
        <v>197</v>
      </c>
      <c r="Y193" s="13">
        <f t="shared" si="34"/>
        <v>187</v>
      </c>
      <c r="Z193" s="13">
        <f t="shared" si="34"/>
        <v>188</v>
      </c>
      <c r="AA193" s="13">
        <f t="shared" si="34"/>
        <v>175</v>
      </c>
      <c r="AB193" s="13">
        <f t="shared" si="34"/>
        <v>215</v>
      </c>
      <c r="AC193" s="13">
        <f t="shared" si="34"/>
        <v>207</v>
      </c>
      <c r="AD193" s="13">
        <f t="shared" si="34"/>
        <v>199</v>
      </c>
      <c r="AE193" s="13">
        <f t="shared" si="14"/>
        <v>5267</v>
      </c>
      <c r="AG193" s="5"/>
    </row>
    <row r="194" ht="12.75" customHeight="1">
      <c r="AG194" s="5"/>
    </row>
    <row r="195" ht="12.75" customHeight="1">
      <c r="AG195" s="5"/>
    </row>
    <row r="196" ht="12.75" customHeight="1">
      <c r="AG196" s="1"/>
    </row>
    <row r="197" ht="12.75" customHeight="1">
      <c r="AG197" s="1"/>
    </row>
    <row r="198" ht="12.75" customHeight="1">
      <c r="AG198" s="1"/>
    </row>
    <row r="199" ht="12.75" customHeight="1">
      <c r="AG199" s="54"/>
    </row>
    <row r="200" ht="12.75" customHeight="1">
      <c r="AG200" s="5"/>
    </row>
    <row r="201" ht="12.75" customHeight="1">
      <c r="AG201" s="5"/>
    </row>
    <row r="202" ht="12.75" customHeight="1">
      <c r="AG202" s="5"/>
    </row>
    <row r="203" ht="12.75" customHeight="1">
      <c r="AG203" s="5"/>
    </row>
    <row r="204" ht="12.75" customHeight="1">
      <c r="AG204" s="5"/>
    </row>
    <row r="205" ht="12.75" customHeight="1">
      <c r="AG205" s="5"/>
    </row>
    <row r="206" ht="12.75" customHeight="1">
      <c r="AG206" s="5"/>
    </row>
    <row r="207" ht="12.75" customHeight="1">
      <c r="AG207" s="1"/>
    </row>
    <row r="208" ht="12.75" customHeight="1">
      <c r="AG208" s="54"/>
    </row>
    <row r="209" ht="12.75" customHeight="1">
      <c r="AG209" s="54"/>
    </row>
    <row r="210" ht="12.75" customHeight="1">
      <c r="AG210" s="54"/>
    </row>
    <row r="211" ht="12.75" customHeight="1">
      <c r="AG211" s="5"/>
    </row>
    <row r="212" ht="12.75" customHeight="1">
      <c r="AG212" s="5"/>
    </row>
    <row r="213" ht="12.75" customHeight="1">
      <c r="AG213" s="5"/>
    </row>
    <row r="214" ht="12.75" customHeight="1">
      <c r="AG214" s="5"/>
    </row>
    <row r="215" ht="12.75" customHeight="1">
      <c r="AG215" s="5"/>
    </row>
    <row r="216" ht="12.75" customHeight="1">
      <c r="AG216" s="5"/>
    </row>
    <row r="217" ht="12.75" customHeight="1">
      <c r="AG217" s="5"/>
    </row>
    <row r="218" ht="12.75" customHeight="1">
      <c r="AG218" s="1"/>
    </row>
    <row r="219" ht="12.75" customHeight="1">
      <c r="AG219" s="54"/>
    </row>
    <row r="220" ht="12.75" customHeight="1">
      <c r="AG220" s="5"/>
    </row>
    <row r="221" ht="12.75" customHeight="1">
      <c r="AG221" s="5"/>
    </row>
    <row r="222" ht="12.75" customHeight="1">
      <c r="AG222" s="5"/>
    </row>
    <row r="223" ht="12.75" customHeight="1">
      <c r="AG223" s="5"/>
    </row>
    <row r="224" ht="12.75" customHeight="1">
      <c r="AG224" s="5"/>
    </row>
    <row r="225" ht="12.75" customHeight="1">
      <c r="AG225" s="5"/>
    </row>
    <row r="226" ht="12.75" customHeight="1">
      <c r="AG226" s="5"/>
    </row>
    <row r="227" ht="12.75" customHeight="1">
      <c r="AG227" s="5"/>
    </row>
    <row r="228" ht="12.75" customHeight="1">
      <c r="AG228" s="5"/>
    </row>
    <row r="229" ht="12.75" customHeight="1">
      <c r="AG229" s="1"/>
    </row>
    <row r="230" ht="12.75" customHeight="1">
      <c r="AG230" s="54"/>
    </row>
    <row r="231" ht="12.75" customHeight="1">
      <c r="AG231" s="5"/>
    </row>
    <row r="232" ht="12.75" customHeight="1">
      <c r="AG232" s="5"/>
    </row>
    <row r="233" ht="12.75" customHeight="1">
      <c r="AG233" s="5"/>
    </row>
    <row r="234" ht="12.75" customHeight="1">
      <c r="AG234" s="5"/>
    </row>
    <row r="235" ht="12.75" customHeight="1">
      <c r="AG235" s="5"/>
    </row>
    <row r="236" ht="12.75" customHeight="1">
      <c r="AG236" s="5"/>
    </row>
    <row r="237" ht="12.75" customHeight="1">
      <c r="AG237" s="5"/>
    </row>
    <row r="238" ht="12.75" customHeight="1">
      <c r="AG238" s="5"/>
    </row>
    <row r="239" ht="12.75" customHeight="1">
      <c r="AG239" s="5"/>
    </row>
    <row r="240" ht="12.75" customHeight="1">
      <c r="AG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E34&lt;&gt;#REF!</formula>
    </cfRule>
  </conditionalFormatting>
  <conditionalFormatting sqref="E45:AD51">
    <cfRule type="containsBlanks" dxfId="1" priority="10">
      <formula>LEN(TRIM(E45))=0</formula>
    </cfRule>
  </conditionalFormatting>
  <conditionalFormatting sqref="E54:AD60">
    <cfRule type="containsBlanks" dxfId="1" priority="11">
      <formula>LEN(TRIM(E54))=0</formula>
    </cfRule>
  </conditionalFormatting>
  <conditionalFormatting sqref="E63:AD69">
    <cfRule type="containsBlanks" dxfId="1" priority="12">
      <formula>LEN(TRIM(E63))=0</formula>
    </cfRule>
  </conditionalFormatting>
  <conditionalFormatting sqref="E72:AD78">
    <cfRule type="containsBlanks" dxfId="1" priority="13">
      <formula>LEN(TRIM(E72))=0</formula>
    </cfRule>
  </conditionalFormatting>
  <conditionalFormatting sqref="E81:AD87">
    <cfRule type="containsBlanks" dxfId="1" priority="14">
      <formula>LEN(TRIM(E81))=0</formula>
    </cfRule>
  </conditionalFormatting>
  <conditionalFormatting sqref="E90:AD91">
    <cfRule type="containsBlanks" dxfId="1" priority="15">
      <formula>LEN(TRIM(E90))=0</formula>
    </cfRule>
  </conditionalFormatting>
  <conditionalFormatting sqref="E94:AD100">
    <cfRule type="containsBlanks" dxfId="1" priority="16">
      <formula>LEN(TRIM(E94))=0</formula>
    </cfRule>
  </conditionalFormatting>
  <conditionalFormatting sqref="E103:AD109">
    <cfRule type="containsBlanks" dxfId="1" priority="17">
      <formula>LEN(TRIM(E103))=0</formula>
    </cfRule>
  </conditionalFormatting>
  <conditionalFormatting sqref="E112:AD113">
    <cfRule type="containsBlanks" dxfId="1" priority="18">
      <formula>LEN(TRIM(E112))=0</formula>
    </cfRule>
  </conditionalFormatting>
  <conditionalFormatting sqref="E116:AD122">
    <cfRule type="containsBlanks" dxfId="1" priority="19">
      <formula>LEN(TRIM(E116))=0</formula>
    </cfRule>
  </conditionalFormatting>
  <conditionalFormatting sqref="E125:AD126">
    <cfRule type="containsBlanks" dxfId="1" priority="20">
      <formula>LEN(TRIM(E125))=0</formula>
    </cfRule>
  </conditionalFormatting>
  <conditionalFormatting sqref="E129:AD135">
    <cfRule type="containsBlanks" dxfId="1" priority="21">
      <formula>LEN(TRIM(E129))=0</formula>
    </cfRule>
  </conditionalFormatting>
  <conditionalFormatting sqref="E138:AD144">
    <cfRule type="containsBlanks" dxfId="1" priority="22">
      <formula>LEN(TRIM(E138))=0</formula>
    </cfRule>
  </conditionalFormatting>
  <conditionalFormatting sqref="E147:AD153">
    <cfRule type="containsBlanks" dxfId="1" priority="23">
      <formula>LEN(TRIM(E147))=0</formula>
    </cfRule>
  </conditionalFormatting>
  <conditionalFormatting sqref="E156:AD161">
    <cfRule type="containsBlanks" dxfId="1" priority="24">
      <formula>LEN(TRIM(E156))=0</formula>
    </cfRule>
  </conditionalFormatting>
  <conditionalFormatting sqref="E164:AD170">
    <cfRule type="containsBlanks" dxfId="1" priority="25">
      <formula>LEN(TRIM(E164))=0</formula>
    </cfRule>
  </conditionalFormatting>
  <conditionalFormatting sqref="E173:AD179">
    <cfRule type="containsBlanks" dxfId="1" priority="26">
      <formula>LEN(TRIM(E173))=0</formula>
    </cfRule>
  </conditionalFormatting>
  <conditionalFormatting sqref="E182:AD186">
    <cfRule type="containsBlanks" dxfId="1" priority="27">
      <formula>LEN(TRIM(E182))=0</formula>
    </cfRule>
  </conditionalFormatting>
  <conditionalFormatting sqref="E191:AD192">
    <cfRule type="containsBlanks" dxfId="1" priority="28">
      <formula>LEN(TRIM(E191))=0</formula>
    </cfRule>
  </conditionalFormatting>
  <conditionalFormatting sqref="E193:AD193">
    <cfRule type="expression" dxfId="0" priority="29">
      <formula>E193&lt;&gt;#REF!</formula>
    </cfRule>
  </conditionalFormatting>
  <conditionalFormatting sqref="E193:AD193">
    <cfRule type="expression" dxfId="2" priority="30">
      <formula>#REF!&lt;&gt;E193</formula>
    </cfRule>
  </conditionalFormatting>
  <conditionalFormatting sqref="E193:AD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13" t="s">
        <v>185</v>
      </c>
      <c r="Q13" s="13" t="s">
        <v>186</v>
      </c>
      <c r="R13" s="13" t="s">
        <v>188</v>
      </c>
      <c r="S13" s="13" t="s">
        <v>189</v>
      </c>
      <c r="T13" s="13" t="s">
        <v>190</v>
      </c>
      <c r="U13" s="13" t="s">
        <v>191</v>
      </c>
      <c r="V13" s="37"/>
    </row>
    <row r="14" ht="12.75" customHeight="1">
      <c r="A14" s="18"/>
      <c r="B14" s="22" t="s">
        <v>11</v>
      </c>
      <c r="C14" s="23"/>
      <c r="D14" s="19" t="s">
        <v>12</v>
      </c>
      <c r="E14" s="60">
        <v>143.0</v>
      </c>
      <c r="F14" s="60">
        <v>149.0</v>
      </c>
      <c r="G14" s="60">
        <v>146.0</v>
      </c>
      <c r="H14" s="60">
        <v>142.0</v>
      </c>
      <c r="I14" s="60">
        <v>149.0</v>
      </c>
      <c r="J14" s="60">
        <v>127.0</v>
      </c>
      <c r="K14" s="60">
        <v>131.0</v>
      </c>
      <c r="L14" s="60">
        <v>138.0</v>
      </c>
      <c r="M14" s="60">
        <v>144.0</v>
      </c>
      <c r="N14" s="60">
        <v>153.0</v>
      </c>
      <c r="O14" s="60">
        <v>138.0</v>
      </c>
      <c r="P14" s="60">
        <v>137.0</v>
      </c>
      <c r="Q14" s="60">
        <v>152.0</v>
      </c>
      <c r="R14" s="60">
        <v>140.0</v>
      </c>
      <c r="S14" s="60">
        <v>152.0</v>
      </c>
      <c r="T14" s="60">
        <v>147.0</v>
      </c>
      <c r="U14" s="60">
        <v>152.0</v>
      </c>
      <c r="V14" s="13">
        <f t="shared" ref="V14:V16" si="1">SUM(E14:U14)</f>
        <v>2440</v>
      </c>
    </row>
    <row r="15" ht="12.75" customHeight="1">
      <c r="A15" s="18"/>
      <c r="B15" s="26"/>
      <c r="C15" s="27"/>
      <c r="D15" s="19" t="s">
        <v>13</v>
      </c>
      <c r="E15" s="60">
        <v>134.0</v>
      </c>
      <c r="F15" s="60">
        <v>144.0</v>
      </c>
      <c r="G15" s="60">
        <v>146.0</v>
      </c>
      <c r="H15" s="60">
        <v>137.0</v>
      </c>
      <c r="I15" s="60">
        <v>147.0</v>
      </c>
      <c r="J15" s="60">
        <v>129.0</v>
      </c>
      <c r="K15" s="60">
        <v>150.0</v>
      </c>
      <c r="L15" s="60">
        <v>142.0</v>
      </c>
      <c r="M15" s="60">
        <v>145.0</v>
      </c>
      <c r="N15" s="60">
        <v>121.0</v>
      </c>
      <c r="O15" s="60">
        <v>153.0</v>
      </c>
      <c r="P15" s="60">
        <v>132.0</v>
      </c>
      <c r="Q15" s="60">
        <v>143.0</v>
      </c>
      <c r="R15" s="60">
        <v>135.0</v>
      </c>
      <c r="S15" s="60">
        <v>140.0</v>
      </c>
      <c r="T15" s="60">
        <v>144.0</v>
      </c>
      <c r="U15" s="60">
        <v>145.0</v>
      </c>
      <c r="V15" s="13">
        <f t="shared" si="1"/>
        <v>2387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277</v>
      </c>
      <c r="F16" s="13">
        <f t="shared" si="2"/>
        <v>293</v>
      </c>
      <c r="G16" s="13">
        <f t="shared" si="2"/>
        <v>292</v>
      </c>
      <c r="H16" s="13">
        <f t="shared" si="2"/>
        <v>279</v>
      </c>
      <c r="I16" s="13">
        <f t="shared" si="2"/>
        <v>296</v>
      </c>
      <c r="J16" s="13">
        <f t="shared" si="2"/>
        <v>256</v>
      </c>
      <c r="K16" s="13">
        <f t="shared" si="2"/>
        <v>281</v>
      </c>
      <c r="L16" s="13">
        <f t="shared" si="2"/>
        <v>280</v>
      </c>
      <c r="M16" s="13">
        <f t="shared" si="2"/>
        <v>289</v>
      </c>
      <c r="N16" s="13">
        <f t="shared" si="2"/>
        <v>274</v>
      </c>
      <c r="O16" s="13">
        <f t="shared" si="2"/>
        <v>291</v>
      </c>
      <c r="P16" s="13">
        <f t="shared" si="2"/>
        <v>269</v>
      </c>
      <c r="Q16" s="13">
        <f t="shared" si="2"/>
        <v>295</v>
      </c>
      <c r="R16" s="13">
        <f t="shared" si="2"/>
        <v>275</v>
      </c>
      <c r="S16" s="13">
        <f t="shared" si="2"/>
        <v>292</v>
      </c>
      <c r="T16" s="13">
        <f t="shared" si="2"/>
        <v>291</v>
      </c>
      <c r="U16" s="13">
        <f t="shared" si="2"/>
        <v>297</v>
      </c>
      <c r="V16" s="13">
        <f t="shared" si="1"/>
        <v>4827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19"/>
      <c r="U17" s="19"/>
      <c r="V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13" t="s">
        <v>185</v>
      </c>
      <c r="Q18" s="13" t="s">
        <v>186</v>
      </c>
      <c r="R18" s="13" t="s">
        <v>188</v>
      </c>
      <c r="S18" s="13" t="s">
        <v>189</v>
      </c>
      <c r="T18" s="13" t="s">
        <v>190</v>
      </c>
      <c r="U18" s="13" t="s">
        <v>191</v>
      </c>
      <c r="V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100.0</v>
      </c>
      <c r="F19" s="60">
        <v>113.0</v>
      </c>
      <c r="G19" s="60">
        <v>125.0</v>
      </c>
      <c r="H19" s="60">
        <v>112.0</v>
      </c>
      <c r="I19" s="60">
        <v>102.0</v>
      </c>
      <c r="J19" s="60">
        <v>112.0</v>
      </c>
      <c r="K19" s="60">
        <v>96.0</v>
      </c>
      <c r="L19" s="60">
        <v>108.0</v>
      </c>
      <c r="M19" s="60">
        <v>108.0</v>
      </c>
      <c r="N19" s="60">
        <v>113.0</v>
      </c>
      <c r="O19" s="60">
        <v>115.0</v>
      </c>
      <c r="P19" s="60">
        <v>102.0</v>
      </c>
      <c r="Q19" s="60">
        <v>116.0</v>
      </c>
      <c r="R19" s="60">
        <v>101.0</v>
      </c>
      <c r="S19" s="60">
        <v>114.0</v>
      </c>
      <c r="T19" s="60">
        <v>95.0</v>
      </c>
      <c r="U19" s="60">
        <v>110.0</v>
      </c>
      <c r="V19" s="13">
        <f t="shared" ref="V19:V30" si="3">SUM(E19:U19)</f>
        <v>1842</v>
      </c>
    </row>
    <row r="20" ht="12.75" customHeight="1">
      <c r="A20" s="34"/>
      <c r="B20" s="27"/>
      <c r="C20" s="35"/>
      <c r="D20" s="19" t="s">
        <v>13</v>
      </c>
      <c r="E20" s="60">
        <v>106.0</v>
      </c>
      <c r="F20" s="60">
        <v>116.0</v>
      </c>
      <c r="G20" s="60">
        <v>132.0</v>
      </c>
      <c r="H20" s="60">
        <v>118.0</v>
      </c>
      <c r="I20" s="60">
        <v>123.0</v>
      </c>
      <c r="J20" s="60">
        <v>116.0</v>
      </c>
      <c r="K20" s="60">
        <v>124.0</v>
      </c>
      <c r="L20" s="60">
        <v>114.0</v>
      </c>
      <c r="M20" s="60">
        <v>121.0</v>
      </c>
      <c r="N20" s="60">
        <v>111.0</v>
      </c>
      <c r="O20" s="60">
        <v>138.0</v>
      </c>
      <c r="P20" s="60">
        <v>96.0</v>
      </c>
      <c r="Q20" s="60">
        <v>107.0</v>
      </c>
      <c r="R20" s="60">
        <v>100.0</v>
      </c>
      <c r="S20" s="60">
        <v>119.0</v>
      </c>
      <c r="T20" s="60">
        <v>127.0</v>
      </c>
      <c r="U20" s="60">
        <v>119.0</v>
      </c>
      <c r="V20" s="13">
        <f t="shared" si="3"/>
        <v>1987</v>
      </c>
    </row>
    <row r="21" ht="12.75" customHeight="1">
      <c r="A21" s="36"/>
      <c r="B21" s="28"/>
      <c r="C21" s="37"/>
      <c r="D21" s="13" t="s">
        <v>14</v>
      </c>
      <c r="E21" s="13">
        <f t="shared" ref="E21:U21" si="4">SUM(E19:E20)</f>
        <v>206</v>
      </c>
      <c r="F21" s="13">
        <f t="shared" si="4"/>
        <v>229</v>
      </c>
      <c r="G21" s="13">
        <f t="shared" si="4"/>
        <v>257</v>
      </c>
      <c r="H21" s="13">
        <f t="shared" si="4"/>
        <v>230</v>
      </c>
      <c r="I21" s="13">
        <f t="shared" si="4"/>
        <v>225</v>
      </c>
      <c r="J21" s="13">
        <f t="shared" si="4"/>
        <v>228</v>
      </c>
      <c r="K21" s="13">
        <f t="shared" si="4"/>
        <v>220</v>
      </c>
      <c r="L21" s="13">
        <f t="shared" si="4"/>
        <v>222</v>
      </c>
      <c r="M21" s="13">
        <f t="shared" si="4"/>
        <v>229</v>
      </c>
      <c r="N21" s="13">
        <f t="shared" si="4"/>
        <v>224</v>
      </c>
      <c r="O21" s="13">
        <f t="shared" si="4"/>
        <v>253</v>
      </c>
      <c r="P21" s="13">
        <f t="shared" si="4"/>
        <v>198</v>
      </c>
      <c r="Q21" s="13">
        <f t="shared" si="4"/>
        <v>223</v>
      </c>
      <c r="R21" s="13">
        <f t="shared" si="4"/>
        <v>201</v>
      </c>
      <c r="S21" s="13">
        <f t="shared" si="4"/>
        <v>233</v>
      </c>
      <c r="T21" s="13">
        <f t="shared" si="4"/>
        <v>222</v>
      </c>
      <c r="U21" s="13">
        <f t="shared" si="4"/>
        <v>229</v>
      </c>
      <c r="V21" s="13">
        <f t="shared" si="3"/>
        <v>3829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60">
        <v>0.0</v>
      </c>
      <c r="U22" s="60">
        <v>0.0</v>
      </c>
      <c r="V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60">
        <v>0.0</v>
      </c>
      <c r="N23" s="60">
        <v>1.0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60">
        <v>0.0</v>
      </c>
      <c r="U23" s="60">
        <v>0.0</v>
      </c>
      <c r="V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1.0</v>
      </c>
      <c r="H25" s="60">
        <v>1.0</v>
      </c>
      <c r="I25" s="60">
        <v>0.0</v>
      </c>
      <c r="J25" s="60">
        <v>0.0</v>
      </c>
      <c r="K25" s="60">
        <v>0.0</v>
      </c>
      <c r="L25" s="60">
        <v>4.0</v>
      </c>
      <c r="M25" s="60">
        <v>0.0</v>
      </c>
      <c r="N25" s="60">
        <v>1.0</v>
      </c>
      <c r="O25" s="60">
        <v>0.0</v>
      </c>
      <c r="P25" s="60">
        <v>1.0</v>
      </c>
      <c r="Q25" s="60">
        <v>2.0</v>
      </c>
      <c r="R25" s="60">
        <v>0.0</v>
      </c>
      <c r="S25" s="60">
        <v>2.0</v>
      </c>
      <c r="T25" s="60">
        <v>0.0</v>
      </c>
      <c r="U25" s="60">
        <v>0.0</v>
      </c>
      <c r="V25" s="13">
        <f t="shared" si="3"/>
        <v>12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0.0</v>
      </c>
      <c r="G26" s="60">
        <v>1.0</v>
      </c>
      <c r="H26" s="60">
        <v>2.0</v>
      </c>
      <c r="I26" s="60">
        <v>1.0</v>
      </c>
      <c r="J26" s="60">
        <v>1.0</v>
      </c>
      <c r="K26" s="60">
        <v>3.0</v>
      </c>
      <c r="L26" s="60">
        <v>1.0</v>
      </c>
      <c r="M26" s="60">
        <v>1.0</v>
      </c>
      <c r="N26" s="60">
        <v>1.0</v>
      </c>
      <c r="O26" s="60">
        <v>0.0</v>
      </c>
      <c r="P26" s="60">
        <v>2.0</v>
      </c>
      <c r="Q26" s="60">
        <v>2.0</v>
      </c>
      <c r="R26" s="60">
        <v>0.0</v>
      </c>
      <c r="S26" s="60">
        <v>0.0</v>
      </c>
      <c r="T26" s="60">
        <v>0.0</v>
      </c>
      <c r="U26" s="60">
        <v>5.0</v>
      </c>
      <c r="V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3</v>
      </c>
      <c r="I27" s="13">
        <f t="shared" si="6"/>
        <v>1</v>
      </c>
      <c r="J27" s="13">
        <f t="shared" si="6"/>
        <v>1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5</v>
      </c>
      <c r="V27" s="13">
        <f t="shared" si="3"/>
        <v>32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U28" si="7">SUM(E19,E22,E25)</f>
        <v>100</v>
      </c>
      <c r="F28" s="13">
        <f t="shared" si="7"/>
        <v>113</v>
      </c>
      <c r="G28" s="13">
        <f t="shared" si="7"/>
        <v>126</v>
      </c>
      <c r="H28" s="13">
        <f t="shared" si="7"/>
        <v>113</v>
      </c>
      <c r="I28" s="13">
        <f t="shared" si="7"/>
        <v>102</v>
      </c>
      <c r="J28" s="13">
        <f t="shared" si="7"/>
        <v>112</v>
      </c>
      <c r="K28" s="13">
        <f t="shared" si="7"/>
        <v>96</v>
      </c>
      <c r="L28" s="13">
        <f t="shared" si="7"/>
        <v>112</v>
      </c>
      <c r="M28" s="13">
        <f t="shared" si="7"/>
        <v>108</v>
      </c>
      <c r="N28" s="13">
        <f t="shared" si="7"/>
        <v>114</v>
      </c>
      <c r="O28" s="13">
        <f t="shared" si="7"/>
        <v>115</v>
      </c>
      <c r="P28" s="13">
        <f t="shared" si="7"/>
        <v>103</v>
      </c>
      <c r="Q28" s="13">
        <f t="shared" si="7"/>
        <v>118</v>
      </c>
      <c r="R28" s="13">
        <f t="shared" si="7"/>
        <v>101</v>
      </c>
      <c r="S28" s="13">
        <f t="shared" si="7"/>
        <v>116</v>
      </c>
      <c r="T28" s="13">
        <f t="shared" si="7"/>
        <v>95</v>
      </c>
      <c r="U28" s="13">
        <f t="shared" si="7"/>
        <v>110</v>
      </c>
      <c r="V28" s="13">
        <f t="shared" si="3"/>
        <v>1854</v>
      </c>
    </row>
    <row r="29" ht="12.75" customHeight="1">
      <c r="A29" s="36"/>
      <c r="B29" s="27"/>
      <c r="C29" s="35"/>
      <c r="D29" s="13" t="s">
        <v>13</v>
      </c>
      <c r="E29" s="13">
        <f t="shared" ref="E29:U29" si="8">SUM(E20,E23,E26)</f>
        <v>106</v>
      </c>
      <c r="F29" s="13">
        <f t="shared" si="8"/>
        <v>116</v>
      </c>
      <c r="G29" s="13">
        <f t="shared" si="8"/>
        <v>133</v>
      </c>
      <c r="H29" s="13">
        <f t="shared" si="8"/>
        <v>120</v>
      </c>
      <c r="I29" s="13">
        <f t="shared" si="8"/>
        <v>124</v>
      </c>
      <c r="J29" s="13">
        <f t="shared" si="8"/>
        <v>117</v>
      </c>
      <c r="K29" s="13">
        <f t="shared" si="8"/>
        <v>127</v>
      </c>
      <c r="L29" s="13">
        <f t="shared" si="8"/>
        <v>115</v>
      </c>
      <c r="M29" s="13">
        <f t="shared" si="8"/>
        <v>122</v>
      </c>
      <c r="N29" s="13">
        <f t="shared" si="8"/>
        <v>113</v>
      </c>
      <c r="O29" s="13">
        <f t="shared" si="8"/>
        <v>138</v>
      </c>
      <c r="P29" s="13">
        <f t="shared" si="8"/>
        <v>98</v>
      </c>
      <c r="Q29" s="13">
        <f t="shared" si="8"/>
        <v>109</v>
      </c>
      <c r="R29" s="13">
        <f t="shared" si="8"/>
        <v>100</v>
      </c>
      <c r="S29" s="13">
        <f t="shared" si="8"/>
        <v>119</v>
      </c>
      <c r="T29" s="13">
        <f t="shared" si="8"/>
        <v>127</v>
      </c>
      <c r="U29" s="13">
        <f t="shared" si="8"/>
        <v>124</v>
      </c>
      <c r="V29" s="13">
        <f t="shared" si="3"/>
        <v>2008</v>
      </c>
    </row>
    <row r="30" ht="12.75" customHeight="1">
      <c r="A30" s="36"/>
      <c r="B30" s="28"/>
      <c r="C30" s="37"/>
      <c r="D30" s="13" t="s">
        <v>14</v>
      </c>
      <c r="E30" s="13">
        <f t="shared" ref="E30:U30" si="9">SUM(E28:E29)</f>
        <v>206</v>
      </c>
      <c r="F30" s="13">
        <f t="shared" si="9"/>
        <v>229</v>
      </c>
      <c r="G30" s="13">
        <f t="shared" si="9"/>
        <v>259</v>
      </c>
      <c r="H30" s="13">
        <f t="shared" si="9"/>
        <v>233</v>
      </c>
      <c r="I30" s="13">
        <f t="shared" si="9"/>
        <v>226</v>
      </c>
      <c r="J30" s="13">
        <f t="shared" si="9"/>
        <v>229</v>
      </c>
      <c r="K30" s="13">
        <f t="shared" si="9"/>
        <v>223</v>
      </c>
      <c r="L30" s="13">
        <f t="shared" si="9"/>
        <v>227</v>
      </c>
      <c r="M30" s="13">
        <f t="shared" si="9"/>
        <v>230</v>
      </c>
      <c r="N30" s="13">
        <f t="shared" si="9"/>
        <v>227</v>
      </c>
      <c r="O30" s="13">
        <f t="shared" si="9"/>
        <v>253</v>
      </c>
      <c r="P30" s="13">
        <f t="shared" si="9"/>
        <v>201</v>
      </c>
      <c r="Q30" s="13">
        <f t="shared" si="9"/>
        <v>227</v>
      </c>
      <c r="R30" s="13">
        <f t="shared" si="9"/>
        <v>201</v>
      </c>
      <c r="S30" s="13">
        <f t="shared" si="9"/>
        <v>235</v>
      </c>
      <c r="T30" s="13">
        <f t="shared" si="9"/>
        <v>222</v>
      </c>
      <c r="U30" s="13">
        <f t="shared" si="9"/>
        <v>234</v>
      </c>
      <c r="V30" s="13">
        <f t="shared" si="3"/>
        <v>3862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19"/>
      <c r="U31" s="19"/>
      <c r="V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4" t="s">
        <v>184</v>
      </c>
      <c r="P32" s="74" t="s">
        <v>185</v>
      </c>
      <c r="Q32" s="74" t="s">
        <v>186</v>
      </c>
      <c r="R32" s="74" t="s">
        <v>188</v>
      </c>
      <c r="S32" s="74" t="s">
        <v>189</v>
      </c>
      <c r="T32" s="74" t="s">
        <v>190</v>
      </c>
      <c r="U32" s="74" t="s">
        <v>191</v>
      </c>
      <c r="V32" s="73"/>
    </row>
    <row r="33" ht="12.75" customHeight="1">
      <c r="A33" s="19">
        <v>1.0</v>
      </c>
      <c r="B33" s="20" t="s">
        <v>27</v>
      </c>
      <c r="C33" s="15"/>
      <c r="D33" s="16"/>
      <c r="E33" s="60">
        <v>283.0</v>
      </c>
      <c r="F33" s="60">
        <v>299.0</v>
      </c>
      <c r="G33" s="60">
        <v>297.0</v>
      </c>
      <c r="H33" s="60">
        <v>285.0</v>
      </c>
      <c r="I33" s="60">
        <v>302.0</v>
      </c>
      <c r="J33" s="60">
        <v>264.0</v>
      </c>
      <c r="K33" s="60">
        <v>285.0</v>
      </c>
      <c r="L33" s="60">
        <v>287.0</v>
      </c>
      <c r="M33" s="60">
        <v>291.0</v>
      </c>
      <c r="N33" s="60">
        <v>280.0</v>
      </c>
      <c r="O33" s="60">
        <v>297.0</v>
      </c>
      <c r="P33" s="60">
        <v>275.0</v>
      </c>
      <c r="Q33" s="60">
        <v>301.0</v>
      </c>
      <c r="R33" s="60">
        <v>281.0</v>
      </c>
      <c r="S33" s="60">
        <v>298.0</v>
      </c>
      <c r="T33" s="60">
        <v>297.0</v>
      </c>
      <c r="U33" s="60">
        <v>303.0</v>
      </c>
      <c r="V33" s="13">
        <f t="shared" ref="V33:V36" si="10">SUM(E33:U33)</f>
        <v>4925</v>
      </c>
    </row>
    <row r="34" ht="12.75" customHeight="1">
      <c r="A34" s="19">
        <v>2.0</v>
      </c>
      <c r="B34" s="20" t="s">
        <v>28</v>
      </c>
      <c r="C34" s="15"/>
      <c r="D34" s="16"/>
      <c r="E34" s="75">
        <v>206.0</v>
      </c>
      <c r="F34" s="75">
        <v>229.0</v>
      </c>
      <c r="G34" s="75">
        <v>259.0</v>
      </c>
      <c r="H34" s="75">
        <v>233.0</v>
      </c>
      <c r="I34" s="75">
        <v>226.0</v>
      </c>
      <c r="J34" s="75">
        <v>229.0</v>
      </c>
      <c r="K34" s="75">
        <v>223.0</v>
      </c>
      <c r="L34" s="75">
        <v>227.0</v>
      </c>
      <c r="M34" s="75">
        <v>230.0</v>
      </c>
      <c r="N34" s="75">
        <v>227.0</v>
      </c>
      <c r="O34" s="75">
        <v>253.0</v>
      </c>
      <c r="P34" s="75">
        <v>201.0</v>
      </c>
      <c r="Q34" s="75">
        <v>227.0</v>
      </c>
      <c r="R34" s="75">
        <v>201.0</v>
      </c>
      <c r="S34" s="75">
        <v>235.0</v>
      </c>
      <c r="T34" s="75">
        <v>222.0</v>
      </c>
      <c r="U34" s="75">
        <v>239.0</v>
      </c>
      <c r="V34" s="13">
        <f t="shared" si="10"/>
        <v>3867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3.0</v>
      </c>
      <c r="G35" s="60">
        <v>1.0</v>
      </c>
      <c r="H35" s="60">
        <v>3.0</v>
      </c>
      <c r="I35" s="60">
        <v>1.0</v>
      </c>
      <c r="J35" s="60">
        <v>2.0</v>
      </c>
      <c r="K35" s="60">
        <v>0.0</v>
      </c>
      <c r="L35" s="60">
        <v>2.0</v>
      </c>
      <c r="M35" s="60">
        <v>0.0</v>
      </c>
      <c r="N35" s="60">
        <v>0.0</v>
      </c>
      <c r="O35" s="60">
        <v>3.0</v>
      </c>
      <c r="P35" s="60">
        <v>0.0</v>
      </c>
      <c r="Q35" s="60">
        <v>2.0</v>
      </c>
      <c r="R35" s="60">
        <v>2.0</v>
      </c>
      <c r="S35" s="60">
        <v>0.0</v>
      </c>
      <c r="T35" s="60">
        <v>0.0</v>
      </c>
      <c r="U35" s="60">
        <v>4.0</v>
      </c>
      <c r="V35" s="13">
        <f t="shared" si="10"/>
        <v>23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77</v>
      </c>
      <c r="F36" s="13">
        <f t="shared" si="11"/>
        <v>67</v>
      </c>
      <c r="G36" s="13">
        <f t="shared" si="11"/>
        <v>37</v>
      </c>
      <c r="H36" s="13">
        <f t="shared" si="11"/>
        <v>49</v>
      </c>
      <c r="I36" s="13">
        <f t="shared" si="11"/>
        <v>75</v>
      </c>
      <c r="J36" s="13">
        <f t="shared" si="11"/>
        <v>33</v>
      </c>
      <c r="K36" s="13">
        <f t="shared" si="11"/>
        <v>62</v>
      </c>
      <c r="L36" s="13">
        <f t="shared" si="11"/>
        <v>58</v>
      </c>
      <c r="M36" s="13">
        <f t="shared" si="11"/>
        <v>61</v>
      </c>
      <c r="N36" s="13">
        <f t="shared" si="11"/>
        <v>53</v>
      </c>
      <c r="O36" s="13">
        <f t="shared" si="11"/>
        <v>41</v>
      </c>
      <c r="P36" s="13">
        <f t="shared" si="11"/>
        <v>74</v>
      </c>
      <c r="Q36" s="13">
        <f t="shared" si="11"/>
        <v>72</v>
      </c>
      <c r="R36" s="13">
        <f t="shared" si="11"/>
        <v>78</v>
      </c>
      <c r="S36" s="13">
        <f t="shared" si="11"/>
        <v>63</v>
      </c>
      <c r="T36" s="13">
        <f t="shared" si="11"/>
        <v>75</v>
      </c>
      <c r="U36" s="13">
        <f t="shared" si="11"/>
        <v>60</v>
      </c>
      <c r="V36" s="13">
        <f t="shared" si="10"/>
        <v>1035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19"/>
      <c r="U37" s="19"/>
      <c r="V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4" t="s">
        <v>184</v>
      </c>
      <c r="P38" s="74" t="s">
        <v>185</v>
      </c>
      <c r="Q38" s="74" t="s">
        <v>186</v>
      </c>
      <c r="R38" s="74" t="s">
        <v>188</v>
      </c>
      <c r="S38" s="74" t="s">
        <v>189</v>
      </c>
      <c r="T38" s="74" t="s">
        <v>190</v>
      </c>
      <c r="U38" s="74" t="s">
        <v>191</v>
      </c>
      <c r="V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0.0</v>
      </c>
      <c r="Q39" s="60">
        <v>1.0</v>
      </c>
      <c r="R39" s="60">
        <v>0.0</v>
      </c>
      <c r="S39" s="60">
        <v>0.0</v>
      </c>
      <c r="T39" s="60">
        <v>0.0</v>
      </c>
      <c r="U39" s="60">
        <v>0.0</v>
      </c>
      <c r="V39" s="13">
        <f t="shared" ref="V39:V41" si="12">SUM(E39:U39)</f>
        <v>1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60">
        <v>0.0</v>
      </c>
      <c r="Q40" s="60">
        <v>1.0</v>
      </c>
      <c r="R40" s="60">
        <v>0.0</v>
      </c>
      <c r="S40" s="60">
        <v>0.0</v>
      </c>
      <c r="T40" s="60">
        <v>0.0</v>
      </c>
      <c r="U40" s="60">
        <v>1.0</v>
      </c>
      <c r="V40" s="13">
        <f t="shared" si="12"/>
        <v>2</v>
      </c>
    </row>
    <row r="41" ht="12.75" customHeight="1">
      <c r="A41" s="44"/>
      <c r="B41" s="47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3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9"/>
      <c r="U42" s="19"/>
      <c r="V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74" t="s">
        <v>184</v>
      </c>
      <c r="P43" s="74" t="s">
        <v>185</v>
      </c>
      <c r="Q43" s="74" t="s">
        <v>186</v>
      </c>
      <c r="R43" s="74" t="s">
        <v>188</v>
      </c>
      <c r="S43" s="74" t="s">
        <v>189</v>
      </c>
      <c r="T43" s="74" t="s">
        <v>190</v>
      </c>
      <c r="U43" s="74" t="s">
        <v>191</v>
      </c>
      <c r="V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9"/>
      <c r="U44" s="19"/>
      <c r="V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6.0</v>
      </c>
      <c r="F45" s="60">
        <v>7.0</v>
      </c>
      <c r="G45" s="60">
        <v>14.0</v>
      </c>
      <c r="H45" s="60">
        <v>19.0</v>
      </c>
      <c r="I45" s="60">
        <v>6.0</v>
      </c>
      <c r="J45" s="60">
        <v>6.0</v>
      </c>
      <c r="K45" s="60">
        <v>9.0</v>
      </c>
      <c r="L45" s="60">
        <v>13.0</v>
      </c>
      <c r="M45" s="60">
        <v>6.0</v>
      </c>
      <c r="N45" s="60">
        <v>4.0</v>
      </c>
      <c r="O45" s="60">
        <v>1.0</v>
      </c>
      <c r="P45" s="60">
        <v>11.0</v>
      </c>
      <c r="Q45" s="60">
        <v>7.0</v>
      </c>
      <c r="R45" s="60">
        <v>9.0</v>
      </c>
      <c r="S45" s="60">
        <v>3.0</v>
      </c>
      <c r="T45" s="60">
        <v>3.0</v>
      </c>
      <c r="U45" s="60">
        <v>2.0</v>
      </c>
      <c r="V45" s="13">
        <f t="shared" ref="V45:V193" si="14">SUM(E45:U45)</f>
        <v>126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8.0</v>
      </c>
      <c r="F46" s="60">
        <v>12.0</v>
      </c>
      <c r="G46" s="60">
        <v>23.0</v>
      </c>
      <c r="H46" s="60">
        <v>22.0</v>
      </c>
      <c r="I46" s="60">
        <v>15.0</v>
      </c>
      <c r="J46" s="60">
        <v>16.0</v>
      </c>
      <c r="K46" s="60">
        <v>13.0</v>
      </c>
      <c r="L46" s="60">
        <v>47.0</v>
      </c>
      <c r="M46" s="60">
        <v>16.0</v>
      </c>
      <c r="N46" s="60">
        <v>20.0</v>
      </c>
      <c r="O46" s="60">
        <v>17.0</v>
      </c>
      <c r="P46" s="60">
        <v>53.0</v>
      </c>
      <c r="Q46" s="60">
        <v>24.0</v>
      </c>
      <c r="R46" s="60">
        <v>15.0</v>
      </c>
      <c r="S46" s="60">
        <v>15.0</v>
      </c>
      <c r="T46" s="60">
        <v>7.0</v>
      </c>
      <c r="U46" s="60">
        <v>17.0</v>
      </c>
      <c r="V46" s="13">
        <f t="shared" si="14"/>
        <v>340</v>
      </c>
    </row>
    <row r="47" ht="12.75" customHeight="1">
      <c r="A47" s="18"/>
      <c r="B47" s="57"/>
      <c r="C47" s="58" t="s">
        <v>41</v>
      </c>
      <c r="D47" s="59"/>
      <c r="E47" s="60">
        <v>3.0</v>
      </c>
      <c r="F47" s="60">
        <v>2.0</v>
      </c>
      <c r="G47" s="60">
        <v>2.0</v>
      </c>
      <c r="H47" s="60">
        <v>6.0</v>
      </c>
      <c r="I47" s="60">
        <v>0.0</v>
      </c>
      <c r="J47" s="60">
        <v>1.0</v>
      </c>
      <c r="K47" s="60">
        <v>1.0</v>
      </c>
      <c r="L47" s="60">
        <v>0.0</v>
      </c>
      <c r="M47" s="60">
        <v>0.0</v>
      </c>
      <c r="N47" s="60">
        <v>2.0</v>
      </c>
      <c r="O47" s="60">
        <v>0.0</v>
      </c>
      <c r="P47" s="60">
        <v>1.0</v>
      </c>
      <c r="Q47" s="60">
        <v>3.0</v>
      </c>
      <c r="R47" s="60">
        <v>0.0</v>
      </c>
      <c r="S47" s="60">
        <v>1.0</v>
      </c>
      <c r="T47" s="60">
        <v>1.0</v>
      </c>
      <c r="U47" s="60">
        <v>1.0</v>
      </c>
      <c r="V47" s="13">
        <f t="shared" si="14"/>
        <v>24</v>
      </c>
    </row>
    <row r="48" ht="12.75" customHeight="1">
      <c r="A48" s="18"/>
      <c r="B48" s="57"/>
      <c r="C48" s="58" t="s">
        <v>42</v>
      </c>
      <c r="D48" s="59"/>
      <c r="E48" s="60">
        <v>1.0</v>
      </c>
      <c r="F48" s="60">
        <v>0.0</v>
      </c>
      <c r="G48" s="60">
        <v>3.0</v>
      </c>
      <c r="H48" s="60">
        <v>0.0</v>
      </c>
      <c r="I48" s="60">
        <v>1.0</v>
      </c>
      <c r="J48" s="60">
        <v>1.0</v>
      </c>
      <c r="K48" s="60">
        <v>0.0</v>
      </c>
      <c r="L48" s="60">
        <v>1.0</v>
      </c>
      <c r="M48" s="60">
        <v>2.0</v>
      </c>
      <c r="N48" s="60">
        <v>1.0</v>
      </c>
      <c r="O48" s="60">
        <v>0.0</v>
      </c>
      <c r="P48" s="60">
        <v>0.0</v>
      </c>
      <c r="Q48" s="60">
        <v>0.0</v>
      </c>
      <c r="R48" s="60">
        <v>0.0</v>
      </c>
      <c r="S48" s="60">
        <v>0.0</v>
      </c>
      <c r="T48" s="60">
        <v>0.0</v>
      </c>
      <c r="U48" s="60">
        <v>0.0</v>
      </c>
      <c r="V48" s="13">
        <f t="shared" si="14"/>
        <v>10</v>
      </c>
    </row>
    <row r="49" ht="12.75" customHeight="1">
      <c r="A49" s="18"/>
      <c r="B49" s="57"/>
      <c r="C49" s="58" t="s">
        <v>43</v>
      </c>
      <c r="D49" s="59"/>
      <c r="E49" s="60">
        <v>1.0</v>
      </c>
      <c r="F49" s="60">
        <v>0.0</v>
      </c>
      <c r="G49" s="60">
        <v>0.0</v>
      </c>
      <c r="H49" s="60">
        <v>0.0</v>
      </c>
      <c r="I49" s="60">
        <v>1.0</v>
      </c>
      <c r="J49" s="60">
        <v>1.0</v>
      </c>
      <c r="K49" s="60">
        <v>0.0</v>
      </c>
      <c r="L49" s="60">
        <v>0.0</v>
      </c>
      <c r="M49" s="60">
        <v>1.0</v>
      </c>
      <c r="N49" s="60">
        <v>0.0</v>
      </c>
      <c r="O49" s="60">
        <v>0.0</v>
      </c>
      <c r="P49" s="60">
        <v>0.0</v>
      </c>
      <c r="Q49" s="60">
        <v>0.0</v>
      </c>
      <c r="R49" s="60">
        <v>0.0</v>
      </c>
      <c r="S49" s="60">
        <v>0.0</v>
      </c>
      <c r="T49" s="60">
        <v>0.0</v>
      </c>
      <c r="U49" s="60">
        <v>0.0</v>
      </c>
      <c r="V49" s="13">
        <f t="shared" si="14"/>
        <v>4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0.0</v>
      </c>
      <c r="G50" s="60">
        <v>0.0</v>
      </c>
      <c r="H50" s="60">
        <v>0.0</v>
      </c>
      <c r="I50" s="60">
        <v>0.0</v>
      </c>
      <c r="J50" s="60">
        <v>0.0</v>
      </c>
      <c r="K50" s="60">
        <v>1.0</v>
      </c>
      <c r="L50" s="60">
        <v>0.0</v>
      </c>
      <c r="M50" s="60">
        <v>0.0</v>
      </c>
      <c r="N50" s="60">
        <v>0.0</v>
      </c>
      <c r="O50" s="60">
        <v>0.0</v>
      </c>
      <c r="P50" s="60">
        <v>2.0</v>
      </c>
      <c r="Q50" s="60">
        <v>1.0</v>
      </c>
      <c r="R50" s="60">
        <v>0.0</v>
      </c>
      <c r="S50" s="60">
        <v>0.0</v>
      </c>
      <c r="T50" s="60">
        <v>1.0</v>
      </c>
      <c r="U50" s="60">
        <v>0.0</v>
      </c>
      <c r="V50" s="13">
        <f t="shared" si="14"/>
        <v>5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0.0</v>
      </c>
      <c r="I51" s="60">
        <v>0.0</v>
      </c>
      <c r="J51" s="60">
        <v>0.0</v>
      </c>
      <c r="K51" s="60">
        <v>0.0</v>
      </c>
      <c r="L51" s="60">
        <v>0.0</v>
      </c>
      <c r="M51" s="60">
        <v>0.0</v>
      </c>
      <c r="N51" s="60">
        <v>0.0</v>
      </c>
      <c r="O51" s="60">
        <v>0.0</v>
      </c>
      <c r="P51" s="60">
        <v>0.0</v>
      </c>
      <c r="Q51" s="60">
        <v>1.0</v>
      </c>
      <c r="R51" s="60">
        <v>0.0</v>
      </c>
      <c r="S51" s="60">
        <v>2.0</v>
      </c>
      <c r="T51" s="60">
        <v>2.0</v>
      </c>
      <c r="U51" s="60">
        <v>0.0</v>
      </c>
      <c r="V51" s="13">
        <f t="shared" si="14"/>
        <v>5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U52" si="15">SUM(E45:E51)</f>
        <v>19</v>
      </c>
      <c r="F52" s="64">
        <f t="shared" si="15"/>
        <v>21</v>
      </c>
      <c r="G52" s="64">
        <f t="shared" si="15"/>
        <v>42</v>
      </c>
      <c r="H52" s="64">
        <f t="shared" si="15"/>
        <v>47</v>
      </c>
      <c r="I52" s="64">
        <f t="shared" si="15"/>
        <v>23</v>
      </c>
      <c r="J52" s="64">
        <f t="shared" si="15"/>
        <v>25</v>
      </c>
      <c r="K52" s="64">
        <f t="shared" si="15"/>
        <v>24</v>
      </c>
      <c r="L52" s="64">
        <f t="shared" si="15"/>
        <v>61</v>
      </c>
      <c r="M52" s="64">
        <f t="shared" si="15"/>
        <v>25</v>
      </c>
      <c r="N52" s="64">
        <f t="shared" si="15"/>
        <v>27</v>
      </c>
      <c r="O52" s="64">
        <f t="shared" si="15"/>
        <v>18</v>
      </c>
      <c r="P52" s="64">
        <f t="shared" si="15"/>
        <v>67</v>
      </c>
      <c r="Q52" s="64">
        <f t="shared" si="15"/>
        <v>36</v>
      </c>
      <c r="R52" s="64">
        <f t="shared" si="15"/>
        <v>24</v>
      </c>
      <c r="S52" s="64">
        <f t="shared" si="15"/>
        <v>21</v>
      </c>
      <c r="T52" s="64">
        <f t="shared" si="15"/>
        <v>14</v>
      </c>
      <c r="U52" s="64">
        <f t="shared" si="15"/>
        <v>20</v>
      </c>
      <c r="V52" s="13">
        <f t="shared" si="14"/>
        <v>514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11.0</v>
      </c>
      <c r="F54" s="60">
        <v>5.0</v>
      </c>
      <c r="G54" s="60">
        <v>7.0</v>
      </c>
      <c r="H54" s="60">
        <v>6.0</v>
      </c>
      <c r="I54" s="60">
        <v>7.0</v>
      </c>
      <c r="J54" s="60">
        <v>7.0</v>
      </c>
      <c r="K54" s="60">
        <v>11.0</v>
      </c>
      <c r="L54" s="60">
        <v>8.0</v>
      </c>
      <c r="M54" s="60">
        <v>18.0</v>
      </c>
      <c r="N54" s="60">
        <v>8.0</v>
      </c>
      <c r="O54" s="60">
        <v>3.0</v>
      </c>
      <c r="P54" s="60">
        <v>4.0</v>
      </c>
      <c r="Q54" s="60">
        <v>13.0</v>
      </c>
      <c r="R54" s="60">
        <v>10.0</v>
      </c>
      <c r="S54" s="60">
        <v>14.0</v>
      </c>
      <c r="T54" s="60">
        <v>12.0</v>
      </c>
      <c r="U54" s="60">
        <v>5.0</v>
      </c>
      <c r="V54" s="13">
        <f t="shared" si="14"/>
        <v>149</v>
      </c>
    </row>
    <row r="55" ht="15.0" customHeight="1">
      <c r="A55" s="31" t="s">
        <v>39</v>
      </c>
      <c r="B55" s="57"/>
      <c r="C55" s="58" t="s">
        <v>48</v>
      </c>
      <c r="D55" s="59"/>
      <c r="E55" s="60">
        <v>4.0</v>
      </c>
      <c r="F55" s="60">
        <v>1.0</v>
      </c>
      <c r="G55" s="60">
        <v>1.0</v>
      </c>
      <c r="H55" s="60">
        <v>4.0</v>
      </c>
      <c r="I55" s="60">
        <v>15.0</v>
      </c>
      <c r="J55" s="60">
        <v>0.0</v>
      </c>
      <c r="K55" s="60">
        <v>1.0</v>
      </c>
      <c r="L55" s="60">
        <v>2.0</v>
      </c>
      <c r="M55" s="60">
        <v>5.0</v>
      </c>
      <c r="N55" s="60">
        <v>4.0</v>
      </c>
      <c r="O55" s="60">
        <v>2.0</v>
      </c>
      <c r="P55" s="60">
        <v>2.0</v>
      </c>
      <c r="Q55" s="60">
        <v>3.0</v>
      </c>
      <c r="R55" s="60">
        <v>2.0</v>
      </c>
      <c r="S55" s="60">
        <v>26.0</v>
      </c>
      <c r="T55" s="60">
        <v>25.0</v>
      </c>
      <c r="U55" s="60">
        <v>7.0</v>
      </c>
      <c r="V55" s="13">
        <f t="shared" si="14"/>
        <v>104</v>
      </c>
    </row>
    <row r="56" ht="12.75" customHeight="1">
      <c r="A56" s="18"/>
      <c r="B56" s="57"/>
      <c r="C56" s="58" t="s">
        <v>49</v>
      </c>
      <c r="D56" s="59"/>
      <c r="E56" s="60">
        <v>3.0</v>
      </c>
      <c r="F56" s="60">
        <v>4.0</v>
      </c>
      <c r="G56" s="60">
        <v>12.0</v>
      </c>
      <c r="H56" s="60">
        <v>13.0</v>
      </c>
      <c r="I56" s="60">
        <v>8.0</v>
      </c>
      <c r="J56" s="60">
        <v>13.0</v>
      </c>
      <c r="K56" s="60">
        <v>8.0</v>
      </c>
      <c r="L56" s="60">
        <v>7.0</v>
      </c>
      <c r="M56" s="60">
        <v>10.0</v>
      </c>
      <c r="N56" s="60">
        <v>5.0</v>
      </c>
      <c r="O56" s="60">
        <v>2.0</v>
      </c>
      <c r="P56" s="60">
        <v>2.0</v>
      </c>
      <c r="Q56" s="60">
        <v>17.0</v>
      </c>
      <c r="R56" s="60">
        <v>4.0</v>
      </c>
      <c r="S56" s="60">
        <v>6.0</v>
      </c>
      <c r="T56" s="60">
        <v>3.0</v>
      </c>
      <c r="U56" s="60">
        <v>2.0</v>
      </c>
      <c r="V56" s="13">
        <f t="shared" si="14"/>
        <v>119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1.0</v>
      </c>
      <c r="G57" s="60">
        <v>2.0</v>
      </c>
      <c r="H57" s="60">
        <v>1.0</v>
      </c>
      <c r="I57" s="60">
        <v>1.0</v>
      </c>
      <c r="J57" s="60">
        <v>1.0</v>
      </c>
      <c r="K57" s="60">
        <v>0.0</v>
      </c>
      <c r="L57" s="60">
        <v>2.0</v>
      </c>
      <c r="M57" s="60">
        <v>0.0</v>
      </c>
      <c r="N57" s="60">
        <v>1.0</v>
      </c>
      <c r="O57" s="60">
        <v>1.0</v>
      </c>
      <c r="P57" s="60">
        <v>0.0</v>
      </c>
      <c r="Q57" s="60">
        <v>1.0</v>
      </c>
      <c r="R57" s="60">
        <v>1.0</v>
      </c>
      <c r="S57" s="60">
        <v>1.0</v>
      </c>
      <c r="T57" s="60">
        <v>0.0</v>
      </c>
      <c r="U57" s="60">
        <v>0.0</v>
      </c>
      <c r="V57" s="13">
        <f t="shared" si="14"/>
        <v>13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0.0</v>
      </c>
      <c r="H58" s="60">
        <v>0.0</v>
      </c>
      <c r="I58" s="60">
        <v>1.0</v>
      </c>
      <c r="J58" s="60">
        <v>0.0</v>
      </c>
      <c r="K58" s="60">
        <v>1.0</v>
      </c>
      <c r="L58" s="60">
        <v>0.0</v>
      </c>
      <c r="M58" s="60">
        <v>1.0</v>
      </c>
      <c r="N58" s="60">
        <v>0.0</v>
      </c>
      <c r="O58" s="60">
        <v>0.0</v>
      </c>
      <c r="P58" s="60">
        <v>0.0</v>
      </c>
      <c r="Q58" s="60">
        <v>0.0</v>
      </c>
      <c r="R58" s="60">
        <v>0.0</v>
      </c>
      <c r="S58" s="60">
        <v>0.0</v>
      </c>
      <c r="T58" s="60">
        <v>0.0</v>
      </c>
      <c r="U58" s="60">
        <v>1.0</v>
      </c>
      <c r="V58" s="13">
        <f t="shared" si="14"/>
        <v>4</v>
      </c>
    </row>
    <row r="59" ht="12.75" customHeight="1">
      <c r="A59" s="18"/>
      <c r="B59" s="57"/>
      <c r="C59" s="58" t="s">
        <v>52</v>
      </c>
      <c r="D59" s="59"/>
      <c r="E59" s="60">
        <v>4.0</v>
      </c>
      <c r="F59" s="60">
        <v>3.0</v>
      </c>
      <c r="G59" s="60">
        <v>7.0</v>
      </c>
      <c r="H59" s="60">
        <v>13.0</v>
      </c>
      <c r="I59" s="60">
        <v>11.0</v>
      </c>
      <c r="J59" s="60">
        <v>27.0</v>
      </c>
      <c r="K59" s="60">
        <v>19.0</v>
      </c>
      <c r="L59" s="60">
        <v>15.0</v>
      </c>
      <c r="M59" s="60">
        <v>36.0</v>
      </c>
      <c r="N59" s="60">
        <v>22.0</v>
      </c>
      <c r="O59" s="60">
        <v>0.0</v>
      </c>
      <c r="P59" s="60">
        <v>8.0</v>
      </c>
      <c r="Q59" s="60">
        <v>4.0</v>
      </c>
      <c r="R59" s="60">
        <v>8.0</v>
      </c>
      <c r="S59" s="60">
        <v>10.0</v>
      </c>
      <c r="T59" s="60">
        <v>13.0</v>
      </c>
      <c r="U59" s="60">
        <v>29.0</v>
      </c>
      <c r="V59" s="13">
        <f t="shared" si="14"/>
        <v>229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1.0</v>
      </c>
      <c r="O60" s="60">
        <v>0.0</v>
      </c>
      <c r="P60" s="60">
        <v>0.0</v>
      </c>
      <c r="Q60" s="60">
        <v>0.0</v>
      </c>
      <c r="R60" s="60">
        <v>0.0</v>
      </c>
      <c r="S60" s="60">
        <v>0.0</v>
      </c>
      <c r="T60" s="60">
        <v>0.0</v>
      </c>
      <c r="U60" s="60">
        <v>2.0</v>
      </c>
      <c r="V60" s="13">
        <f t="shared" si="14"/>
        <v>3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U61" si="16">SUM(E54:E60)</f>
        <v>22</v>
      </c>
      <c r="F61" s="64">
        <f t="shared" si="16"/>
        <v>14</v>
      </c>
      <c r="G61" s="64">
        <f t="shared" si="16"/>
        <v>29</v>
      </c>
      <c r="H61" s="64">
        <f t="shared" si="16"/>
        <v>37</v>
      </c>
      <c r="I61" s="64">
        <f t="shared" si="16"/>
        <v>43</v>
      </c>
      <c r="J61" s="64">
        <f t="shared" si="16"/>
        <v>48</v>
      </c>
      <c r="K61" s="64">
        <f t="shared" si="16"/>
        <v>40</v>
      </c>
      <c r="L61" s="64">
        <f t="shared" si="16"/>
        <v>34</v>
      </c>
      <c r="M61" s="64">
        <f t="shared" si="16"/>
        <v>70</v>
      </c>
      <c r="N61" s="64">
        <f t="shared" si="16"/>
        <v>41</v>
      </c>
      <c r="O61" s="64">
        <f t="shared" si="16"/>
        <v>8</v>
      </c>
      <c r="P61" s="64">
        <f t="shared" si="16"/>
        <v>16</v>
      </c>
      <c r="Q61" s="64">
        <f t="shared" si="16"/>
        <v>38</v>
      </c>
      <c r="R61" s="64">
        <f t="shared" si="16"/>
        <v>25</v>
      </c>
      <c r="S61" s="64">
        <f t="shared" si="16"/>
        <v>57</v>
      </c>
      <c r="T61" s="64">
        <f t="shared" si="16"/>
        <v>53</v>
      </c>
      <c r="U61" s="64">
        <f t="shared" si="16"/>
        <v>46</v>
      </c>
      <c r="V61" s="13">
        <f t="shared" si="14"/>
        <v>621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8.0</v>
      </c>
      <c r="F63" s="60">
        <v>7.0</v>
      </c>
      <c r="G63" s="60">
        <v>4.0</v>
      </c>
      <c r="H63" s="60">
        <v>2.0</v>
      </c>
      <c r="I63" s="60">
        <v>9.0</v>
      </c>
      <c r="J63" s="60">
        <v>2.0</v>
      </c>
      <c r="K63" s="60">
        <v>4.0</v>
      </c>
      <c r="L63" s="60">
        <v>3.0</v>
      </c>
      <c r="M63" s="60">
        <v>7.0</v>
      </c>
      <c r="N63" s="60">
        <v>4.0</v>
      </c>
      <c r="O63" s="60">
        <v>6.0</v>
      </c>
      <c r="P63" s="60">
        <v>1.0</v>
      </c>
      <c r="Q63" s="60">
        <v>0.0</v>
      </c>
      <c r="R63" s="60">
        <v>8.0</v>
      </c>
      <c r="S63" s="60">
        <v>7.0</v>
      </c>
      <c r="T63" s="60">
        <v>3.0</v>
      </c>
      <c r="U63" s="60">
        <v>2.0</v>
      </c>
      <c r="V63" s="13">
        <f t="shared" si="14"/>
        <v>77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3.0</v>
      </c>
      <c r="F64" s="60">
        <v>2.0</v>
      </c>
      <c r="G64" s="60">
        <v>1.0</v>
      </c>
      <c r="H64" s="60">
        <v>1.0</v>
      </c>
      <c r="I64" s="60">
        <v>0.0</v>
      </c>
      <c r="J64" s="60">
        <v>3.0</v>
      </c>
      <c r="K64" s="60">
        <v>0.0</v>
      </c>
      <c r="L64" s="60">
        <v>2.0</v>
      </c>
      <c r="M64" s="60">
        <v>1.0</v>
      </c>
      <c r="N64" s="60">
        <v>1.0</v>
      </c>
      <c r="O64" s="60">
        <v>0.0</v>
      </c>
      <c r="P64" s="60">
        <v>0.0</v>
      </c>
      <c r="Q64" s="60">
        <v>1.0</v>
      </c>
      <c r="R64" s="60">
        <v>0.0</v>
      </c>
      <c r="S64" s="60">
        <v>2.0</v>
      </c>
      <c r="T64" s="60">
        <v>7.0</v>
      </c>
      <c r="U64" s="60">
        <v>17.0</v>
      </c>
      <c r="V64" s="13">
        <f t="shared" si="14"/>
        <v>41</v>
      </c>
    </row>
    <row r="65" ht="12.75" customHeight="1">
      <c r="A65" s="18"/>
      <c r="B65" s="57"/>
      <c r="C65" s="58" t="s">
        <v>56</v>
      </c>
      <c r="D65" s="59"/>
      <c r="E65" s="60">
        <v>3.0</v>
      </c>
      <c r="F65" s="60">
        <v>14.0</v>
      </c>
      <c r="G65" s="60">
        <v>2.0</v>
      </c>
      <c r="H65" s="60">
        <v>2.0</v>
      </c>
      <c r="I65" s="60">
        <v>6.0</v>
      </c>
      <c r="J65" s="60">
        <v>7.0</v>
      </c>
      <c r="K65" s="60">
        <v>8.0</v>
      </c>
      <c r="L65" s="60">
        <v>15.0</v>
      </c>
      <c r="M65" s="60">
        <v>3.0</v>
      </c>
      <c r="N65" s="60">
        <v>7.0</v>
      </c>
      <c r="O65" s="60">
        <v>10.0</v>
      </c>
      <c r="P65" s="60">
        <v>4.0</v>
      </c>
      <c r="Q65" s="60">
        <v>2.0</v>
      </c>
      <c r="R65" s="60">
        <v>14.0</v>
      </c>
      <c r="S65" s="60">
        <v>4.0</v>
      </c>
      <c r="T65" s="60">
        <v>1.0</v>
      </c>
      <c r="U65" s="60">
        <v>1.0</v>
      </c>
      <c r="V65" s="13">
        <f t="shared" si="14"/>
        <v>103</v>
      </c>
    </row>
    <row r="66" ht="12.75" customHeight="1">
      <c r="A66" s="18"/>
      <c r="B66" s="57"/>
      <c r="C66" s="58" t="s">
        <v>57</v>
      </c>
      <c r="D66" s="59"/>
      <c r="E66" s="60">
        <v>14.0</v>
      </c>
      <c r="F66" s="60">
        <v>3.0</v>
      </c>
      <c r="G66" s="60">
        <v>2.0</v>
      </c>
      <c r="H66" s="60">
        <v>1.0</v>
      </c>
      <c r="I66" s="60">
        <v>2.0</v>
      </c>
      <c r="J66" s="60">
        <v>2.0</v>
      </c>
      <c r="K66" s="60">
        <v>0.0</v>
      </c>
      <c r="L66" s="60">
        <v>10.0</v>
      </c>
      <c r="M66" s="60">
        <v>2.0</v>
      </c>
      <c r="N66" s="60">
        <v>0.0</v>
      </c>
      <c r="O66" s="60">
        <v>4.0</v>
      </c>
      <c r="P66" s="60">
        <v>7.0</v>
      </c>
      <c r="Q66" s="60">
        <v>1.0</v>
      </c>
      <c r="R66" s="60">
        <v>2.0</v>
      </c>
      <c r="S66" s="60">
        <v>2.0</v>
      </c>
      <c r="T66" s="60">
        <v>0.0</v>
      </c>
      <c r="U66" s="60">
        <v>0.0</v>
      </c>
      <c r="V66" s="13">
        <f t="shared" si="14"/>
        <v>52</v>
      </c>
    </row>
    <row r="67" ht="12.75" customHeight="1">
      <c r="A67" s="18"/>
      <c r="B67" s="57"/>
      <c r="C67" s="58" t="s">
        <v>58</v>
      </c>
      <c r="D67" s="59"/>
      <c r="E67" s="60">
        <v>1.0</v>
      </c>
      <c r="F67" s="60">
        <v>0.0</v>
      </c>
      <c r="G67" s="60">
        <v>0.0</v>
      </c>
      <c r="H67" s="60">
        <v>0.0</v>
      </c>
      <c r="I67" s="60">
        <v>1.0</v>
      </c>
      <c r="J67" s="60">
        <v>0.0</v>
      </c>
      <c r="K67" s="60">
        <v>0.0</v>
      </c>
      <c r="L67" s="60">
        <v>0.0</v>
      </c>
      <c r="M67" s="60">
        <v>0.0</v>
      </c>
      <c r="N67" s="60">
        <v>0.0</v>
      </c>
      <c r="O67" s="60">
        <v>0.0</v>
      </c>
      <c r="P67" s="60">
        <v>0.0</v>
      </c>
      <c r="Q67" s="60">
        <v>3.0</v>
      </c>
      <c r="R67" s="60">
        <v>1.0</v>
      </c>
      <c r="S67" s="60">
        <v>0.0</v>
      </c>
      <c r="T67" s="60">
        <v>0.0</v>
      </c>
      <c r="U67" s="60">
        <v>0.0</v>
      </c>
      <c r="V67" s="13">
        <f t="shared" si="14"/>
        <v>6</v>
      </c>
    </row>
    <row r="68" ht="12.75" customHeight="1">
      <c r="A68" s="18"/>
      <c r="B68" s="57"/>
      <c r="C68" s="58" t="s">
        <v>59</v>
      </c>
      <c r="D68" s="59"/>
      <c r="E68" s="60">
        <v>32.0</v>
      </c>
      <c r="F68" s="60">
        <v>42.0</v>
      </c>
      <c r="G68" s="60">
        <v>57.0</v>
      </c>
      <c r="H68" s="60">
        <v>15.0</v>
      </c>
      <c r="I68" s="60">
        <v>47.0</v>
      </c>
      <c r="J68" s="60">
        <v>14.0</v>
      </c>
      <c r="K68" s="60">
        <v>10.0</v>
      </c>
      <c r="L68" s="60">
        <v>11.0</v>
      </c>
      <c r="M68" s="60">
        <v>22.0</v>
      </c>
      <c r="N68" s="60">
        <v>56.0</v>
      </c>
      <c r="O68" s="60">
        <v>151.0</v>
      </c>
      <c r="P68" s="60">
        <v>6.0</v>
      </c>
      <c r="Q68" s="60">
        <v>13.0</v>
      </c>
      <c r="R68" s="60">
        <v>45.0</v>
      </c>
      <c r="S68" s="60">
        <v>32.0</v>
      </c>
      <c r="T68" s="60">
        <v>1.0</v>
      </c>
      <c r="U68" s="60">
        <v>0.0</v>
      </c>
      <c r="V68" s="13">
        <f t="shared" si="14"/>
        <v>554</v>
      </c>
    </row>
    <row r="69" ht="12.75" customHeight="1">
      <c r="A69" s="18"/>
      <c r="B69" s="57"/>
      <c r="C69" s="58" t="s">
        <v>60</v>
      </c>
      <c r="D69" s="59"/>
      <c r="E69" s="60">
        <v>2.0</v>
      </c>
      <c r="F69" s="60">
        <v>2.0</v>
      </c>
      <c r="G69" s="60">
        <v>1.0</v>
      </c>
      <c r="H69" s="60">
        <v>0.0</v>
      </c>
      <c r="I69" s="60">
        <v>0.0</v>
      </c>
      <c r="J69" s="60">
        <v>1.0</v>
      </c>
      <c r="K69" s="60">
        <v>0.0</v>
      </c>
      <c r="L69" s="60">
        <v>4.0</v>
      </c>
      <c r="M69" s="60">
        <v>0.0</v>
      </c>
      <c r="N69" s="60">
        <v>0.0</v>
      </c>
      <c r="O69" s="60">
        <v>0.0</v>
      </c>
      <c r="P69" s="60">
        <v>0.0</v>
      </c>
      <c r="Q69" s="60">
        <v>0.0</v>
      </c>
      <c r="R69" s="60">
        <v>2.0</v>
      </c>
      <c r="S69" s="60">
        <v>0.0</v>
      </c>
      <c r="T69" s="60">
        <v>2.0</v>
      </c>
      <c r="U69" s="60">
        <v>0.0</v>
      </c>
      <c r="V69" s="13">
        <f t="shared" si="14"/>
        <v>14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U70" si="17">SUM(E63:E69)</f>
        <v>63</v>
      </c>
      <c r="F70" s="64">
        <f t="shared" si="17"/>
        <v>70</v>
      </c>
      <c r="G70" s="64">
        <f t="shared" si="17"/>
        <v>67</v>
      </c>
      <c r="H70" s="64">
        <f t="shared" si="17"/>
        <v>21</v>
      </c>
      <c r="I70" s="64">
        <f t="shared" si="17"/>
        <v>65</v>
      </c>
      <c r="J70" s="64">
        <f t="shared" si="17"/>
        <v>29</v>
      </c>
      <c r="K70" s="64">
        <f t="shared" si="17"/>
        <v>22</v>
      </c>
      <c r="L70" s="64">
        <f t="shared" si="17"/>
        <v>45</v>
      </c>
      <c r="M70" s="64">
        <f t="shared" si="17"/>
        <v>35</v>
      </c>
      <c r="N70" s="64">
        <f t="shared" si="17"/>
        <v>68</v>
      </c>
      <c r="O70" s="64">
        <f t="shared" si="17"/>
        <v>171</v>
      </c>
      <c r="P70" s="64">
        <f t="shared" si="17"/>
        <v>18</v>
      </c>
      <c r="Q70" s="64">
        <f t="shared" si="17"/>
        <v>20</v>
      </c>
      <c r="R70" s="64">
        <f t="shared" si="17"/>
        <v>72</v>
      </c>
      <c r="S70" s="64">
        <f t="shared" si="17"/>
        <v>47</v>
      </c>
      <c r="T70" s="64">
        <f t="shared" si="17"/>
        <v>14</v>
      </c>
      <c r="U70" s="64">
        <f t="shared" si="17"/>
        <v>20</v>
      </c>
      <c r="V70" s="13">
        <f t="shared" si="14"/>
        <v>847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1.0</v>
      </c>
      <c r="F72" s="60">
        <v>2.0</v>
      </c>
      <c r="G72" s="60">
        <v>2.0</v>
      </c>
      <c r="H72" s="60">
        <v>2.0</v>
      </c>
      <c r="I72" s="60">
        <v>2.0</v>
      </c>
      <c r="J72" s="60">
        <v>0.0</v>
      </c>
      <c r="K72" s="60">
        <v>9.0</v>
      </c>
      <c r="L72" s="60">
        <v>1.0</v>
      </c>
      <c r="M72" s="60">
        <v>3.0</v>
      </c>
      <c r="N72" s="60">
        <v>1.0</v>
      </c>
      <c r="O72" s="60">
        <v>1.0</v>
      </c>
      <c r="P72" s="60">
        <v>1.0</v>
      </c>
      <c r="Q72" s="60">
        <v>5.0</v>
      </c>
      <c r="R72" s="60">
        <v>3.0</v>
      </c>
      <c r="S72" s="60">
        <v>5.0</v>
      </c>
      <c r="T72" s="60">
        <v>12.0</v>
      </c>
      <c r="U72" s="60">
        <v>5.0</v>
      </c>
      <c r="V72" s="13">
        <f t="shared" si="14"/>
        <v>55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1.0</v>
      </c>
      <c r="F73" s="60">
        <v>11.0</v>
      </c>
      <c r="G73" s="60">
        <v>5.0</v>
      </c>
      <c r="H73" s="60">
        <v>10.0</v>
      </c>
      <c r="I73" s="60">
        <v>7.0</v>
      </c>
      <c r="J73" s="60">
        <v>10.0</v>
      </c>
      <c r="K73" s="60">
        <v>26.0</v>
      </c>
      <c r="L73" s="60">
        <v>7.0</v>
      </c>
      <c r="M73" s="60">
        <v>2.0</v>
      </c>
      <c r="N73" s="60">
        <v>4.0</v>
      </c>
      <c r="O73" s="60">
        <v>7.0</v>
      </c>
      <c r="P73" s="60">
        <v>11.0</v>
      </c>
      <c r="Q73" s="60">
        <v>4.0</v>
      </c>
      <c r="R73" s="60">
        <v>9.0</v>
      </c>
      <c r="S73" s="60">
        <v>18.0</v>
      </c>
      <c r="T73" s="60">
        <v>25.0</v>
      </c>
      <c r="U73" s="60">
        <v>7.0</v>
      </c>
      <c r="V73" s="13">
        <f t="shared" si="14"/>
        <v>164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1.0</v>
      </c>
      <c r="G74" s="60">
        <v>0.0</v>
      </c>
      <c r="H74" s="60">
        <v>0.0</v>
      </c>
      <c r="I74" s="60">
        <v>0.0</v>
      </c>
      <c r="J74" s="60">
        <v>1.0</v>
      </c>
      <c r="K74" s="60">
        <v>1.0</v>
      </c>
      <c r="L74" s="60">
        <v>1.0</v>
      </c>
      <c r="M74" s="60">
        <v>0.0</v>
      </c>
      <c r="N74" s="60">
        <v>0.0</v>
      </c>
      <c r="O74" s="60">
        <v>0.0</v>
      </c>
      <c r="P74" s="60">
        <v>0.0</v>
      </c>
      <c r="Q74" s="60">
        <v>0.0</v>
      </c>
      <c r="R74" s="60">
        <v>2.0</v>
      </c>
      <c r="S74" s="60">
        <v>1.0</v>
      </c>
      <c r="T74" s="60">
        <v>3.0</v>
      </c>
      <c r="U74" s="60">
        <v>2.0</v>
      </c>
      <c r="V74" s="13">
        <f t="shared" si="14"/>
        <v>12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0.0</v>
      </c>
      <c r="G75" s="60">
        <v>0.0</v>
      </c>
      <c r="H75" s="60">
        <v>0.0</v>
      </c>
      <c r="I75" s="60">
        <v>0.0</v>
      </c>
      <c r="J75" s="60">
        <v>2.0</v>
      </c>
      <c r="K75" s="60">
        <v>0.0</v>
      </c>
      <c r="L75" s="60">
        <v>0.0</v>
      </c>
      <c r="M75" s="60">
        <v>0.0</v>
      </c>
      <c r="N75" s="60">
        <v>0.0</v>
      </c>
      <c r="O75" s="60">
        <v>0.0</v>
      </c>
      <c r="P75" s="60">
        <v>0.0</v>
      </c>
      <c r="Q75" s="60">
        <v>0.0</v>
      </c>
      <c r="R75" s="60">
        <v>0.0</v>
      </c>
      <c r="S75" s="60">
        <v>0.0</v>
      </c>
      <c r="T75" s="60">
        <v>0.0</v>
      </c>
      <c r="U75" s="60">
        <v>0.0</v>
      </c>
      <c r="V75" s="13">
        <f t="shared" si="14"/>
        <v>2</v>
      </c>
    </row>
    <row r="76" ht="12.75" customHeight="1">
      <c r="A76" s="18"/>
      <c r="B76" s="57"/>
      <c r="C76" s="58" t="s">
        <v>65</v>
      </c>
      <c r="D76" s="59"/>
      <c r="E76" s="60">
        <v>3.0</v>
      </c>
      <c r="F76" s="60">
        <v>3.0</v>
      </c>
      <c r="G76" s="60">
        <v>7.0</v>
      </c>
      <c r="H76" s="60">
        <v>5.0</v>
      </c>
      <c r="I76" s="60">
        <v>1.0</v>
      </c>
      <c r="J76" s="60">
        <v>5.0</v>
      </c>
      <c r="K76" s="60">
        <v>4.0</v>
      </c>
      <c r="L76" s="60">
        <v>0.0</v>
      </c>
      <c r="M76" s="60">
        <v>2.0</v>
      </c>
      <c r="N76" s="60">
        <v>2.0</v>
      </c>
      <c r="O76" s="60">
        <v>4.0</v>
      </c>
      <c r="P76" s="60">
        <v>0.0</v>
      </c>
      <c r="Q76" s="60">
        <v>0.0</v>
      </c>
      <c r="R76" s="60">
        <v>0.0</v>
      </c>
      <c r="S76" s="60">
        <v>0.0</v>
      </c>
      <c r="T76" s="60">
        <v>0.0</v>
      </c>
      <c r="U76" s="60">
        <v>1.0</v>
      </c>
      <c r="V76" s="13">
        <f t="shared" si="14"/>
        <v>37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60">
        <v>0.0</v>
      </c>
      <c r="P77" s="60">
        <v>2.0</v>
      </c>
      <c r="Q77" s="60">
        <v>0.0</v>
      </c>
      <c r="R77" s="60">
        <v>0.0</v>
      </c>
      <c r="S77" s="60">
        <v>1.0</v>
      </c>
      <c r="T77" s="60">
        <v>13.0</v>
      </c>
      <c r="U77" s="60">
        <v>29.0</v>
      </c>
      <c r="V77" s="13">
        <f t="shared" si="14"/>
        <v>45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60">
        <v>0.0</v>
      </c>
      <c r="O78" s="60">
        <v>0.0</v>
      </c>
      <c r="P78" s="60">
        <v>0.0</v>
      </c>
      <c r="Q78" s="60">
        <v>0.0</v>
      </c>
      <c r="R78" s="60">
        <v>0.0</v>
      </c>
      <c r="S78" s="60">
        <v>0.0</v>
      </c>
      <c r="T78" s="60">
        <v>0.0</v>
      </c>
      <c r="U78" s="60">
        <v>2.0</v>
      </c>
      <c r="V78" s="13">
        <f t="shared" si="14"/>
        <v>2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U79" si="18">SUM(E72:E78)</f>
        <v>5</v>
      </c>
      <c r="F79" s="64">
        <f t="shared" si="18"/>
        <v>17</v>
      </c>
      <c r="G79" s="64">
        <f t="shared" si="18"/>
        <v>14</v>
      </c>
      <c r="H79" s="64">
        <f t="shared" si="18"/>
        <v>17</v>
      </c>
      <c r="I79" s="64">
        <f t="shared" si="18"/>
        <v>10</v>
      </c>
      <c r="J79" s="64">
        <f t="shared" si="18"/>
        <v>18</v>
      </c>
      <c r="K79" s="64">
        <f t="shared" si="18"/>
        <v>40</v>
      </c>
      <c r="L79" s="64">
        <f t="shared" si="18"/>
        <v>9</v>
      </c>
      <c r="M79" s="64">
        <f t="shared" si="18"/>
        <v>7</v>
      </c>
      <c r="N79" s="64">
        <f t="shared" si="18"/>
        <v>7</v>
      </c>
      <c r="O79" s="64">
        <f t="shared" si="18"/>
        <v>12</v>
      </c>
      <c r="P79" s="64">
        <f t="shared" si="18"/>
        <v>14</v>
      </c>
      <c r="Q79" s="64">
        <f t="shared" si="18"/>
        <v>9</v>
      </c>
      <c r="R79" s="64">
        <f t="shared" si="18"/>
        <v>14</v>
      </c>
      <c r="S79" s="64">
        <f t="shared" si="18"/>
        <v>25</v>
      </c>
      <c r="T79" s="64">
        <f t="shared" si="18"/>
        <v>53</v>
      </c>
      <c r="U79" s="64">
        <f t="shared" si="18"/>
        <v>46</v>
      </c>
      <c r="V79" s="13">
        <f t="shared" si="14"/>
        <v>317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4.0</v>
      </c>
      <c r="F81" s="60">
        <v>3.0</v>
      </c>
      <c r="G81" s="60">
        <v>12.0</v>
      </c>
      <c r="H81" s="60">
        <v>3.0</v>
      </c>
      <c r="I81" s="60">
        <v>11.0</v>
      </c>
      <c r="J81" s="60">
        <v>8.0</v>
      </c>
      <c r="K81" s="60">
        <v>9.0</v>
      </c>
      <c r="L81" s="60">
        <v>2.0</v>
      </c>
      <c r="M81" s="60">
        <v>12.0</v>
      </c>
      <c r="N81" s="60">
        <v>5.0</v>
      </c>
      <c r="O81" s="60">
        <v>6.0</v>
      </c>
      <c r="P81" s="60">
        <v>3.0</v>
      </c>
      <c r="Q81" s="60">
        <v>17.0</v>
      </c>
      <c r="R81" s="60">
        <v>5.0</v>
      </c>
      <c r="S81" s="60">
        <v>6.0</v>
      </c>
      <c r="T81" s="60">
        <v>1.0</v>
      </c>
      <c r="U81" s="60">
        <v>10.0</v>
      </c>
      <c r="V81" s="13">
        <f t="shared" si="14"/>
        <v>117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4.0</v>
      </c>
      <c r="F82" s="60">
        <v>2.0</v>
      </c>
      <c r="G82" s="60">
        <v>3.0</v>
      </c>
      <c r="H82" s="60">
        <v>3.0</v>
      </c>
      <c r="I82" s="60">
        <v>5.0</v>
      </c>
      <c r="J82" s="60">
        <v>37.0</v>
      </c>
      <c r="K82" s="60">
        <v>1.0</v>
      </c>
      <c r="L82" s="60">
        <v>6.0</v>
      </c>
      <c r="M82" s="60">
        <v>0.0</v>
      </c>
      <c r="N82" s="60">
        <v>1.0</v>
      </c>
      <c r="O82" s="60">
        <v>1.0</v>
      </c>
      <c r="P82" s="60">
        <v>1.0</v>
      </c>
      <c r="Q82" s="60">
        <v>3.0</v>
      </c>
      <c r="R82" s="60">
        <v>1.0</v>
      </c>
      <c r="S82" s="60">
        <v>17.0</v>
      </c>
      <c r="T82" s="60">
        <v>4.0</v>
      </c>
      <c r="U82" s="60">
        <v>0.0</v>
      </c>
      <c r="V82" s="13">
        <f t="shared" si="14"/>
        <v>89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0.0</v>
      </c>
      <c r="H83" s="60">
        <v>0.0</v>
      </c>
      <c r="I83" s="60">
        <v>0.0</v>
      </c>
      <c r="J83" s="60">
        <v>0.0</v>
      </c>
      <c r="K83" s="60">
        <v>0.0</v>
      </c>
      <c r="L83" s="60">
        <v>0.0</v>
      </c>
      <c r="M83" s="60">
        <v>0.0</v>
      </c>
      <c r="N83" s="60">
        <v>0.0</v>
      </c>
      <c r="O83" s="60">
        <v>0.0</v>
      </c>
      <c r="P83" s="60">
        <v>0.0</v>
      </c>
      <c r="Q83" s="60">
        <v>0.0</v>
      </c>
      <c r="R83" s="60">
        <v>0.0</v>
      </c>
      <c r="S83" s="60">
        <v>0.0</v>
      </c>
      <c r="T83" s="60">
        <v>1.0</v>
      </c>
      <c r="U83" s="60">
        <v>0.0</v>
      </c>
      <c r="V83" s="13">
        <f t="shared" si="14"/>
        <v>1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1.0</v>
      </c>
      <c r="H84" s="60">
        <v>0.0</v>
      </c>
      <c r="I84" s="60">
        <v>0.0</v>
      </c>
      <c r="J84" s="60">
        <v>0.0</v>
      </c>
      <c r="K84" s="60">
        <v>0.0</v>
      </c>
      <c r="L84" s="60">
        <v>0.0</v>
      </c>
      <c r="M84" s="60">
        <v>1.0</v>
      </c>
      <c r="N84" s="60">
        <v>1.0</v>
      </c>
      <c r="O84" s="60">
        <v>0.0</v>
      </c>
      <c r="P84" s="60">
        <v>0.0</v>
      </c>
      <c r="Q84" s="60">
        <v>0.0</v>
      </c>
      <c r="R84" s="60">
        <v>0.0</v>
      </c>
      <c r="S84" s="60">
        <v>0.0</v>
      </c>
      <c r="T84" s="60">
        <v>1.0</v>
      </c>
      <c r="U84" s="60">
        <v>0.0</v>
      </c>
      <c r="V84" s="13">
        <f t="shared" si="14"/>
        <v>4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1.0</v>
      </c>
      <c r="G85" s="60">
        <v>0.0</v>
      </c>
      <c r="H85" s="60">
        <v>3.0</v>
      </c>
      <c r="I85" s="60">
        <v>0.0</v>
      </c>
      <c r="J85" s="60">
        <v>0.0</v>
      </c>
      <c r="K85" s="60">
        <v>0.0</v>
      </c>
      <c r="L85" s="60">
        <v>0.0</v>
      </c>
      <c r="M85" s="60">
        <v>0.0</v>
      </c>
      <c r="N85" s="60">
        <v>0.0</v>
      </c>
      <c r="O85" s="60">
        <v>0.0</v>
      </c>
      <c r="P85" s="60">
        <v>0.0</v>
      </c>
      <c r="Q85" s="60">
        <v>2.0</v>
      </c>
      <c r="R85" s="60">
        <v>0.0</v>
      </c>
      <c r="S85" s="60">
        <v>0.0</v>
      </c>
      <c r="T85" s="60">
        <v>0.0</v>
      </c>
      <c r="U85" s="60">
        <v>0.0</v>
      </c>
      <c r="V85" s="13">
        <f t="shared" si="14"/>
        <v>6</v>
      </c>
    </row>
    <row r="86" ht="12.75" customHeight="1">
      <c r="A86" s="18"/>
      <c r="B86" s="57"/>
      <c r="C86" s="58" t="s">
        <v>74</v>
      </c>
      <c r="D86" s="59"/>
      <c r="E86" s="60">
        <v>9.0</v>
      </c>
      <c r="F86" s="60">
        <v>15.0</v>
      </c>
      <c r="G86" s="60">
        <v>5.0</v>
      </c>
      <c r="H86" s="60">
        <v>9.0</v>
      </c>
      <c r="I86" s="60">
        <v>0.0</v>
      </c>
      <c r="J86" s="60">
        <v>0.0</v>
      </c>
      <c r="K86" s="60">
        <v>9.0</v>
      </c>
      <c r="L86" s="60">
        <v>2.0</v>
      </c>
      <c r="M86" s="60">
        <v>2.0</v>
      </c>
      <c r="N86" s="60">
        <v>1.0</v>
      </c>
      <c r="O86" s="60">
        <v>1.0</v>
      </c>
      <c r="P86" s="60">
        <v>22.0</v>
      </c>
      <c r="Q86" s="60">
        <v>33.0</v>
      </c>
      <c r="R86" s="60">
        <v>6.0</v>
      </c>
      <c r="S86" s="60">
        <v>1.0</v>
      </c>
      <c r="T86" s="60">
        <v>2.0</v>
      </c>
      <c r="U86" s="60">
        <v>2.0</v>
      </c>
      <c r="V86" s="13">
        <f t="shared" si="14"/>
        <v>119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3.0</v>
      </c>
      <c r="G87" s="60">
        <v>1.0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60">
        <v>0.0</v>
      </c>
      <c r="O87" s="60">
        <v>0.0</v>
      </c>
      <c r="P87" s="60">
        <v>0.0</v>
      </c>
      <c r="Q87" s="60">
        <v>1.0</v>
      </c>
      <c r="R87" s="60">
        <v>0.0</v>
      </c>
      <c r="S87" s="60">
        <v>0.0</v>
      </c>
      <c r="T87" s="60">
        <v>0.0</v>
      </c>
      <c r="U87" s="60">
        <v>0.0</v>
      </c>
      <c r="V87" s="13">
        <f t="shared" si="14"/>
        <v>5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U88" si="19">SUM(E81:E87)</f>
        <v>17</v>
      </c>
      <c r="F88" s="64">
        <f t="shared" si="19"/>
        <v>24</v>
      </c>
      <c r="G88" s="64">
        <f t="shared" si="19"/>
        <v>22</v>
      </c>
      <c r="H88" s="64">
        <f t="shared" si="19"/>
        <v>18</v>
      </c>
      <c r="I88" s="64">
        <f t="shared" si="19"/>
        <v>16</v>
      </c>
      <c r="J88" s="64">
        <f t="shared" si="19"/>
        <v>45</v>
      </c>
      <c r="K88" s="64">
        <f t="shared" si="19"/>
        <v>19</v>
      </c>
      <c r="L88" s="64">
        <f t="shared" si="19"/>
        <v>10</v>
      </c>
      <c r="M88" s="64">
        <f t="shared" si="19"/>
        <v>15</v>
      </c>
      <c r="N88" s="64">
        <f t="shared" si="19"/>
        <v>8</v>
      </c>
      <c r="O88" s="64">
        <f t="shared" si="19"/>
        <v>8</v>
      </c>
      <c r="P88" s="64">
        <f t="shared" si="19"/>
        <v>26</v>
      </c>
      <c r="Q88" s="64">
        <f t="shared" si="19"/>
        <v>56</v>
      </c>
      <c r="R88" s="64">
        <f t="shared" si="19"/>
        <v>12</v>
      </c>
      <c r="S88" s="64">
        <f t="shared" si="19"/>
        <v>24</v>
      </c>
      <c r="T88" s="64">
        <f t="shared" si="19"/>
        <v>9</v>
      </c>
      <c r="U88" s="64">
        <f t="shared" si="19"/>
        <v>12</v>
      </c>
      <c r="V88" s="13">
        <f t="shared" si="14"/>
        <v>341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1.0</v>
      </c>
      <c r="I90" s="60">
        <v>0.0</v>
      </c>
      <c r="J90" s="60">
        <v>0.0</v>
      </c>
      <c r="K90" s="60">
        <v>0.0</v>
      </c>
      <c r="L90" s="60">
        <v>0.0</v>
      </c>
      <c r="M90" s="60">
        <v>0.0</v>
      </c>
      <c r="N90" s="60">
        <v>0.0</v>
      </c>
      <c r="O90" s="60">
        <v>0.0</v>
      </c>
      <c r="P90" s="60">
        <v>0.0</v>
      </c>
      <c r="Q90" s="60">
        <v>0.0</v>
      </c>
      <c r="R90" s="60">
        <v>0.0</v>
      </c>
      <c r="S90" s="60">
        <v>0.0</v>
      </c>
      <c r="T90" s="60">
        <v>0.0</v>
      </c>
      <c r="U90" s="60">
        <v>1.0</v>
      </c>
      <c r="V90" s="13">
        <f t="shared" si="14"/>
        <v>2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0.0</v>
      </c>
      <c r="J91" s="60">
        <v>1.0</v>
      </c>
      <c r="K91" s="60">
        <v>0.0</v>
      </c>
      <c r="L91" s="60">
        <v>0.0</v>
      </c>
      <c r="M91" s="60">
        <v>0.0</v>
      </c>
      <c r="N91" s="60">
        <v>0.0</v>
      </c>
      <c r="O91" s="60">
        <v>0.0</v>
      </c>
      <c r="P91" s="60">
        <v>0.0</v>
      </c>
      <c r="Q91" s="60">
        <v>0.0</v>
      </c>
      <c r="R91" s="60">
        <v>0.0</v>
      </c>
      <c r="S91" s="60">
        <v>0.0</v>
      </c>
      <c r="T91" s="60">
        <v>0.0</v>
      </c>
      <c r="U91" s="60">
        <v>1.0</v>
      </c>
      <c r="V91" s="13">
        <f t="shared" si="14"/>
        <v>2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U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1</v>
      </c>
      <c r="I92" s="64">
        <f t="shared" si="20"/>
        <v>0</v>
      </c>
      <c r="J92" s="64">
        <f t="shared" si="20"/>
        <v>1</v>
      </c>
      <c r="K92" s="64">
        <f t="shared" si="20"/>
        <v>0</v>
      </c>
      <c r="L92" s="64">
        <f t="shared" si="20"/>
        <v>0</v>
      </c>
      <c r="M92" s="64">
        <f t="shared" si="20"/>
        <v>0</v>
      </c>
      <c r="N92" s="64">
        <f t="shared" si="20"/>
        <v>0</v>
      </c>
      <c r="O92" s="64">
        <f t="shared" si="20"/>
        <v>0</v>
      </c>
      <c r="P92" s="64">
        <f t="shared" si="20"/>
        <v>0</v>
      </c>
      <c r="Q92" s="64">
        <f t="shared" si="20"/>
        <v>0</v>
      </c>
      <c r="R92" s="64">
        <f t="shared" si="20"/>
        <v>0</v>
      </c>
      <c r="S92" s="64">
        <f t="shared" si="20"/>
        <v>0</v>
      </c>
      <c r="T92" s="64">
        <f t="shared" si="20"/>
        <v>0</v>
      </c>
      <c r="U92" s="64">
        <f t="shared" si="20"/>
        <v>2</v>
      </c>
      <c r="V92" s="13">
        <f t="shared" si="14"/>
        <v>4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6.0</v>
      </c>
      <c r="F94" s="60">
        <v>3.0</v>
      </c>
      <c r="G94" s="60">
        <v>5.0</v>
      </c>
      <c r="H94" s="60">
        <v>5.0</v>
      </c>
      <c r="I94" s="60">
        <v>1.0</v>
      </c>
      <c r="J94" s="60">
        <v>1.0</v>
      </c>
      <c r="K94" s="60">
        <v>1.0</v>
      </c>
      <c r="L94" s="60">
        <v>0.0</v>
      </c>
      <c r="M94" s="60">
        <v>2.0</v>
      </c>
      <c r="N94" s="60">
        <v>1.0</v>
      </c>
      <c r="O94" s="60">
        <v>0.0</v>
      </c>
      <c r="P94" s="60">
        <v>1.0</v>
      </c>
      <c r="Q94" s="60">
        <v>0.0</v>
      </c>
      <c r="R94" s="60">
        <v>6.0</v>
      </c>
      <c r="S94" s="60">
        <v>2.0</v>
      </c>
      <c r="T94" s="60">
        <v>2.0</v>
      </c>
      <c r="U94" s="60">
        <v>0.0</v>
      </c>
      <c r="V94" s="13">
        <f t="shared" si="14"/>
        <v>36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15.0</v>
      </c>
      <c r="F95" s="60">
        <v>29.0</v>
      </c>
      <c r="G95" s="60">
        <v>15.0</v>
      </c>
      <c r="H95" s="60">
        <v>14.0</v>
      </c>
      <c r="I95" s="60">
        <v>12.0</v>
      </c>
      <c r="J95" s="60">
        <v>2.0</v>
      </c>
      <c r="K95" s="60">
        <v>5.0</v>
      </c>
      <c r="L95" s="60">
        <v>8.0</v>
      </c>
      <c r="M95" s="60">
        <v>25.0</v>
      </c>
      <c r="N95" s="60">
        <v>11.0</v>
      </c>
      <c r="O95" s="60">
        <v>7.0</v>
      </c>
      <c r="P95" s="60">
        <v>7.0</v>
      </c>
      <c r="Q95" s="60">
        <v>3.0</v>
      </c>
      <c r="R95" s="60">
        <v>8.0</v>
      </c>
      <c r="S95" s="60">
        <v>2.0</v>
      </c>
      <c r="T95" s="60">
        <v>6.0</v>
      </c>
      <c r="U95" s="60">
        <v>7.0</v>
      </c>
      <c r="V95" s="13">
        <f t="shared" si="14"/>
        <v>176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0.0</v>
      </c>
      <c r="I96" s="60">
        <v>1.0</v>
      </c>
      <c r="J96" s="60">
        <v>0.0</v>
      </c>
      <c r="K96" s="60">
        <v>0.0</v>
      </c>
      <c r="L96" s="60">
        <v>0.0</v>
      </c>
      <c r="M96" s="60">
        <v>0.0</v>
      </c>
      <c r="N96" s="60">
        <v>0.0</v>
      </c>
      <c r="O96" s="60">
        <v>0.0</v>
      </c>
      <c r="P96" s="60">
        <v>0.0</v>
      </c>
      <c r="Q96" s="60">
        <v>0.0</v>
      </c>
      <c r="R96" s="60">
        <v>0.0</v>
      </c>
      <c r="S96" s="60">
        <v>0.0</v>
      </c>
      <c r="T96" s="60">
        <v>0.0</v>
      </c>
      <c r="U96" s="60">
        <v>0.0</v>
      </c>
      <c r="V96" s="13">
        <f t="shared" si="14"/>
        <v>1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1.0</v>
      </c>
      <c r="N97" s="60">
        <v>0.0</v>
      </c>
      <c r="O97" s="60">
        <v>0.0</v>
      </c>
      <c r="P97" s="60">
        <v>0.0</v>
      </c>
      <c r="Q97" s="60">
        <v>0.0</v>
      </c>
      <c r="R97" s="60">
        <v>0.0</v>
      </c>
      <c r="S97" s="60">
        <v>0.0</v>
      </c>
      <c r="T97" s="60">
        <v>0.0</v>
      </c>
      <c r="U97" s="60">
        <v>0.0</v>
      </c>
      <c r="V97" s="13">
        <f t="shared" si="14"/>
        <v>1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0.0</v>
      </c>
      <c r="S98" s="60">
        <v>0.0</v>
      </c>
      <c r="T98" s="60">
        <v>0.0</v>
      </c>
      <c r="U98" s="60">
        <v>0.0</v>
      </c>
      <c r="V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60">
        <v>1.0</v>
      </c>
      <c r="L99" s="60">
        <v>0.0</v>
      </c>
      <c r="M99" s="60">
        <v>1.0</v>
      </c>
      <c r="N99" s="60">
        <v>0.0</v>
      </c>
      <c r="O99" s="60">
        <v>0.0</v>
      </c>
      <c r="P99" s="60">
        <v>0.0</v>
      </c>
      <c r="Q99" s="60">
        <v>0.0</v>
      </c>
      <c r="R99" s="60">
        <v>0.0</v>
      </c>
      <c r="S99" s="60">
        <v>0.0</v>
      </c>
      <c r="T99" s="60">
        <v>0.0</v>
      </c>
      <c r="U99" s="60">
        <v>1.0</v>
      </c>
      <c r="V99" s="13">
        <f t="shared" si="14"/>
        <v>3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60">
        <v>0.0</v>
      </c>
      <c r="Q100" s="60">
        <v>0.0</v>
      </c>
      <c r="R100" s="60">
        <v>0.0</v>
      </c>
      <c r="S100" s="60">
        <v>0.0</v>
      </c>
      <c r="T100" s="60">
        <v>0.0</v>
      </c>
      <c r="U100" s="60">
        <v>0.0</v>
      </c>
      <c r="V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U101" si="21">SUM(E94:E100)</f>
        <v>21</v>
      </c>
      <c r="F101" s="64">
        <f t="shared" si="21"/>
        <v>32</v>
      </c>
      <c r="G101" s="64">
        <f t="shared" si="21"/>
        <v>20</v>
      </c>
      <c r="H101" s="64">
        <f t="shared" si="21"/>
        <v>19</v>
      </c>
      <c r="I101" s="64">
        <f t="shared" si="21"/>
        <v>14</v>
      </c>
      <c r="J101" s="64">
        <f t="shared" si="21"/>
        <v>3</v>
      </c>
      <c r="K101" s="64">
        <f t="shared" si="21"/>
        <v>7</v>
      </c>
      <c r="L101" s="64">
        <f t="shared" si="21"/>
        <v>8</v>
      </c>
      <c r="M101" s="64">
        <f t="shared" si="21"/>
        <v>29</v>
      </c>
      <c r="N101" s="64">
        <f t="shared" si="21"/>
        <v>12</v>
      </c>
      <c r="O101" s="64">
        <f t="shared" si="21"/>
        <v>7</v>
      </c>
      <c r="P101" s="64">
        <f t="shared" si="21"/>
        <v>8</v>
      </c>
      <c r="Q101" s="64">
        <f t="shared" si="21"/>
        <v>3</v>
      </c>
      <c r="R101" s="64">
        <f t="shared" si="21"/>
        <v>14</v>
      </c>
      <c r="S101" s="64">
        <f t="shared" si="21"/>
        <v>4</v>
      </c>
      <c r="T101" s="64">
        <f t="shared" si="21"/>
        <v>8</v>
      </c>
      <c r="U101" s="64">
        <f t="shared" si="21"/>
        <v>8</v>
      </c>
      <c r="V101" s="13">
        <f t="shared" si="14"/>
        <v>217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0.0</v>
      </c>
      <c r="G103" s="60">
        <v>0.0</v>
      </c>
      <c r="H103" s="60">
        <v>0.0</v>
      </c>
      <c r="I103" s="60">
        <v>0.0</v>
      </c>
      <c r="J103" s="60">
        <v>0.0</v>
      </c>
      <c r="K103" s="60">
        <v>3.0</v>
      </c>
      <c r="L103" s="60">
        <v>0.0</v>
      </c>
      <c r="M103" s="60">
        <v>0.0</v>
      </c>
      <c r="N103" s="60">
        <v>0.0</v>
      </c>
      <c r="O103" s="60">
        <v>0.0</v>
      </c>
      <c r="P103" s="60">
        <v>0.0</v>
      </c>
      <c r="Q103" s="60">
        <v>0.0</v>
      </c>
      <c r="R103" s="60">
        <v>0.0</v>
      </c>
      <c r="S103" s="60">
        <v>0.0</v>
      </c>
      <c r="T103" s="60">
        <v>0.0</v>
      </c>
      <c r="U103" s="60">
        <v>2.0</v>
      </c>
      <c r="V103" s="13">
        <f t="shared" si="14"/>
        <v>5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1.0</v>
      </c>
      <c r="F104" s="60">
        <v>4.0</v>
      </c>
      <c r="G104" s="60">
        <v>4.0</v>
      </c>
      <c r="H104" s="60">
        <v>2.0</v>
      </c>
      <c r="I104" s="60">
        <v>1.0</v>
      </c>
      <c r="J104" s="60">
        <v>2.0</v>
      </c>
      <c r="K104" s="60">
        <v>18.0</v>
      </c>
      <c r="L104" s="60">
        <v>3.0</v>
      </c>
      <c r="M104" s="60">
        <v>1.0</v>
      </c>
      <c r="N104" s="60">
        <v>3.0</v>
      </c>
      <c r="O104" s="60">
        <v>10.0</v>
      </c>
      <c r="P104" s="60">
        <v>3.0</v>
      </c>
      <c r="Q104" s="60">
        <v>0.0</v>
      </c>
      <c r="R104" s="60">
        <v>2.0</v>
      </c>
      <c r="S104" s="60">
        <v>0.0</v>
      </c>
      <c r="T104" s="60">
        <v>0.0</v>
      </c>
      <c r="U104" s="60">
        <v>2.0</v>
      </c>
      <c r="V104" s="13">
        <f t="shared" si="14"/>
        <v>56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0.0</v>
      </c>
      <c r="O105" s="60">
        <v>0.0</v>
      </c>
      <c r="P105" s="60">
        <v>0.0</v>
      </c>
      <c r="Q105" s="60">
        <v>0.0</v>
      </c>
      <c r="R105" s="60">
        <v>0.0</v>
      </c>
      <c r="S105" s="60">
        <v>0.0</v>
      </c>
      <c r="T105" s="60">
        <v>0.0</v>
      </c>
      <c r="U105" s="60">
        <v>0.0</v>
      </c>
      <c r="V105" s="13">
        <f t="shared" si="14"/>
        <v>0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60">
        <v>0.0</v>
      </c>
      <c r="O106" s="60">
        <v>0.0</v>
      </c>
      <c r="P106" s="60">
        <v>1.0</v>
      </c>
      <c r="Q106" s="60">
        <v>0.0</v>
      </c>
      <c r="R106" s="60">
        <v>0.0</v>
      </c>
      <c r="S106" s="60">
        <v>0.0</v>
      </c>
      <c r="T106" s="60">
        <v>0.0</v>
      </c>
      <c r="U106" s="60">
        <v>0.0</v>
      </c>
      <c r="V106" s="13">
        <f t="shared" si="14"/>
        <v>1</v>
      </c>
    </row>
    <row r="107" ht="12.75" customHeight="1">
      <c r="A107" s="18"/>
      <c r="B107" s="57"/>
      <c r="C107" s="58" t="s">
        <v>92</v>
      </c>
      <c r="D107" s="59"/>
      <c r="E107" s="60">
        <v>1.0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60">
        <v>0.0</v>
      </c>
      <c r="P107" s="60">
        <v>0.0</v>
      </c>
      <c r="Q107" s="60">
        <v>0.0</v>
      </c>
      <c r="R107" s="60">
        <v>0.0</v>
      </c>
      <c r="S107" s="60">
        <v>0.0</v>
      </c>
      <c r="T107" s="60">
        <v>0.0</v>
      </c>
      <c r="U107" s="60">
        <v>0.0</v>
      </c>
      <c r="V107" s="13">
        <f t="shared" si="14"/>
        <v>1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1.0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60">
        <v>0.0</v>
      </c>
      <c r="P108" s="60">
        <v>0.0</v>
      </c>
      <c r="Q108" s="60">
        <v>0.0</v>
      </c>
      <c r="R108" s="60">
        <v>0.0</v>
      </c>
      <c r="S108" s="60">
        <v>0.0</v>
      </c>
      <c r="T108" s="60">
        <v>0.0</v>
      </c>
      <c r="U108" s="60">
        <v>0.0</v>
      </c>
      <c r="V108" s="13">
        <f t="shared" si="14"/>
        <v>1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1.0</v>
      </c>
      <c r="I109" s="60">
        <v>0.0</v>
      </c>
      <c r="J109" s="60">
        <v>0.0</v>
      </c>
      <c r="K109" s="60">
        <v>0.0</v>
      </c>
      <c r="L109" s="60">
        <v>0.0</v>
      </c>
      <c r="M109" s="60">
        <v>0.0</v>
      </c>
      <c r="N109" s="60">
        <v>1.0</v>
      </c>
      <c r="O109" s="60">
        <v>0.0</v>
      </c>
      <c r="P109" s="60">
        <v>0.0</v>
      </c>
      <c r="Q109" s="60">
        <v>0.0</v>
      </c>
      <c r="R109" s="60">
        <v>0.0</v>
      </c>
      <c r="S109" s="60">
        <v>0.0</v>
      </c>
      <c r="T109" s="60">
        <v>0.0</v>
      </c>
      <c r="U109" s="60">
        <v>0.0</v>
      </c>
      <c r="V109" s="13">
        <f t="shared" si="14"/>
        <v>2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U110" si="22">SUM(E103:E109)</f>
        <v>2</v>
      </c>
      <c r="F110" s="64">
        <f t="shared" si="22"/>
        <v>4</v>
      </c>
      <c r="G110" s="64">
        <f t="shared" si="22"/>
        <v>4</v>
      </c>
      <c r="H110" s="64">
        <f t="shared" si="22"/>
        <v>4</v>
      </c>
      <c r="I110" s="64">
        <f t="shared" si="22"/>
        <v>1</v>
      </c>
      <c r="J110" s="64">
        <f t="shared" si="22"/>
        <v>2</v>
      </c>
      <c r="K110" s="64">
        <f t="shared" si="22"/>
        <v>21</v>
      </c>
      <c r="L110" s="64">
        <f t="shared" si="22"/>
        <v>3</v>
      </c>
      <c r="M110" s="64">
        <f t="shared" si="22"/>
        <v>1</v>
      </c>
      <c r="N110" s="64">
        <f t="shared" si="22"/>
        <v>4</v>
      </c>
      <c r="O110" s="64">
        <f t="shared" si="22"/>
        <v>10</v>
      </c>
      <c r="P110" s="64">
        <f t="shared" si="22"/>
        <v>4</v>
      </c>
      <c r="Q110" s="64">
        <f t="shared" si="22"/>
        <v>0</v>
      </c>
      <c r="R110" s="64">
        <f t="shared" si="22"/>
        <v>2</v>
      </c>
      <c r="S110" s="64">
        <f t="shared" si="22"/>
        <v>0</v>
      </c>
      <c r="T110" s="64">
        <f t="shared" si="22"/>
        <v>0</v>
      </c>
      <c r="U110" s="64">
        <f t="shared" si="22"/>
        <v>4</v>
      </c>
      <c r="V110" s="13">
        <f t="shared" si="14"/>
        <v>66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60">
        <v>0.0</v>
      </c>
      <c r="P112" s="60">
        <v>0.0</v>
      </c>
      <c r="Q112" s="60">
        <v>0.0</v>
      </c>
      <c r="R112" s="60">
        <v>0.0</v>
      </c>
      <c r="S112" s="60">
        <v>0.0</v>
      </c>
      <c r="T112" s="60">
        <v>0.0</v>
      </c>
      <c r="U112" s="60">
        <v>0.0</v>
      </c>
      <c r="V112" s="13">
        <f t="shared" si="14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0.0</v>
      </c>
      <c r="N113" s="60">
        <v>0.0</v>
      </c>
      <c r="O113" s="60">
        <v>0.0</v>
      </c>
      <c r="P113" s="60">
        <v>0.0</v>
      </c>
      <c r="Q113" s="60">
        <v>0.0</v>
      </c>
      <c r="R113" s="60">
        <v>0.0</v>
      </c>
      <c r="S113" s="60">
        <v>0.0</v>
      </c>
      <c r="T113" s="60">
        <v>0.0</v>
      </c>
      <c r="U113" s="60">
        <v>0.0</v>
      </c>
      <c r="V113" s="13">
        <f t="shared" si="14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U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0</v>
      </c>
      <c r="N114" s="64">
        <f t="shared" si="23"/>
        <v>0</v>
      </c>
      <c r="O114" s="64">
        <f t="shared" si="23"/>
        <v>0</v>
      </c>
      <c r="P114" s="64">
        <f t="shared" si="23"/>
        <v>0</v>
      </c>
      <c r="Q114" s="64">
        <f t="shared" si="23"/>
        <v>0</v>
      </c>
      <c r="R114" s="64">
        <f t="shared" si="23"/>
        <v>0</v>
      </c>
      <c r="S114" s="64">
        <f t="shared" si="23"/>
        <v>0</v>
      </c>
      <c r="T114" s="64">
        <f t="shared" si="23"/>
        <v>0</v>
      </c>
      <c r="U114" s="64">
        <f t="shared" si="23"/>
        <v>0</v>
      </c>
      <c r="V114" s="13">
        <f t="shared" si="14"/>
        <v>0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0.0</v>
      </c>
      <c r="G116" s="60">
        <v>0.0</v>
      </c>
      <c r="H116" s="60">
        <v>0.0</v>
      </c>
      <c r="I116" s="60">
        <v>1.0</v>
      </c>
      <c r="J116" s="60">
        <v>0.0</v>
      </c>
      <c r="K116" s="60">
        <v>0.0</v>
      </c>
      <c r="L116" s="60">
        <v>0.0</v>
      </c>
      <c r="M116" s="60">
        <v>0.0</v>
      </c>
      <c r="N116" s="60">
        <v>0.0</v>
      </c>
      <c r="O116" s="60">
        <v>0.0</v>
      </c>
      <c r="P116" s="60">
        <v>0.0</v>
      </c>
      <c r="Q116" s="60">
        <v>1.0</v>
      </c>
      <c r="R116" s="60">
        <v>0.0</v>
      </c>
      <c r="S116" s="60">
        <v>0.0</v>
      </c>
      <c r="T116" s="60">
        <v>0.0</v>
      </c>
      <c r="U116" s="60">
        <v>0.0</v>
      </c>
      <c r="V116" s="13">
        <f t="shared" si="14"/>
        <v>2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1.0</v>
      </c>
      <c r="F117" s="60">
        <v>0.0</v>
      </c>
      <c r="G117" s="60">
        <v>0.0</v>
      </c>
      <c r="H117" s="60">
        <v>0.0</v>
      </c>
      <c r="I117" s="60">
        <v>0.0</v>
      </c>
      <c r="J117" s="60">
        <v>0.0</v>
      </c>
      <c r="K117" s="60">
        <v>0.0</v>
      </c>
      <c r="L117" s="60">
        <v>0.0</v>
      </c>
      <c r="M117" s="60">
        <v>0.0</v>
      </c>
      <c r="N117" s="60">
        <v>1.0</v>
      </c>
      <c r="O117" s="60">
        <v>0.0</v>
      </c>
      <c r="P117" s="60">
        <v>4.0</v>
      </c>
      <c r="Q117" s="60">
        <v>0.0</v>
      </c>
      <c r="R117" s="60">
        <v>0.0</v>
      </c>
      <c r="S117" s="60">
        <v>0.0</v>
      </c>
      <c r="T117" s="60">
        <v>1.0</v>
      </c>
      <c r="U117" s="60">
        <v>0.0</v>
      </c>
      <c r="V117" s="13">
        <f t="shared" si="14"/>
        <v>7</v>
      </c>
      <c r="W117" s="5"/>
      <c r="X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60">
        <v>0.0</v>
      </c>
      <c r="Q118" s="60">
        <v>0.0</v>
      </c>
      <c r="R118" s="60">
        <v>0.0</v>
      </c>
      <c r="S118" s="60">
        <v>0.0</v>
      </c>
      <c r="T118" s="60">
        <v>0.0</v>
      </c>
      <c r="U118" s="60">
        <v>0.0</v>
      </c>
      <c r="V118" s="13">
        <f t="shared" si="14"/>
        <v>0</v>
      </c>
      <c r="W118" s="5"/>
      <c r="X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60">
        <v>0.0</v>
      </c>
      <c r="S119" s="60">
        <v>0.0</v>
      </c>
      <c r="T119" s="60">
        <v>0.0</v>
      </c>
      <c r="U119" s="60">
        <v>0.0</v>
      </c>
      <c r="V119" s="13">
        <f t="shared" si="14"/>
        <v>0</v>
      </c>
      <c r="W119" s="5"/>
      <c r="X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1.0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1.0</v>
      </c>
      <c r="P120" s="60">
        <v>0.0</v>
      </c>
      <c r="Q120" s="60">
        <v>1.0</v>
      </c>
      <c r="R120" s="60">
        <v>0.0</v>
      </c>
      <c r="S120" s="60">
        <v>0.0</v>
      </c>
      <c r="T120" s="60">
        <v>0.0</v>
      </c>
      <c r="U120" s="60">
        <v>0.0</v>
      </c>
      <c r="V120" s="13">
        <f t="shared" si="14"/>
        <v>3</v>
      </c>
      <c r="W120" s="5"/>
      <c r="X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60">
        <v>0.0</v>
      </c>
      <c r="P121" s="60">
        <v>0.0</v>
      </c>
      <c r="Q121" s="60">
        <v>0.0</v>
      </c>
      <c r="R121" s="60">
        <v>0.0</v>
      </c>
      <c r="S121" s="60">
        <v>0.0</v>
      </c>
      <c r="T121" s="60">
        <v>0.0</v>
      </c>
      <c r="U121" s="60">
        <v>0.0</v>
      </c>
      <c r="V121" s="13">
        <f t="shared" si="14"/>
        <v>0</v>
      </c>
      <c r="W121" s="5"/>
      <c r="X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60">
        <v>0.0</v>
      </c>
      <c r="P122" s="60">
        <v>0.0</v>
      </c>
      <c r="Q122" s="60">
        <v>0.0</v>
      </c>
      <c r="R122" s="60">
        <v>0.0</v>
      </c>
      <c r="S122" s="60">
        <v>0.0</v>
      </c>
      <c r="T122" s="60">
        <v>0.0</v>
      </c>
      <c r="U122" s="60">
        <v>0.0</v>
      </c>
      <c r="V122" s="13">
        <f t="shared" si="14"/>
        <v>0</v>
      </c>
      <c r="W122" s="5"/>
      <c r="X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U123" si="24">SUM(E116:E122)</f>
        <v>1</v>
      </c>
      <c r="F123" s="64">
        <f t="shared" si="24"/>
        <v>0</v>
      </c>
      <c r="G123" s="64">
        <f t="shared" si="24"/>
        <v>1</v>
      </c>
      <c r="H123" s="64">
        <f t="shared" si="24"/>
        <v>0</v>
      </c>
      <c r="I123" s="64">
        <f t="shared" si="24"/>
        <v>1</v>
      </c>
      <c r="J123" s="64">
        <f t="shared" si="24"/>
        <v>0</v>
      </c>
      <c r="K123" s="64">
        <f t="shared" si="24"/>
        <v>0</v>
      </c>
      <c r="L123" s="64">
        <f t="shared" si="24"/>
        <v>0</v>
      </c>
      <c r="M123" s="64">
        <f t="shared" si="24"/>
        <v>0</v>
      </c>
      <c r="N123" s="64">
        <f t="shared" si="24"/>
        <v>1</v>
      </c>
      <c r="O123" s="64">
        <f t="shared" si="24"/>
        <v>1</v>
      </c>
      <c r="P123" s="64">
        <f t="shared" si="24"/>
        <v>4</v>
      </c>
      <c r="Q123" s="64">
        <f t="shared" si="24"/>
        <v>2</v>
      </c>
      <c r="R123" s="64">
        <f t="shared" si="24"/>
        <v>0</v>
      </c>
      <c r="S123" s="64">
        <f t="shared" si="24"/>
        <v>0</v>
      </c>
      <c r="T123" s="64">
        <f t="shared" si="24"/>
        <v>1</v>
      </c>
      <c r="U123" s="64">
        <f t="shared" si="24"/>
        <v>0</v>
      </c>
      <c r="V123" s="13">
        <f t="shared" si="14"/>
        <v>12</v>
      </c>
      <c r="W123" s="5"/>
      <c r="X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13">
        <f t="shared" si="14"/>
        <v>0</v>
      </c>
      <c r="W124" s="5"/>
      <c r="X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1.0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1.0</v>
      </c>
      <c r="L125" s="60">
        <v>0.0</v>
      </c>
      <c r="M125" s="60">
        <v>0.0</v>
      </c>
      <c r="N125" s="60">
        <v>2.0</v>
      </c>
      <c r="O125" s="60">
        <v>0.0</v>
      </c>
      <c r="P125" s="60">
        <v>0.0</v>
      </c>
      <c r="Q125" s="60">
        <v>0.0</v>
      </c>
      <c r="R125" s="60">
        <v>1.0</v>
      </c>
      <c r="S125" s="60">
        <v>0.0</v>
      </c>
      <c r="T125" s="60">
        <v>0.0</v>
      </c>
      <c r="U125" s="60">
        <v>1.0</v>
      </c>
      <c r="V125" s="13">
        <f t="shared" si="14"/>
        <v>6</v>
      </c>
      <c r="W125" s="5"/>
      <c r="X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3">
        <f t="shared" si="14"/>
        <v>0</v>
      </c>
      <c r="W126" s="5"/>
      <c r="X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S127" si="25">SUM(E125:E126)</f>
        <v>1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1</v>
      </c>
      <c r="L127" s="64">
        <f t="shared" si="25"/>
        <v>0</v>
      </c>
      <c r="M127" s="64">
        <f t="shared" si="25"/>
        <v>0</v>
      </c>
      <c r="N127" s="64">
        <f t="shared" si="25"/>
        <v>2</v>
      </c>
      <c r="O127" s="64">
        <f t="shared" si="25"/>
        <v>0</v>
      </c>
      <c r="P127" s="64">
        <f t="shared" si="25"/>
        <v>0</v>
      </c>
      <c r="Q127" s="64">
        <f t="shared" si="25"/>
        <v>0</v>
      </c>
      <c r="R127" s="64">
        <f t="shared" si="25"/>
        <v>1</v>
      </c>
      <c r="S127" s="64">
        <f t="shared" si="25"/>
        <v>0</v>
      </c>
      <c r="T127" s="66">
        <v>0.0</v>
      </c>
      <c r="U127" s="66">
        <v>1.0</v>
      </c>
      <c r="V127" s="13">
        <f t="shared" si="14"/>
        <v>6</v>
      </c>
      <c r="W127" s="5"/>
      <c r="X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13">
        <f t="shared" si="14"/>
        <v>0</v>
      </c>
      <c r="W128" s="5"/>
      <c r="X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0.0</v>
      </c>
      <c r="H129" s="60">
        <v>1.0</v>
      </c>
      <c r="I129" s="60">
        <v>1.0</v>
      </c>
      <c r="J129" s="60">
        <v>0.0</v>
      </c>
      <c r="K129" s="60">
        <v>0.0</v>
      </c>
      <c r="L129" s="60">
        <v>1.0</v>
      </c>
      <c r="M129" s="60">
        <v>2.0</v>
      </c>
      <c r="N129" s="60">
        <v>0.0</v>
      </c>
      <c r="O129" s="60">
        <v>0.0</v>
      </c>
      <c r="P129" s="60">
        <v>0.0</v>
      </c>
      <c r="Q129" s="60">
        <v>0.0</v>
      </c>
      <c r="R129" s="60">
        <v>1.0</v>
      </c>
      <c r="S129" s="60">
        <v>3.0</v>
      </c>
      <c r="T129" s="60">
        <v>0.0</v>
      </c>
      <c r="U129" s="60">
        <v>1.0</v>
      </c>
      <c r="V129" s="13">
        <f t="shared" si="14"/>
        <v>10</v>
      </c>
      <c r="W129" s="5"/>
      <c r="X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0.0</v>
      </c>
      <c r="G130" s="60">
        <v>4.0</v>
      </c>
      <c r="H130" s="60">
        <v>7.0</v>
      </c>
      <c r="I130" s="60">
        <v>3.0</v>
      </c>
      <c r="J130" s="60">
        <v>3.0</v>
      </c>
      <c r="K130" s="60">
        <v>2.0</v>
      </c>
      <c r="L130" s="60">
        <v>8.0</v>
      </c>
      <c r="M130" s="60">
        <v>7.0</v>
      </c>
      <c r="N130" s="60">
        <v>5.0</v>
      </c>
      <c r="O130" s="60">
        <v>2.0</v>
      </c>
      <c r="P130" s="60">
        <v>0.0</v>
      </c>
      <c r="Q130" s="60">
        <v>1.0</v>
      </c>
      <c r="R130" s="60">
        <v>1.0</v>
      </c>
      <c r="S130" s="60">
        <v>3.0</v>
      </c>
      <c r="T130" s="60">
        <v>2.0</v>
      </c>
      <c r="U130" s="60">
        <v>0.0</v>
      </c>
      <c r="V130" s="13">
        <f t="shared" si="14"/>
        <v>48</v>
      </c>
      <c r="W130" s="1"/>
      <c r="X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1.0</v>
      </c>
      <c r="I131" s="60">
        <v>0.0</v>
      </c>
      <c r="J131" s="60">
        <v>1.0</v>
      </c>
      <c r="K131" s="60">
        <v>0.0</v>
      </c>
      <c r="L131" s="60">
        <v>1.0</v>
      </c>
      <c r="M131" s="60">
        <v>0.0</v>
      </c>
      <c r="N131" s="60">
        <v>0.0</v>
      </c>
      <c r="O131" s="60">
        <v>0.0</v>
      </c>
      <c r="P131" s="60">
        <v>0.0</v>
      </c>
      <c r="Q131" s="60">
        <v>0.0</v>
      </c>
      <c r="R131" s="60">
        <v>2.0</v>
      </c>
      <c r="S131" s="60">
        <v>1.0</v>
      </c>
      <c r="T131" s="60">
        <v>0.0</v>
      </c>
      <c r="U131" s="60">
        <v>0.0</v>
      </c>
      <c r="V131" s="13">
        <f t="shared" si="14"/>
        <v>6</v>
      </c>
      <c r="W131" s="54"/>
      <c r="X131" s="54"/>
    </row>
    <row r="132" ht="12.75" customHeight="1">
      <c r="A132" s="18"/>
      <c r="B132" s="57"/>
      <c r="C132" s="58" t="s">
        <v>113</v>
      </c>
      <c r="D132" s="59"/>
      <c r="E132" s="60">
        <v>1.0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60">
        <v>0.0</v>
      </c>
      <c r="P132" s="60">
        <v>0.0</v>
      </c>
      <c r="Q132" s="60">
        <v>0.0</v>
      </c>
      <c r="R132" s="60">
        <v>0.0</v>
      </c>
      <c r="S132" s="60">
        <v>0.0</v>
      </c>
      <c r="T132" s="60">
        <v>0.0</v>
      </c>
      <c r="U132" s="60">
        <v>0.0</v>
      </c>
      <c r="V132" s="13">
        <f t="shared" si="14"/>
        <v>1</v>
      </c>
      <c r="W132" s="5"/>
      <c r="X132" s="5"/>
    </row>
    <row r="133" ht="12.75" customHeight="1">
      <c r="A133" s="18"/>
      <c r="B133" s="57"/>
      <c r="C133" s="58" t="s">
        <v>114</v>
      </c>
      <c r="D133" s="59"/>
      <c r="E133" s="60">
        <v>1.0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60">
        <v>0.0</v>
      </c>
      <c r="P133" s="60">
        <v>0.0</v>
      </c>
      <c r="Q133" s="60">
        <v>0.0</v>
      </c>
      <c r="R133" s="60">
        <v>0.0</v>
      </c>
      <c r="S133" s="60">
        <v>0.0</v>
      </c>
      <c r="T133" s="60">
        <v>1.0</v>
      </c>
      <c r="U133" s="60">
        <v>0.0</v>
      </c>
      <c r="V133" s="13">
        <f t="shared" si="14"/>
        <v>2</v>
      </c>
      <c r="W133" s="5"/>
      <c r="X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1.0</v>
      </c>
      <c r="G134" s="60">
        <v>0.0</v>
      </c>
      <c r="H134" s="60">
        <v>0.0</v>
      </c>
      <c r="I134" s="60">
        <v>0.0</v>
      </c>
      <c r="J134" s="60">
        <v>1.0</v>
      </c>
      <c r="K134" s="60">
        <v>0.0</v>
      </c>
      <c r="L134" s="60">
        <v>0.0</v>
      </c>
      <c r="M134" s="60">
        <v>0.0</v>
      </c>
      <c r="N134" s="60">
        <v>0.0</v>
      </c>
      <c r="O134" s="60">
        <v>0.0</v>
      </c>
      <c r="P134" s="60">
        <v>0.0</v>
      </c>
      <c r="Q134" s="60">
        <v>0.0</v>
      </c>
      <c r="R134" s="60">
        <v>0.0</v>
      </c>
      <c r="S134" s="60">
        <v>0.0</v>
      </c>
      <c r="T134" s="60">
        <v>0.0</v>
      </c>
      <c r="U134" s="60">
        <v>0.0</v>
      </c>
      <c r="V134" s="13">
        <f t="shared" si="14"/>
        <v>2</v>
      </c>
      <c r="W134" s="5"/>
      <c r="X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60">
        <v>0.0</v>
      </c>
      <c r="Q135" s="60">
        <v>0.0</v>
      </c>
      <c r="R135" s="60">
        <v>0.0</v>
      </c>
      <c r="S135" s="60">
        <v>0.0</v>
      </c>
      <c r="T135" s="60">
        <v>0.0</v>
      </c>
      <c r="U135" s="60">
        <v>0.0</v>
      </c>
      <c r="V135" s="13">
        <f t="shared" si="14"/>
        <v>0</v>
      </c>
      <c r="W135" s="5"/>
      <c r="X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U136" si="26">SUM(E129:E135)</f>
        <v>2</v>
      </c>
      <c r="F136" s="64">
        <f t="shared" si="26"/>
        <v>1</v>
      </c>
      <c r="G136" s="64">
        <f t="shared" si="26"/>
        <v>4</v>
      </c>
      <c r="H136" s="64">
        <f t="shared" si="26"/>
        <v>9</v>
      </c>
      <c r="I136" s="64">
        <f t="shared" si="26"/>
        <v>4</v>
      </c>
      <c r="J136" s="64">
        <f t="shared" si="26"/>
        <v>5</v>
      </c>
      <c r="K136" s="64">
        <f t="shared" si="26"/>
        <v>2</v>
      </c>
      <c r="L136" s="64">
        <f t="shared" si="26"/>
        <v>10</v>
      </c>
      <c r="M136" s="64">
        <f t="shared" si="26"/>
        <v>9</v>
      </c>
      <c r="N136" s="64">
        <f t="shared" si="26"/>
        <v>5</v>
      </c>
      <c r="O136" s="64">
        <f t="shared" si="26"/>
        <v>2</v>
      </c>
      <c r="P136" s="64">
        <f t="shared" si="26"/>
        <v>0</v>
      </c>
      <c r="Q136" s="64">
        <f t="shared" si="26"/>
        <v>1</v>
      </c>
      <c r="R136" s="64">
        <f t="shared" si="26"/>
        <v>4</v>
      </c>
      <c r="S136" s="64">
        <f t="shared" si="26"/>
        <v>7</v>
      </c>
      <c r="T136" s="64">
        <f t="shared" si="26"/>
        <v>3</v>
      </c>
      <c r="U136" s="64">
        <f t="shared" si="26"/>
        <v>1</v>
      </c>
      <c r="V136" s="13">
        <f t="shared" si="14"/>
        <v>69</v>
      </c>
      <c r="W136" s="5"/>
      <c r="X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13">
        <f t="shared" si="14"/>
        <v>0</v>
      </c>
      <c r="W137" s="5"/>
      <c r="X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1.0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60">
        <v>0.0</v>
      </c>
      <c r="N138" s="60">
        <v>0.0</v>
      </c>
      <c r="O138" s="60">
        <v>0.0</v>
      </c>
      <c r="P138" s="60">
        <v>1.0</v>
      </c>
      <c r="Q138" s="60">
        <v>0.0</v>
      </c>
      <c r="R138" s="60">
        <v>0.0</v>
      </c>
      <c r="S138" s="60">
        <v>0.0</v>
      </c>
      <c r="T138" s="60">
        <v>0.0</v>
      </c>
      <c r="U138" s="60">
        <v>0.0</v>
      </c>
      <c r="V138" s="13">
        <f t="shared" si="14"/>
        <v>2</v>
      </c>
      <c r="W138" s="5"/>
      <c r="X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4.0</v>
      </c>
      <c r="F139" s="60">
        <v>2.0</v>
      </c>
      <c r="G139" s="60">
        <v>1.0</v>
      </c>
      <c r="H139" s="60">
        <v>0.0</v>
      </c>
      <c r="I139" s="60">
        <v>0.0</v>
      </c>
      <c r="J139" s="60">
        <v>0.0</v>
      </c>
      <c r="K139" s="60">
        <v>0.0</v>
      </c>
      <c r="L139" s="60">
        <v>2.0</v>
      </c>
      <c r="M139" s="60">
        <v>0.0</v>
      </c>
      <c r="N139" s="60">
        <v>5.0</v>
      </c>
      <c r="O139" s="60">
        <v>0.0</v>
      </c>
      <c r="P139" s="19"/>
      <c r="Q139" s="60">
        <v>0.0</v>
      </c>
      <c r="R139" s="60">
        <v>0.0</v>
      </c>
      <c r="S139" s="60">
        <v>0.0</v>
      </c>
      <c r="T139" s="60">
        <v>0.0</v>
      </c>
      <c r="U139" s="60">
        <v>0.0</v>
      </c>
      <c r="V139" s="13">
        <f t="shared" si="14"/>
        <v>14</v>
      </c>
      <c r="W139" s="5"/>
      <c r="X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19"/>
      <c r="Q140" s="60">
        <v>0.0</v>
      </c>
      <c r="R140" s="60">
        <v>0.0</v>
      </c>
      <c r="S140" s="60">
        <v>0.0</v>
      </c>
      <c r="T140" s="60">
        <v>0.0</v>
      </c>
      <c r="U140" s="60">
        <v>0.0</v>
      </c>
      <c r="V140" s="13">
        <f t="shared" si="14"/>
        <v>0</v>
      </c>
      <c r="W140" s="5"/>
      <c r="X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1.0</v>
      </c>
      <c r="M141" s="60">
        <v>0.0</v>
      </c>
      <c r="N141" s="60">
        <v>0.0</v>
      </c>
      <c r="O141" s="60">
        <v>0.0</v>
      </c>
      <c r="P141" s="19"/>
      <c r="Q141" s="60">
        <v>0.0</v>
      </c>
      <c r="R141" s="60">
        <v>0.0</v>
      </c>
      <c r="S141" s="60">
        <v>0.0</v>
      </c>
      <c r="T141" s="60">
        <v>0.0</v>
      </c>
      <c r="U141" s="60">
        <v>0.0</v>
      </c>
      <c r="V141" s="13">
        <f t="shared" si="14"/>
        <v>1</v>
      </c>
      <c r="W141" s="1"/>
      <c r="X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1.0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0.0</v>
      </c>
      <c r="O142" s="60">
        <v>0.0</v>
      </c>
      <c r="P142" s="19"/>
      <c r="Q142" s="60">
        <v>0.0</v>
      </c>
      <c r="R142" s="60">
        <v>0.0</v>
      </c>
      <c r="S142" s="60">
        <v>0.0</v>
      </c>
      <c r="T142" s="60">
        <v>0.0</v>
      </c>
      <c r="U142" s="60">
        <v>0.0</v>
      </c>
      <c r="V142" s="13">
        <f t="shared" si="14"/>
        <v>1</v>
      </c>
      <c r="W142" s="54"/>
      <c r="X142" s="54"/>
    </row>
    <row r="143" ht="12.75" customHeight="1">
      <c r="A143" s="18"/>
      <c r="B143" s="57"/>
      <c r="C143" s="58" t="s">
        <v>123</v>
      </c>
      <c r="D143" s="59"/>
      <c r="E143" s="60">
        <v>1.0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0.0</v>
      </c>
      <c r="P143" s="19"/>
      <c r="Q143" s="60">
        <v>0.0</v>
      </c>
      <c r="R143" s="60">
        <v>0.0</v>
      </c>
      <c r="S143" s="60">
        <v>0.0</v>
      </c>
      <c r="T143" s="60">
        <v>0.0</v>
      </c>
      <c r="U143" s="60">
        <v>0.0</v>
      </c>
      <c r="V143" s="13">
        <f t="shared" si="14"/>
        <v>1</v>
      </c>
      <c r="W143" s="5"/>
      <c r="X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1.0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60">
        <v>0.0</v>
      </c>
      <c r="P144" s="19"/>
      <c r="Q144" s="60">
        <v>0.0</v>
      </c>
      <c r="R144" s="60">
        <v>0.0</v>
      </c>
      <c r="S144" s="60">
        <v>0.0</v>
      </c>
      <c r="T144" s="60">
        <v>0.0</v>
      </c>
      <c r="U144" s="60">
        <v>0.0</v>
      </c>
      <c r="V144" s="13">
        <f t="shared" si="14"/>
        <v>1</v>
      </c>
      <c r="W144" s="5"/>
      <c r="X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U145" si="27">SUM(E138:E144)</f>
        <v>5</v>
      </c>
      <c r="F145" s="64">
        <f t="shared" si="27"/>
        <v>2</v>
      </c>
      <c r="G145" s="64">
        <f t="shared" si="27"/>
        <v>2</v>
      </c>
      <c r="H145" s="64">
        <f t="shared" si="27"/>
        <v>2</v>
      </c>
      <c r="I145" s="64">
        <f t="shared" si="27"/>
        <v>0</v>
      </c>
      <c r="J145" s="64">
        <f t="shared" si="27"/>
        <v>0</v>
      </c>
      <c r="K145" s="64">
        <f t="shared" si="27"/>
        <v>0</v>
      </c>
      <c r="L145" s="64">
        <f t="shared" si="27"/>
        <v>3</v>
      </c>
      <c r="M145" s="64">
        <f t="shared" si="27"/>
        <v>0</v>
      </c>
      <c r="N145" s="64">
        <f t="shared" si="27"/>
        <v>5</v>
      </c>
      <c r="O145" s="64">
        <f t="shared" si="27"/>
        <v>0</v>
      </c>
      <c r="P145" s="64">
        <f t="shared" si="27"/>
        <v>1</v>
      </c>
      <c r="Q145" s="64">
        <f t="shared" si="27"/>
        <v>0</v>
      </c>
      <c r="R145" s="64">
        <f t="shared" si="27"/>
        <v>0</v>
      </c>
      <c r="S145" s="64">
        <f t="shared" si="27"/>
        <v>0</v>
      </c>
      <c r="T145" s="64">
        <f t="shared" si="27"/>
        <v>0</v>
      </c>
      <c r="U145" s="64">
        <f t="shared" si="27"/>
        <v>0</v>
      </c>
      <c r="V145" s="13">
        <f t="shared" si="14"/>
        <v>20</v>
      </c>
      <c r="W145" s="5"/>
      <c r="X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13">
        <f t="shared" si="14"/>
        <v>0</v>
      </c>
      <c r="W146" s="5"/>
      <c r="X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0.0</v>
      </c>
      <c r="F147" s="60">
        <v>1.0</v>
      </c>
      <c r="G147" s="60">
        <v>3.0</v>
      </c>
      <c r="H147" s="60">
        <v>4.0</v>
      </c>
      <c r="I147" s="60">
        <v>3.0</v>
      </c>
      <c r="J147" s="60">
        <v>4.0</v>
      </c>
      <c r="K147" s="60">
        <v>3.0</v>
      </c>
      <c r="L147" s="60">
        <v>4.0</v>
      </c>
      <c r="M147" s="60">
        <v>3.0</v>
      </c>
      <c r="N147" s="60">
        <v>3.0</v>
      </c>
      <c r="O147" s="60">
        <v>3.0</v>
      </c>
      <c r="P147" s="60">
        <v>5.0</v>
      </c>
      <c r="Q147" s="60">
        <v>9.0</v>
      </c>
      <c r="R147" s="60">
        <v>4.0</v>
      </c>
      <c r="S147" s="60">
        <v>3.0</v>
      </c>
      <c r="T147" s="60">
        <v>1.0</v>
      </c>
      <c r="U147" s="60">
        <v>4.0</v>
      </c>
      <c r="V147" s="13">
        <f t="shared" si="14"/>
        <v>57</v>
      </c>
      <c r="W147" s="5"/>
      <c r="X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5.0</v>
      </c>
      <c r="F148" s="60">
        <v>3.0</v>
      </c>
      <c r="G148" s="60">
        <v>21.0</v>
      </c>
      <c r="H148" s="60">
        <v>4.0</v>
      </c>
      <c r="I148" s="60">
        <v>2.0</v>
      </c>
      <c r="J148" s="60">
        <v>2.0</v>
      </c>
      <c r="K148" s="60">
        <v>4.0</v>
      </c>
      <c r="L148" s="60">
        <v>2.0</v>
      </c>
      <c r="M148" s="60">
        <v>4.0</v>
      </c>
      <c r="N148" s="60">
        <v>8.0</v>
      </c>
      <c r="O148" s="60">
        <v>7.0</v>
      </c>
      <c r="P148" s="60">
        <v>2.0</v>
      </c>
      <c r="Q148" s="60">
        <v>2.0</v>
      </c>
      <c r="R148" s="60">
        <v>2.0</v>
      </c>
      <c r="S148" s="60">
        <v>10.0</v>
      </c>
      <c r="T148" s="60">
        <v>0.0</v>
      </c>
      <c r="U148" s="60">
        <v>16.0</v>
      </c>
      <c r="V148" s="13">
        <f t="shared" si="14"/>
        <v>94</v>
      </c>
      <c r="W148" s="5"/>
      <c r="X148" s="5"/>
    </row>
    <row r="149" ht="12.75" customHeight="1">
      <c r="A149" s="18"/>
      <c r="B149" s="57"/>
      <c r="C149" s="58" t="s">
        <v>128</v>
      </c>
      <c r="D149" s="59"/>
      <c r="E149" s="60">
        <v>1.0</v>
      </c>
      <c r="F149" s="60">
        <v>2.0</v>
      </c>
      <c r="G149" s="60">
        <v>4.0</v>
      </c>
      <c r="H149" s="60">
        <v>24.0</v>
      </c>
      <c r="I149" s="60">
        <v>20.0</v>
      </c>
      <c r="J149" s="60">
        <v>6.0</v>
      </c>
      <c r="K149" s="60">
        <v>6.0</v>
      </c>
      <c r="L149" s="60">
        <v>1.0</v>
      </c>
      <c r="M149" s="60">
        <v>5.0</v>
      </c>
      <c r="N149" s="60">
        <v>3.0</v>
      </c>
      <c r="O149" s="60">
        <v>0.0</v>
      </c>
      <c r="P149" s="60">
        <v>20.0</v>
      </c>
      <c r="Q149" s="60">
        <v>33.0</v>
      </c>
      <c r="R149" s="60">
        <v>12.0</v>
      </c>
      <c r="S149" s="60">
        <v>3.0</v>
      </c>
      <c r="T149" s="60">
        <v>1.0</v>
      </c>
      <c r="U149" s="60">
        <v>6.0</v>
      </c>
      <c r="V149" s="13">
        <f t="shared" si="14"/>
        <v>147</v>
      </c>
      <c r="W149" s="5"/>
      <c r="X149" s="5"/>
    </row>
    <row r="150" ht="12.75" customHeight="1">
      <c r="A150" s="18"/>
      <c r="B150" s="57"/>
      <c r="C150" s="58" t="s">
        <v>129</v>
      </c>
      <c r="D150" s="59"/>
      <c r="E150" s="60">
        <v>12.0</v>
      </c>
      <c r="F150" s="60">
        <v>8.0</v>
      </c>
      <c r="G150" s="60">
        <v>7.0</v>
      </c>
      <c r="H150" s="60">
        <v>4.0</v>
      </c>
      <c r="I150" s="60">
        <v>0.0</v>
      </c>
      <c r="J150" s="60">
        <v>12.0</v>
      </c>
      <c r="K150" s="60">
        <v>6.0</v>
      </c>
      <c r="L150" s="60">
        <v>7.0</v>
      </c>
      <c r="M150" s="60">
        <v>2.0</v>
      </c>
      <c r="N150" s="60">
        <v>17.0</v>
      </c>
      <c r="O150" s="60">
        <v>0.0</v>
      </c>
      <c r="P150" s="19"/>
      <c r="Q150" s="60">
        <v>1.0</v>
      </c>
      <c r="R150" s="60">
        <v>5.0</v>
      </c>
      <c r="S150" s="60">
        <v>13.0</v>
      </c>
      <c r="T150" s="60">
        <v>13.0</v>
      </c>
      <c r="U150" s="60">
        <v>0.0</v>
      </c>
      <c r="V150" s="13">
        <f t="shared" si="14"/>
        <v>107</v>
      </c>
      <c r="W150" s="5"/>
      <c r="X150" s="5"/>
    </row>
    <row r="151" ht="12.75" customHeight="1">
      <c r="A151" s="18"/>
      <c r="B151" s="57"/>
      <c r="C151" s="58" t="s">
        <v>130</v>
      </c>
      <c r="D151" s="59"/>
      <c r="E151" s="60">
        <v>1.0</v>
      </c>
      <c r="F151" s="60">
        <v>0.0</v>
      </c>
      <c r="G151" s="60">
        <v>1.0</v>
      </c>
      <c r="H151" s="60">
        <v>1.0</v>
      </c>
      <c r="I151" s="60">
        <v>1.0</v>
      </c>
      <c r="J151" s="60">
        <v>0.0</v>
      </c>
      <c r="K151" s="60">
        <v>1.0</v>
      </c>
      <c r="L151" s="60">
        <v>0.0</v>
      </c>
      <c r="M151" s="60">
        <v>1.0</v>
      </c>
      <c r="N151" s="60">
        <v>1.0</v>
      </c>
      <c r="O151" s="60">
        <v>0.0</v>
      </c>
      <c r="P151" s="19"/>
      <c r="Q151" s="60">
        <v>2.0</v>
      </c>
      <c r="R151" s="60">
        <v>0.0</v>
      </c>
      <c r="S151" s="60">
        <v>1.0</v>
      </c>
      <c r="T151" s="60">
        <v>0.0</v>
      </c>
      <c r="U151" s="60">
        <v>1.0</v>
      </c>
      <c r="V151" s="13">
        <f t="shared" si="14"/>
        <v>11</v>
      </c>
      <c r="W151" s="1"/>
      <c r="X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60">
        <v>0.0</v>
      </c>
      <c r="L152" s="60">
        <v>0.0</v>
      </c>
      <c r="M152" s="60">
        <v>1.0</v>
      </c>
      <c r="N152" s="60">
        <v>1.0</v>
      </c>
      <c r="O152" s="60">
        <v>0.0</v>
      </c>
      <c r="P152" s="19"/>
      <c r="Q152" s="60">
        <v>0.0</v>
      </c>
      <c r="R152" s="60">
        <v>0.0</v>
      </c>
      <c r="S152" s="60">
        <v>0.0</v>
      </c>
      <c r="T152" s="60">
        <v>0.0</v>
      </c>
      <c r="U152" s="60">
        <v>0.0</v>
      </c>
      <c r="V152" s="13">
        <f t="shared" si="14"/>
        <v>2</v>
      </c>
      <c r="W152" s="54"/>
      <c r="X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1.0</v>
      </c>
      <c r="H153" s="60">
        <v>0.0</v>
      </c>
      <c r="I153" s="60">
        <v>0.0</v>
      </c>
      <c r="J153" s="60">
        <v>1.0</v>
      </c>
      <c r="K153" s="60">
        <v>0.0</v>
      </c>
      <c r="L153" s="60">
        <v>0.0</v>
      </c>
      <c r="M153" s="60">
        <v>0.0</v>
      </c>
      <c r="N153" s="60">
        <v>0.0</v>
      </c>
      <c r="O153" s="60">
        <v>0.0</v>
      </c>
      <c r="P153" s="19"/>
      <c r="Q153" s="60">
        <v>0.0</v>
      </c>
      <c r="R153" s="60">
        <v>0.0</v>
      </c>
      <c r="S153" s="60">
        <v>0.0</v>
      </c>
      <c r="T153" s="60">
        <v>0.0</v>
      </c>
      <c r="U153" s="60">
        <v>0.0</v>
      </c>
      <c r="V153" s="13">
        <f t="shared" si="14"/>
        <v>2</v>
      </c>
      <c r="W153" s="5"/>
      <c r="X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U154" si="28">SUM(E147:E153)</f>
        <v>19</v>
      </c>
      <c r="F154" s="64">
        <f t="shared" si="28"/>
        <v>14</v>
      </c>
      <c r="G154" s="64">
        <f t="shared" si="28"/>
        <v>37</v>
      </c>
      <c r="H154" s="64">
        <f t="shared" si="28"/>
        <v>37</v>
      </c>
      <c r="I154" s="64">
        <f t="shared" si="28"/>
        <v>26</v>
      </c>
      <c r="J154" s="64">
        <f t="shared" si="28"/>
        <v>25</v>
      </c>
      <c r="K154" s="64">
        <f t="shared" si="28"/>
        <v>20</v>
      </c>
      <c r="L154" s="64">
        <f t="shared" si="28"/>
        <v>14</v>
      </c>
      <c r="M154" s="64">
        <f t="shared" si="28"/>
        <v>16</v>
      </c>
      <c r="N154" s="64">
        <f t="shared" si="28"/>
        <v>33</v>
      </c>
      <c r="O154" s="64">
        <f t="shared" si="28"/>
        <v>10</v>
      </c>
      <c r="P154" s="64">
        <f t="shared" si="28"/>
        <v>27</v>
      </c>
      <c r="Q154" s="64">
        <f t="shared" si="28"/>
        <v>47</v>
      </c>
      <c r="R154" s="64">
        <f t="shared" si="28"/>
        <v>23</v>
      </c>
      <c r="S154" s="64">
        <f t="shared" si="28"/>
        <v>30</v>
      </c>
      <c r="T154" s="64">
        <f t="shared" si="28"/>
        <v>15</v>
      </c>
      <c r="U154" s="64">
        <f t="shared" si="28"/>
        <v>27</v>
      </c>
      <c r="V154" s="13">
        <f t="shared" si="14"/>
        <v>420</v>
      </c>
      <c r="W154" s="5"/>
      <c r="X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13">
        <f t="shared" si="14"/>
        <v>0</v>
      </c>
      <c r="W155" s="5"/>
      <c r="X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1.0</v>
      </c>
      <c r="F156" s="60">
        <v>0.0</v>
      </c>
      <c r="G156" s="60">
        <v>1.0</v>
      </c>
      <c r="H156" s="60">
        <v>0.0</v>
      </c>
      <c r="I156" s="60">
        <v>0.0</v>
      </c>
      <c r="J156" s="60">
        <v>0.0</v>
      </c>
      <c r="K156" s="60">
        <v>1.0</v>
      </c>
      <c r="L156" s="60">
        <v>0.0</v>
      </c>
      <c r="M156" s="60">
        <v>0.0</v>
      </c>
      <c r="N156" s="60">
        <v>0.0</v>
      </c>
      <c r="O156" s="60">
        <v>0.0</v>
      </c>
      <c r="P156" s="60">
        <v>1.0</v>
      </c>
      <c r="Q156" s="60">
        <v>0.0</v>
      </c>
      <c r="R156" s="60">
        <v>1.0</v>
      </c>
      <c r="S156" s="60">
        <v>1.0</v>
      </c>
      <c r="T156" s="60">
        <v>1.0</v>
      </c>
      <c r="U156" s="60">
        <v>2.0</v>
      </c>
      <c r="V156" s="13">
        <f t="shared" si="14"/>
        <v>9</v>
      </c>
      <c r="W156" s="5"/>
      <c r="X156" s="5"/>
    </row>
    <row r="157" ht="12.75" customHeight="1">
      <c r="A157" s="31"/>
      <c r="B157" s="50"/>
      <c r="C157" s="58" t="s">
        <v>135</v>
      </c>
      <c r="D157" s="65"/>
      <c r="E157" s="60">
        <v>1.0</v>
      </c>
      <c r="F157" s="60">
        <v>0.0</v>
      </c>
      <c r="G157" s="60">
        <v>3.0</v>
      </c>
      <c r="H157" s="60">
        <v>0.0</v>
      </c>
      <c r="I157" s="60">
        <v>1.0</v>
      </c>
      <c r="J157" s="60">
        <v>0.0</v>
      </c>
      <c r="K157" s="60">
        <v>0.0</v>
      </c>
      <c r="L157" s="60">
        <v>0.0</v>
      </c>
      <c r="M157" s="60">
        <v>0.0</v>
      </c>
      <c r="N157" s="60">
        <v>0.0</v>
      </c>
      <c r="O157" s="60">
        <v>0.0</v>
      </c>
      <c r="P157" s="60">
        <v>1.0</v>
      </c>
      <c r="Q157" s="60">
        <v>0.0</v>
      </c>
      <c r="R157" s="60">
        <v>1.0</v>
      </c>
      <c r="S157" s="60">
        <v>1.0</v>
      </c>
      <c r="T157" s="60">
        <v>1.0</v>
      </c>
      <c r="U157" s="60">
        <v>3.0</v>
      </c>
      <c r="V157" s="13">
        <f t="shared" si="14"/>
        <v>12</v>
      </c>
      <c r="W157" s="5"/>
      <c r="X157" s="5"/>
    </row>
    <row r="158" ht="12.75" customHeight="1">
      <c r="A158" s="31"/>
      <c r="B158" s="50"/>
      <c r="C158" s="58" t="s">
        <v>136</v>
      </c>
      <c r="D158" s="65"/>
      <c r="E158" s="60">
        <v>1.0</v>
      </c>
      <c r="F158" s="60">
        <v>1.0</v>
      </c>
      <c r="G158" s="60">
        <v>0.0</v>
      </c>
      <c r="H158" s="60">
        <v>0.0</v>
      </c>
      <c r="I158" s="60">
        <v>1.0</v>
      </c>
      <c r="J158" s="60">
        <v>0.0</v>
      </c>
      <c r="K158" s="60">
        <v>0.0</v>
      </c>
      <c r="L158" s="60">
        <v>0.0</v>
      </c>
      <c r="M158" s="60">
        <v>1.0</v>
      </c>
      <c r="N158" s="60">
        <v>0.0</v>
      </c>
      <c r="O158" s="60">
        <v>0.0</v>
      </c>
      <c r="P158" s="60">
        <v>0.0</v>
      </c>
      <c r="Q158" s="60">
        <v>0.0</v>
      </c>
      <c r="R158" s="60">
        <v>0.0</v>
      </c>
      <c r="S158" s="60">
        <v>0.0</v>
      </c>
      <c r="T158" s="60">
        <v>1.0</v>
      </c>
      <c r="U158" s="60">
        <v>1.0</v>
      </c>
      <c r="V158" s="13">
        <f t="shared" si="14"/>
        <v>6</v>
      </c>
      <c r="W158" s="5"/>
      <c r="X158" s="5"/>
    </row>
    <row r="159" ht="12.75" customHeight="1">
      <c r="A159" s="31"/>
      <c r="B159" s="50"/>
      <c r="C159" s="58" t="s">
        <v>137</v>
      </c>
      <c r="D159" s="65"/>
      <c r="E159" s="60">
        <v>1.0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1.0</v>
      </c>
      <c r="L159" s="60">
        <v>0.0</v>
      </c>
      <c r="M159" s="60">
        <v>0.0</v>
      </c>
      <c r="N159" s="60">
        <v>0.0</v>
      </c>
      <c r="O159" s="60">
        <v>0.0</v>
      </c>
      <c r="P159" s="60">
        <v>0.0</v>
      </c>
      <c r="Q159" s="60">
        <v>0.0</v>
      </c>
      <c r="R159" s="60">
        <v>0.0</v>
      </c>
      <c r="S159" s="60">
        <v>0.0</v>
      </c>
      <c r="T159" s="60">
        <v>0.0</v>
      </c>
      <c r="U159" s="60">
        <v>1.0</v>
      </c>
      <c r="V159" s="13">
        <f t="shared" si="14"/>
        <v>3</v>
      </c>
      <c r="W159" s="5"/>
      <c r="X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1.0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0.0</v>
      </c>
      <c r="N160" s="60">
        <v>0.0</v>
      </c>
      <c r="O160" s="60">
        <v>0.0</v>
      </c>
      <c r="P160" s="60">
        <v>0.0</v>
      </c>
      <c r="Q160" s="60">
        <v>0.0</v>
      </c>
      <c r="R160" s="60">
        <v>0.0</v>
      </c>
      <c r="S160" s="60">
        <v>1.0</v>
      </c>
      <c r="T160" s="60">
        <v>0.0</v>
      </c>
      <c r="U160" s="60">
        <v>0.0</v>
      </c>
      <c r="V160" s="13">
        <f t="shared" si="14"/>
        <v>2</v>
      </c>
      <c r="W160" s="5"/>
      <c r="X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60">
        <v>0.0</v>
      </c>
      <c r="O161" s="60">
        <v>0.0</v>
      </c>
      <c r="P161" s="60">
        <v>0.0</v>
      </c>
      <c r="Q161" s="60">
        <v>0.0</v>
      </c>
      <c r="R161" s="60">
        <v>0.0</v>
      </c>
      <c r="S161" s="60">
        <v>2.0</v>
      </c>
      <c r="T161" s="60">
        <v>0.0</v>
      </c>
      <c r="U161" s="60">
        <v>1.0</v>
      </c>
      <c r="V161" s="13">
        <f t="shared" si="14"/>
        <v>3</v>
      </c>
      <c r="W161" s="5"/>
      <c r="X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U162" si="29">SUM(E156:E161)</f>
        <v>4</v>
      </c>
      <c r="F162" s="64">
        <f t="shared" si="29"/>
        <v>2</v>
      </c>
      <c r="G162" s="64">
        <f t="shared" si="29"/>
        <v>4</v>
      </c>
      <c r="H162" s="64">
        <f t="shared" si="29"/>
        <v>0</v>
      </c>
      <c r="I162" s="64">
        <f t="shared" si="29"/>
        <v>2</v>
      </c>
      <c r="J162" s="64">
        <f t="shared" si="29"/>
        <v>0</v>
      </c>
      <c r="K162" s="64">
        <f t="shared" si="29"/>
        <v>2</v>
      </c>
      <c r="L162" s="64">
        <f t="shared" si="29"/>
        <v>0</v>
      </c>
      <c r="M162" s="64">
        <f t="shared" si="29"/>
        <v>1</v>
      </c>
      <c r="N162" s="64">
        <f t="shared" si="29"/>
        <v>0</v>
      </c>
      <c r="O162" s="64">
        <f t="shared" si="29"/>
        <v>0</v>
      </c>
      <c r="P162" s="64">
        <f t="shared" si="29"/>
        <v>2</v>
      </c>
      <c r="Q162" s="64">
        <f t="shared" si="29"/>
        <v>0</v>
      </c>
      <c r="R162" s="64">
        <f t="shared" si="29"/>
        <v>2</v>
      </c>
      <c r="S162" s="64">
        <f t="shared" si="29"/>
        <v>5</v>
      </c>
      <c r="T162" s="64">
        <f t="shared" si="29"/>
        <v>3</v>
      </c>
      <c r="U162" s="64">
        <f t="shared" si="29"/>
        <v>8</v>
      </c>
      <c r="V162" s="13">
        <f t="shared" si="14"/>
        <v>35</v>
      </c>
      <c r="W162" s="5"/>
      <c r="X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13">
        <f t="shared" si="14"/>
        <v>0</v>
      </c>
      <c r="W163" s="5"/>
      <c r="X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60">
        <v>0.0</v>
      </c>
      <c r="O164" s="60">
        <v>0.0</v>
      </c>
      <c r="P164" s="60">
        <v>0.0</v>
      </c>
      <c r="Q164" s="60">
        <v>0.0</v>
      </c>
      <c r="R164" s="60">
        <v>0.0</v>
      </c>
      <c r="S164" s="60">
        <v>0.0</v>
      </c>
      <c r="T164" s="60">
        <v>1.0</v>
      </c>
      <c r="U164" s="60">
        <v>0.0</v>
      </c>
      <c r="V164" s="13">
        <f t="shared" si="14"/>
        <v>1</v>
      </c>
      <c r="W164" s="5"/>
      <c r="X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0.0</v>
      </c>
      <c r="J165" s="60">
        <v>1.0</v>
      </c>
      <c r="K165" s="60">
        <v>0.0</v>
      </c>
      <c r="L165" s="60">
        <v>1.0</v>
      </c>
      <c r="M165" s="60">
        <v>2.0</v>
      </c>
      <c r="N165" s="60">
        <v>1.0</v>
      </c>
      <c r="O165" s="60">
        <v>2.0</v>
      </c>
      <c r="P165" s="60">
        <v>0.0</v>
      </c>
      <c r="Q165" s="60">
        <v>1.0</v>
      </c>
      <c r="R165" s="60">
        <v>0.0</v>
      </c>
      <c r="S165" s="60">
        <v>0.0</v>
      </c>
      <c r="T165" s="60">
        <v>1.0</v>
      </c>
      <c r="U165" s="60">
        <v>2.0</v>
      </c>
      <c r="V165" s="13">
        <f t="shared" si="14"/>
        <v>11</v>
      </c>
      <c r="W165" s="1"/>
      <c r="X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1.0</v>
      </c>
      <c r="M166" s="60">
        <v>0.0</v>
      </c>
      <c r="N166" s="60">
        <v>0.0</v>
      </c>
      <c r="O166" s="60">
        <v>0.0</v>
      </c>
      <c r="P166" s="60">
        <v>0.0</v>
      </c>
      <c r="Q166" s="60">
        <v>0.0</v>
      </c>
      <c r="R166" s="60">
        <v>0.0</v>
      </c>
      <c r="S166" s="60">
        <v>0.0</v>
      </c>
      <c r="T166" s="60">
        <v>0.0</v>
      </c>
      <c r="U166" s="60">
        <v>0.0</v>
      </c>
      <c r="V166" s="13">
        <f t="shared" si="14"/>
        <v>1</v>
      </c>
      <c r="W166" s="54"/>
      <c r="X166" s="54"/>
    </row>
    <row r="167" ht="12.75" customHeight="1">
      <c r="A167" s="31"/>
      <c r="B167" s="50"/>
      <c r="C167" s="58" t="s">
        <v>144</v>
      </c>
      <c r="D167" s="65"/>
      <c r="E167" s="60">
        <v>1.0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60">
        <v>0.0</v>
      </c>
      <c r="P167" s="60">
        <v>0.0</v>
      </c>
      <c r="Q167" s="60">
        <v>0.0</v>
      </c>
      <c r="R167" s="60">
        <v>0.0</v>
      </c>
      <c r="S167" s="60">
        <v>0.0</v>
      </c>
      <c r="T167" s="60">
        <v>0.0</v>
      </c>
      <c r="U167" s="60">
        <v>0.0</v>
      </c>
      <c r="V167" s="13">
        <f t="shared" si="14"/>
        <v>1</v>
      </c>
      <c r="W167" s="5"/>
      <c r="X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60">
        <v>0.0</v>
      </c>
      <c r="Q168" s="60">
        <v>0.0</v>
      </c>
      <c r="R168" s="60">
        <v>0.0</v>
      </c>
      <c r="S168" s="60">
        <v>0.0</v>
      </c>
      <c r="T168" s="60">
        <v>0.0</v>
      </c>
      <c r="U168" s="60">
        <v>0.0</v>
      </c>
      <c r="V168" s="13">
        <f t="shared" si="14"/>
        <v>0</v>
      </c>
      <c r="W168" s="5"/>
      <c r="X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60">
        <v>0.0</v>
      </c>
      <c r="P169" s="60">
        <v>0.0</v>
      </c>
      <c r="Q169" s="60">
        <v>1.0</v>
      </c>
      <c r="R169" s="60">
        <v>0.0</v>
      </c>
      <c r="S169" s="60">
        <v>0.0</v>
      </c>
      <c r="T169" s="60">
        <v>0.0</v>
      </c>
      <c r="U169" s="60">
        <v>0.0</v>
      </c>
      <c r="V169" s="13">
        <f t="shared" si="14"/>
        <v>1</v>
      </c>
      <c r="W169" s="5"/>
      <c r="X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60">
        <v>0.0</v>
      </c>
      <c r="Q170" s="60">
        <v>0.0</v>
      </c>
      <c r="R170" s="60">
        <v>0.0</v>
      </c>
      <c r="S170" s="60">
        <v>0.0</v>
      </c>
      <c r="T170" s="60">
        <v>0.0</v>
      </c>
      <c r="U170" s="60">
        <v>0.0</v>
      </c>
      <c r="V170" s="13">
        <f t="shared" si="14"/>
        <v>0</v>
      </c>
      <c r="W170" s="5"/>
      <c r="X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U171" si="30">SUM(E164:E170)</f>
        <v>1</v>
      </c>
      <c r="F171" s="64">
        <f t="shared" si="30"/>
        <v>0</v>
      </c>
      <c r="G171" s="64">
        <f t="shared" si="30"/>
        <v>0</v>
      </c>
      <c r="H171" s="64">
        <f t="shared" si="30"/>
        <v>0</v>
      </c>
      <c r="I171" s="64">
        <f t="shared" si="30"/>
        <v>0</v>
      </c>
      <c r="J171" s="64">
        <f t="shared" si="30"/>
        <v>1</v>
      </c>
      <c r="K171" s="64">
        <f t="shared" si="30"/>
        <v>0</v>
      </c>
      <c r="L171" s="64">
        <f t="shared" si="30"/>
        <v>2</v>
      </c>
      <c r="M171" s="64">
        <f t="shared" si="30"/>
        <v>2</v>
      </c>
      <c r="N171" s="64">
        <f t="shared" si="30"/>
        <v>1</v>
      </c>
      <c r="O171" s="64">
        <f t="shared" si="30"/>
        <v>2</v>
      </c>
      <c r="P171" s="64">
        <f t="shared" si="30"/>
        <v>0</v>
      </c>
      <c r="Q171" s="64">
        <f t="shared" si="30"/>
        <v>2</v>
      </c>
      <c r="R171" s="64">
        <f t="shared" si="30"/>
        <v>0</v>
      </c>
      <c r="S171" s="64">
        <f t="shared" si="30"/>
        <v>0</v>
      </c>
      <c r="T171" s="64">
        <f t="shared" si="30"/>
        <v>2</v>
      </c>
      <c r="U171" s="64">
        <f t="shared" si="30"/>
        <v>2</v>
      </c>
      <c r="V171" s="13">
        <f t="shared" si="14"/>
        <v>15</v>
      </c>
      <c r="W171" s="5"/>
      <c r="X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13">
        <f t="shared" si="14"/>
        <v>0</v>
      </c>
      <c r="W172" s="5"/>
      <c r="X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0.0</v>
      </c>
      <c r="F173" s="60">
        <v>0.0</v>
      </c>
      <c r="G173" s="60">
        <v>0.0</v>
      </c>
      <c r="H173" s="60">
        <v>1.0</v>
      </c>
      <c r="I173" s="60">
        <v>1.0</v>
      </c>
      <c r="J173" s="60">
        <v>1.0</v>
      </c>
      <c r="K173" s="60">
        <v>0.0</v>
      </c>
      <c r="L173" s="60">
        <v>1.0</v>
      </c>
      <c r="M173" s="60">
        <v>8.0</v>
      </c>
      <c r="N173" s="60">
        <v>0.0</v>
      </c>
      <c r="O173" s="60">
        <v>0.0</v>
      </c>
      <c r="P173" s="60">
        <v>0.0</v>
      </c>
      <c r="Q173" s="60">
        <v>1.0</v>
      </c>
      <c r="R173" s="60">
        <v>0.0</v>
      </c>
      <c r="S173" s="60">
        <v>2.0</v>
      </c>
      <c r="T173" s="60">
        <v>1.0</v>
      </c>
      <c r="U173" s="60">
        <v>0.0</v>
      </c>
      <c r="V173" s="13">
        <f t="shared" si="14"/>
        <v>16</v>
      </c>
      <c r="W173" s="5"/>
      <c r="X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0.0</v>
      </c>
      <c r="G174" s="60">
        <v>0.0</v>
      </c>
      <c r="H174" s="60">
        <v>0.0</v>
      </c>
      <c r="I174" s="60">
        <v>0.0</v>
      </c>
      <c r="J174" s="60">
        <v>1.0</v>
      </c>
      <c r="K174" s="60">
        <v>0.0</v>
      </c>
      <c r="L174" s="60">
        <v>2.0</v>
      </c>
      <c r="M174" s="60">
        <v>1.0</v>
      </c>
      <c r="N174" s="60">
        <v>0.0</v>
      </c>
      <c r="O174" s="60">
        <v>0.0</v>
      </c>
      <c r="P174" s="19"/>
      <c r="Q174" s="60">
        <v>0.0</v>
      </c>
      <c r="R174" s="60">
        <v>0.0</v>
      </c>
      <c r="S174" s="60">
        <v>0.0</v>
      </c>
      <c r="T174" s="60">
        <v>0.0</v>
      </c>
      <c r="U174" s="60">
        <v>0.0</v>
      </c>
      <c r="V174" s="13">
        <f t="shared" si="14"/>
        <v>4</v>
      </c>
      <c r="W174" s="5"/>
      <c r="X174" s="5"/>
    </row>
    <row r="175" ht="12.75" customHeight="1">
      <c r="A175" s="18"/>
      <c r="B175" s="57"/>
      <c r="C175" s="58" t="s">
        <v>151</v>
      </c>
      <c r="D175" s="59"/>
      <c r="E175" s="60">
        <v>0.0</v>
      </c>
      <c r="F175" s="60">
        <v>2.0</v>
      </c>
      <c r="G175" s="60">
        <v>0.0</v>
      </c>
      <c r="H175" s="60">
        <v>0.0</v>
      </c>
      <c r="I175" s="60">
        <v>0.0</v>
      </c>
      <c r="J175" s="60">
        <v>2.0</v>
      </c>
      <c r="K175" s="60">
        <v>2.0</v>
      </c>
      <c r="L175" s="60">
        <v>4.0</v>
      </c>
      <c r="M175" s="60">
        <v>0.0</v>
      </c>
      <c r="N175" s="60">
        <v>0.0</v>
      </c>
      <c r="O175" s="60">
        <v>0.0</v>
      </c>
      <c r="P175" s="19"/>
      <c r="Q175" s="60">
        <v>0.0</v>
      </c>
      <c r="R175" s="60">
        <v>0.0</v>
      </c>
      <c r="S175" s="60">
        <v>0.0</v>
      </c>
      <c r="T175" s="60">
        <v>0.0</v>
      </c>
      <c r="U175" s="60">
        <v>0.0</v>
      </c>
      <c r="V175" s="13">
        <f t="shared" si="14"/>
        <v>10</v>
      </c>
      <c r="W175" s="5"/>
      <c r="X175" s="5"/>
    </row>
    <row r="176" ht="12.75" customHeight="1">
      <c r="A176" s="18"/>
      <c r="B176" s="57"/>
      <c r="C176" s="58" t="s">
        <v>152</v>
      </c>
      <c r="D176" s="59"/>
      <c r="E176" s="60">
        <v>5.0</v>
      </c>
      <c r="F176" s="60">
        <v>12.0</v>
      </c>
      <c r="G176" s="60">
        <v>2.0</v>
      </c>
      <c r="H176" s="60">
        <v>7.0</v>
      </c>
      <c r="I176" s="60">
        <v>2.0</v>
      </c>
      <c r="J176" s="60">
        <v>12.0</v>
      </c>
      <c r="K176" s="60">
        <v>13.0</v>
      </c>
      <c r="L176" s="60">
        <v>9.0</v>
      </c>
      <c r="M176" s="60">
        <v>4.0</v>
      </c>
      <c r="N176" s="60">
        <v>0.0</v>
      </c>
      <c r="O176" s="60">
        <v>0.0</v>
      </c>
      <c r="P176" s="19"/>
      <c r="Q176" s="60">
        <v>0.0</v>
      </c>
      <c r="R176" s="60">
        <v>2.0</v>
      </c>
      <c r="S176" s="60">
        <v>1.0</v>
      </c>
      <c r="T176" s="60">
        <v>0.0</v>
      </c>
      <c r="U176" s="60">
        <v>0.0</v>
      </c>
      <c r="V176" s="13">
        <f t="shared" si="14"/>
        <v>69</v>
      </c>
      <c r="W176" s="1"/>
      <c r="X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1.0</v>
      </c>
      <c r="H177" s="60">
        <v>0.0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60">
        <v>0.0</v>
      </c>
      <c r="O177" s="60">
        <v>0.0</v>
      </c>
      <c r="P177" s="19"/>
      <c r="Q177" s="60">
        <v>0.0</v>
      </c>
      <c r="R177" s="60">
        <v>0.0</v>
      </c>
      <c r="S177" s="60">
        <v>0.0</v>
      </c>
      <c r="T177" s="60">
        <v>0.0</v>
      </c>
      <c r="U177" s="60">
        <v>0.0</v>
      </c>
      <c r="V177" s="13">
        <f t="shared" si="14"/>
        <v>1</v>
      </c>
    </row>
    <row r="178" ht="12.75" customHeight="1">
      <c r="A178" s="18"/>
      <c r="B178" s="57"/>
      <c r="C178" s="58" t="s">
        <v>154</v>
      </c>
      <c r="D178" s="59"/>
      <c r="E178" s="60">
        <v>1.0</v>
      </c>
      <c r="F178" s="60">
        <v>0.0</v>
      </c>
      <c r="G178" s="60">
        <v>0.0</v>
      </c>
      <c r="H178" s="60">
        <v>1.0</v>
      </c>
      <c r="I178" s="60">
        <v>1.0</v>
      </c>
      <c r="J178" s="60">
        <v>0.0</v>
      </c>
      <c r="K178" s="60">
        <v>0.0</v>
      </c>
      <c r="L178" s="60">
        <v>0.0</v>
      </c>
      <c r="M178" s="60">
        <v>1.0</v>
      </c>
      <c r="N178" s="60">
        <v>1.0</v>
      </c>
      <c r="O178" s="60">
        <v>0.0</v>
      </c>
      <c r="P178" s="19"/>
      <c r="Q178" s="60">
        <v>0.0</v>
      </c>
      <c r="R178" s="60">
        <v>0.0</v>
      </c>
      <c r="S178" s="60">
        <v>0.0</v>
      </c>
      <c r="T178" s="60">
        <v>0.0</v>
      </c>
      <c r="U178" s="60">
        <v>0.0</v>
      </c>
      <c r="V178" s="13">
        <f t="shared" si="14"/>
        <v>5</v>
      </c>
      <c r="W178" s="5"/>
      <c r="X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2.0</v>
      </c>
      <c r="I179" s="60">
        <v>0.0</v>
      </c>
      <c r="J179" s="60">
        <v>0.0</v>
      </c>
      <c r="K179" s="60">
        <v>1.0</v>
      </c>
      <c r="L179" s="60">
        <v>0.0</v>
      </c>
      <c r="M179" s="60">
        <v>0.0</v>
      </c>
      <c r="N179" s="60">
        <v>0.0</v>
      </c>
      <c r="O179" s="60">
        <v>0.0</v>
      </c>
      <c r="P179" s="19"/>
      <c r="Q179" s="60">
        <v>0.0</v>
      </c>
      <c r="R179" s="60">
        <v>1.0</v>
      </c>
      <c r="S179" s="60">
        <v>0.0</v>
      </c>
      <c r="T179" s="60">
        <v>0.0</v>
      </c>
      <c r="U179" s="60">
        <v>0.0</v>
      </c>
      <c r="V179" s="13">
        <f t="shared" si="14"/>
        <v>4</v>
      </c>
      <c r="W179" s="5"/>
      <c r="X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U180" si="31">SUM(E173:E179)</f>
        <v>6</v>
      </c>
      <c r="F180" s="64">
        <f t="shared" si="31"/>
        <v>14</v>
      </c>
      <c r="G180" s="64">
        <f t="shared" si="31"/>
        <v>3</v>
      </c>
      <c r="H180" s="64">
        <f t="shared" si="31"/>
        <v>11</v>
      </c>
      <c r="I180" s="64">
        <f t="shared" si="31"/>
        <v>4</v>
      </c>
      <c r="J180" s="64">
        <f t="shared" si="31"/>
        <v>16</v>
      </c>
      <c r="K180" s="64">
        <f t="shared" si="31"/>
        <v>16</v>
      </c>
      <c r="L180" s="64">
        <f t="shared" si="31"/>
        <v>16</v>
      </c>
      <c r="M180" s="64">
        <f t="shared" si="31"/>
        <v>14</v>
      </c>
      <c r="N180" s="64">
        <f t="shared" si="31"/>
        <v>1</v>
      </c>
      <c r="O180" s="64">
        <f t="shared" si="31"/>
        <v>0</v>
      </c>
      <c r="P180" s="64">
        <f t="shared" si="31"/>
        <v>0</v>
      </c>
      <c r="Q180" s="64">
        <f t="shared" si="31"/>
        <v>1</v>
      </c>
      <c r="R180" s="64">
        <f t="shared" si="31"/>
        <v>3</v>
      </c>
      <c r="S180" s="64">
        <f t="shared" si="31"/>
        <v>3</v>
      </c>
      <c r="T180" s="64">
        <f t="shared" si="31"/>
        <v>1</v>
      </c>
      <c r="U180" s="64">
        <f t="shared" si="31"/>
        <v>0</v>
      </c>
      <c r="V180" s="13">
        <f t="shared" si="14"/>
        <v>109</v>
      </c>
      <c r="W180" s="5"/>
      <c r="X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13">
        <f t="shared" si="14"/>
        <v>0</v>
      </c>
      <c r="W181" s="5"/>
      <c r="X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1.0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2.0</v>
      </c>
      <c r="L182" s="60">
        <v>0.0</v>
      </c>
      <c r="M182" s="60">
        <v>0.0</v>
      </c>
      <c r="N182" s="60">
        <v>0.0</v>
      </c>
      <c r="O182" s="60">
        <v>0.0</v>
      </c>
      <c r="P182" s="60">
        <v>0.0</v>
      </c>
      <c r="Q182" s="60">
        <v>1.0</v>
      </c>
      <c r="R182" s="60">
        <v>0.0</v>
      </c>
      <c r="S182" s="60">
        <v>0.0</v>
      </c>
      <c r="T182" s="60">
        <v>1.0</v>
      </c>
      <c r="U182" s="60">
        <v>1.0</v>
      </c>
      <c r="V182" s="13">
        <f t="shared" si="14"/>
        <v>6</v>
      </c>
      <c r="W182" s="5"/>
      <c r="X182" s="5"/>
    </row>
    <row r="183" ht="12.75" customHeight="1">
      <c r="A183" s="31"/>
      <c r="B183" s="50"/>
      <c r="C183" s="58" t="s">
        <v>158</v>
      </c>
      <c r="D183" s="65"/>
      <c r="E183" s="60">
        <v>1.0</v>
      </c>
      <c r="F183" s="60">
        <v>0.0</v>
      </c>
      <c r="G183" s="60">
        <v>1.0</v>
      </c>
      <c r="H183" s="60">
        <v>0.0</v>
      </c>
      <c r="I183" s="60">
        <v>0.0</v>
      </c>
      <c r="J183" s="60">
        <v>0.0</v>
      </c>
      <c r="K183" s="60">
        <v>0.0</v>
      </c>
      <c r="L183" s="60">
        <v>0.0</v>
      </c>
      <c r="M183" s="60">
        <v>2.0</v>
      </c>
      <c r="N183" s="60">
        <v>3.0</v>
      </c>
      <c r="O183" s="60">
        <v>0.0</v>
      </c>
      <c r="P183" s="60">
        <v>0.0</v>
      </c>
      <c r="Q183" s="60">
        <v>0.0</v>
      </c>
      <c r="R183" s="60">
        <v>0.0</v>
      </c>
      <c r="S183" s="60">
        <v>0.0</v>
      </c>
      <c r="T183" s="60">
        <v>0.0</v>
      </c>
      <c r="U183" s="60">
        <v>0.0</v>
      </c>
      <c r="V183" s="13">
        <f t="shared" si="14"/>
        <v>7</v>
      </c>
      <c r="W183" s="5"/>
      <c r="X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1.0</v>
      </c>
      <c r="G184" s="60">
        <v>0.0</v>
      </c>
      <c r="H184" s="60">
        <v>0.0</v>
      </c>
      <c r="I184" s="60">
        <v>1.0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60">
        <v>0.0</v>
      </c>
      <c r="P184" s="60">
        <v>0.0</v>
      </c>
      <c r="Q184" s="60">
        <v>0.0</v>
      </c>
      <c r="R184" s="60">
        <v>0.0</v>
      </c>
      <c r="S184" s="60">
        <v>0.0</v>
      </c>
      <c r="T184" s="60">
        <v>0.0</v>
      </c>
      <c r="U184" s="60">
        <v>0.0</v>
      </c>
      <c r="V184" s="13">
        <f t="shared" si="14"/>
        <v>2</v>
      </c>
      <c r="W184" s="5"/>
      <c r="X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0.0</v>
      </c>
      <c r="O185" s="60">
        <v>0.0</v>
      </c>
      <c r="P185" s="60">
        <v>0.0</v>
      </c>
      <c r="Q185" s="60">
        <v>0.0</v>
      </c>
      <c r="R185" s="60">
        <v>0.0</v>
      </c>
      <c r="S185" s="60">
        <v>0.0</v>
      </c>
      <c r="T185" s="60">
        <v>0.0</v>
      </c>
      <c r="U185" s="60">
        <v>0.0</v>
      </c>
      <c r="V185" s="13">
        <f t="shared" si="14"/>
        <v>0</v>
      </c>
      <c r="W185" s="5"/>
      <c r="X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60">
        <v>1.0</v>
      </c>
      <c r="P186" s="60">
        <v>0.0</v>
      </c>
      <c r="Q186" s="60">
        <v>0.0</v>
      </c>
      <c r="R186" s="60">
        <v>0.0</v>
      </c>
      <c r="S186" s="60">
        <v>0.0</v>
      </c>
      <c r="T186" s="60">
        <v>0.0</v>
      </c>
      <c r="U186" s="60">
        <v>0.0</v>
      </c>
      <c r="V186" s="13">
        <f t="shared" si="14"/>
        <v>1</v>
      </c>
      <c r="W186" s="5"/>
      <c r="X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U187" si="32">SUM(E182:E186)</f>
        <v>2</v>
      </c>
      <c r="F187" s="64">
        <f t="shared" si="32"/>
        <v>1</v>
      </c>
      <c r="G187" s="64">
        <f t="shared" si="32"/>
        <v>1</v>
      </c>
      <c r="H187" s="64">
        <f t="shared" si="32"/>
        <v>0</v>
      </c>
      <c r="I187" s="64">
        <f t="shared" si="32"/>
        <v>1</v>
      </c>
      <c r="J187" s="64">
        <f t="shared" si="32"/>
        <v>0</v>
      </c>
      <c r="K187" s="64">
        <f t="shared" si="32"/>
        <v>2</v>
      </c>
      <c r="L187" s="64">
        <f t="shared" si="32"/>
        <v>0</v>
      </c>
      <c r="M187" s="64">
        <f t="shared" si="32"/>
        <v>2</v>
      </c>
      <c r="N187" s="64">
        <f t="shared" si="32"/>
        <v>3</v>
      </c>
      <c r="O187" s="64">
        <f t="shared" si="32"/>
        <v>1</v>
      </c>
      <c r="P187" s="64">
        <f t="shared" si="32"/>
        <v>0</v>
      </c>
      <c r="Q187" s="64">
        <f t="shared" si="32"/>
        <v>1</v>
      </c>
      <c r="R187" s="64">
        <f t="shared" si="32"/>
        <v>0</v>
      </c>
      <c r="S187" s="64">
        <f t="shared" si="32"/>
        <v>0</v>
      </c>
      <c r="T187" s="64">
        <f t="shared" si="32"/>
        <v>1</v>
      </c>
      <c r="U187" s="64">
        <f t="shared" si="32"/>
        <v>1</v>
      </c>
      <c r="V187" s="13">
        <f t="shared" si="14"/>
        <v>16</v>
      </c>
      <c r="W187" s="1"/>
      <c r="X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3">
        <f t="shared" si="14"/>
        <v>0</v>
      </c>
      <c r="W189" s="5"/>
      <c r="X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74" t="s">
        <v>184</v>
      </c>
      <c r="P190" s="74" t="s">
        <v>185</v>
      </c>
      <c r="Q190" s="74" t="s">
        <v>186</v>
      </c>
      <c r="R190" s="74" t="s">
        <v>188</v>
      </c>
      <c r="S190" s="74" t="s">
        <v>189</v>
      </c>
      <c r="T190" s="74" t="s">
        <v>190</v>
      </c>
      <c r="U190" s="74" t="s">
        <v>191</v>
      </c>
      <c r="V190" s="13">
        <f t="shared" si="14"/>
        <v>0</v>
      </c>
      <c r="W190" s="5"/>
      <c r="X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U191" si="33">E187+E180+E162+E154+E145+E136+E127+E123+E114+E110+E101+E92+E88+E79+E70+E61+E52</f>
        <v>189</v>
      </c>
      <c r="F191" s="19">
        <f t="shared" si="33"/>
        <v>216</v>
      </c>
      <c r="G191" s="19">
        <f t="shared" si="33"/>
        <v>250</v>
      </c>
      <c r="H191" s="19">
        <f t="shared" si="33"/>
        <v>223</v>
      </c>
      <c r="I191" s="19">
        <f t="shared" si="33"/>
        <v>210</v>
      </c>
      <c r="J191" s="19">
        <f t="shared" si="33"/>
        <v>217</v>
      </c>
      <c r="K191" s="19">
        <f t="shared" si="33"/>
        <v>216</v>
      </c>
      <c r="L191" s="19">
        <f t="shared" si="33"/>
        <v>213</v>
      </c>
      <c r="M191" s="19">
        <f t="shared" si="33"/>
        <v>224</v>
      </c>
      <c r="N191" s="19">
        <f t="shared" si="33"/>
        <v>217</v>
      </c>
      <c r="O191" s="19">
        <f t="shared" si="33"/>
        <v>248</v>
      </c>
      <c r="P191" s="19">
        <f t="shared" si="33"/>
        <v>187</v>
      </c>
      <c r="Q191" s="19">
        <f t="shared" si="33"/>
        <v>214</v>
      </c>
      <c r="R191" s="19">
        <f t="shared" si="33"/>
        <v>196</v>
      </c>
      <c r="S191" s="19">
        <f t="shared" si="33"/>
        <v>223</v>
      </c>
      <c r="T191" s="19">
        <f t="shared" si="33"/>
        <v>175</v>
      </c>
      <c r="U191" s="19">
        <f t="shared" si="33"/>
        <v>196</v>
      </c>
      <c r="V191" s="13">
        <f t="shared" si="14"/>
        <v>3614</v>
      </c>
      <c r="W191" s="5"/>
      <c r="X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16.0</v>
      </c>
      <c r="F192" s="60">
        <v>13.0</v>
      </c>
      <c r="G192" s="60">
        <v>9.0</v>
      </c>
      <c r="H192" s="60">
        <v>10.0</v>
      </c>
      <c r="I192" s="60">
        <v>16.0</v>
      </c>
      <c r="J192" s="60">
        <v>11.0</v>
      </c>
      <c r="K192" s="60">
        <v>7.0</v>
      </c>
      <c r="L192" s="60">
        <v>12.0</v>
      </c>
      <c r="M192" s="60">
        <v>4.0</v>
      </c>
      <c r="N192" s="60">
        <v>9.0</v>
      </c>
      <c r="O192" s="60">
        <v>3.0</v>
      </c>
      <c r="P192" s="60">
        <v>14.0</v>
      </c>
      <c r="Q192" s="60">
        <v>11.0</v>
      </c>
      <c r="R192" s="60">
        <v>5.0</v>
      </c>
      <c r="S192" s="60">
        <v>12.0</v>
      </c>
      <c r="T192" s="60">
        <v>30.0</v>
      </c>
      <c r="U192" s="60">
        <v>9.0</v>
      </c>
      <c r="V192" s="13">
        <f t="shared" si="14"/>
        <v>191</v>
      </c>
      <c r="W192" s="5"/>
      <c r="X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U193" si="34">SUM(E191:E192)</f>
        <v>205</v>
      </c>
      <c r="F193" s="13">
        <f t="shared" si="34"/>
        <v>229</v>
      </c>
      <c r="G193" s="13">
        <f t="shared" si="34"/>
        <v>259</v>
      </c>
      <c r="H193" s="13">
        <f t="shared" si="34"/>
        <v>233</v>
      </c>
      <c r="I193" s="13">
        <f t="shared" si="34"/>
        <v>226</v>
      </c>
      <c r="J193" s="13">
        <f t="shared" si="34"/>
        <v>228</v>
      </c>
      <c r="K193" s="13">
        <f t="shared" si="34"/>
        <v>223</v>
      </c>
      <c r="L193" s="13">
        <f t="shared" si="34"/>
        <v>225</v>
      </c>
      <c r="M193" s="13">
        <f t="shared" si="34"/>
        <v>228</v>
      </c>
      <c r="N193" s="13">
        <f t="shared" si="34"/>
        <v>226</v>
      </c>
      <c r="O193" s="13">
        <f t="shared" si="34"/>
        <v>251</v>
      </c>
      <c r="P193" s="13">
        <f t="shared" si="34"/>
        <v>201</v>
      </c>
      <c r="Q193" s="13">
        <f t="shared" si="34"/>
        <v>225</v>
      </c>
      <c r="R193" s="13">
        <f t="shared" si="34"/>
        <v>201</v>
      </c>
      <c r="S193" s="13">
        <f t="shared" si="34"/>
        <v>235</v>
      </c>
      <c r="T193" s="13">
        <f t="shared" si="34"/>
        <v>205</v>
      </c>
      <c r="U193" s="13">
        <f t="shared" si="34"/>
        <v>205</v>
      </c>
      <c r="V193" s="13">
        <f t="shared" si="14"/>
        <v>3805</v>
      </c>
      <c r="W193" s="5"/>
      <c r="X193" s="5"/>
    </row>
    <row r="194" ht="12.75" customHeight="1">
      <c r="W194" s="5"/>
      <c r="X194" s="5"/>
    </row>
    <row r="195" ht="12.75" customHeight="1">
      <c r="W195" s="5"/>
      <c r="X195" s="5"/>
    </row>
    <row r="196" ht="12.75" customHeight="1">
      <c r="W196" s="1"/>
      <c r="X196" s="1"/>
    </row>
    <row r="197" ht="12.75" customHeight="1">
      <c r="W197" s="1"/>
      <c r="X197" s="1"/>
    </row>
    <row r="198" ht="12.75" customHeight="1">
      <c r="W198" s="1"/>
      <c r="X198" s="1"/>
    </row>
    <row r="199" ht="12.75" customHeight="1">
      <c r="W199" s="54"/>
      <c r="X199" s="54"/>
    </row>
    <row r="200" ht="12.75" customHeight="1">
      <c r="W200" s="5"/>
      <c r="X200" s="5"/>
    </row>
    <row r="201" ht="12.75" customHeight="1">
      <c r="W201" s="5"/>
      <c r="X201" s="5"/>
    </row>
    <row r="202" ht="12.75" customHeight="1">
      <c r="W202" s="5"/>
      <c r="X202" s="5"/>
    </row>
    <row r="203" ht="12.75" customHeight="1">
      <c r="W203" s="5"/>
      <c r="X203" s="5"/>
    </row>
    <row r="204" ht="12.75" customHeight="1">
      <c r="W204" s="5"/>
      <c r="X204" s="5"/>
    </row>
    <row r="205" ht="12.75" customHeight="1">
      <c r="W205" s="5"/>
      <c r="X205" s="5"/>
    </row>
    <row r="206" ht="12.75" customHeight="1">
      <c r="W206" s="5"/>
      <c r="X206" s="5"/>
    </row>
    <row r="207" ht="12.75" customHeight="1">
      <c r="W207" s="1"/>
      <c r="X207" s="1"/>
    </row>
    <row r="208" ht="12.75" customHeight="1">
      <c r="W208" s="54"/>
      <c r="X208" s="54"/>
    </row>
    <row r="209" ht="12.75" customHeight="1">
      <c r="W209" s="54"/>
      <c r="X209" s="54"/>
    </row>
    <row r="210" ht="12.75" customHeight="1">
      <c r="W210" s="54"/>
      <c r="X210" s="54"/>
    </row>
    <row r="211" ht="12.75" customHeight="1">
      <c r="W211" s="5"/>
      <c r="X211" s="5"/>
    </row>
    <row r="212" ht="12.75" customHeight="1">
      <c r="W212" s="5"/>
      <c r="X212" s="5"/>
    </row>
    <row r="213" ht="12.75" customHeight="1">
      <c r="W213" s="5"/>
      <c r="X213" s="5"/>
    </row>
    <row r="214" ht="12.75" customHeight="1">
      <c r="W214" s="5"/>
      <c r="X214" s="5"/>
    </row>
    <row r="215" ht="12.75" customHeight="1">
      <c r="W215" s="5"/>
      <c r="X215" s="5"/>
    </row>
    <row r="216" ht="12.75" customHeight="1">
      <c r="W216" s="5"/>
      <c r="X216" s="5"/>
    </row>
    <row r="217" ht="12.75" customHeight="1">
      <c r="W217" s="5"/>
      <c r="X217" s="5"/>
    </row>
    <row r="218" ht="12.75" customHeight="1">
      <c r="W218" s="1"/>
      <c r="X218" s="1"/>
    </row>
    <row r="219" ht="12.75" customHeight="1">
      <c r="W219" s="54"/>
      <c r="X219" s="54"/>
    </row>
    <row r="220" ht="12.75" customHeight="1">
      <c r="W220" s="5"/>
      <c r="X220" s="5"/>
    </row>
    <row r="221" ht="12.75" customHeight="1">
      <c r="W221" s="5"/>
      <c r="X221" s="5"/>
    </row>
    <row r="222" ht="12.75" customHeight="1">
      <c r="W222" s="5"/>
      <c r="X222" s="5"/>
    </row>
    <row r="223" ht="12.75" customHeight="1">
      <c r="W223" s="5"/>
      <c r="X223" s="5"/>
    </row>
    <row r="224" ht="12.75" customHeight="1">
      <c r="W224" s="5"/>
      <c r="X224" s="5"/>
    </row>
    <row r="225" ht="12.75" customHeight="1">
      <c r="W225" s="5"/>
      <c r="X225" s="5"/>
    </row>
    <row r="226" ht="12.75" customHeight="1">
      <c r="W226" s="5"/>
      <c r="X226" s="5"/>
    </row>
    <row r="227" ht="12.75" customHeight="1">
      <c r="W227" s="5"/>
      <c r="X227" s="5"/>
    </row>
    <row r="228" ht="12.75" customHeight="1">
      <c r="W228" s="5"/>
      <c r="X228" s="5"/>
    </row>
    <row r="229" ht="12.75" customHeight="1">
      <c r="W229" s="1"/>
      <c r="X229" s="1"/>
    </row>
    <row r="230" ht="12.75" customHeight="1">
      <c r="W230" s="54"/>
      <c r="X230" s="54"/>
    </row>
    <row r="231" ht="12.75" customHeight="1">
      <c r="W231" s="5"/>
      <c r="X231" s="5"/>
    </row>
    <row r="232" ht="12.75" customHeight="1">
      <c r="W232" s="5"/>
      <c r="X232" s="5"/>
    </row>
    <row r="233" ht="12.75" customHeight="1">
      <c r="W233" s="5"/>
      <c r="X233" s="5"/>
    </row>
    <row r="234" ht="12.75" customHeight="1">
      <c r="W234" s="5"/>
      <c r="X234" s="5"/>
    </row>
    <row r="235" ht="12.75" customHeight="1">
      <c r="W235" s="5"/>
      <c r="X235" s="5"/>
    </row>
    <row r="236" ht="12.75" customHeight="1">
      <c r="W236" s="5"/>
      <c r="X236" s="5"/>
    </row>
    <row r="237" ht="12.75" customHeight="1">
      <c r="W237" s="5"/>
      <c r="X237" s="5"/>
    </row>
    <row r="238" ht="12.75" customHeight="1">
      <c r="W238" s="5"/>
      <c r="X238" s="5"/>
    </row>
    <row r="239" ht="12.75" customHeight="1">
      <c r="W239" s="5"/>
      <c r="X239" s="5"/>
    </row>
    <row r="240" ht="12.75" customHeight="1">
      <c r="W240" s="1"/>
      <c r="X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E34&lt;&gt;#REF!</formula>
    </cfRule>
  </conditionalFormatting>
  <conditionalFormatting sqref="E45:U51">
    <cfRule type="containsBlanks" dxfId="1" priority="10">
      <formula>LEN(TRIM(E45))=0</formula>
    </cfRule>
  </conditionalFormatting>
  <conditionalFormatting sqref="E54:U60">
    <cfRule type="containsBlanks" dxfId="1" priority="11">
      <formula>LEN(TRIM(E54))=0</formula>
    </cfRule>
  </conditionalFormatting>
  <conditionalFormatting sqref="E63:U69">
    <cfRule type="containsBlanks" dxfId="1" priority="12">
      <formula>LEN(TRIM(E63))=0</formula>
    </cfRule>
  </conditionalFormatting>
  <conditionalFormatting sqref="E72:U78">
    <cfRule type="containsBlanks" dxfId="1" priority="13">
      <formula>LEN(TRIM(E72))=0</formula>
    </cfRule>
  </conditionalFormatting>
  <conditionalFormatting sqref="E81:U87">
    <cfRule type="containsBlanks" dxfId="1" priority="14">
      <formula>LEN(TRIM(E81))=0</formula>
    </cfRule>
  </conditionalFormatting>
  <conditionalFormatting sqref="E90:U91">
    <cfRule type="containsBlanks" dxfId="1" priority="15">
      <formula>LEN(TRIM(E90))=0</formula>
    </cfRule>
  </conditionalFormatting>
  <conditionalFormatting sqref="E94:U100">
    <cfRule type="containsBlanks" dxfId="1" priority="16">
      <formula>LEN(TRIM(E94))=0</formula>
    </cfRule>
  </conditionalFormatting>
  <conditionalFormatting sqref="E103:U109">
    <cfRule type="containsBlanks" dxfId="1" priority="17">
      <formula>LEN(TRIM(E103))=0</formula>
    </cfRule>
  </conditionalFormatting>
  <conditionalFormatting sqref="E112:U113">
    <cfRule type="containsBlanks" dxfId="1" priority="18">
      <formula>LEN(TRIM(E112))=0</formula>
    </cfRule>
  </conditionalFormatting>
  <conditionalFormatting sqref="E116:U122">
    <cfRule type="containsBlanks" dxfId="1" priority="19">
      <formula>LEN(TRIM(E116))=0</formula>
    </cfRule>
  </conditionalFormatting>
  <conditionalFormatting sqref="E125:U126">
    <cfRule type="containsBlanks" dxfId="1" priority="20">
      <formula>LEN(TRIM(E125))=0</formula>
    </cfRule>
  </conditionalFormatting>
  <conditionalFormatting sqref="E129:U135">
    <cfRule type="containsBlanks" dxfId="1" priority="21">
      <formula>LEN(TRIM(E129))=0</formula>
    </cfRule>
  </conditionalFormatting>
  <conditionalFormatting sqref="E138:U144">
    <cfRule type="containsBlanks" dxfId="1" priority="22">
      <formula>LEN(TRIM(E138))=0</formula>
    </cfRule>
  </conditionalFormatting>
  <conditionalFormatting sqref="E147:U153">
    <cfRule type="containsBlanks" dxfId="1" priority="23">
      <formula>LEN(TRIM(E147))=0</formula>
    </cfRule>
  </conditionalFormatting>
  <conditionalFormatting sqref="E156:U161">
    <cfRule type="containsBlanks" dxfId="1" priority="24">
      <formula>LEN(TRIM(E156))=0</formula>
    </cfRule>
  </conditionalFormatting>
  <conditionalFormatting sqref="E164:U170">
    <cfRule type="containsBlanks" dxfId="1" priority="25">
      <formula>LEN(TRIM(E164))=0</formula>
    </cfRule>
  </conditionalFormatting>
  <conditionalFormatting sqref="E173:U179">
    <cfRule type="containsBlanks" dxfId="1" priority="26">
      <formula>LEN(TRIM(E173))=0</formula>
    </cfRule>
  </conditionalFormatting>
  <conditionalFormatting sqref="E182:U186">
    <cfRule type="containsBlanks" dxfId="1" priority="27">
      <formula>LEN(TRIM(E182))=0</formula>
    </cfRule>
  </conditionalFormatting>
  <conditionalFormatting sqref="E191:U192">
    <cfRule type="containsBlanks" dxfId="1" priority="28">
      <formula>LEN(TRIM(E191))=0</formula>
    </cfRule>
  </conditionalFormatting>
  <conditionalFormatting sqref="E193:U193">
    <cfRule type="expression" dxfId="0" priority="29">
      <formula>E193&lt;&gt;#REF!</formula>
    </cfRule>
  </conditionalFormatting>
  <conditionalFormatting sqref="E193:U193">
    <cfRule type="expression" dxfId="2" priority="30">
      <formula>#REF!&lt;&gt;E193</formula>
    </cfRule>
  </conditionalFormatting>
  <conditionalFormatting sqref="E193:U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13" t="s">
        <v>184</v>
      </c>
      <c r="P13" s="37"/>
    </row>
    <row r="14" ht="12.75" customHeight="1">
      <c r="A14" s="18"/>
      <c r="B14" s="22" t="s">
        <v>11</v>
      </c>
      <c r="C14" s="23"/>
      <c r="D14" s="19" t="s">
        <v>12</v>
      </c>
      <c r="E14" s="60">
        <v>144.0</v>
      </c>
      <c r="F14" s="60">
        <v>132.0</v>
      </c>
      <c r="G14" s="60">
        <v>153.0</v>
      </c>
      <c r="H14" s="60">
        <v>134.0</v>
      </c>
      <c r="I14" s="60">
        <v>145.0</v>
      </c>
      <c r="J14" s="60">
        <v>144.0</v>
      </c>
      <c r="K14" s="60">
        <v>137.0</v>
      </c>
      <c r="L14" s="60">
        <v>136.0</v>
      </c>
      <c r="M14" s="60">
        <v>122.0</v>
      </c>
      <c r="N14" s="60">
        <v>118.0</v>
      </c>
      <c r="O14" s="60">
        <v>123.0</v>
      </c>
      <c r="P14" s="13">
        <f t="shared" ref="P14:P16" si="1">SUM(E14:O14)</f>
        <v>1488</v>
      </c>
    </row>
    <row r="15" ht="12.75" customHeight="1">
      <c r="A15" s="18"/>
      <c r="B15" s="26"/>
      <c r="C15" s="27"/>
      <c r="D15" s="19" t="s">
        <v>13</v>
      </c>
      <c r="E15" s="60">
        <v>146.0</v>
      </c>
      <c r="F15" s="60">
        <v>153.0</v>
      </c>
      <c r="G15" s="60">
        <v>139.0</v>
      </c>
      <c r="H15" s="60">
        <v>143.0</v>
      </c>
      <c r="I15" s="60">
        <v>137.0</v>
      </c>
      <c r="J15" s="60">
        <v>139.0</v>
      </c>
      <c r="K15" s="60">
        <v>149.0</v>
      </c>
      <c r="L15" s="60">
        <v>143.0</v>
      </c>
      <c r="M15" s="60">
        <v>124.0</v>
      </c>
      <c r="N15" s="60">
        <v>115.0</v>
      </c>
      <c r="O15" s="60">
        <v>123.0</v>
      </c>
      <c r="P15" s="13">
        <f t="shared" si="1"/>
        <v>1511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290</v>
      </c>
      <c r="F16" s="13">
        <f t="shared" si="2"/>
        <v>285</v>
      </c>
      <c r="G16" s="13">
        <f t="shared" si="2"/>
        <v>292</v>
      </c>
      <c r="H16" s="13">
        <f t="shared" si="2"/>
        <v>277</v>
      </c>
      <c r="I16" s="13">
        <f t="shared" si="2"/>
        <v>282</v>
      </c>
      <c r="J16" s="13">
        <f t="shared" si="2"/>
        <v>283</v>
      </c>
      <c r="K16" s="13">
        <f t="shared" si="2"/>
        <v>286</v>
      </c>
      <c r="L16" s="13">
        <f t="shared" si="2"/>
        <v>279</v>
      </c>
      <c r="M16" s="13">
        <f t="shared" si="2"/>
        <v>246</v>
      </c>
      <c r="N16" s="13">
        <f t="shared" si="2"/>
        <v>233</v>
      </c>
      <c r="O16" s="13">
        <f t="shared" si="2"/>
        <v>246</v>
      </c>
      <c r="P16" s="13">
        <f t="shared" si="1"/>
        <v>2999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13" t="s">
        <v>184</v>
      </c>
      <c r="P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110.0</v>
      </c>
      <c r="F19" s="60">
        <v>104.0</v>
      </c>
      <c r="G19" s="60">
        <v>120.0</v>
      </c>
      <c r="H19" s="60">
        <v>107.0</v>
      </c>
      <c r="I19" s="60">
        <v>131.0</v>
      </c>
      <c r="J19" s="60">
        <v>115.0</v>
      </c>
      <c r="K19" s="60">
        <v>112.0</v>
      </c>
      <c r="L19" s="60">
        <v>104.0</v>
      </c>
      <c r="M19" s="60">
        <v>108.0</v>
      </c>
      <c r="N19" s="60">
        <v>95.0</v>
      </c>
      <c r="O19" s="60">
        <v>98.0</v>
      </c>
      <c r="P19" s="13">
        <f t="shared" ref="P19:P30" si="3">SUM(E19:O19)</f>
        <v>1204</v>
      </c>
    </row>
    <row r="20" ht="12.75" customHeight="1">
      <c r="A20" s="34"/>
      <c r="B20" s="27"/>
      <c r="C20" s="35"/>
      <c r="D20" s="19" t="s">
        <v>13</v>
      </c>
      <c r="E20" s="60">
        <v>113.0</v>
      </c>
      <c r="F20" s="60">
        <v>130.0</v>
      </c>
      <c r="G20" s="60">
        <v>117.0</v>
      </c>
      <c r="H20" s="60">
        <v>122.0</v>
      </c>
      <c r="I20" s="60">
        <v>123.0</v>
      </c>
      <c r="J20" s="60">
        <v>123.0</v>
      </c>
      <c r="K20" s="60">
        <v>128.0</v>
      </c>
      <c r="L20" s="60">
        <v>118.0</v>
      </c>
      <c r="M20" s="60">
        <v>111.0</v>
      </c>
      <c r="N20" s="60">
        <v>98.0</v>
      </c>
      <c r="O20" s="60">
        <v>112.0</v>
      </c>
      <c r="P20" s="13">
        <f t="shared" si="3"/>
        <v>1295</v>
      </c>
    </row>
    <row r="21" ht="12.75" customHeight="1">
      <c r="A21" s="36"/>
      <c r="B21" s="28"/>
      <c r="C21" s="37"/>
      <c r="D21" s="13" t="s">
        <v>14</v>
      </c>
      <c r="E21" s="13">
        <f t="shared" ref="E21:O21" si="4">SUM(E19:E20)</f>
        <v>223</v>
      </c>
      <c r="F21" s="13">
        <f t="shared" si="4"/>
        <v>234</v>
      </c>
      <c r="G21" s="13">
        <f t="shared" si="4"/>
        <v>237</v>
      </c>
      <c r="H21" s="13">
        <f t="shared" si="4"/>
        <v>229</v>
      </c>
      <c r="I21" s="13">
        <f t="shared" si="4"/>
        <v>254</v>
      </c>
      <c r="J21" s="13">
        <f t="shared" si="4"/>
        <v>238</v>
      </c>
      <c r="K21" s="13">
        <f t="shared" si="4"/>
        <v>240</v>
      </c>
      <c r="L21" s="13">
        <f t="shared" si="4"/>
        <v>222</v>
      </c>
      <c r="M21" s="13">
        <f t="shared" si="4"/>
        <v>219</v>
      </c>
      <c r="N21" s="13">
        <f t="shared" si="4"/>
        <v>193</v>
      </c>
      <c r="O21" s="13">
        <f t="shared" si="4"/>
        <v>210</v>
      </c>
      <c r="P21" s="13">
        <f t="shared" si="3"/>
        <v>2499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0">
        <v>0.0</v>
      </c>
      <c r="P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0.0</v>
      </c>
      <c r="I23" s="60">
        <v>1.0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0.0</v>
      </c>
      <c r="H25" s="60">
        <v>0.0</v>
      </c>
      <c r="I25" s="60">
        <v>1.0</v>
      </c>
      <c r="J25" s="60">
        <v>0.0</v>
      </c>
      <c r="K25" s="60">
        <v>0.0</v>
      </c>
      <c r="L25" s="60">
        <v>0.0</v>
      </c>
      <c r="M25" s="60">
        <v>0.0</v>
      </c>
      <c r="N25" s="60">
        <v>0.0</v>
      </c>
      <c r="O25" s="60">
        <v>0.0</v>
      </c>
      <c r="P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0.0</v>
      </c>
      <c r="G26" s="60">
        <v>0.0</v>
      </c>
      <c r="H26" s="60">
        <v>0.0</v>
      </c>
      <c r="I26" s="60">
        <v>0.0</v>
      </c>
      <c r="J26" s="60">
        <v>0.0</v>
      </c>
      <c r="K26" s="60">
        <v>0.0</v>
      </c>
      <c r="L26" s="60">
        <v>1.0</v>
      </c>
      <c r="M26" s="60">
        <v>0.0</v>
      </c>
      <c r="N26" s="60">
        <v>0.0</v>
      </c>
      <c r="O26" s="60">
        <v>0.0</v>
      </c>
      <c r="P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3"/>
        <v>2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O28" si="7">SUM(E19,E22,E25)</f>
        <v>110</v>
      </c>
      <c r="F28" s="13">
        <f t="shared" si="7"/>
        <v>104</v>
      </c>
      <c r="G28" s="13">
        <f t="shared" si="7"/>
        <v>120</v>
      </c>
      <c r="H28" s="13">
        <f t="shared" si="7"/>
        <v>107</v>
      </c>
      <c r="I28" s="13">
        <f t="shared" si="7"/>
        <v>132</v>
      </c>
      <c r="J28" s="13">
        <f t="shared" si="7"/>
        <v>115</v>
      </c>
      <c r="K28" s="13">
        <f t="shared" si="7"/>
        <v>112</v>
      </c>
      <c r="L28" s="13">
        <f t="shared" si="7"/>
        <v>104</v>
      </c>
      <c r="M28" s="13">
        <f t="shared" si="7"/>
        <v>108</v>
      </c>
      <c r="N28" s="13">
        <f t="shared" si="7"/>
        <v>95</v>
      </c>
      <c r="O28" s="13">
        <f t="shared" si="7"/>
        <v>98</v>
      </c>
      <c r="P28" s="13">
        <f t="shared" si="3"/>
        <v>1205</v>
      </c>
    </row>
    <row r="29" ht="12.75" customHeight="1">
      <c r="A29" s="36"/>
      <c r="B29" s="27"/>
      <c r="C29" s="35"/>
      <c r="D29" s="13" t="s">
        <v>13</v>
      </c>
      <c r="E29" s="13">
        <f t="shared" ref="E29:O29" si="8">SUM(E20,E23,E26)</f>
        <v>113</v>
      </c>
      <c r="F29" s="13">
        <f t="shared" si="8"/>
        <v>130</v>
      </c>
      <c r="G29" s="13">
        <f t="shared" si="8"/>
        <v>117</v>
      </c>
      <c r="H29" s="13">
        <f t="shared" si="8"/>
        <v>122</v>
      </c>
      <c r="I29" s="13">
        <f t="shared" si="8"/>
        <v>124</v>
      </c>
      <c r="J29" s="13">
        <f t="shared" si="8"/>
        <v>123</v>
      </c>
      <c r="K29" s="13">
        <f t="shared" si="8"/>
        <v>128</v>
      </c>
      <c r="L29" s="13">
        <f t="shared" si="8"/>
        <v>119</v>
      </c>
      <c r="M29" s="13">
        <f t="shared" si="8"/>
        <v>111</v>
      </c>
      <c r="N29" s="13">
        <f t="shared" si="8"/>
        <v>98</v>
      </c>
      <c r="O29" s="13">
        <f t="shared" si="8"/>
        <v>112</v>
      </c>
      <c r="P29" s="13">
        <f t="shared" si="3"/>
        <v>1297</v>
      </c>
    </row>
    <row r="30" ht="12.75" customHeight="1">
      <c r="A30" s="36"/>
      <c r="B30" s="28"/>
      <c r="C30" s="37"/>
      <c r="D30" s="13" t="s">
        <v>14</v>
      </c>
      <c r="E30" s="13">
        <f t="shared" ref="E30:O30" si="9">SUM(E28:E29)</f>
        <v>223</v>
      </c>
      <c r="F30" s="13">
        <f t="shared" si="9"/>
        <v>234</v>
      </c>
      <c r="G30" s="13">
        <f t="shared" si="9"/>
        <v>237</v>
      </c>
      <c r="H30" s="13">
        <f t="shared" si="9"/>
        <v>229</v>
      </c>
      <c r="I30" s="13">
        <f t="shared" si="9"/>
        <v>256</v>
      </c>
      <c r="J30" s="13">
        <f t="shared" si="9"/>
        <v>238</v>
      </c>
      <c r="K30" s="13">
        <f t="shared" si="9"/>
        <v>240</v>
      </c>
      <c r="L30" s="13">
        <f t="shared" si="9"/>
        <v>223</v>
      </c>
      <c r="M30" s="13">
        <f t="shared" si="9"/>
        <v>219</v>
      </c>
      <c r="N30" s="13">
        <f t="shared" si="9"/>
        <v>193</v>
      </c>
      <c r="O30" s="13">
        <f t="shared" si="9"/>
        <v>210</v>
      </c>
      <c r="P30" s="13">
        <f t="shared" si="3"/>
        <v>2502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4" t="s">
        <v>184</v>
      </c>
      <c r="P32" s="73"/>
    </row>
    <row r="33" ht="12.75" customHeight="1">
      <c r="A33" s="19">
        <v>1.0</v>
      </c>
      <c r="B33" s="20" t="s">
        <v>27</v>
      </c>
      <c r="C33" s="15"/>
      <c r="D33" s="16"/>
      <c r="E33" s="60">
        <v>285.0</v>
      </c>
      <c r="F33" s="60">
        <v>291.0</v>
      </c>
      <c r="G33" s="60">
        <v>314.0</v>
      </c>
      <c r="H33" s="60">
        <v>279.0</v>
      </c>
      <c r="I33" s="60">
        <v>288.0</v>
      </c>
      <c r="J33" s="60">
        <v>294.0</v>
      </c>
      <c r="K33" s="60">
        <v>288.0</v>
      </c>
      <c r="L33" s="60">
        <v>285.0</v>
      </c>
      <c r="M33" s="60">
        <v>250.0</v>
      </c>
      <c r="N33" s="60">
        <v>244.0</v>
      </c>
      <c r="O33" s="60">
        <v>247.0</v>
      </c>
      <c r="P33" s="13">
        <f t="shared" ref="P33:P36" si="10">SUM(E33:O33)</f>
        <v>3065</v>
      </c>
    </row>
    <row r="34" ht="12.75" customHeight="1">
      <c r="A34" s="19">
        <v>2.0</v>
      </c>
      <c r="B34" s="20" t="s">
        <v>28</v>
      </c>
      <c r="C34" s="15"/>
      <c r="D34" s="16"/>
      <c r="E34" s="75">
        <v>223.0</v>
      </c>
      <c r="F34" s="75">
        <v>234.0</v>
      </c>
      <c r="G34" s="75">
        <v>237.0</v>
      </c>
      <c r="H34" s="75">
        <v>229.0</v>
      </c>
      <c r="I34" s="75">
        <v>256.0</v>
      </c>
      <c r="J34" s="75">
        <v>238.0</v>
      </c>
      <c r="K34" s="75">
        <v>240.0</v>
      </c>
      <c r="L34" s="75">
        <v>223.0</v>
      </c>
      <c r="M34" s="75">
        <v>219.0</v>
      </c>
      <c r="N34" s="75">
        <v>193.0</v>
      </c>
      <c r="O34" s="75">
        <v>210.0</v>
      </c>
      <c r="P34" s="13">
        <f t="shared" si="10"/>
        <v>2502</v>
      </c>
    </row>
    <row r="35" ht="12.75" customHeight="1">
      <c r="A35" s="19">
        <v>3.0</v>
      </c>
      <c r="B35" s="20" t="s">
        <v>29</v>
      </c>
      <c r="C35" s="15"/>
      <c r="D35" s="16"/>
      <c r="E35" s="60">
        <v>2.0</v>
      </c>
      <c r="F35" s="60">
        <v>0.0</v>
      </c>
      <c r="G35" s="60">
        <v>0.0</v>
      </c>
      <c r="H35" s="60">
        <v>0.0</v>
      </c>
      <c r="I35" s="60">
        <v>0.0</v>
      </c>
      <c r="J35" s="60">
        <v>0.0</v>
      </c>
      <c r="K35" s="60">
        <v>3.0</v>
      </c>
      <c r="L35" s="60">
        <v>0.0</v>
      </c>
      <c r="M35" s="60">
        <v>2.0</v>
      </c>
      <c r="N35" s="60">
        <v>0.0</v>
      </c>
      <c r="O35" s="60">
        <v>0.0</v>
      </c>
      <c r="P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60</v>
      </c>
      <c r="F36" s="13">
        <f t="shared" si="11"/>
        <v>57</v>
      </c>
      <c r="G36" s="13">
        <f t="shared" si="11"/>
        <v>77</v>
      </c>
      <c r="H36" s="13">
        <f t="shared" si="11"/>
        <v>50</v>
      </c>
      <c r="I36" s="13">
        <f t="shared" si="11"/>
        <v>32</v>
      </c>
      <c r="J36" s="13">
        <f t="shared" si="11"/>
        <v>56</v>
      </c>
      <c r="K36" s="13">
        <f t="shared" si="11"/>
        <v>45</v>
      </c>
      <c r="L36" s="13">
        <f t="shared" si="11"/>
        <v>62</v>
      </c>
      <c r="M36" s="13">
        <f t="shared" si="11"/>
        <v>29</v>
      </c>
      <c r="N36" s="13">
        <f t="shared" si="11"/>
        <v>51</v>
      </c>
      <c r="O36" s="13">
        <f t="shared" si="11"/>
        <v>37</v>
      </c>
      <c r="P36" s="13">
        <f t="shared" si="10"/>
        <v>556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4" t="s">
        <v>184</v>
      </c>
      <c r="P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13">
        <f t="shared" ref="P39:P41" si="12">SUM(E39:O39)</f>
        <v>0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0">
        <v>0.0</v>
      </c>
      <c r="O40" s="60">
        <v>0.0</v>
      </c>
      <c r="P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74" t="s">
        <v>184</v>
      </c>
      <c r="P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5.0</v>
      </c>
      <c r="F45" s="60">
        <v>6.0</v>
      </c>
      <c r="G45" s="60">
        <v>4.0</v>
      </c>
      <c r="H45" s="60">
        <v>4.0</v>
      </c>
      <c r="I45" s="60">
        <v>6.0</v>
      </c>
      <c r="J45" s="60">
        <v>6.0</v>
      </c>
      <c r="K45" s="60">
        <v>10.0</v>
      </c>
      <c r="L45" s="60">
        <v>12.0</v>
      </c>
      <c r="M45" s="60">
        <v>5.0</v>
      </c>
      <c r="N45" s="60">
        <v>3.0</v>
      </c>
      <c r="O45" s="60">
        <v>8.0</v>
      </c>
      <c r="P45" s="13">
        <f t="shared" ref="P45:P193" si="14">SUM(E45:O45)</f>
        <v>69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36.0</v>
      </c>
      <c r="F46" s="60">
        <v>20.0</v>
      </c>
      <c r="G46" s="60">
        <v>12.0</v>
      </c>
      <c r="H46" s="60">
        <v>18.0</v>
      </c>
      <c r="I46" s="60">
        <v>22.0</v>
      </c>
      <c r="J46" s="60">
        <v>16.0</v>
      </c>
      <c r="K46" s="60">
        <v>45.0</v>
      </c>
      <c r="L46" s="60">
        <v>37.0</v>
      </c>
      <c r="M46" s="60">
        <v>2.0</v>
      </c>
      <c r="N46" s="60">
        <v>5.0</v>
      </c>
      <c r="O46" s="60">
        <v>26.0</v>
      </c>
      <c r="P46" s="13">
        <f t="shared" si="14"/>
        <v>239</v>
      </c>
    </row>
    <row r="47" ht="12.75" customHeight="1">
      <c r="A47" s="18"/>
      <c r="B47" s="57"/>
      <c r="C47" s="58" t="s">
        <v>41</v>
      </c>
      <c r="D47" s="59"/>
      <c r="E47" s="60">
        <v>0.0</v>
      </c>
      <c r="F47" s="60">
        <v>2.0</v>
      </c>
      <c r="G47" s="60">
        <v>0.0</v>
      </c>
      <c r="H47" s="60">
        <v>0.0</v>
      </c>
      <c r="I47" s="60">
        <v>3.0</v>
      </c>
      <c r="J47" s="60">
        <v>5.0</v>
      </c>
      <c r="K47" s="60">
        <v>1.0</v>
      </c>
      <c r="L47" s="60">
        <v>0.0</v>
      </c>
      <c r="M47" s="60">
        <v>0.0</v>
      </c>
      <c r="N47" s="60">
        <v>1.0</v>
      </c>
      <c r="O47" s="60">
        <v>0.0</v>
      </c>
      <c r="P47" s="13">
        <f t="shared" si="14"/>
        <v>12</v>
      </c>
    </row>
    <row r="48" ht="12.75" customHeight="1">
      <c r="A48" s="18"/>
      <c r="B48" s="57"/>
      <c r="C48" s="58" t="s">
        <v>42</v>
      </c>
      <c r="D48" s="59"/>
      <c r="E48" s="60">
        <v>1.0</v>
      </c>
      <c r="F48" s="60">
        <v>0.0</v>
      </c>
      <c r="G48" s="60">
        <v>0.0</v>
      </c>
      <c r="H48" s="60">
        <v>0.0</v>
      </c>
      <c r="I48" s="60">
        <v>0.0</v>
      </c>
      <c r="J48" s="60">
        <v>1.0</v>
      </c>
      <c r="K48" s="60">
        <v>0.0</v>
      </c>
      <c r="L48" s="60">
        <v>0.0</v>
      </c>
      <c r="M48" s="60">
        <v>0.0</v>
      </c>
      <c r="N48" s="60">
        <v>1.0</v>
      </c>
      <c r="O48" s="60">
        <v>0.0</v>
      </c>
      <c r="P48" s="13">
        <f t="shared" si="14"/>
        <v>3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60">
        <v>0.0</v>
      </c>
      <c r="N49" s="60">
        <v>0.0</v>
      </c>
      <c r="O49" s="60">
        <v>0.0</v>
      </c>
      <c r="P49" s="13">
        <f t="shared" si="14"/>
        <v>0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2.0</v>
      </c>
      <c r="G50" s="60">
        <v>1.0</v>
      </c>
      <c r="H50" s="60">
        <v>0.0</v>
      </c>
      <c r="I50" s="60">
        <v>0.0</v>
      </c>
      <c r="J50" s="60">
        <v>0.0</v>
      </c>
      <c r="K50" s="60">
        <v>5.0</v>
      </c>
      <c r="L50" s="60">
        <v>0.0</v>
      </c>
      <c r="M50" s="60">
        <v>1.0</v>
      </c>
      <c r="N50" s="60">
        <v>0.0</v>
      </c>
      <c r="O50" s="60">
        <v>1.0</v>
      </c>
      <c r="P50" s="13">
        <f t="shared" si="14"/>
        <v>10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1.0</v>
      </c>
      <c r="G51" s="60">
        <v>1.0</v>
      </c>
      <c r="H51" s="60">
        <v>0.0</v>
      </c>
      <c r="I51" s="60">
        <v>0.0</v>
      </c>
      <c r="J51" s="60">
        <v>1.0</v>
      </c>
      <c r="K51" s="60">
        <v>0.0</v>
      </c>
      <c r="L51" s="60">
        <v>0.0</v>
      </c>
      <c r="M51" s="60">
        <v>0.0</v>
      </c>
      <c r="N51" s="60">
        <v>0.0</v>
      </c>
      <c r="O51" s="60">
        <v>0.0</v>
      </c>
      <c r="P51" s="13">
        <f t="shared" si="14"/>
        <v>3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O52" si="15">SUM(E45:E51)</f>
        <v>42</v>
      </c>
      <c r="F52" s="64">
        <f t="shared" si="15"/>
        <v>31</v>
      </c>
      <c r="G52" s="64">
        <f t="shared" si="15"/>
        <v>18</v>
      </c>
      <c r="H52" s="64">
        <f t="shared" si="15"/>
        <v>22</v>
      </c>
      <c r="I52" s="64">
        <f t="shared" si="15"/>
        <v>31</v>
      </c>
      <c r="J52" s="64">
        <f t="shared" si="15"/>
        <v>29</v>
      </c>
      <c r="K52" s="64">
        <f t="shared" si="15"/>
        <v>61</v>
      </c>
      <c r="L52" s="64">
        <f t="shared" si="15"/>
        <v>49</v>
      </c>
      <c r="M52" s="64">
        <f t="shared" si="15"/>
        <v>8</v>
      </c>
      <c r="N52" s="64">
        <f t="shared" si="15"/>
        <v>10</v>
      </c>
      <c r="O52" s="64">
        <f t="shared" si="15"/>
        <v>35</v>
      </c>
      <c r="P52" s="13">
        <f t="shared" si="14"/>
        <v>336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2.0</v>
      </c>
      <c r="F54" s="60">
        <v>6.0</v>
      </c>
      <c r="G54" s="60">
        <v>4.0</v>
      </c>
      <c r="H54" s="60">
        <v>5.0</v>
      </c>
      <c r="I54" s="60">
        <v>2.0</v>
      </c>
      <c r="J54" s="60">
        <v>6.0</v>
      </c>
      <c r="K54" s="60">
        <v>7.0</v>
      </c>
      <c r="L54" s="60">
        <v>3.0</v>
      </c>
      <c r="M54" s="60">
        <v>3.0</v>
      </c>
      <c r="N54" s="60">
        <v>6.0</v>
      </c>
      <c r="O54" s="60">
        <v>3.0</v>
      </c>
      <c r="P54" s="13">
        <f t="shared" si="14"/>
        <v>47</v>
      </c>
    </row>
    <row r="55" ht="15.0" customHeight="1">
      <c r="A55" s="31" t="s">
        <v>39</v>
      </c>
      <c r="B55" s="57"/>
      <c r="C55" s="58" t="s">
        <v>48</v>
      </c>
      <c r="D55" s="59"/>
      <c r="E55" s="60">
        <v>1.0</v>
      </c>
      <c r="F55" s="60">
        <v>2.0</v>
      </c>
      <c r="G55" s="60">
        <v>2.0</v>
      </c>
      <c r="H55" s="60">
        <v>2.0</v>
      </c>
      <c r="I55" s="60">
        <v>4.0</v>
      </c>
      <c r="J55" s="60">
        <v>1.0</v>
      </c>
      <c r="K55" s="60">
        <v>3.0</v>
      </c>
      <c r="L55" s="60">
        <v>0.0</v>
      </c>
      <c r="M55" s="60">
        <v>1.0</v>
      </c>
      <c r="N55" s="60">
        <v>0.0</v>
      </c>
      <c r="O55" s="60">
        <v>0.0</v>
      </c>
      <c r="P55" s="13">
        <f t="shared" si="14"/>
        <v>16</v>
      </c>
    </row>
    <row r="56" ht="12.75" customHeight="1">
      <c r="A56" s="18"/>
      <c r="B56" s="57"/>
      <c r="C56" s="58" t="s">
        <v>49</v>
      </c>
      <c r="D56" s="59"/>
      <c r="E56" s="60">
        <v>3.0</v>
      </c>
      <c r="F56" s="60">
        <v>2.0</v>
      </c>
      <c r="G56" s="60">
        <v>0.0</v>
      </c>
      <c r="H56" s="60">
        <v>1.0</v>
      </c>
      <c r="I56" s="60">
        <v>2.0</v>
      </c>
      <c r="J56" s="60">
        <v>1.0</v>
      </c>
      <c r="K56" s="60">
        <v>3.0</v>
      </c>
      <c r="L56" s="60">
        <v>1.0</v>
      </c>
      <c r="M56" s="60">
        <v>3.0</v>
      </c>
      <c r="N56" s="60">
        <v>1.0</v>
      </c>
      <c r="O56" s="60">
        <v>2.0</v>
      </c>
      <c r="P56" s="13">
        <f t="shared" si="14"/>
        <v>19</v>
      </c>
    </row>
    <row r="57" ht="12.75" customHeight="1">
      <c r="A57" s="18"/>
      <c r="B57" s="57"/>
      <c r="C57" s="58" t="s">
        <v>50</v>
      </c>
      <c r="D57" s="59"/>
      <c r="E57" s="60">
        <v>0.0</v>
      </c>
      <c r="F57" s="60">
        <v>0.0</v>
      </c>
      <c r="G57" s="60">
        <v>0.0</v>
      </c>
      <c r="H57" s="60">
        <v>0.0</v>
      </c>
      <c r="I57" s="60">
        <v>0.0</v>
      </c>
      <c r="J57" s="60">
        <v>0.0</v>
      </c>
      <c r="K57" s="60">
        <v>0.0</v>
      </c>
      <c r="L57" s="60">
        <v>1.0</v>
      </c>
      <c r="M57" s="60">
        <v>2.0</v>
      </c>
      <c r="N57" s="60">
        <v>0.0</v>
      </c>
      <c r="O57" s="60">
        <v>0.0</v>
      </c>
      <c r="P57" s="13">
        <f t="shared" si="14"/>
        <v>3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1.0</v>
      </c>
      <c r="H58" s="60">
        <v>0.0</v>
      </c>
      <c r="I58" s="60">
        <v>0.0</v>
      </c>
      <c r="J58" s="60">
        <v>0.0</v>
      </c>
      <c r="K58" s="60">
        <v>2.0</v>
      </c>
      <c r="L58" s="60">
        <v>0.0</v>
      </c>
      <c r="M58" s="60">
        <v>1.0</v>
      </c>
      <c r="N58" s="60">
        <v>1.0</v>
      </c>
      <c r="O58" s="60">
        <v>1.0</v>
      </c>
      <c r="P58" s="13">
        <f t="shared" si="14"/>
        <v>6</v>
      </c>
    </row>
    <row r="59" ht="12.75" customHeight="1">
      <c r="A59" s="18"/>
      <c r="B59" s="57"/>
      <c r="C59" s="58" t="s">
        <v>52</v>
      </c>
      <c r="D59" s="59"/>
      <c r="E59" s="60">
        <v>0.0</v>
      </c>
      <c r="F59" s="60">
        <v>0.0</v>
      </c>
      <c r="G59" s="60">
        <v>0.0</v>
      </c>
      <c r="H59" s="60">
        <v>0.0</v>
      </c>
      <c r="I59" s="60">
        <v>1.0</v>
      </c>
      <c r="J59" s="60">
        <v>0.0</v>
      </c>
      <c r="K59" s="60">
        <v>0.0</v>
      </c>
      <c r="L59" s="60">
        <v>0.0</v>
      </c>
      <c r="M59" s="60">
        <v>0.0</v>
      </c>
      <c r="N59" s="60">
        <v>0.0</v>
      </c>
      <c r="O59" s="60">
        <v>0.0</v>
      </c>
      <c r="P59" s="13">
        <f t="shared" si="14"/>
        <v>1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1.0</v>
      </c>
      <c r="O60" s="60">
        <v>0.0</v>
      </c>
      <c r="P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O61" si="16">SUM(E54:E60)</f>
        <v>6</v>
      </c>
      <c r="F61" s="64">
        <f t="shared" si="16"/>
        <v>10</v>
      </c>
      <c r="G61" s="64">
        <f t="shared" si="16"/>
        <v>7</v>
      </c>
      <c r="H61" s="64">
        <f t="shared" si="16"/>
        <v>8</v>
      </c>
      <c r="I61" s="64">
        <f t="shared" si="16"/>
        <v>9</v>
      </c>
      <c r="J61" s="64">
        <f t="shared" si="16"/>
        <v>8</v>
      </c>
      <c r="K61" s="64">
        <f t="shared" si="16"/>
        <v>15</v>
      </c>
      <c r="L61" s="64">
        <f t="shared" si="16"/>
        <v>5</v>
      </c>
      <c r="M61" s="64">
        <f t="shared" si="16"/>
        <v>10</v>
      </c>
      <c r="N61" s="64">
        <f t="shared" si="16"/>
        <v>9</v>
      </c>
      <c r="O61" s="64">
        <f t="shared" si="16"/>
        <v>6</v>
      </c>
      <c r="P61" s="13">
        <f t="shared" si="14"/>
        <v>93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3.0</v>
      </c>
      <c r="F63" s="60">
        <v>2.0</v>
      </c>
      <c r="G63" s="60">
        <v>6.0</v>
      </c>
      <c r="H63" s="60">
        <v>3.0</v>
      </c>
      <c r="I63" s="60">
        <v>3.0</v>
      </c>
      <c r="J63" s="60">
        <v>0.0</v>
      </c>
      <c r="K63" s="60">
        <v>4.0</v>
      </c>
      <c r="L63" s="60">
        <v>3.0</v>
      </c>
      <c r="M63" s="60">
        <v>2.0</v>
      </c>
      <c r="N63" s="60">
        <v>2.0</v>
      </c>
      <c r="O63" s="60">
        <v>5.0</v>
      </c>
      <c r="P63" s="13">
        <f t="shared" si="14"/>
        <v>33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2.0</v>
      </c>
      <c r="F64" s="60">
        <v>2.0</v>
      </c>
      <c r="G64" s="60">
        <v>3.0</v>
      </c>
      <c r="H64" s="60">
        <v>2.0</v>
      </c>
      <c r="I64" s="60">
        <v>0.0</v>
      </c>
      <c r="J64" s="60">
        <v>0.0</v>
      </c>
      <c r="K64" s="60">
        <v>3.0</v>
      </c>
      <c r="L64" s="60">
        <v>1.0</v>
      </c>
      <c r="M64" s="60">
        <v>0.0</v>
      </c>
      <c r="N64" s="60">
        <v>0.0</v>
      </c>
      <c r="O64" s="60">
        <v>0.0</v>
      </c>
      <c r="P64" s="13">
        <f t="shared" si="14"/>
        <v>13</v>
      </c>
    </row>
    <row r="65" ht="12.75" customHeight="1">
      <c r="A65" s="18"/>
      <c r="B65" s="57"/>
      <c r="C65" s="58" t="s">
        <v>56</v>
      </c>
      <c r="D65" s="59"/>
      <c r="E65" s="60">
        <v>7.0</v>
      </c>
      <c r="F65" s="60">
        <v>6.0</v>
      </c>
      <c r="G65" s="60">
        <v>6.0</v>
      </c>
      <c r="H65" s="60">
        <v>19.0</v>
      </c>
      <c r="I65" s="60">
        <v>7.0</v>
      </c>
      <c r="J65" s="60">
        <v>0.0</v>
      </c>
      <c r="K65" s="60">
        <v>5.0</v>
      </c>
      <c r="L65" s="60">
        <v>8.0</v>
      </c>
      <c r="M65" s="60">
        <v>6.0</v>
      </c>
      <c r="N65" s="60">
        <v>2.0</v>
      </c>
      <c r="O65" s="60">
        <v>1.0</v>
      </c>
      <c r="P65" s="13">
        <f t="shared" si="14"/>
        <v>67</v>
      </c>
    </row>
    <row r="66" ht="12.75" customHeight="1">
      <c r="A66" s="18"/>
      <c r="B66" s="57"/>
      <c r="C66" s="58" t="s">
        <v>57</v>
      </c>
      <c r="D66" s="59"/>
      <c r="E66" s="60">
        <v>0.0</v>
      </c>
      <c r="F66" s="60">
        <v>5.0</v>
      </c>
      <c r="G66" s="60">
        <v>0.0</v>
      </c>
      <c r="H66" s="60">
        <v>3.0</v>
      </c>
      <c r="I66" s="60">
        <v>0.0</v>
      </c>
      <c r="J66" s="60">
        <v>1.0</v>
      </c>
      <c r="K66" s="60">
        <v>0.0</v>
      </c>
      <c r="L66" s="60">
        <v>1.0</v>
      </c>
      <c r="M66" s="60">
        <v>0.0</v>
      </c>
      <c r="N66" s="60">
        <v>0.0</v>
      </c>
      <c r="O66" s="60">
        <v>1.0</v>
      </c>
      <c r="P66" s="13">
        <f t="shared" si="14"/>
        <v>11</v>
      </c>
    </row>
    <row r="67" ht="12.75" customHeight="1">
      <c r="A67" s="18"/>
      <c r="B67" s="57"/>
      <c r="C67" s="58" t="s">
        <v>58</v>
      </c>
      <c r="D67" s="59"/>
      <c r="E67" s="60">
        <v>1.0</v>
      </c>
      <c r="F67" s="60">
        <v>0.0</v>
      </c>
      <c r="G67" s="60">
        <v>0.0</v>
      </c>
      <c r="H67" s="60">
        <v>0.0</v>
      </c>
      <c r="I67" s="60">
        <v>0.0</v>
      </c>
      <c r="J67" s="60">
        <v>0.0</v>
      </c>
      <c r="K67" s="60">
        <v>0.0</v>
      </c>
      <c r="L67" s="60">
        <v>0.0</v>
      </c>
      <c r="M67" s="60">
        <v>0.0</v>
      </c>
      <c r="N67" s="60">
        <v>0.0</v>
      </c>
      <c r="O67" s="60">
        <v>0.0</v>
      </c>
      <c r="P67" s="13">
        <f t="shared" si="14"/>
        <v>1</v>
      </c>
    </row>
    <row r="68" ht="12.75" customHeight="1">
      <c r="A68" s="18"/>
      <c r="B68" s="57"/>
      <c r="C68" s="58" t="s">
        <v>59</v>
      </c>
      <c r="D68" s="59"/>
      <c r="E68" s="60">
        <v>3.0</v>
      </c>
      <c r="F68" s="60">
        <v>0.0</v>
      </c>
      <c r="G68" s="60">
        <v>2.0</v>
      </c>
      <c r="H68" s="60">
        <v>8.0</v>
      </c>
      <c r="I68" s="60">
        <v>0.0</v>
      </c>
      <c r="J68" s="60">
        <v>2.0</v>
      </c>
      <c r="K68" s="60">
        <v>0.0</v>
      </c>
      <c r="L68" s="60">
        <v>0.0</v>
      </c>
      <c r="M68" s="60">
        <v>0.0</v>
      </c>
      <c r="N68" s="60">
        <v>1.0</v>
      </c>
      <c r="O68" s="60">
        <v>1.0</v>
      </c>
      <c r="P68" s="13">
        <f t="shared" si="14"/>
        <v>17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1.0</v>
      </c>
      <c r="G69" s="60">
        <v>1.0</v>
      </c>
      <c r="H69" s="60">
        <v>2.0</v>
      </c>
      <c r="I69" s="60">
        <v>0.0</v>
      </c>
      <c r="J69" s="60">
        <v>2.0</v>
      </c>
      <c r="K69" s="60">
        <v>1.0</v>
      </c>
      <c r="L69" s="60">
        <v>0.0</v>
      </c>
      <c r="M69" s="60">
        <v>1.0</v>
      </c>
      <c r="N69" s="60">
        <v>1.0</v>
      </c>
      <c r="O69" s="60">
        <v>0.0</v>
      </c>
      <c r="P69" s="13">
        <f t="shared" si="14"/>
        <v>9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O70" si="17">SUM(E63:E69)</f>
        <v>16</v>
      </c>
      <c r="F70" s="64">
        <f t="shared" si="17"/>
        <v>16</v>
      </c>
      <c r="G70" s="64">
        <f t="shared" si="17"/>
        <v>18</v>
      </c>
      <c r="H70" s="64">
        <f t="shared" si="17"/>
        <v>37</v>
      </c>
      <c r="I70" s="64">
        <f t="shared" si="17"/>
        <v>10</v>
      </c>
      <c r="J70" s="64">
        <f t="shared" si="17"/>
        <v>5</v>
      </c>
      <c r="K70" s="64">
        <f t="shared" si="17"/>
        <v>13</v>
      </c>
      <c r="L70" s="64">
        <f t="shared" si="17"/>
        <v>13</v>
      </c>
      <c r="M70" s="64">
        <f t="shared" si="17"/>
        <v>9</v>
      </c>
      <c r="N70" s="64">
        <f t="shared" si="17"/>
        <v>6</v>
      </c>
      <c r="O70" s="64">
        <f t="shared" si="17"/>
        <v>8</v>
      </c>
      <c r="P70" s="13">
        <f t="shared" si="14"/>
        <v>151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0.0</v>
      </c>
      <c r="F72" s="60">
        <v>1.0</v>
      </c>
      <c r="G72" s="60">
        <v>2.0</v>
      </c>
      <c r="H72" s="60">
        <v>2.0</v>
      </c>
      <c r="I72" s="60">
        <v>2.0</v>
      </c>
      <c r="J72" s="60">
        <v>0.0</v>
      </c>
      <c r="K72" s="60">
        <v>2.0</v>
      </c>
      <c r="L72" s="60">
        <v>0.0</v>
      </c>
      <c r="M72" s="60">
        <v>1.0</v>
      </c>
      <c r="N72" s="60">
        <v>0.0</v>
      </c>
      <c r="O72" s="60">
        <v>1.0</v>
      </c>
      <c r="P72" s="13">
        <f t="shared" si="14"/>
        <v>11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5.0</v>
      </c>
      <c r="F73" s="60">
        <v>2.0</v>
      </c>
      <c r="G73" s="60">
        <v>0.0</v>
      </c>
      <c r="H73" s="60">
        <v>4.0</v>
      </c>
      <c r="I73" s="60">
        <v>2.0</v>
      </c>
      <c r="J73" s="60">
        <v>3.0</v>
      </c>
      <c r="K73" s="60">
        <v>2.0</v>
      </c>
      <c r="L73" s="60">
        <v>2.0</v>
      </c>
      <c r="M73" s="60">
        <v>3.0</v>
      </c>
      <c r="N73" s="60">
        <v>0.0</v>
      </c>
      <c r="O73" s="60">
        <v>0.0</v>
      </c>
      <c r="P73" s="13">
        <f t="shared" si="14"/>
        <v>23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1.0</v>
      </c>
      <c r="G74" s="60">
        <v>0.0</v>
      </c>
      <c r="H74" s="60">
        <v>2.0</v>
      </c>
      <c r="I74" s="60">
        <v>0.0</v>
      </c>
      <c r="J74" s="60">
        <v>0.0</v>
      </c>
      <c r="K74" s="60">
        <v>1.0</v>
      </c>
      <c r="L74" s="60">
        <v>3.0</v>
      </c>
      <c r="M74" s="60">
        <v>0.0</v>
      </c>
      <c r="N74" s="60">
        <v>0.0</v>
      </c>
      <c r="O74" s="60">
        <v>0.0</v>
      </c>
      <c r="P74" s="13">
        <f t="shared" si="14"/>
        <v>7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0.0</v>
      </c>
      <c r="G75" s="60">
        <v>0.0</v>
      </c>
      <c r="H75" s="60">
        <v>1.0</v>
      </c>
      <c r="I75" s="60">
        <v>0.0</v>
      </c>
      <c r="J75" s="60">
        <v>0.0</v>
      </c>
      <c r="K75" s="60">
        <v>0.0</v>
      </c>
      <c r="L75" s="60">
        <v>1.0</v>
      </c>
      <c r="M75" s="60">
        <v>0.0</v>
      </c>
      <c r="N75" s="60">
        <v>0.0</v>
      </c>
      <c r="O75" s="60">
        <v>0.0</v>
      </c>
      <c r="P75" s="13">
        <f t="shared" si="14"/>
        <v>2</v>
      </c>
    </row>
    <row r="76" ht="12.75" customHeight="1">
      <c r="A76" s="18"/>
      <c r="B76" s="57"/>
      <c r="C76" s="58" t="s">
        <v>65</v>
      </c>
      <c r="D76" s="59"/>
      <c r="E76" s="60">
        <v>0.0</v>
      </c>
      <c r="F76" s="60">
        <v>0.0</v>
      </c>
      <c r="G76" s="60">
        <v>0.0</v>
      </c>
      <c r="H76" s="60">
        <v>0.0</v>
      </c>
      <c r="I76" s="60">
        <v>1.0</v>
      </c>
      <c r="J76" s="60">
        <v>1.0</v>
      </c>
      <c r="K76" s="60">
        <v>0.0</v>
      </c>
      <c r="L76" s="60">
        <v>0.0</v>
      </c>
      <c r="M76" s="60">
        <v>0.0</v>
      </c>
      <c r="N76" s="60">
        <v>1.0</v>
      </c>
      <c r="O76" s="60">
        <v>0.0</v>
      </c>
      <c r="P76" s="13">
        <f t="shared" si="14"/>
        <v>3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60">
        <v>0.0</v>
      </c>
      <c r="P77" s="13">
        <f t="shared" si="14"/>
        <v>0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1.0</v>
      </c>
      <c r="L78" s="60">
        <v>0.0</v>
      </c>
      <c r="M78" s="60">
        <v>0.0</v>
      </c>
      <c r="N78" s="60">
        <v>0.0</v>
      </c>
      <c r="O78" s="60">
        <v>0.0</v>
      </c>
      <c r="P78" s="13">
        <f t="shared" si="14"/>
        <v>1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O79" si="18">SUM(E72:E78)</f>
        <v>5</v>
      </c>
      <c r="F79" s="64">
        <f t="shared" si="18"/>
        <v>4</v>
      </c>
      <c r="G79" s="64">
        <f t="shared" si="18"/>
        <v>2</v>
      </c>
      <c r="H79" s="64">
        <f t="shared" si="18"/>
        <v>9</v>
      </c>
      <c r="I79" s="64">
        <f t="shared" si="18"/>
        <v>5</v>
      </c>
      <c r="J79" s="64">
        <f t="shared" si="18"/>
        <v>4</v>
      </c>
      <c r="K79" s="64">
        <f t="shared" si="18"/>
        <v>6</v>
      </c>
      <c r="L79" s="64">
        <f t="shared" si="18"/>
        <v>6</v>
      </c>
      <c r="M79" s="64">
        <f t="shared" si="18"/>
        <v>4</v>
      </c>
      <c r="N79" s="64">
        <f t="shared" si="18"/>
        <v>1</v>
      </c>
      <c r="O79" s="64">
        <f t="shared" si="18"/>
        <v>1</v>
      </c>
      <c r="P79" s="13">
        <f t="shared" si="14"/>
        <v>47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12.0</v>
      </c>
      <c r="F81" s="60">
        <v>23.0</v>
      </c>
      <c r="G81" s="60">
        <v>6.0</v>
      </c>
      <c r="H81" s="60">
        <v>4.0</v>
      </c>
      <c r="I81" s="60">
        <v>22.0</v>
      </c>
      <c r="J81" s="60">
        <v>12.0</v>
      </c>
      <c r="K81" s="60">
        <v>10.0</v>
      </c>
      <c r="L81" s="60">
        <v>7.0</v>
      </c>
      <c r="M81" s="60">
        <v>6.0</v>
      </c>
      <c r="N81" s="60">
        <v>13.0</v>
      </c>
      <c r="O81" s="60">
        <v>14.0</v>
      </c>
      <c r="P81" s="13">
        <f t="shared" si="14"/>
        <v>129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15.0</v>
      </c>
      <c r="F82" s="60">
        <v>16.0</v>
      </c>
      <c r="G82" s="60">
        <v>12.0</v>
      </c>
      <c r="H82" s="60">
        <v>14.0</v>
      </c>
      <c r="I82" s="60">
        <v>2.0</v>
      </c>
      <c r="J82" s="60">
        <v>12.0</v>
      </c>
      <c r="K82" s="60">
        <v>6.0</v>
      </c>
      <c r="L82" s="60">
        <v>6.0</v>
      </c>
      <c r="M82" s="60">
        <v>12.0</v>
      </c>
      <c r="N82" s="60">
        <v>18.0</v>
      </c>
      <c r="O82" s="60">
        <v>5.0</v>
      </c>
      <c r="P82" s="13">
        <f t="shared" si="14"/>
        <v>118</v>
      </c>
    </row>
    <row r="83" ht="12.75" customHeight="1">
      <c r="A83" s="18"/>
      <c r="B83" s="57"/>
      <c r="C83" s="58" t="s">
        <v>71</v>
      </c>
      <c r="D83" s="59"/>
      <c r="E83" s="60">
        <v>2.0</v>
      </c>
      <c r="F83" s="60">
        <v>2.0</v>
      </c>
      <c r="G83" s="60">
        <v>1.0</v>
      </c>
      <c r="H83" s="60">
        <v>0.0</v>
      </c>
      <c r="I83" s="60">
        <v>0.0</v>
      </c>
      <c r="J83" s="60">
        <v>1.0</v>
      </c>
      <c r="K83" s="60">
        <v>2.0</v>
      </c>
      <c r="L83" s="60">
        <v>0.0</v>
      </c>
      <c r="M83" s="60">
        <v>0.0</v>
      </c>
      <c r="N83" s="60">
        <v>0.0</v>
      </c>
      <c r="O83" s="60">
        <v>2.0</v>
      </c>
      <c r="P83" s="13">
        <f t="shared" si="14"/>
        <v>10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0.0</v>
      </c>
      <c r="H84" s="60">
        <v>0.0</v>
      </c>
      <c r="I84" s="60">
        <v>0.0</v>
      </c>
      <c r="J84" s="60">
        <v>0.0</v>
      </c>
      <c r="K84" s="60">
        <v>0.0</v>
      </c>
      <c r="L84" s="60">
        <v>1.0</v>
      </c>
      <c r="M84" s="60">
        <v>0.0</v>
      </c>
      <c r="N84" s="60">
        <v>1.0</v>
      </c>
      <c r="O84" s="60">
        <v>2.0</v>
      </c>
      <c r="P84" s="13">
        <f t="shared" si="14"/>
        <v>4</v>
      </c>
    </row>
    <row r="85" ht="12.75" customHeight="1">
      <c r="A85" s="18"/>
      <c r="B85" s="57"/>
      <c r="C85" s="58" t="s">
        <v>73</v>
      </c>
      <c r="D85" s="59"/>
      <c r="E85" s="60">
        <v>1.0</v>
      </c>
      <c r="F85" s="60">
        <v>0.0</v>
      </c>
      <c r="G85" s="60">
        <v>1.0</v>
      </c>
      <c r="H85" s="60">
        <v>0.0</v>
      </c>
      <c r="I85" s="60">
        <v>1.0</v>
      </c>
      <c r="J85" s="60">
        <v>0.0</v>
      </c>
      <c r="K85" s="60">
        <v>0.0</v>
      </c>
      <c r="L85" s="60">
        <v>1.0</v>
      </c>
      <c r="M85" s="60">
        <v>0.0</v>
      </c>
      <c r="N85" s="60">
        <v>1.0</v>
      </c>
      <c r="O85" s="60">
        <v>1.0</v>
      </c>
      <c r="P85" s="13">
        <f t="shared" si="14"/>
        <v>6</v>
      </c>
    </row>
    <row r="86" ht="12.75" customHeight="1">
      <c r="A86" s="18"/>
      <c r="B86" s="57"/>
      <c r="C86" s="58" t="s">
        <v>74</v>
      </c>
      <c r="D86" s="59"/>
      <c r="E86" s="60">
        <v>80.0</v>
      </c>
      <c r="F86" s="60">
        <v>56.0</v>
      </c>
      <c r="G86" s="60">
        <v>137.0</v>
      </c>
      <c r="H86" s="60">
        <v>38.0</v>
      </c>
      <c r="I86" s="60">
        <v>148.0</v>
      </c>
      <c r="J86" s="60">
        <v>114.0</v>
      </c>
      <c r="K86" s="60">
        <v>53.0</v>
      </c>
      <c r="L86" s="60">
        <v>63.0</v>
      </c>
      <c r="M86" s="60">
        <v>83.0</v>
      </c>
      <c r="N86" s="60">
        <v>66.0</v>
      </c>
      <c r="O86" s="60">
        <v>75.0</v>
      </c>
      <c r="P86" s="13">
        <f t="shared" si="14"/>
        <v>913</v>
      </c>
    </row>
    <row r="87" ht="12.75" customHeight="1">
      <c r="A87" s="18"/>
      <c r="B87" s="57"/>
      <c r="C87" s="58" t="s">
        <v>75</v>
      </c>
      <c r="D87" s="59"/>
      <c r="E87" s="60">
        <v>1.0</v>
      </c>
      <c r="F87" s="60">
        <v>1.0</v>
      </c>
      <c r="G87" s="60">
        <v>1.0</v>
      </c>
      <c r="H87" s="60">
        <v>0.0</v>
      </c>
      <c r="I87" s="60">
        <v>0.0</v>
      </c>
      <c r="J87" s="60">
        <v>1.0</v>
      </c>
      <c r="K87" s="60">
        <v>0.0</v>
      </c>
      <c r="L87" s="60">
        <v>1.0</v>
      </c>
      <c r="M87" s="60">
        <v>0.0</v>
      </c>
      <c r="N87" s="60">
        <v>0.0</v>
      </c>
      <c r="O87" s="60">
        <v>2.0</v>
      </c>
      <c r="P87" s="13">
        <f t="shared" si="14"/>
        <v>7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O88" si="19">SUM(E81:E87)</f>
        <v>111</v>
      </c>
      <c r="F88" s="64">
        <f t="shared" si="19"/>
        <v>98</v>
      </c>
      <c r="G88" s="64">
        <f t="shared" si="19"/>
        <v>158</v>
      </c>
      <c r="H88" s="64">
        <f t="shared" si="19"/>
        <v>56</v>
      </c>
      <c r="I88" s="64">
        <f t="shared" si="19"/>
        <v>173</v>
      </c>
      <c r="J88" s="64">
        <f t="shared" si="19"/>
        <v>140</v>
      </c>
      <c r="K88" s="64">
        <f t="shared" si="19"/>
        <v>71</v>
      </c>
      <c r="L88" s="64">
        <f t="shared" si="19"/>
        <v>79</v>
      </c>
      <c r="M88" s="64">
        <f t="shared" si="19"/>
        <v>101</v>
      </c>
      <c r="N88" s="64">
        <f t="shared" si="19"/>
        <v>99</v>
      </c>
      <c r="O88" s="64">
        <f t="shared" si="19"/>
        <v>101</v>
      </c>
      <c r="P88" s="13">
        <f t="shared" si="14"/>
        <v>1187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1.0</v>
      </c>
      <c r="G90" s="60">
        <v>0.0</v>
      </c>
      <c r="H90" s="60">
        <v>0.0</v>
      </c>
      <c r="I90" s="60">
        <v>0.0</v>
      </c>
      <c r="J90" s="60">
        <v>0.0</v>
      </c>
      <c r="K90" s="60">
        <v>0.0</v>
      </c>
      <c r="L90" s="60">
        <v>0.0</v>
      </c>
      <c r="M90" s="60">
        <v>0.0</v>
      </c>
      <c r="N90" s="60">
        <v>1.0</v>
      </c>
      <c r="O90" s="60">
        <v>0.0</v>
      </c>
      <c r="P90" s="13">
        <f t="shared" si="14"/>
        <v>2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1.0</v>
      </c>
      <c r="H91" s="60">
        <v>0.0</v>
      </c>
      <c r="I91" s="60">
        <v>0.0</v>
      </c>
      <c r="J91" s="60">
        <v>0.0</v>
      </c>
      <c r="K91" s="60">
        <v>0.0</v>
      </c>
      <c r="L91" s="60">
        <v>0.0</v>
      </c>
      <c r="M91" s="60">
        <v>0.0</v>
      </c>
      <c r="N91" s="60">
        <v>0.0</v>
      </c>
      <c r="O91" s="60">
        <v>0.0</v>
      </c>
      <c r="P91" s="13">
        <f t="shared" si="14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O92" si="20">SUM(E90:E91)</f>
        <v>0</v>
      </c>
      <c r="F92" s="64">
        <f t="shared" si="20"/>
        <v>1</v>
      </c>
      <c r="G92" s="64">
        <f t="shared" si="20"/>
        <v>1</v>
      </c>
      <c r="H92" s="64">
        <f t="shared" si="20"/>
        <v>0</v>
      </c>
      <c r="I92" s="64">
        <f t="shared" si="20"/>
        <v>0</v>
      </c>
      <c r="J92" s="64">
        <f t="shared" si="20"/>
        <v>0</v>
      </c>
      <c r="K92" s="64">
        <f t="shared" si="20"/>
        <v>0</v>
      </c>
      <c r="L92" s="64">
        <f t="shared" si="20"/>
        <v>0</v>
      </c>
      <c r="M92" s="64">
        <f t="shared" si="20"/>
        <v>0</v>
      </c>
      <c r="N92" s="64">
        <f t="shared" si="20"/>
        <v>1</v>
      </c>
      <c r="O92" s="64">
        <f t="shared" si="20"/>
        <v>0</v>
      </c>
      <c r="P92" s="13">
        <f t="shared" si="14"/>
        <v>3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2.0</v>
      </c>
      <c r="F94" s="60">
        <v>0.0</v>
      </c>
      <c r="G94" s="60">
        <v>0.0</v>
      </c>
      <c r="H94" s="60">
        <v>5.0</v>
      </c>
      <c r="I94" s="60">
        <v>0.0</v>
      </c>
      <c r="J94" s="60">
        <v>0.0</v>
      </c>
      <c r="K94" s="60">
        <v>0.0</v>
      </c>
      <c r="L94" s="60">
        <v>0.0</v>
      </c>
      <c r="M94" s="60">
        <v>1.0</v>
      </c>
      <c r="N94" s="60">
        <v>3.0</v>
      </c>
      <c r="O94" s="60">
        <v>2.0</v>
      </c>
      <c r="P94" s="13">
        <f t="shared" si="14"/>
        <v>13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10.0</v>
      </c>
      <c r="F95" s="60">
        <v>4.0</v>
      </c>
      <c r="G95" s="60">
        <v>0.0</v>
      </c>
      <c r="H95" s="60">
        <v>8.0</v>
      </c>
      <c r="I95" s="60">
        <v>0.0</v>
      </c>
      <c r="J95" s="60">
        <v>6.0</v>
      </c>
      <c r="K95" s="60">
        <v>5.0</v>
      </c>
      <c r="L95" s="60">
        <v>1.0</v>
      </c>
      <c r="M95" s="60">
        <v>11.0</v>
      </c>
      <c r="N95" s="60">
        <v>8.0</v>
      </c>
      <c r="O95" s="60">
        <v>5.0</v>
      </c>
      <c r="P95" s="13">
        <f t="shared" si="14"/>
        <v>58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1.0</v>
      </c>
      <c r="I96" s="60">
        <v>0.0</v>
      </c>
      <c r="J96" s="60">
        <v>0.0</v>
      </c>
      <c r="K96" s="60">
        <v>0.0</v>
      </c>
      <c r="L96" s="60">
        <v>0.0</v>
      </c>
      <c r="M96" s="60">
        <v>0.0</v>
      </c>
      <c r="N96" s="60">
        <v>0.0</v>
      </c>
      <c r="O96" s="60">
        <v>0.0</v>
      </c>
      <c r="P96" s="13">
        <f t="shared" si="14"/>
        <v>1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1.0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60">
        <v>0.0</v>
      </c>
      <c r="P97" s="13">
        <f t="shared" si="14"/>
        <v>1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60">
        <v>0.0</v>
      </c>
      <c r="P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0.0</v>
      </c>
      <c r="J99" s="60">
        <v>0.0</v>
      </c>
      <c r="K99" s="60">
        <v>0.0</v>
      </c>
      <c r="L99" s="60">
        <v>1.0</v>
      </c>
      <c r="M99" s="60">
        <v>0.0</v>
      </c>
      <c r="N99" s="60">
        <v>0.0</v>
      </c>
      <c r="O99" s="60">
        <v>0.0</v>
      </c>
      <c r="P99" s="13">
        <f t="shared" si="14"/>
        <v>1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0.0</v>
      </c>
      <c r="K100" s="60">
        <v>0.0</v>
      </c>
      <c r="L100" s="60">
        <v>0.0</v>
      </c>
      <c r="M100" s="60">
        <v>0.0</v>
      </c>
      <c r="N100" s="60">
        <v>0.0</v>
      </c>
      <c r="O100" s="60">
        <v>0.0</v>
      </c>
      <c r="P100" s="13">
        <f t="shared" si="14"/>
        <v>0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O101" si="21">SUM(E94:E100)</f>
        <v>12</v>
      </c>
      <c r="F101" s="64">
        <f t="shared" si="21"/>
        <v>5</v>
      </c>
      <c r="G101" s="64">
        <f t="shared" si="21"/>
        <v>0</v>
      </c>
      <c r="H101" s="64">
        <f t="shared" si="21"/>
        <v>14</v>
      </c>
      <c r="I101" s="64">
        <f t="shared" si="21"/>
        <v>0</v>
      </c>
      <c r="J101" s="64">
        <f t="shared" si="21"/>
        <v>6</v>
      </c>
      <c r="K101" s="64">
        <f t="shared" si="21"/>
        <v>5</v>
      </c>
      <c r="L101" s="64">
        <f t="shared" si="21"/>
        <v>2</v>
      </c>
      <c r="M101" s="64">
        <f t="shared" si="21"/>
        <v>12</v>
      </c>
      <c r="N101" s="64">
        <f t="shared" si="21"/>
        <v>11</v>
      </c>
      <c r="O101" s="64">
        <f t="shared" si="21"/>
        <v>7</v>
      </c>
      <c r="P101" s="13">
        <f t="shared" si="14"/>
        <v>74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1.0</v>
      </c>
      <c r="G103" s="60">
        <v>1.0</v>
      </c>
      <c r="H103" s="60">
        <v>0.0</v>
      </c>
      <c r="I103" s="60">
        <v>0.0</v>
      </c>
      <c r="J103" s="60">
        <v>0.0</v>
      </c>
      <c r="K103" s="60">
        <v>0.0</v>
      </c>
      <c r="L103" s="60">
        <v>0.0</v>
      </c>
      <c r="M103" s="60">
        <v>1.0</v>
      </c>
      <c r="N103" s="60">
        <v>0.0</v>
      </c>
      <c r="O103" s="60">
        <v>0.0</v>
      </c>
      <c r="P103" s="13">
        <f t="shared" si="14"/>
        <v>3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1.0</v>
      </c>
      <c r="F104" s="60">
        <v>0.0</v>
      </c>
      <c r="G104" s="60">
        <v>3.0</v>
      </c>
      <c r="H104" s="60">
        <v>4.0</v>
      </c>
      <c r="I104" s="60">
        <v>1.0</v>
      </c>
      <c r="J104" s="60">
        <v>0.0</v>
      </c>
      <c r="K104" s="60">
        <v>8.0</v>
      </c>
      <c r="L104" s="60">
        <v>6.0</v>
      </c>
      <c r="M104" s="60">
        <v>6.0</v>
      </c>
      <c r="N104" s="60">
        <v>1.0</v>
      </c>
      <c r="O104" s="60">
        <v>0.0</v>
      </c>
      <c r="P104" s="13">
        <f t="shared" si="14"/>
        <v>30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1.0</v>
      </c>
      <c r="O105" s="60">
        <v>0.0</v>
      </c>
      <c r="P105" s="13">
        <f t="shared" si="14"/>
        <v>1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60">
        <v>0.0</v>
      </c>
      <c r="N106" s="60">
        <v>0.0</v>
      </c>
      <c r="O106" s="60">
        <v>0.0</v>
      </c>
      <c r="P106" s="13">
        <f t="shared" si="14"/>
        <v>0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0.0</v>
      </c>
      <c r="O107" s="60">
        <v>0.0</v>
      </c>
      <c r="P107" s="13">
        <f t="shared" si="14"/>
        <v>0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60">
        <v>0.0</v>
      </c>
      <c r="P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3.0</v>
      </c>
      <c r="H109" s="60">
        <v>1.0</v>
      </c>
      <c r="I109" s="60">
        <v>0.0</v>
      </c>
      <c r="J109" s="60">
        <v>1.0</v>
      </c>
      <c r="K109" s="60">
        <v>1.0</v>
      </c>
      <c r="L109" s="60">
        <v>0.0</v>
      </c>
      <c r="M109" s="60">
        <v>0.0</v>
      </c>
      <c r="N109" s="60">
        <v>1.0</v>
      </c>
      <c r="O109" s="60">
        <v>0.0</v>
      </c>
      <c r="P109" s="13">
        <f t="shared" si="14"/>
        <v>7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O110" si="22">SUM(E103:E109)</f>
        <v>1</v>
      </c>
      <c r="F110" s="64">
        <f t="shared" si="22"/>
        <v>1</v>
      </c>
      <c r="G110" s="64">
        <f t="shared" si="22"/>
        <v>7</v>
      </c>
      <c r="H110" s="64">
        <f t="shared" si="22"/>
        <v>5</v>
      </c>
      <c r="I110" s="64">
        <f t="shared" si="22"/>
        <v>1</v>
      </c>
      <c r="J110" s="64">
        <f t="shared" si="22"/>
        <v>1</v>
      </c>
      <c r="K110" s="64">
        <f t="shared" si="22"/>
        <v>9</v>
      </c>
      <c r="L110" s="64">
        <f t="shared" si="22"/>
        <v>6</v>
      </c>
      <c r="M110" s="64">
        <f t="shared" si="22"/>
        <v>7</v>
      </c>
      <c r="N110" s="64">
        <f t="shared" si="22"/>
        <v>3</v>
      </c>
      <c r="O110" s="64">
        <f t="shared" si="22"/>
        <v>0</v>
      </c>
      <c r="P110" s="13">
        <f t="shared" si="14"/>
        <v>41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1.0</v>
      </c>
      <c r="L112" s="60">
        <v>1.0</v>
      </c>
      <c r="M112" s="60">
        <v>0.0</v>
      </c>
      <c r="N112" s="60">
        <v>0.0</v>
      </c>
      <c r="O112" s="60">
        <v>0.0</v>
      </c>
      <c r="P112" s="13">
        <f t="shared" si="14"/>
        <v>2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2.0</v>
      </c>
      <c r="N113" s="60">
        <v>0.0</v>
      </c>
      <c r="O113" s="60">
        <v>0.0</v>
      </c>
      <c r="P113" s="13">
        <f t="shared" si="14"/>
        <v>2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O114" si="23">SUM(E112:E113)</f>
        <v>0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1</v>
      </c>
      <c r="L114" s="64">
        <f t="shared" si="23"/>
        <v>1</v>
      </c>
      <c r="M114" s="64">
        <f t="shared" si="23"/>
        <v>2</v>
      </c>
      <c r="N114" s="64">
        <f t="shared" si="23"/>
        <v>0</v>
      </c>
      <c r="O114" s="64">
        <f t="shared" si="23"/>
        <v>0</v>
      </c>
      <c r="P114" s="13">
        <f t="shared" si="14"/>
        <v>4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1.0</v>
      </c>
      <c r="F116" s="60">
        <v>0.0</v>
      </c>
      <c r="G116" s="60">
        <v>0.0</v>
      </c>
      <c r="H116" s="60">
        <v>2.0</v>
      </c>
      <c r="I116" s="60">
        <v>0.0</v>
      </c>
      <c r="J116" s="60">
        <v>0.0</v>
      </c>
      <c r="K116" s="60">
        <v>0.0</v>
      </c>
      <c r="L116" s="60">
        <v>1.0</v>
      </c>
      <c r="M116" s="60">
        <v>0.0</v>
      </c>
      <c r="N116" s="60">
        <v>2.0</v>
      </c>
      <c r="O116" s="60">
        <v>2.0</v>
      </c>
      <c r="P116" s="13">
        <f t="shared" si="14"/>
        <v>8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0.0</v>
      </c>
      <c r="F117" s="60">
        <v>0.0</v>
      </c>
      <c r="G117" s="60">
        <v>1.0</v>
      </c>
      <c r="H117" s="60">
        <v>9.0</v>
      </c>
      <c r="I117" s="60">
        <v>0.0</v>
      </c>
      <c r="J117" s="60">
        <v>5.0</v>
      </c>
      <c r="K117" s="60">
        <v>3.0</v>
      </c>
      <c r="L117" s="60">
        <v>4.0</v>
      </c>
      <c r="M117" s="60">
        <v>0.0</v>
      </c>
      <c r="N117" s="60">
        <v>1.0</v>
      </c>
      <c r="O117" s="60">
        <v>0.0</v>
      </c>
      <c r="P117" s="13">
        <f t="shared" si="14"/>
        <v>23</v>
      </c>
      <c r="Q117" s="5"/>
      <c r="R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2.0</v>
      </c>
      <c r="H118" s="60">
        <v>0.0</v>
      </c>
      <c r="I118" s="60">
        <v>0.0</v>
      </c>
      <c r="J118" s="60">
        <v>0.0</v>
      </c>
      <c r="K118" s="60">
        <v>0.0</v>
      </c>
      <c r="L118" s="60">
        <v>0.0</v>
      </c>
      <c r="M118" s="60">
        <v>0.0</v>
      </c>
      <c r="N118" s="60">
        <v>0.0</v>
      </c>
      <c r="O118" s="60">
        <v>0.0</v>
      </c>
      <c r="P118" s="13">
        <f t="shared" si="14"/>
        <v>2</v>
      </c>
      <c r="Q118" s="5"/>
      <c r="R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3.0</v>
      </c>
      <c r="P119" s="13">
        <f t="shared" si="14"/>
        <v>3</v>
      </c>
      <c r="Q119" s="5"/>
      <c r="R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60">
        <v>0.0</v>
      </c>
      <c r="N120" s="60">
        <v>0.0</v>
      </c>
      <c r="O120" s="60">
        <v>0.0</v>
      </c>
      <c r="P120" s="13">
        <f t="shared" si="14"/>
        <v>0</v>
      </c>
      <c r="Q120" s="5"/>
      <c r="R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2.0</v>
      </c>
      <c r="K121" s="60">
        <v>0.0</v>
      </c>
      <c r="L121" s="60">
        <v>0.0</v>
      </c>
      <c r="M121" s="60">
        <v>0.0</v>
      </c>
      <c r="N121" s="60">
        <v>0.0</v>
      </c>
      <c r="O121" s="60">
        <v>0.0</v>
      </c>
      <c r="P121" s="13">
        <f t="shared" si="14"/>
        <v>2</v>
      </c>
      <c r="Q121" s="5"/>
      <c r="R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2.0</v>
      </c>
      <c r="M122" s="60">
        <v>0.0</v>
      </c>
      <c r="N122" s="60">
        <v>0.0</v>
      </c>
      <c r="O122" s="60">
        <v>0.0</v>
      </c>
      <c r="P122" s="13">
        <f t="shared" si="14"/>
        <v>2</v>
      </c>
      <c r="Q122" s="5"/>
      <c r="R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O123" si="24">SUM(E116:E122)</f>
        <v>1</v>
      </c>
      <c r="F123" s="64">
        <f t="shared" si="24"/>
        <v>0</v>
      </c>
      <c r="G123" s="64">
        <f t="shared" si="24"/>
        <v>3</v>
      </c>
      <c r="H123" s="64">
        <f t="shared" si="24"/>
        <v>11</v>
      </c>
      <c r="I123" s="64">
        <f t="shared" si="24"/>
        <v>0</v>
      </c>
      <c r="J123" s="64">
        <f t="shared" si="24"/>
        <v>7</v>
      </c>
      <c r="K123" s="64">
        <f t="shared" si="24"/>
        <v>3</v>
      </c>
      <c r="L123" s="64">
        <f t="shared" si="24"/>
        <v>7</v>
      </c>
      <c r="M123" s="64">
        <f t="shared" si="24"/>
        <v>0</v>
      </c>
      <c r="N123" s="64">
        <f t="shared" si="24"/>
        <v>3</v>
      </c>
      <c r="O123" s="64">
        <f t="shared" si="24"/>
        <v>5</v>
      </c>
      <c r="P123" s="13">
        <f t="shared" si="14"/>
        <v>40</v>
      </c>
      <c r="Q123" s="5"/>
      <c r="R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13">
        <f t="shared" si="14"/>
        <v>0</v>
      </c>
      <c r="Q124" s="5"/>
      <c r="R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1.0</v>
      </c>
      <c r="L125" s="60">
        <v>0.0</v>
      </c>
      <c r="M125" s="60">
        <v>0.0</v>
      </c>
      <c r="N125" s="60">
        <v>0.0</v>
      </c>
      <c r="O125" s="60">
        <v>0.0</v>
      </c>
      <c r="P125" s="13">
        <f t="shared" si="14"/>
        <v>1</v>
      </c>
      <c r="Q125" s="5"/>
      <c r="R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3">
        <f t="shared" si="14"/>
        <v>0</v>
      </c>
      <c r="Q126" s="5"/>
      <c r="R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O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1</v>
      </c>
      <c r="L127" s="64">
        <f t="shared" si="25"/>
        <v>0</v>
      </c>
      <c r="M127" s="64">
        <f t="shared" si="25"/>
        <v>0</v>
      </c>
      <c r="N127" s="64">
        <f t="shared" si="25"/>
        <v>0</v>
      </c>
      <c r="O127" s="64">
        <f t="shared" si="25"/>
        <v>0</v>
      </c>
      <c r="P127" s="13">
        <f t="shared" si="14"/>
        <v>1</v>
      </c>
      <c r="Q127" s="5"/>
      <c r="R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13">
        <f t="shared" si="14"/>
        <v>0</v>
      </c>
      <c r="Q128" s="5"/>
      <c r="R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1.0</v>
      </c>
      <c r="F129" s="60">
        <v>2.0</v>
      </c>
      <c r="G129" s="60">
        <v>0.0</v>
      </c>
      <c r="H129" s="60">
        <v>0.0</v>
      </c>
      <c r="I129" s="60">
        <v>1.0</v>
      </c>
      <c r="J129" s="60">
        <v>3.0</v>
      </c>
      <c r="K129" s="60">
        <v>0.0</v>
      </c>
      <c r="L129" s="60">
        <v>1.0</v>
      </c>
      <c r="M129" s="60">
        <v>1.0</v>
      </c>
      <c r="N129" s="60">
        <v>0.0</v>
      </c>
      <c r="O129" s="60">
        <v>0.0</v>
      </c>
      <c r="P129" s="13">
        <f t="shared" si="14"/>
        <v>9</v>
      </c>
      <c r="Q129" s="5"/>
      <c r="R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0.0</v>
      </c>
      <c r="F130" s="60">
        <v>5.0</v>
      </c>
      <c r="G130" s="60">
        <v>0.0</v>
      </c>
      <c r="H130" s="60">
        <v>0.0</v>
      </c>
      <c r="I130" s="60">
        <v>2.0</v>
      </c>
      <c r="J130" s="60">
        <v>0.0</v>
      </c>
      <c r="K130" s="60">
        <v>0.0</v>
      </c>
      <c r="L130" s="60">
        <v>9.0</v>
      </c>
      <c r="M130" s="60">
        <v>0.0</v>
      </c>
      <c r="N130" s="60">
        <v>0.0</v>
      </c>
      <c r="O130" s="60">
        <v>0.0</v>
      </c>
      <c r="P130" s="13">
        <f t="shared" si="14"/>
        <v>16</v>
      </c>
      <c r="Q130" s="1"/>
      <c r="R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60">
        <v>0.0</v>
      </c>
      <c r="O131" s="60">
        <v>0.0</v>
      </c>
      <c r="P131" s="13">
        <f t="shared" si="14"/>
        <v>0</v>
      </c>
      <c r="Q131" s="54"/>
      <c r="R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2.0</v>
      </c>
      <c r="I132" s="60">
        <v>0.0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60">
        <v>1.0</v>
      </c>
      <c r="P132" s="13">
        <f t="shared" si="14"/>
        <v>3</v>
      </c>
      <c r="Q132" s="5"/>
      <c r="R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60">
        <v>0.0</v>
      </c>
      <c r="N133" s="60">
        <v>0.0</v>
      </c>
      <c r="O133" s="60">
        <v>0.0</v>
      </c>
      <c r="P133" s="13">
        <f t="shared" si="14"/>
        <v>0</v>
      </c>
      <c r="Q133" s="5"/>
      <c r="R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2.0</v>
      </c>
      <c r="K134" s="60">
        <v>3.0</v>
      </c>
      <c r="L134" s="60">
        <v>0.0</v>
      </c>
      <c r="M134" s="60">
        <v>0.0</v>
      </c>
      <c r="N134" s="60">
        <v>0.0</v>
      </c>
      <c r="O134" s="60">
        <v>0.0</v>
      </c>
      <c r="P134" s="13">
        <f t="shared" si="14"/>
        <v>5</v>
      </c>
      <c r="Q134" s="5"/>
      <c r="R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60">
        <v>0.0</v>
      </c>
      <c r="N135" s="60">
        <v>0.0</v>
      </c>
      <c r="O135" s="60">
        <v>0.0</v>
      </c>
      <c r="P135" s="13">
        <f t="shared" si="14"/>
        <v>0</v>
      </c>
      <c r="Q135" s="5"/>
      <c r="R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O136" si="26">SUM(E129:E135)</f>
        <v>1</v>
      </c>
      <c r="F136" s="64">
        <f t="shared" si="26"/>
        <v>7</v>
      </c>
      <c r="G136" s="64">
        <f t="shared" si="26"/>
        <v>0</v>
      </c>
      <c r="H136" s="64">
        <f t="shared" si="26"/>
        <v>2</v>
      </c>
      <c r="I136" s="64">
        <f t="shared" si="26"/>
        <v>3</v>
      </c>
      <c r="J136" s="64">
        <f t="shared" si="26"/>
        <v>5</v>
      </c>
      <c r="K136" s="64">
        <f t="shared" si="26"/>
        <v>3</v>
      </c>
      <c r="L136" s="64">
        <f t="shared" si="26"/>
        <v>10</v>
      </c>
      <c r="M136" s="64">
        <f t="shared" si="26"/>
        <v>1</v>
      </c>
      <c r="N136" s="64">
        <f t="shared" si="26"/>
        <v>0</v>
      </c>
      <c r="O136" s="64">
        <f t="shared" si="26"/>
        <v>1</v>
      </c>
      <c r="P136" s="13">
        <f t="shared" si="14"/>
        <v>33</v>
      </c>
      <c r="Q136" s="5"/>
      <c r="R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13">
        <f t="shared" si="14"/>
        <v>0</v>
      </c>
      <c r="Q137" s="5"/>
      <c r="R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60">
        <v>0.0</v>
      </c>
      <c r="N138" s="60">
        <v>0.0</v>
      </c>
      <c r="O138" s="60">
        <v>0.0</v>
      </c>
      <c r="P138" s="13">
        <f t="shared" si="14"/>
        <v>0</v>
      </c>
      <c r="Q138" s="5"/>
      <c r="R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0.0</v>
      </c>
      <c r="H139" s="60">
        <v>0.0</v>
      </c>
      <c r="I139" s="60">
        <v>0.0</v>
      </c>
      <c r="J139" s="60">
        <v>0.0</v>
      </c>
      <c r="K139" s="60">
        <v>0.0</v>
      </c>
      <c r="L139" s="60">
        <v>0.0</v>
      </c>
      <c r="M139" s="60">
        <v>0.0</v>
      </c>
      <c r="N139" s="60">
        <v>0.0</v>
      </c>
      <c r="O139" s="60">
        <v>0.0</v>
      </c>
      <c r="P139" s="13">
        <f t="shared" si="14"/>
        <v>0</v>
      </c>
      <c r="Q139" s="5"/>
      <c r="R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13">
        <f t="shared" si="14"/>
        <v>0</v>
      </c>
      <c r="Q140" s="5"/>
      <c r="R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0.0</v>
      </c>
      <c r="N141" s="60">
        <v>0.0</v>
      </c>
      <c r="O141" s="60">
        <v>0.0</v>
      </c>
      <c r="P141" s="13">
        <f t="shared" si="14"/>
        <v>0</v>
      </c>
      <c r="Q141" s="1"/>
      <c r="R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0.0</v>
      </c>
      <c r="O142" s="60">
        <v>1.0</v>
      </c>
      <c r="P142" s="13">
        <f t="shared" si="14"/>
        <v>1</v>
      </c>
      <c r="Q142" s="54"/>
      <c r="R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0.0</v>
      </c>
      <c r="O143" s="60">
        <v>1.0</v>
      </c>
      <c r="P143" s="13">
        <f t="shared" si="14"/>
        <v>1</v>
      </c>
      <c r="Q143" s="5"/>
      <c r="R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60">
        <v>0.0</v>
      </c>
      <c r="P144" s="13">
        <f t="shared" si="14"/>
        <v>0</v>
      </c>
      <c r="Q144" s="5"/>
      <c r="R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O145" si="27">SUM(E138:E144)</f>
        <v>0</v>
      </c>
      <c r="F145" s="64">
        <f t="shared" si="27"/>
        <v>0</v>
      </c>
      <c r="G145" s="64">
        <f t="shared" si="27"/>
        <v>0</v>
      </c>
      <c r="H145" s="64">
        <f t="shared" si="27"/>
        <v>0</v>
      </c>
      <c r="I145" s="64">
        <f t="shared" si="27"/>
        <v>0</v>
      </c>
      <c r="J145" s="64">
        <f t="shared" si="27"/>
        <v>0</v>
      </c>
      <c r="K145" s="64">
        <f t="shared" si="27"/>
        <v>0</v>
      </c>
      <c r="L145" s="64">
        <f t="shared" si="27"/>
        <v>0</v>
      </c>
      <c r="M145" s="64">
        <f t="shared" si="27"/>
        <v>0</v>
      </c>
      <c r="N145" s="64">
        <f t="shared" si="27"/>
        <v>0</v>
      </c>
      <c r="O145" s="64">
        <f t="shared" si="27"/>
        <v>2</v>
      </c>
      <c r="P145" s="13">
        <f t="shared" si="14"/>
        <v>2</v>
      </c>
      <c r="Q145" s="5"/>
      <c r="R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13">
        <f t="shared" si="14"/>
        <v>0</v>
      </c>
      <c r="Q146" s="5"/>
      <c r="R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1.0</v>
      </c>
      <c r="F147" s="60">
        <v>3.0</v>
      </c>
      <c r="G147" s="60">
        <v>2.0</v>
      </c>
      <c r="H147" s="60">
        <v>6.0</v>
      </c>
      <c r="I147" s="60">
        <v>2.0</v>
      </c>
      <c r="J147" s="60">
        <v>3.0</v>
      </c>
      <c r="K147" s="60">
        <v>5.0</v>
      </c>
      <c r="L147" s="60">
        <v>2.0</v>
      </c>
      <c r="M147" s="60">
        <v>5.0</v>
      </c>
      <c r="N147" s="60">
        <v>6.0</v>
      </c>
      <c r="O147" s="60">
        <v>4.0</v>
      </c>
      <c r="P147" s="13">
        <f t="shared" si="14"/>
        <v>39</v>
      </c>
      <c r="Q147" s="5"/>
      <c r="R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0.0</v>
      </c>
      <c r="F148" s="60">
        <v>6.0</v>
      </c>
      <c r="G148" s="60">
        <v>0.0</v>
      </c>
      <c r="H148" s="60">
        <v>3.0</v>
      </c>
      <c r="I148" s="60">
        <v>1.0</v>
      </c>
      <c r="J148" s="60">
        <v>3.0</v>
      </c>
      <c r="K148" s="60">
        <v>8.0</v>
      </c>
      <c r="L148" s="60">
        <v>5.0</v>
      </c>
      <c r="M148" s="60">
        <v>7.0</v>
      </c>
      <c r="N148" s="60">
        <v>9.0</v>
      </c>
      <c r="O148" s="60">
        <v>3.0</v>
      </c>
      <c r="P148" s="13">
        <f t="shared" si="14"/>
        <v>45</v>
      </c>
      <c r="Q148" s="5"/>
      <c r="R148" s="5"/>
    </row>
    <row r="149" ht="12.75" customHeight="1">
      <c r="A149" s="18"/>
      <c r="B149" s="57"/>
      <c r="C149" s="58" t="s">
        <v>128</v>
      </c>
      <c r="D149" s="59"/>
      <c r="E149" s="60">
        <v>0.0</v>
      </c>
      <c r="F149" s="60">
        <v>12.0</v>
      </c>
      <c r="G149" s="60">
        <v>3.0</v>
      </c>
      <c r="H149" s="60">
        <v>5.0</v>
      </c>
      <c r="I149" s="60">
        <v>0.0</v>
      </c>
      <c r="J149" s="60">
        <v>4.0</v>
      </c>
      <c r="K149" s="60">
        <v>12.0</v>
      </c>
      <c r="L149" s="60">
        <v>14.0</v>
      </c>
      <c r="M149" s="60">
        <v>22.0</v>
      </c>
      <c r="N149" s="60">
        <v>6.0</v>
      </c>
      <c r="O149" s="60">
        <v>5.0</v>
      </c>
      <c r="P149" s="13">
        <f t="shared" si="14"/>
        <v>83</v>
      </c>
      <c r="Q149" s="5"/>
      <c r="R149" s="5"/>
    </row>
    <row r="150" ht="12.75" customHeight="1">
      <c r="A150" s="18"/>
      <c r="B150" s="57"/>
      <c r="C150" s="58" t="s">
        <v>129</v>
      </c>
      <c r="D150" s="59"/>
      <c r="E150" s="60">
        <v>4.0</v>
      </c>
      <c r="F150" s="60">
        <v>2.0</v>
      </c>
      <c r="G150" s="60">
        <v>2.0</v>
      </c>
      <c r="H150" s="60">
        <v>9.0</v>
      </c>
      <c r="I150" s="60">
        <v>7.0</v>
      </c>
      <c r="J150" s="60">
        <v>8.0</v>
      </c>
      <c r="K150" s="60">
        <v>6.0</v>
      </c>
      <c r="L150" s="60">
        <v>5.0</v>
      </c>
      <c r="M150" s="60">
        <v>7.0</v>
      </c>
      <c r="N150" s="60">
        <v>5.0</v>
      </c>
      <c r="O150" s="60">
        <v>0.0</v>
      </c>
      <c r="P150" s="13">
        <f t="shared" si="14"/>
        <v>55</v>
      </c>
      <c r="Q150" s="5"/>
      <c r="R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6.0</v>
      </c>
      <c r="J151" s="60">
        <v>0.0</v>
      </c>
      <c r="K151" s="60">
        <v>0.0</v>
      </c>
      <c r="L151" s="60">
        <v>0.0</v>
      </c>
      <c r="M151" s="60">
        <v>0.0</v>
      </c>
      <c r="N151" s="60">
        <v>0.0</v>
      </c>
      <c r="O151" s="60">
        <v>0.0</v>
      </c>
      <c r="P151" s="13">
        <f t="shared" si="14"/>
        <v>6</v>
      </c>
      <c r="Q151" s="1"/>
      <c r="R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1.0</v>
      </c>
      <c r="I152" s="60">
        <v>0.0</v>
      </c>
      <c r="J152" s="60">
        <v>0.0</v>
      </c>
      <c r="K152" s="60">
        <v>1.0</v>
      </c>
      <c r="L152" s="60">
        <v>0.0</v>
      </c>
      <c r="M152" s="60">
        <v>0.0</v>
      </c>
      <c r="N152" s="60">
        <v>0.0</v>
      </c>
      <c r="O152" s="60">
        <v>0.0</v>
      </c>
      <c r="P152" s="13">
        <f t="shared" si="14"/>
        <v>2</v>
      </c>
      <c r="Q152" s="54"/>
      <c r="R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1.0</v>
      </c>
      <c r="M153" s="60">
        <v>0.0</v>
      </c>
      <c r="N153" s="60">
        <v>0.0</v>
      </c>
      <c r="O153" s="60">
        <v>0.0</v>
      </c>
      <c r="P153" s="13">
        <f t="shared" si="14"/>
        <v>1</v>
      </c>
      <c r="Q153" s="5"/>
      <c r="R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O154" si="28">SUM(E147:E153)</f>
        <v>5</v>
      </c>
      <c r="F154" s="64">
        <f t="shared" si="28"/>
        <v>23</v>
      </c>
      <c r="G154" s="64">
        <f t="shared" si="28"/>
        <v>7</v>
      </c>
      <c r="H154" s="64">
        <f t="shared" si="28"/>
        <v>24</v>
      </c>
      <c r="I154" s="64">
        <f t="shared" si="28"/>
        <v>16</v>
      </c>
      <c r="J154" s="64">
        <f t="shared" si="28"/>
        <v>18</v>
      </c>
      <c r="K154" s="64">
        <f t="shared" si="28"/>
        <v>32</v>
      </c>
      <c r="L154" s="64">
        <f t="shared" si="28"/>
        <v>27</v>
      </c>
      <c r="M154" s="64">
        <f t="shared" si="28"/>
        <v>41</v>
      </c>
      <c r="N154" s="64">
        <f t="shared" si="28"/>
        <v>26</v>
      </c>
      <c r="O154" s="64">
        <f t="shared" si="28"/>
        <v>12</v>
      </c>
      <c r="P154" s="13">
        <f t="shared" si="14"/>
        <v>231</v>
      </c>
      <c r="Q154" s="5"/>
      <c r="R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13">
        <f t="shared" si="14"/>
        <v>0</v>
      </c>
      <c r="Q155" s="5"/>
      <c r="R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2.0</v>
      </c>
      <c r="F156" s="60">
        <v>1.0</v>
      </c>
      <c r="G156" s="60">
        <v>2.0</v>
      </c>
      <c r="H156" s="60">
        <v>0.0</v>
      </c>
      <c r="I156" s="60">
        <v>0.0</v>
      </c>
      <c r="J156" s="60">
        <v>0.0</v>
      </c>
      <c r="K156" s="19"/>
      <c r="L156" s="60">
        <v>0.0</v>
      </c>
      <c r="M156" s="60">
        <v>1.0</v>
      </c>
      <c r="N156" s="60">
        <v>0.0</v>
      </c>
      <c r="O156" s="60">
        <v>0.0</v>
      </c>
      <c r="P156" s="13">
        <f t="shared" si="14"/>
        <v>6</v>
      </c>
      <c r="Q156" s="5"/>
      <c r="R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0.0</v>
      </c>
      <c r="J157" s="60">
        <v>0.0</v>
      </c>
      <c r="K157" s="19"/>
      <c r="L157" s="60">
        <v>0.0</v>
      </c>
      <c r="M157" s="60">
        <v>0.0</v>
      </c>
      <c r="N157" s="60">
        <v>0.0</v>
      </c>
      <c r="O157" s="60">
        <v>0.0</v>
      </c>
      <c r="P157" s="13">
        <f t="shared" si="14"/>
        <v>0</v>
      </c>
      <c r="Q157" s="5"/>
      <c r="R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1.0</v>
      </c>
      <c r="G158" s="60">
        <v>0.0</v>
      </c>
      <c r="H158" s="60">
        <v>1.0</v>
      </c>
      <c r="I158" s="60">
        <v>0.0</v>
      </c>
      <c r="J158" s="60">
        <v>0.0</v>
      </c>
      <c r="K158" s="19"/>
      <c r="L158" s="60">
        <v>1.0</v>
      </c>
      <c r="M158" s="60">
        <v>0.0</v>
      </c>
      <c r="N158" s="60">
        <v>0.0</v>
      </c>
      <c r="O158" s="60">
        <v>0.0</v>
      </c>
      <c r="P158" s="13">
        <f t="shared" si="14"/>
        <v>3</v>
      </c>
      <c r="Q158" s="5"/>
      <c r="R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19"/>
      <c r="L159" s="60">
        <v>0.0</v>
      </c>
      <c r="M159" s="60">
        <v>0.0</v>
      </c>
      <c r="N159" s="60">
        <v>0.0</v>
      </c>
      <c r="O159" s="60">
        <v>0.0</v>
      </c>
      <c r="P159" s="13">
        <f t="shared" si="14"/>
        <v>0</v>
      </c>
      <c r="Q159" s="5"/>
      <c r="R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19"/>
      <c r="L160" s="60">
        <v>0.0</v>
      </c>
      <c r="M160" s="60">
        <v>0.0</v>
      </c>
      <c r="N160" s="60">
        <v>0.0</v>
      </c>
      <c r="O160" s="60">
        <v>0.0</v>
      </c>
      <c r="P160" s="13">
        <f t="shared" si="14"/>
        <v>0</v>
      </c>
      <c r="Q160" s="5"/>
      <c r="R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1.0</v>
      </c>
      <c r="G161" s="60">
        <v>0.0</v>
      </c>
      <c r="H161" s="60">
        <v>0.0</v>
      </c>
      <c r="I161" s="60">
        <v>0.0</v>
      </c>
      <c r="J161" s="60">
        <v>0.0</v>
      </c>
      <c r="K161" s="19"/>
      <c r="L161" s="60">
        <v>0.0</v>
      </c>
      <c r="M161" s="60">
        <v>0.0</v>
      </c>
      <c r="N161" s="60">
        <v>0.0</v>
      </c>
      <c r="O161" s="60">
        <v>0.0</v>
      </c>
      <c r="P161" s="13">
        <f t="shared" si="14"/>
        <v>1</v>
      </c>
      <c r="Q161" s="5"/>
      <c r="R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O162" si="29">SUM(E156:E161)</f>
        <v>2</v>
      </c>
      <c r="F162" s="64">
        <f t="shared" si="29"/>
        <v>3</v>
      </c>
      <c r="G162" s="64">
        <f t="shared" si="29"/>
        <v>2</v>
      </c>
      <c r="H162" s="64">
        <f t="shared" si="29"/>
        <v>1</v>
      </c>
      <c r="I162" s="64">
        <f t="shared" si="29"/>
        <v>0</v>
      </c>
      <c r="J162" s="64">
        <f t="shared" si="29"/>
        <v>0</v>
      </c>
      <c r="K162" s="64">
        <f t="shared" si="29"/>
        <v>0</v>
      </c>
      <c r="L162" s="64">
        <f t="shared" si="29"/>
        <v>1</v>
      </c>
      <c r="M162" s="64">
        <f t="shared" si="29"/>
        <v>1</v>
      </c>
      <c r="N162" s="64">
        <f t="shared" si="29"/>
        <v>0</v>
      </c>
      <c r="O162" s="64">
        <f t="shared" si="29"/>
        <v>0</v>
      </c>
      <c r="P162" s="13">
        <f t="shared" si="14"/>
        <v>10</v>
      </c>
      <c r="Q162" s="5"/>
      <c r="R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13">
        <f t="shared" si="14"/>
        <v>0</v>
      </c>
      <c r="Q163" s="5"/>
      <c r="R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2.0</v>
      </c>
      <c r="N164" s="60">
        <v>0.0</v>
      </c>
      <c r="O164" s="60">
        <v>0.0</v>
      </c>
      <c r="P164" s="13">
        <f t="shared" si="14"/>
        <v>2</v>
      </c>
      <c r="Q164" s="5"/>
      <c r="R164" s="5"/>
    </row>
    <row r="165" ht="12.75" customHeight="1">
      <c r="A165" s="31"/>
      <c r="B165" s="50"/>
      <c r="C165" s="58" t="s">
        <v>142</v>
      </c>
      <c r="D165" s="65"/>
      <c r="E165" s="60">
        <v>1.0</v>
      </c>
      <c r="F165" s="60">
        <v>0.0</v>
      </c>
      <c r="G165" s="60">
        <v>3.0</v>
      </c>
      <c r="H165" s="60">
        <v>1.0</v>
      </c>
      <c r="I165" s="60">
        <v>0.0</v>
      </c>
      <c r="J165" s="60">
        <v>2.0</v>
      </c>
      <c r="K165" s="60">
        <v>0.0</v>
      </c>
      <c r="L165" s="60">
        <v>0.0</v>
      </c>
      <c r="M165" s="60">
        <v>0.0</v>
      </c>
      <c r="N165" s="60">
        <v>0.0</v>
      </c>
      <c r="O165" s="60">
        <v>0.0</v>
      </c>
      <c r="P165" s="13">
        <f t="shared" si="14"/>
        <v>7</v>
      </c>
      <c r="Q165" s="1"/>
      <c r="R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60">
        <v>0.0</v>
      </c>
      <c r="P166" s="13">
        <f t="shared" si="14"/>
        <v>0</v>
      </c>
      <c r="Q166" s="54"/>
      <c r="R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60">
        <v>1.0</v>
      </c>
      <c r="P167" s="13">
        <f t="shared" si="14"/>
        <v>1</v>
      </c>
      <c r="Q167" s="5"/>
      <c r="R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60">
        <v>0.0</v>
      </c>
      <c r="P168" s="13">
        <f t="shared" si="14"/>
        <v>0</v>
      </c>
      <c r="Q168" s="5"/>
      <c r="R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0.0</v>
      </c>
      <c r="O169" s="60">
        <v>0.0</v>
      </c>
      <c r="P169" s="13">
        <f t="shared" si="14"/>
        <v>0</v>
      </c>
      <c r="Q169" s="5"/>
      <c r="R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60">
        <v>0.0</v>
      </c>
      <c r="N170" s="60">
        <v>0.0</v>
      </c>
      <c r="O170" s="60">
        <v>0.0</v>
      </c>
      <c r="P170" s="13">
        <f t="shared" si="14"/>
        <v>0</v>
      </c>
      <c r="Q170" s="5"/>
      <c r="R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O171" si="30">SUM(E164:E170)</f>
        <v>1</v>
      </c>
      <c r="F171" s="64">
        <f t="shared" si="30"/>
        <v>0</v>
      </c>
      <c r="G171" s="64">
        <f t="shared" si="30"/>
        <v>3</v>
      </c>
      <c r="H171" s="64">
        <f t="shared" si="30"/>
        <v>1</v>
      </c>
      <c r="I171" s="64">
        <f t="shared" si="30"/>
        <v>0</v>
      </c>
      <c r="J171" s="64">
        <f t="shared" si="30"/>
        <v>2</v>
      </c>
      <c r="K171" s="64">
        <f t="shared" si="30"/>
        <v>0</v>
      </c>
      <c r="L171" s="64">
        <f t="shared" si="30"/>
        <v>0</v>
      </c>
      <c r="M171" s="64">
        <f t="shared" si="30"/>
        <v>2</v>
      </c>
      <c r="N171" s="64">
        <f t="shared" si="30"/>
        <v>0</v>
      </c>
      <c r="O171" s="64">
        <f t="shared" si="30"/>
        <v>1</v>
      </c>
      <c r="P171" s="13">
        <f t="shared" si="14"/>
        <v>10</v>
      </c>
      <c r="Q171" s="5"/>
      <c r="R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13">
        <f t="shared" si="14"/>
        <v>0</v>
      </c>
      <c r="Q172" s="5"/>
      <c r="R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1.0</v>
      </c>
      <c r="F173" s="60">
        <v>3.0</v>
      </c>
      <c r="G173" s="60">
        <v>0.0</v>
      </c>
      <c r="H173" s="60">
        <v>2.0</v>
      </c>
      <c r="I173" s="60">
        <v>0.0</v>
      </c>
      <c r="J173" s="60">
        <v>0.0</v>
      </c>
      <c r="K173" s="60">
        <v>1.0</v>
      </c>
      <c r="L173" s="60">
        <v>0.0</v>
      </c>
      <c r="M173" s="60">
        <v>0.0</v>
      </c>
      <c r="N173" s="60">
        <v>0.0</v>
      </c>
      <c r="O173" s="60">
        <v>0.0</v>
      </c>
      <c r="P173" s="13">
        <f t="shared" si="14"/>
        <v>7</v>
      </c>
      <c r="Q173" s="5"/>
      <c r="R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1.0</v>
      </c>
      <c r="G174" s="60">
        <v>0.0</v>
      </c>
      <c r="H174" s="60">
        <v>0.0</v>
      </c>
      <c r="I174" s="60">
        <v>1.0</v>
      </c>
      <c r="J174" s="60">
        <v>0.0</v>
      </c>
      <c r="K174" s="60">
        <v>0.0</v>
      </c>
      <c r="L174" s="60">
        <v>0.0</v>
      </c>
      <c r="M174" s="60">
        <v>0.0</v>
      </c>
      <c r="N174" s="60">
        <v>2.0</v>
      </c>
      <c r="O174" s="60">
        <v>0.0</v>
      </c>
      <c r="P174" s="13">
        <f t="shared" si="14"/>
        <v>4</v>
      </c>
      <c r="Q174" s="5"/>
      <c r="R174" s="5"/>
    </row>
    <row r="175" ht="12.75" customHeight="1">
      <c r="A175" s="18"/>
      <c r="B175" s="57"/>
      <c r="C175" s="58" t="s">
        <v>151</v>
      </c>
      <c r="D175" s="59"/>
      <c r="E175" s="60">
        <v>1.0</v>
      </c>
      <c r="F175" s="60">
        <v>0.0</v>
      </c>
      <c r="G175" s="60">
        <v>0.0</v>
      </c>
      <c r="H175" s="60">
        <v>1.0</v>
      </c>
      <c r="I175" s="60">
        <v>0.0</v>
      </c>
      <c r="J175" s="60">
        <v>0.0</v>
      </c>
      <c r="K175" s="60">
        <v>0.0</v>
      </c>
      <c r="L175" s="60">
        <v>0.0</v>
      </c>
      <c r="M175" s="60">
        <v>0.0</v>
      </c>
      <c r="N175" s="60">
        <v>0.0</v>
      </c>
      <c r="O175" s="60">
        <v>0.0</v>
      </c>
      <c r="P175" s="13">
        <f t="shared" si="14"/>
        <v>2</v>
      </c>
      <c r="Q175" s="5"/>
      <c r="R175" s="5"/>
    </row>
    <row r="176" ht="12.75" customHeight="1">
      <c r="A176" s="18"/>
      <c r="B176" s="57"/>
      <c r="C176" s="58" t="s">
        <v>152</v>
      </c>
      <c r="D176" s="59"/>
      <c r="E176" s="60">
        <v>5.0</v>
      </c>
      <c r="F176" s="60">
        <v>2.0</v>
      </c>
      <c r="G176" s="60">
        <v>1.0</v>
      </c>
      <c r="H176" s="60">
        <v>16.0</v>
      </c>
      <c r="I176" s="60">
        <v>1.0</v>
      </c>
      <c r="J176" s="60">
        <v>0.0</v>
      </c>
      <c r="K176" s="60">
        <v>2.0</v>
      </c>
      <c r="L176" s="60">
        <v>1.0</v>
      </c>
      <c r="M176" s="60">
        <v>0.0</v>
      </c>
      <c r="N176" s="60">
        <v>3.0</v>
      </c>
      <c r="O176" s="60">
        <v>0.0</v>
      </c>
      <c r="P176" s="13">
        <f t="shared" si="14"/>
        <v>31</v>
      </c>
      <c r="Q176" s="1"/>
      <c r="R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0.0</v>
      </c>
      <c r="I177" s="60">
        <v>0.0</v>
      </c>
      <c r="J177" s="60">
        <v>0.0</v>
      </c>
      <c r="K177" s="60">
        <v>0.0</v>
      </c>
      <c r="L177" s="60">
        <v>0.0</v>
      </c>
      <c r="M177" s="60">
        <v>0.0</v>
      </c>
      <c r="N177" s="60">
        <v>0.0</v>
      </c>
      <c r="O177" s="60">
        <v>0.0</v>
      </c>
      <c r="P177" s="13">
        <f t="shared" si="14"/>
        <v>0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60">
        <v>0.0</v>
      </c>
      <c r="P178" s="13">
        <f t="shared" si="14"/>
        <v>0</v>
      </c>
      <c r="Q178" s="5"/>
      <c r="R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60">
        <v>0.0</v>
      </c>
      <c r="O179" s="60">
        <v>0.0</v>
      </c>
      <c r="P179" s="13">
        <f t="shared" si="14"/>
        <v>0</v>
      </c>
      <c r="Q179" s="5"/>
      <c r="R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O180" si="31">SUM(E173:E179)</f>
        <v>7</v>
      </c>
      <c r="F180" s="64">
        <f t="shared" si="31"/>
        <v>6</v>
      </c>
      <c r="G180" s="64">
        <f t="shared" si="31"/>
        <v>1</v>
      </c>
      <c r="H180" s="64">
        <f t="shared" si="31"/>
        <v>19</v>
      </c>
      <c r="I180" s="64">
        <f t="shared" si="31"/>
        <v>2</v>
      </c>
      <c r="J180" s="64">
        <f t="shared" si="31"/>
        <v>0</v>
      </c>
      <c r="K180" s="64">
        <f t="shared" si="31"/>
        <v>3</v>
      </c>
      <c r="L180" s="64">
        <f t="shared" si="31"/>
        <v>1</v>
      </c>
      <c r="M180" s="64">
        <f t="shared" si="31"/>
        <v>0</v>
      </c>
      <c r="N180" s="64">
        <f t="shared" si="31"/>
        <v>5</v>
      </c>
      <c r="O180" s="64">
        <f t="shared" si="31"/>
        <v>0</v>
      </c>
      <c r="P180" s="13">
        <f t="shared" si="14"/>
        <v>44</v>
      </c>
      <c r="Q180" s="5"/>
      <c r="R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13">
        <f t="shared" si="14"/>
        <v>0</v>
      </c>
      <c r="Q181" s="5"/>
      <c r="R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1.0</v>
      </c>
      <c r="L182" s="60">
        <v>0.0</v>
      </c>
      <c r="M182" s="60">
        <v>0.0</v>
      </c>
      <c r="N182" s="60">
        <v>0.0</v>
      </c>
      <c r="O182" s="60">
        <v>0.0</v>
      </c>
      <c r="P182" s="13">
        <f t="shared" si="14"/>
        <v>1</v>
      </c>
      <c r="Q182" s="5"/>
      <c r="R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60">
        <v>1.0</v>
      </c>
      <c r="L183" s="60">
        <v>0.0</v>
      </c>
      <c r="M183" s="60">
        <v>0.0</v>
      </c>
      <c r="N183" s="60">
        <v>0.0</v>
      </c>
      <c r="O183" s="60">
        <v>0.0</v>
      </c>
      <c r="P183" s="13">
        <f t="shared" si="14"/>
        <v>1</v>
      </c>
      <c r="Q183" s="5"/>
      <c r="R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19"/>
      <c r="L184" s="60">
        <v>0.0</v>
      </c>
      <c r="M184" s="60">
        <v>0.0</v>
      </c>
      <c r="N184" s="60">
        <v>0.0</v>
      </c>
      <c r="O184" s="60">
        <v>0.0</v>
      </c>
      <c r="P184" s="13">
        <f t="shared" si="14"/>
        <v>0</v>
      </c>
      <c r="Q184" s="5"/>
      <c r="R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19"/>
      <c r="L185" s="60">
        <v>0.0</v>
      </c>
      <c r="M185" s="60">
        <v>0.0</v>
      </c>
      <c r="N185" s="60">
        <v>0.0</v>
      </c>
      <c r="O185" s="60">
        <v>0.0</v>
      </c>
      <c r="P185" s="13">
        <f t="shared" si="14"/>
        <v>0</v>
      </c>
      <c r="Q185" s="5"/>
      <c r="R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19"/>
      <c r="L186" s="60">
        <v>0.0</v>
      </c>
      <c r="M186" s="60">
        <v>0.0</v>
      </c>
      <c r="N186" s="60">
        <v>0.0</v>
      </c>
      <c r="O186" s="60">
        <v>0.0</v>
      </c>
      <c r="P186" s="13">
        <f t="shared" si="14"/>
        <v>0</v>
      </c>
      <c r="Q186" s="5"/>
      <c r="R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O187" si="32">SUM(E182:E186)</f>
        <v>0</v>
      </c>
      <c r="F187" s="64">
        <f t="shared" si="32"/>
        <v>0</v>
      </c>
      <c r="G187" s="64">
        <f t="shared" si="32"/>
        <v>0</v>
      </c>
      <c r="H187" s="64">
        <f t="shared" si="32"/>
        <v>0</v>
      </c>
      <c r="I187" s="64">
        <f t="shared" si="32"/>
        <v>0</v>
      </c>
      <c r="J187" s="64">
        <f t="shared" si="32"/>
        <v>0</v>
      </c>
      <c r="K187" s="64">
        <f t="shared" si="32"/>
        <v>2</v>
      </c>
      <c r="L187" s="64">
        <f t="shared" si="32"/>
        <v>0</v>
      </c>
      <c r="M187" s="64">
        <f t="shared" si="32"/>
        <v>0</v>
      </c>
      <c r="N187" s="64">
        <f t="shared" si="32"/>
        <v>0</v>
      </c>
      <c r="O187" s="64">
        <f t="shared" si="32"/>
        <v>0</v>
      </c>
      <c r="P187" s="13">
        <f t="shared" si="14"/>
        <v>2</v>
      </c>
      <c r="Q187" s="1"/>
      <c r="R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3">
        <f t="shared" si="14"/>
        <v>0</v>
      </c>
      <c r="Q189" s="5"/>
      <c r="R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74" t="s">
        <v>184</v>
      </c>
      <c r="P190" s="13">
        <f t="shared" si="14"/>
        <v>0</v>
      </c>
      <c r="Q190" s="5"/>
      <c r="R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O191" si="33">E187+E180+E162+E154+E145+E136+E127+E123+E114+E110+E101+E92+E88+E79+E70+E61+E52</f>
        <v>209</v>
      </c>
      <c r="F191" s="19">
        <f t="shared" si="33"/>
        <v>205</v>
      </c>
      <c r="G191" s="19">
        <f t="shared" si="33"/>
        <v>224</v>
      </c>
      <c r="H191" s="19">
        <f t="shared" si="33"/>
        <v>208</v>
      </c>
      <c r="I191" s="19">
        <f t="shared" si="33"/>
        <v>250</v>
      </c>
      <c r="J191" s="19">
        <f t="shared" si="33"/>
        <v>223</v>
      </c>
      <c r="K191" s="19">
        <f t="shared" si="33"/>
        <v>225</v>
      </c>
      <c r="L191" s="19">
        <f t="shared" si="33"/>
        <v>207</v>
      </c>
      <c r="M191" s="19">
        <f t="shared" si="33"/>
        <v>196</v>
      </c>
      <c r="N191" s="19">
        <f t="shared" si="33"/>
        <v>174</v>
      </c>
      <c r="O191" s="19">
        <f t="shared" si="33"/>
        <v>178</v>
      </c>
      <c r="P191" s="13">
        <f t="shared" si="14"/>
        <v>2299</v>
      </c>
      <c r="Q191" s="5"/>
      <c r="R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13.0</v>
      </c>
      <c r="F192" s="60">
        <v>29.0</v>
      </c>
      <c r="G192" s="60">
        <v>10.0</v>
      </c>
      <c r="H192" s="60">
        <v>20.0</v>
      </c>
      <c r="I192" s="60">
        <v>6.0</v>
      </c>
      <c r="J192" s="60">
        <v>13.0</v>
      </c>
      <c r="K192" s="60">
        <v>15.0</v>
      </c>
      <c r="L192" s="60">
        <v>16.0</v>
      </c>
      <c r="M192" s="60">
        <v>21.0</v>
      </c>
      <c r="N192" s="60">
        <v>19.0</v>
      </c>
      <c r="O192" s="60">
        <v>31.0</v>
      </c>
      <c r="P192" s="13">
        <f t="shared" si="14"/>
        <v>193</v>
      </c>
      <c r="Q192" s="5"/>
      <c r="R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O193" si="34">SUM(E191:E192)</f>
        <v>222</v>
      </c>
      <c r="F193" s="13">
        <f t="shared" si="34"/>
        <v>234</v>
      </c>
      <c r="G193" s="13">
        <f t="shared" si="34"/>
        <v>234</v>
      </c>
      <c r="H193" s="13">
        <f t="shared" si="34"/>
        <v>228</v>
      </c>
      <c r="I193" s="13">
        <f t="shared" si="34"/>
        <v>256</v>
      </c>
      <c r="J193" s="13">
        <f t="shared" si="34"/>
        <v>236</v>
      </c>
      <c r="K193" s="13">
        <f t="shared" si="34"/>
        <v>240</v>
      </c>
      <c r="L193" s="13">
        <f t="shared" si="34"/>
        <v>223</v>
      </c>
      <c r="M193" s="13">
        <f t="shared" si="34"/>
        <v>217</v>
      </c>
      <c r="N193" s="13">
        <f t="shared" si="34"/>
        <v>193</v>
      </c>
      <c r="O193" s="13">
        <f t="shared" si="34"/>
        <v>209</v>
      </c>
      <c r="P193" s="13">
        <f t="shared" si="14"/>
        <v>2492</v>
      </c>
      <c r="Q193" s="5"/>
      <c r="R193" s="5"/>
    </row>
    <row r="194" ht="12.75" customHeight="1">
      <c r="Q194" s="5"/>
      <c r="R194" s="5"/>
    </row>
    <row r="195" ht="12.75" customHeight="1">
      <c r="Q195" s="5"/>
      <c r="R195" s="5"/>
    </row>
    <row r="196" ht="12.75" customHeight="1">
      <c r="Q196" s="1"/>
      <c r="R196" s="1"/>
    </row>
    <row r="197" ht="12.75" customHeight="1">
      <c r="Q197" s="1"/>
      <c r="R197" s="1"/>
    </row>
    <row r="198" ht="12.75" customHeight="1">
      <c r="Q198" s="1"/>
      <c r="R198" s="1"/>
    </row>
    <row r="199" ht="12.75" customHeight="1">
      <c r="Q199" s="54"/>
      <c r="R199" s="54"/>
    </row>
    <row r="200" ht="12.75" customHeight="1">
      <c r="Q200" s="5"/>
      <c r="R200" s="5"/>
    </row>
    <row r="201" ht="12.75" customHeight="1">
      <c r="Q201" s="5"/>
      <c r="R201" s="5"/>
    </row>
    <row r="202" ht="12.75" customHeight="1">
      <c r="Q202" s="5"/>
      <c r="R202" s="5"/>
    </row>
    <row r="203" ht="12.75" customHeight="1">
      <c r="Q203" s="5"/>
      <c r="R203" s="5"/>
    </row>
    <row r="204" ht="12.75" customHeight="1">
      <c r="Q204" s="5"/>
      <c r="R204" s="5"/>
    </row>
    <row r="205" ht="12.75" customHeight="1">
      <c r="Q205" s="5"/>
      <c r="R205" s="5"/>
    </row>
    <row r="206" ht="12.75" customHeight="1">
      <c r="Q206" s="5"/>
      <c r="R206" s="5"/>
    </row>
    <row r="207" ht="12.75" customHeight="1">
      <c r="Q207" s="1"/>
      <c r="R207" s="1"/>
    </row>
    <row r="208" ht="12.75" customHeight="1">
      <c r="Q208" s="54"/>
      <c r="R208" s="54"/>
    </row>
    <row r="209" ht="12.75" customHeight="1">
      <c r="Q209" s="54"/>
      <c r="R209" s="54"/>
    </row>
    <row r="210" ht="12.75" customHeight="1">
      <c r="Q210" s="54"/>
      <c r="R210" s="54"/>
    </row>
    <row r="211" ht="12.75" customHeight="1">
      <c r="Q211" s="5"/>
      <c r="R211" s="5"/>
    </row>
    <row r="212" ht="12.75" customHeight="1">
      <c r="Q212" s="5"/>
      <c r="R212" s="5"/>
    </row>
    <row r="213" ht="12.75" customHeight="1">
      <c r="Q213" s="5"/>
      <c r="R213" s="5"/>
    </row>
    <row r="214" ht="12.75" customHeight="1">
      <c r="Q214" s="5"/>
      <c r="R214" s="5"/>
    </row>
    <row r="215" ht="12.75" customHeight="1">
      <c r="Q215" s="5"/>
      <c r="R215" s="5"/>
    </row>
    <row r="216" ht="12.75" customHeight="1">
      <c r="Q216" s="5"/>
      <c r="R216" s="5"/>
    </row>
    <row r="217" ht="12.75" customHeight="1">
      <c r="Q217" s="5"/>
      <c r="R217" s="5"/>
    </row>
    <row r="218" ht="12.75" customHeight="1">
      <c r="Q218" s="1"/>
      <c r="R218" s="1"/>
    </row>
    <row r="219" ht="12.75" customHeight="1">
      <c r="Q219" s="54"/>
      <c r="R219" s="54"/>
    </row>
    <row r="220" ht="12.75" customHeight="1">
      <c r="Q220" s="5"/>
      <c r="R220" s="5"/>
    </row>
    <row r="221" ht="12.75" customHeight="1">
      <c r="Q221" s="5"/>
      <c r="R221" s="5"/>
    </row>
    <row r="222" ht="12.75" customHeight="1">
      <c r="Q222" s="5"/>
      <c r="R222" s="5"/>
    </row>
    <row r="223" ht="12.75" customHeight="1">
      <c r="Q223" s="5"/>
      <c r="R223" s="5"/>
    </row>
    <row r="224" ht="12.75" customHeight="1">
      <c r="Q224" s="5"/>
      <c r="R224" s="5"/>
    </row>
    <row r="225" ht="12.75" customHeight="1">
      <c r="Q225" s="5"/>
      <c r="R225" s="5"/>
    </row>
    <row r="226" ht="12.75" customHeight="1">
      <c r="Q226" s="5"/>
      <c r="R226" s="5"/>
    </row>
    <row r="227" ht="12.75" customHeight="1">
      <c r="Q227" s="5"/>
      <c r="R227" s="5"/>
    </row>
    <row r="228" ht="12.75" customHeight="1">
      <c r="Q228" s="5"/>
      <c r="R228" s="5"/>
    </row>
    <row r="229" ht="12.75" customHeight="1">
      <c r="Q229" s="1"/>
      <c r="R229" s="1"/>
    </row>
    <row r="230" ht="12.75" customHeight="1">
      <c r="Q230" s="54"/>
      <c r="R230" s="54"/>
    </row>
    <row r="231" ht="12.75" customHeight="1">
      <c r="Q231" s="5"/>
      <c r="R231" s="5"/>
    </row>
    <row r="232" ht="12.75" customHeight="1">
      <c r="Q232" s="5"/>
      <c r="R232" s="5"/>
    </row>
    <row r="233" ht="12.75" customHeight="1">
      <c r="Q233" s="5"/>
      <c r="R233" s="5"/>
    </row>
    <row r="234" ht="12.75" customHeight="1">
      <c r="Q234" s="5"/>
      <c r="R234" s="5"/>
    </row>
    <row r="235" ht="12.75" customHeight="1">
      <c r="Q235" s="5"/>
      <c r="R235" s="5"/>
    </row>
    <row r="236" ht="12.75" customHeight="1">
      <c r="Q236" s="5"/>
      <c r="R236" s="5"/>
    </row>
    <row r="237" ht="12.75" customHeight="1">
      <c r="Q237" s="5"/>
      <c r="R237" s="5"/>
    </row>
    <row r="238" ht="12.75" customHeight="1">
      <c r="Q238" s="5"/>
      <c r="R238" s="5"/>
    </row>
    <row r="239" ht="12.75" customHeight="1">
      <c r="Q239" s="5"/>
      <c r="R239" s="5"/>
    </row>
    <row r="240" ht="12.75" customHeight="1">
      <c r="Q240" s="1"/>
      <c r="R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E34&lt;&gt;#REF!</formula>
    </cfRule>
  </conditionalFormatting>
  <conditionalFormatting sqref="E45:O51">
    <cfRule type="containsBlanks" dxfId="1" priority="10">
      <formula>LEN(TRIM(E45))=0</formula>
    </cfRule>
  </conditionalFormatting>
  <conditionalFormatting sqref="E54:O60">
    <cfRule type="containsBlanks" dxfId="1" priority="11">
      <formula>LEN(TRIM(E54))=0</formula>
    </cfRule>
  </conditionalFormatting>
  <conditionalFormatting sqref="E63:O69">
    <cfRule type="containsBlanks" dxfId="1" priority="12">
      <formula>LEN(TRIM(E63))=0</formula>
    </cfRule>
  </conditionalFormatting>
  <conditionalFormatting sqref="E72:O78">
    <cfRule type="containsBlanks" dxfId="1" priority="13">
      <formula>LEN(TRIM(E72))=0</formula>
    </cfRule>
  </conditionalFormatting>
  <conditionalFormatting sqref="E81:O87">
    <cfRule type="containsBlanks" dxfId="1" priority="14">
      <formula>LEN(TRIM(E81))=0</formula>
    </cfRule>
  </conditionalFormatting>
  <conditionalFormatting sqref="E90:O91">
    <cfRule type="containsBlanks" dxfId="1" priority="15">
      <formula>LEN(TRIM(E90))=0</formula>
    </cfRule>
  </conditionalFormatting>
  <conditionalFormatting sqref="E94:O100">
    <cfRule type="containsBlanks" dxfId="1" priority="16">
      <formula>LEN(TRIM(E94))=0</formula>
    </cfRule>
  </conditionalFormatting>
  <conditionalFormatting sqref="E103:O109">
    <cfRule type="containsBlanks" dxfId="1" priority="17">
      <formula>LEN(TRIM(E103))=0</formula>
    </cfRule>
  </conditionalFormatting>
  <conditionalFormatting sqref="E112:O113">
    <cfRule type="containsBlanks" dxfId="1" priority="18">
      <formula>LEN(TRIM(E112))=0</formula>
    </cfRule>
  </conditionalFormatting>
  <conditionalFormatting sqref="E116:O122">
    <cfRule type="containsBlanks" dxfId="1" priority="19">
      <formula>LEN(TRIM(E116))=0</formula>
    </cfRule>
  </conditionalFormatting>
  <conditionalFormatting sqref="E125:O126">
    <cfRule type="containsBlanks" dxfId="1" priority="20">
      <formula>LEN(TRIM(E125))=0</formula>
    </cfRule>
  </conditionalFormatting>
  <conditionalFormatting sqref="E129:O135">
    <cfRule type="containsBlanks" dxfId="1" priority="21">
      <formula>LEN(TRIM(E129))=0</formula>
    </cfRule>
  </conditionalFormatting>
  <conditionalFormatting sqref="E138:O144">
    <cfRule type="containsBlanks" dxfId="1" priority="22">
      <formula>LEN(TRIM(E138))=0</formula>
    </cfRule>
  </conditionalFormatting>
  <conditionalFormatting sqref="E147:O153">
    <cfRule type="containsBlanks" dxfId="1" priority="23">
      <formula>LEN(TRIM(E147))=0</formula>
    </cfRule>
  </conditionalFormatting>
  <conditionalFormatting sqref="E156:O161">
    <cfRule type="containsBlanks" dxfId="1" priority="24">
      <formula>LEN(TRIM(E156))=0</formula>
    </cfRule>
  </conditionalFormatting>
  <conditionalFormatting sqref="E164:O170">
    <cfRule type="containsBlanks" dxfId="1" priority="25">
      <formula>LEN(TRIM(E164))=0</formula>
    </cfRule>
  </conditionalFormatting>
  <conditionalFormatting sqref="E173:O179">
    <cfRule type="containsBlanks" dxfId="1" priority="26">
      <formula>LEN(TRIM(E173))=0</formula>
    </cfRule>
  </conditionalFormatting>
  <conditionalFormatting sqref="E182:O186">
    <cfRule type="containsBlanks" dxfId="1" priority="27">
      <formula>LEN(TRIM(E182))=0</formula>
    </cfRule>
  </conditionalFormatting>
  <conditionalFormatting sqref="E191:O192">
    <cfRule type="containsBlanks" dxfId="1" priority="28">
      <formula>LEN(TRIM(E191))=0</formula>
    </cfRule>
  </conditionalFormatting>
  <conditionalFormatting sqref="E193:O193">
    <cfRule type="expression" dxfId="0" priority="29">
      <formula>E193&lt;&gt;#REF!</formula>
    </cfRule>
  </conditionalFormatting>
  <conditionalFormatting sqref="E193:O193">
    <cfRule type="expression" dxfId="2" priority="30">
      <formula>#REF!&lt;&gt;E193</formula>
    </cfRule>
  </conditionalFormatting>
  <conditionalFormatting sqref="E193:O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13" t="s">
        <v>181</v>
      </c>
      <c r="N13" s="13" t="s">
        <v>183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60">
        <v>145.0</v>
      </c>
      <c r="F14" s="60">
        <v>147.0</v>
      </c>
      <c r="G14" s="60">
        <v>147.0</v>
      </c>
      <c r="H14" s="60">
        <v>144.0</v>
      </c>
      <c r="I14" s="60">
        <v>135.0</v>
      </c>
      <c r="J14" s="60">
        <v>151.0</v>
      </c>
      <c r="K14" s="60">
        <v>138.0</v>
      </c>
      <c r="L14" s="60">
        <v>125.0</v>
      </c>
      <c r="M14" s="60">
        <v>126.0</v>
      </c>
      <c r="N14" s="60">
        <v>126.0</v>
      </c>
      <c r="O14" s="13">
        <f t="shared" ref="O14:O16" si="1">SUM(E14:N14)</f>
        <v>1384</v>
      </c>
    </row>
    <row r="15" ht="12.75" customHeight="1">
      <c r="A15" s="18"/>
      <c r="B15" s="26"/>
      <c r="C15" s="27"/>
      <c r="D15" s="19" t="s">
        <v>13</v>
      </c>
      <c r="E15" s="60">
        <v>136.0</v>
      </c>
      <c r="F15" s="60">
        <v>141.0</v>
      </c>
      <c r="G15" s="60">
        <v>144.0</v>
      </c>
      <c r="H15" s="60">
        <v>141.0</v>
      </c>
      <c r="I15" s="60">
        <v>149.0</v>
      </c>
      <c r="J15" s="60">
        <v>133.0</v>
      </c>
      <c r="K15" s="60">
        <v>136.0</v>
      </c>
      <c r="L15" s="60">
        <v>119.0</v>
      </c>
      <c r="M15" s="60">
        <v>124.0</v>
      </c>
      <c r="N15" s="60">
        <v>124.0</v>
      </c>
      <c r="O15" s="13">
        <f t="shared" si="1"/>
        <v>1347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281</v>
      </c>
      <c r="F16" s="13">
        <f t="shared" si="2"/>
        <v>288</v>
      </c>
      <c r="G16" s="13">
        <f t="shared" si="2"/>
        <v>291</v>
      </c>
      <c r="H16" s="13">
        <f t="shared" si="2"/>
        <v>285</v>
      </c>
      <c r="I16" s="13">
        <f t="shared" si="2"/>
        <v>284</v>
      </c>
      <c r="J16" s="13">
        <f t="shared" si="2"/>
        <v>284</v>
      </c>
      <c r="K16" s="13">
        <f t="shared" si="2"/>
        <v>274</v>
      </c>
      <c r="L16" s="13">
        <f t="shared" si="2"/>
        <v>244</v>
      </c>
      <c r="M16" s="13">
        <f t="shared" si="2"/>
        <v>250</v>
      </c>
      <c r="N16" s="13">
        <f t="shared" si="2"/>
        <v>250</v>
      </c>
      <c r="O16" s="13">
        <f t="shared" si="1"/>
        <v>2731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13" t="s">
        <v>181</v>
      </c>
      <c r="N18" s="13" t="s">
        <v>183</v>
      </c>
      <c r="O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145.0</v>
      </c>
      <c r="F19" s="60">
        <v>147.0</v>
      </c>
      <c r="G19" s="60">
        <v>147.0</v>
      </c>
      <c r="H19" s="60">
        <v>144.0</v>
      </c>
      <c r="I19" s="60">
        <v>135.0</v>
      </c>
      <c r="J19" s="60">
        <v>151.0</v>
      </c>
      <c r="K19" s="60">
        <v>138.0</v>
      </c>
      <c r="L19" s="60">
        <v>125.0</v>
      </c>
      <c r="M19" s="60">
        <v>126.0</v>
      </c>
      <c r="N19" s="60">
        <v>126.0</v>
      </c>
      <c r="O19" s="13">
        <f t="shared" ref="O19:O30" si="3">SUM(E19:N19)</f>
        <v>1384</v>
      </c>
    </row>
    <row r="20" ht="12.75" customHeight="1">
      <c r="A20" s="34"/>
      <c r="B20" s="27"/>
      <c r="C20" s="35"/>
      <c r="D20" s="19" t="s">
        <v>13</v>
      </c>
      <c r="E20" s="60">
        <v>136.0</v>
      </c>
      <c r="F20" s="60">
        <v>141.0</v>
      </c>
      <c r="G20" s="60">
        <v>144.0</v>
      </c>
      <c r="H20" s="60">
        <v>141.0</v>
      </c>
      <c r="I20" s="60">
        <v>149.0</v>
      </c>
      <c r="J20" s="60">
        <v>133.0</v>
      </c>
      <c r="K20" s="60">
        <v>136.0</v>
      </c>
      <c r="L20" s="60">
        <v>119.0</v>
      </c>
      <c r="M20" s="60">
        <v>124.0</v>
      </c>
      <c r="N20" s="60">
        <v>124.0</v>
      </c>
      <c r="O20" s="13">
        <f t="shared" si="3"/>
        <v>1347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281</v>
      </c>
      <c r="F21" s="13">
        <f t="shared" si="4"/>
        <v>288</v>
      </c>
      <c r="G21" s="13">
        <f t="shared" si="4"/>
        <v>291</v>
      </c>
      <c r="H21" s="13">
        <f t="shared" si="4"/>
        <v>285</v>
      </c>
      <c r="I21" s="13">
        <f t="shared" si="4"/>
        <v>284</v>
      </c>
      <c r="J21" s="13">
        <f t="shared" si="4"/>
        <v>284</v>
      </c>
      <c r="K21" s="13">
        <f t="shared" si="4"/>
        <v>274</v>
      </c>
      <c r="L21" s="13">
        <f t="shared" si="4"/>
        <v>244</v>
      </c>
      <c r="M21" s="13">
        <f t="shared" si="4"/>
        <v>250</v>
      </c>
      <c r="N21" s="13">
        <f t="shared" si="4"/>
        <v>250</v>
      </c>
      <c r="O21" s="13">
        <f t="shared" si="3"/>
        <v>2731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0.0</v>
      </c>
      <c r="F22" s="60">
        <v>0.0</v>
      </c>
      <c r="G22" s="60">
        <v>0.0</v>
      </c>
      <c r="H22" s="60">
        <v>0.0</v>
      </c>
      <c r="I22" s="60">
        <v>1.0</v>
      </c>
      <c r="J22" s="60">
        <v>1.0</v>
      </c>
      <c r="K22" s="60">
        <v>0.0</v>
      </c>
      <c r="L22" s="60">
        <v>2.0</v>
      </c>
      <c r="M22" s="60">
        <v>0.0</v>
      </c>
      <c r="N22" s="60">
        <v>0.0</v>
      </c>
      <c r="O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60">
        <v>0.0</v>
      </c>
      <c r="F23" s="60">
        <v>0.0</v>
      </c>
      <c r="G23" s="60">
        <v>0.0</v>
      </c>
      <c r="H23" s="60">
        <v>1.0</v>
      </c>
      <c r="I23" s="60">
        <v>0.0</v>
      </c>
      <c r="J23" s="60">
        <v>1.0</v>
      </c>
      <c r="K23" s="60">
        <v>0.0</v>
      </c>
      <c r="L23" s="60">
        <v>1.0</v>
      </c>
      <c r="M23" s="60">
        <v>0.0</v>
      </c>
      <c r="N23" s="60">
        <v>0.0</v>
      </c>
      <c r="O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3"/>
        <v>7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4.0</v>
      </c>
      <c r="F25" s="60">
        <v>2.0</v>
      </c>
      <c r="G25" s="60">
        <v>0.0</v>
      </c>
      <c r="H25" s="60">
        <v>2.0</v>
      </c>
      <c r="I25" s="60">
        <v>3.0</v>
      </c>
      <c r="J25" s="60">
        <v>0.0</v>
      </c>
      <c r="K25" s="60">
        <v>0.0</v>
      </c>
      <c r="L25" s="60">
        <v>3.0</v>
      </c>
      <c r="M25" s="60">
        <v>1.0</v>
      </c>
      <c r="N25" s="60">
        <v>0.0</v>
      </c>
      <c r="O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60">
        <v>5.0</v>
      </c>
      <c r="F26" s="60">
        <v>3.0</v>
      </c>
      <c r="G26" s="60">
        <v>0.0</v>
      </c>
      <c r="H26" s="60">
        <v>1.0</v>
      </c>
      <c r="I26" s="60">
        <v>1.0</v>
      </c>
      <c r="J26" s="60">
        <v>3.0</v>
      </c>
      <c r="K26" s="60">
        <v>0.0</v>
      </c>
      <c r="L26" s="60">
        <v>3.0</v>
      </c>
      <c r="M26" s="60">
        <v>4.0</v>
      </c>
      <c r="N26" s="60">
        <v>0.0</v>
      </c>
      <c r="O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9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3</v>
      </c>
      <c r="K27" s="13">
        <f t="shared" si="6"/>
        <v>0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3"/>
        <v>35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N28" si="7">SUM(E19,E22,E25)</f>
        <v>149</v>
      </c>
      <c r="F28" s="13">
        <f t="shared" si="7"/>
        <v>149</v>
      </c>
      <c r="G28" s="13">
        <f t="shared" si="7"/>
        <v>147</v>
      </c>
      <c r="H28" s="13">
        <f t="shared" si="7"/>
        <v>146</v>
      </c>
      <c r="I28" s="13">
        <f t="shared" si="7"/>
        <v>139</v>
      </c>
      <c r="J28" s="13">
        <f t="shared" si="7"/>
        <v>152</v>
      </c>
      <c r="K28" s="13">
        <f t="shared" si="7"/>
        <v>138</v>
      </c>
      <c r="L28" s="13">
        <f t="shared" si="7"/>
        <v>130</v>
      </c>
      <c r="M28" s="13">
        <f t="shared" si="7"/>
        <v>127</v>
      </c>
      <c r="N28" s="13">
        <f t="shared" si="7"/>
        <v>126</v>
      </c>
      <c r="O28" s="13">
        <f t="shared" si="3"/>
        <v>1403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141</v>
      </c>
      <c r="F29" s="13">
        <f t="shared" si="8"/>
        <v>144</v>
      </c>
      <c r="G29" s="13">
        <f t="shared" si="8"/>
        <v>144</v>
      </c>
      <c r="H29" s="13">
        <f t="shared" si="8"/>
        <v>143</v>
      </c>
      <c r="I29" s="13">
        <f t="shared" si="8"/>
        <v>150</v>
      </c>
      <c r="J29" s="13">
        <f t="shared" si="8"/>
        <v>137</v>
      </c>
      <c r="K29" s="13">
        <f t="shared" si="8"/>
        <v>136</v>
      </c>
      <c r="L29" s="13">
        <f t="shared" si="8"/>
        <v>123</v>
      </c>
      <c r="M29" s="13">
        <f t="shared" si="8"/>
        <v>128</v>
      </c>
      <c r="N29" s="13">
        <f t="shared" si="8"/>
        <v>124</v>
      </c>
      <c r="O29" s="13">
        <f t="shared" si="3"/>
        <v>1370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290</v>
      </c>
      <c r="F30" s="13">
        <f t="shared" si="9"/>
        <v>293</v>
      </c>
      <c r="G30" s="13">
        <f t="shared" si="9"/>
        <v>291</v>
      </c>
      <c r="H30" s="13">
        <f t="shared" si="9"/>
        <v>289</v>
      </c>
      <c r="I30" s="13">
        <f t="shared" si="9"/>
        <v>289</v>
      </c>
      <c r="J30" s="13">
        <f t="shared" si="9"/>
        <v>289</v>
      </c>
      <c r="K30" s="13">
        <f t="shared" si="9"/>
        <v>274</v>
      </c>
      <c r="L30" s="13">
        <f t="shared" si="9"/>
        <v>253</v>
      </c>
      <c r="M30" s="13">
        <f t="shared" si="9"/>
        <v>255</v>
      </c>
      <c r="N30" s="13">
        <f t="shared" si="9"/>
        <v>250</v>
      </c>
      <c r="O30" s="13">
        <f t="shared" si="3"/>
        <v>2773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4" t="s">
        <v>181</v>
      </c>
      <c r="N32" s="74" t="s">
        <v>183</v>
      </c>
      <c r="O32" s="73"/>
    </row>
    <row r="33" ht="12.75" customHeight="1">
      <c r="A33" s="19">
        <v>1.0</v>
      </c>
      <c r="B33" s="20" t="s">
        <v>27</v>
      </c>
      <c r="C33" s="15"/>
      <c r="D33" s="16"/>
      <c r="E33" s="60">
        <v>287.0</v>
      </c>
      <c r="F33" s="60">
        <v>285.0</v>
      </c>
      <c r="G33" s="60">
        <v>307.0</v>
      </c>
      <c r="H33" s="60">
        <v>291.0</v>
      </c>
      <c r="I33" s="60">
        <v>286.0</v>
      </c>
      <c r="J33" s="60">
        <v>285.0</v>
      </c>
      <c r="K33" s="60">
        <v>275.0</v>
      </c>
      <c r="L33" s="60">
        <v>250.0</v>
      </c>
      <c r="M33" s="60">
        <v>251.0</v>
      </c>
      <c r="N33" s="60">
        <v>255.0</v>
      </c>
      <c r="O33" s="13">
        <f t="shared" ref="O33:O36" si="10">SUM(E33:N33)</f>
        <v>2772</v>
      </c>
    </row>
    <row r="34" ht="12.75" customHeight="1">
      <c r="A34" s="19">
        <v>2.0</v>
      </c>
      <c r="B34" s="20" t="s">
        <v>28</v>
      </c>
      <c r="C34" s="15"/>
      <c r="D34" s="16"/>
      <c r="E34" s="75">
        <v>243.0</v>
      </c>
      <c r="F34" s="75">
        <v>244.0</v>
      </c>
      <c r="G34" s="75">
        <v>244.0</v>
      </c>
      <c r="H34" s="75">
        <v>239.0</v>
      </c>
      <c r="I34" s="75">
        <v>249.0</v>
      </c>
      <c r="J34" s="75">
        <v>243.0</v>
      </c>
      <c r="K34" s="75">
        <v>230.0</v>
      </c>
      <c r="L34" s="75">
        <v>213.0</v>
      </c>
      <c r="M34" s="75">
        <v>226.0</v>
      </c>
      <c r="N34" s="75">
        <v>217.0</v>
      </c>
      <c r="O34" s="13">
        <f t="shared" si="10"/>
        <v>2348</v>
      </c>
    </row>
    <row r="35" ht="12.75" customHeight="1">
      <c r="A35" s="19">
        <v>3.0</v>
      </c>
      <c r="B35" s="20" t="s">
        <v>29</v>
      </c>
      <c r="C35" s="15"/>
      <c r="D35" s="16"/>
      <c r="E35" s="60">
        <v>0.0</v>
      </c>
      <c r="F35" s="60">
        <v>3.0</v>
      </c>
      <c r="G35" s="60">
        <v>0.0</v>
      </c>
      <c r="H35" s="60">
        <v>0.0</v>
      </c>
      <c r="I35" s="60">
        <v>0.0</v>
      </c>
      <c r="J35" s="60">
        <v>0.0</v>
      </c>
      <c r="K35" s="60">
        <v>1.0</v>
      </c>
      <c r="L35" s="60">
        <v>0.0</v>
      </c>
      <c r="M35" s="60">
        <v>0.0</v>
      </c>
      <c r="N35" s="60">
        <v>0.0</v>
      </c>
      <c r="O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44</v>
      </c>
      <c r="F36" s="13">
        <f t="shared" si="11"/>
        <v>38</v>
      </c>
      <c r="G36" s="13">
        <f t="shared" si="11"/>
        <v>63</v>
      </c>
      <c r="H36" s="13">
        <f t="shared" si="11"/>
        <v>52</v>
      </c>
      <c r="I36" s="13">
        <f t="shared" si="11"/>
        <v>37</v>
      </c>
      <c r="J36" s="13">
        <f t="shared" si="11"/>
        <v>42</v>
      </c>
      <c r="K36" s="13">
        <f t="shared" si="11"/>
        <v>44</v>
      </c>
      <c r="L36" s="13">
        <f t="shared" si="11"/>
        <v>37</v>
      </c>
      <c r="M36" s="13">
        <f t="shared" si="11"/>
        <v>25</v>
      </c>
      <c r="N36" s="13">
        <f t="shared" si="11"/>
        <v>38</v>
      </c>
      <c r="O36" s="13">
        <f t="shared" si="10"/>
        <v>420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6"/>
      <c r="O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4" t="s">
        <v>181</v>
      </c>
      <c r="N38" s="74" t="s">
        <v>183</v>
      </c>
      <c r="O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2.0</v>
      </c>
      <c r="K39" s="60">
        <v>0.0</v>
      </c>
      <c r="L39" s="60">
        <v>0.0</v>
      </c>
      <c r="M39" s="60">
        <v>0.0</v>
      </c>
      <c r="N39" s="60">
        <v>2.0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0.0</v>
      </c>
      <c r="H40" s="60">
        <v>0.0</v>
      </c>
      <c r="I40" s="60">
        <v>0.0</v>
      </c>
      <c r="J40" s="60">
        <v>1.0</v>
      </c>
      <c r="K40" s="60">
        <v>1.0</v>
      </c>
      <c r="L40" s="60">
        <v>0.0</v>
      </c>
      <c r="M40" s="60">
        <v>0.0</v>
      </c>
      <c r="N40" s="60">
        <v>0.0</v>
      </c>
      <c r="O40" s="13">
        <f t="shared" si="12"/>
        <v>2</v>
      </c>
    </row>
    <row r="41" ht="12.75" customHeight="1">
      <c r="A41" s="44"/>
      <c r="B41" s="47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2"/>
        <v>6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6"/>
      <c r="O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74" t="s">
        <v>181</v>
      </c>
      <c r="N43" s="74" t="s">
        <v>183</v>
      </c>
      <c r="O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6"/>
      <c r="O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4.0</v>
      </c>
      <c r="F45" s="60">
        <v>8.0</v>
      </c>
      <c r="G45" s="60">
        <v>6.0</v>
      </c>
      <c r="H45" s="60">
        <v>0.0</v>
      </c>
      <c r="I45" s="60">
        <v>3.0</v>
      </c>
      <c r="J45" s="60">
        <v>4.0</v>
      </c>
      <c r="K45" s="60">
        <v>16.0</v>
      </c>
      <c r="L45" s="60">
        <v>4.0</v>
      </c>
      <c r="M45" s="60">
        <v>7.0</v>
      </c>
      <c r="N45" s="60">
        <v>5.0</v>
      </c>
      <c r="O45" s="13">
        <f t="shared" ref="O45:O193" si="14">SUM(E45:N45)</f>
        <v>57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18.0</v>
      </c>
      <c r="F46" s="60">
        <v>14.0</v>
      </c>
      <c r="G46" s="60">
        <v>51.0</v>
      </c>
      <c r="H46" s="60">
        <v>24.0</v>
      </c>
      <c r="I46" s="60">
        <v>1.0</v>
      </c>
      <c r="J46" s="60">
        <v>23.0</v>
      </c>
      <c r="K46" s="60">
        <v>52.0</v>
      </c>
      <c r="L46" s="60">
        <v>12.0</v>
      </c>
      <c r="M46" s="60">
        <v>26.0</v>
      </c>
      <c r="N46" s="60">
        <v>15.0</v>
      </c>
      <c r="O46" s="13">
        <f t="shared" si="14"/>
        <v>236</v>
      </c>
    </row>
    <row r="47" ht="12.75" customHeight="1">
      <c r="A47" s="18"/>
      <c r="B47" s="57"/>
      <c r="C47" s="58" t="s">
        <v>41</v>
      </c>
      <c r="D47" s="59"/>
      <c r="E47" s="60">
        <v>3.0</v>
      </c>
      <c r="F47" s="60">
        <v>3.0</v>
      </c>
      <c r="G47" s="60">
        <v>1.0</v>
      </c>
      <c r="H47" s="60">
        <v>5.0</v>
      </c>
      <c r="I47" s="60">
        <v>0.0</v>
      </c>
      <c r="J47" s="60">
        <v>2.0</v>
      </c>
      <c r="K47" s="60">
        <v>1.0</v>
      </c>
      <c r="L47" s="60">
        <v>1.0</v>
      </c>
      <c r="M47" s="60">
        <v>0.0</v>
      </c>
      <c r="N47" s="60">
        <v>1.0</v>
      </c>
      <c r="O47" s="13">
        <f t="shared" si="14"/>
        <v>17</v>
      </c>
    </row>
    <row r="48" ht="12.75" customHeight="1">
      <c r="A48" s="18"/>
      <c r="B48" s="57"/>
      <c r="C48" s="58" t="s">
        <v>42</v>
      </c>
      <c r="D48" s="59"/>
      <c r="E48" s="60">
        <v>0.0</v>
      </c>
      <c r="F48" s="60">
        <v>0.0</v>
      </c>
      <c r="G48" s="60">
        <v>1.0</v>
      </c>
      <c r="H48" s="60">
        <v>1.0</v>
      </c>
      <c r="I48" s="60">
        <v>0.0</v>
      </c>
      <c r="J48" s="60">
        <v>0.0</v>
      </c>
      <c r="K48" s="60">
        <v>0.0</v>
      </c>
      <c r="L48" s="60">
        <v>0.0</v>
      </c>
      <c r="M48" s="60">
        <v>0.0</v>
      </c>
      <c r="N48" s="60">
        <v>0.0</v>
      </c>
      <c r="O48" s="13">
        <f t="shared" si="14"/>
        <v>2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1.0</v>
      </c>
      <c r="K49" s="60">
        <v>0.0</v>
      </c>
      <c r="L49" s="60">
        <v>0.0</v>
      </c>
      <c r="M49" s="60">
        <v>0.0</v>
      </c>
      <c r="N49" s="60">
        <v>0.0</v>
      </c>
      <c r="O49" s="13">
        <f t="shared" si="14"/>
        <v>1</v>
      </c>
    </row>
    <row r="50" ht="12.75" customHeight="1">
      <c r="A50" s="18"/>
      <c r="B50" s="57"/>
      <c r="C50" s="58" t="s">
        <v>44</v>
      </c>
      <c r="D50" s="59"/>
      <c r="E50" s="60">
        <v>0.0</v>
      </c>
      <c r="F50" s="60">
        <v>0.0</v>
      </c>
      <c r="G50" s="60">
        <v>0.0</v>
      </c>
      <c r="H50" s="60">
        <v>0.0</v>
      </c>
      <c r="I50" s="60">
        <v>1.0</v>
      </c>
      <c r="J50" s="60">
        <v>0.0</v>
      </c>
      <c r="K50" s="60">
        <v>0.0</v>
      </c>
      <c r="L50" s="60">
        <v>0.0</v>
      </c>
      <c r="M50" s="60">
        <v>0.0</v>
      </c>
      <c r="N50" s="60">
        <v>0.0</v>
      </c>
      <c r="O50" s="13">
        <f t="shared" si="14"/>
        <v>1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1.0</v>
      </c>
      <c r="H51" s="60">
        <v>5.0</v>
      </c>
      <c r="I51" s="60">
        <v>0.0</v>
      </c>
      <c r="J51" s="60">
        <v>0.0</v>
      </c>
      <c r="K51" s="60">
        <v>4.0</v>
      </c>
      <c r="L51" s="60">
        <v>0.0</v>
      </c>
      <c r="M51" s="60">
        <v>0.0</v>
      </c>
      <c r="N51" s="60">
        <v>0.0</v>
      </c>
      <c r="O51" s="13">
        <f t="shared" si="14"/>
        <v>10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N52" si="15">SUM(E45:E51)</f>
        <v>25</v>
      </c>
      <c r="F52" s="64">
        <f t="shared" si="15"/>
        <v>25</v>
      </c>
      <c r="G52" s="64">
        <f t="shared" si="15"/>
        <v>60</v>
      </c>
      <c r="H52" s="64">
        <f t="shared" si="15"/>
        <v>35</v>
      </c>
      <c r="I52" s="64">
        <f t="shared" si="15"/>
        <v>5</v>
      </c>
      <c r="J52" s="64">
        <f t="shared" si="15"/>
        <v>30</v>
      </c>
      <c r="K52" s="64">
        <f t="shared" si="15"/>
        <v>73</v>
      </c>
      <c r="L52" s="64">
        <f t="shared" si="15"/>
        <v>17</v>
      </c>
      <c r="M52" s="64">
        <f t="shared" si="15"/>
        <v>33</v>
      </c>
      <c r="N52" s="64">
        <f t="shared" si="15"/>
        <v>21</v>
      </c>
      <c r="O52" s="13">
        <f t="shared" si="14"/>
        <v>324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8.0</v>
      </c>
      <c r="F54" s="60">
        <v>12.0</v>
      </c>
      <c r="G54" s="60">
        <v>6.0</v>
      </c>
      <c r="H54" s="60">
        <v>9.0</v>
      </c>
      <c r="I54" s="60">
        <v>8.0</v>
      </c>
      <c r="J54" s="60">
        <v>6.0</v>
      </c>
      <c r="K54" s="60">
        <v>12.0</v>
      </c>
      <c r="L54" s="60">
        <v>9.0</v>
      </c>
      <c r="M54" s="60">
        <v>6.0</v>
      </c>
      <c r="N54" s="60">
        <v>8.0</v>
      </c>
      <c r="O54" s="13">
        <f t="shared" si="14"/>
        <v>84</v>
      </c>
    </row>
    <row r="55" ht="15.0" customHeight="1">
      <c r="A55" s="31" t="s">
        <v>39</v>
      </c>
      <c r="B55" s="57"/>
      <c r="C55" s="58" t="s">
        <v>48</v>
      </c>
      <c r="D55" s="59"/>
      <c r="E55" s="60">
        <v>2.0</v>
      </c>
      <c r="F55" s="60">
        <v>5.0</v>
      </c>
      <c r="G55" s="60">
        <v>1.0</v>
      </c>
      <c r="H55" s="60">
        <v>6.0</v>
      </c>
      <c r="I55" s="60">
        <v>2.0</v>
      </c>
      <c r="J55" s="60">
        <v>5.0</v>
      </c>
      <c r="K55" s="60">
        <v>1.0</v>
      </c>
      <c r="L55" s="60">
        <v>3.0</v>
      </c>
      <c r="M55" s="60">
        <v>4.0</v>
      </c>
      <c r="N55" s="60">
        <v>7.0</v>
      </c>
      <c r="O55" s="13">
        <f t="shared" si="14"/>
        <v>36</v>
      </c>
    </row>
    <row r="56" ht="12.75" customHeight="1">
      <c r="A56" s="18"/>
      <c r="B56" s="57"/>
      <c r="C56" s="58" t="s">
        <v>49</v>
      </c>
      <c r="D56" s="59"/>
      <c r="E56" s="60">
        <v>2.0</v>
      </c>
      <c r="F56" s="60">
        <v>6.0</v>
      </c>
      <c r="G56" s="60">
        <v>4.0</v>
      </c>
      <c r="H56" s="60">
        <v>10.0</v>
      </c>
      <c r="I56" s="60">
        <v>3.0</v>
      </c>
      <c r="J56" s="60">
        <v>5.0</v>
      </c>
      <c r="K56" s="60">
        <v>4.0</v>
      </c>
      <c r="L56" s="60">
        <v>4.0</v>
      </c>
      <c r="M56" s="60">
        <v>2.0</v>
      </c>
      <c r="N56" s="60">
        <v>1.0</v>
      </c>
      <c r="O56" s="13">
        <f t="shared" si="14"/>
        <v>41</v>
      </c>
    </row>
    <row r="57" ht="12.75" customHeight="1">
      <c r="A57" s="18"/>
      <c r="B57" s="57"/>
      <c r="C57" s="58" t="s">
        <v>50</v>
      </c>
      <c r="D57" s="59"/>
      <c r="E57" s="60">
        <v>1.0</v>
      </c>
      <c r="F57" s="60">
        <v>0.0</v>
      </c>
      <c r="G57" s="60">
        <v>0.0</v>
      </c>
      <c r="H57" s="60">
        <v>1.0</v>
      </c>
      <c r="I57" s="60">
        <v>0.0</v>
      </c>
      <c r="J57" s="60">
        <v>1.0</v>
      </c>
      <c r="K57" s="60">
        <v>0.0</v>
      </c>
      <c r="L57" s="60">
        <v>0.0</v>
      </c>
      <c r="M57" s="60">
        <v>1.0</v>
      </c>
      <c r="N57" s="60">
        <v>3.0</v>
      </c>
      <c r="O57" s="13">
        <f t="shared" si="14"/>
        <v>7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1.0</v>
      </c>
      <c r="G58" s="60">
        <v>0.0</v>
      </c>
      <c r="H58" s="60">
        <v>1.0</v>
      </c>
      <c r="I58" s="60">
        <v>0.0</v>
      </c>
      <c r="J58" s="60">
        <v>0.0</v>
      </c>
      <c r="K58" s="60">
        <v>0.0</v>
      </c>
      <c r="L58" s="60">
        <v>0.0</v>
      </c>
      <c r="M58" s="60">
        <v>0.0</v>
      </c>
      <c r="N58" s="60">
        <v>1.0</v>
      </c>
      <c r="O58" s="13">
        <f t="shared" si="14"/>
        <v>3</v>
      </c>
    </row>
    <row r="59" ht="12.75" customHeight="1">
      <c r="A59" s="18"/>
      <c r="B59" s="57"/>
      <c r="C59" s="58" t="s">
        <v>52</v>
      </c>
      <c r="D59" s="59"/>
      <c r="E59" s="60">
        <v>8.0</v>
      </c>
      <c r="F59" s="60">
        <v>5.0</v>
      </c>
      <c r="G59" s="60">
        <v>4.0</v>
      </c>
      <c r="H59" s="60">
        <v>15.0</v>
      </c>
      <c r="I59" s="60">
        <v>3.0</v>
      </c>
      <c r="J59" s="60">
        <v>7.0</v>
      </c>
      <c r="K59" s="60">
        <v>8.0</v>
      </c>
      <c r="L59" s="60">
        <v>1.0</v>
      </c>
      <c r="M59" s="60">
        <v>0.0</v>
      </c>
      <c r="N59" s="60">
        <v>1.0</v>
      </c>
      <c r="O59" s="13">
        <f t="shared" si="14"/>
        <v>52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2.0</v>
      </c>
      <c r="I60" s="60">
        <v>0.0</v>
      </c>
      <c r="J60" s="60">
        <v>0.0</v>
      </c>
      <c r="K60" s="60">
        <v>0.0</v>
      </c>
      <c r="L60" s="60">
        <v>0.0</v>
      </c>
      <c r="M60" s="60">
        <v>0.0</v>
      </c>
      <c r="N60" s="60">
        <v>0.0</v>
      </c>
      <c r="O60" s="13">
        <f t="shared" si="14"/>
        <v>2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N61" si="16">SUM(E54:E60)</f>
        <v>21</v>
      </c>
      <c r="F61" s="64">
        <f t="shared" si="16"/>
        <v>29</v>
      </c>
      <c r="G61" s="64">
        <f t="shared" si="16"/>
        <v>15</v>
      </c>
      <c r="H61" s="64">
        <f t="shared" si="16"/>
        <v>44</v>
      </c>
      <c r="I61" s="64">
        <f t="shared" si="16"/>
        <v>16</v>
      </c>
      <c r="J61" s="64">
        <f t="shared" si="16"/>
        <v>24</v>
      </c>
      <c r="K61" s="64">
        <f t="shared" si="16"/>
        <v>25</v>
      </c>
      <c r="L61" s="64">
        <f t="shared" si="16"/>
        <v>17</v>
      </c>
      <c r="M61" s="64">
        <f t="shared" si="16"/>
        <v>13</v>
      </c>
      <c r="N61" s="64">
        <f t="shared" si="16"/>
        <v>21</v>
      </c>
      <c r="O61" s="13">
        <f t="shared" si="14"/>
        <v>225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4.0</v>
      </c>
      <c r="F63" s="60">
        <v>5.0</v>
      </c>
      <c r="G63" s="60">
        <v>2.0</v>
      </c>
      <c r="H63" s="60">
        <v>1.0</v>
      </c>
      <c r="I63" s="60">
        <v>2.0</v>
      </c>
      <c r="J63" s="60">
        <v>1.0</v>
      </c>
      <c r="K63" s="60">
        <v>3.0</v>
      </c>
      <c r="L63" s="60">
        <v>4.0</v>
      </c>
      <c r="M63" s="60">
        <v>4.0</v>
      </c>
      <c r="N63" s="60">
        <v>1.0</v>
      </c>
      <c r="O63" s="13">
        <f t="shared" si="14"/>
        <v>27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2.0</v>
      </c>
      <c r="F64" s="60">
        <v>2.0</v>
      </c>
      <c r="G64" s="60">
        <v>1.0</v>
      </c>
      <c r="H64" s="60">
        <v>1.0</v>
      </c>
      <c r="I64" s="60">
        <v>3.0</v>
      </c>
      <c r="J64" s="60">
        <v>3.0</v>
      </c>
      <c r="K64" s="60">
        <v>3.0</v>
      </c>
      <c r="L64" s="60">
        <v>1.0</v>
      </c>
      <c r="M64" s="60">
        <v>1.0</v>
      </c>
      <c r="N64" s="60">
        <v>2.0</v>
      </c>
      <c r="O64" s="13">
        <f t="shared" si="14"/>
        <v>19</v>
      </c>
    </row>
    <row r="65" ht="12.75" customHeight="1">
      <c r="A65" s="18"/>
      <c r="B65" s="57"/>
      <c r="C65" s="58" t="s">
        <v>56</v>
      </c>
      <c r="D65" s="59"/>
      <c r="E65" s="60">
        <v>4.0</v>
      </c>
      <c r="F65" s="60">
        <v>1.0</v>
      </c>
      <c r="G65" s="60">
        <v>3.0</v>
      </c>
      <c r="H65" s="60">
        <v>2.0</v>
      </c>
      <c r="I65" s="60">
        <v>1.0</v>
      </c>
      <c r="J65" s="60">
        <v>1.0</v>
      </c>
      <c r="K65" s="60">
        <v>5.0</v>
      </c>
      <c r="L65" s="60">
        <v>6.0</v>
      </c>
      <c r="M65" s="60">
        <v>1.0</v>
      </c>
      <c r="N65" s="60">
        <v>1.0</v>
      </c>
      <c r="O65" s="13">
        <f t="shared" si="14"/>
        <v>25</v>
      </c>
    </row>
    <row r="66" ht="12.75" customHeight="1">
      <c r="A66" s="18"/>
      <c r="B66" s="57"/>
      <c r="C66" s="58" t="s">
        <v>57</v>
      </c>
      <c r="D66" s="59"/>
      <c r="E66" s="60">
        <v>36.0</v>
      </c>
      <c r="F66" s="60">
        <v>16.0</v>
      </c>
      <c r="G66" s="60">
        <v>42.0</v>
      </c>
      <c r="H66" s="60">
        <v>19.0</v>
      </c>
      <c r="I66" s="60">
        <v>26.0</v>
      </c>
      <c r="J66" s="60">
        <v>18.0</v>
      </c>
      <c r="K66" s="60">
        <v>19.0</v>
      </c>
      <c r="L66" s="60">
        <v>17.0</v>
      </c>
      <c r="M66" s="60">
        <v>12.0</v>
      </c>
      <c r="N66" s="60">
        <v>6.0</v>
      </c>
      <c r="O66" s="13">
        <f t="shared" si="14"/>
        <v>211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0.0</v>
      </c>
      <c r="H67" s="60">
        <v>0.0</v>
      </c>
      <c r="I67" s="60">
        <v>1.0</v>
      </c>
      <c r="J67" s="60">
        <v>1.0</v>
      </c>
      <c r="K67" s="60">
        <v>0.0</v>
      </c>
      <c r="L67" s="60">
        <v>0.0</v>
      </c>
      <c r="M67" s="60">
        <v>1.0</v>
      </c>
      <c r="N67" s="60">
        <v>0.0</v>
      </c>
      <c r="O67" s="13">
        <f t="shared" si="14"/>
        <v>3</v>
      </c>
    </row>
    <row r="68" ht="12.75" customHeight="1">
      <c r="A68" s="18"/>
      <c r="B68" s="57"/>
      <c r="C68" s="58" t="s">
        <v>59</v>
      </c>
      <c r="D68" s="59"/>
      <c r="E68" s="60">
        <v>0.0</v>
      </c>
      <c r="F68" s="60">
        <v>1.0</v>
      </c>
      <c r="G68" s="60">
        <v>2.0</v>
      </c>
      <c r="H68" s="60">
        <v>1.0</v>
      </c>
      <c r="I68" s="60">
        <v>0.0</v>
      </c>
      <c r="J68" s="60">
        <v>0.0</v>
      </c>
      <c r="K68" s="60">
        <v>0.0</v>
      </c>
      <c r="L68" s="60">
        <v>0.0</v>
      </c>
      <c r="M68" s="60">
        <v>0.0</v>
      </c>
      <c r="N68" s="60">
        <v>0.0</v>
      </c>
      <c r="O68" s="13">
        <f t="shared" si="14"/>
        <v>4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2.0</v>
      </c>
      <c r="G69" s="60">
        <v>0.0</v>
      </c>
      <c r="H69" s="60">
        <v>2.0</v>
      </c>
      <c r="I69" s="60">
        <v>1.0</v>
      </c>
      <c r="J69" s="60">
        <v>0.0</v>
      </c>
      <c r="K69" s="60">
        <v>0.0</v>
      </c>
      <c r="L69" s="60">
        <v>3.0</v>
      </c>
      <c r="M69" s="60">
        <v>0.0</v>
      </c>
      <c r="N69" s="60">
        <v>0.0</v>
      </c>
      <c r="O69" s="13">
        <f t="shared" si="14"/>
        <v>8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N70" si="17">SUM(E63:E69)</f>
        <v>46</v>
      </c>
      <c r="F70" s="64">
        <f t="shared" si="17"/>
        <v>27</v>
      </c>
      <c r="G70" s="64">
        <f t="shared" si="17"/>
        <v>50</v>
      </c>
      <c r="H70" s="64">
        <f t="shared" si="17"/>
        <v>26</v>
      </c>
      <c r="I70" s="64">
        <f t="shared" si="17"/>
        <v>34</v>
      </c>
      <c r="J70" s="64">
        <f t="shared" si="17"/>
        <v>24</v>
      </c>
      <c r="K70" s="64">
        <f t="shared" si="17"/>
        <v>30</v>
      </c>
      <c r="L70" s="64">
        <f t="shared" si="17"/>
        <v>31</v>
      </c>
      <c r="M70" s="64">
        <f t="shared" si="17"/>
        <v>19</v>
      </c>
      <c r="N70" s="64">
        <f t="shared" si="17"/>
        <v>10</v>
      </c>
      <c r="O70" s="13">
        <f t="shared" si="14"/>
        <v>297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2.0</v>
      </c>
      <c r="F72" s="60">
        <v>3.0</v>
      </c>
      <c r="G72" s="60">
        <v>2.0</v>
      </c>
      <c r="H72" s="60">
        <v>2.0</v>
      </c>
      <c r="I72" s="60">
        <v>4.0</v>
      </c>
      <c r="J72" s="60">
        <v>4.0</v>
      </c>
      <c r="K72" s="60">
        <v>0.0</v>
      </c>
      <c r="L72" s="60">
        <v>1.0</v>
      </c>
      <c r="M72" s="60">
        <v>0.0</v>
      </c>
      <c r="N72" s="60">
        <v>1.0</v>
      </c>
      <c r="O72" s="13">
        <f t="shared" si="14"/>
        <v>19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26.0</v>
      </c>
      <c r="F73" s="60">
        <v>6.0</v>
      </c>
      <c r="G73" s="60">
        <v>12.0</v>
      </c>
      <c r="H73" s="60">
        <v>14.0</v>
      </c>
      <c r="I73" s="60">
        <v>37.0</v>
      </c>
      <c r="J73" s="60">
        <v>12.0</v>
      </c>
      <c r="K73" s="60">
        <v>1.0</v>
      </c>
      <c r="L73" s="60">
        <v>0.0</v>
      </c>
      <c r="M73" s="60">
        <v>0.0</v>
      </c>
      <c r="N73" s="60">
        <v>0.0</v>
      </c>
      <c r="O73" s="13">
        <f t="shared" si="14"/>
        <v>108</v>
      </c>
    </row>
    <row r="74" ht="12.75" customHeight="1">
      <c r="A74" s="18"/>
      <c r="B74" s="57"/>
      <c r="C74" s="58" t="s">
        <v>63</v>
      </c>
      <c r="D74" s="59"/>
      <c r="E74" s="60">
        <v>0.0</v>
      </c>
      <c r="F74" s="60">
        <v>1.0</v>
      </c>
      <c r="G74" s="60">
        <v>1.0</v>
      </c>
      <c r="H74" s="60">
        <v>0.0</v>
      </c>
      <c r="I74" s="60">
        <v>1.0</v>
      </c>
      <c r="J74" s="60">
        <v>0.0</v>
      </c>
      <c r="K74" s="60">
        <v>0.0</v>
      </c>
      <c r="L74" s="60">
        <v>0.0</v>
      </c>
      <c r="M74" s="60">
        <v>1.0</v>
      </c>
      <c r="N74" s="60">
        <v>0.0</v>
      </c>
      <c r="O74" s="13">
        <f t="shared" si="14"/>
        <v>4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1.0</v>
      </c>
      <c r="G75" s="60">
        <v>1.0</v>
      </c>
      <c r="H75" s="60">
        <v>0.0</v>
      </c>
      <c r="I75" s="60">
        <v>0.0</v>
      </c>
      <c r="J75" s="60">
        <v>0.0</v>
      </c>
      <c r="K75" s="60">
        <v>1.0</v>
      </c>
      <c r="L75" s="60">
        <v>1.0</v>
      </c>
      <c r="M75" s="60">
        <v>0.0</v>
      </c>
      <c r="N75" s="60">
        <v>0.0</v>
      </c>
      <c r="O75" s="13">
        <f t="shared" si="14"/>
        <v>4</v>
      </c>
    </row>
    <row r="76" ht="12.75" customHeight="1">
      <c r="A76" s="18"/>
      <c r="B76" s="57"/>
      <c r="C76" s="58" t="s">
        <v>65</v>
      </c>
      <c r="D76" s="59"/>
      <c r="E76" s="60">
        <v>10.0</v>
      </c>
      <c r="F76" s="60">
        <v>5.0</v>
      </c>
      <c r="G76" s="60">
        <v>4.0</v>
      </c>
      <c r="H76" s="60">
        <v>5.0</v>
      </c>
      <c r="I76" s="60">
        <v>9.0</v>
      </c>
      <c r="J76" s="60">
        <v>0.0</v>
      </c>
      <c r="K76" s="60">
        <v>2.0</v>
      </c>
      <c r="L76" s="60">
        <v>1.0</v>
      </c>
      <c r="M76" s="60">
        <v>1.0</v>
      </c>
      <c r="N76" s="60">
        <v>7.0</v>
      </c>
      <c r="O76" s="13">
        <f t="shared" si="14"/>
        <v>44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60">
        <v>0.0</v>
      </c>
      <c r="N77" s="60">
        <v>0.0</v>
      </c>
      <c r="O77" s="13">
        <f t="shared" si="14"/>
        <v>0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0.0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60">
        <v>0.0</v>
      </c>
      <c r="N78" s="60">
        <v>0.0</v>
      </c>
      <c r="O78" s="13">
        <f t="shared" si="14"/>
        <v>0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N79" si="18">SUM(E72:E78)</f>
        <v>38</v>
      </c>
      <c r="F79" s="64">
        <f t="shared" si="18"/>
        <v>16</v>
      </c>
      <c r="G79" s="64">
        <f t="shared" si="18"/>
        <v>20</v>
      </c>
      <c r="H79" s="64">
        <f t="shared" si="18"/>
        <v>21</v>
      </c>
      <c r="I79" s="64">
        <f t="shared" si="18"/>
        <v>51</v>
      </c>
      <c r="J79" s="64">
        <f t="shared" si="18"/>
        <v>16</v>
      </c>
      <c r="K79" s="64">
        <f t="shared" si="18"/>
        <v>4</v>
      </c>
      <c r="L79" s="64">
        <f t="shared" si="18"/>
        <v>3</v>
      </c>
      <c r="M79" s="64">
        <f t="shared" si="18"/>
        <v>2</v>
      </c>
      <c r="N79" s="64">
        <f t="shared" si="18"/>
        <v>8</v>
      </c>
      <c r="O79" s="13">
        <f t="shared" si="14"/>
        <v>179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0.0</v>
      </c>
      <c r="F81" s="60">
        <v>1.0</v>
      </c>
      <c r="G81" s="60">
        <v>0.0</v>
      </c>
      <c r="H81" s="60">
        <v>1.0</v>
      </c>
      <c r="I81" s="60">
        <v>1.0</v>
      </c>
      <c r="J81" s="60">
        <v>5.0</v>
      </c>
      <c r="K81" s="60">
        <v>1.0</v>
      </c>
      <c r="L81" s="60">
        <v>8.0</v>
      </c>
      <c r="M81" s="60">
        <v>7.0</v>
      </c>
      <c r="N81" s="60">
        <v>10.0</v>
      </c>
      <c r="O81" s="13">
        <f t="shared" si="14"/>
        <v>34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4.0</v>
      </c>
      <c r="F82" s="60">
        <v>4.0</v>
      </c>
      <c r="G82" s="60">
        <v>3.0</v>
      </c>
      <c r="H82" s="60">
        <v>8.0</v>
      </c>
      <c r="I82" s="60">
        <v>7.0</v>
      </c>
      <c r="J82" s="60">
        <v>2.0</v>
      </c>
      <c r="K82" s="60">
        <v>4.0</v>
      </c>
      <c r="L82" s="60">
        <v>1.0</v>
      </c>
      <c r="M82" s="60">
        <v>3.0</v>
      </c>
      <c r="N82" s="60">
        <v>4.0</v>
      </c>
      <c r="O82" s="13">
        <f t="shared" si="14"/>
        <v>40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1.0</v>
      </c>
      <c r="H83" s="60">
        <v>0.0</v>
      </c>
      <c r="I83" s="60">
        <v>1.0</v>
      </c>
      <c r="J83" s="60">
        <v>0.0</v>
      </c>
      <c r="K83" s="60">
        <v>0.0</v>
      </c>
      <c r="L83" s="60">
        <v>1.0</v>
      </c>
      <c r="M83" s="60">
        <v>0.0</v>
      </c>
      <c r="N83" s="60">
        <v>0.0</v>
      </c>
      <c r="O83" s="13">
        <f t="shared" si="14"/>
        <v>3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2.0</v>
      </c>
      <c r="G84" s="60">
        <v>0.0</v>
      </c>
      <c r="H84" s="60">
        <v>0.0</v>
      </c>
      <c r="I84" s="60">
        <v>0.0</v>
      </c>
      <c r="J84" s="60">
        <v>1.0</v>
      </c>
      <c r="K84" s="60">
        <v>0.0</v>
      </c>
      <c r="L84" s="60">
        <v>0.0</v>
      </c>
      <c r="M84" s="60">
        <v>0.0</v>
      </c>
      <c r="N84" s="60">
        <v>0.0</v>
      </c>
      <c r="O84" s="13">
        <f t="shared" si="14"/>
        <v>3</v>
      </c>
    </row>
    <row r="85" ht="12.75" customHeight="1">
      <c r="A85" s="18"/>
      <c r="B85" s="57"/>
      <c r="C85" s="58" t="s">
        <v>73</v>
      </c>
      <c r="D85" s="59"/>
      <c r="E85" s="60">
        <v>0.0</v>
      </c>
      <c r="F85" s="60">
        <v>0.0</v>
      </c>
      <c r="G85" s="60">
        <v>0.0</v>
      </c>
      <c r="H85" s="60">
        <v>0.0</v>
      </c>
      <c r="I85" s="60">
        <v>0.0</v>
      </c>
      <c r="J85" s="60">
        <v>1.0</v>
      </c>
      <c r="K85" s="60">
        <v>0.0</v>
      </c>
      <c r="L85" s="60">
        <v>0.0</v>
      </c>
      <c r="M85" s="60">
        <v>0.0</v>
      </c>
      <c r="N85" s="60">
        <v>0.0</v>
      </c>
      <c r="O85" s="13">
        <f t="shared" si="14"/>
        <v>1</v>
      </c>
    </row>
    <row r="86" ht="12.75" customHeight="1">
      <c r="A86" s="18"/>
      <c r="B86" s="57"/>
      <c r="C86" s="58" t="s">
        <v>74</v>
      </c>
      <c r="D86" s="59"/>
      <c r="E86" s="60">
        <v>6.0</v>
      </c>
      <c r="F86" s="60">
        <v>5.0</v>
      </c>
      <c r="G86" s="60">
        <v>2.0</v>
      </c>
      <c r="H86" s="60">
        <v>1.0</v>
      </c>
      <c r="I86" s="60">
        <v>6.0</v>
      </c>
      <c r="J86" s="60">
        <v>35.0</v>
      </c>
      <c r="K86" s="60">
        <v>5.0</v>
      </c>
      <c r="L86" s="60">
        <v>27.0</v>
      </c>
      <c r="M86" s="60">
        <v>30.0</v>
      </c>
      <c r="N86" s="60">
        <v>26.0</v>
      </c>
      <c r="O86" s="13">
        <f t="shared" si="14"/>
        <v>143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0.0</v>
      </c>
      <c r="K87" s="60">
        <v>0.0</v>
      </c>
      <c r="L87" s="60">
        <v>0.0</v>
      </c>
      <c r="M87" s="60">
        <v>0.0</v>
      </c>
      <c r="N87" s="60">
        <v>1.0</v>
      </c>
      <c r="O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N88" si="19">SUM(E81:E87)</f>
        <v>10</v>
      </c>
      <c r="F88" s="64">
        <f t="shared" si="19"/>
        <v>12</v>
      </c>
      <c r="G88" s="64">
        <f t="shared" si="19"/>
        <v>6</v>
      </c>
      <c r="H88" s="64">
        <f t="shared" si="19"/>
        <v>10</v>
      </c>
      <c r="I88" s="64">
        <f t="shared" si="19"/>
        <v>15</v>
      </c>
      <c r="J88" s="64">
        <f t="shared" si="19"/>
        <v>44</v>
      </c>
      <c r="K88" s="64">
        <f t="shared" si="19"/>
        <v>10</v>
      </c>
      <c r="L88" s="64">
        <f t="shared" si="19"/>
        <v>37</v>
      </c>
      <c r="M88" s="64">
        <f t="shared" si="19"/>
        <v>40</v>
      </c>
      <c r="N88" s="64">
        <f t="shared" si="19"/>
        <v>41</v>
      </c>
      <c r="O88" s="13">
        <f t="shared" si="14"/>
        <v>225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0.0</v>
      </c>
      <c r="J90" s="60">
        <v>0.0</v>
      </c>
      <c r="K90" s="60">
        <v>0.0</v>
      </c>
      <c r="L90" s="60">
        <v>1.0</v>
      </c>
      <c r="M90" s="60">
        <v>0.0</v>
      </c>
      <c r="N90" s="60">
        <v>0.0</v>
      </c>
      <c r="O90" s="13">
        <f t="shared" si="14"/>
        <v>1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0.0</v>
      </c>
      <c r="I91" s="60">
        <v>0.0</v>
      </c>
      <c r="J91" s="60">
        <v>0.0</v>
      </c>
      <c r="K91" s="60">
        <v>0.0</v>
      </c>
      <c r="L91" s="60">
        <v>1.0</v>
      </c>
      <c r="M91" s="60">
        <v>0.0</v>
      </c>
      <c r="N91" s="60">
        <v>0.0</v>
      </c>
      <c r="O91" s="13">
        <f t="shared" si="14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N92" si="20">SUM(E90:E91)</f>
        <v>0</v>
      </c>
      <c r="F92" s="64">
        <f t="shared" si="20"/>
        <v>0</v>
      </c>
      <c r="G92" s="64">
        <f t="shared" si="20"/>
        <v>0</v>
      </c>
      <c r="H92" s="64">
        <f t="shared" si="20"/>
        <v>0</v>
      </c>
      <c r="I92" s="64">
        <f t="shared" si="20"/>
        <v>0</v>
      </c>
      <c r="J92" s="64">
        <f t="shared" si="20"/>
        <v>0</v>
      </c>
      <c r="K92" s="64">
        <f t="shared" si="20"/>
        <v>0</v>
      </c>
      <c r="L92" s="64">
        <f t="shared" si="20"/>
        <v>2</v>
      </c>
      <c r="M92" s="64">
        <f t="shared" si="20"/>
        <v>0</v>
      </c>
      <c r="N92" s="64">
        <f t="shared" si="20"/>
        <v>0</v>
      </c>
      <c r="O92" s="13">
        <f t="shared" si="14"/>
        <v>2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0.0</v>
      </c>
      <c r="F94" s="60">
        <v>1.0</v>
      </c>
      <c r="G94" s="60">
        <v>2.0</v>
      </c>
      <c r="H94" s="60">
        <v>0.0</v>
      </c>
      <c r="I94" s="60">
        <v>3.0</v>
      </c>
      <c r="J94" s="60">
        <v>3.0</v>
      </c>
      <c r="K94" s="60">
        <v>1.0</v>
      </c>
      <c r="L94" s="60">
        <v>2.0</v>
      </c>
      <c r="M94" s="60">
        <v>2.0</v>
      </c>
      <c r="N94" s="60">
        <v>0.0</v>
      </c>
      <c r="O94" s="13">
        <f t="shared" si="14"/>
        <v>14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5.0</v>
      </c>
      <c r="F95" s="60">
        <v>7.0</v>
      </c>
      <c r="G95" s="60">
        <v>4.0</v>
      </c>
      <c r="H95" s="60">
        <v>8.0</v>
      </c>
      <c r="I95" s="60">
        <v>9.0</v>
      </c>
      <c r="J95" s="60">
        <v>7.0</v>
      </c>
      <c r="K95" s="60">
        <v>4.0</v>
      </c>
      <c r="L95" s="60">
        <v>7.0</v>
      </c>
      <c r="M95" s="60">
        <v>8.0</v>
      </c>
      <c r="N95" s="60">
        <v>4.0</v>
      </c>
      <c r="O95" s="13">
        <f t="shared" si="14"/>
        <v>63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1.0</v>
      </c>
      <c r="I96" s="60">
        <v>0.0</v>
      </c>
      <c r="J96" s="60">
        <v>0.0</v>
      </c>
      <c r="K96" s="60">
        <v>0.0</v>
      </c>
      <c r="L96" s="60">
        <v>0.0</v>
      </c>
      <c r="M96" s="60">
        <v>0.0</v>
      </c>
      <c r="N96" s="60">
        <v>0.0</v>
      </c>
      <c r="O96" s="13">
        <f t="shared" si="14"/>
        <v>1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0.0</v>
      </c>
      <c r="L97" s="60">
        <v>0.0</v>
      </c>
      <c r="M97" s="60">
        <v>0.0</v>
      </c>
      <c r="N97" s="60">
        <v>0.0</v>
      </c>
      <c r="O97" s="13">
        <f t="shared" si="14"/>
        <v>0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60">
        <v>0.0</v>
      </c>
      <c r="N98" s="60">
        <v>0.0</v>
      </c>
      <c r="O98" s="13">
        <f t="shared" si="14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1.0</v>
      </c>
      <c r="G99" s="60">
        <v>0.0</v>
      </c>
      <c r="H99" s="60">
        <v>0.0</v>
      </c>
      <c r="I99" s="60">
        <v>0.0</v>
      </c>
      <c r="J99" s="60">
        <v>1.0</v>
      </c>
      <c r="K99" s="60">
        <v>0.0</v>
      </c>
      <c r="L99" s="60">
        <v>0.0</v>
      </c>
      <c r="M99" s="60">
        <v>0.0</v>
      </c>
      <c r="N99" s="60">
        <v>0.0</v>
      </c>
      <c r="O99" s="13">
        <f t="shared" si="14"/>
        <v>2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1.0</v>
      </c>
      <c r="K100" s="60">
        <v>0.0</v>
      </c>
      <c r="L100" s="60">
        <v>0.0</v>
      </c>
      <c r="M100" s="60">
        <v>0.0</v>
      </c>
      <c r="N100" s="60">
        <v>2.0</v>
      </c>
      <c r="O100" s="13">
        <f t="shared" si="14"/>
        <v>3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N101" si="21">SUM(E94:E100)</f>
        <v>5</v>
      </c>
      <c r="F101" s="64">
        <f t="shared" si="21"/>
        <v>9</v>
      </c>
      <c r="G101" s="64">
        <f t="shared" si="21"/>
        <v>6</v>
      </c>
      <c r="H101" s="64">
        <f t="shared" si="21"/>
        <v>9</v>
      </c>
      <c r="I101" s="64">
        <f t="shared" si="21"/>
        <v>12</v>
      </c>
      <c r="J101" s="64">
        <f t="shared" si="21"/>
        <v>12</v>
      </c>
      <c r="K101" s="64">
        <f t="shared" si="21"/>
        <v>5</v>
      </c>
      <c r="L101" s="64">
        <f t="shared" si="21"/>
        <v>9</v>
      </c>
      <c r="M101" s="64">
        <f t="shared" si="21"/>
        <v>10</v>
      </c>
      <c r="N101" s="64">
        <f t="shared" si="21"/>
        <v>6</v>
      </c>
      <c r="O101" s="13">
        <f t="shared" si="14"/>
        <v>83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3">
        <f t="shared" si="14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1.0</v>
      </c>
      <c r="F103" s="60">
        <v>1.0</v>
      </c>
      <c r="G103" s="60">
        <v>1.0</v>
      </c>
      <c r="H103" s="60">
        <v>0.0</v>
      </c>
      <c r="I103" s="60">
        <v>0.0</v>
      </c>
      <c r="J103" s="60">
        <v>0.0</v>
      </c>
      <c r="K103" s="60">
        <v>0.0</v>
      </c>
      <c r="L103" s="60">
        <v>0.0</v>
      </c>
      <c r="M103" s="60">
        <v>1.0</v>
      </c>
      <c r="N103" s="60">
        <v>0.0</v>
      </c>
      <c r="O103" s="13">
        <f t="shared" si="14"/>
        <v>4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0.0</v>
      </c>
      <c r="F104" s="60">
        <v>2.0</v>
      </c>
      <c r="G104" s="60">
        <v>0.0</v>
      </c>
      <c r="H104" s="60">
        <v>0.0</v>
      </c>
      <c r="I104" s="60">
        <v>3.0</v>
      </c>
      <c r="J104" s="60">
        <v>8.0</v>
      </c>
      <c r="K104" s="60">
        <v>4.0</v>
      </c>
      <c r="L104" s="60">
        <v>0.0</v>
      </c>
      <c r="M104" s="60">
        <v>4.0</v>
      </c>
      <c r="N104" s="60">
        <v>2.0</v>
      </c>
      <c r="O104" s="13">
        <f t="shared" si="14"/>
        <v>23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0.0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60">
        <v>0.0</v>
      </c>
      <c r="N105" s="60">
        <v>0.0</v>
      </c>
      <c r="O105" s="13">
        <f t="shared" si="14"/>
        <v>0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2.0</v>
      </c>
      <c r="K106" s="60">
        <v>0.0</v>
      </c>
      <c r="L106" s="60">
        <v>0.0</v>
      </c>
      <c r="M106" s="60">
        <v>0.0</v>
      </c>
      <c r="N106" s="60">
        <v>0.0</v>
      </c>
      <c r="O106" s="13">
        <f t="shared" si="14"/>
        <v>2</v>
      </c>
    </row>
    <row r="107" ht="12.75" customHeight="1">
      <c r="A107" s="18"/>
      <c r="B107" s="57"/>
      <c r="C107" s="58" t="s">
        <v>92</v>
      </c>
      <c r="D107" s="59"/>
      <c r="E107" s="60">
        <v>0.0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60">
        <v>0.0</v>
      </c>
      <c r="N107" s="60">
        <v>1.0</v>
      </c>
      <c r="O107" s="13">
        <f t="shared" si="14"/>
        <v>1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13">
        <f t="shared" si="14"/>
        <v>0</v>
      </c>
    </row>
    <row r="109" ht="12.75" customHeight="1">
      <c r="A109" s="18"/>
      <c r="B109" s="57"/>
      <c r="C109" s="58" t="s">
        <v>94</v>
      </c>
      <c r="D109" s="59"/>
      <c r="E109" s="60">
        <v>2.0</v>
      </c>
      <c r="F109" s="60">
        <v>3.0</v>
      </c>
      <c r="G109" s="60">
        <v>0.0</v>
      </c>
      <c r="H109" s="60">
        <v>0.0</v>
      </c>
      <c r="I109" s="60">
        <v>0.0</v>
      </c>
      <c r="J109" s="60">
        <v>1.0</v>
      </c>
      <c r="K109" s="60">
        <v>0.0</v>
      </c>
      <c r="L109" s="60">
        <v>0.0</v>
      </c>
      <c r="M109" s="60">
        <v>0.0</v>
      </c>
      <c r="N109" s="60">
        <v>1.0</v>
      </c>
      <c r="O109" s="13">
        <f t="shared" si="14"/>
        <v>7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N110" si="22">SUM(E103:E109)</f>
        <v>3</v>
      </c>
      <c r="F110" s="64">
        <f t="shared" si="22"/>
        <v>6</v>
      </c>
      <c r="G110" s="64">
        <f t="shared" si="22"/>
        <v>1</v>
      </c>
      <c r="H110" s="64">
        <f t="shared" si="22"/>
        <v>0</v>
      </c>
      <c r="I110" s="64">
        <f t="shared" si="22"/>
        <v>3</v>
      </c>
      <c r="J110" s="64">
        <f t="shared" si="22"/>
        <v>11</v>
      </c>
      <c r="K110" s="64">
        <f t="shared" si="22"/>
        <v>4</v>
      </c>
      <c r="L110" s="64">
        <f t="shared" si="22"/>
        <v>0</v>
      </c>
      <c r="M110" s="64">
        <f t="shared" si="22"/>
        <v>5</v>
      </c>
      <c r="N110" s="64">
        <f t="shared" si="22"/>
        <v>4</v>
      </c>
      <c r="O110" s="13">
        <f t="shared" si="14"/>
        <v>37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13">
        <f t="shared" si="14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1.0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60">
        <v>0.0</v>
      </c>
      <c r="N112" s="60">
        <v>0.0</v>
      </c>
      <c r="O112" s="13">
        <f t="shared" si="14"/>
        <v>1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60">
        <v>1.0</v>
      </c>
      <c r="N113" s="60">
        <v>0.0</v>
      </c>
      <c r="O113" s="13">
        <f t="shared" si="14"/>
        <v>1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N114" si="23">SUM(E112:E113)</f>
        <v>1</v>
      </c>
      <c r="F114" s="64">
        <f t="shared" si="23"/>
        <v>0</v>
      </c>
      <c r="G114" s="64">
        <f t="shared" si="23"/>
        <v>0</v>
      </c>
      <c r="H114" s="64">
        <f t="shared" si="23"/>
        <v>0</v>
      </c>
      <c r="I114" s="64">
        <f t="shared" si="23"/>
        <v>0</v>
      </c>
      <c r="J114" s="64">
        <f t="shared" si="23"/>
        <v>0</v>
      </c>
      <c r="K114" s="64">
        <f t="shared" si="23"/>
        <v>0</v>
      </c>
      <c r="L114" s="64">
        <f t="shared" si="23"/>
        <v>0</v>
      </c>
      <c r="M114" s="64">
        <f t="shared" si="23"/>
        <v>1</v>
      </c>
      <c r="N114" s="64">
        <f t="shared" si="23"/>
        <v>0</v>
      </c>
      <c r="O114" s="13">
        <f t="shared" si="14"/>
        <v>2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13">
        <f t="shared" si="14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1.0</v>
      </c>
      <c r="F116" s="60">
        <v>0.0</v>
      </c>
      <c r="G116" s="60">
        <v>1.0</v>
      </c>
      <c r="H116" s="60">
        <v>0.0</v>
      </c>
      <c r="I116" s="60">
        <v>0.0</v>
      </c>
      <c r="J116" s="60">
        <v>1.0</v>
      </c>
      <c r="K116" s="60">
        <v>1.0</v>
      </c>
      <c r="L116" s="60">
        <v>6.0</v>
      </c>
      <c r="M116" s="60">
        <v>4.0</v>
      </c>
      <c r="N116" s="60">
        <v>3.0</v>
      </c>
      <c r="O116" s="13">
        <f t="shared" si="14"/>
        <v>17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25.0</v>
      </c>
      <c r="F117" s="60">
        <v>12.0</v>
      </c>
      <c r="G117" s="60">
        <v>14.0</v>
      </c>
      <c r="H117" s="60">
        <v>11.0</v>
      </c>
      <c r="I117" s="60">
        <v>18.0</v>
      </c>
      <c r="J117" s="60">
        <v>14.0</v>
      </c>
      <c r="K117" s="60">
        <v>9.0</v>
      </c>
      <c r="L117" s="60">
        <v>28.0</v>
      </c>
      <c r="M117" s="60">
        <v>23.0</v>
      </c>
      <c r="N117" s="60">
        <v>34.0</v>
      </c>
      <c r="O117" s="13">
        <f t="shared" si="14"/>
        <v>188</v>
      </c>
      <c r="P117" s="5"/>
      <c r="Q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0.0</v>
      </c>
      <c r="K118" s="60">
        <v>1.0</v>
      </c>
      <c r="L118" s="60">
        <v>1.0</v>
      </c>
      <c r="M118" s="60">
        <v>0.0</v>
      </c>
      <c r="N118" s="60">
        <v>0.0</v>
      </c>
      <c r="O118" s="13">
        <f t="shared" si="14"/>
        <v>2</v>
      </c>
      <c r="P118" s="5"/>
      <c r="Q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1.0</v>
      </c>
      <c r="I119" s="60">
        <v>0.0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13">
        <f t="shared" si="14"/>
        <v>1</v>
      </c>
      <c r="P119" s="5"/>
      <c r="Q119" s="5"/>
    </row>
    <row r="120" ht="12.75" customHeight="1">
      <c r="A120" s="18"/>
      <c r="B120" s="57"/>
      <c r="C120" s="58" t="s">
        <v>103</v>
      </c>
      <c r="D120" s="59"/>
      <c r="E120" s="60">
        <v>3.0</v>
      </c>
      <c r="F120" s="60">
        <v>1.0</v>
      </c>
      <c r="G120" s="60">
        <v>2.0</v>
      </c>
      <c r="H120" s="60">
        <v>0.0</v>
      </c>
      <c r="I120" s="60">
        <v>2.0</v>
      </c>
      <c r="J120" s="60">
        <v>1.0</v>
      </c>
      <c r="K120" s="60">
        <v>0.0</v>
      </c>
      <c r="L120" s="60">
        <v>1.0</v>
      </c>
      <c r="M120" s="60">
        <v>0.0</v>
      </c>
      <c r="N120" s="60">
        <v>0.0</v>
      </c>
      <c r="O120" s="13">
        <f t="shared" si="14"/>
        <v>10</v>
      </c>
      <c r="P120" s="5"/>
      <c r="Q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1.0</v>
      </c>
      <c r="I121" s="60">
        <v>1.0</v>
      </c>
      <c r="J121" s="60">
        <v>0.0</v>
      </c>
      <c r="K121" s="60">
        <v>0.0</v>
      </c>
      <c r="L121" s="60">
        <v>0.0</v>
      </c>
      <c r="M121" s="60">
        <v>0.0</v>
      </c>
      <c r="N121" s="60">
        <v>0.0</v>
      </c>
      <c r="O121" s="13">
        <f t="shared" si="14"/>
        <v>2</v>
      </c>
      <c r="P121" s="5"/>
      <c r="Q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60">
        <v>0.0</v>
      </c>
      <c r="N122" s="60">
        <v>0.0</v>
      </c>
      <c r="O122" s="13">
        <f t="shared" si="14"/>
        <v>0</v>
      </c>
      <c r="P122" s="5"/>
      <c r="Q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N123" si="24">SUM(E116:E122)</f>
        <v>29</v>
      </c>
      <c r="F123" s="64">
        <f t="shared" si="24"/>
        <v>13</v>
      </c>
      <c r="G123" s="64">
        <f t="shared" si="24"/>
        <v>17</v>
      </c>
      <c r="H123" s="64">
        <f t="shared" si="24"/>
        <v>13</v>
      </c>
      <c r="I123" s="64">
        <f t="shared" si="24"/>
        <v>21</v>
      </c>
      <c r="J123" s="64">
        <f t="shared" si="24"/>
        <v>16</v>
      </c>
      <c r="K123" s="64">
        <f t="shared" si="24"/>
        <v>11</v>
      </c>
      <c r="L123" s="64">
        <f t="shared" si="24"/>
        <v>36</v>
      </c>
      <c r="M123" s="64">
        <f t="shared" si="24"/>
        <v>27</v>
      </c>
      <c r="N123" s="64">
        <f t="shared" si="24"/>
        <v>37</v>
      </c>
      <c r="O123" s="13">
        <f t="shared" si="14"/>
        <v>220</v>
      </c>
      <c r="P123" s="5"/>
      <c r="Q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13">
        <f t="shared" si="14"/>
        <v>0</v>
      </c>
      <c r="P124" s="5"/>
      <c r="Q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0.0</v>
      </c>
      <c r="H125" s="60">
        <v>0.0</v>
      </c>
      <c r="I125" s="60">
        <v>0.0</v>
      </c>
      <c r="J125" s="60">
        <v>0.0</v>
      </c>
      <c r="K125" s="60">
        <v>0.0</v>
      </c>
      <c r="L125" s="60">
        <v>0.0</v>
      </c>
      <c r="M125" s="60">
        <v>0.0</v>
      </c>
      <c r="N125" s="60">
        <v>1.0</v>
      </c>
      <c r="O125" s="13">
        <f t="shared" si="14"/>
        <v>1</v>
      </c>
      <c r="P125" s="5"/>
      <c r="Q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3">
        <f t="shared" si="14"/>
        <v>0</v>
      </c>
      <c r="P126" s="5"/>
      <c r="Q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N127" si="25">SUM(E125:E126)</f>
        <v>0</v>
      </c>
      <c r="F127" s="64">
        <f t="shared" si="25"/>
        <v>0</v>
      </c>
      <c r="G127" s="64">
        <f t="shared" si="25"/>
        <v>0</v>
      </c>
      <c r="H127" s="64">
        <f t="shared" si="25"/>
        <v>0</v>
      </c>
      <c r="I127" s="64">
        <f t="shared" si="25"/>
        <v>0</v>
      </c>
      <c r="J127" s="64">
        <f t="shared" si="25"/>
        <v>0</v>
      </c>
      <c r="K127" s="64">
        <f t="shared" si="25"/>
        <v>0</v>
      </c>
      <c r="L127" s="64">
        <f t="shared" si="25"/>
        <v>0</v>
      </c>
      <c r="M127" s="64">
        <f t="shared" si="25"/>
        <v>0</v>
      </c>
      <c r="N127" s="64">
        <f t="shared" si="25"/>
        <v>1</v>
      </c>
      <c r="O127" s="13">
        <f t="shared" si="14"/>
        <v>1</v>
      </c>
      <c r="P127" s="5"/>
      <c r="Q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13">
        <f t="shared" si="14"/>
        <v>0</v>
      </c>
      <c r="P128" s="5"/>
      <c r="Q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3.0</v>
      </c>
      <c r="F129" s="60">
        <v>9.0</v>
      </c>
      <c r="G129" s="60">
        <v>0.0</v>
      </c>
      <c r="H129" s="60">
        <v>2.0</v>
      </c>
      <c r="I129" s="60">
        <v>1.0</v>
      </c>
      <c r="J129" s="60">
        <v>3.0</v>
      </c>
      <c r="K129" s="60">
        <v>0.0</v>
      </c>
      <c r="L129" s="60">
        <v>0.0</v>
      </c>
      <c r="M129" s="60">
        <v>0.0</v>
      </c>
      <c r="N129" s="60">
        <v>1.0</v>
      </c>
      <c r="O129" s="13">
        <f t="shared" si="14"/>
        <v>19</v>
      </c>
      <c r="P129" s="5"/>
      <c r="Q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16.0</v>
      </c>
      <c r="F130" s="60">
        <v>26.0</v>
      </c>
      <c r="G130" s="60">
        <v>5.0</v>
      </c>
      <c r="H130" s="60">
        <v>8.0</v>
      </c>
      <c r="I130" s="60">
        <v>13.0</v>
      </c>
      <c r="J130" s="60">
        <v>5.0</v>
      </c>
      <c r="K130" s="60">
        <v>0.0</v>
      </c>
      <c r="L130" s="60">
        <v>0.0</v>
      </c>
      <c r="M130" s="60">
        <v>3.0</v>
      </c>
      <c r="N130" s="60">
        <v>0.0</v>
      </c>
      <c r="O130" s="13">
        <f t="shared" si="14"/>
        <v>76</v>
      </c>
      <c r="P130" s="1"/>
      <c r="Q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1.0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60">
        <v>0.0</v>
      </c>
      <c r="N131" s="60">
        <v>0.0</v>
      </c>
      <c r="O131" s="13">
        <f t="shared" si="14"/>
        <v>1</v>
      </c>
      <c r="P131" s="54"/>
      <c r="Q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1.0</v>
      </c>
      <c r="G132" s="60">
        <v>0.0</v>
      </c>
      <c r="H132" s="60">
        <v>0.0</v>
      </c>
      <c r="I132" s="60">
        <v>1.0</v>
      </c>
      <c r="J132" s="60">
        <v>0.0</v>
      </c>
      <c r="K132" s="60">
        <v>0.0</v>
      </c>
      <c r="L132" s="60">
        <v>0.0</v>
      </c>
      <c r="M132" s="60">
        <v>0.0</v>
      </c>
      <c r="N132" s="60">
        <v>0.0</v>
      </c>
      <c r="O132" s="13">
        <f t="shared" si="14"/>
        <v>2</v>
      </c>
      <c r="P132" s="5"/>
      <c r="Q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1.0</v>
      </c>
      <c r="M133" s="60">
        <v>0.0</v>
      </c>
      <c r="N133" s="60">
        <v>0.0</v>
      </c>
      <c r="O133" s="13">
        <f t="shared" si="14"/>
        <v>1</v>
      </c>
      <c r="P133" s="5"/>
      <c r="Q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0.0</v>
      </c>
      <c r="I134" s="60">
        <v>0.0</v>
      </c>
      <c r="J134" s="60">
        <v>1.0</v>
      </c>
      <c r="K134" s="60">
        <v>1.0</v>
      </c>
      <c r="L134" s="60">
        <v>0.0</v>
      </c>
      <c r="M134" s="60">
        <v>0.0</v>
      </c>
      <c r="N134" s="60">
        <v>0.0</v>
      </c>
      <c r="O134" s="13">
        <f t="shared" si="14"/>
        <v>2</v>
      </c>
      <c r="P134" s="5"/>
      <c r="Q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0.0</v>
      </c>
      <c r="G135" s="60">
        <v>0.0</v>
      </c>
      <c r="H135" s="60">
        <v>0.0</v>
      </c>
      <c r="I135" s="60">
        <v>0.0</v>
      </c>
      <c r="J135" s="60">
        <v>1.0</v>
      </c>
      <c r="K135" s="60">
        <v>0.0</v>
      </c>
      <c r="L135" s="60">
        <v>0.0</v>
      </c>
      <c r="M135" s="60">
        <v>0.0</v>
      </c>
      <c r="N135" s="60">
        <v>0.0</v>
      </c>
      <c r="O135" s="13">
        <f t="shared" si="14"/>
        <v>1</v>
      </c>
      <c r="P135" s="5"/>
      <c r="Q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N136" si="26">SUM(E129:E135)</f>
        <v>19</v>
      </c>
      <c r="F136" s="64">
        <f t="shared" si="26"/>
        <v>36</v>
      </c>
      <c r="G136" s="64">
        <f t="shared" si="26"/>
        <v>6</v>
      </c>
      <c r="H136" s="64">
        <f t="shared" si="26"/>
        <v>10</v>
      </c>
      <c r="I136" s="64">
        <f t="shared" si="26"/>
        <v>15</v>
      </c>
      <c r="J136" s="64">
        <f t="shared" si="26"/>
        <v>10</v>
      </c>
      <c r="K136" s="64">
        <f t="shared" si="26"/>
        <v>1</v>
      </c>
      <c r="L136" s="64">
        <f t="shared" si="26"/>
        <v>1</v>
      </c>
      <c r="M136" s="64">
        <f t="shared" si="26"/>
        <v>3</v>
      </c>
      <c r="N136" s="64">
        <f t="shared" si="26"/>
        <v>1</v>
      </c>
      <c r="O136" s="13">
        <f t="shared" si="14"/>
        <v>102</v>
      </c>
      <c r="P136" s="5"/>
      <c r="Q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13">
        <f t="shared" si="14"/>
        <v>0</v>
      </c>
      <c r="P137" s="5"/>
      <c r="Q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0.0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1.0</v>
      </c>
      <c r="M138" s="60">
        <v>0.0</v>
      </c>
      <c r="N138" s="60">
        <v>0.0</v>
      </c>
      <c r="O138" s="13">
        <f t="shared" si="14"/>
        <v>1</v>
      </c>
      <c r="P138" s="5"/>
      <c r="Q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0.0</v>
      </c>
      <c r="G139" s="60">
        <v>0.0</v>
      </c>
      <c r="H139" s="60">
        <v>0.0</v>
      </c>
      <c r="I139" s="60">
        <v>0.0</v>
      </c>
      <c r="J139" s="60">
        <v>0.0</v>
      </c>
      <c r="K139" s="60">
        <v>0.0</v>
      </c>
      <c r="L139" s="60">
        <v>0.0</v>
      </c>
      <c r="M139" s="60">
        <v>0.0</v>
      </c>
      <c r="N139" s="60">
        <v>0.0</v>
      </c>
      <c r="O139" s="13">
        <f t="shared" si="14"/>
        <v>0</v>
      </c>
      <c r="P139" s="5"/>
      <c r="Q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0.0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13">
        <f t="shared" si="14"/>
        <v>0</v>
      </c>
      <c r="P140" s="5"/>
      <c r="Q140" s="5"/>
    </row>
    <row r="141" ht="12.75" customHeight="1">
      <c r="A141" s="18"/>
      <c r="B141" s="57"/>
      <c r="C141" s="58" t="s">
        <v>121</v>
      </c>
      <c r="D141" s="59"/>
      <c r="E141" s="60">
        <v>0.0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0.0</v>
      </c>
      <c r="L141" s="60">
        <v>0.0</v>
      </c>
      <c r="M141" s="60">
        <v>2.0</v>
      </c>
      <c r="N141" s="60">
        <v>0.0</v>
      </c>
      <c r="O141" s="13">
        <f t="shared" si="14"/>
        <v>2</v>
      </c>
      <c r="P141" s="1"/>
      <c r="Q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60">
        <v>0.0</v>
      </c>
      <c r="N142" s="60">
        <v>0.0</v>
      </c>
      <c r="O142" s="13">
        <f t="shared" si="14"/>
        <v>0</v>
      </c>
      <c r="P142" s="54"/>
      <c r="Q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0.0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60">
        <v>0.0</v>
      </c>
      <c r="N143" s="60">
        <v>1.0</v>
      </c>
      <c r="O143" s="13">
        <f t="shared" si="14"/>
        <v>1</v>
      </c>
      <c r="P143" s="5"/>
      <c r="Q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0.0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60">
        <v>0.0</v>
      </c>
      <c r="N144" s="60">
        <v>0.0</v>
      </c>
      <c r="O144" s="13">
        <f t="shared" si="14"/>
        <v>0</v>
      </c>
      <c r="P144" s="5"/>
      <c r="Q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N145" si="27">SUM(E138:E144)</f>
        <v>0</v>
      </c>
      <c r="F145" s="64">
        <f t="shared" si="27"/>
        <v>0</v>
      </c>
      <c r="G145" s="64">
        <f t="shared" si="27"/>
        <v>0</v>
      </c>
      <c r="H145" s="64">
        <f t="shared" si="27"/>
        <v>0</v>
      </c>
      <c r="I145" s="64">
        <f t="shared" si="27"/>
        <v>0</v>
      </c>
      <c r="J145" s="64">
        <f t="shared" si="27"/>
        <v>0</v>
      </c>
      <c r="K145" s="64">
        <f t="shared" si="27"/>
        <v>0</v>
      </c>
      <c r="L145" s="64">
        <f t="shared" si="27"/>
        <v>1</v>
      </c>
      <c r="M145" s="64">
        <f t="shared" si="27"/>
        <v>2</v>
      </c>
      <c r="N145" s="64">
        <f t="shared" si="27"/>
        <v>1</v>
      </c>
      <c r="O145" s="13">
        <f t="shared" si="14"/>
        <v>4</v>
      </c>
      <c r="P145" s="5"/>
      <c r="Q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13">
        <f t="shared" si="14"/>
        <v>0</v>
      </c>
      <c r="P146" s="5"/>
      <c r="Q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0.0</v>
      </c>
      <c r="F147" s="60">
        <v>4.0</v>
      </c>
      <c r="G147" s="60">
        <v>3.0</v>
      </c>
      <c r="H147" s="60">
        <v>2.0</v>
      </c>
      <c r="I147" s="60">
        <v>2.0</v>
      </c>
      <c r="J147" s="60">
        <v>2.0</v>
      </c>
      <c r="K147" s="60">
        <v>1.0</v>
      </c>
      <c r="L147" s="60">
        <v>2.0</v>
      </c>
      <c r="M147" s="60">
        <v>1.0</v>
      </c>
      <c r="N147" s="60">
        <v>3.0</v>
      </c>
      <c r="O147" s="13">
        <f t="shared" si="14"/>
        <v>20</v>
      </c>
      <c r="P147" s="5"/>
      <c r="Q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0.0</v>
      </c>
      <c r="F148" s="60">
        <v>2.0</v>
      </c>
      <c r="G148" s="60">
        <v>1.0</v>
      </c>
      <c r="H148" s="60">
        <v>2.0</v>
      </c>
      <c r="I148" s="60">
        <v>1.0</v>
      </c>
      <c r="J148" s="60">
        <v>1.0</v>
      </c>
      <c r="K148" s="60">
        <v>0.0</v>
      </c>
      <c r="L148" s="60">
        <v>2.0</v>
      </c>
      <c r="M148" s="60">
        <v>0.0</v>
      </c>
      <c r="N148" s="60">
        <v>1.0</v>
      </c>
      <c r="O148" s="13">
        <f t="shared" si="14"/>
        <v>10</v>
      </c>
      <c r="P148" s="5"/>
      <c r="Q148" s="5"/>
    </row>
    <row r="149" ht="12.75" customHeight="1">
      <c r="A149" s="18"/>
      <c r="B149" s="57"/>
      <c r="C149" s="58" t="s">
        <v>128</v>
      </c>
      <c r="D149" s="59"/>
      <c r="E149" s="60">
        <v>9.0</v>
      </c>
      <c r="F149" s="60">
        <v>34.0</v>
      </c>
      <c r="G149" s="60">
        <v>21.0</v>
      </c>
      <c r="H149" s="60">
        <v>20.0</v>
      </c>
      <c r="I149" s="60">
        <v>23.0</v>
      </c>
      <c r="J149" s="60">
        <v>17.0</v>
      </c>
      <c r="K149" s="60">
        <v>11.0</v>
      </c>
      <c r="L149" s="60">
        <v>7.0</v>
      </c>
      <c r="M149" s="60">
        <v>3.0</v>
      </c>
      <c r="N149" s="60">
        <v>2.0</v>
      </c>
      <c r="O149" s="13">
        <f t="shared" si="14"/>
        <v>147</v>
      </c>
      <c r="P149" s="5"/>
      <c r="Q149" s="5"/>
    </row>
    <row r="150" ht="12.75" customHeight="1">
      <c r="A150" s="18"/>
      <c r="B150" s="57"/>
      <c r="C150" s="58" t="s">
        <v>129</v>
      </c>
      <c r="D150" s="59"/>
      <c r="E150" s="60">
        <v>0.0</v>
      </c>
      <c r="F150" s="60">
        <v>0.0</v>
      </c>
      <c r="G150" s="60">
        <v>0.0</v>
      </c>
      <c r="H150" s="60">
        <v>0.0</v>
      </c>
      <c r="I150" s="60">
        <v>1.0</v>
      </c>
      <c r="J150" s="60">
        <v>0.0</v>
      </c>
      <c r="K150" s="60">
        <v>1.0</v>
      </c>
      <c r="L150" s="60">
        <v>2.0</v>
      </c>
      <c r="M150" s="60">
        <v>1.0</v>
      </c>
      <c r="N150" s="60">
        <v>0.0</v>
      </c>
      <c r="O150" s="13">
        <f t="shared" si="14"/>
        <v>5</v>
      </c>
      <c r="P150" s="5"/>
      <c r="Q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0.0</v>
      </c>
      <c r="J151" s="60">
        <v>0.0</v>
      </c>
      <c r="K151" s="60">
        <v>0.0</v>
      </c>
      <c r="L151" s="60">
        <v>0.0</v>
      </c>
      <c r="M151" s="60">
        <v>0.0</v>
      </c>
      <c r="N151" s="60">
        <v>0.0</v>
      </c>
      <c r="O151" s="13">
        <f t="shared" si="14"/>
        <v>0</v>
      </c>
      <c r="P151" s="1"/>
      <c r="Q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1.0</v>
      </c>
      <c r="G152" s="60">
        <v>0.0</v>
      </c>
      <c r="H152" s="60">
        <v>0.0</v>
      </c>
      <c r="I152" s="60">
        <v>0.0</v>
      </c>
      <c r="J152" s="60">
        <v>0.0</v>
      </c>
      <c r="K152" s="60">
        <v>0.0</v>
      </c>
      <c r="L152" s="60">
        <v>0.0</v>
      </c>
      <c r="M152" s="60">
        <v>0.0</v>
      </c>
      <c r="N152" s="60">
        <v>0.0</v>
      </c>
      <c r="O152" s="13">
        <f t="shared" si="14"/>
        <v>1</v>
      </c>
      <c r="P152" s="54"/>
      <c r="Q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60">
        <v>0.0</v>
      </c>
      <c r="N153" s="60">
        <v>1.0</v>
      </c>
      <c r="O153" s="13">
        <f t="shared" si="14"/>
        <v>1</v>
      </c>
      <c r="P153" s="5"/>
      <c r="Q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N154" si="28">SUM(E147:E153)</f>
        <v>9</v>
      </c>
      <c r="F154" s="64">
        <f t="shared" si="28"/>
        <v>41</v>
      </c>
      <c r="G154" s="64">
        <f t="shared" si="28"/>
        <v>25</v>
      </c>
      <c r="H154" s="64">
        <f t="shared" si="28"/>
        <v>24</v>
      </c>
      <c r="I154" s="64">
        <f t="shared" si="28"/>
        <v>27</v>
      </c>
      <c r="J154" s="64">
        <f t="shared" si="28"/>
        <v>20</v>
      </c>
      <c r="K154" s="64">
        <f t="shared" si="28"/>
        <v>13</v>
      </c>
      <c r="L154" s="64">
        <f t="shared" si="28"/>
        <v>13</v>
      </c>
      <c r="M154" s="64">
        <f t="shared" si="28"/>
        <v>5</v>
      </c>
      <c r="N154" s="64">
        <f t="shared" si="28"/>
        <v>7</v>
      </c>
      <c r="O154" s="13">
        <f t="shared" si="14"/>
        <v>184</v>
      </c>
      <c r="P154" s="5"/>
      <c r="Q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13">
        <f t="shared" si="14"/>
        <v>0</v>
      </c>
      <c r="P155" s="5"/>
      <c r="Q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0.0</v>
      </c>
      <c r="F156" s="60">
        <v>2.0</v>
      </c>
      <c r="G156" s="60">
        <v>1.0</v>
      </c>
      <c r="H156" s="60">
        <v>0.0</v>
      </c>
      <c r="I156" s="60">
        <v>1.0</v>
      </c>
      <c r="J156" s="60">
        <v>0.0</v>
      </c>
      <c r="K156" s="60">
        <v>0.0</v>
      </c>
      <c r="L156" s="60">
        <v>1.0</v>
      </c>
      <c r="M156" s="60">
        <v>1.0</v>
      </c>
      <c r="N156" s="60">
        <v>0.0</v>
      </c>
      <c r="O156" s="13">
        <f t="shared" si="14"/>
        <v>6</v>
      </c>
      <c r="P156" s="5"/>
      <c r="Q156" s="5"/>
    </row>
    <row r="157" ht="12.75" customHeight="1">
      <c r="A157" s="31"/>
      <c r="B157" s="50"/>
      <c r="C157" s="58" t="s">
        <v>135</v>
      </c>
      <c r="D157" s="65"/>
      <c r="E157" s="60">
        <v>0.0</v>
      </c>
      <c r="F157" s="60">
        <v>0.0</v>
      </c>
      <c r="G157" s="60">
        <v>0.0</v>
      </c>
      <c r="H157" s="60">
        <v>0.0</v>
      </c>
      <c r="I157" s="60">
        <v>0.0</v>
      </c>
      <c r="J157" s="60">
        <v>0.0</v>
      </c>
      <c r="K157" s="60">
        <v>0.0</v>
      </c>
      <c r="L157" s="60">
        <v>0.0</v>
      </c>
      <c r="M157" s="60">
        <v>2.0</v>
      </c>
      <c r="N157" s="60">
        <v>0.0</v>
      </c>
      <c r="O157" s="13">
        <f t="shared" si="14"/>
        <v>2</v>
      </c>
      <c r="P157" s="5"/>
      <c r="Q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0.0</v>
      </c>
      <c r="H158" s="60">
        <v>0.0</v>
      </c>
      <c r="I158" s="60">
        <v>0.0</v>
      </c>
      <c r="J158" s="60">
        <v>0.0</v>
      </c>
      <c r="K158" s="60">
        <v>0.0</v>
      </c>
      <c r="L158" s="60">
        <v>0.0</v>
      </c>
      <c r="M158" s="60">
        <v>0.0</v>
      </c>
      <c r="N158" s="60">
        <v>0.0</v>
      </c>
      <c r="O158" s="13">
        <f t="shared" si="14"/>
        <v>0</v>
      </c>
      <c r="P158" s="5"/>
      <c r="Q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1.0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60">
        <v>0.0</v>
      </c>
      <c r="N159" s="60">
        <v>0.0</v>
      </c>
      <c r="O159" s="13">
        <f t="shared" si="14"/>
        <v>1</v>
      </c>
      <c r="P159" s="5"/>
      <c r="Q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60">
        <v>0.0</v>
      </c>
      <c r="N160" s="60">
        <v>0.0</v>
      </c>
      <c r="O160" s="13">
        <f t="shared" si="14"/>
        <v>0</v>
      </c>
      <c r="P160" s="5"/>
      <c r="Q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60">
        <v>0.0</v>
      </c>
      <c r="N161" s="60">
        <v>0.0</v>
      </c>
      <c r="O161" s="13">
        <f t="shared" si="14"/>
        <v>0</v>
      </c>
      <c r="P161" s="5"/>
      <c r="Q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N162" si="29">SUM(E156:E161)</f>
        <v>0</v>
      </c>
      <c r="F162" s="64">
        <f t="shared" si="29"/>
        <v>3</v>
      </c>
      <c r="G162" s="64">
        <f t="shared" si="29"/>
        <v>1</v>
      </c>
      <c r="H162" s="64">
        <f t="shared" si="29"/>
        <v>0</v>
      </c>
      <c r="I162" s="64">
        <f t="shared" si="29"/>
        <v>1</v>
      </c>
      <c r="J162" s="64">
        <f t="shared" si="29"/>
        <v>0</v>
      </c>
      <c r="K162" s="64">
        <f t="shared" si="29"/>
        <v>0</v>
      </c>
      <c r="L162" s="64">
        <f t="shared" si="29"/>
        <v>1</v>
      </c>
      <c r="M162" s="64">
        <f t="shared" si="29"/>
        <v>3</v>
      </c>
      <c r="N162" s="64">
        <f t="shared" si="29"/>
        <v>0</v>
      </c>
      <c r="O162" s="13">
        <f t="shared" si="14"/>
        <v>9</v>
      </c>
      <c r="P162" s="5"/>
      <c r="Q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13">
        <f t="shared" si="14"/>
        <v>0</v>
      </c>
      <c r="P163" s="5"/>
      <c r="Q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60">
        <v>0.0</v>
      </c>
      <c r="N164" s="60">
        <v>0.0</v>
      </c>
      <c r="O164" s="13">
        <f t="shared" si="14"/>
        <v>0</v>
      </c>
      <c r="P164" s="5"/>
      <c r="Q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1.0</v>
      </c>
      <c r="H165" s="60">
        <v>0.0</v>
      </c>
      <c r="I165" s="60">
        <v>0.0</v>
      </c>
      <c r="J165" s="60">
        <v>0.0</v>
      </c>
      <c r="K165" s="60">
        <v>0.0</v>
      </c>
      <c r="L165" s="60">
        <v>0.0</v>
      </c>
      <c r="M165" s="60">
        <v>0.0</v>
      </c>
      <c r="N165" s="60">
        <v>0.0</v>
      </c>
      <c r="O165" s="13">
        <f t="shared" si="14"/>
        <v>1</v>
      </c>
      <c r="P165" s="1"/>
      <c r="Q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60">
        <v>0.0</v>
      </c>
      <c r="N166" s="60">
        <v>0.0</v>
      </c>
      <c r="O166" s="13">
        <f t="shared" si="14"/>
        <v>0</v>
      </c>
      <c r="P166" s="54"/>
      <c r="Q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60">
        <v>0.0</v>
      </c>
      <c r="N167" s="60">
        <v>0.0</v>
      </c>
      <c r="O167" s="13">
        <f t="shared" si="14"/>
        <v>0</v>
      </c>
      <c r="P167" s="5"/>
      <c r="Q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0.0</v>
      </c>
      <c r="J168" s="60">
        <v>0.0</v>
      </c>
      <c r="K168" s="60">
        <v>0.0</v>
      </c>
      <c r="L168" s="60">
        <v>0.0</v>
      </c>
      <c r="M168" s="60">
        <v>0.0</v>
      </c>
      <c r="N168" s="60">
        <v>0.0</v>
      </c>
      <c r="O168" s="13">
        <f t="shared" si="14"/>
        <v>0</v>
      </c>
      <c r="P168" s="5"/>
      <c r="Q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60">
        <v>0.0</v>
      </c>
      <c r="N169" s="60">
        <v>1.0</v>
      </c>
      <c r="O169" s="13">
        <f t="shared" si="14"/>
        <v>1</v>
      </c>
      <c r="P169" s="5"/>
      <c r="Q169" s="5"/>
    </row>
    <row r="170" ht="12.75" customHeight="1">
      <c r="A170" s="18"/>
      <c r="B170" s="57"/>
      <c r="C170" s="58" t="s">
        <v>147</v>
      </c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3">
        <f t="shared" si="14"/>
        <v>0</v>
      </c>
      <c r="P170" s="5"/>
      <c r="Q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N171" si="30">SUM(E164:E170)</f>
        <v>0</v>
      </c>
      <c r="F171" s="64">
        <f t="shared" si="30"/>
        <v>0</v>
      </c>
      <c r="G171" s="64">
        <f t="shared" si="30"/>
        <v>1</v>
      </c>
      <c r="H171" s="64">
        <f t="shared" si="30"/>
        <v>0</v>
      </c>
      <c r="I171" s="64">
        <f t="shared" si="30"/>
        <v>0</v>
      </c>
      <c r="J171" s="64">
        <f t="shared" si="30"/>
        <v>0</v>
      </c>
      <c r="K171" s="64">
        <f t="shared" si="30"/>
        <v>0</v>
      </c>
      <c r="L171" s="64">
        <f t="shared" si="30"/>
        <v>0</v>
      </c>
      <c r="M171" s="64">
        <f t="shared" si="30"/>
        <v>0</v>
      </c>
      <c r="N171" s="64">
        <f t="shared" si="30"/>
        <v>1</v>
      </c>
      <c r="O171" s="13">
        <f t="shared" si="14"/>
        <v>2</v>
      </c>
      <c r="P171" s="5"/>
      <c r="Q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13">
        <f t="shared" si="14"/>
        <v>0</v>
      </c>
      <c r="P172" s="5"/>
      <c r="Q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2.0</v>
      </c>
      <c r="F173" s="60">
        <v>0.0</v>
      </c>
      <c r="G173" s="60">
        <v>3.0</v>
      </c>
      <c r="H173" s="60">
        <v>1.0</v>
      </c>
      <c r="I173" s="60">
        <v>1.0</v>
      </c>
      <c r="J173" s="60">
        <v>3.0</v>
      </c>
      <c r="K173" s="60">
        <v>6.0</v>
      </c>
      <c r="L173" s="60">
        <v>5.0</v>
      </c>
      <c r="M173" s="60">
        <v>7.0</v>
      </c>
      <c r="N173" s="60">
        <v>2.0</v>
      </c>
      <c r="O173" s="13">
        <f t="shared" si="14"/>
        <v>30</v>
      </c>
      <c r="P173" s="5"/>
      <c r="Q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0.0</v>
      </c>
      <c r="F174" s="60">
        <v>1.0</v>
      </c>
      <c r="G174" s="60">
        <v>2.0</v>
      </c>
      <c r="H174" s="60">
        <v>1.0</v>
      </c>
      <c r="I174" s="60">
        <v>0.0</v>
      </c>
      <c r="J174" s="60">
        <v>2.0</v>
      </c>
      <c r="K174" s="60">
        <v>1.0</v>
      </c>
      <c r="L174" s="60">
        <v>1.0</v>
      </c>
      <c r="M174" s="60">
        <v>0.0</v>
      </c>
      <c r="N174" s="60">
        <v>0.0</v>
      </c>
      <c r="O174" s="13">
        <f t="shared" si="14"/>
        <v>8</v>
      </c>
      <c r="P174" s="5"/>
      <c r="Q174" s="5"/>
    </row>
    <row r="175" ht="12.75" customHeight="1">
      <c r="A175" s="18"/>
      <c r="B175" s="57"/>
      <c r="C175" s="58" t="s">
        <v>151</v>
      </c>
      <c r="D175" s="59"/>
      <c r="E175" s="60">
        <v>3.0</v>
      </c>
      <c r="F175" s="60">
        <v>1.0</v>
      </c>
      <c r="G175" s="60">
        <v>0.0</v>
      </c>
      <c r="H175" s="60">
        <v>3.0</v>
      </c>
      <c r="I175" s="60">
        <v>2.0</v>
      </c>
      <c r="J175" s="60">
        <v>2.0</v>
      </c>
      <c r="K175" s="60">
        <v>1.0</v>
      </c>
      <c r="L175" s="60">
        <v>10.0</v>
      </c>
      <c r="M175" s="60">
        <v>2.0</v>
      </c>
      <c r="N175" s="60">
        <v>1.0</v>
      </c>
      <c r="O175" s="13">
        <f t="shared" si="14"/>
        <v>25</v>
      </c>
      <c r="P175" s="5"/>
      <c r="Q175" s="5"/>
    </row>
    <row r="176" ht="12.75" customHeight="1">
      <c r="A176" s="18"/>
      <c r="B176" s="57"/>
      <c r="C176" s="58" t="s">
        <v>152</v>
      </c>
      <c r="D176" s="59"/>
      <c r="E176" s="60">
        <v>18.0</v>
      </c>
      <c r="F176" s="60">
        <v>9.0</v>
      </c>
      <c r="G176" s="60">
        <v>17.0</v>
      </c>
      <c r="H176" s="60">
        <v>33.0</v>
      </c>
      <c r="I176" s="60">
        <v>19.0</v>
      </c>
      <c r="J176" s="60">
        <v>12.0</v>
      </c>
      <c r="K176" s="60">
        <v>27.0</v>
      </c>
      <c r="L176" s="60">
        <v>11.0</v>
      </c>
      <c r="M176" s="60">
        <v>33.0</v>
      </c>
      <c r="N176" s="60">
        <v>26.0</v>
      </c>
      <c r="O176" s="13">
        <f t="shared" si="14"/>
        <v>205</v>
      </c>
      <c r="P176" s="1"/>
      <c r="Q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1.0</v>
      </c>
      <c r="G177" s="60">
        <v>0.0</v>
      </c>
      <c r="H177" s="60">
        <v>0.0</v>
      </c>
      <c r="I177" s="60">
        <v>0.0</v>
      </c>
      <c r="J177" s="60">
        <v>0.0</v>
      </c>
      <c r="K177" s="60">
        <v>1.0</v>
      </c>
      <c r="L177" s="60">
        <v>0.0</v>
      </c>
      <c r="M177" s="60">
        <v>1.0</v>
      </c>
      <c r="N177" s="60">
        <v>0.0</v>
      </c>
      <c r="O177" s="13">
        <f t="shared" si="14"/>
        <v>3</v>
      </c>
    </row>
    <row r="178" ht="12.75" customHeight="1">
      <c r="A178" s="18"/>
      <c r="B178" s="57"/>
      <c r="C178" s="58" t="s">
        <v>154</v>
      </c>
      <c r="D178" s="59"/>
      <c r="E178" s="60">
        <v>2.0</v>
      </c>
      <c r="F178" s="60">
        <v>0.0</v>
      </c>
      <c r="G178" s="60">
        <v>0.0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60">
        <v>0.0</v>
      </c>
      <c r="N178" s="60">
        <v>0.0</v>
      </c>
      <c r="O178" s="13">
        <f t="shared" si="14"/>
        <v>2</v>
      </c>
      <c r="P178" s="5"/>
      <c r="Q178" s="5"/>
    </row>
    <row r="179" ht="12.75" customHeight="1">
      <c r="A179" s="18"/>
      <c r="B179" s="57"/>
      <c r="C179" s="58" t="s">
        <v>155</v>
      </c>
      <c r="D179" s="59"/>
      <c r="E179" s="60">
        <v>1.0</v>
      </c>
      <c r="F179" s="60">
        <v>1.0</v>
      </c>
      <c r="G179" s="60">
        <v>1.0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60">
        <v>0.0</v>
      </c>
      <c r="N179" s="60">
        <v>0.0</v>
      </c>
      <c r="O179" s="13">
        <f t="shared" si="14"/>
        <v>3</v>
      </c>
      <c r="P179" s="5"/>
      <c r="Q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N180" si="31">SUM(E173:E179)</f>
        <v>26</v>
      </c>
      <c r="F180" s="64">
        <f t="shared" si="31"/>
        <v>13</v>
      </c>
      <c r="G180" s="64">
        <f t="shared" si="31"/>
        <v>23</v>
      </c>
      <c r="H180" s="64">
        <f t="shared" si="31"/>
        <v>38</v>
      </c>
      <c r="I180" s="64">
        <f t="shared" si="31"/>
        <v>22</v>
      </c>
      <c r="J180" s="64">
        <f t="shared" si="31"/>
        <v>19</v>
      </c>
      <c r="K180" s="64">
        <f t="shared" si="31"/>
        <v>36</v>
      </c>
      <c r="L180" s="64">
        <f t="shared" si="31"/>
        <v>27</v>
      </c>
      <c r="M180" s="64">
        <f t="shared" si="31"/>
        <v>43</v>
      </c>
      <c r="N180" s="64">
        <f t="shared" si="31"/>
        <v>29</v>
      </c>
      <c r="O180" s="13">
        <f t="shared" si="14"/>
        <v>276</v>
      </c>
      <c r="P180" s="5"/>
      <c r="Q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13">
        <f t="shared" si="14"/>
        <v>0</v>
      </c>
      <c r="P181" s="5"/>
      <c r="Q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0.0</v>
      </c>
      <c r="L182" s="60">
        <v>0.0</v>
      </c>
      <c r="M182" s="60">
        <v>0.0</v>
      </c>
      <c r="N182" s="60">
        <v>0.0</v>
      </c>
      <c r="O182" s="13">
        <f t="shared" si="14"/>
        <v>0</v>
      </c>
      <c r="P182" s="5"/>
      <c r="Q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1.0</v>
      </c>
      <c r="I183" s="60">
        <v>0.0</v>
      </c>
      <c r="J183" s="60">
        <v>0.0</v>
      </c>
      <c r="K183" s="60">
        <v>0.0</v>
      </c>
      <c r="L183" s="60">
        <v>0.0</v>
      </c>
      <c r="M183" s="60">
        <v>0.0</v>
      </c>
      <c r="N183" s="60">
        <v>0.0</v>
      </c>
      <c r="O183" s="13">
        <f t="shared" si="14"/>
        <v>1</v>
      </c>
      <c r="P183" s="5"/>
      <c r="Q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60">
        <v>0.0</v>
      </c>
      <c r="N184" s="60">
        <v>0.0</v>
      </c>
      <c r="O184" s="13">
        <f t="shared" si="14"/>
        <v>0</v>
      </c>
      <c r="P184" s="5"/>
      <c r="Q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60">
        <v>0.0</v>
      </c>
      <c r="N185" s="60">
        <v>1.0</v>
      </c>
      <c r="O185" s="13">
        <f t="shared" si="14"/>
        <v>1</v>
      </c>
      <c r="P185" s="5"/>
      <c r="Q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60">
        <v>0.0</v>
      </c>
      <c r="N186" s="60">
        <v>0.0</v>
      </c>
      <c r="O186" s="13">
        <f t="shared" si="14"/>
        <v>0</v>
      </c>
      <c r="P186" s="5"/>
      <c r="Q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N187" si="32">SUM(E182:E186)</f>
        <v>0</v>
      </c>
      <c r="F187" s="64">
        <f t="shared" si="32"/>
        <v>0</v>
      </c>
      <c r="G187" s="64">
        <f t="shared" si="32"/>
        <v>0</v>
      </c>
      <c r="H187" s="64">
        <f t="shared" si="32"/>
        <v>1</v>
      </c>
      <c r="I187" s="64">
        <f t="shared" si="32"/>
        <v>0</v>
      </c>
      <c r="J187" s="64">
        <f t="shared" si="32"/>
        <v>0</v>
      </c>
      <c r="K187" s="64">
        <f t="shared" si="32"/>
        <v>0</v>
      </c>
      <c r="L187" s="64">
        <f t="shared" si="32"/>
        <v>0</v>
      </c>
      <c r="M187" s="64">
        <f t="shared" si="32"/>
        <v>0</v>
      </c>
      <c r="N187" s="64">
        <f t="shared" si="32"/>
        <v>1</v>
      </c>
      <c r="O187" s="13">
        <f t="shared" si="14"/>
        <v>2</v>
      </c>
      <c r="P187" s="1"/>
      <c r="Q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13">
        <f t="shared" si="14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3">
        <f t="shared" si="14"/>
        <v>0</v>
      </c>
      <c r="P189" s="5"/>
      <c r="Q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74" t="s">
        <v>181</v>
      </c>
      <c r="N190" s="74" t="s">
        <v>183</v>
      </c>
      <c r="O190" s="13">
        <f t="shared" si="14"/>
        <v>0</v>
      </c>
      <c r="P190" s="5"/>
      <c r="Q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N191" si="33">E187+E180+E162+E154+E145+E136+E127+E123+E114+E110+E101+E92+E88+E79+E70+E61+E52</f>
        <v>232</v>
      </c>
      <c r="F191" s="19">
        <f t="shared" si="33"/>
        <v>230</v>
      </c>
      <c r="G191" s="19">
        <f t="shared" si="33"/>
        <v>230</v>
      </c>
      <c r="H191" s="19">
        <f t="shared" si="33"/>
        <v>231</v>
      </c>
      <c r="I191" s="19">
        <f t="shared" si="33"/>
        <v>222</v>
      </c>
      <c r="J191" s="19">
        <f t="shared" si="33"/>
        <v>226</v>
      </c>
      <c r="K191" s="19">
        <f t="shared" si="33"/>
        <v>212</v>
      </c>
      <c r="L191" s="19">
        <f t="shared" si="33"/>
        <v>195</v>
      </c>
      <c r="M191" s="19">
        <f t="shared" si="33"/>
        <v>206</v>
      </c>
      <c r="N191" s="19">
        <f t="shared" si="33"/>
        <v>188</v>
      </c>
      <c r="O191" s="13">
        <f t="shared" si="14"/>
        <v>2172</v>
      </c>
      <c r="P191" s="5"/>
      <c r="Q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11.0</v>
      </c>
      <c r="F192" s="60">
        <v>14.0</v>
      </c>
      <c r="G192" s="60">
        <v>13.0</v>
      </c>
      <c r="H192" s="60">
        <v>8.0</v>
      </c>
      <c r="I192" s="60">
        <v>26.0</v>
      </c>
      <c r="J192" s="60">
        <v>17.0</v>
      </c>
      <c r="K192" s="60">
        <v>19.0</v>
      </c>
      <c r="L192" s="60">
        <v>18.0</v>
      </c>
      <c r="M192" s="60">
        <v>14.0</v>
      </c>
      <c r="N192" s="60">
        <v>28.0</v>
      </c>
      <c r="O192" s="13">
        <f t="shared" si="14"/>
        <v>168</v>
      </c>
      <c r="P192" s="5"/>
      <c r="Q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N193" si="34">SUM(E191:E192)</f>
        <v>243</v>
      </c>
      <c r="F193" s="13">
        <f t="shared" si="34"/>
        <v>244</v>
      </c>
      <c r="G193" s="13">
        <f t="shared" si="34"/>
        <v>243</v>
      </c>
      <c r="H193" s="13">
        <f t="shared" si="34"/>
        <v>239</v>
      </c>
      <c r="I193" s="13">
        <f t="shared" si="34"/>
        <v>248</v>
      </c>
      <c r="J193" s="13">
        <f t="shared" si="34"/>
        <v>243</v>
      </c>
      <c r="K193" s="13">
        <f t="shared" si="34"/>
        <v>231</v>
      </c>
      <c r="L193" s="13">
        <f t="shared" si="34"/>
        <v>213</v>
      </c>
      <c r="M193" s="13">
        <f t="shared" si="34"/>
        <v>220</v>
      </c>
      <c r="N193" s="13">
        <f t="shared" si="34"/>
        <v>216</v>
      </c>
      <c r="O193" s="13">
        <f t="shared" si="14"/>
        <v>2340</v>
      </c>
      <c r="P193" s="5"/>
      <c r="Q193" s="5"/>
    </row>
    <row r="194" ht="12.75" customHeight="1">
      <c r="P194" s="5"/>
      <c r="Q194" s="5"/>
    </row>
    <row r="195" ht="12.75" customHeight="1">
      <c r="P195" s="5"/>
      <c r="Q195" s="5"/>
    </row>
    <row r="196" ht="12.75" customHeight="1">
      <c r="P196" s="1"/>
      <c r="Q196" s="1"/>
    </row>
    <row r="197" ht="12.75" customHeight="1">
      <c r="P197" s="1"/>
      <c r="Q197" s="1"/>
    </row>
    <row r="198" ht="12.75" customHeight="1">
      <c r="P198" s="1"/>
      <c r="Q198" s="1"/>
    </row>
    <row r="199" ht="12.75" customHeight="1">
      <c r="P199" s="54"/>
      <c r="Q199" s="54"/>
    </row>
    <row r="200" ht="12.75" customHeight="1">
      <c r="P200" s="5"/>
      <c r="Q200" s="5"/>
    </row>
    <row r="201" ht="12.75" customHeight="1">
      <c r="P201" s="5"/>
      <c r="Q201" s="5"/>
    </row>
    <row r="202" ht="12.75" customHeight="1">
      <c r="P202" s="5"/>
      <c r="Q202" s="5"/>
    </row>
    <row r="203" ht="12.75" customHeight="1">
      <c r="P203" s="5"/>
      <c r="Q203" s="5"/>
    </row>
    <row r="204" ht="12.75" customHeight="1">
      <c r="P204" s="5"/>
      <c r="Q204" s="5"/>
    </row>
    <row r="205" ht="12.75" customHeight="1">
      <c r="P205" s="5"/>
      <c r="Q205" s="5"/>
    </row>
    <row r="206" ht="12.75" customHeight="1">
      <c r="P206" s="5"/>
      <c r="Q206" s="5"/>
    </row>
    <row r="207" ht="12.75" customHeight="1">
      <c r="P207" s="1"/>
      <c r="Q207" s="1"/>
    </row>
    <row r="208" ht="12.75" customHeight="1">
      <c r="P208" s="54"/>
      <c r="Q208" s="54"/>
    </row>
    <row r="209" ht="12.75" customHeight="1">
      <c r="P209" s="54"/>
      <c r="Q209" s="54"/>
    </row>
    <row r="210" ht="12.75" customHeight="1">
      <c r="P210" s="54"/>
      <c r="Q210" s="54"/>
    </row>
    <row r="211" ht="12.75" customHeight="1">
      <c r="P211" s="5"/>
      <c r="Q211" s="5"/>
    </row>
    <row r="212" ht="12.75" customHeight="1">
      <c r="P212" s="5"/>
      <c r="Q212" s="5"/>
    </row>
    <row r="213" ht="12.75" customHeight="1">
      <c r="P213" s="5"/>
      <c r="Q213" s="5"/>
    </row>
    <row r="214" ht="12.75" customHeight="1">
      <c r="P214" s="5"/>
      <c r="Q214" s="5"/>
    </row>
    <row r="215" ht="12.75" customHeight="1">
      <c r="P215" s="5"/>
      <c r="Q215" s="5"/>
    </row>
    <row r="216" ht="12.75" customHeight="1">
      <c r="P216" s="5"/>
      <c r="Q216" s="5"/>
    </row>
    <row r="217" ht="12.75" customHeight="1">
      <c r="P217" s="5"/>
      <c r="Q217" s="5"/>
    </row>
    <row r="218" ht="12.75" customHeight="1">
      <c r="P218" s="1"/>
      <c r="Q218" s="1"/>
    </row>
    <row r="219" ht="12.75" customHeight="1">
      <c r="P219" s="54"/>
      <c r="Q219" s="54"/>
    </row>
    <row r="220" ht="12.75" customHeight="1">
      <c r="P220" s="5"/>
      <c r="Q220" s="5"/>
    </row>
    <row r="221" ht="12.75" customHeight="1">
      <c r="P221" s="5"/>
      <c r="Q221" s="5"/>
    </row>
    <row r="222" ht="12.75" customHeight="1">
      <c r="P222" s="5"/>
      <c r="Q222" s="5"/>
    </row>
    <row r="223" ht="12.75" customHeight="1">
      <c r="P223" s="5"/>
      <c r="Q223" s="5"/>
    </row>
    <row r="224" ht="12.75" customHeight="1">
      <c r="P224" s="5"/>
      <c r="Q224" s="5"/>
    </row>
    <row r="225" ht="12.75" customHeight="1">
      <c r="P225" s="5"/>
      <c r="Q225" s="5"/>
    </row>
    <row r="226" ht="12.75" customHeight="1">
      <c r="P226" s="5"/>
      <c r="Q226" s="5"/>
    </row>
    <row r="227" ht="12.75" customHeight="1">
      <c r="P227" s="5"/>
      <c r="Q227" s="5"/>
    </row>
    <row r="228" ht="12.75" customHeight="1">
      <c r="P228" s="5"/>
      <c r="Q228" s="5"/>
    </row>
    <row r="229" ht="12.75" customHeight="1">
      <c r="P229" s="1"/>
      <c r="Q229" s="1"/>
    </row>
    <row r="230" ht="12.75" customHeight="1">
      <c r="P230" s="54"/>
      <c r="Q230" s="54"/>
    </row>
    <row r="231" ht="12.75" customHeight="1">
      <c r="P231" s="5"/>
      <c r="Q231" s="5"/>
    </row>
    <row r="232" ht="12.75" customHeight="1">
      <c r="P232" s="5"/>
      <c r="Q232" s="5"/>
    </row>
    <row r="233" ht="12.75" customHeight="1">
      <c r="P233" s="5"/>
      <c r="Q233" s="5"/>
    </row>
    <row r="234" ht="12.75" customHeight="1">
      <c r="P234" s="5"/>
      <c r="Q234" s="5"/>
    </row>
    <row r="235" ht="12.75" customHeight="1">
      <c r="P235" s="5"/>
      <c r="Q235" s="5"/>
    </row>
    <row r="236" ht="12.75" customHeight="1">
      <c r="P236" s="5"/>
      <c r="Q236" s="5"/>
    </row>
    <row r="237" ht="12.75" customHeight="1">
      <c r="P237" s="5"/>
      <c r="Q237" s="5"/>
    </row>
    <row r="238" ht="12.75" customHeight="1">
      <c r="P238" s="5"/>
      <c r="Q238" s="5"/>
    </row>
    <row r="239" ht="12.75" customHeight="1">
      <c r="P239" s="5"/>
      <c r="Q239" s="5"/>
    </row>
    <row r="240" ht="12.75" customHeight="1">
      <c r="P240" s="1"/>
      <c r="Q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E34&lt;&gt;#REF!</formula>
    </cfRule>
  </conditionalFormatting>
  <conditionalFormatting sqref="E45:N51">
    <cfRule type="containsBlanks" dxfId="1" priority="10">
      <formula>LEN(TRIM(E45))=0</formula>
    </cfRule>
  </conditionalFormatting>
  <conditionalFormatting sqref="E54:N60">
    <cfRule type="containsBlanks" dxfId="1" priority="11">
      <formula>LEN(TRIM(E54))=0</formula>
    </cfRule>
  </conditionalFormatting>
  <conditionalFormatting sqref="E63:N69">
    <cfRule type="containsBlanks" dxfId="1" priority="12">
      <formula>LEN(TRIM(E63))=0</formula>
    </cfRule>
  </conditionalFormatting>
  <conditionalFormatting sqref="E72:N78">
    <cfRule type="containsBlanks" dxfId="1" priority="13">
      <formula>LEN(TRIM(E72))=0</formula>
    </cfRule>
  </conditionalFormatting>
  <conditionalFormatting sqref="E81:N87">
    <cfRule type="containsBlanks" dxfId="1" priority="14">
      <formula>LEN(TRIM(E81))=0</formula>
    </cfRule>
  </conditionalFormatting>
  <conditionalFormatting sqref="E90:N91">
    <cfRule type="containsBlanks" dxfId="1" priority="15">
      <formula>LEN(TRIM(E90))=0</formula>
    </cfRule>
  </conditionalFormatting>
  <conditionalFormatting sqref="E94:N100">
    <cfRule type="containsBlanks" dxfId="1" priority="16">
      <formula>LEN(TRIM(E94))=0</formula>
    </cfRule>
  </conditionalFormatting>
  <conditionalFormatting sqref="E103:N109">
    <cfRule type="containsBlanks" dxfId="1" priority="17">
      <formula>LEN(TRIM(E103))=0</formula>
    </cfRule>
  </conditionalFormatting>
  <conditionalFormatting sqref="E112:N113">
    <cfRule type="containsBlanks" dxfId="1" priority="18">
      <formula>LEN(TRIM(E112))=0</formula>
    </cfRule>
  </conditionalFormatting>
  <conditionalFormatting sqref="E116:N122">
    <cfRule type="containsBlanks" dxfId="1" priority="19">
      <formula>LEN(TRIM(E116))=0</formula>
    </cfRule>
  </conditionalFormatting>
  <conditionalFormatting sqref="E125:N126">
    <cfRule type="containsBlanks" dxfId="1" priority="20">
      <formula>LEN(TRIM(E125))=0</formula>
    </cfRule>
  </conditionalFormatting>
  <conditionalFormatting sqref="E129:N135">
    <cfRule type="containsBlanks" dxfId="1" priority="21">
      <formula>LEN(TRIM(E129))=0</formula>
    </cfRule>
  </conditionalFormatting>
  <conditionalFormatting sqref="E138:N144">
    <cfRule type="containsBlanks" dxfId="1" priority="22">
      <formula>LEN(TRIM(E138))=0</formula>
    </cfRule>
  </conditionalFormatting>
  <conditionalFormatting sqref="E147:N153">
    <cfRule type="containsBlanks" dxfId="1" priority="23">
      <formula>LEN(TRIM(E147))=0</formula>
    </cfRule>
  </conditionalFormatting>
  <conditionalFormatting sqref="E156:N161">
    <cfRule type="containsBlanks" dxfId="1" priority="24">
      <formula>LEN(TRIM(E156))=0</formula>
    </cfRule>
  </conditionalFormatting>
  <conditionalFormatting sqref="E164:N170">
    <cfRule type="containsBlanks" dxfId="1" priority="25">
      <formula>LEN(TRIM(E164))=0</formula>
    </cfRule>
  </conditionalFormatting>
  <conditionalFormatting sqref="E173:N179">
    <cfRule type="containsBlanks" dxfId="1" priority="26">
      <formula>LEN(TRIM(E173))=0</formula>
    </cfRule>
  </conditionalFormatting>
  <conditionalFormatting sqref="E182:N186">
    <cfRule type="containsBlanks" dxfId="1" priority="27">
      <formula>LEN(TRIM(E182))=0</formula>
    </cfRule>
  </conditionalFormatting>
  <conditionalFormatting sqref="E191:N192">
    <cfRule type="containsBlanks" dxfId="1" priority="28">
      <formula>LEN(TRIM(E191))=0</formula>
    </cfRule>
  </conditionalFormatting>
  <conditionalFormatting sqref="E193:N193">
    <cfRule type="expression" dxfId="0" priority="29">
      <formula>E193&lt;&gt;#REF!</formula>
    </cfRule>
  </conditionalFormatting>
  <conditionalFormatting sqref="E193:N193">
    <cfRule type="expression" dxfId="2" priority="30">
      <formula>#REF!&lt;&gt;E193</formula>
    </cfRule>
  </conditionalFormatting>
  <conditionalFormatting sqref="E193:N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170</v>
      </c>
      <c r="D9" s="8" t="s">
        <v>209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172</v>
      </c>
      <c r="F13" s="13" t="s">
        <v>173</v>
      </c>
      <c r="G13" s="13" t="s">
        <v>174</v>
      </c>
      <c r="H13" s="13" t="s">
        <v>175</v>
      </c>
      <c r="I13" s="13" t="s">
        <v>176</v>
      </c>
      <c r="J13" s="13" t="s">
        <v>177</v>
      </c>
      <c r="K13" s="13" t="s">
        <v>179</v>
      </c>
      <c r="L13" s="13" t="s">
        <v>180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60">
        <v>146.0</v>
      </c>
      <c r="F14" s="60">
        <v>136.0</v>
      </c>
      <c r="G14" s="60">
        <v>137.0</v>
      </c>
      <c r="H14" s="60">
        <v>146.0</v>
      </c>
      <c r="I14" s="60">
        <v>133.0</v>
      </c>
      <c r="J14" s="60">
        <v>138.0</v>
      </c>
      <c r="K14" s="60">
        <v>141.0</v>
      </c>
      <c r="L14" s="60">
        <v>147.0</v>
      </c>
      <c r="M14" s="13">
        <f t="shared" ref="M14:M16" si="1">SUM(E14:L14)</f>
        <v>1124</v>
      </c>
    </row>
    <row r="15" ht="12.75" customHeight="1">
      <c r="A15" s="18"/>
      <c r="B15" s="26"/>
      <c r="C15" s="27"/>
      <c r="D15" s="19" t="s">
        <v>13</v>
      </c>
      <c r="E15" s="60">
        <v>136.0</v>
      </c>
      <c r="F15" s="60">
        <v>156.0</v>
      </c>
      <c r="G15" s="60">
        <v>135.0</v>
      </c>
      <c r="H15" s="60">
        <v>135.0</v>
      </c>
      <c r="I15" s="60">
        <v>147.0</v>
      </c>
      <c r="J15" s="60">
        <v>144.0</v>
      </c>
      <c r="K15" s="60">
        <v>143.0</v>
      </c>
      <c r="L15" s="60">
        <v>144.0</v>
      </c>
      <c r="M15" s="13">
        <f t="shared" si="1"/>
        <v>1140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282</v>
      </c>
      <c r="F16" s="13">
        <f t="shared" si="2"/>
        <v>292</v>
      </c>
      <c r="G16" s="13">
        <f t="shared" si="2"/>
        <v>272</v>
      </c>
      <c r="H16" s="13">
        <f t="shared" si="2"/>
        <v>281</v>
      </c>
      <c r="I16" s="13">
        <f t="shared" si="2"/>
        <v>280</v>
      </c>
      <c r="J16" s="13">
        <f t="shared" si="2"/>
        <v>282</v>
      </c>
      <c r="K16" s="13">
        <f t="shared" si="2"/>
        <v>284</v>
      </c>
      <c r="L16" s="13">
        <f t="shared" si="2"/>
        <v>291</v>
      </c>
      <c r="M16" s="13">
        <f t="shared" si="1"/>
        <v>2264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3"/>
    </row>
    <row r="18" ht="12.75" customHeight="1">
      <c r="A18" s="31" t="s">
        <v>15</v>
      </c>
      <c r="B18" s="20" t="s">
        <v>16</v>
      </c>
      <c r="C18" s="15"/>
      <c r="D18" s="16"/>
      <c r="E18" s="13" t="s">
        <v>172</v>
      </c>
      <c r="F18" s="13" t="s">
        <v>173</v>
      </c>
      <c r="G18" s="13" t="s">
        <v>174</v>
      </c>
      <c r="H18" s="13" t="s">
        <v>175</v>
      </c>
      <c r="I18" s="13" t="s">
        <v>176</v>
      </c>
      <c r="J18" s="13" t="s">
        <v>177</v>
      </c>
      <c r="K18" s="13" t="s">
        <v>179</v>
      </c>
      <c r="L18" s="13" t="s">
        <v>180</v>
      </c>
      <c r="M18" s="7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60">
        <v>102.0</v>
      </c>
      <c r="F19" s="60">
        <v>116.0</v>
      </c>
      <c r="G19" s="60">
        <v>91.0</v>
      </c>
      <c r="H19" s="60">
        <v>110.0</v>
      </c>
      <c r="I19" s="60">
        <v>103.0</v>
      </c>
      <c r="J19" s="60">
        <v>106.0</v>
      </c>
      <c r="K19" s="60">
        <v>112.0</v>
      </c>
      <c r="L19" s="60">
        <v>129.0</v>
      </c>
      <c r="M19" s="13">
        <f t="shared" ref="M19:M30" si="3">SUM(E19:L19)</f>
        <v>869</v>
      </c>
    </row>
    <row r="20" ht="12.75" customHeight="1">
      <c r="A20" s="34"/>
      <c r="B20" s="27"/>
      <c r="C20" s="35"/>
      <c r="D20" s="19" t="s">
        <v>13</v>
      </c>
      <c r="E20" s="60">
        <v>108.0</v>
      </c>
      <c r="F20" s="60">
        <v>116.0</v>
      </c>
      <c r="G20" s="60">
        <v>101.0</v>
      </c>
      <c r="H20" s="60">
        <v>115.0</v>
      </c>
      <c r="I20" s="60">
        <v>118.0</v>
      </c>
      <c r="J20" s="60">
        <v>126.0</v>
      </c>
      <c r="K20" s="60">
        <v>119.0</v>
      </c>
      <c r="L20" s="60">
        <v>115.0</v>
      </c>
      <c r="M20" s="13">
        <f t="shared" si="3"/>
        <v>918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210</v>
      </c>
      <c r="F21" s="13">
        <f t="shared" si="4"/>
        <v>232</v>
      </c>
      <c r="G21" s="13">
        <f t="shared" si="4"/>
        <v>192</v>
      </c>
      <c r="H21" s="13">
        <f t="shared" si="4"/>
        <v>225</v>
      </c>
      <c r="I21" s="13">
        <f t="shared" si="4"/>
        <v>221</v>
      </c>
      <c r="J21" s="13">
        <f t="shared" si="4"/>
        <v>232</v>
      </c>
      <c r="K21" s="13">
        <f t="shared" si="4"/>
        <v>231</v>
      </c>
      <c r="L21" s="13">
        <f t="shared" si="4"/>
        <v>244</v>
      </c>
      <c r="M21" s="13">
        <f t="shared" si="3"/>
        <v>1787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0">
        <v>1.0</v>
      </c>
      <c r="F22" s="60">
        <v>1.0</v>
      </c>
      <c r="G22" s="60">
        <v>1.0</v>
      </c>
      <c r="H22" s="60">
        <v>0.0</v>
      </c>
      <c r="I22" s="60">
        <v>1.0</v>
      </c>
      <c r="J22" s="60">
        <v>0.0</v>
      </c>
      <c r="K22" s="60">
        <v>0.0</v>
      </c>
      <c r="L22" s="60">
        <v>0.0</v>
      </c>
      <c r="M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60">
        <v>1.0</v>
      </c>
      <c r="F23" s="60">
        <v>1.0</v>
      </c>
      <c r="G23" s="60">
        <v>0.0</v>
      </c>
      <c r="H23" s="60">
        <v>0.0</v>
      </c>
      <c r="I23" s="60">
        <v>0.0</v>
      </c>
      <c r="J23" s="60">
        <v>0.0</v>
      </c>
      <c r="K23" s="60">
        <v>0.0</v>
      </c>
      <c r="L23" s="60">
        <v>0.0</v>
      </c>
      <c r="M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2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60">
        <v>0.0</v>
      </c>
      <c r="F25" s="60">
        <v>0.0</v>
      </c>
      <c r="G25" s="60">
        <v>2.0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60">
        <v>0.0</v>
      </c>
      <c r="F26" s="60">
        <v>0.0</v>
      </c>
      <c r="G26" s="60">
        <v>1.0</v>
      </c>
      <c r="H26" s="60">
        <v>0.0</v>
      </c>
      <c r="I26" s="60">
        <v>0.0</v>
      </c>
      <c r="J26" s="60">
        <v>0.0</v>
      </c>
      <c r="K26" s="60">
        <v>0.0</v>
      </c>
      <c r="L26" s="60">
        <v>0.0</v>
      </c>
      <c r="M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3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L28" si="7">SUM(E19,E22,E25)</f>
        <v>103</v>
      </c>
      <c r="F28" s="13">
        <f t="shared" si="7"/>
        <v>117</v>
      </c>
      <c r="G28" s="13">
        <f t="shared" si="7"/>
        <v>94</v>
      </c>
      <c r="H28" s="13">
        <f t="shared" si="7"/>
        <v>110</v>
      </c>
      <c r="I28" s="13">
        <f t="shared" si="7"/>
        <v>104</v>
      </c>
      <c r="J28" s="13">
        <f t="shared" si="7"/>
        <v>106</v>
      </c>
      <c r="K28" s="13">
        <f t="shared" si="7"/>
        <v>112</v>
      </c>
      <c r="L28" s="13">
        <f t="shared" si="7"/>
        <v>129</v>
      </c>
      <c r="M28" s="13">
        <f t="shared" si="3"/>
        <v>875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109</v>
      </c>
      <c r="F29" s="13">
        <f t="shared" si="8"/>
        <v>117</v>
      </c>
      <c r="G29" s="13">
        <f t="shared" si="8"/>
        <v>102</v>
      </c>
      <c r="H29" s="13">
        <f t="shared" si="8"/>
        <v>115</v>
      </c>
      <c r="I29" s="13">
        <f t="shared" si="8"/>
        <v>118</v>
      </c>
      <c r="J29" s="13">
        <f t="shared" si="8"/>
        <v>126</v>
      </c>
      <c r="K29" s="13">
        <f t="shared" si="8"/>
        <v>119</v>
      </c>
      <c r="L29" s="13">
        <f t="shared" si="8"/>
        <v>115</v>
      </c>
      <c r="M29" s="13">
        <f t="shared" si="3"/>
        <v>921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212</v>
      </c>
      <c r="F30" s="13">
        <f t="shared" si="9"/>
        <v>234</v>
      </c>
      <c r="G30" s="13">
        <f t="shared" si="9"/>
        <v>196</v>
      </c>
      <c r="H30" s="13">
        <f t="shared" si="9"/>
        <v>225</v>
      </c>
      <c r="I30" s="13">
        <f t="shared" si="9"/>
        <v>222</v>
      </c>
      <c r="J30" s="13">
        <f t="shared" si="9"/>
        <v>232</v>
      </c>
      <c r="K30" s="13">
        <f t="shared" si="9"/>
        <v>231</v>
      </c>
      <c r="L30" s="13">
        <f t="shared" si="9"/>
        <v>244</v>
      </c>
      <c r="M30" s="13">
        <f t="shared" si="3"/>
        <v>1796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3"/>
    </row>
    <row r="32" ht="12.75" customHeight="1">
      <c r="A32" s="44" t="s">
        <v>25</v>
      </c>
      <c r="B32" s="14" t="s">
        <v>26</v>
      </c>
      <c r="C32" s="15"/>
      <c r="D32" s="16"/>
      <c r="E32" s="74" t="s">
        <v>172</v>
      </c>
      <c r="F32" s="74" t="s">
        <v>173</v>
      </c>
      <c r="G32" s="74" t="s">
        <v>174</v>
      </c>
      <c r="H32" s="74" t="s">
        <v>175</v>
      </c>
      <c r="I32" s="74" t="s">
        <v>176</v>
      </c>
      <c r="J32" s="74" t="s">
        <v>177</v>
      </c>
      <c r="K32" s="74" t="s">
        <v>179</v>
      </c>
      <c r="L32" s="74" t="s">
        <v>180</v>
      </c>
      <c r="M32" s="73"/>
    </row>
    <row r="33" ht="12.75" customHeight="1">
      <c r="A33" s="19">
        <v>1.0</v>
      </c>
      <c r="B33" s="20" t="s">
        <v>27</v>
      </c>
      <c r="C33" s="15"/>
      <c r="D33" s="16"/>
      <c r="E33" s="60">
        <v>288.0</v>
      </c>
      <c r="F33" s="60">
        <v>298.0</v>
      </c>
      <c r="G33" s="60">
        <v>278.0</v>
      </c>
      <c r="H33" s="60">
        <v>287.0</v>
      </c>
      <c r="I33" s="60">
        <v>286.0</v>
      </c>
      <c r="J33" s="60">
        <v>287.0</v>
      </c>
      <c r="K33" s="60">
        <v>280.0</v>
      </c>
      <c r="L33" s="60">
        <v>288.0</v>
      </c>
      <c r="M33" s="75">
        <v>291.0</v>
      </c>
    </row>
    <row r="34" ht="12.75" customHeight="1">
      <c r="A34" s="19">
        <v>2.0</v>
      </c>
      <c r="B34" s="20" t="s">
        <v>28</v>
      </c>
      <c r="C34" s="15"/>
      <c r="D34" s="16"/>
      <c r="E34" s="75">
        <v>212.0</v>
      </c>
      <c r="F34" s="75">
        <v>234.0</v>
      </c>
      <c r="G34" s="75">
        <v>196.0</v>
      </c>
      <c r="H34" s="75">
        <v>225.0</v>
      </c>
      <c r="I34" s="75">
        <v>222.0</v>
      </c>
      <c r="J34" s="75">
        <v>232.0</v>
      </c>
      <c r="K34" s="75">
        <v>231.0</v>
      </c>
      <c r="L34" s="75">
        <v>244.0</v>
      </c>
      <c r="M34" s="75">
        <v>254.0</v>
      </c>
    </row>
    <row r="35" ht="12.75" customHeight="1">
      <c r="A35" s="19">
        <v>3.0</v>
      </c>
      <c r="B35" s="20" t="s">
        <v>29</v>
      </c>
      <c r="C35" s="15"/>
      <c r="D35" s="16"/>
      <c r="E35" s="60">
        <v>1.0</v>
      </c>
      <c r="F35" s="60">
        <v>0.0</v>
      </c>
      <c r="G35" s="60">
        <v>0.0</v>
      </c>
      <c r="H35" s="60">
        <v>0.0</v>
      </c>
      <c r="I35" s="60">
        <v>0.0</v>
      </c>
      <c r="J35" s="60">
        <v>0.0</v>
      </c>
      <c r="K35" s="60">
        <v>0.0</v>
      </c>
      <c r="L35" s="60">
        <v>0.0</v>
      </c>
      <c r="M35" s="75">
        <v>0.0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0">E33-(E34+E35)</f>
        <v>75</v>
      </c>
      <c r="F36" s="13">
        <f t="shared" si="10"/>
        <v>64</v>
      </c>
      <c r="G36" s="13">
        <f t="shared" si="10"/>
        <v>82</v>
      </c>
      <c r="H36" s="13">
        <f t="shared" si="10"/>
        <v>62</v>
      </c>
      <c r="I36" s="13">
        <f t="shared" si="10"/>
        <v>64</v>
      </c>
      <c r="J36" s="13">
        <f t="shared" si="10"/>
        <v>55</v>
      </c>
      <c r="K36" s="13">
        <f t="shared" si="10"/>
        <v>49</v>
      </c>
      <c r="L36" s="13">
        <f t="shared" si="10"/>
        <v>44</v>
      </c>
      <c r="M36" s="13">
        <f>SUM(E36:L36)</f>
        <v>495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73"/>
    </row>
    <row r="38" ht="12.75" customHeight="1">
      <c r="A38" s="45" t="s">
        <v>31</v>
      </c>
      <c r="B38" s="14" t="s">
        <v>32</v>
      </c>
      <c r="C38" s="15"/>
      <c r="D38" s="16"/>
      <c r="E38" s="74" t="s">
        <v>172</v>
      </c>
      <c r="F38" s="74" t="s">
        <v>173</v>
      </c>
      <c r="G38" s="74" t="s">
        <v>174</v>
      </c>
      <c r="H38" s="74" t="s">
        <v>175</v>
      </c>
      <c r="I38" s="74" t="s">
        <v>176</v>
      </c>
      <c r="J38" s="74" t="s">
        <v>177</v>
      </c>
      <c r="K38" s="74" t="s">
        <v>179</v>
      </c>
      <c r="L38" s="74" t="s">
        <v>180</v>
      </c>
      <c r="M38" s="73"/>
    </row>
    <row r="39" ht="12.75" customHeight="1">
      <c r="A39" s="31"/>
      <c r="B39" s="46" t="s">
        <v>33</v>
      </c>
      <c r="C39" s="23"/>
      <c r="D39" s="19" t="s">
        <v>12</v>
      </c>
      <c r="E39" s="60">
        <v>0.0</v>
      </c>
      <c r="F39" s="60">
        <v>0.0</v>
      </c>
      <c r="G39" s="60">
        <v>2.0</v>
      </c>
      <c r="H39" s="60">
        <v>5.0</v>
      </c>
      <c r="I39" s="60">
        <v>0.0</v>
      </c>
      <c r="J39" s="60">
        <v>0.0</v>
      </c>
      <c r="K39" s="60">
        <v>0.0</v>
      </c>
      <c r="L39" s="60">
        <v>0.0</v>
      </c>
      <c r="M39" s="13">
        <f t="shared" ref="M39:M41" si="11">SUM(E39:L39)</f>
        <v>7</v>
      </c>
    </row>
    <row r="40" ht="12.75" customHeight="1">
      <c r="A40" s="34"/>
      <c r="C40" s="27"/>
      <c r="D40" s="19" t="s">
        <v>13</v>
      </c>
      <c r="E40" s="60">
        <v>0.0</v>
      </c>
      <c r="F40" s="60">
        <v>0.0</v>
      </c>
      <c r="G40" s="60">
        <v>5.0</v>
      </c>
      <c r="H40" s="60">
        <v>10.0</v>
      </c>
      <c r="I40" s="60">
        <v>0.0</v>
      </c>
      <c r="J40" s="60">
        <v>0.0</v>
      </c>
      <c r="K40" s="60">
        <v>0.0</v>
      </c>
      <c r="L40" s="60">
        <v>0.0</v>
      </c>
      <c r="M40" s="13">
        <f t="shared" si="11"/>
        <v>15</v>
      </c>
    </row>
    <row r="41" ht="12.75" customHeight="1">
      <c r="A41" s="44"/>
      <c r="B41" s="47"/>
      <c r="C41" s="28"/>
      <c r="D41" s="13" t="s">
        <v>14</v>
      </c>
      <c r="E41" s="13">
        <f t="shared" ref="E41:L41" si="12">SUM(E39:E40)</f>
        <v>0</v>
      </c>
      <c r="F41" s="13">
        <f t="shared" si="12"/>
        <v>0</v>
      </c>
      <c r="G41" s="13">
        <f t="shared" si="12"/>
        <v>7</v>
      </c>
      <c r="H41" s="13">
        <f t="shared" si="12"/>
        <v>15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1"/>
        <v>22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5" t="s">
        <v>34</v>
      </c>
      <c r="B43" s="14" t="s">
        <v>35</v>
      </c>
      <c r="C43" s="15"/>
      <c r="D43" s="16"/>
      <c r="E43" s="74" t="s">
        <v>172</v>
      </c>
      <c r="F43" s="74" t="s">
        <v>173</v>
      </c>
      <c r="G43" s="74" t="s">
        <v>174</v>
      </c>
      <c r="H43" s="74" t="s">
        <v>175</v>
      </c>
      <c r="I43" s="74" t="s">
        <v>176</v>
      </c>
      <c r="J43" s="74" t="s">
        <v>177</v>
      </c>
      <c r="K43" s="74" t="s">
        <v>179</v>
      </c>
      <c r="L43" s="74" t="s">
        <v>180</v>
      </c>
      <c r="M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60">
        <v>5.0</v>
      </c>
      <c r="F45" s="60">
        <v>11.0</v>
      </c>
      <c r="G45" s="60">
        <v>8.0</v>
      </c>
      <c r="H45" s="60">
        <v>3.0</v>
      </c>
      <c r="I45" s="60">
        <v>5.0</v>
      </c>
      <c r="J45" s="60">
        <v>8.0</v>
      </c>
      <c r="K45" s="60">
        <v>7.0</v>
      </c>
      <c r="L45" s="60">
        <v>8.0</v>
      </c>
      <c r="M45" s="13">
        <f t="shared" ref="M45:M193" si="13">SUM(E45:L45)</f>
        <v>55</v>
      </c>
    </row>
    <row r="46" ht="12.75" customHeight="1">
      <c r="A46" s="31" t="s">
        <v>39</v>
      </c>
      <c r="B46" s="57"/>
      <c r="C46" s="58" t="s">
        <v>40</v>
      </c>
      <c r="D46" s="59"/>
      <c r="E46" s="60">
        <v>5.0</v>
      </c>
      <c r="F46" s="60">
        <v>31.0</v>
      </c>
      <c r="G46" s="60">
        <v>15.0</v>
      </c>
      <c r="H46" s="60">
        <v>12.0</v>
      </c>
      <c r="I46" s="60">
        <v>7.0</v>
      </c>
      <c r="J46" s="60">
        <v>20.0</v>
      </c>
      <c r="K46" s="60">
        <v>15.0</v>
      </c>
      <c r="L46" s="60">
        <v>13.0</v>
      </c>
      <c r="M46" s="13">
        <f t="shared" si="13"/>
        <v>118</v>
      </c>
    </row>
    <row r="47" ht="12.75" customHeight="1">
      <c r="A47" s="18"/>
      <c r="B47" s="57"/>
      <c r="C47" s="58" t="s">
        <v>41</v>
      </c>
      <c r="D47" s="59"/>
      <c r="E47" s="60">
        <v>0.0</v>
      </c>
      <c r="F47" s="60">
        <v>0.0</v>
      </c>
      <c r="G47" s="60">
        <v>3.0</v>
      </c>
      <c r="H47" s="60">
        <v>2.0</v>
      </c>
      <c r="I47" s="60">
        <v>3.0</v>
      </c>
      <c r="J47" s="60">
        <v>1.0</v>
      </c>
      <c r="K47" s="60">
        <v>0.0</v>
      </c>
      <c r="L47" s="60">
        <v>0.0</v>
      </c>
      <c r="M47" s="13">
        <f t="shared" si="13"/>
        <v>9</v>
      </c>
    </row>
    <row r="48" ht="12.75" customHeight="1">
      <c r="A48" s="18"/>
      <c r="B48" s="57"/>
      <c r="C48" s="58" t="s">
        <v>42</v>
      </c>
      <c r="D48" s="59"/>
      <c r="E48" s="60">
        <v>1.0</v>
      </c>
      <c r="F48" s="60">
        <v>0.0</v>
      </c>
      <c r="G48" s="60">
        <v>0.0</v>
      </c>
      <c r="H48" s="60">
        <v>0.0</v>
      </c>
      <c r="I48" s="60">
        <v>1.0</v>
      </c>
      <c r="J48" s="60">
        <v>0.0</v>
      </c>
      <c r="K48" s="60">
        <v>0.0</v>
      </c>
      <c r="L48" s="60">
        <v>1.0</v>
      </c>
      <c r="M48" s="13">
        <f t="shared" si="13"/>
        <v>3</v>
      </c>
    </row>
    <row r="49" ht="12.75" customHeight="1">
      <c r="A49" s="18"/>
      <c r="B49" s="57"/>
      <c r="C49" s="58" t="s">
        <v>43</v>
      </c>
      <c r="D49" s="59"/>
      <c r="E49" s="60">
        <v>0.0</v>
      </c>
      <c r="F49" s="60">
        <v>0.0</v>
      </c>
      <c r="G49" s="60">
        <v>0.0</v>
      </c>
      <c r="H49" s="60">
        <v>0.0</v>
      </c>
      <c r="I49" s="60">
        <v>0.0</v>
      </c>
      <c r="J49" s="60">
        <v>0.0</v>
      </c>
      <c r="K49" s="60">
        <v>0.0</v>
      </c>
      <c r="L49" s="60">
        <v>0.0</v>
      </c>
      <c r="M49" s="13">
        <f t="shared" si="13"/>
        <v>0</v>
      </c>
    </row>
    <row r="50" ht="12.75" customHeight="1">
      <c r="A50" s="18"/>
      <c r="B50" s="57"/>
      <c r="C50" s="58" t="s">
        <v>44</v>
      </c>
      <c r="D50" s="59"/>
      <c r="E50" s="60">
        <v>1.0</v>
      </c>
      <c r="F50" s="60">
        <v>2.0</v>
      </c>
      <c r="G50" s="60">
        <v>1.0</v>
      </c>
      <c r="H50" s="60">
        <v>0.0</v>
      </c>
      <c r="I50" s="60">
        <v>0.0</v>
      </c>
      <c r="J50" s="60">
        <v>1.0</v>
      </c>
      <c r="K50" s="60">
        <v>3.0</v>
      </c>
      <c r="L50" s="60">
        <v>1.0</v>
      </c>
      <c r="M50" s="13">
        <f t="shared" si="13"/>
        <v>9</v>
      </c>
    </row>
    <row r="51" ht="12.75" customHeight="1">
      <c r="A51" s="18"/>
      <c r="B51" s="57"/>
      <c r="C51" s="58" t="s">
        <v>45</v>
      </c>
      <c r="D51" s="59"/>
      <c r="E51" s="60">
        <v>0.0</v>
      </c>
      <c r="F51" s="60">
        <v>0.0</v>
      </c>
      <c r="G51" s="60">
        <v>0.0</v>
      </c>
      <c r="H51" s="60">
        <v>1.0</v>
      </c>
      <c r="I51" s="60">
        <v>0.0</v>
      </c>
      <c r="J51" s="60">
        <v>0.0</v>
      </c>
      <c r="K51" s="60">
        <v>0.0</v>
      </c>
      <c r="L51" s="60">
        <v>0.0</v>
      </c>
      <c r="M51" s="13">
        <f t="shared" si="13"/>
        <v>1</v>
      </c>
    </row>
    <row r="52" ht="12.75" customHeight="1">
      <c r="A52" s="19" t="s">
        <v>15</v>
      </c>
      <c r="B52" s="50" t="s">
        <v>46</v>
      </c>
      <c r="C52" s="15"/>
      <c r="D52" s="16"/>
      <c r="E52" s="64">
        <f t="shared" ref="E52:L52" si="14">SUM(E45:E51)</f>
        <v>12</v>
      </c>
      <c r="F52" s="64">
        <f t="shared" si="14"/>
        <v>44</v>
      </c>
      <c r="G52" s="64">
        <f t="shared" si="14"/>
        <v>27</v>
      </c>
      <c r="H52" s="64">
        <f t="shared" si="14"/>
        <v>18</v>
      </c>
      <c r="I52" s="64">
        <f t="shared" si="14"/>
        <v>16</v>
      </c>
      <c r="J52" s="64">
        <f t="shared" si="14"/>
        <v>30</v>
      </c>
      <c r="K52" s="64">
        <f t="shared" si="14"/>
        <v>25</v>
      </c>
      <c r="L52" s="64">
        <f t="shared" si="14"/>
        <v>23</v>
      </c>
      <c r="M52" s="13">
        <f t="shared" si="13"/>
        <v>195</v>
      </c>
    </row>
    <row r="53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13">
        <f t="shared" si="13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60">
        <v>8.0</v>
      </c>
      <c r="F54" s="60">
        <v>5.0</v>
      </c>
      <c r="G54" s="60">
        <v>16.0</v>
      </c>
      <c r="H54" s="60">
        <v>20.0</v>
      </c>
      <c r="I54" s="60">
        <v>15.0</v>
      </c>
      <c r="J54" s="60">
        <v>8.0</v>
      </c>
      <c r="K54" s="60">
        <v>12.0</v>
      </c>
      <c r="L54" s="60">
        <v>26.0</v>
      </c>
      <c r="M54" s="13">
        <f t="shared" si="13"/>
        <v>110</v>
      </c>
    </row>
    <row r="55" ht="15.0" customHeight="1">
      <c r="A55" s="31" t="s">
        <v>39</v>
      </c>
      <c r="B55" s="57"/>
      <c r="C55" s="58" t="s">
        <v>48</v>
      </c>
      <c r="D55" s="59"/>
      <c r="E55" s="60">
        <v>4.0</v>
      </c>
      <c r="F55" s="60">
        <v>2.0</v>
      </c>
      <c r="G55" s="60">
        <v>4.0</v>
      </c>
      <c r="H55" s="60">
        <v>1.0</v>
      </c>
      <c r="I55" s="60">
        <v>0.0</v>
      </c>
      <c r="J55" s="60">
        <v>2.0</v>
      </c>
      <c r="K55" s="60">
        <v>3.0</v>
      </c>
      <c r="L55" s="60">
        <v>4.0</v>
      </c>
      <c r="M55" s="13">
        <f t="shared" si="13"/>
        <v>20</v>
      </c>
    </row>
    <row r="56" ht="12.75" customHeight="1">
      <c r="A56" s="18"/>
      <c r="B56" s="57"/>
      <c r="C56" s="58" t="s">
        <v>49</v>
      </c>
      <c r="D56" s="59"/>
      <c r="E56" s="60">
        <v>19.0</v>
      </c>
      <c r="F56" s="60">
        <v>11.0</v>
      </c>
      <c r="G56" s="60">
        <v>9.0</v>
      </c>
      <c r="H56" s="60">
        <v>4.0</v>
      </c>
      <c r="I56" s="60">
        <v>16.0</v>
      </c>
      <c r="J56" s="60">
        <v>16.0</v>
      </c>
      <c r="K56" s="60">
        <v>23.0</v>
      </c>
      <c r="L56" s="60">
        <v>10.0</v>
      </c>
      <c r="M56" s="13">
        <f t="shared" si="13"/>
        <v>108</v>
      </c>
    </row>
    <row r="57" ht="12.75" customHeight="1">
      <c r="A57" s="18"/>
      <c r="B57" s="57"/>
      <c r="C57" s="58" t="s">
        <v>50</v>
      </c>
      <c r="D57" s="59"/>
      <c r="E57" s="60">
        <v>1.0</v>
      </c>
      <c r="F57" s="60">
        <v>0.0</v>
      </c>
      <c r="G57" s="60">
        <v>1.0</v>
      </c>
      <c r="H57" s="60">
        <v>1.0</v>
      </c>
      <c r="I57" s="60">
        <v>0.0</v>
      </c>
      <c r="J57" s="60">
        <v>1.0</v>
      </c>
      <c r="K57" s="60">
        <v>1.0</v>
      </c>
      <c r="L57" s="60">
        <v>0.0</v>
      </c>
      <c r="M57" s="13">
        <f t="shared" si="13"/>
        <v>5</v>
      </c>
    </row>
    <row r="58" ht="12.75" customHeight="1">
      <c r="A58" s="18"/>
      <c r="B58" s="57"/>
      <c r="C58" s="58" t="s">
        <v>51</v>
      </c>
      <c r="D58" s="59"/>
      <c r="E58" s="60">
        <v>0.0</v>
      </c>
      <c r="F58" s="60">
        <v>0.0</v>
      </c>
      <c r="G58" s="60">
        <v>0.0</v>
      </c>
      <c r="H58" s="60">
        <v>2.0</v>
      </c>
      <c r="I58" s="60">
        <v>1.0</v>
      </c>
      <c r="J58" s="60">
        <v>2.0</v>
      </c>
      <c r="K58" s="60">
        <v>0.0</v>
      </c>
      <c r="L58" s="60">
        <v>1.0</v>
      </c>
      <c r="M58" s="13">
        <f t="shared" si="13"/>
        <v>6</v>
      </c>
    </row>
    <row r="59" ht="12.75" customHeight="1">
      <c r="A59" s="18"/>
      <c r="B59" s="57"/>
      <c r="C59" s="58" t="s">
        <v>52</v>
      </c>
      <c r="D59" s="59"/>
      <c r="E59" s="60">
        <v>6.0</v>
      </c>
      <c r="F59" s="60">
        <v>4.0</v>
      </c>
      <c r="G59" s="60">
        <v>0.0</v>
      </c>
      <c r="H59" s="60">
        <v>4.0</v>
      </c>
      <c r="I59" s="60">
        <v>18.0</v>
      </c>
      <c r="J59" s="60">
        <v>20.0</v>
      </c>
      <c r="K59" s="60">
        <v>13.0</v>
      </c>
      <c r="L59" s="60">
        <v>8.0</v>
      </c>
      <c r="M59" s="13">
        <f t="shared" si="13"/>
        <v>73</v>
      </c>
    </row>
    <row r="60" ht="12.75" customHeight="1">
      <c r="A60" s="18"/>
      <c r="B60" s="57"/>
      <c r="C60" s="58" t="s">
        <v>53</v>
      </c>
      <c r="D60" s="59"/>
      <c r="E60" s="60">
        <v>0.0</v>
      </c>
      <c r="F60" s="60">
        <v>0.0</v>
      </c>
      <c r="G60" s="60">
        <v>0.0</v>
      </c>
      <c r="H60" s="60">
        <v>0.0</v>
      </c>
      <c r="I60" s="60">
        <v>0.0</v>
      </c>
      <c r="J60" s="60">
        <v>1.0</v>
      </c>
      <c r="K60" s="60">
        <v>0.0</v>
      </c>
      <c r="L60" s="60">
        <v>0.0</v>
      </c>
      <c r="M60" s="13">
        <f t="shared" si="13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4">
        <f t="shared" ref="E61:L61" si="15">SUM(E54:E60)</f>
        <v>38</v>
      </c>
      <c r="F61" s="64">
        <f t="shared" si="15"/>
        <v>22</v>
      </c>
      <c r="G61" s="64">
        <f t="shared" si="15"/>
        <v>30</v>
      </c>
      <c r="H61" s="64">
        <f t="shared" si="15"/>
        <v>32</v>
      </c>
      <c r="I61" s="64">
        <f t="shared" si="15"/>
        <v>50</v>
      </c>
      <c r="J61" s="64">
        <f t="shared" si="15"/>
        <v>50</v>
      </c>
      <c r="K61" s="64">
        <f t="shared" si="15"/>
        <v>52</v>
      </c>
      <c r="L61" s="64">
        <f t="shared" si="15"/>
        <v>49</v>
      </c>
      <c r="M61" s="13">
        <f t="shared" si="13"/>
        <v>323</v>
      </c>
    </row>
    <row r="62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13">
        <f t="shared" si="13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60">
        <v>3.0</v>
      </c>
      <c r="F63" s="60">
        <v>1.0</v>
      </c>
      <c r="G63" s="60">
        <v>3.0</v>
      </c>
      <c r="H63" s="60">
        <v>4.0</v>
      </c>
      <c r="I63" s="60">
        <v>2.0</v>
      </c>
      <c r="J63" s="60">
        <v>4.0</v>
      </c>
      <c r="K63" s="60">
        <v>1.0</v>
      </c>
      <c r="L63" s="60">
        <v>2.0</v>
      </c>
      <c r="M63" s="13">
        <f t="shared" si="13"/>
        <v>20</v>
      </c>
    </row>
    <row r="64" ht="12.75" customHeight="1">
      <c r="A64" s="31" t="s">
        <v>39</v>
      </c>
      <c r="B64" s="57"/>
      <c r="C64" s="58" t="s">
        <v>55</v>
      </c>
      <c r="D64" s="59"/>
      <c r="E64" s="60">
        <v>0.0</v>
      </c>
      <c r="F64" s="60">
        <v>0.0</v>
      </c>
      <c r="G64" s="60">
        <v>1.0</v>
      </c>
      <c r="H64" s="60">
        <v>0.0</v>
      </c>
      <c r="I64" s="60">
        <v>0.0</v>
      </c>
      <c r="J64" s="60">
        <v>2.0</v>
      </c>
      <c r="K64" s="60">
        <v>0.0</v>
      </c>
      <c r="L64" s="60">
        <v>2.0</v>
      </c>
      <c r="M64" s="13">
        <f t="shared" si="13"/>
        <v>5</v>
      </c>
    </row>
    <row r="65" ht="12.75" customHeight="1">
      <c r="A65" s="18"/>
      <c r="B65" s="57"/>
      <c r="C65" s="58" t="s">
        <v>56</v>
      </c>
      <c r="D65" s="59"/>
      <c r="E65" s="60">
        <v>0.0</v>
      </c>
      <c r="F65" s="60">
        <v>1.0</v>
      </c>
      <c r="G65" s="60">
        <v>0.0</v>
      </c>
      <c r="H65" s="60">
        <v>7.0</v>
      </c>
      <c r="I65" s="60">
        <v>2.0</v>
      </c>
      <c r="J65" s="60">
        <v>1.0</v>
      </c>
      <c r="K65" s="60">
        <v>0.0</v>
      </c>
      <c r="L65" s="60">
        <v>2.0</v>
      </c>
      <c r="M65" s="13">
        <f t="shared" si="13"/>
        <v>13</v>
      </c>
    </row>
    <row r="66" ht="12.75" customHeight="1">
      <c r="A66" s="18"/>
      <c r="B66" s="57"/>
      <c r="C66" s="58" t="s">
        <v>57</v>
      </c>
      <c r="D66" s="59"/>
      <c r="E66" s="60">
        <v>1.0</v>
      </c>
      <c r="F66" s="60">
        <v>8.0</v>
      </c>
      <c r="G66" s="60">
        <v>2.0</v>
      </c>
      <c r="H66" s="60">
        <v>1.0</v>
      </c>
      <c r="I66" s="60">
        <v>0.0</v>
      </c>
      <c r="J66" s="60">
        <v>1.0</v>
      </c>
      <c r="K66" s="60">
        <v>0.0</v>
      </c>
      <c r="L66" s="60">
        <v>3.0</v>
      </c>
      <c r="M66" s="13">
        <f t="shared" si="13"/>
        <v>16</v>
      </c>
    </row>
    <row r="67" ht="12.75" customHeight="1">
      <c r="A67" s="18"/>
      <c r="B67" s="57"/>
      <c r="C67" s="58" t="s">
        <v>58</v>
      </c>
      <c r="D67" s="59"/>
      <c r="E67" s="60">
        <v>0.0</v>
      </c>
      <c r="F67" s="60">
        <v>0.0</v>
      </c>
      <c r="G67" s="60">
        <v>0.0</v>
      </c>
      <c r="H67" s="60">
        <v>0.0</v>
      </c>
      <c r="I67" s="60">
        <v>0.0</v>
      </c>
      <c r="J67" s="60">
        <v>0.0</v>
      </c>
      <c r="K67" s="60">
        <v>0.0</v>
      </c>
      <c r="L67" s="60">
        <v>0.0</v>
      </c>
      <c r="M67" s="13">
        <f t="shared" si="13"/>
        <v>0</v>
      </c>
    </row>
    <row r="68" ht="12.75" customHeight="1">
      <c r="A68" s="18"/>
      <c r="B68" s="57"/>
      <c r="C68" s="58" t="s">
        <v>59</v>
      </c>
      <c r="D68" s="59"/>
      <c r="E68" s="60">
        <v>9.0</v>
      </c>
      <c r="F68" s="60">
        <v>3.0</v>
      </c>
      <c r="G68" s="60">
        <v>11.0</v>
      </c>
      <c r="H68" s="60">
        <v>5.0</v>
      </c>
      <c r="I68" s="60">
        <v>9.0</v>
      </c>
      <c r="J68" s="60">
        <v>13.0</v>
      </c>
      <c r="K68" s="60">
        <v>2.0</v>
      </c>
      <c r="L68" s="60">
        <v>2.0</v>
      </c>
      <c r="M68" s="13">
        <f t="shared" si="13"/>
        <v>54</v>
      </c>
    </row>
    <row r="69" ht="12.75" customHeight="1">
      <c r="A69" s="18"/>
      <c r="B69" s="57"/>
      <c r="C69" s="58" t="s">
        <v>60</v>
      </c>
      <c r="D69" s="59"/>
      <c r="E69" s="60">
        <v>0.0</v>
      </c>
      <c r="F69" s="60">
        <v>0.0</v>
      </c>
      <c r="G69" s="60">
        <v>0.0</v>
      </c>
      <c r="H69" s="60">
        <v>0.0</v>
      </c>
      <c r="I69" s="60">
        <v>0.0</v>
      </c>
      <c r="J69" s="60">
        <v>2.0</v>
      </c>
      <c r="K69" s="60">
        <v>0.0</v>
      </c>
      <c r="L69" s="60">
        <v>0.0</v>
      </c>
      <c r="M69" s="13">
        <f t="shared" si="13"/>
        <v>2</v>
      </c>
    </row>
    <row r="70" ht="12.75" customHeight="1">
      <c r="A70" s="19" t="s">
        <v>15</v>
      </c>
      <c r="B70" s="50" t="s">
        <v>46</v>
      </c>
      <c r="C70" s="15"/>
      <c r="D70" s="16"/>
      <c r="E70" s="64">
        <f t="shared" ref="E70:L70" si="16">SUM(E63:E69)</f>
        <v>13</v>
      </c>
      <c r="F70" s="64">
        <f t="shared" si="16"/>
        <v>13</v>
      </c>
      <c r="G70" s="64">
        <f t="shared" si="16"/>
        <v>17</v>
      </c>
      <c r="H70" s="64">
        <f t="shared" si="16"/>
        <v>17</v>
      </c>
      <c r="I70" s="64">
        <f t="shared" si="16"/>
        <v>13</v>
      </c>
      <c r="J70" s="64">
        <f t="shared" si="16"/>
        <v>23</v>
      </c>
      <c r="K70" s="64">
        <f t="shared" si="16"/>
        <v>3</v>
      </c>
      <c r="L70" s="64">
        <f t="shared" si="16"/>
        <v>11</v>
      </c>
      <c r="M70" s="13">
        <f t="shared" si="13"/>
        <v>110</v>
      </c>
    </row>
    <row r="71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3">
        <f t="shared" si="13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60">
        <v>3.0</v>
      </c>
      <c r="F72" s="60">
        <v>0.0</v>
      </c>
      <c r="G72" s="60">
        <v>5.0</v>
      </c>
      <c r="H72" s="60">
        <v>10.0</v>
      </c>
      <c r="I72" s="60">
        <v>5.0</v>
      </c>
      <c r="J72" s="60">
        <v>5.0</v>
      </c>
      <c r="K72" s="60">
        <v>3.0</v>
      </c>
      <c r="L72" s="60">
        <v>13.0</v>
      </c>
      <c r="M72" s="13">
        <f t="shared" si="13"/>
        <v>44</v>
      </c>
    </row>
    <row r="73" ht="12.75" customHeight="1">
      <c r="A73" s="31" t="s">
        <v>39</v>
      </c>
      <c r="B73" s="57"/>
      <c r="C73" s="58" t="s">
        <v>62</v>
      </c>
      <c r="D73" s="59"/>
      <c r="E73" s="60">
        <v>9.0</v>
      </c>
      <c r="F73" s="60">
        <v>2.0</v>
      </c>
      <c r="G73" s="60">
        <v>11.0</v>
      </c>
      <c r="H73" s="60">
        <v>11.0</v>
      </c>
      <c r="I73" s="60">
        <v>6.0</v>
      </c>
      <c r="J73" s="60">
        <v>3.0</v>
      </c>
      <c r="K73" s="60">
        <v>9.0</v>
      </c>
      <c r="L73" s="60">
        <v>3.0</v>
      </c>
      <c r="M73" s="13">
        <f t="shared" si="13"/>
        <v>54</v>
      </c>
    </row>
    <row r="74" ht="12.75" customHeight="1">
      <c r="A74" s="18"/>
      <c r="B74" s="57"/>
      <c r="C74" s="58" t="s">
        <v>63</v>
      </c>
      <c r="D74" s="59"/>
      <c r="E74" s="60">
        <v>2.0</v>
      </c>
      <c r="F74" s="60">
        <v>1.0</v>
      </c>
      <c r="G74" s="60">
        <v>1.0</v>
      </c>
      <c r="H74" s="60">
        <v>0.0</v>
      </c>
      <c r="I74" s="60">
        <v>3.0</v>
      </c>
      <c r="J74" s="60">
        <v>0.0</v>
      </c>
      <c r="K74" s="60">
        <v>0.0</v>
      </c>
      <c r="L74" s="60">
        <v>0.0</v>
      </c>
      <c r="M74" s="13">
        <f t="shared" si="13"/>
        <v>7</v>
      </c>
    </row>
    <row r="75" ht="12.75" customHeight="1">
      <c r="A75" s="18"/>
      <c r="B75" s="57"/>
      <c r="C75" s="58" t="s">
        <v>64</v>
      </c>
      <c r="D75" s="59"/>
      <c r="E75" s="60">
        <v>0.0</v>
      </c>
      <c r="F75" s="60">
        <v>1.0</v>
      </c>
      <c r="G75" s="60">
        <v>1.0</v>
      </c>
      <c r="H75" s="60">
        <v>1.0</v>
      </c>
      <c r="I75" s="60">
        <v>1.0</v>
      </c>
      <c r="J75" s="60">
        <v>0.0</v>
      </c>
      <c r="K75" s="60">
        <v>0.0</v>
      </c>
      <c r="L75" s="60">
        <v>1.0</v>
      </c>
      <c r="M75" s="13">
        <f t="shared" si="13"/>
        <v>5</v>
      </c>
    </row>
    <row r="76" ht="12.75" customHeight="1">
      <c r="A76" s="18"/>
      <c r="B76" s="57"/>
      <c r="C76" s="58" t="s">
        <v>65</v>
      </c>
      <c r="D76" s="59"/>
      <c r="E76" s="60">
        <v>14.0</v>
      </c>
      <c r="F76" s="60">
        <v>21.0</v>
      </c>
      <c r="G76" s="60">
        <v>5.0</v>
      </c>
      <c r="H76" s="60">
        <v>8.0</v>
      </c>
      <c r="I76" s="60">
        <v>15.0</v>
      </c>
      <c r="J76" s="60">
        <v>17.0</v>
      </c>
      <c r="K76" s="60">
        <v>6.0</v>
      </c>
      <c r="L76" s="60">
        <v>3.0</v>
      </c>
      <c r="M76" s="13">
        <f t="shared" si="13"/>
        <v>89</v>
      </c>
    </row>
    <row r="77" ht="12.75" customHeight="1">
      <c r="A77" s="18"/>
      <c r="B77" s="57"/>
      <c r="C77" s="58" t="s">
        <v>66</v>
      </c>
      <c r="D77" s="59"/>
      <c r="E77" s="60">
        <v>0.0</v>
      </c>
      <c r="F77" s="60">
        <v>0.0</v>
      </c>
      <c r="G77" s="60">
        <v>0.0</v>
      </c>
      <c r="H77" s="60">
        <v>0.0</v>
      </c>
      <c r="I77" s="60">
        <v>0.0</v>
      </c>
      <c r="J77" s="60">
        <v>0.0</v>
      </c>
      <c r="K77" s="60">
        <v>0.0</v>
      </c>
      <c r="L77" s="60">
        <v>0.0</v>
      </c>
      <c r="M77" s="13">
        <f t="shared" si="13"/>
        <v>0</v>
      </c>
    </row>
    <row r="78" ht="12.75" customHeight="1">
      <c r="A78" s="18"/>
      <c r="B78" s="57"/>
      <c r="C78" s="58" t="s">
        <v>67</v>
      </c>
      <c r="D78" s="59"/>
      <c r="E78" s="60">
        <v>0.0</v>
      </c>
      <c r="F78" s="60">
        <v>0.0</v>
      </c>
      <c r="G78" s="60">
        <v>1.0</v>
      </c>
      <c r="H78" s="60">
        <v>0.0</v>
      </c>
      <c r="I78" s="60">
        <v>0.0</v>
      </c>
      <c r="J78" s="60">
        <v>0.0</v>
      </c>
      <c r="K78" s="60">
        <v>0.0</v>
      </c>
      <c r="L78" s="60">
        <v>0.0</v>
      </c>
      <c r="M78" s="13">
        <f t="shared" si="13"/>
        <v>1</v>
      </c>
    </row>
    <row r="79" ht="12.75" customHeight="1">
      <c r="A79" s="19" t="s">
        <v>15</v>
      </c>
      <c r="B79" s="50" t="s">
        <v>46</v>
      </c>
      <c r="C79" s="15"/>
      <c r="D79" s="16"/>
      <c r="E79" s="64">
        <f t="shared" ref="E79:L79" si="17">SUM(E72:E78)</f>
        <v>28</v>
      </c>
      <c r="F79" s="64">
        <f t="shared" si="17"/>
        <v>25</v>
      </c>
      <c r="G79" s="64">
        <f t="shared" si="17"/>
        <v>24</v>
      </c>
      <c r="H79" s="64">
        <f t="shared" si="17"/>
        <v>30</v>
      </c>
      <c r="I79" s="64">
        <f t="shared" si="17"/>
        <v>30</v>
      </c>
      <c r="J79" s="64">
        <f t="shared" si="17"/>
        <v>25</v>
      </c>
      <c r="K79" s="64">
        <f t="shared" si="17"/>
        <v>18</v>
      </c>
      <c r="L79" s="64">
        <f t="shared" si="17"/>
        <v>20</v>
      </c>
      <c r="M79" s="13">
        <f t="shared" si="13"/>
        <v>200</v>
      </c>
    </row>
    <row r="80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3">
        <f t="shared" si="13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60">
        <v>6.0</v>
      </c>
      <c r="F81" s="60">
        <v>2.0</v>
      </c>
      <c r="G81" s="60">
        <v>1.0</v>
      </c>
      <c r="H81" s="60">
        <v>1.0</v>
      </c>
      <c r="I81" s="60">
        <v>3.0</v>
      </c>
      <c r="J81" s="60">
        <v>1.0</v>
      </c>
      <c r="K81" s="60">
        <v>2.0</v>
      </c>
      <c r="L81" s="60">
        <v>1.0</v>
      </c>
      <c r="M81" s="13">
        <f t="shared" si="13"/>
        <v>17</v>
      </c>
    </row>
    <row r="82" ht="12.75" customHeight="1">
      <c r="A82" s="31" t="s">
        <v>39</v>
      </c>
      <c r="B82" s="57"/>
      <c r="C82" s="58" t="s">
        <v>70</v>
      </c>
      <c r="D82" s="59"/>
      <c r="E82" s="60">
        <v>4.0</v>
      </c>
      <c r="F82" s="60">
        <v>3.0</v>
      </c>
      <c r="G82" s="60">
        <v>7.0</v>
      </c>
      <c r="H82" s="60">
        <v>1.0</v>
      </c>
      <c r="I82" s="60">
        <v>5.0</v>
      </c>
      <c r="J82" s="60">
        <v>12.0</v>
      </c>
      <c r="K82" s="60">
        <v>6.0</v>
      </c>
      <c r="L82" s="60">
        <v>4.0</v>
      </c>
      <c r="M82" s="13">
        <f t="shared" si="13"/>
        <v>42</v>
      </c>
    </row>
    <row r="83" ht="12.75" customHeight="1">
      <c r="A83" s="18"/>
      <c r="B83" s="57"/>
      <c r="C83" s="58" t="s">
        <v>71</v>
      </c>
      <c r="D83" s="59"/>
      <c r="E83" s="60">
        <v>0.0</v>
      </c>
      <c r="F83" s="60">
        <v>0.0</v>
      </c>
      <c r="G83" s="60">
        <v>0.0</v>
      </c>
      <c r="H83" s="60">
        <v>1.0</v>
      </c>
      <c r="I83" s="60">
        <v>8.0</v>
      </c>
      <c r="J83" s="60">
        <v>3.0</v>
      </c>
      <c r="K83" s="60">
        <v>1.0</v>
      </c>
      <c r="L83" s="60">
        <v>0.0</v>
      </c>
      <c r="M83" s="13">
        <f t="shared" si="13"/>
        <v>13</v>
      </c>
    </row>
    <row r="84" ht="12.75" customHeight="1">
      <c r="A84" s="18"/>
      <c r="B84" s="57"/>
      <c r="C84" s="58" t="s">
        <v>72</v>
      </c>
      <c r="D84" s="59"/>
      <c r="E84" s="60">
        <v>0.0</v>
      </c>
      <c r="F84" s="60">
        <v>0.0</v>
      </c>
      <c r="G84" s="60">
        <v>0.0</v>
      </c>
      <c r="H84" s="60">
        <v>0.0</v>
      </c>
      <c r="I84" s="60">
        <v>1.0</v>
      </c>
      <c r="J84" s="60">
        <v>1.0</v>
      </c>
      <c r="K84" s="60">
        <v>0.0</v>
      </c>
      <c r="L84" s="60">
        <v>0.0</v>
      </c>
      <c r="M84" s="13">
        <f t="shared" si="13"/>
        <v>2</v>
      </c>
    </row>
    <row r="85" ht="12.75" customHeight="1">
      <c r="A85" s="18"/>
      <c r="B85" s="57"/>
      <c r="C85" s="58" t="s">
        <v>73</v>
      </c>
      <c r="D85" s="59"/>
      <c r="E85" s="60">
        <v>1.0</v>
      </c>
      <c r="F85" s="60">
        <v>0.0</v>
      </c>
      <c r="G85" s="60">
        <v>0.0</v>
      </c>
      <c r="H85" s="60">
        <v>0.0</v>
      </c>
      <c r="I85" s="60">
        <v>0.0</v>
      </c>
      <c r="J85" s="60">
        <v>0.0</v>
      </c>
      <c r="K85" s="60">
        <v>0.0</v>
      </c>
      <c r="L85" s="60">
        <v>0.0</v>
      </c>
      <c r="M85" s="13">
        <f t="shared" si="13"/>
        <v>1</v>
      </c>
    </row>
    <row r="86" ht="12.75" customHeight="1">
      <c r="A86" s="18"/>
      <c r="B86" s="57"/>
      <c r="C86" s="58" t="s">
        <v>74</v>
      </c>
      <c r="D86" s="59"/>
      <c r="E86" s="60">
        <v>30.0</v>
      </c>
      <c r="F86" s="60">
        <v>21.0</v>
      </c>
      <c r="G86" s="60">
        <v>17.0</v>
      </c>
      <c r="H86" s="60">
        <v>14.0</v>
      </c>
      <c r="I86" s="60">
        <v>2.0</v>
      </c>
      <c r="J86" s="60">
        <v>2.0</v>
      </c>
      <c r="K86" s="60">
        <v>1.0</v>
      </c>
      <c r="L86" s="60">
        <v>0.0</v>
      </c>
      <c r="M86" s="13">
        <f t="shared" si="13"/>
        <v>87</v>
      </c>
    </row>
    <row r="87" ht="12.75" customHeight="1">
      <c r="A87" s="18"/>
      <c r="B87" s="57"/>
      <c r="C87" s="58" t="s">
        <v>75</v>
      </c>
      <c r="D87" s="59"/>
      <c r="E87" s="60">
        <v>0.0</v>
      </c>
      <c r="F87" s="60">
        <v>0.0</v>
      </c>
      <c r="G87" s="60">
        <v>0.0</v>
      </c>
      <c r="H87" s="60">
        <v>0.0</v>
      </c>
      <c r="I87" s="60">
        <v>0.0</v>
      </c>
      <c r="J87" s="60">
        <v>1.0</v>
      </c>
      <c r="K87" s="60">
        <v>0.0</v>
      </c>
      <c r="L87" s="60">
        <v>2.0</v>
      </c>
      <c r="M87" s="13">
        <f t="shared" si="13"/>
        <v>3</v>
      </c>
    </row>
    <row r="88" ht="12.75" customHeight="1">
      <c r="A88" s="19" t="s">
        <v>15</v>
      </c>
      <c r="B88" s="50" t="s">
        <v>46</v>
      </c>
      <c r="C88" s="15"/>
      <c r="D88" s="16"/>
      <c r="E88" s="64">
        <f t="shared" ref="E88:L88" si="18">SUM(E81:E87)</f>
        <v>41</v>
      </c>
      <c r="F88" s="64">
        <f t="shared" si="18"/>
        <v>26</v>
      </c>
      <c r="G88" s="64">
        <f t="shared" si="18"/>
        <v>25</v>
      </c>
      <c r="H88" s="64">
        <f t="shared" si="18"/>
        <v>17</v>
      </c>
      <c r="I88" s="64">
        <f t="shared" si="18"/>
        <v>19</v>
      </c>
      <c r="J88" s="64">
        <f t="shared" si="18"/>
        <v>20</v>
      </c>
      <c r="K88" s="64">
        <f t="shared" si="18"/>
        <v>10</v>
      </c>
      <c r="L88" s="64">
        <f t="shared" si="18"/>
        <v>7</v>
      </c>
      <c r="M88" s="13">
        <f t="shared" si="13"/>
        <v>165</v>
      </c>
    </row>
    <row r="89" ht="12.75" customHeight="1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3">
        <f t="shared" si="13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60">
        <v>0.0</v>
      </c>
      <c r="F90" s="60">
        <v>0.0</v>
      </c>
      <c r="G90" s="60">
        <v>0.0</v>
      </c>
      <c r="H90" s="60">
        <v>0.0</v>
      </c>
      <c r="I90" s="60">
        <v>1.0</v>
      </c>
      <c r="J90" s="60">
        <v>1.0</v>
      </c>
      <c r="K90" s="60">
        <v>0.0</v>
      </c>
      <c r="L90" s="60">
        <v>0.0</v>
      </c>
      <c r="M90" s="13">
        <f t="shared" si="13"/>
        <v>2</v>
      </c>
    </row>
    <row r="91" ht="12.75" customHeight="1">
      <c r="A91" s="31" t="s">
        <v>39</v>
      </c>
      <c r="B91" s="57"/>
      <c r="C91" s="58" t="s">
        <v>78</v>
      </c>
      <c r="D91" s="65"/>
      <c r="E91" s="60">
        <v>0.0</v>
      </c>
      <c r="F91" s="60">
        <v>0.0</v>
      </c>
      <c r="G91" s="60">
        <v>0.0</v>
      </c>
      <c r="H91" s="60">
        <v>1.0</v>
      </c>
      <c r="I91" s="60">
        <v>0.0</v>
      </c>
      <c r="J91" s="60">
        <v>0.0</v>
      </c>
      <c r="K91" s="60">
        <v>0.0</v>
      </c>
      <c r="L91" s="60">
        <v>0.0</v>
      </c>
      <c r="M91" s="13">
        <f t="shared" si="13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4">
        <f t="shared" ref="E92:L92" si="19">SUM(E90:E91)</f>
        <v>0</v>
      </c>
      <c r="F92" s="64">
        <f t="shared" si="19"/>
        <v>0</v>
      </c>
      <c r="G92" s="64">
        <f t="shared" si="19"/>
        <v>0</v>
      </c>
      <c r="H92" s="64">
        <f t="shared" si="19"/>
        <v>1</v>
      </c>
      <c r="I92" s="64">
        <f t="shared" si="19"/>
        <v>1</v>
      </c>
      <c r="J92" s="64">
        <f t="shared" si="19"/>
        <v>1</v>
      </c>
      <c r="K92" s="64">
        <f t="shared" si="19"/>
        <v>0</v>
      </c>
      <c r="L92" s="64">
        <f t="shared" si="19"/>
        <v>0</v>
      </c>
      <c r="M92" s="13">
        <f t="shared" si="13"/>
        <v>3</v>
      </c>
    </row>
    <row r="93" ht="12.75" customHeight="1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3">
        <f t="shared" si="13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60">
        <v>2.0</v>
      </c>
      <c r="F94" s="60">
        <v>0.0</v>
      </c>
      <c r="G94" s="60">
        <v>1.0</v>
      </c>
      <c r="H94" s="60">
        <v>0.0</v>
      </c>
      <c r="I94" s="60">
        <v>1.0</v>
      </c>
      <c r="J94" s="60">
        <v>0.0</v>
      </c>
      <c r="K94" s="60">
        <v>2.0</v>
      </c>
      <c r="L94" s="60">
        <v>8.0</v>
      </c>
      <c r="M94" s="13">
        <f t="shared" si="13"/>
        <v>14</v>
      </c>
    </row>
    <row r="95" ht="12.75" customHeight="1">
      <c r="A95" s="31" t="s">
        <v>39</v>
      </c>
      <c r="B95" s="57"/>
      <c r="C95" s="58" t="s">
        <v>81</v>
      </c>
      <c r="D95" s="59"/>
      <c r="E95" s="60">
        <v>2.0</v>
      </c>
      <c r="F95" s="60">
        <v>4.0</v>
      </c>
      <c r="G95" s="60">
        <v>11.0</v>
      </c>
      <c r="H95" s="60">
        <v>3.0</v>
      </c>
      <c r="I95" s="60">
        <v>9.0</v>
      </c>
      <c r="J95" s="60">
        <v>4.0</v>
      </c>
      <c r="K95" s="60">
        <v>12.0</v>
      </c>
      <c r="L95" s="60">
        <v>27.0</v>
      </c>
      <c r="M95" s="13">
        <f t="shared" si="13"/>
        <v>72</v>
      </c>
    </row>
    <row r="96" ht="12.75" customHeight="1">
      <c r="A96" s="31"/>
      <c r="B96" s="57"/>
      <c r="C96" s="58" t="s">
        <v>82</v>
      </c>
      <c r="D96" s="59"/>
      <c r="E96" s="60">
        <v>0.0</v>
      </c>
      <c r="F96" s="60">
        <v>0.0</v>
      </c>
      <c r="G96" s="60">
        <v>0.0</v>
      </c>
      <c r="H96" s="60">
        <v>1.0</v>
      </c>
      <c r="I96" s="60">
        <v>0.0</v>
      </c>
      <c r="J96" s="60">
        <v>0.0</v>
      </c>
      <c r="K96" s="60">
        <v>0.0</v>
      </c>
      <c r="L96" s="60">
        <v>0.0</v>
      </c>
      <c r="M96" s="13">
        <f t="shared" si="13"/>
        <v>1</v>
      </c>
    </row>
    <row r="97" ht="12.75" customHeight="1">
      <c r="A97" s="31"/>
      <c r="B97" s="57"/>
      <c r="C97" s="58" t="s">
        <v>83</v>
      </c>
      <c r="D97" s="59"/>
      <c r="E97" s="60">
        <v>0.0</v>
      </c>
      <c r="F97" s="60">
        <v>0.0</v>
      </c>
      <c r="G97" s="60">
        <v>0.0</v>
      </c>
      <c r="H97" s="60">
        <v>0.0</v>
      </c>
      <c r="I97" s="60">
        <v>0.0</v>
      </c>
      <c r="J97" s="60">
        <v>0.0</v>
      </c>
      <c r="K97" s="60">
        <v>1.0</v>
      </c>
      <c r="L97" s="60">
        <v>0.0</v>
      </c>
      <c r="M97" s="13">
        <f t="shared" si="13"/>
        <v>1</v>
      </c>
    </row>
    <row r="98" ht="12.75" customHeight="1">
      <c r="A98" s="31"/>
      <c r="B98" s="57"/>
      <c r="C98" s="58" t="s">
        <v>84</v>
      </c>
      <c r="D98" s="59"/>
      <c r="E98" s="60">
        <v>0.0</v>
      </c>
      <c r="F98" s="60">
        <v>0.0</v>
      </c>
      <c r="G98" s="60">
        <v>0.0</v>
      </c>
      <c r="H98" s="60">
        <v>0.0</v>
      </c>
      <c r="I98" s="60">
        <v>0.0</v>
      </c>
      <c r="J98" s="60">
        <v>0.0</v>
      </c>
      <c r="K98" s="60">
        <v>0.0</v>
      </c>
      <c r="L98" s="60">
        <v>0.0</v>
      </c>
      <c r="M98" s="13">
        <f t="shared" si="13"/>
        <v>0</v>
      </c>
    </row>
    <row r="99" ht="12.75" customHeight="1">
      <c r="A99" s="31"/>
      <c r="B99" s="57"/>
      <c r="C99" s="58" t="s">
        <v>85</v>
      </c>
      <c r="D99" s="59"/>
      <c r="E99" s="60">
        <v>0.0</v>
      </c>
      <c r="F99" s="60">
        <v>0.0</v>
      </c>
      <c r="G99" s="60">
        <v>0.0</v>
      </c>
      <c r="H99" s="60">
        <v>0.0</v>
      </c>
      <c r="I99" s="60">
        <v>1.0</v>
      </c>
      <c r="J99" s="60">
        <v>5.0</v>
      </c>
      <c r="K99" s="60">
        <v>1.0</v>
      </c>
      <c r="L99" s="60">
        <v>0.0</v>
      </c>
      <c r="M99" s="13">
        <f t="shared" si="13"/>
        <v>7</v>
      </c>
    </row>
    <row r="100" ht="12.75" customHeight="1">
      <c r="A100" s="31"/>
      <c r="B100" s="57"/>
      <c r="C100" s="58" t="s">
        <v>86</v>
      </c>
      <c r="D100" s="59"/>
      <c r="E100" s="60">
        <v>0.0</v>
      </c>
      <c r="F100" s="60">
        <v>0.0</v>
      </c>
      <c r="G100" s="60">
        <v>0.0</v>
      </c>
      <c r="H100" s="60">
        <v>0.0</v>
      </c>
      <c r="I100" s="60">
        <v>0.0</v>
      </c>
      <c r="J100" s="60">
        <v>1.0</v>
      </c>
      <c r="K100" s="60">
        <v>0.0</v>
      </c>
      <c r="L100" s="60">
        <v>0.0</v>
      </c>
      <c r="M100" s="13">
        <f t="shared" si="13"/>
        <v>1</v>
      </c>
    </row>
    <row r="101" ht="12.75" customHeight="1">
      <c r="A101" s="19" t="s">
        <v>15</v>
      </c>
      <c r="B101" s="50" t="s">
        <v>46</v>
      </c>
      <c r="C101" s="15"/>
      <c r="D101" s="16"/>
      <c r="E101" s="64">
        <f t="shared" ref="E101:L101" si="20">SUM(E94:E100)</f>
        <v>4</v>
      </c>
      <c r="F101" s="64">
        <f t="shared" si="20"/>
        <v>4</v>
      </c>
      <c r="G101" s="64">
        <f t="shared" si="20"/>
        <v>12</v>
      </c>
      <c r="H101" s="64">
        <f t="shared" si="20"/>
        <v>4</v>
      </c>
      <c r="I101" s="64">
        <f t="shared" si="20"/>
        <v>11</v>
      </c>
      <c r="J101" s="64">
        <f t="shared" si="20"/>
        <v>10</v>
      </c>
      <c r="K101" s="64">
        <f t="shared" si="20"/>
        <v>16</v>
      </c>
      <c r="L101" s="64">
        <f t="shared" si="20"/>
        <v>35</v>
      </c>
      <c r="M101" s="13">
        <f t="shared" si="13"/>
        <v>96</v>
      </c>
    </row>
    <row r="102" ht="12.75" customHeight="1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3">
        <f t="shared" si="13"/>
        <v>0</v>
      </c>
    </row>
    <row r="103" ht="12.75" customHeight="1">
      <c r="A103" s="31" t="s">
        <v>37</v>
      </c>
      <c r="B103" s="50" t="s">
        <v>87</v>
      </c>
      <c r="C103" s="51" t="s">
        <v>88</v>
      </c>
      <c r="D103" s="16"/>
      <c r="E103" s="60">
        <v>0.0</v>
      </c>
      <c r="F103" s="60">
        <v>0.0</v>
      </c>
      <c r="G103" s="60">
        <v>0.0</v>
      </c>
      <c r="H103" s="60">
        <v>0.0</v>
      </c>
      <c r="I103" s="60">
        <v>0.0</v>
      </c>
      <c r="J103" s="60">
        <v>1.0</v>
      </c>
      <c r="K103" s="60">
        <v>1.0</v>
      </c>
      <c r="L103" s="60">
        <v>0.0</v>
      </c>
      <c r="M103" s="13">
        <f t="shared" si="13"/>
        <v>2</v>
      </c>
    </row>
    <row r="104" ht="12.75" customHeight="1">
      <c r="A104" s="31" t="s">
        <v>39</v>
      </c>
      <c r="B104" s="57"/>
      <c r="C104" s="58" t="s">
        <v>89</v>
      </c>
      <c r="D104" s="59"/>
      <c r="E104" s="60">
        <v>1.0</v>
      </c>
      <c r="F104" s="60">
        <v>0.0</v>
      </c>
      <c r="G104" s="60">
        <v>2.0</v>
      </c>
      <c r="H104" s="60">
        <v>0.0</v>
      </c>
      <c r="I104" s="60">
        <v>0.0</v>
      </c>
      <c r="J104" s="60">
        <v>2.0</v>
      </c>
      <c r="K104" s="60">
        <v>0.0</v>
      </c>
      <c r="L104" s="60">
        <v>0.0</v>
      </c>
      <c r="M104" s="13">
        <f t="shared" si="13"/>
        <v>5</v>
      </c>
    </row>
    <row r="105" ht="12.75" customHeight="1">
      <c r="A105" s="18"/>
      <c r="B105" s="57"/>
      <c r="C105" s="58" t="s">
        <v>90</v>
      </c>
      <c r="D105" s="59"/>
      <c r="E105" s="60">
        <v>0.0</v>
      </c>
      <c r="F105" s="60">
        <v>2.0</v>
      </c>
      <c r="G105" s="60">
        <v>0.0</v>
      </c>
      <c r="H105" s="60">
        <v>0.0</v>
      </c>
      <c r="I105" s="60">
        <v>0.0</v>
      </c>
      <c r="J105" s="60">
        <v>0.0</v>
      </c>
      <c r="K105" s="60">
        <v>0.0</v>
      </c>
      <c r="L105" s="60">
        <v>0.0</v>
      </c>
      <c r="M105" s="13">
        <f t="shared" si="13"/>
        <v>2</v>
      </c>
    </row>
    <row r="106" ht="12.75" customHeight="1">
      <c r="A106" s="18"/>
      <c r="B106" s="57"/>
      <c r="C106" s="58" t="s">
        <v>91</v>
      </c>
      <c r="D106" s="59"/>
      <c r="E106" s="60">
        <v>0.0</v>
      </c>
      <c r="F106" s="60">
        <v>0.0</v>
      </c>
      <c r="G106" s="60">
        <v>0.0</v>
      </c>
      <c r="H106" s="60">
        <v>0.0</v>
      </c>
      <c r="I106" s="60">
        <v>0.0</v>
      </c>
      <c r="J106" s="60">
        <v>0.0</v>
      </c>
      <c r="K106" s="60">
        <v>0.0</v>
      </c>
      <c r="L106" s="60">
        <v>0.0</v>
      </c>
      <c r="M106" s="13">
        <f t="shared" si="13"/>
        <v>0</v>
      </c>
    </row>
    <row r="107" ht="12.75" customHeight="1">
      <c r="A107" s="18"/>
      <c r="B107" s="57"/>
      <c r="C107" s="58" t="s">
        <v>92</v>
      </c>
      <c r="D107" s="59"/>
      <c r="E107" s="60">
        <v>1.0</v>
      </c>
      <c r="F107" s="60">
        <v>0.0</v>
      </c>
      <c r="G107" s="60">
        <v>0.0</v>
      </c>
      <c r="H107" s="60">
        <v>0.0</v>
      </c>
      <c r="I107" s="60">
        <v>0.0</v>
      </c>
      <c r="J107" s="60">
        <v>0.0</v>
      </c>
      <c r="K107" s="60">
        <v>0.0</v>
      </c>
      <c r="L107" s="60">
        <v>0.0</v>
      </c>
      <c r="M107" s="13">
        <f t="shared" si="13"/>
        <v>1</v>
      </c>
    </row>
    <row r="108" ht="12.75" customHeight="1">
      <c r="A108" s="18"/>
      <c r="B108" s="57"/>
      <c r="C108" s="58" t="s">
        <v>93</v>
      </c>
      <c r="D108" s="59"/>
      <c r="E108" s="60">
        <v>0.0</v>
      </c>
      <c r="F108" s="60">
        <v>0.0</v>
      </c>
      <c r="G108" s="60">
        <v>0.0</v>
      </c>
      <c r="H108" s="60">
        <v>0.0</v>
      </c>
      <c r="I108" s="60">
        <v>0.0</v>
      </c>
      <c r="J108" s="60">
        <v>2.0</v>
      </c>
      <c r="K108" s="60">
        <v>0.0</v>
      </c>
      <c r="L108" s="60">
        <v>0.0</v>
      </c>
      <c r="M108" s="13">
        <f t="shared" si="13"/>
        <v>2</v>
      </c>
    </row>
    <row r="109" ht="12.75" customHeight="1">
      <c r="A109" s="18"/>
      <c r="B109" s="57"/>
      <c r="C109" s="58" t="s">
        <v>94</v>
      </c>
      <c r="D109" s="59"/>
      <c r="E109" s="60">
        <v>0.0</v>
      </c>
      <c r="F109" s="60">
        <v>0.0</v>
      </c>
      <c r="G109" s="60">
        <v>0.0</v>
      </c>
      <c r="H109" s="60">
        <v>0.0</v>
      </c>
      <c r="I109" s="60">
        <v>2.0</v>
      </c>
      <c r="J109" s="60">
        <v>0.0</v>
      </c>
      <c r="K109" s="60">
        <v>0.0</v>
      </c>
      <c r="L109" s="60">
        <v>0.0</v>
      </c>
      <c r="M109" s="13">
        <f t="shared" si="13"/>
        <v>2</v>
      </c>
    </row>
    <row r="110" ht="12.75" customHeight="1">
      <c r="A110" s="19" t="s">
        <v>15</v>
      </c>
      <c r="B110" s="50" t="s">
        <v>46</v>
      </c>
      <c r="C110" s="15"/>
      <c r="D110" s="16"/>
      <c r="E110" s="64">
        <f t="shared" ref="E110:L110" si="21">SUM(E103:E109)</f>
        <v>2</v>
      </c>
      <c r="F110" s="64">
        <f t="shared" si="21"/>
        <v>2</v>
      </c>
      <c r="G110" s="64">
        <f t="shared" si="21"/>
        <v>2</v>
      </c>
      <c r="H110" s="64">
        <f t="shared" si="21"/>
        <v>0</v>
      </c>
      <c r="I110" s="64">
        <f t="shared" si="21"/>
        <v>2</v>
      </c>
      <c r="J110" s="64">
        <f t="shared" si="21"/>
        <v>5</v>
      </c>
      <c r="K110" s="64">
        <f t="shared" si="21"/>
        <v>1</v>
      </c>
      <c r="L110" s="64">
        <f t="shared" si="21"/>
        <v>0</v>
      </c>
      <c r="M110" s="13">
        <f t="shared" si="13"/>
        <v>14</v>
      </c>
    </row>
    <row r="111" ht="12.75" customHeight="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3">
        <f t="shared" si="13"/>
        <v>0</v>
      </c>
    </row>
    <row r="112" ht="12.75" customHeight="1">
      <c r="A112" s="31" t="s">
        <v>37</v>
      </c>
      <c r="B112" s="50" t="s">
        <v>95</v>
      </c>
      <c r="C112" s="51" t="s">
        <v>96</v>
      </c>
      <c r="D112" s="16"/>
      <c r="E112" s="60">
        <v>0.0</v>
      </c>
      <c r="F112" s="60">
        <v>0.0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0.0</v>
      </c>
      <c r="M112" s="13">
        <f t="shared" si="13"/>
        <v>0</v>
      </c>
    </row>
    <row r="113" ht="12.75" customHeight="1">
      <c r="A113" s="31" t="s">
        <v>39</v>
      </c>
      <c r="B113" s="50"/>
      <c r="C113" s="58" t="s">
        <v>97</v>
      </c>
      <c r="D113" s="65"/>
      <c r="E113" s="60">
        <v>0.0</v>
      </c>
      <c r="F113" s="60">
        <v>0.0</v>
      </c>
      <c r="G113" s="60">
        <v>0.0</v>
      </c>
      <c r="H113" s="60">
        <v>0.0</v>
      </c>
      <c r="I113" s="60">
        <v>0.0</v>
      </c>
      <c r="J113" s="60">
        <v>0.0</v>
      </c>
      <c r="K113" s="60">
        <v>0.0</v>
      </c>
      <c r="L113" s="60">
        <v>0.0</v>
      </c>
      <c r="M113" s="13">
        <f t="shared" si="13"/>
        <v>0</v>
      </c>
    </row>
    <row r="114" ht="12.75" customHeight="1">
      <c r="A114" s="19" t="s">
        <v>15</v>
      </c>
      <c r="B114" s="50" t="s">
        <v>46</v>
      </c>
      <c r="C114" s="15"/>
      <c r="D114" s="16"/>
      <c r="E114" s="64">
        <f t="shared" ref="E114:L114" si="22">SUM(E112:E113)</f>
        <v>0</v>
      </c>
      <c r="F114" s="64">
        <f t="shared" si="22"/>
        <v>0</v>
      </c>
      <c r="G114" s="64">
        <f t="shared" si="22"/>
        <v>0</v>
      </c>
      <c r="H114" s="64">
        <f t="shared" si="22"/>
        <v>0</v>
      </c>
      <c r="I114" s="64">
        <f t="shared" si="22"/>
        <v>0</v>
      </c>
      <c r="J114" s="64">
        <f t="shared" si="22"/>
        <v>0</v>
      </c>
      <c r="K114" s="64">
        <f t="shared" si="22"/>
        <v>0</v>
      </c>
      <c r="L114" s="64">
        <f t="shared" si="22"/>
        <v>0</v>
      </c>
      <c r="M114" s="13">
        <f t="shared" si="13"/>
        <v>0</v>
      </c>
    </row>
    <row r="115" ht="12.75" customHeight="1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3">
        <f t="shared" si="13"/>
        <v>0</v>
      </c>
    </row>
    <row r="116" ht="12.75" customHeight="1">
      <c r="A116" s="31" t="s">
        <v>37</v>
      </c>
      <c r="B116" s="50" t="s">
        <v>98</v>
      </c>
      <c r="C116" s="51" t="s">
        <v>99</v>
      </c>
      <c r="D116" s="16"/>
      <c r="E116" s="60">
        <v>0.0</v>
      </c>
      <c r="F116" s="60">
        <v>1.0</v>
      </c>
      <c r="G116" s="60">
        <v>1.0</v>
      </c>
      <c r="H116" s="60">
        <v>5.0</v>
      </c>
      <c r="I116" s="60">
        <v>1.0</v>
      </c>
      <c r="J116" s="60">
        <v>1.0</v>
      </c>
      <c r="K116" s="60">
        <v>4.0</v>
      </c>
      <c r="L116" s="60">
        <v>5.0</v>
      </c>
      <c r="M116" s="13">
        <f t="shared" si="13"/>
        <v>18</v>
      </c>
    </row>
    <row r="117" ht="12.75" customHeight="1">
      <c r="A117" s="31" t="s">
        <v>39</v>
      </c>
      <c r="B117" s="57"/>
      <c r="C117" s="58" t="s">
        <v>100</v>
      </c>
      <c r="D117" s="59"/>
      <c r="E117" s="60">
        <v>3.0</v>
      </c>
      <c r="F117" s="60">
        <v>3.0</v>
      </c>
      <c r="G117" s="60">
        <v>2.0</v>
      </c>
      <c r="H117" s="60">
        <v>23.0</v>
      </c>
      <c r="I117" s="60">
        <v>12.0</v>
      </c>
      <c r="J117" s="60">
        <v>14.0</v>
      </c>
      <c r="K117" s="60">
        <v>16.0</v>
      </c>
      <c r="L117" s="60">
        <v>18.0</v>
      </c>
      <c r="M117" s="13">
        <f t="shared" si="13"/>
        <v>91</v>
      </c>
      <c r="N117" s="5"/>
      <c r="O117" s="5"/>
    </row>
    <row r="118" ht="12.75" customHeight="1">
      <c r="A118" s="18"/>
      <c r="B118" s="57"/>
      <c r="C118" s="58" t="s">
        <v>101</v>
      </c>
      <c r="D118" s="59"/>
      <c r="E118" s="60">
        <v>0.0</v>
      </c>
      <c r="F118" s="60">
        <v>0.0</v>
      </c>
      <c r="G118" s="60">
        <v>0.0</v>
      </c>
      <c r="H118" s="60">
        <v>0.0</v>
      </c>
      <c r="I118" s="60">
        <v>0.0</v>
      </c>
      <c r="J118" s="60">
        <v>1.0</v>
      </c>
      <c r="K118" s="60">
        <v>0.0</v>
      </c>
      <c r="L118" s="60">
        <v>0.0</v>
      </c>
      <c r="M118" s="13">
        <f t="shared" si="13"/>
        <v>1</v>
      </c>
      <c r="N118" s="5"/>
      <c r="O118" s="5"/>
    </row>
    <row r="119" ht="12.75" customHeight="1">
      <c r="A119" s="18"/>
      <c r="B119" s="57"/>
      <c r="C119" s="58" t="s">
        <v>102</v>
      </c>
      <c r="D119" s="59"/>
      <c r="E119" s="60">
        <v>0.0</v>
      </c>
      <c r="F119" s="60">
        <v>0.0</v>
      </c>
      <c r="G119" s="60">
        <v>0.0</v>
      </c>
      <c r="H119" s="60">
        <v>0.0</v>
      </c>
      <c r="I119" s="60">
        <v>0.0</v>
      </c>
      <c r="J119" s="60">
        <v>3.0</v>
      </c>
      <c r="K119" s="60">
        <v>5.0</v>
      </c>
      <c r="L119" s="60">
        <v>1.0</v>
      </c>
      <c r="M119" s="13">
        <f t="shared" si="13"/>
        <v>9</v>
      </c>
      <c r="N119" s="5"/>
      <c r="O119" s="5"/>
    </row>
    <row r="120" ht="12.75" customHeight="1">
      <c r="A120" s="18"/>
      <c r="B120" s="57"/>
      <c r="C120" s="58" t="s">
        <v>103</v>
      </c>
      <c r="D120" s="59"/>
      <c r="E120" s="60">
        <v>0.0</v>
      </c>
      <c r="F120" s="60">
        <v>0.0</v>
      </c>
      <c r="G120" s="60">
        <v>0.0</v>
      </c>
      <c r="H120" s="60">
        <v>0.0</v>
      </c>
      <c r="I120" s="60">
        <v>0.0</v>
      </c>
      <c r="J120" s="60">
        <v>0.0</v>
      </c>
      <c r="K120" s="60">
        <v>0.0</v>
      </c>
      <c r="L120" s="60">
        <v>0.0</v>
      </c>
      <c r="M120" s="13">
        <f t="shared" si="13"/>
        <v>0</v>
      </c>
      <c r="N120" s="5"/>
      <c r="O120" s="5"/>
    </row>
    <row r="121" ht="12.75" customHeight="1">
      <c r="A121" s="18"/>
      <c r="B121" s="57"/>
      <c r="C121" s="58" t="s">
        <v>104</v>
      </c>
      <c r="D121" s="59"/>
      <c r="E121" s="60">
        <v>0.0</v>
      </c>
      <c r="F121" s="60">
        <v>0.0</v>
      </c>
      <c r="G121" s="60">
        <v>0.0</v>
      </c>
      <c r="H121" s="60">
        <v>0.0</v>
      </c>
      <c r="I121" s="60">
        <v>0.0</v>
      </c>
      <c r="J121" s="60">
        <v>0.0</v>
      </c>
      <c r="K121" s="60">
        <v>0.0</v>
      </c>
      <c r="L121" s="60">
        <v>0.0</v>
      </c>
      <c r="M121" s="13">
        <f t="shared" si="13"/>
        <v>0</v>
      </c>
      <c r="N121" s="5"/>
      <c r="O121" s="5"/>
    </row>
    <row r="122" ht="12.75" customHeight="1">
      <c r="A122" s="18"/>
      <c r="B122" s="57"/>
      <c r="C122" s="58" t="s">
        <v>105</v>
      </c>
      <c r="D122" s="59"/>
      <c r="E122" s="60">
        <v>0.0</v>
      </c>
      <c r="F122" s="60">
        <v>0.0</v>
      </c>
      <c r="G122" s="60">
        <v>0.0</v>
      </c>
      <c r="H122" s="60">
        <v>0.0</v>
      </c>
      <c r="I122" s="60">
        <v>0.0</v>
      </c>
      <c r="J122" s="60">
        <v>0.0</v>
      </c>
      <c r="K122" s="60">
        <v>0.0</v>
      </c>
      <c r="L122" s="60">
        <v>0.0</v>
      </c>
      <c r="M122" s="13">
        <f t="shared" si="13"/>
        <v>0</v>
      </c>
      <c r="N122" s="5"/>
      <c r="O122" s="5"/>
    </row>
    <row r="123" ht="12.75" customHeight="1">
      <c r="A123" s="19" t="s">
        <v>15</v>
      </c>
      <c r="B123" s="50" t="s">
        <v>46</v>
      </c>
      <c r="C123" s="15"/>
      <c r="D123" s="16"/>
      <c r="E123" s="64">
        <f t="shared" ref="E123:L123" si="23">SUM(E116:E122)</f>
        <v>3</v>
      </c>
      <c r="F123" s="64">
        <f t="shared" si="23"/>
        <v>4</v>
      </c>
      <c r="G123" s="64">
        <f t="shared" si="23"/>
        <v>3</v>
      </c>
      <c r="H123" s="64">
        <f t="shared" si="23"/>
        <v>28</v>
      </c>
      <c r="I123" s="64">
        <f t="shared" si="23"/>
        <v>13</v>
      </c>
      <c r="J123" s="64">
        <f t="shared" si="23"/>
        <v>19</v>
      </c>
      <c r="K123" s="64">
        <f t="shared" si="23"/>
        <v>25</v>
      </c>
      <c r="L123" s="64">
        <f t="shared" si="23"/>
        <v>24</v>
      </c>
      <c r="M123" s="13">
        <f t="shared" si="13"/>
        <v>119</v>
      </c>
      <c r="N123" s="5"/>
      <c r="O123" s="5"/>
    </row>
    <row r="124" ht="12.75" customHeight="1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3">
        <f t="shared" si="13"/>
        <v>0</v>
      </c>
      <c r="N124" s="5"/>
      <c r="O124" s="5"/>
    </row>
    <row r="125" ht="12.75" customHeight="1">
      <c r="A125" s="31" t="s">
        <v>37</v>
      </c>
      <c r="B125" s="50" t="s">
        <v>106</v>
      </c>
      <c r="C125" s="51" t="s">
        <v>107</v>
      </c>
      <c r="D125" s="16"/>
      <c r="E125" s="60">
        <v>0.0</v>
      </c>
      <c r="F125" s="60">
        <v>0.0</v>
      </c>
      <c r="G125" s="60">
        <v>1.0</v>
      </c>
      <c r="H125" s="60">
        <v>0.0</v>
      </c>
      <c r="I125" s="60">
        <v>0.0</v>
      </c>
      <c r="J125" s="60">
        <v>1.0</v>
      </c>
      <c r="K125" s="60">
        <v>0.0</v>
      </c>
      <c r="L125" s="60">
        <v>0.0</v>
      </c>
      <c r="M125" s="13">
        <f t="shared" si="13"/>
        <v>2</v>
      </c>
      <c r="N125" s="5"/>
      <c r="O125" s="5"/>
    </row>
    <row r="126" ht="12.75" customHeight="1">
      <c r="A126" s="31" t="s">
        <v>39</v>
      </c>
      <c r="B126" s="57"/>
      <c r="C126" s="58" t="s">
        <v>108</v>
      </c>
      <c r="D126" s="59"/>
      <c r="E126" s="19"/>
      <c r="F126" s="19"/>
      <c r="G126" s="19"/>
      <c r="H126" s="19"/>
      <c r="I126" s="19"/>
      <c r="J126" s="19"/>
      <c r="K126" s="19"/>
      <c r="L126" s="19"/>
      <c r="M126" s="13">
        <f t="shared" si="13"/>
        <v>0</v>
      </c>
      <c r="N126" s="5"/>
      <c r="O126" s="5"/>
    </row>
    <row r="127" ht="12.75" customHeight="1">
      <c r="A127" s="19" t="s">
        <v>15</v>
      </c>
      <c r="B127" s="50" t="s">
        <v>46</v>
      </c>
      <c r="C127" s="15"/>
      <c r="D127" s="16"/>
      <c r="E127" s="64">
        <f t="shared" ref="E127:L127" si="24">SUM(E125:E126)</f>
        <v>0</v>
      </c>
      <c r="F127" s="64">
        <f t="shared" si="24"/>
        <v>0</v>
      </c>
      <c r="G127" s="64">
        <f t="shared" si="24"/>
        <v>1</v>
      </c>
      <c r="H127" s="64">
        <f t="shared" si="24"/>
        <v>0</v>
      </c>
      <c r="I127" s="64">
        <f t="shared" si="24"/>
        <v>0</v>
      </c>
      <c r="J127" s="64">
        <f t="shared" si="24"/>
        <v>1</v>
      </c>
      <c r="K127" s="64">
        <f t="shared" si="24"/>
        <v>0</v>
      </c>
      <c r="L127" s="64">
        <f t="shared" si="24"/>
        <v>0</v>
      </c>
      <c r="M127" s="13">
        <f t="shared" si="13"/>
        <v>2</v>
      </c>
      <c r="N127" s="5"/>
      <c r="O127" s="5"/>
    </row>
    <row r="128" ht="12.75" customHeight="1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3">
        <f t="shared" si="13"/>
        <v>0</v>
      </c>
      <c r="N128" s="5"/>
      <c r="O128" s="5"/>
    </row>
    <row r="129" ht="12.75" customHeight="1">
      <c r="A129" s="31" t="s">
        <v>37</v>
      </c>
      <c r="B129" s="50" t="s">
        <v>109</v>
      </c>
      <c r="C129" s="51" t="s">
        <v>110</v>
      </c>
      <c r="D129" s="16"/>
      <c r="E129" s="60">
        <v>0.0</v>
      </c>
      <c r="F129" s="60">
        <v>0.0</v>
      </c>
      <c r="G129" s="60">
        <v>0.0</v>
      </c>
      <c r="H129" s="60">
        <v>2.0</v>
      </c>
      <c r="I129" s="60">
        <v>0.0</v>
      </c>
      <c r="J129" s="60">
        <v>0.0</v>
      </c>
      <c r="K129" s="60">
        <v>1.0</v>
      </c>
      <c r="L129" s="60">
        <v>1.0</v>
      </c>
      <c r="M129" s="13">
        <f t="shared" si="13"/>
        <v>4</v>
      </c>
      <c r="N129" s="5"/>
      <c r="O129" s="5"/>
    </row>
    <row r="130" ht="12.75" customHeight="1">
      <c r="A130" s="31" t="s">
        <v>39</v>
      </c>
      <c r="B130" s="57"/>
      <c r="C130" s="58" t="s">
        <v>111</v>
      </c>
      <c r="D130" s="59"/>
      <c r="E130" s="60">
        <v>1.0</v>
      </c>
      <c r="F130" s="60">
        <v>0.0</v>
      </c>
      <c r="G130" s="60">
        <v>0.0</v>
      </c>
      <c r="H130" s="60">
        <v>0.0</v>
      </c>
      <c r="I130" s="60">
        <v>1.0</v>
      </c>
      <c r="J130" s="60">
        <v>0.0</v>
      </c>
      <c r="K130" s="60">
        <v>0.0</v>
      </c>
      <c r="L130" s="60">
        <v>0.0</v>
      </c>
      <c r="M130" s="13">
        <f t="shared" si="13"/>
        <v>2</v>
      </c>
      <c r="N130" s="1"/>
      <c r="O130" s="1"/>
    </row>
    <row r="131" ht="12.75" customHeight="1">
      <c r="A131" s="18"/>
      <c r="B131" s="57"/>
      <c r="C131" s="58" t="s">
        <v>112</v>
      </c>
      <c r="D131" s="59"/>
      <c r="E131" s="60">
        <v>0.0</v>
      </c>
      <c r="F131" s="60">
        <v>0.0</v>
      </c>
      <c r="G131" s="60">
        <v>0.0</v>
      </c>
      <c r="H131" s="60">
        <v>0.0</v>
      </c>
      <c r="I131" s="60">
        <v>0.0</v>
      </c>
      <c r="J131" s="60">
        <v>0.0</v>
      </c>
      <c r="K131" s="60">
        <v>0.0</v>
      </c>
      <c r="L131" s="60">
        <v>0.0</v>
      </c>
      <c r="M131" s="13">
        <f t="shared" si="13"/>
        <v>0</v>
      </c>
      <c r="N131" s="54"/>
      <c r="O131" s="54"/>
    </row>
    <row r="132" ht="12.75" customHeight="1">
      <c r="A132" s="18"/>
      <c r="B132" s="57"/>
      <c r="C132" s="58" t="s">
        <v>113</v>
      </c>
      <c r="D132" s="59"/>
      <c r="E132" s="60">
        <v>0.0</v>
      </c>
      <c r="F132" s="60">
        <v>0.0</v>
      </c>
      <c r="G132" s="60">
        <v>0.0</v>
      </c>
      <c r="H132" s="60">
        <v>0.0</v>
      </c>
      <c r="I132" s="60">
        <v>0.0</v>
      </c>
      <c r="J132" s="60">
        <v>0.0</v>
      </c>
      <c r="K132" s="60">
        <v>0.0</v>
      </c>
      <c r="L132" s="60">
        <v>0.0</v>
      </c>
      <c r="M132" s="13">
        <f t="shared" si="13"/>
        <v>0</v>
      </c>
      <c r="N132" s="5"/>
      <c r="O132" s="5"/>
    </row>
    <row r="133" ht="12.75" customHeight="1">
      <c r="A133" s="18"/>
      <c r="B133" s="57"/>
      <c r="C133" s="58" t="s">
        <v>114</v>
      </c>
      <c r="D133" s="59"/>
      <c r="E133" s="60">
        <v>0.0</v>
      </c>
      <c r="F133" s="60">
        <v>0.0</v>
      </c>
      <c r="G133" s="60">
        <v>0.0</v>
      </c>
      <c r="H133" s="60">
        <v>0.0</v>
      </c>
      <c r="I133" s="60">
        <v>0.0</v>
      </c>
      <c r="J133" s="60">
        <v>0.0</v>
      </c>
      <c r="K133" s="60">
        <v>0.0</v>
      </c>
      <c r="L133" s="60">
        <v>0.0</v>
      </c>
      <c r="M133" s="13">
        <f t="shared" si="13"/>
        <v>0</v>
      </c>
      <c r="N133" s="5"/>
      <c r="O133" s="5"/>
    </row>
    <row r="134" ht="12.75" customHeight="1">
      <c r="A134" s="18"/>
      <c r="B134" s="57"/>
      <c r="C134" s="58" t="s">
        <v>115</v>
      </c>
      <c r="D134" s="59"/>
      <c r="E134" s="60">
        <v>0.0</v>
      </c>
      <c r="F134" s="60">
        <v>0.0</v>
      </c>
      <c r="G134" s="60">
        <v>0.0</v>
      </c>
      <c r="H134" s="60">
        <v>1.0</v>
      </c>
      <c r="I134" s="60">
        <v>0.0</v>
      </c>
      <c r="J134" s="60">
        <v>0.0</v>
      </c>
      <c r="K134" s="60">
        <v>0.0</v>
      </c>
      <c r="L134" s="60">
        <v>0.0</v>
      </c>
      <c r="M134" s="13">
        <f t="shared" si="13"/>
        <v>1</v>
      </c>
      <c r="N134" s="5"/>
      <c r="O134" s="5"/>
    </row>
    <row r="135" ht="12.75" customHeight="1">
      <c r="A135" s="18"/>
      <c r="B135" s="57"/>
      <c r="C135" s="58" t="s">
        <v>116</v>
      </c>
      <c r="D135" s="59"/>
      <c r="E135" s="60">
        <v>0.0</v>
      </c>
      <c r="F135" s="60">
        <v>1.0</v>
      </c>
      <c r="G135" s="60">
        <v>0.0</v>
      </c>
      <c r="H135" s="60">
        <v>0.0</v>
      </c>
      <c r="I135" s="60">
        <v>0.0</v>
      </c>
      <c r="J135" s="60">
        <v>0.0</v>
      </c>
      <c r="K135" s="60">
        <v>0.0</v>
      </c>
      <c r="L135" s="60">
        <v>0.0</v>
      </c>
      <c r="M135" s="13">
        <f t="shared" si="13"/>
        <v>1</v>
      </c>
      <c r="N135" s="5"/>
      <c r="O135" s="5"/>
    </row>
    <row r="136" ht="12.75" customHeight="1">
      <c r="A136" s="19" t="s">
        <v>15</v>
      </c>
      <c r="B136" s="50" t="s">
        <v>46</v>
      </c>
      <c r="C136" s="15"/>
      <c r="D136" s="16"/>
      <c r="E136" s="64">
        <f t="shared" ref="E136:L136" si="25">SUM(E129:E135)</f>
        <v>1</v>
      </c>
      <c r="F136" s="64">
        <f t="shared" si="25"/>
        <v>1</v>
      </c>
      <c r="G136" s="64">
        <f t="shared" si="25"/>
        <v>0</v>
      </c>
      <c r="H136" s="64">
        <f t="shared" si="25"/>
        <v>3</v>
      </c>
      <c r="I136" s="64">
        <f t="shared" si="25"/>
        <v>1</v>
      </c>
      <c r="J136" s="64">
        <f t="shared" si="25"/>
        <v>0</v>
      </c>
      <c r="K136" s="64">
        <f t="shared" si="25"/>
        <v>1</v>
      </c>
      <c r="L136" s="64">
        <f t="shared" si="25"/>
        <v>1</v>
      </c>
      <c r="M136" s="13">
        <f t="shared" si="13"/>
        <v>8</v>
      </c>
      <c r="N136" s="5"/>
      <c r="O136" s="5"/>
    </row>
    <row r="137" ht="12.75" customHeight="1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3">
        <f t="shared" si="13"/>
        <v>0</v>
      </c>
      <c r="N137" s="5"/>
      <c r="O137" s="5"/>
    </row>
    <row r="138" ht="12.75" customHeight="1">
      <c r="A138" s="31" t="s">
        <v>37</v>
      </c>
      <c r="B138" s="50" t="s">
        <v>117</v>
      </c>
      <c r="C138" s="51" t="s">
        <v>118</v>
      </c>
      <c r="D138" s="16"/>
      <c r="E138" s="60">
        <v>0.0</v>
      </c>
      <c r="F138" s="60">
        <v>1.0</v>
      </c>
      <c r="G138" s="60">
        <v>0.0</v>
      </c>
      <c r="H138" s="60">
        <v>0.0</v>
      </c>
      <c r="I138" s="60">
        <v>0.0</v>
      </c>
      <c r="J138" s="60">
        <v>0.0</v>
      </c>
      <c r="K138" s="60">
        <v>0.0</v>
      </c>
      <c r="L138" s="60">
        <v>0.0</v>
      </c>
      <c r="M138" s="13">
        <f t="shared" si="13"/>
        <v>1</v>
      </c>
      <c r="N138" s="5"/>
      <c r="O138" s="5"/>
    </row>
    <row r="139" ht="12.75" customHeight="1">
      <c r="A139" s="31" t="s">
        <v>39</v>
      </c>
      <c r="B139" s="57"/>
      <c r="C139" s="58" t="s">
        <v>119</v>
      </c>
      <c r="D139" s="59"/>
      <c r="E139" s="60">
        <v>0.0</v>
      </c>
      <c r="F139" s="60">
        <v>3.0</v>
      </c>
      <c r="G139" s="60">
        <v>1.0</v>
      </c>
      <c r="H139" s="60">
        <v>0.0</v>
      </c>
      <c r="I139" s="60">
        <v>0.0</v>
      </c>
      <c r="J139" s="60">
        <v>0.0</v>
      </c>
      <c r="K139" s="60">
        <v>0.0</v>
      </c>
      <c r="L139" s="60">
        <v>0.0</v>
      </c>
      <c r="M139" s="13">
        <f t="shared" si="13"/>
        <v>4</v>
      </c>
      <c r="N139" s="5"/>
      <c r="O139" s="5"/>
    </row>
    <row r="140" ht="12.75" customHeight="1">
      <c r="A140" s="18"/>
      <c r="B140" s="57"/>
      <c r="C140" s="58" t="s">
        <v>120</v>
      </c>
      <c r="D140" s="59"/>
      <c r="E140" s="60">
        <v>0.0</v>
      </c>
      <c r="F140" s="60">
        <v>0.0</v>
      </c>
      <c r="G140" s="60">
        <v>0.0</v>
      </c>
      <c r="H140" s="60">
        <v>0.0</v>
      </c>
      <c r="I140" s="60">
        <v>1.0</v>
      </c>
      <c r="J140" s="60">
        <v>0.0</v>
      </c>
      <c r="K140" s="60">
        <v>0.0</v>
      </c>
      <c r="L140" s="60">
        <v>0.0</v>
      </c>
      <c r="M140" s="13">
        <f t="shared" si="13"/>
        <v>1</v>
      </c>
      <c r="N140" s="5"/>
      <c r="O140" s="5"/>
    </row>
    <row r="141" ht="12.75" customHeight="1">
      <c r="A141" s="18"/>
      <c r="B141" s="57"/>
      <c r="C141" s="58" t="s">
        <v>121</v>
      </c>
      <c r="D141" s="59"/>
      <c r="E141" s="60">
        <v>1.0</v>
      </c>
      <c r="F141" s="60">
        <v>0.0</v>
      </c>
      <c r="G141" s="60">
        <v>0.0</v>
      </c>
      <c r="H141" s="60">
        <v>0.0</v>
      </c>
      <c r="I141" s="60">
        <v>0.0</v>
      </c>
      <c r="J141" s="60">
        <v>0.0</v>
      </c>
      <c r="K141" s="60">
        <v>1.0</v>
      </c>
      <c r="L141" s="60">
        <v>0.0</v>
      </c>
      <c r="M141" s="13">
        <f t="shared" si="13"/>
        <v>2</v>
      </c>
      <c r="N141" s="1"/>
      <c r="O141" s="1"/>
    </row>
    <row r="142" ht="12.75" customHeight="1">
      <c r="A142" s="18"/>
      <c r="B142" s="57"/>
      <c r="C142" s="58" t="s">
        <v>122</v>
      </c>
      <c r="D142" s="59"/>
      <c r="E142" s="60">
        <v>0.0</v>
      </c>
      <c r="F142" s="60">
        <v>0.0</v>
      </c>
      <c r="G142" s="60">
        <v>0.0</v>
      </c>
      <c r="H142" s="60">
        <v>0.0</v>
      </c>
      <c r="I142" s="60">
        <v>0.0</v>
      </c>
      <c r="J142" s="60">
        <v>0.0</v>
      </c>
      <c r="K142" s="60">
        <v>0.0</v>
      </c>
      <c r="L142" s="60">
        <v>0.0</v>
      </c>
      <c r="M142" s="13">
        <f t="shared" si="13"/>
        <v>0</v>
      </c>
      <c r="N142" s="54"/>
      <c r="O142" s="54"/>
    </row>
    <row r="143" ht="12.75" customHeight="1">
      <c r="A143" s="18"/>
      <c r="B143" s="57"/>
      <c r="C143" s="58" t="s">
        <v>123</v>
      </c>
      <c r="D143" s="59"/>
      <c r="E143" s="60">
        <v>0.0</v>
      </c>
      <c r="F143" s="60">
        <v>1.0</v>
      </c>
      <c r="G143" s="60">
        <v>0.0</v>
      </c>
      <c r="H143" s="60">
        <v>0.0</v>
      </c>
      <c r="I143" s="60">
        <v>0.0</v>
      </c>
      <c r="J143" s="60">
        <v>0.0</v>
      </c>
      <c r="K143" s="60">
        <v>0.0</v>
      </c>
      <c r="L143" s="60">
        <v>0.0</v>
      </c>
      <c r="M143" s="13">
        <f t="shared" si="13"/>
        <v>1</v>
      </c>
      <c r="N143" s="5"/>
      <c r="O143" s="5"/>
    </row>
    <row r="144" ht="12.75" customHeight="1">
      <c r="A144" s="18"/>
      <c r="B144" s="57"/>
      <c r="C144" s="58" t="s">
        <v>124</v>
      </c>
      <c r="D144" s="59"/>
      <c r="E144" s="60">
        <v>0.0</v>
      </c>
      <c r="F144" s="60">
        <v>1.0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0.0</v>
      </c>
      <c r="M144" s="13">
        <f t="shared" si="13"/>
        <v>1</v>
      </c>
      <c r="N144" s="5"/>
      <c r="O144" s="5"/>
    </row>
    <row r="145" ht="12.75" customHeight="1">
      <c r="A145" s="19" t="s">
        <v>15</v>
      </c>
      <c r="B145" s="50" t="s">
        <v>46</v>
      </c>
      <c r="C145" s="15"/>
      <c r="D145" s="16"/>
      <c r="E145" s="64">
        <f t="shared" ref="E145:L145" si="26">SUM(E138:E144)</f>
        <v>1</v>
      </c>
      <c r="F145" s="64">
        <f t="shared" si="26"/>
        <v>6</v>
      </c>
      <c r="G145" s="64">
        <f t="shared" si="26"/>
        <v>1</v>
      </c>
      <c r="H145" s="64">
        <f t="shared" si="26"/>
        <v>0</v>
      </c>
      <c r="I145" s="64">
        <f t="shared" si="26"/>
        <v>1</v>
      </c>
      <c r="J145" s="64">
        <f t="shared" si="26"/>
        <v>0</v>
      </c>
      <c r="K145" s="64">
        <f t="shared" si="26"/>
        <v>1</v>
      </c>
      <c r="L145" s="64">
        <f t="shared" si="26"/>
        <v>0</v>
      </c>
      <c r="M145" s="13">
        <f t="shared" si="13"/>
        <v>10</v>
      </c>
      <c r="N145" s="5"/>
      <c r="O145" s="5"/>
    </row>
    <row r="146" ht="12.75" customHeight="1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3">
        <f t="shared" si="13"/>
        <v>0</v>
      </c>
      <c r="N146" s="5"/>
      <c r="O146" s="5"/>
    </row>
    <row r="147" ht="12.75" customHeight="1">
      <c r="A147" s="31" t="s">
        <v>37</v>
      </c>
      <c r="B147" s="50" t="s">
        <v>125</v>
      </c>
      <c r="C147" s="51" t="s">
        <v>126</v>
      </c>
      <c r="D147" s="16"/>
      <c r="E147" s="60">
        <v>1.0</v>
      </c>
      <c r="F147" s="60">
        <v>6.0</v>
      </c>
      <c r="G147" s="60">
        <v>2.0</v>
      </c>
      <c r="H147" s="60">
        <v>4.0</v>
      </c>
      <c r="I147" s="60">
        <v>3.0</v>
      </c>
      <c r="J147" s="60">
        <v>0.0</v>
      </c>
      <c r="K147" s="60">
        <v>1.0</v>
      </c>
      <c r="L147" s="60">
        <v>1.0</v>
      </c>
      <c r="M147" s="13">
        <f t="shared" si="13"/>
        <v>18</v>
      </c>
      <c r="N147" s="5"/>
      <c r="O147" s="5"/>
    </row>
    <row r="148" ht="12.75" customHeight="1">
      <c r="A148" s="31" t="s">
        <v>39</v>
      </c>
      <c r="B148" s="57"/>
      <c r="C148" s="58" t="s">
        <v>127</v>
      </c>
      <c r="D148" s="59"/>
      <c r="E148" s="60">
        <v>12.0</v>
      </c>
      <c r="F148" s="60">
        <v>7.0</v>
      </c>
      <c r="G148" s="60">
        <v>5.0</v>
      </c>
      <c r="H148" s="60">
        <v>4.0</v>
      </c>
      <c r="I148" s="60">
        <v>5.0</v>
      </c>
      <c r="J148" s="60">
        <v>7.0</v>
      </c>
      <c r="K148" s="60">
        <v>6.0</v>
      </c>
      <c r="L148" s="60">
        <v>1.0</v>
      </c>
      <c r="M148" s="13">
        <f t="shared" si="13"/>
        <v>47</v>
      </c>
      <c r="N148" s="5"/>
      <c r="O148" s="5"/>
    </row>
    <row r="149" ht="12.75" customHeight="1">
      <c r="A149" s="18"/>
      <c r="B149" s="57"/>
      <c r="C149" s="58" t="s">
        <v>128</v>
      </c>
      <c r="D149" s="59"/>
      <c r="E149" s="60">
        <v>9.0</v>
      </c>
      <c r="F149" s="60">
        <v>17.0</v>
      </c>
      <c r="G149" s="60">
        <v>8.0</v>
      </c>
      <c r="H149" s="60">
        <v>16.0</v>
      </c>
      <c r="I149" s="60">
        <v>9.0</v>
      </c>
      <c r="J149" s="60">
        <v>3.0</v>
      </c>
      <c r="K149" s="60">
        <v>3.0</v>
      </c>
      <c r="L149" s="60">
        <v>1.0</v>
      </c>
      <c r="M149" s="13">
        <f t="shared" si="13"/>
        <v>66</v>
      </c>
      <c r="N149" s="5"/>
      <c r="O149" s="5"/>
    </row>
    <row r="150" ht="12.75" customHeight="1">
      <c r="A150" s="18"/>
      <c r="B150" s="57"/>
      <c r="C150" s="58" t="s">
        <v>129</v>
      </c>
      <c r="D150" s="59"/>
      <c r="E150" s="60">
        <v>4.0</v>
      </c>
      <c r="F150" s="60">
        <v>4.0</v>
      </c>
      <c r="G150" s="60">
        <v>1.0</v>
      </c>
      <c r="H150" s="60">
        <v>6.0</v>
      </c>
      <c r="I150" s="60">
        <v>6.0</v>
      </c>
      <c r="J150" s="60">
        <v>4.0</v>
      </c>
      <c r="K150" s="60">
        <v>7.0</v>
      </c>
      <c r="L150" s="60">
        <v>8.0</v>
      </c>
      <c r="M150" s="13">
        <f t="shared" si="13"/>
        <v>40</v>
      </c>
      <c r="N150" s="5"/>
      <c r="O150" s="5"/>
    </row>
    <row r="151" ht="12.75" customHeight="1">
      <c r="A151" s="18"/>
      <c r="B151" s="57"/>
      <c r="C151" s="58" t="s">
        <v>130</v>
      </c>
      <c r="D151" s="59"/>
      <c r="E151" s="60">
        <v>0.0</v>
      </c>
      <c r="F151" s="60">
        <v>0.0</v>
      </c>
      <c r="G151" s="60">
        <v>0.0</v>
      </c>
      <c r="H151" s="60">
        <v>0.0</v>
      </c>
      <c r="I151" s="60">
        <v>0.0</v>
      </c>
      <c r="J151" s="60">
        <v>0.0</v>
      </c>
      <c r="K151" s="60">
        <v>0.0</v>
      </c>
      <c r="L151" s="60">
        <v>0.0</v>
      </c>
      <c r="M151" s="13">
        <f t="shared" si="13"/>
        <v>0</v>
      </c>
      <c r="N151" s="1"/>
      <c r="O151" s="1"/>
    </row>
    <row r="152" ht="12.75" customHeight="1">
      <c r="A152" s="18"/>
      <c r="B152" s="57"/>
      <c r="C152" s="58" t="s">
        <v>131</v>
      </c>
      <c r="D152" s="59"/>
      <c r="E152" s="60">
        <v>0.0</v>
      </c>
      <c r="F152" s="60">
        <v>0.0</v>
      </c>
      <c r="G152" s="60">
        <v>0.0</v>
      </c>
      <c r="H152" s="60">
        <v>0.0</v>
      </c>
      <c r="I152" s="60">
        <v>0.0</v>
      </c>
      <c r="J152" s="60">
        <v>0.0</v>
      </c>
      <c r="K152" s="60">
        <v>0.0</v>
      </c>
      <c r="L152" s="60">
        <v>0.0</v>
      </c>
      <c r="M152" s="13">
        <f t="shared" si="13"/>
        <v>0</v>
      </c>
      <c r="N152" s="54"/>
      <c r="O152" s="54"/>
    </row>
    <row r="153" ht="12.75" customHeight="1">
      <c r="A153" s="18"/>
      <c r="B153" s="57"/>
      <c r="C153" s="58" t="s">
        <v>132</v>
      </c>
      <c r="D153" s="59"/>
      <c r="E153" s="60">
        <v>0.0</v>
      </c>
      <c r="F153" s="60">
        <v>0.0</v>
      </c>
      <c r="G153" s="60">
        <v>0.0</v>
      </c>
      <c r="H153" s="60">
        <v>0.0</v>
      </c>
      <c r="I153" s="60">
        <v>0.0</v>
      </c>
      <c r="J153" s="60">
        <v>0.0</v>
      </c>
      <c r="K153" s="60">
        <v>0.0</v>
      </c>
      <c r="L153" s="60">
        <v>0.0</v>
      </c>
      <c r="M153" s="13">
        <f t="shared" si="13"/>
        <v>0</v>
      </c>
      <c r="N153" s="5"/>
      <c r="O153" s="5"/>
    </row>
    <row r="154" ht="12.75" customHeight="1">
      <c r="A154" s="19" t="s">
        <v>15</v>
      </c>
      <c r="B154" s="50" t="s">
        <v>46</v>
      </c>
      <c r="C154" s="15"/>
      <c r="D154" s="16"/>
      <c r="E154" s="64">
        <f t="shared" ref="E154:L154" si="27">SUM(E147:E153)</f>
        <v>26</v>
      </c>
      <c r="F154" s="64">
        <f t="shared" si="27"/>
        <v>34</v>
      </c>
      <c r="G154" s="64">
        <f t="shared" si="27"/>
        <v>16</v>
      </c>
      <c r="H154" s="64">
        <f t="shared" si="27"/>
        <v>30</v>
      </c>
      <c r="I154" s="64">
        <f t="shared" si="27"/>
        <v>23</v>
      </c>
      <c r="J154" s="64">
        <f t="shared" si="27"/>
        <v>14</v>
      </c>
      <c r="K154" s="64">
        <f t="shared" si="27"/>
        <v>17</v>
      </c>
      <c r="L154" s="64">
        <f t="shared" si="27"/>
        <v>11</v>
      </c>
      <c r="M154" s="13">
        <f t="shared" si="13"/>
        <v>171</v>
      </c>
      <c r="N154" s="5"/>
      <c r="O154" s="5"/>
    </row>
    <row r="155" ht="12.75" customHeight="1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3">
        <f t="shared" si="13"/>
        <v>0</v>
      </c>
      <c r="N155" s="5"/>
      <c r="O155" s="5"/>
    </row>
    <row r="156" ht="12.75" customHeight="1">
      <c r="A156" s="31" t="s">
        <v>37</v>
      </c>
      <c r="B156" s="50" t="s">
        <v>133</v>
      </c>
      <c r="C156" s="51" t="s">
        <v>134</v>
      </c>
      <c r="D156" s="16"/>
      <c r="E156" s="60">
        <v>1.0</v>
      </c>
      <c r="F156" s="60">
        <v>0.0</v>
      </c>
      <c r="G156" s="60">
        <v>1.0</v>
      </c>
      <c r="H156" s="60">
        <v>1.0</v>
      </c>
      <c r="I156" s="60">
        <v>0.0</v>
      </c>
      <c r="J156" s="60">
        <v>0.0</v>
      </c>
      <c r="K156" s="60">
        <v>0.0</v>
      </c>
      <c r="L156" s="60">
        <v>0.0</v>
      </c>
      <c r="M156" s="13">
        <f t="shared" si="13"/>
        <v>3</v>
      </c>
      <c r="N156" s="5"/>
      <c r="O156" s="5"/>
    </row>
    <row r="157" ht="12.75" customHeight="1">
      <c r="A157" s="31"/>
      <c r="B157" s="50"/>
      <c r="C157" s="58" t="s">
        <v>135</v>
      </c>
      <c r="D157" s="65"/>
      <c r="E157" s="60">
        <v>1.0</v>
      </c>
      <c r="F157" s="60">
        <v>0.0</v>
      </c>
      <c r="G157" s="60">
        <v>1.0</v>
      </c>
      <c r="H157" s="60">
        <v>0.0</v>
      </c>
      <c r="I157" s="60">
        <v>1.0</v>
      </c>
      <c r="J157" s="60">
        <v>0.0</v>
      </c>
      <c r="K157" s="60">
        <v>2.0</v>
      </c>
      <c r="L157" s="60">
        <v>1.0</v>
      </c>
      <c r="M157" s="13">
        <f t="shared" si="13"/>
        <v>6</v>
      </c>
      <c r="N157" s="5"/>
      <c r="O157" s="5"/>
    </row>
    <row r="158" ht="12.75" customHeight="1">
      <c r="A158" s="31"/>
      <c r="B158" s="50"/>
      <c r="C158" s="58" t="s">
        <v>136</v>
      </c>
      <c r="D158" s="65"/>
      <c r="E158" s="60">
        <v>0.0</v>
      </c>
      <c r="F158" s="60">
        <v>0.0</v>
      </c>
      <c r="G158" s="60">
        <v>1.0</v>
      </c>
      <c r="H158" s="60">
        <v>0.0</v>
      </c>
      <c r="I158" s="60">
        <v>0.0</v>
      </c>
      <c r="J158" s="60">
        <v>0.0</v>
      </c>
      <c r="K158" s="60">
        <v>0.0</v>
      </c>
      <c r="L158" s="60">
        <v>0.0</v>
      </c>
      <c r="M158" s="13">
        <f t="shared" si="13"/>
        <v>1</v>
      </c>
      <c r="N158" s="5"/>
      <c r="O158" s="5"/>
    </row>
    <row r="159" ht="12.75" customHeight="1">
      <c r="A159" s="31"/>
      <c r="B159" s="50"/>
      <c r="C159" s="58" t="s">
        <v>137</v>
      </c>
      <c r="D159" s="65"/>
      <c r="E159" s="60">
        <v>0.0</v>
      </c>
      <c r="F159" s="60">
        <v>0.0</v>
      </c>
      <c r="G159" s="60">
        <v>0.0</v>
      </c>
      <c r="H159" s="60">
        <v>0.0</v>
      </c>
      <c r="I159" s="60">
        <v>0.0</v>
      </c>
      <c r="J159" s="60">
        <v>0.0</v>
      </c>
      <c r="K159" s="60">
        <v>0.0</v>
      </c>
      <c r="L159" s="60">
        <v>0.0</v>
      </c>
      <c r="M159" s="13">
        <f t="shared" si="13"/>
        <v>0</v>
      </c>
      <c r="N159" s="5"/>
      <c r="O159" s="5"/>
    </row>
    <row r="160" ht="12.75" customHeight="1">
      <c r="A160" s="31" t="s">
        <v>39</v>
      </c>
      <c r="B160" s="57"/>
      <c r="C160" s="58" t="s">
        <v>138</v>
      </c>
      <c r="D160" s="59"/>
      <c r="E160" s="60">
        <v>0.0</v>
      </c>
      <c r="F160" s="60">
        <v>0.0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13">
        <f t="shared" si="13"/>
        <v>0</v>
      </c>
      <c r="N160" s="5"/>
      <c r="O160" s="5"/>
    </row>
    <row r="161" ht="12.75" customHeight="1">
      <c r="A161" s="31"/>
      <c r="B161" s="57"/>
      <c r="C161" s="58" t="s">
        <v>139</v>
      </c>
      <c r="D161" s="59"/>
      <c r="E161" s="60">
        <v>0.0</v>
      </c>
      <c r="F161" s="60">
        <v>0.0</v>
      </c>
      <c r="G161" s="60">
        <v>0.0</v>
      </c>
      <c r="H161" s="60">
        <v>0.0</v>
      </c>
      <c r="I161" s="60">
        <v>0.0</v>
      </c>
      <c r="J161" s="60">
        <v>0.0</v>
      </c>
      <c r="K161" s="60">
        <v>0.0</v>
      </c>
      <c r="L161" s="60">
        <v>0.0</v>
      </c>
      <c r="M161" s="13">
        <f t="shared" si="13"/>
        <v>0</v>
      </c>
      <c r="N161" s="5"/>
      <c r="O161" s="5"/>
    </row>
    <row r="162" ht="12.75" customHeight="1">
      <c r="A162" s="19" t="s">
        <v>15</v>
      </c>
      <c r="B162" s="50" t="s">
        <v>46</v>
      </c>
      <c r="C162" s="15"/>
      <c r="D162" s="16"/>
      <c r="E162" s="64">
        <f t="shared" ref="E162:L162" si="28">SUM(E156:E161)</f>
        <v>2</v>
      </c>
      <c r="F162" s="64">
        <f t="shared" si="28"/>
        <v>0</v>
      </c>
      <c r="G162" s="64">
        <f t="shared" si="28"/>
        <v>3</v>
      </c>
      <c r="H162" s="64">
        <f t="shared" si="28"/>
        <v>1</v>
      </c>
      <c r="I162" s="64">
        <f t="shared" si="28"/>
        <v>1</v>
      </c>
      <c r="J162" s="64">
        <f t="shared" si="28"/>
        <v>0</v>
      </c>
      <c r="K162" s="64">
        <f t="shared" si="28"/>
        <v>2</v>
      </c>
      <c r="L162" s="64">
        <f t="shared" si="28"/>
        <v>1</v>
      </c>
      <c r="M162" s="13">
        <f t="shared" si="13"/>
        <v>10</v>
      </c>
      <c r="N162" s="5"/>
      <c r="O162" s="5"/>
    </row>
    <row r="163" ht="12.75" customHeight="1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3">
        <f t="shared" si="13"/>
        <v>0</v>
      </c>
      <c r="N163" s="5"/>
      <c r="O163" s="5"/>
    </row>
    <row r="164" ht="12.75" customHeight="1">
      <c r="A164" s="31" t="s">
        <v>37</v>
      </c>
      <c r="B164" s="50" t="s">
        <v>140</v>
      </c>
      <c r="C164" s="51" t="s">
        <v>141</v>
      </c>
      <c r="D164" s="16"/>
      <c r="E164" s="60">
        <v>0.0</v>
      </c>
      <c r="F164" s="60">
        <v>0.0</v>
      </c>
      <c r="G164" s="60">
        <v>0.0</v>
      </c>
      <c r="H164" s="60">
        <v>0.0</v>
      </c>
      <c r="I164" s="60">
        <v>0.0</v>
      </c>
      <c r="J164" s="60">
        <v>0.0</v>
      </c>
      <c r="K164" s="60">
        <v>0.0</v>
      </c>
      <c r="L164" s="60">
        <v>0.0</v>
      </c>
      <c r="M164" s="13">
        <f t="shared" si="13"/>
        <v>0</v>
      </c>
      <c r="N164" s="5"/>
      <c r="O164" s="5"/>
    </row>
    <row r="165" ht="12.75" customHeight="1">
      <c r="A165" s="31"/>
      <c r="B165" s="50"/>
      <c r="C165" s="58" t="s">
        <v>142</v>
      </c>
      <c r="D165" s="65"/>
      <c r="E165" s="60">
        <v>0.0</v>
      </c>
      <c r="F165" s="60">
        <v>0.0</v>
      </c>
      <c r="G165" s="60">
        <v>0.0</v>
      </c>
      <c r="H165" s="60">
        <v>0.0</v>
      </c>
      <c r="I165" s="60">
        <v>1.0</v>
      </c>
      <c r="J165" s="60">
        <v>1.0</v>
      </c>
      <c r="K165" s="60">
        <v>0.0</v>
      </c>
      <c r="L165" s="60">
        <v>0.0</v>
      </c>
      <c r="M165" s="13">
        <f t="shared" si="13"/>
        <v>2</v>
      </c>
      <c r="N165" s="1"/>
      <c r="O165" s="1"/>
    </row>
    <row r="166" ht="12.75" customHeight="1">
      <c r="A166" s="31"/>
      <c r="B166" s="50"/>
      <c r="C166" s="58" t="s">
        <v>143</v>
      </c>
      <c r="D166" s="65"/>
      <c r="E166" s="60">
        <v>0.0</v>
      </c>
      <c r="F166" s="60">
        <v>0.0</v>
      </c>
      <c r="G166" s="60">
        <v>0.0</v>
      </c>
      <c r="H166" s="60">
        <v>0.0</v>
      </c>
      <c r="I166" s="60">
        <v>0.0</v>
      </c>
      <c r="J166" s="60">
        <v>0.0</v>
      </c>
      <c r="K166" s="60">
        <v>0.0</v>
      </c>
      <c r="L166" s="60">
        <v>0.0</v>
      </c>
      <c r="M166" s="13">
        <f t="shared" si="13"/>
        <v>0</v>
      </c>
      <c r="N166" s="54"/>
      <c r="O166" s="54"/>
    </row>
    <row r="167" ht="12.75" customHeight="1">
      <c r="A167" s="31"/>
      <c r="B167" s="50"/>
      <c r="C167" s="58" t="s">
        <v>144</v>
      </c>
      <c r="D167" s="65"/>
      <c r="E167" s="60">
        <v>0.0</v>
      </c>
      <c r="F167" s="60">
        <v>0.0</v>
      </c>
      <c r="G167" s="60">
        <v>0.0</v>
      </c>
      <c r="H167" s="60">
        <v>0.0</v>
      </c>
      <c r="I167" s="60">
        <v>0.0</v>
      </c>
      <c r="J167" s="60">
        <v>0.0</v>
      </c>
      <c r="K167" s="60">
        <v>0.0</v>
      </c>
      <c r="L167" s="60">
        <v>0.0</v>
      </c>
      <c r="M167" s="13">
        <f t="shared" si="13"/>
        <v>0</v>
      </c>
      <c r="N167" s="5"/>
      <c r="O167" s="5"/>
    </row>
    <row r="168" ht="12.75" customHeight="1">
      <c r="A168" s="31" t="s">
        <v>39</v>
      </c>
      <c r="B168" s="57"/>
      <c r="C168" s="58" t="s">
        <v>145</v>
      </c>
      <c r="D168" s="59"/>
      <c r="E168" s="60">
        <v>0.0</v>
      </c>
      <c r="F168" s="60">
        <v>0.0</v>
      </c>
      <c r="G168" s="60">
        <v>0.0</v>
      </c>
      <c r="H168" s="60">
        <v>0.0</v>
      </c>
      <c r="I168" s="60">
        <v>1.0</v>
      </c>
      <c r="J168" s="60">
        <v>0.0</v>
      </c>
      <c r="K168" s="60">
        <v>0.0</v>
      </c>
      <c r="L168" s="60">
        <v>0.0</v>
      </c>
      <c r="M168" s="13">
        <f t="shared" si="13"/>
        <v>1</v>
      </c>
      <c r="N168" s="5"/>
      <c r="O168" s="5"/>
    </row>
    <row r="169" ht="12.75" customHeight="1">
      <c r="A169" s="18"/>
      <c r="B169" s="57"/>
      <c r="C169" s="58" t="s">
        <v>146</v>
      </c>
      <c r="D169" s="59"/>
      <c r="E169" s="60">
        <v>0.0</v>
      </c>
      <c r="F169" s="60">
        <v>0.0</v>
      </c>
      <c r="G169" s="60">
        <v>0.0</v>
      </c>
      <c r="H169" s="60">
        <v>0.0</v>
      </c>
      <c r="I169" s="60">
        <v>0.0</v>
      </c>
      <c r="J169" s="60">
        <v>0.0</v>
      </c>
      <c r="K169" s="60">
        <v>0.0</v>
      </c>
      <c r="L169" s="60">
        <v>0.0</v>
      </c>
      <c r="M169" s="13">
        <f t="shared" si="13"/>
        <v>0</v>
      </c>
      <c r="N169" s="5"/>
      <c r="O169" s="5"/>
    </row>
    <row r="170" ht="12.75" customHeight="1">
      <c r="A170" s="18"/>
      <c r="B170" s="57"/>
      <c r="C170" s="58" t="s">
        <v>147</v>
      </c>
      <c r="D170" s="59"/>
      <c r="E170" s="60">
        <v>0.0</v>
      </c>
      <c r="F170" s="60">
        <v>0.0</v>
      </c>
      <c r="G170" s="60">
        <v>0.0</v>
      </c>
      <c r="H170" s="60">
        <v>0.0</v>
      </c>
      <c r="I170" s="60">
        <v>0.0</v>
      </c>
      <c r="J170" s="60">
        <v>0.0</v>
      </c>
      <c r="K170" s="60">
        <v>0.0</v>
      </c>
      <c r="L170" s="60">
        <v>0.0</v>
      </c>
      <c r="M170" s="13">
        <f t="shared" si="13"/>
        <v>0</v>
      </c>
      <c r="N170" s="5"/>
      <c r="O170" s="5"/>
    </row>
    <row r="171" ht="12.75" customHeight="1">
      <c r="A171" s="19" t="s">
        <v>15</v>
      </c>
      <c r="B171" s="50" t="s">
        <v>46</v>
      </c>
      <c r="C171" s="15"/>
      <c r="D171" s="16"/>
      <c r="E171" s="64">
        <f t="shared" ref="E171:L171" si="29">SUM(E164:E170)</f>
        <v>0</v>
      </c>
      <c r="F171" s="64">
        <f t="shared" si="29"/>
        <v>0</v>
      </c>
      <c r="G171" s="64">
        <f t="shared" si="29"/>
        <v>0</v>
      </c>
      <c r="H171" s="64">
        <f t="shared" si="29"/>
        <v>0</v>
      </c>
      <c r="I171" s="64">
        <f t="shared" si="29"/>
        <v>2</v>
      </c>
      <c r="J171" s="64">
        <f t="shared" si="29"/>
        <v>1</v>
      </c>
      <c r="K171" s="64">
        <f t="shared" si="29"/>
        <v>0</v>
      </c>
      <c r="L171" s="64">
        <f t="shared" si="29"/>
        <v>0</v>
      </c>
      <c r="M171" s="13">
        <f t="shared" si="13"/>
        <v>3</v>
      </c>
      <c r="N171" s="5"/>
      <c r="O171" s="5"/>
    </row>
    <row r="172" ht="12.75" customHeight="1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3">
        <f t="shared" si="13"/>
        <v>0</v>
      </c>
      <c r="N172" s="5"/>
      <c r="O172" s="5"/>
    </row>
    <row r="173" ht="12.75" customHeight="1">
      <c r="A173" s="31" t="s">
        <v>37</v>
      </c>
      <c r="B173" s="50" t="s">
        <v>148</v>
      </c>
      <c r="C173" s="51" t="s">
        <v>149</v>
      </c>
      <c r="D173" s="16"/>
      <c r="E173" s="60">
        <v>3.0</v>
      </c>
      <c r="F173" s="60">
        <v>1.0</v>
      </c>
      <c r="G173" s="60">
        <v>5.0</v>
      </c>
      <c r="H173" s="60">
        <v>2.0</v>
      </c>
      <c r="I173" s="60">
        <v>5.0</v>
      </c>
      <c r="J173" s="60">
        <v>3.0</v>
      </c>
      <c r="K173" s="60">
        <v>0.0</v>
      </c>
      <c r="L173" s="60">
        <v>4.0</v>
      </c>
      <c r="M173" s="13">
        <f t="shared" si="13"/>
        <v>23</v>
      </c>
      <c r="N173" s="5"/>
      <c r="O173" s="5"/>
    </row>
    <row r="174" ht="12.75" customHeight="1">
      <c r="A174" s="31" t="s">
        <v>39</v>
      </c>
      <c r="B174" s="57"/>
      <c r="C174" s="58" t="s">
        <v>150</v>
      </c>
      <c r="D174" s="59"/>
      <c r="E174" s="60">
        <v>1.0</v>
      </c>
      <c r="F174" s="60">
        <v>0.0</v>
      </c>
      <c r="G174" s="60">
        <v>1.0</v>
      </c>
      <c r="H174" s="60">
        <v>2.0</v>
      </c>
      <c r="I174" s="60">
        <v>0.0</v>
      </c>
      <c r="J174" s="60">
        <v>1.0</v>
      </c>
      <c r="K174" s="60">
        <v>3.0</v>
      </c>
      <c r="L174" s="60">
        <v>2.0</v>
      </c>
      <c r="M174" s="13">
        <f t="shared" si="13"/>
        <v>10</v>
      </c>
      <c r="N174" s="5"/>
      <c r="O174" s="5"/>
    </row>
    <row r="175" ht="12.75" customHeight="1">
      <c r="A175" s="18"/>
      <c r="B175" s="57"/>
      <c r="C175" s="58" t="s">
        <v>151</v>
      </c>
      <c r="D175" s="59"/>
      <c r="E175" s="60">
        <v>2.0</v>
      </c>
      <c r="F175" s="60">
        <v>7.0</v>
      </c>
      <c r="G175" s="60">
        <v>4.0</v>
      </c>
      <c r="H175" s="60">
        <v>2.0</v>
      </c>
      <c r="I175" s="60">
        <v>2.0</v>
      </c>
      <c r="J175" s="60">
        <v>1.0</v>
      </c>
      <c r="K175" s="60">
        <v>4.0</v>
      </c>
      <c r="L175" s="60">
        <v>5.0</v>
      </c>
      <c r="M175" s="13">
        <f t="shared" si="13"/>
        <v>27</v>
      </c>
      <c r="N175" s="5"/>
      <c r="O175" s="5"/>
    </row>
    <row r="176" ht="12.75" customHeight="1">
      <c r="A176" s="18"/>
      <c r="B176" s="57"/>
      <c r="C176" s="58" t="s">
        <v>152</v>
      </c>
      <c r="D176" s="59"/>
      <c r="E176" s="60">
        <v>12.0</v>
      </c>
      <c r="F176" s="60">
        <v>30.0</v>
      </c>
      <c r="G176" s="60">
        <v>12.0</v>
      </c>
      <c r="H176" s="60">
        <v>12.0</v>
      </c>
      <c r="I176" s="60">
        <v>17.0</v>
      </c>
      <c r="J176" s="60">
        <v>21.0</v>
      </c>
      <c r="K176" s="60">
        <v>24.0</v>
      </c>
      <c r="L176" s="60">
        <v>11.0</v>
      </c>
      <c r="M176" s="13">
        <f t="shared" si="13"/>
        <v>139</v>
      </c>
      <c r="N176" s="1"/>
      <c r="O176" s="1"/>
    </row>
    <row r="177" ht="12.75" customHeight="1">
      <c r="A177" s="18"/>
      <c r="B177" s="57"/>
      <c r="C177" s="58" t="s">
        <v>153</v>
      </c>
      <c r="D177" s="59"/>
      <c r="E177" s="60">
        <v>0.0</v>
      </c>
      <c r="F177" s="60">
        <v>0.0</v>
      </c>
      <c r="G177" s="60">
        <v>0.0</v>
      </c>
      <c r="H177" s="60">
        <v>1.0</v>
      </c>
      <c r="I177" s="60">
        <v>1.0</v>
      </c>
      <c r="J177" s="60">
        <v>0.0</v>
      </c>
      <c r="K177" s="60">
        <v>1.0</v>
      </c>
      <c r="L177" s="60">
        <v>1.0</v>
      </c>
      <c r="M177" s="13">
        <f t="shared" si="13"/>
        <v>4</v>
      </c>
    </row>
    <row r="178" ht="12.75" customHeight="1">
      <c r="A178" s="18"/>
      <c r="B178" s="57"/>
      <c r="C178" s="58" t="s">
        <v>154</v>
      </c>
      <c r="D178" s="59"/>
      <c r="E178" s="60">
        <v>0.0</v>
      </c>
      <c r="F178" s="60">
        <v>0.0</v>
      </c>
      <c r="G178" s="60">
        <v>1.0</v>
      </c>
      <c r="H178" s="60">
        <v>0.0</v>
      </c>
      <c r="I178" s="60">
        <v>0.0</v>
      </c>
      <c r="J178" s="60">
        <v>0.0</v>
      </c>
      <c r="K178" s="60">
        <v>0.0</v>
      </c>
      <c r="L178" s="60">
        <v>0.0</v>
      </c>
      <c r="M178" s="13">
        <f t="shared" si="13"/>
        <v>1</v>
      </c>
      <c r="N178" s="5"/>
      <c r="O178" s="5"/>
    </row>
    <row r="179" ht="12.75" customHeight="1">
      <c r="A179" s="18"/>
      <c r="B179" s="57"/>
      <c r="C179" s="58" t="s">
        <v>155</v>
      </c>
      <c r="D179" s="59"/>
      <c r="E179" s="60">
        <v>0.0</v>
      </c>
      <c r="F179" s="60">
        <v>0.0</v>
      </c>
      <c r="G179" s="60">
        <v>0.0</v>
      </c>
      <c r="H179" s="60">
        <v>0.0</v>
      </c>
      <c r="I179" s="60">
        <v>0.0</v>
      </c>
      <c r="J179" s="60">
        <v>0.0</v>
      </c>
      <c r="K179" s="60">
        <v>0.0</v>
      </c>
      <c r="L179" s="60">
        <v>0.0</v>
      </c>
      <c r="M179" s="13">
        <f t="shared" si="13"/>
        <v>0</v>
      </c>
      <c r="N179" s="5"/>
      <c r="O179" s="5"/>
    </row>
    <row r="180" ht="12.75" customHeight="1">
      <c r="A180" s="19" t="s">
        <v>15</v>
      </c>
      <c r="B180" s="50" t="s">
        <v>46</v>
      </c>
      <c r="C180" s="15"/>
      <c r="D180" s="16"/>
      <c r="E180" s="64">
        <f t="shared" ref="E180:L180" si="30">SUM(E173:E179)</f>
        <v>18</v>
      </c>
      <c r="F180" s="64">
        <f t="shared" si="30"/>
        <v>38</v>
      </c>
      <c r="G180" s="64">
        <f t="shared" si="30"/>
        <v>23</v>
      </c>
      <c r="H180" s="64">
        <f t="shared" si="30"/>
        <v>19</v>
      </c>
      <c r="I180" s="64">
        <f t="shared" si="30"/>
        <v>25</v>
      </c>
      <c r="J180" s="64">
        <f t="shared" si="30"/>
        <v>26</v>
      </c>
      <c r="K180" s="64">
        <f t="shared" si="30"/>
        <v>32</v>
      </c>
      <c r="L180" s="64">
        <f t="shared" si="30"/>
        <v>23</v>
      </c>
      <c r="M180" s="13">
        <f t="shared" si="13"/>
        <v>204</v>
      </c>
      <c r="N180" s="5"/>
      <c r="O180" s="5"/>
    </row>
    <row r="181" ht="12.75" customHeight="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3">
        <f t="shared" si="13"/>
        <v>0</v>
      </c>
      <c r="N181" s="5"/>
      <c r="O181" s="5"/>
    </row>
    <row r="182" ht="12.75" customHeight="1">
      <c r="A182" s="31" t="s">
        <v>37</v>
      </c>
      <c r="B182" s="50" t="s">
        <v>156</v>
      </c>
      <c r="C182" s="51" t="s">
        <v>157</v>
      </c>
      <c r="D182" s="16"/>
      <c r="E182" s="60">
        <v>0.0</v>
      </c>
      <c r="F182" s="60">
        <v>0.0</v>
      </c>
      <c r="G182" s="60">
        <v>0.0</v>
      </c>
      <c r="H182" s="60">
        <v>0.0</v>
      </c>
      <c r="I182" s="60">
        <v>0.0</v>
      </c>
      <c r="J182" s="60">
        <v>0.0</v>
      </c>
      <c r="K182" s="60">
        <v>1.0</v>
      </c>
      <c r="L182" s="60">
        <v>1.0</v>
      </c>
      <c r="M182" s="13">
        <f t="shared" si="13"/>
        <v>2</v>
      </c>
      <c r="N182" s="5"/>
      <c r="O182" s="5"/>
    </row>
    <row r="183" ht="12.75" customHeight="1">
      <c r="A183" s="31"/>
      <c r="B183" s="50"/>
      <c r="C183" s="58" t="s">
        <v>158</v>
      </c>
      <c r="D183" s="65"/>
      <c r="E183" s="60">
        <v>0.0</v>
      </c>
      <c r="F183" s="60">
        <v>0.0</v>
      </c>
      <c r="G183" s="60">
        <v>0.0</v>
      </c>
      <c r="H183" s="60">
        <v>0.0</v>
      </c>
      <c r="I183" s="60">
        <v>0.0</v>
      </c>
      <c r="J183" s="60">
        <v>0.0</v>
      </c>
      <c r="K183" s="60">
        <v>0.0</v>
      </c>
      <c r="L183" s="60">
        <v>0.0</v>
      </c>
      <c r="M183" s="13">
        <f t="shared" si="13"/>
        <v>0</v>
      </c>
      <c r="N183" s="5"/>
      <c r="O183" s="5"/>
    </row>
    <row r="184" ht="12.75" customHeight="1">
      <c r="A184" s="31"/>
      <c r="B184" s="50"/>
      <c r="C184" s="58" t="s">
        <v>159</v>
      </c>
      <c r="D184" s="65"/>
      <c r="E184" s="60">
        <v>0.0</v>
      </c>
      <c r="F184" s="60">
        <v>0.0</v>
      </c>
      <c r="G184" s="60">
        <v>0.0</v>
      </c>
      <c r="H184" s="60">
        <v>0.0</v>
      </c>
      <c r="I184" s="60">
        <v>0.0</v>
      </c>
      <c r="J184" s="60">
        <v>0.0</v>
      </c>
      <c r="K184" s="60">
        <v>0.0</v>
      </c>
      <c r="L184" s="60">
        <v>0.0</v>
      </c>
      <c r="M184" s="13">
        <f t="shared" si="13"/>
        <v>0</v>
      </c>
      <c r="N184" s="5"/>
      <c r="O184" s="5"/>
    </row>
    <row r="185" ht="12.75" customHeight="1">
      <c r="A185" s="31"/>
      <c r="B185" s="50"/>
      <c r="C185" s="58" t="s">
        <v>160</v>
      </c>
      <c r="D185" s="65"/>
      <c r="E185" s="60">
        <v>0.0</v>
      </c>
      <c r="F185" s="60">
        <v>0.0</v>
      </c>
      <c r="G185" s="60">
        <v>0.0</v>
      </c>
      <c r="H185" s="60">
        <v>0.0</v>
      </c>
      <c r="I185" s="60">
        <v>0.0</v>
      </c>
      <c r="J185" s="60">
        <v>0.0</v>
      </c>
      <c r="K185" s="60">
        <v>0.0</v>
      </c>
      <c r="L185" s="60">
        <v>0.0</v>
      </c>
      <c r="M185" s="13">
        <f t="shared" si="13"/>
        <v>0</v>
      </c>
      <c r="N185" s="5"/>
      <c r="O185" s="5"/>
    </row>
    <row r="186" ht="12.75" customHeight="1">
      <c r="A186" s="31" t="s">
        <v>39</v>
      </c>
      <c r="B186" s="57"/>
      <c r="C186" s="58" t="s">
        <v>161</v>
      </c>
      <c r="D186" s="59"/>
      <c r="E186" s="60">
        <v>0.0</v>
      </c>
      <c r="F186" s="60">
        <v>0.0</v>
      </c>
      <c r="G186" s="60">
        <v>0.0</v>
      </c>
      <c r="H186" s="60">
        <v>0.0</v>
      </c>
      <c r="I186" s="60">
        <v>0.0</v>
      </c>
      <c r="J186" s="60">
        <v>0.0</v>
      </c>
      <c r="K186" s="60">
        <v>0.0</v>
      </c>
      <c r="L186" s="60">
        <v>0.0</v>
      </c>
      <c r="M186" s="13">
        <f t="shared" si="13"/>
        <v>0</v>
      </c>
      <c r="N186" s="5"/>
      <c r="O186" s="5"/>
    </row>
    <row r="187" ht="12.75" customHeight="1">
      <c r="A187" s="19" t="s">
        <v>15</v>
      </c>
      <c r="B187" s="50" t="s">
        <v>46</v>
      </c>
      <c r="C187" s="15"/>
      <c r="D187" s="16"/>
      <c r="E187" s="64">
        <f t="shared" ref="E187:L187" si="31">SUM(E182:E186)</f>
        <v>0</v>
      </c>
      <c r="F187" s="64">
        <f t="shared" si="31"/>
        <v>0</v>
      </c>
      <c r="G187" s="64">
        <f t="shared" si="31"/>
        <v>0</v>
      </c>
      <c r="H187" s="64">
        <f t="shared" si="31"/>
        <v>0</v>
      </c>
      <c r="I187" s="64">
        <f t="shared" si="31"/>
        <v>0</v>
      </c>
      <c r="J187" s="64">
        <f t="shared" si="31"/>
        <v>0</v>
      </c>
      <c r="K187" s="64">
        <f t="shared" si="31"/>
        <v>1</v>
      </c>
      <c r="L187" s="64">
        <f t="shared" si="31"/>
        <v>1</v>
      </c>
      <c r="M187" s="13">
        <f t="shared" si="13"/>
        <v>2</v>
      </c>
      <c r="N187" s="1"/>
      <c r="O187" s="1"/>
    </row>
    <row r="188" ht="12.75" customHeight="1">
      <c r="A188" s="30"/>
      <c r="B188" s="15"/>
      <c r="C188" s="15"/>
      <c r="D188" s="16"/>
      <c r="E188" s="30"/>
      <c r="F188" s="30"/>
      <c r="G188" s="30"/>
      <c r="H188" s="30"/>
      <c r="I188" s="30"/>
      <c r="J188" s="30"/>
      <c r="K188" s="30"/>
      <c r="L188" s="30"/>
      <c r="M188" s="13">
        <f t="shared" si="13"/>
        <v>0</v>
      </c>
    </row>
    <row r="189" ht="12.75" customHeight="1">
      <c r="A189" s="48"/>
      <c r="B189" s="47"/>
      <c r="C189" s="47"/>
      <c r="D189" s="28"/>
      <c r="E189" s="19"/>
      <c r="F189" s="19"/>
      <c r="G189" s="19"/>
      <c r="H189" s="19"/>
      <c r="I189" s="19"/>
      <c r="J189" s="19"/>
      <c r="K189" s="19"/>
      <c r="L189" s="19"/>
      <c r="M189" s="13">
        <f t="shared" si="13"/>
        <v>0</v>
      </c>
      <c r="N189" s="5"/>
      <c r="O189" s="5"/>
    </row>
    <row r="190" ht="12.75" customHeight="1">
      <c r="A190" s="45" t="s">
        <v>162</v>
      </c>
      <c r="B190" s="14" t="s">
        <v>163</v>
      </c>
      <c r="C190" s="15"/>
      <c r="D190" s="16"/>
      <c r="E190" s="74" t="s">
        <v>172</v>
      </c>
      <c r="F190" s="74" t="s">
        <v>173</v>
      </c>
      <c r="G190" s="74" t="s">
        <v>174</v>
      </c>
      <c r="H190" s="74" t="s">
        <v>175</v>
      </c>
      <c r="I190" s="74" t="s">
        <v>176</v>
      </c>
      <c r="J190" s="74" t="s">
        <v>177</v>
      </c>
      <c r="K190" s="74" t="s">
        <v>179</v>
      </c>
      <c r="L190" s="74" t="s">
        <v>180</v>
      </c>
      <c r="M190" s="13">
        <f t="shared" si="13"/>
        <v>0</v>
      </c>
      <c r="N190" s="5"/>
      <c r="O190" s="5"/>
    </row>
    <row r="191" ht="12.75" customHeight="1">
      <c r="A191" s="45"/>
      <c r="B191" s="67" t="s">
        <v>164</v>
      </c>
      <c r="C191" s="68" t="s">
        <v>165</v>
      </c>
      <c r="D191" s="16"/>
      <c r="E191" s="19">
        <f t="shared" ref="E191:L191" si="32">E187+E180+E162+E154+E145+E136+E127+E123+E114+E110+E101+E92+E88+E79+E70+E61+E52</f>
        <v>189</v>
      </c>
      <c r="F191" s="19">
        <f t="shared" si="32"/>
        <v>219</v>
      </c>
      <c r="G191" s="19">
        <f t="shared" si="32"/>
        <v>184</v>
      </c>
      <c r="H191" s="19">
        <f t="shared" si="32"/>
        <v>200</v>
      </c>
      <c r="I191" s="19">
        <f t="shared" si="32"/>
        <v>206</v>
      </c>
      <c r="J191" s="19">
        <f t="shared" si="32"/>
        <v>224</v>
      </c>
      <c r="K191" s="19">
        <f t="shared" si="32"/>
        <v>204</v>
      </c>
      <c r="L191" s="19">
        <f t="shared" si="32"/>
        <v>206</v>
      </c>
      <c r="M191" s="13">
        <f t="shared" si="13"/>
        <v>1632</v>
      </c>
      <c r="N191" s="5"/>
      <c r="O191" s="5"/>
    </row>
    <row r="192" ht="12.75" customHeight="1">
      <c r="A192" s="36"/>
      <c r="B192" s="67" t="s">
        <v>166</v>
      </c>
      <c r="C192" s="68" t="s">
        <v>167</v>
      </c>
      <c r="D192" s="16"/>
      <c r="E192" s="60">
        <v>23.0</v>
      </c>
      <c r="F192" s="60">
        <v>15.0</v>
      </c>
      <c r="G192" s="60">
        <v>12.0</v>
      </c>
      <c r="H192" s="60">
        <v>25.0</v>
      </c>
      <c r="I192" s="60">
        <v>14.0</v>
      </c>
      <c r="J192" s="60">
        <v>7.0</v>
      </c>
      <c r="K192" s="60">
        <v>27.0</v>
      </c>
      <c r="L192" s="60">
        <v>38.0</v>
      </c>
      <c r="M192" s="13">
        <f t="shared" si="13"/>
        <v>161</v>
      </c>
      <c r="N192" s="5"/>
      <c r="O192" s="5"/>
    </row>
    <row r="193" ht="12.75" customHeight="1">
      <c r="A193" s="44"/>
      <c r="B193" s="67" t="s">
        <v>168</v>
      </c>
      <c r="C193" s="68" t="s">
        <v>169</v>
      </c>
      <c r="D193" s="16"/>
      <c r="E193" s="13">
        <f t="shared" ref="E193:L193" si="33">SUM(E191:E192)</f>
        <v>212</v>
      </c>
      <c r="F193" s="13">
        <f t="shared" si="33"/>
        <v>234</v>
      </c>
      <c r="G193" s="13">
        <f t="shared" si="33"/>
        <v>196</v>
      </c>
      <c r="H193" s="13">
        <f t="shared" si="33"/>
        <v>225</v>
      </c>
      <c r="I193" s="13">
        <f t="shared" si="33"/>
        <v>220</v>
      </c>
      <c r="J193" s="13">
        <f t="shared" si="33"/>
        <v>231</v>
      </c>
      <c r="K193" s="13">
        <f t="shared" si="33"/>
        <v>231</v>
      </c>
      <c r="L193" s="13">
        <f t="shared" si="33"/>
        <v>244</v>
      </c>
      <c r="M193" s="13">
        <f t="shared" si="13"/>
        <v>1793</v>
      </c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4"/>
      <c r="O199" s="54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4"/>
      <c r="O208" s="54"/>
    </row>
    <row r="209" ht="12.75" customHeight="1">
      <c r="N209" s="54"/>
      <c r="O209" s="54"/>
    </row>
    <row r="210" ht="12.75" customHeight="1">
      <c r="N210" s="54"/>
      <c r="O210" s="54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4"/>
      <c r="O219" s="54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4"/>
      <c r="O230" s="54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51">
    <cfRule type="containsBlanks" dxfId="1" priority="10">
      <formula>LEN(TRIM(E45))=0</formula>
    </cfRule>
  </conditionalFormatting>
  <conditionalFormatting sqref="E54:L60">
    <cfRule type="containsBlanks" dxfId="1" priority="11">
      <formula>LEN(TRIM(E54))=0</formula>
    </cfRule>
  </conditionalFormatting>
  <conditionalFormatting sqref="E63:L69">
    <cfRule type="containsBlanks" dxfId="1" priority="12">
      <formula>LEN(TRIM(E63))=0</formula>
    </cfRule>
  </conditionalFormatting>
  <conditionalFormatting sqref="E72:L78">
    <cfRule type="containsBlanks" dxfId="1" priority="13">
      <formula>LEN(TRIM(E72))=0</formula>
    </cfRule>
  </conditionalFormatting>
  <conditionalFormatting sqref="E81:L87">
    <cfRule type="containsBlanks" dxfId="1" priority="14">
      <formula>LEN(TRIM(E81))=0</formula>
    </cfRule>
  </conditionalFormatting>
  <conditionalFormatting sqref="E90:L91">
    <cfRule type="containsBlanks" dxfId="1" priority="15">
      <formula>LEN(TRIM(E90))=0</formula>
    </cfRule>
  </conditionalFormatting>
  <conditionalFormatting sqref="E94:L100">
    <cfRule type="containsBlanks" dxfId="1" priority="16">
      <formula>LEN(TRIM(E94))=0</formula>
    </cfRule>
  </conditionalFormatting>
  <conditionalFormatting sqref="E103:L109">
    <cfRule type="containsBlanks" dxfId="1" priority="17">
      <formula>LEN(TRIM(E103))=0</formula>
    </cfRule>
  </conditionalFormatting>
  <conditionalFormatting sqref="E112:L113">
    <cfRule type="containsBlanks" dxfId="1" priority="18">
      <formula>LEN(TRIM(E112))=0</formula>
    </cfRule>
  </conditionalFormatting>
  <conditionalFormatting sqref="E116:L122">
    <cfRule type="containsBlanks" dxfId="1" priority="19">
      <formula>LEN(TRIM(E116))=0</formula>
    </cfRule>
  </conditionalFormatting>
  <conditionalFormatting sqref="E125:L126">
    <cfRule type="containsBlanks" dxfId="1" priority="20">
      <formula>LEN(TRIM(E125))=0</formula>
    </cfRule>
  </conditionalFormatting>
  <conditionalFormatting sqref="E129:L135">
    <cfRule type="containsBlanks" dxfId="1" priority="21">
      <formula>LEN(TRIM(E129))=0</formula>
    </cfRule>
  </conditionalFormatting>
  <conditionalFormatting sqref="E138:L144">
    <cfRule type="containsBlanks" dxfId="1" priority="22">
      <formula>LEN(TRIM(E138))=0</formula>
    </cfRule>
  </conditionalFormatting>
  <conditionalFormatting sqref="E147:L153">
    <cfRule type="containsBlanks" dxfId="1" priority="23">
      <formula>LEN(TRIM(E147))=0</formula>
    </cfRule>
  </conditionalFormatting>
  <conditionalFormatting sqref="E156:L161">
    <cfRule type="containsBlanks" dxfId="1" priority="24">
      <formula>LEN(TRIM(E156))=0</formula>
    </cfRule>
  </conditionalFormatting>
  <conditionalFormatting sqref="E164:L170">
    <cfRule type="containsBlanks" dxfId="1" priority="25">
      <formula>LEN(TRIM(E164))=0</formula>
    </cfRule>
  </conditionalFormatting>
  <conditionalFormatting sqref="E173:L179">
    <cfRule type="containsBlanks" dxfId="1" priority="26">
      <formula>LEN(TRIM(E173))=0</formula>
    </cfRule>
  </conditionalFormatting>
  <conditionalFormatting sqref="E182:L186">
    <cfRule type="containsBlanks" dxfId="1" priority="27">
      <formula>LEN(TRIM(E182))=0</formula>
    </cfRule>
  </conditionalFormatting>
  <conditionalFormatting sqref="E191:L192">
    <cfRule type="containsBlanks" dxfId="1" priority="28">
      <formula>LEN(TRIM(E191))=0</formula>
    </cfRule>
  </conditionalFormatting>
  <conditionalFormatting sqref="E193:L193">
    <cfRule type="expression" dxfId="0" priority="29">
      <formula>E193&lt;&gt;#REF!</formula>
    </cfRule>
  </conditionalFormatting>
  <conditionalFormatting sqref="E193:L193">
    <cfRule type="expression" dxfId="2" priority="30">
      <formula>#REF!&lt;&gt;E193</formula>
    </cfRule>
  </conditionalFormatting>
  <conditionalFormatting sqref="E193:L193">
    <cfRule type="expression" dxfId="3" priority="31">
      <formula>#REF!=E193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