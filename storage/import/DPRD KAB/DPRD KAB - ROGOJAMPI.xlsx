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\EXCEL PEMILU 2024\ROGOJAMPI\"/>
    </mc:Choice>
  </mc:AlternateContent>
  <xr:revisionPtr revIDLastSave="0" documentId="13_ncr:1_{49AEF888-5A15-493A-988D-C39006396AFF}" xr6:coauthVersionLast="47" xr6:coauthVersionMax="47" xr10:uidLastSave="{00000000-0000-0000-0000-000000000000}"/>
  <bookViews>
    <workbookView xWindow="0" yWindow="6120" windowWidth="21600" windowHeight="6577" tabRatio="933" activeTab="6" xr2:uid="{F263E089-6C93-4E6F-AA5B-BD89F8333161}"/>
  </bookViews>
  <sheets>
    <sheet name="DPRD KABUPATEN" sheetId="1" r:id="rId1"/>
    <sheet name="ALIYAN" sheetId="9" r:id="rId2"/>
    <sheet name="BUBUK" sheetId="10" r:id="rId3"/>
    <sheet name="GITIK" sheetId="11" r:id="rId4"/>
    <sheet name="GLADAG" sheetId="15" r:id="rId5"/>
    <sheet name="KARANGBENDO" sheetId="16" r:id="rId6"/>
    <sheet name="KEDALEMAN" sheetId="17" r:id="rId7"/>
    <sheet name="LEMAHBANGDEWO" sheetId="3" r:id="rId8"/>
    <sheet name="MANGIR" sheetId="18" r:id="rId9"/>
    <sheet name="PENGATIGAN" sheetId="19" r:id="rId10"/>
    <sheet name="ROGOJAMPI" sheetId="2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3" i="17" l="1"/>
  <c r="S34" i="17"/>
  <c r="S35" i="17"/>
  <c r="T140" i="20"/>
  <c r="U140" i="20"/>
  <c r="V140" i="20"/>
  <c r="W140" i="20"/>
  <c r="X140" i="20"/>
  <c r="Y140" i="20"/>
  <c r="Z140" i="20"/>
  <c r="AA140" i="20"/>
  <c r="AB140" i="20"/>
  <c r="AC140" i="20"/>
  <c r="AD140" i="20"/>
  <c r="AE140" i="20"/>
  <c r="AF140" i="20"/>
  <c r="AG140" i="20"/>
  <c r="AH140" i="20"/>
  <c r="AI140" i="20"/>
  <c r="AJ140" i="20"/>
  <c r="AK140" i="20"/>
  <c r="AL140" i="20"/>
  <c r="AE185" i="20"/>
  <c r="AD185" i="20"/>
  <c r="AC185" i="20"/>
  <c r="AB185" i="20"/>
  <c r="AA185" i="20"/>
  <c r="Z185" i="20"/>
  <c r="AE181" i="20"/>
  <c r="AD181" i="20"/>
  <c r="AC181" i="20"/>
  <c r="AB181" i="20"/>
  <c r="AA181" i="20"/>
  <c r="Z181" i="20"/>
  <c r="AE172" i="20"/>
  <c r="AD172" i="20"/>
  <c r="AC172" i="20"/>
  <c r="AB172" i="20"/>
  <c r="AA172" i="20"/>
  <c r="Z172" i="20"/>
  <c r="AE163" i="20"/>
  <c r="AD163" i="20"/>
  <c r="AC163" i="20"/>
  <c r="AB163" i="20"/>
  <c r="AA163" i="20"/>
  <c r="Z163" i="20"/>
  <c r="AE158" i="20"/>
  <c r="AD158" i="20"/>
  <c r="AC158" i="20"/>
  <c r="AB158" i="20"/>
  <c r="AA158" i="20"/>
  <c r="Z158" i="20"/>
  <c r="AE149" i="20"/>
  <c r="AD149" i="20"/>
  <c r="AC149" i="20"/>
  <c r="AB149" i="20"/>
  <c r="AA149" i="20"/>
  <c r="Z149" i="20"/>
  <c r="AE131" i="20"/>
  <c r="AD131" i="20"/>
  <c r="AC131" i="20"/>
  <c r="AB131" i="20"/>
  <c r="AA131" i="20"/>
  <c r="Z131" i="20"/>
  <c r="AE128" i="20"/>
  <c r="AD128" i="20"/>
  <c r="AC128" i="20"/>
  <c r="AB128" i="20"/>
  <c r="AA128" i="20"/>
  <c r="Z128" i="20"/>
  <c r="AE119" i="20"/>
  <c r="AD119" i="20"/>
  <c r="AC119" i="20"/>
  <c r="AB119" i="20"/>
  <c r="AA119" i="20"/>
  <c r="Z119" i="20"/>
  <c r="AE110" i="20"/>
  <c r="AD110" i="20"/>
  <c r="AC110" i="20"/>
  <c r="AB110" i="20"/>
  <c r="AA110" i="20"/>
  <c r="Z110" i="20"/>
  <c r="AE101" i="20"/>
  <c r="AD101" i="20"/>
  <c r="AC101" i="20"/>
  <c r="AB101" i="20"/>
  <c r="AA101" i="20"/>
  <c r="Z101" i="20"/>
  <c r="AE92" i="20"/>
  <c r="AD92" i="20"/>
  <c r="AC92" i="20"/>
  <c r="AB92" i="20"/>
  <c r="AA92" i="20"/>
  <c r="Z92" i="20"/>
  <c r="AE88" i="20"/>
  <c r="AD88" i="20"/>
  <c r="AC88" i="20"/>
  <c r="AB88" i="20"/>
  <c r="AA88" i="20"/>
  <c r="Z88" i="20"/>
  <c r="AE79" i="20"/>
  <c r="AD79" i="20"/>
  <c r="AC79" i="20"/>
  <c r="AB79" i="20"/>
  <c r="AA79" i="20"/>
  <c r="Z79" i="20"/>
  <c r="AE70" i="20"/>
  <c r="AD70" i="20"/>
  <c r="AC70" i="20"/>
  <c r="AB70" i="20"/>
  <c r="AA70" i="20"/>
  <c r="Z70" i="20"/>
  <c r="AE61" i="20"/>
  <c r="AD61" i="20"/>
  <c r="AC61" i="20"/>
  <c r="AB61" i="20"/>
  <c r="AA61" i="20"/>
  <c r="Z61" i="20"/>
  <c r="AE52" i="20"/>
  <c r="AD52" i="20"/>
  <c r="AC52" i="20"/>
  <c r="AB52" i="20"/>
  <c r="AA52" i="20"/>
  <c r="Z52" i="20"/>
  <c r="AE41" i="20"/>
  <c r="AD41" i="20"/>
  <c r="AC41" i="20"/>
  <c r="AB41" i="20"/>
  <c r="AA41" i="20"/>
  <c r="Z41" i="20"/>
  <c r="AE36" i="20"/>
  <c r="AD36" i="20"/>
  <c r="AC36" i="20"/>
  <c r="AB36" i="20"/>
  <c r="AA36" i="20"/>
  <c r="Z36" i="20"/>
  <c r="AE29" i="20"/>
  <c r="AD29" i="20"/>
  <c r="AC29" i="20"/>
  <c r="AB29" i="20"/>
  <c r="AA29" i="20"/>
  <c r="Z29" i="20"/>
  <c r="AE28" i="20"/>
  <c r="AD28" i="20"/>
  <c r="AC28" i="20"/>
  <c r="AC30" i="20" s="1"/>
  <c r="AB28" i="20"/>
  <c r="AB30" i="20" s="1"/>
  <c r="AA28" i="20"/>
  <c r="Z28" i="20"/>
  <c r="AE27" i="20"/>
  <c r="AD27" i="20"/>
  <c r="AC27" i="20"/>
  <c r="AB27" i="20"/>
  <c r="AA27" i="20"/>
  <c r="Z27" i="20"/>
  <c r="AE24" i="20"/>
  <c r="AD24" i="20"/>
  <c r="AC24" i="20"/>
  <c r="AB24" i="20"/>
  <c r="AA24" i="20"/>
  <c r="Z24" i="20"/>
  <c r="AE21" i="20"/>
  <c r="AD21" i="20"/>
  <c r="AC21" i="20"/>
  <c r="AB21" i="20"/>
  <c r="AA21" i="20"/>
  <c r="Z21" i="20"/>
  <c r="AE16" i="20"/>
  <c r="AD16" i="20"/>
  <c r="AC16" i="20"/>
  <c r="AB16" i="20"/>
  <c r="AA16" i="20"/>
  <c r="Z16" i="20"/>
  <c r="R185" i="20"/>
  <c r="Q185" i="20"/>
  <c r="P185" i="20"/>
  <c r="O185" i="20"/>
  <c r="N185" i="20"/>
  <c r="M185" i="20"/>
  <c r="L185" i="20"/>
  <c r="K185" i="20"/>
  <c r="J185" i="20"/>
  <c r="I185" i="20"/>
  <c r="H185" i="20"/>
  <c r="G185" i="20"/>
  <c r="F185" i="20"/>
  <c r="R181" i="20"/>
  <c r="Q181" i="20"/>
  <c r="P181" i="20"/>
  <c r="O181" i="20"/>
  <c r="N181" i="20"/>
  <c r="M181" i="20"/>
  <c r="L181" i="20"/>
  <c r="K181" i="20"/>
  <c r="J181" i="20"/>
  <c r="I181" i="20"/>
  <c r="H181" i="20"/>
  <c r="G181" i="20"/>
  <c r="F181" i="20"/>
  <c r="R172" i="20"/>
  <c r="Q172" i="20"/>
  <c r="P172" i="20"/>
  <c r="O172" i="20"/>
  <c r="N172" i="20"/>
  <c r="M172" i="20"/>
  <c r="L172" i="20"/>
  <c r="K172" i="20"/>
  <c r="J172" i="20"/>
  <c r="I172" i="20"/>
  <c r="H172" i="20"/>
  <c r="G172" i="20"/>
  <c r="F172" i="20"/>
  <c r="R163" i="20"/>
  <c r="Q163" i="20"/>
  <c r="P163" i="20"/>
  <c r="O163" i="20"/>
  <c r="N163" i="20"/>
  <c r="M163" i="20"/>
  <c r="L163" i="20"/>
  <c r="K163" i="20"/>
  <c r="J163" i="20"/>
  <c r="I163" i="20"/>
  <c r="H163" i="20"/>
  <c r="G163" i="20"/>
  <c r="F163" i="20"/>
  <c r="R158" i="20"/>
  <c r="Q158" i="20"/>
  <c r="P158" i="20"/>
  <c r="O158" i="20"/>
  <c r="N158" i="20"/>
  <c r="M158" i="20"/>
  <c r="L158" i="20"/>
  <c r="K158" i="20"/>
  <c r="J158" i="20"/>
  <c r="I158" i="20"/>
  <c r="H158" i="20"/>
  <c r="G158" i="20"/>
  <c r="F158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R101" i="20"/>
  <c r="Q101" i="20"/>
  <c r="P101" i="20"/>
  <c r="O101" i="20"/>
  <c r="N101" i="20"/>
  <c r="M101" i="20"/>
  <c r="L101" i="20"/>
  <c r="K101" i="20"/>
  <c r="J101" i="20"/>
  <c r="I101" i="20"/>
  <c r="H101" i="20"/>
  <c r="G101" i="20"/>
  <c r="F101" i="20"/>
  <c r="R92" i="20"/>
  <c r="Q92" i="20"/>
  <c r="P92" i="20"/>
  <c r="O92" i="20"/>
  <c r="N92" i="20"/>
  <c r="M92" i="20"/>
  <c r="L92" i="20"/>
  <c r="K92" i="20"/>
  <c r="J92" i="20"/>
  <c r="I92" i="20"/>
  <c r="H92" i="20"/>
  <c r="G92" i="20"/>
  <c r="F92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O185" i="18"/>
  <c r="N185" i="18"/>
  <c r="O181" i="18"/>
  <c r="N181" i="18"/>
  <c r="O172" i="18"/>
  <c r="N172" i="18"/>
  <c r="O163" i="18"/>
  <c r="N163" i="18"/>
  <c r="O158" i="18"/>
  <c r="N158" i="18"/>
  <c r="O149" i="18"/>
  <c r="N149" i="18"/>
  <c r="O140" i="18"/>
  <c r="N140" i="18"/>
  <c r="O131" i="18"/>
  <c r="N131" i="18"/>
  <c r="O128" i="18"/>
  <c r="N128" i="18"/>
  <c r="O119" i="18"/>
  <c r="N119" i="18"/>
  <c r="O110" i="18"/>
  <c r="N110" i="18"/>
  <c r="O101" i="18"/>
  <c r="N101" i="18"/>
  <c r="O92" i="18"/>
  <c r="N92" i="18"/>
  <c r="O88" i="18"/>
  <c r="N88" i="18"/>
  <c r="O79" i="18"/>
  <c r="N79" i="18"/>
  <c r="O70" i="18"/>
  <c r="N70" i="18"/>
  <c r="O61" i="18"/>
  <c r="N61" i="18"/>
  <c r="O52" i="18"/>
  <c r="N52" i="18"/>
  <c r="O41" i="18"/>
  <c r="N41" i="18"/>
  <c r="O36" i="18"/>
  <c r="N36" i="18"/>
  <c r="O29" i="18"/>
  <c r="N29" i="18"/>
  <c r="O28" i="18"/>
  <c r="N28" i="18"/>
  <c r="N30" i="18" s="1"/>
  <c r="O27" i="18"/>
  <c r="N27" i="18"/>
  <c r="O24" i="18"/>
  <c r="N24" i="18"/>
  <c r="O21" i="18"/>
  <c r="N21" i="18"/>
  <c r="O16" i="18"/>
  <c r="N16" i="18"/>
  <c r="Q185" i="16"/>
  <c r="P185" i="16"/>
  <c r="O185" i="16"/>
  <c r="N185" i="16"/>
  <c r="M185" i="16"/>
  <c r="L185" i="16"/>
  <c r="K185" i="16"/>
  <c r="Q181" i="16"/>
  <c r="P181" i="16"/>
  <c r="O181" i="16"/>
  <c r="N181" i="16"/>
  <c r="M181" i="16"/>
  <c r="L181" i="16"/>
  <c r="K181" i="16"/>
  <c r="Q172" i="16"/>
  <c r="P172" i="16"/>
  <c r="O172" i="16"/>
  <c r="N172" i="16"/>
  <c r="M172" i="16"/>
  <c r="L172" i="16"/>
  <c r="K172" i="16"/>
  <c r="Q163" i="16"/>
  <c r="P163" i="16"/>
  <c r="O163" i="16"/>
  <c r="N163" i="16"/>
  <c r="M163" i="16"/>
  <c r="L163" i="16"/>
  <c r="K163" i="16"/>
  <c r="Q158" i="16"/>
  <c r="P158" i="16"/>
  <c r="O158" i="16"/>
  <c r="N158" i="16"/>
  <c r="M158" i="16"/>
  <c r="L158" i="16"/>
  <c r="K158" i="16"/>
  <c r="Q149" i="16"/>
  <c r="P149" i="16"/>
  <c r="O149" i="16"/>
  <c r="N149" i="16"/>
  <c r="M149" i="16"/>
  <c r="L149" i="16"/>
  <c r="K149" i="16"/>
  <c r="Q140" i="16"/>
  <c r="P140" i="16"/>
  <c r="O140" i="16"/>
  <c r="N140" i="16"/>
  <c r="M140" i="16"/>
  <c r="L140" i="16"/>
  <c r="K140" i="16"/>
  <c r="Q131" i="16"/>
  <c r="P131" i="16"/>
  <c r="O131" i="16"/>
  <c r="N131" i="16"/>
  <c r="M131" i="16"/>
  <c r="L131" i="16"/>
  <c r="K131" i="16"/>
  <c r="Q128" i="16"/>
  <c r="P128" i="16"/>
  <c r="O128" i="16"/>
  <c r="N128" i="16"/>
  <c r="M128" i="16"/>
  <c r="L128" i="16"/>
  <c r="K128" i="16"/>
  <c r="Q119" i="16"/>
  <c r="P119" i="16"/>
  <c r="O119" i="16"/>
  <c r="N119" i="16"/>
  <c r="M119" i="16"/>
  <c r="L119" i="16"/>
  <c r="K119" i="16"/>
  <c r="Q110" i="16"/>
  <c r="P110" i="16"/>
  <c r="O110" i="16"/>
  <c r="N110" i="16"/>
  <c r="M110" i="16"/>
  <c r="L110" i="16"/>
  <c r="K110" i="16"/>
  <c r="Q101" i="16"/>
  <c r="P101" i="16"/>
  <c r="O101" i="16"/>
  <c r="N101" i="16"/>
  <c r="M101" i="16"/>
  <c r="L101" i="16"/>
  <c r="K101" i="16"/>
  <c r="Q92" i="16"/>
  <c r="P92" i="16"/>
  <c r="O92" i="16"/>
  <c r="N92" i="16"/>
  <c r="M92" i="16"/>
  <c r="L92" i="16"/>
  <c r="K92" i="16"/>
  <c r="Q88" i="16"/>
  <c r="P88" i="16"/>
  <c r="O88" i="16"/>
  <c r="N88" i="16"/>
  <c r="M88" i="16"/>
  <c r="L88" i="16"/>
  <c r="K88" i="16"/>
  <c r="Q79" i="16"/>
  <c r="P79" i="16"/>
  <c r="O79" i="16"/>
  <c r="N79" i="16"/>
  <c r="M79" i="16"/>
  <c r="L79" i="16"/>
  <c r="K79" i="16"/>
  <c r="Q70" i="16"/>
  <c r="P70" i="16"/>
  <c r="O70" i="16"/>
  <c r="N70" i="16"/>
  <c r="M70" i="16"/>
  <c r="L70" i="16"/>
  <c r="K70" i="16"/>
  <c r="Q61" i="16"/>
  <c r="P61" i="16"/>
  <c r="O61" i="16"/>
  <c r="N61" i="16"/>
  <c r="M61" i="16"/>
  <c r="L61" i="16"/>
  <c r="K61" i="16"/>
  <c r="Q52" i="16"/>
  <c r="P52" i="16"/>
  <c r="O52" i="16"/>
  <c r="N52" i="16"/>
  <c r="M52" i="16"/>
  <c r="L52" i="16"/>
  <c r="K52" i="16"/>
  <c r="Q41" i="16"/>
  <c r="P41" i="16"/>
  <c r="O41" i="16"/>
  <c r="N41" i="16"/>
  <c r="M41" i="16"/>
  <c r="L41" i="16"/>
  <c r="K41" i="16"/>
  <c r="Q36" i="16"/>
  <c r="P36" i="16"/>
  <c r="O36" i="16"/>
  <c r="N36" i="16"/>
  <c r="M36" i="16"/>
  <c r="L36" i="16"/>
  <c r="K36" i="16"/>
  <c r="Q29" i="16"/>
  <c r="P29" i="16"/>
  <c r="O29" i="16"/>
  <c r="N29" i="16"/>
  <c r="M29" i="16"/>
  <c r="L29" i="16"/>
  <c r="K29" i="16"/>
  <c r="Q28" i="16"/>
  <c r="P28" i="16"/>
  <c r="O28" i="16"/>
  <c r="N28" i="16"/>
  <c r="M28" i="16"/>
  <c r="L28" i="16"/>
  <c r="K28" i="16"/>
  <c r="Q27" i="16"/>
  <c r="P27" i="16"/>
  <c r="O27" i="16"/>
  <c r="N27" i="16"/>
  <c r="M27" i="16"/>
  <c r="L27" i="16"/>
  <c r="K27" i="16"/>
  <c r="Q24" i="16"/>
  <c r="P24" i="16"/>
  <c r="O24" i="16"/>
  <c r="N24" i="16"/>
  <c r="M24" i="16"/>
  <c r="L24" i="16"/>
  <c r="K24" i="16"/>
  <c r="Q21" i="16"/>
  <c r="P21" i="16"/>
  <c r="O21" i="16"/>
  <c r="N21" i="16"/>
  <c r="M21" i="16"/>
  <c r="L21" i="16"/>
  <c r="K21" i="16"/>
  <c r="Q16" i="16"/>
  <c r="P16" i="16"/>
  <c r="O16" i="16"/>
  <c r="N16" i="16"/>
  <c r="M16" i="16"/>
  <c r="L16" i="16"/>
  <c r="K16" i="16"/>
  <c r="T185" i="15"/>
  <c r="T181" i="15"/>
  <c r="T172" i="15"/>
  <c r="T163" i="15"/>
  <c r="T158" i="15"/>
  <c r="T149" i="15"/>
  <c r="T140" i="15"/>
  <c r="T131" i="15"/>
  <c r="T128" i="15"/>
  <c r="T119" i="15"/>
  <c r="T110" i="15"/>
  <c r="T101" i="15"/>
  <c r="T92" i="15"/>
  <c r="T88" i="15"/>
  <c r="T79" i="15"/>
  <c r="T70" i="15"/>
  <c r="T61" i="15"/>
  <c r="T52" i="15"/>
  <c r="T41" i="15"/>
  <c r="T36" i="15"/>
  <c r="T29" i="15"/>
  <c r="T28" i="15"/>
  <c r="T30" i="15" s="1"/>
  <c r="T27" i="15"/>
  <c r="T24" i="15"/>
  <c r="T21" i="15"/>
  <c r="T16" i="15"/>
  <c r="F185" i="15"/>
  <c r="F181" i="15"/>
  <c r="F172" i="15"/>
  <c r="F163" i="15"/>
  <c r="F158" i="15"/>
  <c r="F149" i="15"/>
  <c r="F140" i="15"/>
  <c r="F131" i="15"/>
  <c r="F128" i="15"/>
  <c r="F119" i="15"/>
  <c r="F110" i="15"/>
  <c r="F101" i="15"/>
  <c r="F92" i="15"/>
  <c r="F88" i="15"/>
  <c r="F79" i="15"/>
  <c r="F70" i="15"/>
  <c r="F61" i="15"/>
  <c r="F52" i="15"/>
  <c r="F41" i="15"/>
  <c r="F36" i="15"/>
  <c r="F29" i="15"/>
  <c r="F28" i="15"/>
  <c r="F27" i="15"/>
  <c r="F24" i="15"/>
  <c r="F21" i="15"/>
  <c r="F16" i="15"/>
  <c r="M185" i="15"/>
  <c r="L185" i="15"/>
  <c r="K185" i="15"/>
  <c r="J185" i="15"/>
  <c r="I185" i="15"/>
  <c r="H185" i="15"/>
  <c r="G185" i="15"/>
  <c r="M181" i="15"/>
  <c r="L181" i="15"/>
  <c r="K181" i="15"/>
  <c r="J181" i="15"/>
  <c r="I181" i="15"/>
  <c r="H181" i="15"/>
  <c r="G181" i="15"/>
  <c r="M172" i="15"/>
  <c r="L172" i="15"/>
  <c r="K172" i="15"/>
  <c r="J172" i="15"/>
  <c r="I172" i="15"/>
  <c r="H172" i="15"/>
  <c r="G172" i="15"/>
  <c r="M163" i="15"/>
  <c r="L163" i="15"/>
  <c r="K163" i="15"/>
  <c r="J163" i="15"/>
  <c r="I163" i="15"/>
  <c r="H163" i="15"/>
  <c r="G163" i="15"/>
  <c r="M158" i="15"/>
  <c r="L158" i="15"/>
  <c r="K158" i="15"/>
  <c r="J158" i="15"/>
  <c r="I158" i="15"/>
  <c r="H158" i="15"/>
  <c r="G158" i="15"/>
  <c r="M149" i="15"/>
  <c r="L149" i="15"/>
  <c r="K149" i="15"/>
  <c r="J149" i="15"/>
  <c r="I149" i="15"/>
  <c r="H149" i="15"/>
  <c r="G149" i="15"/>
  <c r="M140" i="15"/>
  <c r="L140" i="15"/>
  <c r="K140" i="15"/>
  <c r="J140" i="15"/>
  <c r="I140" i="15"/>
  <c r="H140" i="15"/>
  <c r="G140" i="15"/>
  <c r="M131" i="15"/>
  <c r="L131" i="15"/>
  <c r="K131" i="15"/>
  <c r="J131" i="15"/>
  <c r="I131" i="15"/>
  <c r="H131" i="15"/>
  <c r="G131" i="15"/>
  <c r="M128" i="15"/>
  <c r="L128" i="15"/>
  <c r="K128" i="15"/>
  <c r="J128" i="15"/>
  <c r="I128" i="15"/>
  <c r="H128" i="15"/>
  <c r="G128" i="15"/>
  <c r="M119" i="15"/>
  <c r="L119" i="15"/>
  <c r="K119" i="15"/>
  <c r="J119" i="15"/>
  <c r="I119" i="15"/>
  <c r="H119" i="15"/>
  <c r="G119" i="15"/>
  <c r="M110" i="15"/>
  <c r="L110" i="15"/>
  <c r="K110" i="15"/>
  <c r="J110" i="15"/>
  <c r="I110" i="15"/>
  <c r="H110" i="15"/>
  <c r="G110" i="15"/>
  <c r="M101" i="15"/>
  <c r="L101" i="15"/>
  <c r="K101" i="15"/>
  <c r="J101" i="15"/>
  <c r="I101" i="15"/>
  <c r="H101" i="15"/>
  <c r="G101" i="15"/>
  <c r="M92" i="15"/>
  <c r="L92" i="15"/>
  <c r="K92" i="15"/>
  <c r="J92" i="15"/>
  <c r="I92" i="15"/>
  <c r="H92" i="15"/>
  <c r="G92" i="15"/>
  <c r="M88" i="15"/>
  <c r="L88" i="15"/>
  <c r="K88" i="15"/>
  <c r="J88" i="15"/>
  <c r="I88" i="15"/>
  <c r="H88" i="15"/>
  <c r="G88" i="15"/>
  <c r="M79" i="15"/>
  <c r="L79" i="15"/>
  <c r="K79" i="15"/>
  <c r="J79" i="15"/>
  <c r="I79" i="15"/>
  <c r="H79" i="15"/>
  <c r="G79" i="15"/>
  <c r="M70" i="15"/>
  <c r="L70" i="15"/>
  <c r="K70" i="15"/>
  <c r="J70" i="15"/>
  <c r="I70" i="15"/>
  <c r="H70" i="15"/>
  <c r="G70" i="15"/>
  <c r="M61" i="15"/>
  <c r="L61" i="15"/>
  <c r="K61" i="15"/>
  <c r="J61" i="15"/>
  <c r="I61" i="15"/>
  <c r="H61" i="15"/>
  <c r="G61" i="15"/>
  <c r="M52" i="15"/>
  <c r="L52" i="15"/>
  <c r="K52" i="15"/>
  <c r="J52" i="15"/>
  <c r="I52" i="15"/>
  <c r="H52" i="15"/>
  <c r="G52" i="15"/>
  <c r="M41" i="15"/>
  <c r="L41" i="15"/>
  <c r="K41" i="15"/>
  <c r="J41" i="15"/>
  <c r="I41" i="15"/>
  <c r="H41" i="15"/>
  <c r="G41" i="15"/>
  <c r="M36" i="15"/>
  <c r="L36" i="15"/>
  <c r="K36" i="15"/>
  <c r="J36" i="15"/>
  <c r="I36" i="15"/>
  <c r="H36" i="15"/>
  <c r="G36" i="15"/>
  <c r="M29" i="15"/>
  <c r="L29" i="15"/>
  <c r="K29" i="15"/>
  <c r="J29" i="15"/>
  <c r="I29" i="15"/>
  <c r="H29" i="15"/>
  <c r="G29" i="15"/>
  <c r="M28" i="15"/>
  <c r="L28" i="15"/>
  <c r="K28" i="15"/>
  <c r="J28" i="15"/>
  <c r="I28" i="15"/>
  <c r="H28" i="15"/>
  <c r="G28" i="15"/>
  <c r="M27" i="15"/>
  <c r="L27" i="15"/>
  <c r="K27" i="15"/>
  <c r="J27" i="15"/>
  <c r="I27" i="15"/>
  <c r="H27" i="15"/>
  <c r="G27" i="15"/>
  <c r="M24" i="15"/>
  <c r="L24" i="15"/>
  <c r="K24" i="15"/>
  <c r="J24" i="15"/>
  <c r="I24" i="15"/>
  <c r="H24" i="15"/>
  <c r="G24" i="15"/>
  <c r="M21" i="15"/>
  <c r="L21" i="15"/>
  <c r="K21" i="15"/>
  <c r="J21" i="15"/>
  <c r="I21" i="15"/>
  <c r="H21" i="15"/>
  <c r="G21" i="15"/>
  <c r="M16" i="15"/>
  <c r="L16" i="15"/>
  <c r="K16" i="15"/>
  <c r="J16" i="15"/>
  <c r="I16" i="15"/>
  <c r="H16" i="15"/>
  <c r="G16" i="15"/>
  <c r="Q185" i="10"/>
  <c r="Q181" i="10"/>
  <c r="Q172" i="10"/>
  <c r="Q163" i="10"/>
  <c r="Q158" i="10"/>
  <c r="Q149" i="10"/>
  <c r="Q140" i="10"/>
  <c r="Q131" i="10"/>
  <c r="Q128" i="10"/>
  <c r="Q119" i="10"/>
  <c r="Q110" i="10"/>
  <c r="Q101" i="10"/>
  <c r="Q92" i="10"/>
  <c r="Q88" i="10"/>
  <c r="Q79" i="10"/>
  <c r="Q70" i="10"/>
  <c r="Q61" i="10"/>
  <c r="Q52" i="10"/>
  <c r="Q41" i="10"/>
  <c r="Q36" i="10"/>
  <c r="Q29" i="10"/>
  <c r="Q28" i="10"/>
  <c r="Q27" i="10"/>
  <c r="Q24" i="10"/>
  <c r="Q21" i="10"/>
  <c r="Q16" i="10"/>
  <c r="H30" i="20" l="1"/>
  <c r="Z30" i="20"/>
  <c r="I30" i="20"/>
  <c r="AA30" i="20"/>
  <c r="Q30" i="16"/>
  <c r="N30" i="16"/>
  <c r="F30" i="15"/>
  <c r="N188" i="16"/>
  <c r="N190" i="16" s="1"/>
  <c r="N188" i="18"/>
  <c r="N190" i="18" s="1"/>
  <c r="F30" i="20"/>
  <c r="O30" i="20"/>
  <c r="O188" i="18"/>
  <c r="O190" i="18" s="1"/>
  <c r="G30" i="20"/>
  <c r="T188" i="15"/>
  <c r="T190" i="15" s="1"/>
  <c r="J30" i="20"/>
  <c r="AD30" i="20"/>
  <c r="L30" i="16"/>
  <c r="AE30" i="20"/>
  <c r="Q30" i="10"/>
  <c r="M30" i="16"/>
  <c r="P188" i="16"/>
  <c r="P190" i="16" s="1"/>
  <c r="Q188" i="16"/>
  <c r="Q190" i="16" s="1"/>
  <c r="J188" i="20"/>
  <c r="J190" i="20" s="1"/>
  <c r="K188" i="16"/>
  <c r="K190" i="16" s="1"/>
  <c r="K30" i="20"/>
  <c r="K30" i="16"/>
  <c r="O30" i="16"/>
  <c r="P30" i="16"/>
  <c r="O188" i="16"/>
  <c r="O190" i="16" s="1"/>
  <c r="Q188" i="10"/>
  <c r="Q190" i="10" s="1"/>
  <c r="AD188" i="20"/>
  <c r="AD190" i="20" s="1"/>
  <c r="O30" i="18"/>
  <c r="AE188" i="20"/>
  <c r="AE190" i="20" s="1"/>
  <c r="Z188" i="20"/>
  <c r="Z190" i="20" s="1"/>
  <c r="AA188" i="20"/>
  <c r="AA190" i="20" s="1"/>
  <c r="AB188" i="20"/>
  <c r="AB190" i="20" s="1"/>
  <c r="AC188" i="20"/>
  <c r="AC190" i="20" s="1"/>
  <c r="L188" i="16"/>
  <c r="L190" i="16" s="1"/>
  <c r="M188" i="16"/>
  <c r="M190" i="16" s="1"/>
  <c r="N30" i="20"/>
  <c r="K188" i="20"/>
  <c r="K190" i="20" s="1"/>
  <c r="L188" i="20"/>
  <c r="L190" i="20" s="1"/>
  <c r="N188" i="20"/>
  <c r="N190" i="20" s="1"/>
  <c r="O188" i="20"/>
  <c r="O190" i="20" s="1"/>
  <c r="P188" i="20"/>
  <c r="P190" i="20" s="1"/>
  <c r="P30" i="20"/>
  <c r="Q188" i="20"/>
  <c r="Q190" i="20" s="1"/>
  <c r="I188" i="20"/>
  <c r="I190" i="20" s="1"/>
  <c r="R188" i="20"/>
  <c r="R190" i="20" s="1"/>
  <c r="R30" i="20"/>
  <c r="G188" i="20"/>
  <c r="G190" i="20" s="1"/>
  <c r="M188" i="20"/>
  <c r="M190" i="20" s="1"/>
  <c r="F188" i="20"/>
  <c r="F190" i="20" s="1"/>
  <c r="Q30" i="20"/>
  <c r="L30" i="20"/>
  <c r="H188" i="20"/>
  <c r="H190" i="20" s="1"/>
  <c r="M30" i="20"/>
  <c r="F188" i="15"/>
  <c r="F190" i="15" s="1"/>
  <c r="J188" i="15"/>
  <c r="J190" i="15" s="1"/>
  <c r="K188" i="15"/>
  <c r="K190" i="15" s="1"/>
  <c r="H188" i="15"/>
  <c r="H190" i="15" s="1"/>
  <c r="M188" i="15"/>
  <c r="M190" i="15" s="1"/>
  <c r="G188" i="15"/>
  <c r="G190" i="15" s="1"/>
  <c r="G30" i="15"/>
  <c r="H30" i="15"/>
  <c r="I30" i="15"/>
  <c r="J30" i="15"/>
  <c r="I188" i="15"/>
  <c r="I190" i="15" s="1"/>
  <c r="L188" i="15"/>
  <c r="L190" i="15" s="1"/>
  <c r="K30" i="15"/>
  <c r="L30" i="15"/>
  <c r="M30" i="15"/>
  <c r="L185" i="19" l="1"/>
  <c r="K185" i="19"/>
  <c r="J185" i="19"/>
  <c r="I185" i="19"/>
  <c r="H185" i="19"/>
  <c r="G185" i="19"/>
  <c r="F185" i="19"/>
  <c r="L181" i="19"/>
  <c r="K181" i="19"/>
  <c r="J181" i="19"/>
  <c r="I181" i="19"/>
  <c r="H181" i="19"/>
  <c r="G181" i="19"/>
  <c r="F181" i="19"/>
  <c r="L172" i="19"/>
  <c r="K172" i="19"/>
  <c r="J172" i="19"/>
  <c r="I172" i="19"/>
  <c r="H172" i="19"/>
  <c r="G172" i="19"/>
  <c r="F172" i="19"/>
  <c r="L163" i="19"/>
  <c r="K163" i="19"/>
  <c r="J163" i="19"/>
  <c r="I163" i="19"/>
  <c r="H163" i="19"/>
  <c r="G163" i="19"/>
  <c r="F163" i="19"/>
  <c r="L158" i="19"/>
  <c r="K158" i="19"/>
  <c r="J158" i="19"/>
  <c r="I158" i="19"/>
  <c r="H158" i="19"/>
  <c r="G158" i="19"/>
  <c r="F158" i="19"/>
  <c r="L149" i="19"/>
  <c r="K149" i="19"/>
  <c r="J149" i="19"/>
  <c r="I149" i="19"/>
  <c r="H149" i="19"/>
  <c r="G149" i="19"/>
  <c r="F149" i="19"/>
  <c r="L140" i="19"/>
  <c r="K140" i="19"/>
  <c r="J140" i="19"/>
  <c r="I140" i="19"/>
  <c r="H140" i="19"/>
  <c r="G140" i="19"/>
  <c r="F140" i="19"/>
  <c r="L131" i="19"/>
  <c r="K131" i="19"/>
  <c r="J131" i="19"/>
  <c r="I131" i="19"/>
  <c r="H131" i="19"/>
  <c r="G131" i="19"/>
  <c r="F131" i="19"/>
  <c r="L128" i="19"/>
  <c r="K128" i="19"/>
  <c r="J128" i="19"/>
  <c r="I128" i="19"/>
  <c r="H128" i="19"/>
  <c r="G128" i="19"/>
  <c r="F128" i="19"/>
  <c r="L119" i="19"/>
  <c r="K119" i="19"/>
  <c r="J119" i="19"/>
  <c r="I119" i="19"/>
  <c r="H119" i="19"/>
  <c r="G119" i="19"/>
  <c r="F119" i="19"/>
  <c r="L110" i="19"/>
  <c r="K110" i="19"/>
  <c r="J110" i="19"/>
  <c r="I110" i="19"/>
  <c r="H110" i="19"/>
  <c r="G110" i="19"/>
  <c r="F110" i="19"/>
  <c r="L101" i="19"/>
  <c r="K101" i="19"/>
  <c r="J101" i="19"/>
  <c r="I101" i="19"/>
  <c r="H101" i="19"/>
  <c r="G101" i="19"/>
  <c r="F101" i="19"/>
  <c r="L92" i="19"/>
  <c r="K92" i="19"/>
  <c r="J92" i="19"/>
  <c r="I92" i="19"/>
  <c r="H92" i="19"/>
  <c r="G92" i="19"/>
  <c r="F92" i="19"/>
  <c r="L88" i="19"/>
  <c r="K88" i="19"/>
  <c r="J88" i="19"/>
  <c r="I88" i="19"/>
  <c r="H88" i="19"/>
  <c r="G88" i="19"/>
  <c r="F88" i="19"/>
  <c r="L79" i="19"/>
  <c r="K79" i="19"/>
  <c r="J79" i="19"/>
  <c r="I79" i="19"/>
  <c r="H79" i="19"/>
  <c r="G79" i="19"/>
  <c r="F79" i="19"/>
  <c r="L70" i="19"/>
  <c r="K70" i="19"/>
  <c r="J70" i="19"/>
  <c r="I70" i="19"/>
  <c r="H70" i="19"/>
  <c r="G70" i="19"/>
  <c r="F70" i="19"/>
  <c r="L61" i="19"/>
  <c r="K61" i="19"/>
  <c r="J61" i="19"/>
  <c r="I61" i="19"/>
  <c r="H61" i="19"/>
  <c r="G61" i="19"/>
  <c r="F61" i="19"/>
  <c r="L52" i="19"/>
  <c r="K52" i="19"/>
  <c r="J52" i="19"/>
  <c r="I52" i="19"/>
  <c r="H52" i="19"/>
  <c r="G52" i="19"/>
  <c r="F52" i="19"/>
  <c r="L41" i="19"/>
  <c r="K41" i="19"/>
  <c r="J41" i="19"/>
  <c r="I41" i="19"/>
  <c r="H41" i="19"/>
  <c r="G41" i="19"/>
  <c r="F41" i="19"/>
  <c r="L36" i="19"/>
  <c r="K36" i="19"/>
  <c r="J36" i="19"/>
  <c r="I36" i="19"/>
  <c r="H36" i="19"/>
  <c r="G36" i="19"/>
  <c r="F36" i="19"/>
  <c r="L29" i="19"/>
  <c r="K29" i="19"/>
  <c r="J29" i="19"/>
  <c r="I29" i="19"/>
  <c r="H29" i="19"/>
  <c r="G29" i="19"/>
  <c r="F29" i="19"/>
  <c r="L28" i="19"/>
  <c r="K28" i="19"/>
  <c r="J28" i="19"/>
  <c r="I28" i="19"/>
  <c r="H28" i="19"/>
  <c r="G28" i="19"/>
  <c r="F28" i="19"/>
  <c r="L27" i="19"/>
  <c r="K27" i="19"/>
  <c r="J27" i="19"/>
  <c r="I27" i="19"/>
  <c r="H27" i="19"/>
  <c r="G27" i="19"/>
  <c r="F27" i="19"/>
  <c r="L24" i="19"/>
  <c r="K24" i="19"/>
  <c r="J24" i="19"/>
  <c r="I24" i="19"/>
  <c r="H24" i="19"/>
  <c r="G24" i="19"/>
  <c r="F24" i="19"/>
  <c r="L21" i="19"/>
  <c r="K21" i="19"/>
  <c r="J21" i="19"/>
  <c r="I21" i="19"/>
  <c r="H21" i="19"/>
  <c r="G21" i="19"/>
  <c r="F21" i="19"/>
  <c r="L16" i="19"/>
  <c r="K16" i="19"/>
  <c r="J16" i="19"/>
  <c r="I16" i="19"/>
  <c r="H16" i="19"/>
  <c r="G16" i="19"/>
  <c r="F16" i="19"/>
  <c r="S185" i="19"/>
  <c r="R185" i="19"/>
  <c r="Q185" i="19"/>
  <c r="P185" i="19"/>
  <c r="O185" i="19"/>
  <c r="N185" i="19"/>
  <c r="M185" i="19"/>
  <c r="S181" i="19"/>
  <c r="R181" i="19"/>
  <c r="Q181" i="19"/>
  <c r="P181" i="19"/>
  <c r="O181" i="19"/>
  <c r="N181" i="19"/>
  <c r="M181" i="19"/>
  <c r="S172" i="19"/>
  <c r="R172" i="19"/>
  <c r="Q172" i="19"/>
  <c r="P172" i="19"/>
  <c r="O172" i="19"/>
  <c r="N172" i="19"/>
  <c r="M172" i="19"/>
  <c r="S163" i="19"/>
  <c r="R163" i="19"/>
  <c r="Q163" i="19"/>
  <c r="P163" i="19"/>
  <c r="O163" i="19"/>
  <c r="N163" i="19"/>
  <c r="M163" i="19"/>
  <c r="S158" i="19"/>
  <c r="R158" i="19"/>
  <c r="Q158" i="19"/>
  <c r="P158" i="19"/>
  <c r="O158" i="19"/>
  <c r="N158" i="19"/>
  <c r="M158" i="19"/>
  <c r="S149" i="19"/>
  <c r="R149" i="19"/>
  <c r="Q149" i="19"/>
  <c r="P149" i="19"/>
  <c r="O149" i="19"/>
  <c r="N149" i="19"/>
  <c r="M149" i="19"/>
  <c r="S140" i="19"/>
  <c r="R140" i="19"/>
  <c r="Q140" i="19"/>
  <c r="P140" i="19"/>
  <c r="O140" i="19"/>
  <c r="N140" i="19"/>
  <c r="M140" i="19"/>
  <c r="S131" i="19"/>
  <c r="R131" i="19"/>
  <c r="Q131" i="19"/>
  <c r="P131" i="19"/>
  <c r="O131" i="19"/>
  <c r="N131" i="19"/>
  <c r="M131" i="19"/>
  <c r="S128" i="19"/>
  <c r="R128" i="19"/>
  <c r="Q128" i="19"/>
  <c r="P128" i="19"/>
  <c r="O128" i="19"/>
  <c r="N128" i="19"/>
  <c r="M128" i="19"/>
  <c r="S119" i="19"/>
  <c r="R119" i="19"/>
  <c r="Q119" i="19"/>
  <c r="P119" i="19"/>
  <c r="O119" i="19"/>
  <c r="N119" i="19"/>
  <c r="M119" i="19"/>
  <c r="S110" i="19"/>
  <c r="R110" i="19"/>
  <c r="Q110" i="19"/>
  <c r="P110" i="19"/>
  <c r="O110" i="19"/>
  <c r="N110" i="19"/>
  <c r="M110" i="19"/>
  <c r="S101" i="19"/>
  <c r="R101" i="19"/>
  <c r="Q101" i="19"/>
  <c r="P101" i="19"/>
  <c r="O101" i="19"/>
  <c r="N101" i="19"/>
  <c r="M101" i="19"/>
  <c r="S92" i="19"/>
  <c r="R92" i="19"/>
  <c r="Q92" i="19"/>
  <c r="P92" i="19"/>
  <c r="O92" i="19"/>
  <c r="N92" i="19"/>
  <c r="M92" i="19"/>
  <c r="S88" i="19"/>
  <c r="R88" i="19"/>
  <c r="Q88" i="19"/>
  <c r="P88" i="19"/>
  <c r="O88" i="19"/>
  <c r="N88" i="19"/>
  <c r="M88" i="19"/>
  <c r="S79" i="19"/>
  <c r="R79" i="19"/>
  <c r="Q79" i="19"/>
  <c r="P79" i="19"/>
  <c r="O79" i="19"/>
  <c r="N79" i="19"/>
  <c r="M79" i="19"/>
  <c r="S70" i="19"/>
  <c r="R70" i="19"/>
  <c r="Q70" i="19"/>
  <c r="P70" i="19"/>
  <c r="O70" i="19"/>
  <c r="N70" i="19"/>
  <c r="M70" i="19"/>
  <c r="S61" i="19"/>
  <c r="R61" i="19"/>
  <c r="Q61" i="19"/>
  <c r="P61" i="19"/>
  <c r="O61" i="19"/>
  <c r="N61" i="19"/>
  <c r="M61" i="19"/>
  <c r="S52" i="19"/>
  <c r="R52" i="19"/>
  <c r="Q52" i="19"/>
  <c r="P52" i="19"/>
  <c r="O52" i="19"/>
  <c r="N52" i="19"/>
  <c r="M52" i="19"/>
  <c r="S41" i="19"/>
  <c r="R41" i="19"/>
  <c r="Q41" i="19"/>
  <c r="P41" i="19"/>
  <c r="O41" i="19"/>
  <c r="N41" i="19"/>
  <c r="M41" i="19"/>
  <c r="S36" i="19"/>
  <c r="R36" i="19"/>
  <c r="Q36" i="19"/>
  <c r="P36" i="19"/>
  <c r="O36" i="19"/>
  <c r="N36" i="19"/>
  <c r="M36" i="19"/>
  <c r="S29" i="19"/>
  <c r="R29" i="19"/>
  <c r="Q29" i="19"/>
  <c r="P29" i="19"/>
  <c r="O29" i="19"/>
  <c r="N29" i="19"/>
  <c r="M29" i="19"/>
  <c r="S28" i="19"/>
  <c r="R28" i="19"/>
  <c r="Q28" i="19"/>
  <c r="P28" i="19"/>
  <c r="O28" i="19"/>
  <c r="N28" i="19"/>
  <c r="M28" i="19"/>
  <c r="S27" i="19"/>
  <c r="R27" i="19"/>
  <c r="Q27" i="19"/>
  <c r="P27" i="19"/>
  <c r="O27" i="19"/>
  <c r="N27" i="19"/>
  <c r="M27" i="19"/>
  <c r="S24" i="19"/>
  <c r="R24" i="19"/>
  <c r="Q24" i="19"/>
  <c r="P24" i="19"/>
  <c r="O24" i="19"/>
  <c r="N24" i="19"/>
  <c r="M24" i="19"/>
  <c r="S21" i="19"/>
  <c r="R21" i="19"/>
  <c r="Q21" i="19"/>
  <c r="P21" i="19"/>
  <c r="O21" i="19"/>
  <c r="N21" i="19"/>
  <c r="M21" i="19"/>
  <c r="S16" i="19"/>
  <c r="R16" i="19"/>
  <c r="Q16" i="19"/>
  <c r="P16" i="19"/>
  <c r="O16" i="19"/>
  <c r="N16" i="19"/>
  <c r="M16" i="19"/>
  <c r="P185" i="18"/>
  <c r="P181" i="18"/>
  <c r="P172" i="18"/>
  <c r="P163" i="18"/>
  <c r="P158" i="18"/>
  <c r="P149" i="18"/>
  <c r="P140" i="18"/>
  <c r="P131" i="18"/>
  <c r="P128" i="18"/>
  <c r="P119" i="18"/>
  <c r="P110" i="18"/>
  <c r="P101" i="18"/>
  <c r="P92" i="18"/>
  <c r="P88" i="18"/>
  <c r="P79" i="18"/>
  <c r="P70" i="18"/>
  <c r="P61" i="18"/>
  <c r="P52" i="18"/>
  <c r="P41" i="18"/>
  <c r="P36" i="18"/>
  <c r="P29" i="18"/>
  <c r="P28" i="18"/>
  <c r="P27" i="18"/>
  <c r="P24" i="18"/>
  <c r="P21" i="18"/>
  <c r="P16" i="18"/>
  <c r="P185" i="17"/>
  <c r="O185" i="17"/>
  <c r="N185" i="17"/>
  <c r="P181" i="17"/>
  <c r="O181" i="17"/>
  <c r="N181" i="17"/>
  <c r="P172" i="17"/>
  <c r="O172" i="17"/>
  <c r="N172" i="17"/>
  <c r="P163" i="17"/>
  <c r="O163" i="17"/>
  <c r="N163" i="17"/>
  <c r="P158" i="17"/>
  <c r="O158" i="17"/>
  <c r="N158" i="17"/>
  <c r="P149" i="17"/>
  <c r="O149" i="17"/>
  <c r="N149" i="17"/>
  <c r="P140" i="17"/>
  <c r="O140" i="17"/>
  <c r="N140" i="17"/>
  <c r="P131" i="17"/>
  <c r="O131" i="17"/>
  <c r="N131" i="17"/>
  <c r="P128" i="17"/>
  <c r="O128" i="17"/>
  <c r="N128" i="17"/>
  <c r="P119" i="17"/>
  <c r="O119" i="17"/>
  <c r="N119" i="17"/>
  <c r="P110" i="17"/>
  <c r="O110" i="17"/>
  <c r="N110" i="17"/>
  <c r="P101" i="17"/>
  <c r="O101" i="17"/>
  <c r="N101" i="17"/>
  <c r="P92" i="17"/>
  <c r="O92" i="17"/>
  <c r="N92" i="17"/>
  <c r="P88" i="17"/>
  <c r="O88" i="17"/>
  <c r="N88" i="17"/>
  <c r="P79" i="17"/>
  <c r="O79" i="17"/>
  <c r="N79" i="17"/>
  <c r="P70" i="17"/>
  <c r="O70" i="17"/>
  <c r="N70" i="17"/>
  <c r="P61" i="17"/>
  <c r="O61" i="17"/>
  <c r="N61" i="17"/>
  <c r="P52" i="17"/>
  <c r="O52" i="17"/>
  <c r="N52" i="17"/>
  <c r="P41" i="17"/>
  <c r="O41" i="17"/>
  <c r="N41" i="17"/>
  <c r="P36" i="17"/>
  <c r="O36" i="17"/>
  <c r="N36" i="17"/>
  <c r="P29" i="17"/>
  <c r="O29" i="17"/>
  <c r="N29" i="17"/>
  <c r="P28" i="17"/>
  <c r="O28" i="17"/>
  <c r="N28" i="17"/>
  <c r="P27" i="17"/>
  <c r="O27" i="17"/>
  <c r="N27" i="17"/>
  <c r="P24" i="17"/>
  <c r="O24" i="17"/>
  <c r="N24" i="17"/>
  <c r="P21" i="17"/>
  <c r="O21" i="17"/>
  <c r="N21" i="17"/>
  <c r="P16" i="17"/>
  <c r="O16" i="17"/>
  <c r="N16" i="17"/>
  <c r="O30" i="17" l="1"/>
  <c r="P30" i="17"/>
  <c r="P30" i="18"/>
  <c r="R30" i="19"/>
  <c r="P188" i="18"/>
  <c r="P190" i="18" s="1"/>
  <c r="N188" i="17"/>
  <c r="N190" i="17" s="1"/>
  <c r="O188" i="17"/>
  <c r="O190" i="17" s="1"/>
  <c r="P188" i="17"/>
  <c r="P190" i="17" s="1"/>
  <c r="N30" i="17"/>
  <c r="S30" i="19"/>
  <c r="F30" i="19"/>
  <c r="K188" i="19"/>
  <c r="K190" i="19" s="1"/>
  <c r="F188" i="19"/>
  <c r="F190" i="19" s="1"/>
  <c r="G30" i="19"/>
  <c r="H188" i="19"/>
  <c r="H190" i="19" s="1"/>
  <c r="H30" i="19"/>
  <c r="L188" i="19"/>
  <c r="L190" i="19" s="1"/>
  <c r="J30" i="19"/>
  <c r="K30" i="19"/>
  <c r="G188" i="19"/>
  <c r="G190" i="19" s="1"/>
  <c r="I188" i="19"/>
  <c r="I190" i="19" s="1"/>
  <c r="J188" i="19"/>
  <c r="J190" i="19" s="1"/>
  <c r="I30" i="19"/>
  <c r="L30" i="19"/>
  <c r="N188" i="19"/>
  <c r="N190" i="19" s="1"/>
  <c r="O188" i="19"/>
  <c r="O190" i="19" s="1"/>
  <c r="P188" i="19"/>
  <c r="P190" i="19" s="1"/>
  <c r="Q188" i="19"/>
  <c r="Q190" i="19" s="1"/>
  <c r="O30" i="19"/>
  <c r="R188" i="19"/>
  <c r="R190" i="19" s="1"/>
  <c r="M188" i="19"/>
  <c r="M190" i="19" s="1"/>
  <c r="M30" i="19"/>
  <c r="P30" i="19"/>
  <c r="S188" i="19"/>
  <c r="S190" i="19" s="1"/>
  <c r="N30" i="19"/>
  <c r="Q30" i="19"/>
  <c r="U185" i="9"/>
  <c r="T185" i="9"/>
  <c r="S185" i="9"/>
  <c r="R185" i="9"/>
  <c r="Q185" i="9"/>
  <c r="P185" i="9"/>
  <c r="O185" i="9"/>
  <c r="N185" i="9"/>
  <c r="M185" i="9"/>
  <c r="L185" i="9"/>
  <c r="K185" i="9"/>
  <c r="J185" i="9"/>
  <c r="I185" i="9"/>
  <c r="H185" i="9"/>
  <c r="G185" i="9"/>
  <c r="F185" i="9"/>
  <c r="E185" i="9"/>
  <c r="S185" i="10"/>
  <c r="R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M185" i="11"/>
  <c r="L185" i="11"/>
  <c r="K185" i="11"/>
  <c r="J185" i="11"/>
  <c r="I185" i="11"/>
  <c r="H185" i="11"/>
  <c r="G185" i="11"/>
  <c r="F185" i="11"/>
  <c r="E185" i="11"/>
  <c r="V185" i="15"/>
  <c r="U185" i="15"/>
  <c r="S185" i="15"/>
  <c r="R185" i="15"/>
  <c r="Q185" i="15"/>
  <c r="P185" i="15"/>
  <c r="O185" i="15"/>
  <c r="N185" i="15"/>
  <c r="E185" i="15"/>
  <c r="Y185" i="16"/>
  <c r="X185" i="16"/>
  <c r="W185" i="16"/>
  <c r="V185" i="16"/>
  <c r="U185" i="16"/>
  <c r="T185" i="16"/>
  <c r="S185" i="16"/>
  <c r="R185" i="16"/>
  <c r="J185" i="16"/>
  <c r="I185" i="16"/>
  <c r="H185" i="16"/>
  <c r="G185" i="16"/>
  <c r="F185" i="16"/>
  <c r="E185" i="16"/>
  <c r="R185" i="17"/>
  <c r="Q185" i="17"/>
  <c r="M185" i="17"/>
  <c r="L185" i="17"/>
  <c r="K185" i="17"/>
  <c r="J185" i="17"/>
  <c r="I185" i="17"/>
  <c r="H185" i="17"/>
  <c r="G185" i="17"/>
  <c r="F185" i="17"/>
  <c r="E185" i="17"/>
  <c r="N185" i="3"/>
  <c r="M185" i="3"/>
  <c r="L185" i="3"/>
  <c r="K185" i="3"/>
  <c r="J185" i="3"/>
  <c r="I185" i="3"/>
  <c r="H185" i="3"/>
  <c r="G185" i="3"/>
  <c r="F185" i="3"/>
  <c r="E185" i="3"/>
  <c r="R185" i="18"/>
  <c r="Q185" i="18"/>
  <c r="M185" i="18"/>
  <c r="L185" i="18"/>
  <c r="K185" i="18"/>
  <c r="J185" i="18"/>
  <c r="I185" i="18"/>
  <c r="H185" i="18"/>
  <c r="G185" i="18"/>
  <c r="F185" i="18"/>
  <c r="E185" i="18"/>
  <c r="X185" i="19"/>
  <c r="W185" i="19"/>
  <c r="V185" i="19"/>
  <c r="U185" i="19"/>
  <c r="T185" i="19"/>
  <c r="E185" i="19"/>
  <c r="AL185" i="20"/>
  <c r="AK185" i="20"/>
  <c r="AJ185" i="20"/>
  <c r="AI185" i="20"/>
  <c r="AH185" i="20"/>
  <c r="AG185" i="20"/>
  <c r="AF185" i="20"/>
  <c r="Y185" i="20"/>
  <c r="X185" i="20"/>
  <c r="W185" i="20"/>
  <c r="V185" i="20"/>
  <c r="U185" i="20"/>
  <c r="T185" i="20"/>
  <c r="S185" i="20"/>
  <c r="E185" i="20"/>
  <c r="U181" i="9"/>
  <c r="T181" i="9"/>
  <c r="S181" i="9"/>
  <c r="R181" i="9"/>
  <c r="Q181" i="9"/>
  <c r="P181" i="9"/>
  <c r="O181" i="9"/>
  <c r="N181" i="9"/>
  <c r="M181" i="9"/>
  <c r="L181" i="9"/>
  <c r="K181" i="9"/>
  <c r="J181" i="9"/>
  <c r="I181" i="9"/>
  <c r="H181" i="9"/>
  <c r="G181" i="9"/>
  <c r="F181" i="9"/>
  <c r="E181" i="9"/>
  <c r="S181" i="10"/>
  <c r="R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M181" i="11"/>
  <c r="L181" i="11"/>
  <c r="K181" i="11"/>
  <c r="J181" i="11"/>
  <c r="I181" i="11"/>
  <c r="H181" i="11"/>
  <c r="G181" i="11"/>
  <c r="F181" i="11"/>
  <c r="E181" i="11"/>
  <c r="V181" i="15"/>
  <c r="U181" i="15"/>
  <c r="S181" i="15"/>
  <c r="R181" i="15"/>
  <c r="Q181" i="15"/>
  <c r="P181" i="15"/>
  <c r="O181" i="15"/>
  <c r="N181" i="15"/>
  <c r="E181" i="15"/>
  <c r="Y181" i="16"/>
  <c r="X181" i="16"/>
  <c r="W181" i="16"/>
  <c r="V181" i="16"/>
  <c r="U181" i="16"/>
  <c r="T181" i="16"/>
  <c r="S181" i="16"/>
  <c r="R181" i="16"/>
  <c r="J181" i="16"/>
  <c r="I181" i="16"/>
  <c r="H181" i="16"/>
  <c r="G181" i="16"/>
  <c r="F181" i="16"/>
  <c r="E181" i="16"/>
  <c r="R181" i="17"/>
  <c r="Q181" i="17"/>
  <c r="M181" i="17"/>
  <c r="L181" i="17"/>
  <c r="K181" i="17"/>
  <c r="J181" i="17"/>
  <c r="I181" i="17"/>
  <c r="H181" i="17"/>
  <c r="G181" i="17"/>
  <c r="F181" i="17"/>
  <c r="E181" i="17"/>
  <c r="N181" i="3"/>
  <c r="M181" i="3"/>
  <c r="L181" i="3"/>
  <c r="K181" i="3"/>
  <c r="J181" i="3"/>
  <c r="I181" i="3"/>
  <c r="H181" i="3"/>
  <c r="G181" i="3"/>
  <c r="F181" i="3"/>
  <c r="E181" i="3"/>
  <c r="R181" i="18"/>
  <c r="Q181" i="18"/>
  <c r="M181" i="18"/>
  <c r="L181" i="18"/>
  <c r="K181" i="18"/>
  <c r="J181" i="18"/>
  <c r="I181" i="18"/>
  <c r="H181" i="18"/>
  <c r="G181" i="18"/>
  <c r="F181" i="18"/>
  <c r="E181" i="18"/>
  <c r="X181" i="19"/>
  <c r="W181" i="19"/>
  <c r="V181" i="19"/>
  <c r="U181" i="19"/>
  <c r="T181" i="19"/>
  <c r="E181" i="19"/>
  <c r="AL181" i="20"/>
  <c r="AK181" i="20"/>
  <c r="AJ181" i="20"/>
  <c r="AI181" i="20"/>
  <c r="AH181" i="20"/>
  <c r="AG181" i="20"/>
  <c r="AF181" i="20"/>
  <c r="Y181" i="20"/>
  <c r="X181" i="20"/>
  <c r="W181" i="20"/>
  <c r="V181" i="20"/>
  <c r="U181" i="20"/>
  <c r="T181" i="20"/>
  <c r="S181" i="20"/>
  <c r="E181" i="20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S172" i="10"/>
  <c r="R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M172" i="11"/>
  <c r="L172" i="11"/>
  <c r="K172" i="11"/>
  <c r="J172" i="11"/>
  <c r="I172" i="11"/>
  <c r="H172" i="11"/>
  <c r="G172" i="11"/>
  <c r="F172" i="11"/>
  <c r="E172" i="11"/>
  <c r="V172" i="15"/>
  <c r="U172" i="15"/>
  <c r="S172" i="15"/>
  <c r="R172" i="15"/>
  <c r="Q172" i="15"/>
  <c r="P172" i="15"/>
  <c r="O172" i="15"/>
  <c r="N172" i="15"/>
  <c r="E172" i="15"/>
  <c r="Y172" i="16"/>
  <c r="X172" i="16"/>
  <c r="W172" i="16"/>
  <c r="V172" i="16"/>
  <c r="U172" i="16"/>
  <c r="T172" i="16"/>
  <c r="S172" i="16"/>
  <c r="R172" i="16"/>
  <c r="J172" i="16"/>
  <c r="I172" i="16"/>
  <c r="H172" i="16"/>
  <c r="G172" i="16"/>
  <c r="F172" i="16"/>
  <c r="E172" i="16"/>
  <c r="R172" i="17"/>
  <c r="Q172" i="17"/>
  <c r="M172" i="17"/>
  <c r="L172" i="17"/>
  <c r="K172" i="17"/>
  <c r="J172" i="17"/>
  <c r="I172" i="17"/>
  <c r="H172" i="17"/>
  <c r="G172" i="17"/>
  <c r="F172" i="17"/>
  <c r="E172" i="17"/>
  <c r="N172" i="3"/>
  <c r="M172" i="3"/>
  <c r="L172" i="3"/>
  <c r="K172" i="3"/>
  <c r="J172" i="3"/>
  <c r="I172" i="3"/>
  <c r="H172" i="3"/>
  <c r="G172" i="3"/>
  <c r="F172" i="3"/>
  <c r="E172" i="3"/>
  <c r="R172" i="18"/>
  <c r="Q172" i="18"/>
  <c r="M172" i="18"/>
  <c r="L172" i="18"/>
  <c r="K172" i="18"/>
  <c r="J172" i="18"/>
  <c r="I172" i="18"/>
  <c r="H172" i="18"/>
  <c r="G172" i="18"/>
  <c r="F172" i="18"/>
  <c r="E172" i="18"/>
  <c r="X172" i="19"/>
  <c r="W172" i="19"/>
  <c r="V172" i="19"/>
  <c r="U172" i="19"/>
  <c r="T172" i="19"/>
  <c r="E172" i="19"/>
  <c r="AL172" i="20"/>
  <c r="AK172" i="20"/>
  <c r="AJ172" i="20"/>
  <c r="AI172" i="20"/>
  <c r="AH172" i="20"/>
  <c r="AG172" i="20"/>
  <c r="AF172" i="20"/>
  <c r="Y172" i="20"/>
  <c r="X172" i="20"/>
  <c r="W172" i="20"/>
  <c r="V172" i="20"/>
  <c r="U172" i="20"/>
  <c r="T172" i="20"/>
  <c r="S172" i="20"/>
  <c r="E172" i="20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S163" i="10"/>
  <c r="R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M163" i="11"/>
  <c r="L163" i="11"/>
  <c r="K163" i="11"/>
  <c r="J163" i="11"/>
  <c r="I163" i="11"/>
  <c r="H163" i="11"/>
  <c r="G163" i="11"/>
  <c r="F163" i="11"/>
  <c r="E163" i="11"/>
  <c r="V163" i="15"/>
  <c r="U163" i="15"/>
  <c r="S163" i="15"/>
  <c r="R163" i="15"/>
  <c r="Q163" i="15"/>
  <c r="P163" i="15"/>
  <c r="O163" i="15"/>
  <c r="N163" i="15"/>
  <c r="E163" i="15"/>
  <c r="Y163" i="16"/>
  <c r="X163" i="16"/>
  <c r="W163" i="16"/>
  <c r="V163" i="16"/>
  <c r="U163" i="16"/>
  <c r="T163" i="16"/>
  <c r="S163" i="16"/>
  <c r="R163" i="16"/>
  <c r="J163" i="16"/>
  <c r="I163" i="16"/>
  <c r="H163" i="16"/>
  <c r="G163" i="16"/>
  <c r="F163" i="16"/>
  <c r="E163" i="16"/>
  <c r="R163" i="17"/>
  <c r="Q163" i="17"/>
  <c r="M163" i="17"/>
  <c r="L163" i="17"/>
  <c r="K163" i="17"/>
  <c r="J163" i="17"/>
  <c r="I163" i="17"/>
  <c r="H163" i="17"/>
  <c r="G163" i="17"/>
  <c r="F163" i="17"/>
  <c r="E163" i="17"/>
  <c r="N163" i="3"/>
  <c r="M163" i="3"/>
  <c r="L163" i="3"/>
  <c r="K163" i="3"/>
  <c r="J163" i="3"/>
  <c r="I163" i="3"/>
  <c r="H163" i="3"/>
  <c r="G163" i="3"/>
  <c r="F163" i="3"/>
  <c r="E163" i="3"/>
  <c r="R163" i="18"/>
  <c r="Q163" i="18"/>
  <c r="M163" i="18"/>
  <c r="L163" i="18"/>
  <c r="K163" i="18"/>
  <c r="J163" i="18"/>
  <c r="I163" i="18"/>
  <c r="H163" i="18"/>
  <c r="G163" i="18"/>
  <c r="F163" i="18"/>
  <c r="E163" i="18"/>
  <c r="X163" i="19"/>
  <c r="W163" i="19"/>
  <c r="V163" i="19"/>
  <c r="U163" i="19"/>
  <c r="T163" i="19"/>
  <c r="E163" i="19"/>
  <c r="AL163" i="20"/>
  <c r="AK163" i="20"/>
  <c r="AJ163" i="20"/>
  <c r="AI163" i="20"/>
  <c r="AH163" i="20"/>
  <c r="AG163" i="20"/>
  <c r="AF163" i="20"/>
  <c r="Y163" i="20"/>
  <c r="X163" i="20"/>
  <c r="W163" i="20"/>
  <c r="V163" i="20"/>
  <c r="U163" i="20"/>
  <c r="T163" i="20"/>
  <c r="S163" i="20"/>
  <c r="E163" i="20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S158" i="10"/>
  <c r="R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M158" i="11"/>
  <c r="L158" i="11"/>
  <c r="K158" i="11"/>
  <c r="J158" i="11"/>
  <c r="I158" i="11"/>
  <c r="H158" i="11"/>
  <c r="G158" i="11"/>
  <c r="F158" i="11"/>
  <c r="E158" i="11"/>
  <c r="V158" i="15"/>
  <c r="U158" i="15"/>
  <c r="S158" i="15"/>
  <c r="R158" i="15"/>
  <c r="Q158" i="15"/>
  <c r="P158" i="15"/>
  <c r="O158" i="15"/>
  <c r="N158" i="15"/>
  <c r="E158" i="15"/>
  <c r="Y158" i="16"/>
  <c r="X158" i="16"/>
  <c r="W158" i="16"/>
  <c r="V158" i="16"/>
  <c r="U158" i="16"/>
  <c r="T158" i="16"/>
  <c r="S158" i="16"/>
  <c r="R158" i="16"/>
  <c r="J158" i="16"/>
  <c r="I158" i="16"/>
  <c r="H158" i="16"/>
  <c r="G158" i="16"/>
  <c r="F158" i="16"/>
  <c r="E158" i="16"/>
  <c r="R158" i="17"/>
  <c r="Q158" i="17"/>
  <c r="M158" i="17"/>
  <c r="L158" i="17"/>
  <c r="K158" i="17"/>
  <c r="J158" i="17"/>
  <c r="I158" i="17"/>
  <c r="H158" i="17"/>
  <c r="G158" i="17"/>
  <c r="F158" i="17"/>
  <c r="E158" i="17"/>
  <c r="N158" i="3"/>
  <c r="M158" i="3"/>
  <c r="L158" i="3"/>
  <c r="K158" i="3"/>
  <c r="J158" i="3"/>
  <c r="I158" i="3"/>
  <c r="H158" i="3"/>
  <c r="G158" i="3"/>
  <c r="F158" i="3"/>
  <c r="E158" i="3"/>
  <c r="R158" i="18"/>
  <c r="Q158" i="18"/>
  <c r="M158" i="18"/>
  <c r="L158" i="18"/>
  <c r="K158" i="18"/>
  <c r="J158" i="18"/>
  <c r="I158" i="18"/>
  <c r="H158" i="18"/>
  <c r="G158" i="18"/>
  <c r="F158" i="18"/>
  <c r="E158" i="18"/>
  <c r="X158" i="19"/>
  <c r="W158" i="19"/>
  <c r="V158" i="19"/>
  <c r="U158" i="19"/>
  <c r="T158" i="19"/>
  <c r="E158" i="19"/>
  <c r="AL158" i="20"/>
  <c r="AK158" i="20"/>
  <c r="AJ158" i="20"/>
  <c r="AI158" i="20"/>
  <c r="AH158" i="20"/>
  <c r="AG158" i="20"/>
  <c r="AF158" i="20"/>
  <c r="Y158" i="20"/>
  <c r="X158" i="20"/>
  <c r="W158" i="20"/>
  <c r="V158" i="20"/>
  <c r="U158" i="20"/>
  <c r="T158" i="20"/>
  <c r="S158" i="20"/>
  <c r="E158" i="20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S149" i="10"/>
  <c r="R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M149" i="11"/>
  <c r="L149" i="11"/>
  <c r="K149" i="11"/>
  <c r="J149" i="11"/>
  <c r="I149" i="11"/>
  <c r="H149" i="11"/>
  <c r="G149" i="11"/>
  <c r="F149" i="11"/>
  <c r="E149" i="11"/>
  <c r="V149" i="15"/>
  <c r="U149" i="15"/>
  <c r="S149" i="15"/>
  <c r="R149" i="15"/>
  <c r="Q149" i="15"/>
  <c r="P149" i="15"/>
  <c r="O149" i="15"/>
  <c r="N149" i="15"/>
  <c r="E149" i="15"/>
  <c r="Y149" i="16"/>
  <c r="X149" i="16"/>
  <c r="W149" i="16"/>
  <c r="V149" i="16"/>
  <c r="U149" i="16"/>
  <c r="T149" i="16"/>
  <c r="S149" i="16"/>
  <c r="R149" i="16"/>
  <c r="J149" i="16"/>
  <c r="I149" i="16"/>
  <c r="H149" i="16"/>
  <c r="G149" i="16"/>
  <c r="F149" i="16"/>
  <c r="E149" i="16"/>
  <c r="R149" i="17"/>
  <c r="Q149" i="17"/>
  <c r="M149" i="17"/>
  <c r="L149" i="17"/>
  <c r="K149" i="17"/>
  <c r="J149" i="17"/>
  <c r="I149" i="17"/>
  <c r="H149" i="17"/>
  <c r="G149" i="17"/>
  <c r="F149" i="17"/>
  <c r="E149" i="17"/>
  <c r="N149" i="3"/>
  <c r="M149" i="3"/>
  <c r="L149" i="3"/>
  <c r="K149" i="3"/>
  <c r="J149" i="3"/>
  <c r="I149" i="3"/>
  <c r="H149" i="3"/>
  <c r="G149" i="3"/>
  <c r="F149" i="3"/>
  <c r="E149" i="3"/>
  <c r="R149" i="18"/>
  <c r="Q149" i="18"/>
  <c r="M149" i="18"/>
  <c r="L149" i="18"/>
  <c r="K149" i="18"/>
  <c r="J149" i="18"/>
  <c r="I149" i="18"/>
  <c r="H149" i="18"/>
  <c r="G149" i="18"/>
  <c r="F149" i="18"/>
  <c r="E149" i="18"/>
  <c r="X149" i="19"/>
  <c r="W149" i="19"/>
  <c r="V149" i="19"/>
  <c r="U149" i="19"/>
  <c r="T149" i="19"/>
  <c r="E149" i="19"/>
  <c r="AL149" i="20"/>
  <c r="AK149" i="20"/>
  <c r="AJ149" i="20"/>
  <c r="AI149" i="20"/>
  <c r="AH149" i="20"/>
  <c r="AG149" i="20"/>
  <c r="AF149" i="20"/>
  <c r="Y149" i="20"/>
  <c r="X149" i="20"/>
  <c r="W149" i="20"/>
  <c r="V149" i="20"/>
  <c r="U149" i="20"/>
  <c r="T149" i="20"/>
  <c r="S149" i="20"/>
  <c r="E149" i="20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S140" i="10"/>
  <c r="R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M140" i="11"/>
  <c r="L140" i="11"/>
  <c r="K140" i="11"/>
  <c r="J140" i="11"/>
  <c r="I140" i="11"/>
  <c r="H140" i="11"/>
  <c r="G140" i="11"/>
  <c r="F140" i="11"/>
  <c r="E140" i="11"/>
  <c r="V140" i="15"/>
  <c r="U140" i="15"/>
  <c r="S140" i="15"/>
  <c r="R140" i="15"/>
  <c r="Q140" i="15"/>
  <c r="P140" i="15"/>
  <c r="O140" i="15"/>
  <c r="N140" i="15"/>
  <c r="E140" i="15"/>
  <c r="Y140" i="16"/>
  <c r="X140" i="16"/>
  <c r="W140" i="16"/>
  <c r="V140" i="16"/>
  <c r="U140" i="16"/>
  <c r="T140" i="16"/>
  <c r="S140" i="16"/>
  <c r="R140" i="16"/>
  <c r="J140" i="16"/>
  <c r="I140" i="16"/>
  <c r="H140" i="16"/>
  <c r="G140" i="16"/>
  <c r="F140" i="16"/>
  <c r="E140" i="16"/>
  <c r="R140" i="17"/>
  <c r="Q140" i="17"/>
  <c r="M140" i="17"/>
  <c r="L140" i="17"/>
  <c r="K140" i="17"/>
  <c r="J140" i="17"/>
  <c r="I140" i="17"/>
  <c r="H140" i="17"/>
  <c r="G140" i="17"/>
  <c r="F140" i="17"/>
  <c r="E140" i="17"/>
  <c r="N140" i="3"/>
  <c r="M140" i="3"/>
  <c r="L140" i="3"/>
  <c r="K140" i="3"/>
  <c r="J140" i="3"/>
  <c r="I140" i="3"/>
  <c r="H140" i="3"/>
  <c r="G140" i="3"/>
  <c r="F140" i="3"/>
  <c r="E140" i="3"/>
  <c r="R140" i="18"/>
  <c r="Q140" i="18"/>
  <c r="M140" i="18"/>
  <c r="L140" i="18"/>
  <c r="K140" i="18"/>
  <c r="J140" i="18"/>
  <c r="I140" i="18"/>
  <c r="H140" i="18"/>
  <c r="G140" i="18"/>
  <c r="F140" i="18"/>
  <c r="E140" i="18"/>
  <c r="X140" i="19"/>
  <c r="W140" i="19"/>
  <c r="V140" i="19"/>
  <c r="U140" i="19"/>
  <c r="T140" i="19"/>
  <c r="E140" i="19"/>
  <c r="S140" i="20"/>
  <c r="E140" i="20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S131" i="10"/>
  <c r="R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M131" i="11"/>
  <c r="L131" i="11"/>
  <c r="K131" i="11"/>
  <c r="J131" i="11"/>
  <c r="I131" i="11"/>
  <c r="H131" i="11"/>
  <c r="G131" i="11"/>
  <c r="F131" i="11"/>
  <c r="E131" i="11"/>
  <c r="V131" i="15"/>
  <c r="U131" i="15"/>
  <c r="S131" i="15"/>
  <c r="R131" i="15"/>
  <c r="Q131" i="15"/>
  <c r="P131" i="15"/>
  <c r="O131" i="15"/>
  <c r="N131" i="15"/>
  <c r="E131" i="15"/>
  <c r="Y131" i="16"/>
  <c r="X131" i="16"/>
  <c r="W131" i="16"/>
  <c r="V131" i="16"/>
  <c r="U131" i="16"/>
  <c r="T131" i="16"/>
  <c r="S131" i="16"/>
  <c r="R131" i="16"/>
  <c r="J131" i="16"/>
  <c r="I131" i="16"/>
  <c r="H131" i="16"/>
  <c r="G131" i="16"/>
  <c r="F131" i="16"/>
  <c r="E131" i="16"/>
  <c r="R131" i="17"/>
  <c r="Q131" i="17"/>
  <c r="M131" i="17"/>
  <c r="L131" i="17"/>
  <c r="K131" i="17"/>
  <c r="J131" i="17"/>
  <c r="I131" i="17"/>
  <c r="H131" i="17"/>
  <c r="G131" i="17"/>
  <c r="F131" i="17"/>
  <c r="E131" i="17"/>
  <c r="N131" i="3"/>
  <c r="M131" i="3"/>
  <c r="L131" i="3"/>
  <c r="K131" i="3"/>
  <c r="J131" i="3"/>
  <c r="I131" i="3"/>
  <c r="H131" i="3"/>
  <c r="G131" i="3"/>
  <c r="F131" i="3"/>
  <c r="E131" i="3"/>
  <c r="R131" i="18"/>
  <c r="Q131" i="18"/>
  <c r="M131" i="18"/>
  <c r="L131" i="18"/>
  <c r="K131" i="18"/>
  <c r="J131" i="18"/>
  <c r="I131" i="18"/>
  <c r="H131" i="18"/>
  <c r="G131" i="18"/>
  <c r="F131" i="18"/>
  <c r="E131" i="18"/>
  <c r="X131" i="19"/>
  <c r="W131" i="19"/>
  <c r="V131" i="19"/>
  <c r="U131" i="19"/>
  <c r="T131" i="19"/>
  <c r="E131" i="19"/>
  <c r="AL131" i="20"/>
  <c r="AK131" i="20"/>
  <c r="AJ131" i="20"/>
  <c r="AI131" i="20"/>
  <c r="AH131" i="20"/>
  <c r="AG131" i="20"/>
  <c r="AF131" i="20"/>
  <c r="Y131" i="20"/>
  <c r="X131" i="20"/>
  <c r="W131" i="20"/>
  <c r="V131" i="20"/>
  <c r="U131" i="20"/>
  <c r="T131" i="20"/>
  <c r="S131" i="20"/>
  <c r="E131" i="20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S128" i="10"/>
  <c r="R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M128" i="11"/>
  <c r="L128" i="11"/>
  <c r="K128" i="11"/>
  <c r="J128" i="11"/>
  <c r="I128" i="11"/>
  <c r="H128" i="11"/>
  <c r="G128" i="11"/>
  <c r="F128" i="11"/>
  <c r="E128" i="11"/>
  <c r="V128" i="15"/>
  <c r="U128" i="15"/>
  <c r="S128" i="15"/>
  <c r="R128" i="15"/>
  <c r="Q128" i="15"/>
  <c r="P128" i="15"/>
  <c r="O128" i="15"/>
  <c r="N128" i="15"/>
  <c r="E128" i="15"/>
  <c r="Y128" i="16"/>
  <c r="X128" i="16"/>
  <c r="W128" i="16"/>
  <c r="V128" i="16"/>
  <c r="U128" i="16"/>
  <c r="T128" i="16"/>
  <c r="S128" i="16"/>
  <c r="R128" i="16"/>
  <c r="J128" i="16"/>
  <c r="I128" i="16"/>
  <c r="H128" i="16"/>
  <c r="G128" i="16"/>
  <c r="F128" i="16"/>
  <c r="E128" i="16"/>
  <c r="R128" i="17"/>
  <c r="Q128" i="17"/>
  <c r="M128" i="17"/>
  <c r="L128" i="17"/>
  <c r="K128" i="17"/>
  <c r="J128" i="17"/>
  <c r="I128" i="17"/>
  <c r="H128" i="17"/>
  <c r="G128" i="17"/>
  <c r="F128" i="17"/>
  <c r="E128" i="17"/>
  <c r="N128" i="3"/>
  <c r="M128" i="3"/>
  <c r="L128" i="3"/>
  <c r="K128" i="3"/>
  <c r="J128" i="3"/>
  <c r="I128" i="3"/>
  <c r="H128" i="3"/>
  <c r="G128" i="3"/>
  <c r="F128" i="3"/>
  <c r="E128" i="3"/>
  <c r="R128" i="18"/>
  <c r="Q128" i="18"/>
  <c r="M128" i="18"/>
  <c r="L128" i="18"/>
  <c r="K128" i="18"/>
  <c r="J128" i="18"/>
  <c r="I128" i="18"/>
  <c r="H128" i="18"/>
  <c r="G128" i="18"/>
  <c r="F128" i="18"/>
  <c r="E128" i="18"/>
  <c r="X128" i="19"/>
  <c r="W128" i="19"/>
  <c r="V128" i="19"/>
  <c r="U128" i="19"/>
  <c r="T128" i="19"/>
  <c r="E128" i="19"/>
  <c r="AL128" i="20"/>
  <c r="AK128" i="20"/>
  <c r="AJ128" i="20"/>
  <c r="AI128" i="20"/>
  <c r="AH128" i="20"/>
  <c r="AG128" i="20"/>
  <c r="AF128" i="20"/>
  <c r="Y128" i="20"/>
  <c r="X128" i="20"/>
  <c r="W128" i="20"/>
  <c r="V128" i="20"/>
  <c r="U128" i="20"/>
  <c r="T128" i="20"/>
  <c r="S128" i="20"/>
  <c r="E128" i="20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S119" i="10"/>
  <c r="R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M119" i="11"/>
  <c r="L119" i="11"/>
  <c r="K119" i="11"/>
  <c r="J119" i="11"/>
  <c r="I119" i="11"/>
  <c r="H119" i="11"/>
  <c r="G119" i="11"/>
  <c r="F119" i="11"/>
  <c r="E119" i="11"/>
  <c r="V119" i="15"/>
  <c r="U119" i="15"/>
  <c r="S119" i="15"/>
  <c r="R119" i="15"/>
  <c r="Q119" i="15"/>
  <c r="P119" i="15"/>
  <c r="O119" i="15"/>
  <c r="N119" i="15"/>
  <c r="E119" i="15"/>
  <c r="Y119" i="16"/>
  <c r="X119" i="16"/>
  <c r="W119" i="16"/>
  <c r="V119" i="16"/>
  <c r="U119" i="16"/>
  <c r="T119" i="16"/>
  <c r="S119" i="16"/>
  <c r="R119" i="16"/>
  <c r="J119" i="16"/>
  <c r="I119" i="16"/>
  <c r="H119" i="16"/>
  <c r="G119" i="16"/>
  <c r="F119" i="16"/>
  <c r="E119" i="16"/>
  <c r="R119" i="17"/>
  <c r="Q119" i="17"/>
  <c r="M119" i="17"/>
  <c r="L119" i="17"/>
  <c r="K119" i="17"/>
  <c r="J119" i="17"/>
  <c r="I119" i="17"/>
  <c r="H119" i="17"/>
  <c r="G119" i="17"/>
  <c r="F119" i="17"/>
  <c r="E119" i="17"/>
  <c r="N119" i="3"/>
  <c r="M119" i="3"/>
  <c r="L119" i="3"/>
  <c r="K119" i="3"/>
  <c r="J119" i="3"/>
  <c r="I119" i="3"/>
  <c r="H119" i="3"/>
  <c r="G119" i="3"/>
  <c r="F119" i="3"/>
  <c r="E119" i="3"/>
  <c r="R119" i="18"/>
  <c r="Q119" i="18"/>
  <c r="M119" i="18"/>
  <c r="L119" i="18"/>
  <c r="K119" i="18"/>
  <c r="J119" i="18"/>
  <c r="I119" i="18"/>
  <c r="H119" i="18"/>
  <c r="G119" i="18"/>
  <c r="F119" i="18"/>
  <c r="E119" i="18"/>
  <c r="X119" i="19"/>
  <c r="W119" i="19"/>
  <c r="V119" i="19"/>
  <c r="U119" i="19"/>
  <c r="T119" i="19"/>
  <c r="E119" i="19"/>
  <c r="AL119" i="20"/>
  <c r="AK119" i="20"/>
  <c r="AJ119" i="20"/>
  <c r="AI119" i="20"/>
  <c r="AH119" i="20"/>
  <c r="AG119" i="20"/>
  <c r="AF119" i="20"/>
  <c r="Y119" i="20"/>
  <c r="X119" i="20"/>
  <c r="W119" i="20"/>
  <c r="V119" i="20"/>
  <c r="U119" i="20"/>
  <c r="T119" i="20"/>
  <c r="S119" i="20"/>
  <c r="E119" i="20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S110" i="10"/>
  <c r="R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M110" i="11"/>
  <c r="L110" i="11"/>
  <c r="K110" i="11"/>
  <c r="J110" i="11"/>
  <c r="I110" i="11"/>
  <c r="H110" i="11"/>
  <c r="G110" i="11"/>
  <c r="F110" i="11"/>
  <c r="E110" i="11"/>
  <c r="V110" i="15"/>
  <c r="U110" i="15"/>
  <c r="S110" i="15"/>
  <c r="R110" i="15"/>
  <c r="Q110" i="15"/>
  <c r="P110" i="15"/>
  <c r="O110" i="15"/>
  <c r="N110" i="15"/>
  <c r="E110" i="15"/>
  <c r="Y110" i="16"/>
  <c r="X110" i="16"/>
  <c r="W110" i="16"/>
  <c r="V110" i="16"/>
  <c r="U110" i="16"/>
  <c r="T110" i="16"/>
  <c r="S110" i="16"/>
  <c r="R110" i="16"/>
  <c r="J110" i="16"/>
  <c r="I110" i="16"/>
  <c r="H110" i="16"/>
  <c r="G110" i="16"/>
  <c r="F110" i="16"/>
  <c r="E110" i="16"/>
  <c r="R110" i="17"/>
  <c r="Q110" i="17"/>
  <c r="M110" i="17"/>
  <c r="L110" i="17"/>
  <c r="K110" i="17"/>
  <c r="J110" i="17"/>
  <c r="I110" i="17"/>
  <c r="H110" i="17"/>
  <c r="G110" i="17"/>
  <c r="F110" i="17"/>
  <c r="E110" i="17"/>
  <c r="N110" i="3"/>
  <c r="M110" i="3"/>
  <c r="L110" i="3"/>
  <c r="K110" i="3"/>
  <c r="J110" i="3"/>
  <c r="I110" i="3"/>
  <c r="H110" i="3"/>
  <c r="G110" i="3"/>
  <c r="F110" i="3"/>
  <c r="E110" i="3"/>
  <c r="R110" i="18"/>
  <c r="Q110" i="18"/>
  <c r="M110" i="18"/>
  <c r="L110" i="18"/>
  <c r="K110" i="18"/>
  <c r="J110" i="18"/>
  <c r="I110" i="18"/>
  <c r="H110" i="18"/>
  <c r="G110" i="18"/>
  <c r="F110" i="18"/>
  <c r="E110" i="18"/>
  <c r="X110" i="19"/>
  <c r="W110" i="19"/>
  <c r="V110" i="19"/>
  <c r="U110" i="19"/>
  <c r="T110" i="19"/>
  <c r="E110" i="19"/>
  <c r="AL110" i="20"/>
  <c r="AK110" i="20"/>
  <c r="AJ110" i="20"/>
  <c r="AI110" i="20"/>
  <c r="AH110" i="20"/>
  <c r="AG110" i="20"/>
  <c r="AF110" i="20"/>
  <c r="Y110" i="20"/>
  <c r="X110" i="20"/>
  <c r="W110" i="20"/>
  <c r="V110" i="20"/>
  <c r="U110" i="20"/>
  <c r="T110" i="20"/>
  <c r="S110" i="20"/>
  <c r="E110" i="20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S101" i="10"/>
  <c r="R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M101" i="11"/>
  <c r="L101" i="11"/>
  <c r="K101" i="11"/>
  <c r="J101" i="11"/>
  <c r="I101" i="11"/>
  <c r="H101" i="11"/>
  <c r="G101" i="11"/>
  <c r="F101" i="11"/>
  <c r="E101" i="11"/>
  <c r="V101" i="15"/>
  <c r="U101" i="15"/>
  <c r="S101" i="15"/>
  <c r="R101" i="15"/>
  <c r="Q101" i="15"/>
  <c r="P101" i="15"/>
  <c r="O101" i="15"/>
  <c r="N101" i="15"/>
  <c r="E101" i="15"/>
  <c r="Y101" i="16"/>
  <c r="X101" i="16"/>
  <c r="W101" i="16"/>
  <c r="V101" i="16"/>
  <c r="U101" i="16"/>
  <c r="T101" i="16"/>
  <c r="S101" i="16"/>
  <c r="R101" i="16"/>
  <c r="J101" i="16"/>
  <c r="I101" i="16"/>
  <c r="H101" i="16"/>
  <c r="G101" i="16"/>
  <c r="F101" i="16"/>
  <c r="E101" i="16"/>
  <c r="R101" i="17"/>
  <c r="Q101" i="17"/>
  <c r="M101" i="17"/>
  <c r="L101" i="17"/>
  <c r="K101" i="17"/>
  <c r="J101" i="17"/>
  <c r="I101" i="17"/>
  <c r="H101" i="17"/>
  <c r="G101" i="17"/>
  <c r="F101" i="17"/>
  <c r="E101" i="17"/>
  <c r="N101" i="3"/>
  <c r="M101" i="3"/>
  <c r="L101" i="3"/>
  <c r="K101" i="3"/>
  <c r="J101" i="3"/>
  <c r="I101" i="3"/>
  <c r="H101" i="3"/>
  <c r="G101" i="3"/>
  <c r="F101" i="3"/>
  <c r="E101" i="3"/>
  <c r="R101" i="18"/>
  <c r="Q101" i="18"/>
  <c r="M101" i="18"/>
  <c r="L101" i="18"/>
  <c r="K101" i="18"/>
  <c r="J101" i="18"/>
  <c r="I101" i="18"/>
  <c r="H101" i="18"/>
  <c r="G101" i="18"/>
  <c r="F101" i="18"/>
  <c r="E101" i="18"/>
  <c r="X101" i="19"/>
  <c r="W101" i="19"/>
  <c r="V101" i="19"/>
  <c r="U101" i="19"/>
  <c r="T101" i="19"/>
  <c r="E101" i="19"/>
  <c r="AL101" i="20"/>
  <c r="AK101" i="20"/>
  <c r="AJ101" i="20"/>
  <c r="AI101" i="20"/>
  <c r="AH101" i="20"/>
  <c r="AG101" i="20"/>
  <c r="AF101" i="20"/>
  <c r="Y101" i="20"/>
  <c r="X101" i="20"/>
  <c r="W101" i="20"/>
  <c r="V101" i="20"/>
  <c r="U101" i="20"/>
  <c r="T101" i="20"/>
  <c r="S101" i="20"/>
  <c r="E101" i="20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S92" i="10"/>
  <c r="R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M92" i="11"/>
  <c r="L92" i="11"/>
  <c r="K92" i="11"/>
  <c r="J92" i="11"/>
  <c r="I92" i="11"/>
  <c r="H92" i="11"/>
  <c r="G92" i="11"/>
  <c r="F92" i="11"/>
  <c r="E92" i="11"/>
  <c r="V92" i="15"/>
  <c r="U92" i="15"/>
  <c r="S92" i="15"/>
  <c r="R92" i="15"/>
  <c r="Q92" i="15"/>
  <c r="P92" i="15"/>
  <c r="O92" i="15"/>
  <c r="N92" i="15"/>
  <c r="E92" i="15"/>
  <c r="Y92" i="16"/>
  <c r="X92" i="16"/>
  <c r="W92" i="16"/>
  <c r="V92" i="16"/>
  <c r="U92" i="16"/>
  <c r="T92" i="16"/>
  <c r="S92" i="16"/>
  <c r="R92" i="16"/>
  <c r="J92" i="16"/>
  <c r="I92" i="16"/>
  <c r="H92" i="16"/>
  <c r="G92" i="16"/>
  <c r="F92" i="16"/>
  <c r="E92" i="16"/>
  <c r="R92" i="17"/>
  <c r="Q92" i="17"/>
  <c r="M92" i="17"/>
  <c r="L92" i="17"/>
  <c r="K92" i="17"/>
  <c r="J92" i="17"/>
  <c r="I92" i="17"/>
  <c r="H92" i="17"/>
  <c r="G92" i="17"/>
  <c r="F92" i="17"/>
  <c r="E92" i="17"/>
  <c r="N92" i="3"/>
  <c r="M92" i="3"/>
  <c r="L92" i="3"/>
  <c r="K92" i="3"/>
  <c r="J92" i="3"/>
  <c r="I92" i="3"/>
  <c r="H92" i="3"/>
  <c r="G92" i="3"/>
  <c r="F92" i="3"/>
  <c r="E92" i="3"/>
  <c r="R92" i="18"/>
  <c r="Q92" i="18"/>
  <c r="M92" i="18"/>
  <c r="L92" i="18"/>
  <c r="K92" i="18"/>
  <c r="J92" i="18"/>
  <c r="I92" i="18"/>
  <c r="H92" i="18"/>
  <c r="G92" i="18"/>
  <c r="F92" i="18"/>
  <c r="E92" i="18"/>
  <c r="X92" i="19"/>
  <c r="W92" i="19"/>
  <c r="V92" i="19"/>
  <c r="U92" i="19"/>
  <c r="T92" i="19"/>
  <c r="E92" i="19"/>
  <c r="AL92" i="20"/>
  <c r="AK92" i="20"/>
  <c r="AJ92" i="20"/>
  <c r="AI92" i="20"/>
  <c r="AH92" i="20"/>
  <c r="AG92" i="20"/>
  <c r="AF92" i="20"/>
  <c r="Y92" i="20"/>
  <c r="X92" i="20"/>
  <c r="W92" i="20"/>
  <c r="V92" i="20"/>
  <c r="U92" i="20"/>
  <c r="T92" i="20"/>
  <c r="S92" i="20"/>
  <c r="E92" i="20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S88" i="10"/>
  <c r="R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M88" i="11"/>
  <c r="L88" i="11"/>
  <c r="K88" i="11"/>
  <c r="J88" i="11"/>
  <c r="I88" i="11"/>
  <c r="H88" i="11"/>
  <c r="G88" i="11"/>
  <c r="F88" i="11"/>
  <c r="E88" i="11"/>
  <c r="V88" i="15"/>
  <c r="U88" i="15"/>
  <c r="S88" i="15"/>
  <c r="R88" i="15"/>
  <c r="Q88" i="15"/>
  <c r="P88" i="15"/>
  <c r="O88" i="15"/>
  <c r="N88" i="15"/>
  <c r="E88" i="15"/>
  <c r="Y88" i="16"/>
  <c r="X88" i="16"/>
  <c r="W88" i="16"/>
  <c r="V88" i="16"/>
  <c r="U88" i="16"/>
  <c r="T88" i="16"/>
  <c r="S88" i="16"/>
  <c r="R88" i="16"/>
  <c r="J88" i="16"/>
  <c r="I88" i="16"/>
  <c r="H88" i="16"/>
  <c r="G88" i="16"/>
  <c r="F88" i="16"/>
  <c r="E88" i="16"/>
  <c r="R88" i="17"/>
  <c r="Q88" i="17"/>
  <c r="M88" i="17"/>
  <c r="L88" i="17"/>
  <c r="K88" i="17"/>
  <c r="J88" i="17"/>
  <c r="I88" i="17"/>
  <c r="H88" i="17"/>
  <c r="G88" i="17"/>
  <c r="F88" i="17"/>
  <c r="E88" i="17"/>
  <c r="N88" i="3"/>
  <c r="M88" i="3"/>
  <c r="L88" i="3"/>
  <c r="K88" i="3"/>
  <c r="J88" i="3"/>
  <c r="I88" i="3"/>
  <c r="H88" i="3"/>
  <c r="G88" i="3"/>
  <c r="F88" i="3"/>
  <c r="E88" i="3"/>
  <c r="R88" i="18"/>
  <c r="Q88" i="18"/>
  <c r="M88" i="18"/>
  <c r="L88" i="18"/>
  <c r="K88" i="18"/>
  <c r="J88" i="18"/>
  <c r="I88" i="18"/>
  <c r="H88" i="18"/>
  <c r="G88" i="18"/>
  <c r="F88" i="18"/>
  <c r="E88" i="18"/>
  <c r="X88" i="19"/>
  <c r="W88" i="19"/>
  <c r="V88" i="19"/>
  <c r="U88" i="19"/>
  <c r="T88" i="19"/>
  <c r="E88" i="19"/>
  <c r="AL88" i="20"/>
  <c r="AK88" i="20"/>
  <c r="AJ88" i="20"/>
  <c r="AI88" i="20"/>
  <c r="AH88" i="20"/>
  <c r="AG88" i="20"/>
  <c r="AF88" i="20"/>
  <c r="Y88" i="20"/>
  <c r="X88" i="20"/>
  <c r="W88" i="20"/>
  <c r="V88" i="20"/>
  <c r="U88" i="20"/>
  <c r="T88" i="20"/>
  <c r="S88" i="20"/>
  <c r="E88" i="20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S79" i="10"/>
  <c r="R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M79" i="11"/>
  <c r="L79" i="11"/>
  <c r="K79" i="11"/>
  <c r="J79" i="11"/>
  <c r="I79" i="11"/>
  <c r="H79" i="11"/>
  <c r="G79" i="11"/>
  <c r="F79" i="11"/>
  <c r="E79" i="11"/>
  <c r="V79" i="15"/>
  <c r="U79" i="15"/>
  <c r="S79" i="15"/>
  <c r="R79" i="15"/>
  <c r="Q79" i="15"/>
  <c r="P79" i="15"/>
  <c r="O79" i="15"/>
  <c r="N79" i="15"/>
  <c r="E79" i="15"/>
  <c r="Y79" i="16"/>
  <c r="X79" i="16"/>
  <c r="W79" i="16"/>
  <c r="V79" i="16"/>
  <c r="U79" i="16"/>
  <c r="T79" i="16"/>
  <c r="S79" i="16"/>
  <c r="R79" i="16"/>
  <c r="J79" i="16"/>
  <c r="I79" i="16"/>
  <c r="H79" i="16"/>
  <c r="G79" i="16"/>
  <c r="F79" i="16"/>
  <c r="E79" i="16"/>
  <c r="R79" i="17"/>
  <c r="Q79" i="17"/>
  <c r="M79" i="17"/>
  <c r="L79" i="17"/>
  <c r="K79" i="17"/>
  <c r="J79" i="17"/>
  <c r="I79" i="17"/>
  <c r="H79" i="17"/>
  <c r="G79" i="17"/>
  <c r="F79" i="17"/>
  <c r="E79" i="17"/>
  <c r="N79" i="3"/>
  <c r="M79" i="3"/>
  <c r="L79" i="3"/>
  <c r="K79" i="3"/>
  <c r="J79" i="3"/>
  <c r="I79" i="3"/>
  <c r="H79" i="3"/>
  <c r="G79" i="3"/>
  <c r="F79" i="3"/>
  <c r="E79" i="3"/>
  <c r="R79" i="18"/>
  <c r="Q79" i="18"/>
  <c r="M79" i="18"/>
  <c r="L79" i="18"/>
  <c r="K79" i="18"/>
  <c r="J79" i="18"/>
  <c r="I79" i="18"/>
  <c r="H79" i="18"/>
  <c r="G79" i="18"/>
  <c r="F79" i="18"/>
  <c r="E79" i="18"/>
  <c r="X79" i="19"/>
  <c r="W79" i="19"/>
  <c r="V79" i="19"/>
  <c r="U79" i="19"/>
  <c r="T79" i="19"/>
  <c r="E79" i="19"/>
  <c r="AL79" i="20"/>
  <c r="AK79" i="20"/>
  <c r="AJ79" i="20"/>
  <c r="AI79" i="20"/>
  <c r="AH79" i="20"/>
  <c r="AG79" i="20"/>
  <c r="AF79" i="20"/>
  <c r="Y79" i="20"/>
  <c r="X79" i="20"/>
  <c r="W79" i="20"/>
  <c r="V79" i="20"/>
  <c r="U79" i="20"/>
  <c r="T79" i="20"/>
  <c r="S79" i="20"/>
  <c r="E79" i="20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S70" i="10"/>
  <c r="R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M70" i="11"/>
  <c r="L70" i="11"/>
  <c r="K70" i="11"/>
  <c r="J70" i="11"/>
  <c r="I70" i="11"/>
  <c r="H70" i="11"/>
  <c r="G70" i="11"/>
  <c r="F70" i="11"/>
  <c r="E70" i="11"/>
  <c r="V70" i="15"/>
  <c r="U70" i="15"/>
  <c r="S70" i="15"/>
  <c r="R70" i="15"/>
  <c r="Q70" i="15"/>
  <c r="P70" i="15"/>
  <c r="O70" i="15"/>
  <c r="N70" i="15"/>
  <c r="E70" i="15"/>
  <c r="Y70" i="16"/>
  <c r="X70" i="16"/>
  <c r="W70" i="16"/>
  <c r="V70" i="16"/>
  <c r="U70" i="16"/>
  <c r="T70" i="16"/>
  <c r="S70" i="16"/>
  <c r="R70" i="16"/>
  <c r="J70" i="16"/>
  <c r="I70" i="16"/>
  <c r="H70" i="16"/>
  <c r="G70" i="16"/>
  <c r="F70" i="16"/>
  <c r="E70" i="16"/>
  <c r="R70" i="17"/>
  <c r="Q70" i="17"/>
  <c r="M70" i="17"/>
  <c r="L70" i="17"/>
  <c r="K70" i="17"/>
  <c r="J70" i="17"/>
  <c r="I70" i="17"/>
  <c r="H70" i="17"/>
  <c r="G70" i="17"/>
  <c r="F70" i="17"/>
  <c r="E70" i="17"/>
  <c r="N70" i="3"/>
  <c r="M70" i="3"/>
  <c r="L70" i="3"/>
  <c r="K70" i="3"/>
  <c r="J70" i="3"/>
  <c r="I70" i="3"/>
  <c r="H70" i="3"/>
  <c r="G70" i="3"/>
  <c r="F70" i="3"/>
  <c r="E70" i="3"/>
  <c r="R70" i="18"/>
  <c r="Q70" i="18"/>
  <c r="M70" i="18"/>
  <c r="L70" i="18"/>
  <c r="K70" i="18"/>
  <c r="J70" i="18"/>
  <c r="I70" i="18"/>
  <c r="H70" i="18"/>
  <c r="G70" i="18"/>
  <c r="F70" i="18"/>
  <c r="E70" i="18"/>
  <c r="X70" i="19"/>
  <c r="W70" i="19"/>
  <c r="V70" i="19"/>
  <c r="U70" i="19"/>
  <c r="T70" i="19"/>
  <c r="E70" i="19"/>
  <c r="AL70" i="20"/>
  <c r="AK70" i="20"/>
  <c r="AJ70" i="20"/>
  <c r="AI70" i="20"/>
  <c r="AH70" i="20"/>
  <c r="AG70" i="20"/>
  <c r="AF70" i="20"/>
  <c r="Y70" i="20"/>
  <c r="X70" i="20"/>
  <c r="W70" i="20"/>
  <c r="V70" i="20"/>
  <c r="U70" i="20"/>
  <c r="T70" i="20"/>
  <c r="S70" i="20"/>
  <c r="E70" i="20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S61" i="10"/>
  <c r="R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M61" i="11"/>
  <c r="L61" i="11"/>
  <c r="K61" i="11"/>
  <c r="J61" i="11"/>
  <c r="I61" i="11"/>
  <c r="H61" i="11"/>
  <c r="G61" i="11"/>
  <c r="F61" i="11"/>
  <c r="E61" i="11"/>
  <c r="V61" i="15"/>
  <c r="U61" i="15"/>
  <c r="S61" i="15"/>
  <c r="R61" i="15"/>
  <c r="Q61" i="15"/>
  <c r="P61" i="15"/>
  <c r="O61" i="15"/>
  <c r="N61" i="15"/>
  <c r="E61" i="15"/>
  <c r="Y61" i="16"/>
  <c r="X61" i="16"/>
  <c r="W61" i="16"/>
  <c r="V61" i="16"/>
  <c r="U61" i="16"/>
  <c r="T61" i="16"/>
  <c r="S61" i="16"/>
  <c r="R61" i="16"/>
  <c r="J61" i="16"/>
  <c r="I61" i="16"/>
  <c r="H61" i="16"/>
  <c r="G61" i="16"/>
  <c r="F61" i="16"/>
  <c r="E61" i="16"/>
  <c r="R61" i="17"/>
  <c r="Q61" i="17"/>
  <c r="M61" i="17"/>
  <c r="L61" i="17"/>
  <c r="K61" i="17"/>
  <c r="J61" i="17"/>
  <c r="I61" i="17"/>
  <c r="H61" i="17"/>
  <c r="G61" i="17"/>
  <c r="F61" i="17"/>
  <c r="E61" i="17"/>
  <c r="N61" i="3"/>
  <c r="M61" i="3"/>
  <c r="L61" i="3"/>
  <c r="K61" i="3"/>
  <c r="J61" i="3"/>
  <c r="I61" i="3"/>
  <c r="H61" i="3"/>
  <c r="G61" i="3"/>
  <c r="F61" i="3"/>
  <c r="E61" i="3"/>
  <c r="R61" i="18"/>
  <c r="Q61" i="18"/>
  <c r="M61" i="18"/>
  <c r="L61" i="18"/>
  <c r="K61" i="18"/>
  <c r="J61" i="18"/>
  <c r="I61" i="18"/>
  <c r="H61" i="18"/>
  <c r="G61" i="18"/>
  <c r="F61" i="18"/>
  <c r="E61" i="18"/>
  <c r="X61" i="19"/>
  <c r="W61" i="19"/>
  <c r="V61" i="19"/>
  <c r="U61" i="19"/>
  <c r="T61" i="19"/>
  <c r="E61" i="19"/>
  <c r="AL61" i="20"/>
  <c r="AK61" i="20"/>
  <c r="AJ61" i="20"/>
  <c r="AI61" i="20"/>
  <c r="AH61" i="20"/>
  <c r="AG61" i="20"/>
  <c r="AF61" i="20"/>
  <c r="Y61" i="20"/>
  <c r="X61" i="20"/>
  <c r="W61" i="20"/>
  <c r="V61" i="20"/>
  <c r="U61" i="20"/>
  <c r="T61" i="20"/>
  <c r="S61" i="20"/>
  <c r="E61" i="20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S52" i="10"/>
  <c r="R52" i="10"/>
  <c r="P52" i="10"/>
  <c r="O52" i="10"/>
  <c r="N52" i="10"/>
  <c r="M52" i="10"/>
  <c r="L52" i="10"/>
  <c r="K52" i="10"/>
  <c r="J52" i="10"/>
  <c r="I52" i="10"/>
  <c r="H52" i="10"/>
  <c r="G52" i="10"/>
  <c r="F52" i="10"/>
  <c r="M52" i="11"/>
  <c r="L52" i="11"/>
  <c r="K52" i="11"/>
  <c r="J52" i="11"/>
  <c r="I52" i="11"/>
  <c r="H52" i="11"/>
  <c r="G52" i="11"/>
  <c r="F52" i="11"/>
  <c r="V52" i="15"/>
  <c r="U52" i="15"/>
  <c r="S52" i="15"/>
  <c r="R52" i="15"/>
  <c r="Q52" i="15"/>
  <c r="P52" i="15"/>
  <c r="O52" i="15"/>
  <c r="N52" i="15"/>
  <c r="Y52" i="16"/>
  <c r="X52" i="16"/>
  <c r="W52" i="16"/>
  <c r="V52" i="16"/>
  <c r="U52" i="16"/>
  <c r="T52" i="16"/>
  <c r="S52" i="16"/>
  <c r="R52" i="16"/>
  <c r="J52" i="16"/>
  <c r="I52" i="16"/>
  <c r="H52" i="16"/>
  <c r="G52" i="16"/>
  <c r="F52" i="16"/>
  <c r="R52" i="17"/>
  <c r="Q52" i="17"/>
  <c r="M52" i="17"/>
  <c r="L52" i="17"/>
  <c r="K52" i="17"/>
  <c r="J52" i="17"/>
  <c r="I52" i="17"/>
  <c r="H52" i="17"/>
  <c r="G52" i="17"/>
  <c r="F52" i="17"/>
  <c r="N52" i="3"/>
  <c r="M52" i="3"/>
  <c r="L52" i="3"/>
  <c r="K52" i="3"/>
  <c r="J52" i="3"/>
  <c r="I52" i="3"/>
  <c r="H52" i="3"/>
  <c r="G52" i="3"/>
  <c r="F52" i="3"/>
  <c r="R52" i="18"/>
  <c r="Q52" i="18"/>
  <c r="M52" i="18"/>
  <c r="L52" i="18"/>
  <c r="K52" i="18"/>
  <c r="J52" i="18"/>
  <c r="I52" i="18"/>
  <c r="H52" i="18"/>
  <c r="G52" i="18"/>
  <c r="F52" i="18"/>
  <c r="X52" i="19"/>
  <c r="W52" i="19"/>
  <c r="V52" i="19"/>
  <c r="U52" i="19"/>
  <c r="T52" i="19"/>
  <c r="AL52" i="20"/>
  <c r="AK52" i="20"/>
  <c r="AJ52" i="20"/>
  <c r="AI52" i="20"/>
  <c r="AH52" i="20"/>
  <c r="AG52" i="20"/>
  <c r="AF52" i="20"/>
  <c r="Y52" i="20"/>
  <c r="X52" i="20"/>
  <c r="W52" i="20"/>
  <c r="V52" i="20"/>
  <c r="U52" i="20"/>
  <c r="T52" i="20"/>
  <c r="S52" i="20"/>
  <c r="E52" i="9"/>
  <c r="E52" i="10"/>
  <c r="E52" i="11"/>
  <c r="E52" i="15"/>
  <c r="E52" i="16"/>
  <c r="E52" i="17"/>
  <c r="E52" i="3"/>
  <c r="E52" i="18"/>
  <c r="E52" i="19"/>
  <c r="E52" i="20"/>
  <c r="AM168" i="20" l="1"/>
  <c r="AM169" i="20"/>
  <c r="AM170" i="20"/>
  <c r="AM171" i="20"/>
  <c r="AM162" i="20"/>
  <c r="AM126" i="20"/>
  <c r="AM127" i="20"/>
  <c r="AM115" i="20"/>
  <c r="AM116" i="20"/>
  <c r="AM117" i="20"/>
  <c r="AM118" i="20"/>
  <c r="AM97" i="20"/>
  <c r="AM98" i="20"/>
  <c r="AM99" i="20"/>
  <c r="AM100" i="20"/>
  <c r="Y168" i="19"/>
  <c r="Y169" i="19"/>
  <c r="Y170" i="19"/>
  <c r="Y171" i="19"/>
  <c r="Y127" i="19"/>
  <c r="Y115" i="19"/>
  <c r="Y116" i="19"/>
  <c r="Y117" i="19"/>
  <c r="Y118" i="19"/>
  <c r="Y97" i="19"/>
  <c r="Y98" i="19"/>
  <c r="Y99" i="19"/>
  <c r="Y100" i="19"/>
  <c r="S169" i="18"/>
  <c r="S170" i="18"/>
  <c r="S171" i="18"/>
  <c r="S114" i="18"/>
  <c r="S115" i="18"/>
  <c r="S116" i="18"/>
  <c r="S117" i="18"/>
  <c r="S118" i="18"/>
  <c r="S99" i="18"/>
  <c r="S100" i="18"/>
  <c r="O168" i="3"/>
  <c r="O169" i="3"/>
  <c r="O170" i="3"/>
  <c r="O171" i="3"/>
  <c r="O114" i="3"/>
  <c r="O115" i="3"/>
  <c r="O116" i="3"/>
  <c r="O117" i="3"/>
  <c r="O118" i="3"/>
  <c r="O98" i="3"/>
  <c r="O99" i="3"/>
  <c r="O100" i="3"/>
  <c r="S169" i="17"/>
  <c r="S170" i="17"/>
  <c r="S171" i="17"/>
  <c r="S127" i="17"/>
  <c r="S115" i="17"/>
  <c r="S116" i="17"/>
  <c r="S117" i="17"/>
  <c r="S118" i="17"/>
  <c r="S99" i="17"/>
  <c r="S100" i="17"/>
  <c r="Z169" i="16"/>
  <c r="Z170" i="16"/>
  <c r="Z171" i="16"/>
  <c r="Z115" i="16"/>
  <c r="Z116" i="16"/>
  <c r="Z117" i="16"/>
  <c r="Z118" i="16"/>
  <c r="Z98" i="16"/>
  <c r="Z99" i="16"/>
  <c r="Z100" i="16"/>
  <c r="W169" i="15"/>
  <c r="W170" i="15"/>
  <c r="W171" i="15"/>
  <c r="W115" i="15"/>
  <c r="W116" i="15"/>
  <c r="W117" i="15"/>
  <c r="W118" i="15"/>
  <c r="W100" i="15"/>
  <c r="N170" i="11"/>
  <c r="N171" i="11"/>
  <c r="N116" i="11"/>
  <c r="N117" i="11"/>
  <c r="N118" i="11"/>
  <c r="N100" i="11"/>
  <c r="T169" i="10"/>
  <c r="T170" i="10"/>
  <c r="T171" i="10"/>
  <c r="T116" i="10"/>
  <c r="T117" i="10"/>
  <c r="T118" i="10"/>
  <c r="T100" i="10"/>
  <c r="V170" i="9"/>
  <c r="V171" i="9"/>
  <c r="V116" i="9"/>
  <c r="V117" i="9"/>
  <c r="V118" i="9"/>
  <c r="V100" i="9"/>
  <c r="E170" i="1" l="1"/>
  <c r="E117" i="1"/>
  <c r="E116" i="1"/>
  <c r="E100" i="1"/>
  <c r="E118" i="1"/>
  <c r="E171" i="1"/>
  <c r="V188" i="16"/>
  <c r="V190" i="16" s="1"/>
  <c r="U188" i="16"/>
  <c r="U190" i="16" s="1"/>
  <c r="X188" i="16"/>
  <c r="X190" i="16" s="1"/>
  <c r="W188" i="16"/>
  <c r="W190" i="16" s="1"/>
  <c r="T188" i="16"/>
  <c r="T190" i="16" s="1"/>
  <c r="S188" i="16"/>
  <c r="S190" i="16" s="1"/>
  <c r="X41" i="16"/>
  <c r="W41" i="16"/>
  <c r="V41" i="16"/>
  <c r="U41" i="16"/>
  <c r="T41" i="16"/>
  <c r="S41" i="16"/>
  <c r="X36" i="16"/>
  <c r="W36" i="16"/>
  <c r="V36" i="16"/>
  <c r="U36" i="16"/>
  <c r="T36" i="16"/>
  <c r="S36" i="16"/>
  <c r="X29" i="16"/>
  <c r="W29" i="16"/>
  <c r="V29" i="16"/>
  <c r="U29" i="16"/>
  <c r="T29" i="16"/>
  <c r="S29" i="16"/>
  <c r="X28" i="16"/>
  <c r="W28" i="16"/>
  <c r="V28" i="16"/>
  <c r="U28" i="16"/>
  <c r="T28" i="16"/>
  <c r="S28" i="16"/>
  <c r="X27" i="16"/>
  <c r="W27" i="16"/>
  <c r="V27" i="16"/>
  <c r="U27" i="16"/>
  <c r="T27" i="16"/>
  <c r="S27" i="16"/>
  <c r="X24" i="16"/>
  <c r="W24" i="16"/>
  <c r="V24" i="16"/>
  <c r="U24" i="16"/>
  <c r="T24" i="16"/>
  <c r="S24" i="16"/>
  <c r="X21" i="16"/>
  <c r="W21" i="16"/>
  <c r="V21" i="16"/>
  <c r="U21" i="16"/>
  <c r="T21" i="16"/>
  <c r="S21" i="16"/>
  <c r="X16" i="16"/>
  <c r="W16" i="16"/>
  <c r="V16" i="16"/>
  <c r="U16" i="16"/>
  <c r="T16" i="16"/>
  <c r="S16" i="16"/>
  <c r="R188" i="10"/>
  <c r="R190" i="10" s="1"/>
  <c r="P188" i="10"/>
  <c r="P190" i="10" s="1"/>
  <c r="R41" i="10"/>
  <c r="P41" i="10"/>
  <c r="R36" i="10"/>
  <c r="P36" i="10"/>
  <c r="R29" i="10"/>
  <c r="P29" i="10"/>
  <c r="R28" i="10"/>
  <c r="P28" i="10"/>
  <c r="R27" i="10"/>
  <c r="P27" i="10"/>
  <c r="R24" i="10"/>
  <c r="P24" i="10"/>
  <c r="R21" i="10"/>
  <c r="P21" i="10"/>
  <c r="R16" i="10"/>
  <c r="P16" i="10"/>
  <c r="K41" i="10"/>
  <c r="J41" i="10"/>
  <c r="I41" i="10"/>
  <c r="H41" i="10"/>
  <c r="G41" i="10"/>
  <c r="F41" i="10"/>
  <c r="K36" i="10"/>
  <c r="J36" i="10"/>
  <c r="I36" i="10"/>
  <c r="H36" i="10"/>
  <c r="G36" i="10"/>
  <c r="F36" i="10"/>
  <c r="K29" i="10"/>
  <c r="J29" i="10"/>
  <c r="I29" i="10"/>
  <c r="H29" i="10"/>
  <c r="G29" i="10"/>
  <c r="F29" i="10"/>
  <c r="K28" i="10"/>
  <c r="J28" i="10"/>
  <c r="I28" i="10"/>
  <c r="H28" i="10"/>
  <c r="G28" i="10"/>
  <c r="F28" i="10"/>
  <c r="K27" i="10"/>
  <c r="J27" i="10"/>
  <c r="I27" i="10"/>
  <c r="H27" i="10"/>
  <c r="G27" i="10"/>
  <c r="F27" i="10"/>
  <c r="K24" i="10"/>
  <c r="J24" i="10"/>
  <c r="I24" i="10"/>
  <c r="H24" i="10"/>
  <c r="G24" i="10"/>
  <c r="F24" i="10"/>
  <c r="K21" i="10"/>
  <c r="J21" i="10"/>
  <c r="I21" i="10"/>
  <c r="H21" i="10"/>
  <c r="G21" i="10"/>
  <c r="F21" i="10"/>
  <c r="K16" i="10"/>
  <c r="J16" i="10"/>
  <c r="I16" i="10"/>
  <c r="H16" i="10"/>
  <c r="G16" i="10"/>
  <c r="F16" i="10"/>
  <c r="P188" i="9"/>
  <c r="P190" i="9" s="1"/>
  <c r="U188" i="9"/>
  <c r="U190" i="9" s="1"/>
  <c r="T188" i="9"/>
  <c r="T190" i="9" s="1"/>
  <c r="U41" i="9"/>
  <c r="T41" i="9"/>
  <c r="S41" i="9"/>
  <c r="R41" i="9"/>
  <c r="Q41" i="9"/>
  <c r="P41" i="9"/>
  <c r="U36" i="9"/>
  <c r="T36" i="9"/>
  <c r="S36" i="9"/>
  <c r="R36" i="9"/>
  <c r="Q36" i="9"/>
  <c r="P36" i="9"/>
  <c r="U29" i="9"/>
  <c r="T29" i="9"/>
  <c r="S29" i="9"/>
  <c r="R29" i="9"/>
  <c r="Q29" i="9"/>
  <c r="P29" i="9"/>
  <c r="U28" i="9"/>
  <c r="T28" i="9"/>
  <c r="S28" i="9"/>
  <c r="R28" i="9"/>
  <c r="Q28" i="9"/>
  <c r="P28" i="9"/>
  <c r="U27" i="9"/>
  <c r="T27" i="9"/>
  <c r="S27" i="9"/>
  <c r="R27" i="9"/>
  <c r="Q27" i="9"/>
  <c r="P27" i="9"/>
  <c r="U24" i="9"/>
  <c r="T24" i="9"/>
  <c r="S24" i="9"/>
  <c r="R24" i="9"/>
  <c r="Q24" i="9"/>
  <c r="P24" i="9"/>
  <c r="U21" i="9"/>
  <c r="T21" i="9"/>
  <c r="S21" i="9"/>
  <c r="R21" i="9"/>
  <c r="Q21" i="9"/>
  <c r="P21" i="9"/>
  <c r="U16" i="9"/>
  <c r="T16" i="9"/>
  <c r="S16" i="9"/>
  <c r="R16" i="9"/>
  <c r="Q16" i="9"/>
  <c r="P16" i="9"/>
  <c r="N41" i="9"/>
  <c r="M41" i="9"/>
  <c r="L41" i="9"/>
  <c r="K41" i="9"/>
  <c r="J41" i="9"/>
  <c r="I41" i="9"/>
  <c r="H41" i="9"/>
  <c r="G41" i="9"/>
  <c r="F41" i="9"/>
  <c r="N36" i="9"/>
  <c r="M36" i="9"/>
  <c r="L36" i="9"/>
  <c r="K36" i="9"/>
  <c r="J36" i="9"/>
  <c r="I36" i="9"/>
  <c r="H36" i="9"/>
  <c r="G36" i="9"/>
  <c r="F36" i="9"/>
  <c r="N29" i="9"/>
  <c r="M29" i="9"/>
  <c r="L29" i="9"/>
  <c r="K29" i="9"/>
  <c r="J29" i="9"/>
  <c r="I29" i="9"/>
  <c r="H29" i="9"/>
  <c r="G29" i="9"/>
  <c r="F29" i="9"/>
  <c r="N28" i="9"/>
  <c r="M28" i="9"/>
  <c r="L28" i="9"/>
  <c r="K28" i="9"/>
  <c r="J28" i="9"/>
  <c r="I28" i="9"/>
  <c r="H28" i="9"/>
  <c r="G28" i="9"/>
  <c r="F28" i="9"/>
  <c r="N27" i="9"/>
  <c r="M27" i="9"/>
  <c r="L27" i="9"/>
  <c r="K27" i="9"/>
  <c r="J27" i="9"/>
  <c r="I27" i="9"/>
  <c r="H27" i="9"/>
  <c r="G27" i="9"/>
  <c r="F27" i="9"/>
  <c r="N24" i="9"/>
  <c r="M24" i="9"/>
  <c r="L24" i="9"/>
  <c r="K24" i="9"/>
  <c r="J24" i="9"/>
  <c r="I24" i="9"/>
  <c r="H24" i="9"/>
  <c r="G24" i="9"/>
  <c r="F24" i="9"/>
  <c r="N21" i="9"/>
  <c r="M21" i="9"/>
  <c r="L21" i="9"/>
  <c r="K21" i="9"/>
  <c r="J21" i="9"/>
  <c r="I21" i="9"/>
  <c r="H21" i="9"/>
  <c r="G21" i="9"/>
  <c r="F21" i="9"/>
  <c r="N16" i="9"/>
  <c r="M16" i="9"/>
  <c r="L16" i="9"/>
  <c r="K16" i="9"/>
  <c r="J16" i="9"/>
  <c r="I16" i="9"/>
  <c r="H16" i="9"/>
  <c r="G16" i="9"/>
  <c r="F16" i="9"/>
  <c r="T30" i="16" l="1"/>
  <c r="G30" i="10"/>
  <c r="F30" i="10"/>
  <c r="S30" i="16"/>
  <c r="M30" i="9"/>
  <c r="N30" i="9"/>
  <c r="K30" i="9"/>
  <c r="L30" i="9"/>
  <c r="U30" i="16"/>
  <c r="V30" i="16"/>
  <c r="W30" i="16"/>
  <c r="X30" i="16"/>
  <c r="H30" i="10"/>
  <c r="I30" i="10"/>
  <c r="J30" i="10"/>
  <c r="K30" i="10"/>
  <c r="P30" i="10"/>
  <c r="R30" i="10"/>
  <c r="F188" i="10"/>
  <c r="F190" i="10" s="1"/>
  <c r="G188" i="10"/>
  <c r="G190" i="10" s="1"/>
  <c r="I188" i="10"/>
  <c r="I190" i="10" s="1"/>
  <c r="J188" i="10"/>
  <c r="J190" i="10" s="1"/>
  <c r="H188" i="10"/>
  <c r="H190" i="10" s="1"/>
  <c r="K188" i="10"/>
  <c r="K190" i="10" s="1"/>
  <c r="P30" i="9"/>
  <c r="T30" i="9"/>
  <c r="R30" i="9"/>
  <c r="S30" i="9"/>
  <c r="G30" i="9"/>
  <c r="U30" i="9"/>
  <c r="I30" i="9"/>
  <c r="R188" i="9"/>
  <c r="R190" i="9" s="1"/>
  <c r="Q30" i="9"/>
  <c r="F30" i="9"/>
  <c r="H30" i="9"/>
  <c r="S188" i="9"/>
  <c r="S190" i="9" s="1"/>
  <c r="Q188" i="9"/>
  <c r="Q190" i="9" s="1"/>
  <c r="F188" i="9"/>
  <c r="F190" i="9" s="1"/>
  <c r="G188" i="9"/>
  <c r="G190" i="9" s="1"/>
  <c r="H188" i="9"/>
  <c r="H190" i="9" s="1"/>
  <c r="J188" i="9"/>
  <c r="J190" i="9" s="1"/>
  <c r="J30" i="9"/>
  <c r="K188" i="9"/>
  <c r="K190" i="9" s="1"/>
  <c r="L188" i="9"/>
  <c r="L190" i="9" s="1"/>
  <c r="N188" i="9"/>
  <c r="N190" i="9" s="1"/>
  <c r="M188" i="9"/>
  <c r="M190" i="9" s="1"/>
  <c r="I188" i="9"/>
  <c r="I190" i="9" s="1"/>
  <c r="AI188" i="20"/>
  <c r="AI190" i="20" s="1"/>
  <c r="AH188" i="20"/>
  <c r="AH190" i="20" s="1"/>
  <c r="AI41" i="20"/>
  <c r="AH41" i="20"/>
  <c r="AI36" i="20"/>
  <c r="AH36" i="20"/>
  <c r="AI29" i="20"/>
  <c r="AH29" i="20"/>
  <c r="AI28" i="20"/>
  <c r="AH28" i="20"/>
  <c r="AI27" i="20"/>
  <c r="AH27" i="20"/>
  <c r="AI24" i="20"/>
  <c r="AH24" i="20"/>
  <c r="AI21" i="20"/>
  <c r="AH21" i="20"/>
  <c r="AI16" i="20"/>
  <c r="AH16" i="20"/>
  <c r="AM189" i="20"/>
  <c r="AM184" i="20"/>
  <c r="AM183" i="20"/>
  <c r="AM180" i="20"/>
  <c r="AM179" i="20"/>
  <c r="AM178" i="20"/>
  <c r="AM177" i="20"/>
  <c r="AM176" i="20"/>
  <c r="AM175" i="20"/>
  <c r="AM174" i="20"/>
  <c r="AM167" i="20"/>
  <c r="AM166" i="20"/>
  <c r="AM165" i="20"/>
  <c r="AM161" i="20"/>
  <c r="AM160" i="20"/>
  <c r="AM157" i="20"/>
  <c r="AM156" i="20"/>
  <c r="AM155" i="20"/>
  <c r="AM154" i="20"/>
  <c r="AM153" i="20"/>
  <c r="AM152" i="20"/>
  <c r="AM151" i="20"/>
  <c r="AM148" i="20"/>
  <c r="AM147" i="20"/>
  <c r="AM146" i="20"/>
  <c r="AM145" i="20"/>
  <c r="AM144" i="20"/>
  <c r="AM143" i="20"/>
  <c r="AM142" i="20"/>
  <c r="AM139" i="20"/>
  <c r="AM138" i="20"/>
  <c r="AM137" i="20"/>
  <c r="AM136" i="20"/>
  <c r="AM135" i="20"/>
  <c r="AM134" i="20"/>
  <c r="AM133" i="20"/>
  <c r="AM140" i="20" s="1"/>
  <c r="AM130" i="20"/>
  <c r="AM124" i="20"/>
  <c r="AM123" i="20"/>
  <c r="AM122" i="20"/>
  <c r="AM121" i="20"/>
  <c r="AM114" i="20"/>
  <c r="AM113" i="20"/>
  <c r="AM112" i="20"/>
  <c r="AM109" i="20"/>
  <c r="AM108" i="20"/>
  <c r="AM107" i="20"/>
  <c r="AM106" i="20"/>
  <c r="AM105" i="20"/>
  <c r="AM104" i="20"/>
  <c r="AM103" i="20"/>
  <c r="AM96" i="20"/>
  <c r="AM95" i="20"/>
  <c r="AM94" i="20"/>
  <c r="AM91" i="20"/>
  <c r="AM90" i="20"/>
  <c r="AM87" i="20"/>
  <c r="AM86" i="20"/>
  <c r="AM85" i="20"/>
  <c r="AM84" i="20"/>
  <c r="AM83" i="20"/>
  <c r="AM82" i="20"/>
  <c r="AM81" i="20"/>
  <c r="AM78" i="20"/>
  <c r="AM77" i="20"/>
  <c r="AM76" i="20"/>
  <c r="AM75" i="20"/>
  <c r="AM74" i="20"/>
  <c r="AM73" i="20"/>
  <c r="AM72" i="20"/>
  <c r="AM69" i="20"/>
  <c r="AM68" i="20"/>
  <c r="AM67" i="20"/>
  <c r="AM66" i="20"/>
  <c r="AM65" i="20"/>
  <c r="AM64" i="20"/>
  <c r="AM63" i="20"/>
  <c r="AM60" i="20"/>
  <c r="AM59" i="20"/>
  <c r="AM58" i="20"/>
  <c r="AM57" i="20"/>
  <c r="AM56" i="20"/>
  <c r="AM55" i="20"/>
  <c r="AM54" i="20"/>
  <c r="Y188" i="20"/>
  <c r="Y190" i="20" s="1"/>
  <c r="AM51" i="20"/>
  <c r="AM50" i="20"/>
  <c r="AM49" i="20"/>
  <c r="AM48" i="20"/>
  <c r="AM47" i="20"/>
  <c r="AM46" i="20"/>
  <c r="AM45" i="20"/>
  <c r="AL41" i="20"/>
  <c r="AK41" i="20"/>
  <c r="AJ41" i="20"/>
  <c r="AG41" i="20"/>
  <c r="AF41" i="20"/>
  <c r="Y41" i="20"/>
  <c r="X41" i="20"/>
  <c r="W41" i="20"/>
  <c r="V41" i="20"/>
  <c r="U41" i="20"/>
  <c r="T41" i="20"/>
  <c r="S41" i="20"/>
  <c r="E41" i="20"/>
  <c r="AM40" i="20"/>
  <c r="AM39" i="20"/>
  <c r="AL36" i="20"/>
  <c r="AK36" i="20"/>
  <c r="AJ36" i="20"/>
  <c r="AG36" i="20"/>
  <c r="AF36" i="20"/>
  <c r="Y36" i="20"/>
  <c r="X36" i="20"/>
  <c r="W36" i="20"/>
  <c r="V36" i="20"/>
  <c r="U36" i="20"/>
  <c r="T36" i="20"/>
  <c r="S36" i="20"/>
  <c r="E36" i="20"/>
  <c r="AM35" i="20"/>
  <c r="AM34" i="20"/>
  <c r="AM33" i="20"/>
  <c r="AL29" i="20"/>
  <c r="AK29" i="20"/>
  <c r="AJ29" i="20"/>
  <c r="AG29" i="20"/>
  <c r="AF29" i="20"/>
  <c r="Y29" i="20"/>
  <c r="X29" i="20"/>
  <c r="W29" i="20"/>
  <c r="V29" i="20"/>
  <c r="U29" i="20"/>
  <c r="T29" i="20"/>
  <c r="S29" i="20"/>
  <c r="E29" i="20"/>
  <c r="AL28" i="20"/>
  <c r="AK28" i="20"/>
  <c r="AJ28" i="20"/>
  <c r="AG28" i="20"/>
  <c r="AF28" i="20"/>
  <c r="Y28" i="20"/>
  <c r="X28" i="20"/>
  <c r="W28" i="20"/>
  <c r="V28" i="20"/>
  <c r="U28" i="20"/>
  <c r="T28" i="20"/>
  <c r="S28" i="20"/>
  <c r="E28" i="20"/>
  <c r="AL27" i="20"/>
  <c r="AK27" i="20"/>
  <c r="AJ27" i="20"/>
  <c r="AG27" i="20"/>
  <c r="AF27" i="20"/>
  <c r="Y27" i="20"/>
  <c r="X27" i="20"/>
  <c r="W27" i="20"/>
  <c r="V27" i="20"/>
  <c r="U27" i="20"/>
  <c r="T27" i="20"/>
  <c r="S27" i="20"/>
  <c r="E27" i="20"/>
  <c r="AM26" i="20"/>
  <c r="AM25" i="20"/>
  <c r="AL24" i="20"/>
  <c r="AK24" i="20"/>
  <c r="AJ24" i="20"/>
  <c r="AG24" i="20"/>
  <c r="AF24" i="20"/>
  <c r="Y24" i="20"/>
  <c r="X24" i="20"/>
  <c r="W24" i="20"/>
  <c r="V24" i="20"/>
  <c r="U24" i="20"/>
  <c r="T24" i="20"/>
  <c r="S24" i="20"/>
  <c r="E24" i="20"/>
  <c r="AM23" i="20"/>
  <c r="AM22" i="20"/>
  <c r="AL21" i="20"/>
  <c r="AK21" i="20"/>
  <c r="AJ21" i="20"/>
  <c r="AG21" i="20"/>
  <c r="AF21" i="20"/>
  <c r="Y21" i="20"/>
  <c r="X21" i="20"/>
  <c r="W21" i="20"/>
  <c r="V21" i="20"/>
  <c r="U21" i="20"/>
  <c r="T21" i="20"/>
  <c r="S21" i="20"/>
  <c r="E21" i="20"/>
  <c r="AM20" i="20"/>
  <c r="AM19" i="20"/>
  <c r="AL16" i="20"/>
  <c r="AK16" i="20"/>
  <c r="AJ16" i="20"/>
  <c r="AG16" i="20"/>
  <c r="AF16" i="20"/>
  <c r="Y16" i="20"/>
  <c r="X16" i="20"/>
  <c r="W16" i="20"/>
  <c r="V16" i="20"/>
  <c r="U16" i="20"/>
  <c r="T16" i="20"/>
  <c r="S16" i="20"/>
  <c r="E16" i="20"/>
  <c r="AM15" i="20"/>
  <c r="AM14" i="20"/>
  <c r="Y189" i="19"/>
  <c r="Y184" i="19"/>
  <c r="Y183" i="19"/>
  <c r="Y180" i="19"/>
  <c r="Y179" i="19"/>
  <c r="Y178" i="19"/>
  <c r="Y177" i="19"/>
  <c r="Y176" i="19"/>
  <c r="Y175" i="19"/>
  <c r="Y174" i="19"/>
  <c r="Y167" i="19"/>
  <c r="Y166" i="19"/>
  <c r="Y165" i="19"/>
  <c r="Y162" i="19"/>
  <c r="Y161" i="19"/>
  <c r="Y160" i="19"/>
  <c r="Y157" i="19"/>
  <c r="Y156" i="19"/>
  <c r="Y155" i="19"/>
  <c r="Y154" i="19"/>
  <c r="Y153" i="19"/>
  <c r="Y152" i="19"/>
  <c r="Y151" i="19"/>
  <c r="Y148" i="19"/>
  <c r="Y147" i="19"/>
  <c r="Y146" i="19"/>
  <c r="Y145" i="19"/>
  <c r="Y144" i="19"/>
  <c r="Y143" i="19"/>
  <c r="Y142" i="19"/>
  <c r="Y139" i="19"/>
  <c r="Y138" i="19"/>
  <c r="Y137" i="19"/>
  <c r="Y136" i="19"/>
  <c r="Y135" i="19"/>
  <c r="Y134" i="19"/>
  <c r="Y133" i="19"/>
  <c r="Y130" i="19"/>
  <c r="Y126" i="19"/>
  <c r="Y124" i="19"/>
  <c r="Y123" i="19"/>
  <c r="Y122" i="19"/>
  <c r="Y121" i="19"/>
  <c r="Y114" i="19"/>
  <c r="Y113" i="19"/>
  <c r="Y112" i="19"/>
  <c r="Y109" i="19"/>
  <c r="Y108" i="19"/>
  <c r="Y107" i="19"/>
  <c r="Y106" i="19"/>
  <c r="Y105" i="19"/>
  <c r="Y104" i="19"/>
  <c r="Y103" i="19"/>
  <c r="Y96" i="19"/>
  <c r="Y95" i="19"/>
  <c r="Y94" i="19"/>
  <c r="Y91" i="19"/>
  <c r="Y90" i="19"/>
  <c r="Y87" i="19"/>
  <c r="Y86" i="19"/>
  <c r="Y85" i="19"/>
  <c r="Y84" i="19"/>
  <c r="Y83" i="19"/>
  <c r="Y82" i="19"/>
  <c r="Y81" i="19"/>
  <c r="Y78" i="19"/>
  <c r="Y77" i="19"/>
  <c r="Y76" i="19"/>
  <c r="Y75" i="19"/>
  <c r="Y74" i="19"/>
  <c r="Y73" i="19"/>
  <c r="Y72" i="19"/>
  <c r="Y69" i="19"/>
  <c r="Y68" i="19"/>
  <c r="Y67" i="19"/>
  <c r="Y66" i="19"/>
  <c r="Y65" i="19"/>
  <c r="Y64" i="19"/>
  <c r="Y63" i="19"/>
  <c r="Y60" i="19"/>
  <c r="Y59" i="19"/>
  <c r="Y58" i="19"/>
  <c r="Y57" i="19"/>
  <c r="Y56" i="19"/>
  <c r="Y55" i="19"/>
  <c r="Y54" i="19"/>
  <c r="Y51" i="19"/>
  <c r="Y50" i="19"/>
  <c r="Y49" i="19"/>
  <c r="Y48" i="19"/>
  <c r="Y47" i="19"/>
  <c r="Y46" i="19"/>
  <c r="Y45" i="19"/>
  <c r="X41" i="19"/>
  <c r="W41" i="19"/>
  <c r="V41" i="19"/>
  <c r="U41" i="19"/>
  <c r="T41" i="19"/>
  <c r="E41" i="19"/>
  <c r="Y40" i="19"/>
  <c r="Y39" i="19"/>
  <c r="X36" i="19"/>
  <c r="W36" i="19"/>
  <c r="V36" i="19"/>
  <c r="U36" i="19"/>
  <c r="T36" i="19"/>
  <c r="E36" i="19"/>
  <c r="Y35" i="19"/>
  <c r="Y34" i="19"/>
  <c r="Y33" i="19"/>
  <c r="X29" i="19"/>
  <c r="W29" i="19"/>
  <c r="V29" i="19"/>
  <c r="U29" i="19"/>
  <c r="T29" i="19"/>
  <c r="E29" i="19"/>
  <c r="X28" i="19"/>
  <c r="W28" i="19"/>
  <c r="V28" i="19"/>
  <c r="U28" i="19"/>
  <c r="T28" i="19"/>
  <c r="E28" i="19"/>
  <c r="X27" i="19"/>
  <c r="W27" i="19"/>
  <c r="V27" i="19"/>
  <c r="U27" i="19"/>
  <c r="T27" i="19"/>
  <c r="E27" i="19"/>
  <c r="Y26" i="19"/>
  <c r="Y25" i="19"/>
  <c r="X24" i="19"/>
  <c r="W24" i="19"/>
  <c r="V24" i="19"/>
  <c r="U24" i="19"/>
  <c r="T24" i="19"/>
  <c r="E24" i="19"/>
  <c r="Y23" i="19"/>
  <c r="Y22" i="19"/>
  <c r="X21" i="19"/>
  <c r="W21" i="19"/>
  <c r="V21" i="19"/>
  <c r="U21" i="19"/>
  <c r="T21" i="19"/>
  <c r="E21" i="19"/>
  <c r="Y20" i="19"/>
  <c r="Y19" i="19"/>
  <c r="X16" i="19"/>
  <c r="W16" i="19"/>
  <c r="V16" i="19"/>
  <c r="U16" i="19"/>
  <c r="T16" i="19"/>
  <c r="E16" i="19"/>
  <c r="Y15" i="19"/>
  <c r="Y14" i="19"/>
  <c r="S189" i="18"/>
  <c r="S184" i="18"/>
  <c r="S183" i="18"/>
  <c r="S180" i="18"/>
  <c r="S179" i="18"/>
  <c r="S178" i="18"/>
  <c r="S177" i="18"/>
  <c r="S176" i="18"/>
  <c r="S175" i="18"/>
  <c r="S174" i="18"/>
  <c r="S168" i="18"/>
  <c r="S167" i="18"/>
  <c r="S166" i="18"/>
  <c r="S165" i="18"/>
  <c r="S162" i="18"/>
  <c r="S161" i="18"/>
  <c r="S160" i="18"/>
  <c r="S157" i="18"/>
  <c r="S156" i="18"/>
  <c r="S155" i="18"/>
  <c r="S154" i="18"/>
  <c r="S153" i="18"/>
  <c r="S152" i="18"/>
  <c r="S151" i="18"/>
  <c r="S148" i="18"/>
  <c r="S147" i="18"/>
  <c r="S146" i="18"/>
  <c r="S145" i="18"/>
  <c r="S144" i="18"/>
  <c r="S143" i="18"/>
  <c r="S142" i="18"/>
  <c r="S139" i="18"/>
  <c r="S138" i="18"/>
  <c r="S137" i="18"/>
  <c r="S136" i="18"/>
  <c r="S135" i="18"/>
  <c r="S134" i="18"/>
  <c r="S133" i="18"/>
  <c r="S130" i="18"/>
  <c r="S127" i="18"/>
  <c r="S126" i="18"/>
  <c r="S124" i="18"/>
  <c r="S123" i="18"/>
  <c r="S122" i="18"/>
  <c r="S121" i="18"/>
  <c r="S113" i="18"/>
  <c r="S112" i="18"/>
  <c r="S109" i="18"/>
  <c r="S108" i="18"/>
  <c r="S107" i="18"/>
  <c r="S106" i="18"/>
  <c r="S105" i="18"/>
  <c r="S104" i="18"/>
  <c r="S103" i="18"/>
  <c r="S98" i="18"/>
  <c r="S97" i="18"/>
  <c r="S96" i="18"/>
  <c r="S95" i="18"/>
  <c r="S94" i="18"/>
  <c r="S91" i="18"/>
  <c r="S90" i="18"/>
  <c r="S87" i="18"/>
  <c r="S86" i="18"/>
  <c r="S85" i="18"/>
  <c r="S84" i="18"/>
  <c r="S83" i="18"/>
  <c r="S82" i="18"/>
  <c r="S81" i="18"/>
  <c r="S78" i="18"/>
  <c r="S77" i="18"/>
  <c r="S76" i="18"/>
  <c r="S75" i="18"/>
  <c r="S74" i="18"/>
  <c r="S73" i="18"/>
  <c r="S72" i="18"/>
  <c r="S69" i="18"/>
  <c r="S68" i="18"/>
  <c r="S67" i="18"/>
  <c r="S66" i="18"/>
  <c r="S65" i="18"/>
  <c r="S64" i="18"/>
  <c r="S63" i="18"/>
  <c r="S60" i="18"/>
  <c r="S59" i="18"/>
  <c r="S58" i="18"/>
  <c r="S57" i="18"/>
  <c r="S56" i="18"/>
  <c r="S55" i="18"/>
  <c r="S54" i="18"/>
  <c r="S51" i="18"/>
  <c r="S50" i="18"/>
  <c r="S49" i="18"/>
  <c r="S48" i="18"/>
  <c r="S47" i="18"/>
  <c r="S46" i="18"/>
  <c r="S45" i="18"/>
  <c r="R41" i="18"/>
  <c r="Q41" i="18"/>
  <c r="M41" i="18"/>
  <c r="L41" i="18"/>
  <c r="K41" i="18"/>
  <c r="J41" i="18"/>
  <c r="I41" i="18"/>
  <c r="H41" i="18"/>
  <c r="G41" i="18"/>
  <c r="F41" i="18"/>
  <c r="E41" i="18"/>
  <c r="S40" i="18"/>
  <c r="S39" i="18"/>
  <c r="R36" i="18"/>
  <c r="Q36" i="18"/>
  <c r="M36" i="18"/>
  <c r="L36" i="18"/>
  <c r="K36" i="18"/>
  <c r="J36" i="18"/>
  <c r="I36" i="18"/>
  <c r="H36" i="18"/>
  <c r="G36" i="18"/>
  <c r="F36" i="18"/>
  <c r="E36" i="18"/>
  <c r="S35" i="18"/>
  <c r="S34" i="18"/>
  <c r="S33" i="18"/>
  <c r="R29" i="18"/>
  <c r="Q29" i="18"/>
  <c r="M29" i="18"/>
  <c r="L29" i="18"/>
  <c r="K29" i="18"/>
  <c r="J29" i="18"/>
  <c r="I29" i="18"/>
  <c r="H29" i="18"/>
  <c r="G29" i="18"/>
  <c r="F29" i="18"/>
  <c r="E29" i="18"/>
  <c r="R28" i="18"/>
  <c r="Q28" i="18"/>
  <c r="M28" i="18"/>
  <c r="L28" i="18"/>
  <c r="K28" i="18"/>
  <c r="J28" i="18"/>
  <c r="I28" i="18"/>
  <c r="H28" i="18"/>
  <c r="G28" i="18"/>
  <c r="F28" i="18"/>
  <c r="E28" i="18"/>
  <c r="R27" i="18"/>
  <c r="Q27" i="18"/>
  <c r="M27" i="18"/>
  <c r="L27" i="18"/>
  <c r="K27" i="18"/>
  <c r="J27" i="18"/>
  <c r="I27" i="18"/>
  <c r="H27" i="18"/>
  <c r="G27" i="18"/>
  <c r="F27" i="18"/>
  <c r="E27" i="18"/>
  <c r="S26" i="18"/>
  <c r="S25" i="18"/>
  <c r="R24" i="18"/>
  <c r="Q24" i="18"/>
  <c r="M24" i="18"/>
  <c r="L24" i="18"/>
  <c r="K24" i="18"/>
  <c r="J24" i="18"/>
  <c r="I24" i="18"/>
  <c r="H24" i="18"/>
  <c r="G24" i="18"/>
  <c r="F24" i="18"/>
  <c r="E24" i="18"/>
  <c r="S23" i="18"/>
  <c r="S22" i="18"/>
  <c r="R21" i="18"/>
  <c r="Q21" i="18"/>
  <c r="M21" i="18"/>
  <c r="L21" i="18"/>
  <c r="K21" i="18"/>
  <c r="J21" i="18"/>
  <c r="I21" i="18"/>
  <c r="H21" i="18"/>
  <c r="G21" i="18"/>
  <c r="F21" i="18"/>
  <c r="E21" i="18"/>
  <c r="S20" i="18"/>
  <c r="S19" i="18"/>
  <c r="R16" i="18"/>
  <c r="Q16" i="18"/>
  <c r="M16" i="18"/>
  <c r="L16" i="18"/>
  <c r="K16" i="18"/>
  <c r="J16" i="18"/>
  <c r="I16" i="18"/>
  <c r="H16" i="18"/>
  <c r="G16" i="18"/>
  <c r="F16" i="18"/>
  <c r="E16" i="18"/>
  <c r="S15" i="18"/>
  <c r="S14" i="18"/>
  <c r="S189" i="17"/>
  <c r="S184" i="17"/>
  <c r="S183" i="17"/>
  <c r="S180" i="17"/>
  <c r="S179" i="17"/>
  <c r="S178" i="17"/>
  <c r="S177" i="17"/>
  <c r="S176" i="17"/>
  <c r="S175" i="17"/>
  <c r="S174" i="17"/>
  <c r="S168" i="17"/>
  <c r="S167" i="17"/>
  <c r="S166" i="17"/>
  <c r="S165" i="17"/>
  <c r="S162" i="17"/>
  <c r="S161" i="17"/>
  <c r="S160" i="17"/>
  <c r="S157" i="17"/>
  <c r="S156" i="17"/>
  <c r="S155" i="17"/>
  <c r="S154" i="17"/>
  <c r="S153" i="17"/>
  <c r="S152" i="17"/>
  <c r="S151" i="17"/>
  <c r="S148" i="17"/>
  <c r="S147" i="17"/>
  <c r="S146" i="17"/>
  <c r="S145" i="17"/>
  <c r="S144" i="17"/>
  <c r="S143" i="17"/>
  <c r="S142" i="17"/>
  <c r="S139" i="17"/>
  <c r="S138" i="17"/>
  <c r="S137" i="17"/>
  <c r="S136" i="17"/>
  <c r="S135" i="17"/>
  <c r="S134" i="17"/>
  <c r="S133" i="17"/>
  <c r="S130" i="17"/>
  <c r="S126" i="17"/>
  <c r="S124" i="17"/>
  <c r="S123" i="17"/>
  <c r="S122" i="17"/>
  <c r="S121" i="17"/>
  <c r="S114" i="17"/>
  <c r="S113" i="17"/>
  <c r="S112" i="17"/>
  <c r="S109" i="17"/>
  <c r="S108" i="17"/>
  <c r="S107" i="17"/>
  <c r="S106" i="17"/>
  <c r="S105" i="17"/>
  <c r="S104" i="17"/>
  <c r="S103" i="17"/>
  <c r="S98" i="17"/>
  <c r="S97" i="17"/>
  <c r="S96" i="17"/>
  <c r="S95" i="17"/>
  <c r="S94" i="17"/>
  <c r="S91" i="17"/>
  <c r="S90" i="17"/>
  <c r="S87" i="17"/>
  <c r="S86" i="17"/>
  <c r="S85" i="17"/>
  <c r="S84" i="17"/>
  <c r="S83" i="17"/>
  <c r="S82" i="17"/>
  <c r="S81" i="17"/>
  <c r="S78" i="17"/>
  <c r="S77" i="17"/>
  <c r="S76" i="17"/>
  <c r="S75" i="17"/>
  <c r="S74" i="17"/>
  <c r="S73" i="17"/>
  <c r="S72" i="17"/>
  <c r="S69" i="17"/>
  <c r="S68" i="17"/>
  <c r="S67" i="17"/>
  <c r="S66" i="17"/>
  <c r="S65" i="17"/>
  <c r="S64" i="17"/>
  <c r="S63" i="17"/>
  <c r="S60" i="17"/>
  <c r="S59" i="17"/>
  <c r="S58" i="17"/>
  <c r="S57" i="17"/>
  <c r="S56" i="17"/>
  <c r="S55" i="17"/>
  <c r="S54" i="17"/>
  <c r="S51" i="17"/>
  <c r="S50" i="17"/>
  <c r="S49" i="17"/>
  <c r="S48" i="17"/>
  <c r="S47" i="17"/>
  <c r="S46" i="17"/>
  <c r="S45" i="17"/>
  <c r="R41" i="17"/>
  <c r="Q41" i="17"/>
  <c r="M41" i="17"/>
  <c r="L41" i="17"/>
  <c r="K41" i="17"/>
  <c r="J41" i="17"/>
  <c r="I41" i="17"/>
  <c r="H41" i="17"/>
  <c r="G41" i="17"/>
  <c r="F41" i="17"/>
  <c r="E41" i="17"/>
  <c r="S40" i="17"/>
  <c r="S39" i="17"/>
  <c r="R36" i="17"/>
  <c r="Q36" i="17"/>
  <c r="M36" i="17"/>
  <c r="L36" i="17"/>
  <c r="K36" i="17"/>
  <c r="J36" i="17"/>
  <c r="I36" i="17"/>
  <c r="H36" i="17"/>
  <c r="G36" i="17"/>
  <c r="F36" i="17"/>
  <c r="E36" i="17"/>
  <c r="R29" i="17"/>
  <c r="Q29" i="17"/>
  <c r="M29" i="17"/>
  <c r="L29" i="17"/>
  <c r="K29" i="17"/>
  <c r="J29" i="17"/>
  <c r="I29" i="17"/>
  <c r="H29" i="17"/>
  <c r="G29" i="17"/>
  <c r="F29" i="17"/>
  <c r="E29" i="17"/>
  <c r="R28" i="17"/>
  <c r="Q28" i="17"/>
  <c r="M28" i="17"/>
  <c r="L28" i="17"/>
  <c r="K28" i="17"/>
  <c r="J28" i="17"/>
  <c r="I28" i="17"/>
  <c r="H28" i="17"/>
  <c r="G28" i="17"/>
  <c r="F28" i="17"/>
  <c r="E28" i="17"/>
  <c r="R27" i="17"/>
  <c r="Q27" i="17"/>
  <c r="M27" i="17"/>
  <c r="L27" i="17"/>
  <c r="K27" i="17"/>
  <c r="J27" i="17"/>
  <c r="I27" i="17"/>
  <c r="H27" i="17"/>
  <c r="G27" i="17"/>
  <c r="F27" i="17"/>
  <c r="E27" i="17"/>
  <c r="S26" i="17"/>
  <c r="S25" i="17"/>
  <c r="R24" i="17"/>
  <c r="Q24" i="17"/>
  <c r="M24" i="17"/>
  <c r="L24" i="17"/>
  <c r="K24" i="17"/>
  <c r="J24" i="17"/>
  <c r="I24" i="17"/>
  <c r="H24" i="17"/>
  <c r="G24" i="17"/>
  <c r="F24" i="17"/>
  <c r="E24" i="17"/>
  <c r="S23" i="17"/>
  <c r="S22" i="17"/>
  <c r="R21" i="17"/>
  <c r="Q21" i="17"/>
  <c r="M21" i="17"/>
  <c r="L21" i="17"/>
  <c r="K21" i="17"/>
  <c r="J21" i="17"/>
  <c r="I21" i="17"/>
  <c r="H21" i="17"/>
  <c r="G21" i="17"/>
  <c r="F21" i="17"/>
  <c r="E21" i="17"/>
  <c r="S20" i="17"/>
  <c r="S19" i="17"/>
  <c r="R16" i="17"/>
  <c r="Q16" i="17"/>
  <c r="M16" i="17"/>
  <c r="L16" i="17"/>
  <c r="K16" i="17"/>
  <c r="J16" i="17"/>
  <c r="I16" i="17"/>
  <c r="H16" i="17"/>
  <c r="G16" i="17"/>
  <c r="F16" i="17"/>
  <c r="E16" i="17"/>
  <c r="S15" i="17"/>
  <c r="S14" i="17"/>
  <c r="Z189" i="16"/>
  <c r="Z184" i="16"/>
  <c r="Z183" i="16"/>
  <c r="Z180" i="16"/>
  <c r="Z179" i="16"/>
  <c r="Z178" i="16"/>
  <c r="Z177" i="16"/>
  <c r="Z176" i="16"/>
  <c r="Z175" i="16"/>
  <c r="Z174" i="16"/>
  <c r="Z168" i="16"/>
  <c r="Z167" i="16"/>
  <c r="Z166" i="16"/>
  <c r="Z165" i="16"/>
  <c r="Z162" i="16"/>
  <c r="Z161" i="16"/>
  <c r="Z160" i="16"/>
  <c r="Z157" i="16"/>
  <c r="Z156" i="16"/>
  <c r="Z155" i="16"/>
  <c r="Z154" i="16"/>
  <c r="Z153" i="16"/>
  <c r="Z152" i="16"/>
  <c r="Z151" i="16"/>
  <c r="Z148" i="16"/>
  <c r="Z147" i="16"/>
  <c r="Z146" i="16"/>
  <c r="Z145" i="16"/>
  <c r="Z144" i="16"/>
  <c r="Z143" i="16"/>
  <c r="Z142" i="16"/>
  <c r="Z139" i="16"/>
  <c r="Z138" i="16"/>
  <c r="Z137" i="16"/>
  <c r="Z136" i="16"/>
  <c r="Z135" i="16"/>
  <c r="Z134" i="16"/>
  <c r="Z133" i="16"/>
  <c r="Z130" i="16"/>
  <c r="Z131" i="16" s="1"/>
  <c r="Z127" i="16"/>
  <c r="Z126" i="16"/>
  <c r="Z124" i="16"/>
  <c r="Z123" i="16"/>
  <c r="Z122" i="16"/>
  <c r="Z121" i="16"/>
  <c r="Z114" i="16"/>
  <c r="Z113" i="16"/>
  <c r="Z112" i="16"/>
  <c r="Z109" i="16"/>
  <c r="Z108" i="16"/>
  <c r="Z107" i="16"/>
  <c r="Z106" i="16"/>
  <c r="Z105" i="16"/>
  <c r="Z104" i="16"/>
  <c r="Z103" i="16"/>
  <c r="Z97" i="16"/>
  <c r="Z96" i="16"/>
  <c r="Z95" i="16"/>
  <c r="Z94" i="16"/>
  <c r="Z91" i="16"/>
  <c r="Z90" i="16"/>
  <c r="Z87" i="16"/>
  <c r="Z86" i="16"/>
  <c r="Z85" i="16"/>
  <c r="Z84" i="16"/>
  <c r="Z83" i="16"/>
  <c r="Z82" i="16"/>
  <c r="Z81" i="16"/>
  <c r="Z78" i="16"/>
  <c r="Z77" i="16"/>
  <c r="Z76" i="16"/>
  <c r="Z75" i="16"/>
  <c r="Z74" i="16"/>
  <c r="Z73" i="16"/>
  <c r="Z72" i="16"/>
  <c r="Z69" i="16"/>
  <c r="Z68" i="16"/>
  <c r="Z67" i="16"/>
  <c r="Z66" i="16"/>
  <c r="Z65" i="16"/>
  <c r="Z64" i="16"/>
  <c r="Z63" i="16"/>
  <c r="Z60" i="16"/>
  <c r="Z59" i="16"/>
  <c r="Z58" i="16"/>
  <c r="Z57" i="16"/>
  <c r="Z56" i="16"/>
  <c r="Z55" i="16"/>
  <c r="Z54" i="16"/>
  <c r="Z51" i="16"/>
  <c r="Z50" i="16"/>
  <c r="Z49" i="16"/>
  <c r="Z48" i="16"/>
  <c r="Z47" i="16"/>
  <c r="Z46" i="16"/>
  <c r="Z45" i="16"/>
  <c r="Y41" i="16"/>
  <c r="R41" i="16"/>
  <c r="J41" i="16"/>
  <c r="I41" i="16"/>
  <c r="H41" i="16"/>
  <c r="G41" i="16"/>
  <c r="F41" i="16"/>
  <c r="E41" i="16"/>
  <c r="Z40" i="16"/>
  <c r="Z39" i="16"/>
  <c r="Y36" i="16"/>
  <c r="R36" i="16"/>
  <c r="J36" i="16"/>
  <c r="I36" i="16"/>
  <c r="H36" i="16"/>
  <c r="G36" i="16"/>
  <c r="F36" i="16"/>
  <c r="E36" i="16"/>
  <c r="Z35" i="16"/>
  <c r="Z34" i="16"/>
  <c r="Z33" i="16"/>
  <c r="Y29" i="16"/>
  <c r="R29" i="16"/>
  <c r="J29" i="16"/>
  <c r="I29" i="16"/>
  <c r="H29" i="16"/>
  <c r="G29" i="16"/>
  <c r="F29" i="16"/>
  <c r="E29" i="16"/>
  <c r="Y28" i="16"/>
  <c r="R28" i="16"/>
  <c r="J28" i="16"/>
  <c r="I28" i="16"/>
  <c r="H28" i="16"/>
  <c r="G28" i="16"/>
  <c r="F28" i="16"/>
  <c r="E28" i="16"/>
  <c r="Y27" i="16"/>
  <c r="R27" i="16"/>
  <c r="J27" i="16"/>
  <c r="I27" i="16"/>
  <c r="H27" i="16"/>
  <c r="G27" i="16"/>
  <c r="F27" i="16"/>
  <c r="E27" i="16"/>
  <c r="Z26" i="16"/>
  <c r="Z25" i="16"/>
  <c r="Y24" i="16"/>
  <c r="R24" i="16"/>
  <c r="J24" i="16"/>
  <c r="I24" i="16"/>
  <c r="H24" i="16"/>
  <c r="G24" i="16"/>
  <c r="F24" i="16"/>
  <c r="E24" i="16"/>
  <c r="Z23" i="16"/>
  <c r="Z22" i="16"/>
  <c r="Y21" i="16"/>
  <c r="R21" i="16"/>
  <c r="J21" i="16"/>
  <c r="I21" i="16"/>
  <c r="H21" i="16"/>
  <c r="G21" i="16"/>
  <c r="F21" i="16"/>
  <c r="E21" i="16"/>
  <c r="Z20" i="16"/>
  <c r="Z19" i="16"/>
  <c r="Y16" i="16"/>
  <c r="R16" i="16"/>
  <c r="J16" i="16"/>
  <c r="I16" i="16"/>
  <c r="H16" i="16"/>
  <c r="G16" i="16"/>
  <c r="F16" i="16"/>
  <c r="E16" i="16"/>
  <c r="Z15" i="16"/>
  <c r="Z14" i="16"/>
  <c r="W189" i="15"/>
  <c r="W184" i="15"/>
  <c r="W183" i="15"/>
  <c r="W180" i="15"/>
  <c r="W179" i="15"/>
  <c r="W178" i="15"/>
  <c r="W177" i="15"/>
  <c r="W176" i="15"/>
  <c r="W175" i="15"/>
  <c r="W174" i="15"/>
  <c r="W168" i="15"/>
  <c r="W167" i="15"/>
  <c r="W166" i="15"/>
  <c r="W165" i="15"/>
  <c r="W162" i="15"/>
  <c r="W161" i="15"/>
  <c r="W160" i="15"/>
  <c r="W157" i="15"/>
  <c r="W156" i="15"/>
  <c r="W155" i="15"/>
  <c r="W154" i="15"/>
  <c r="W153" i="15"/>
  <c r="W152" i="15"/>
  <c r="W151" i="15"/>
  <c r="W148" i="15"/>
  <c r="W147" i="15"/>
  <c r="W146" i="15"/>
  <c r="W145" i="15"/>
  <c r="W144" i="15"/>
  <c r="W143" i="15"/>
  <c r="W142" i="15"/>
  <c r="W139" i="15"/>
  <c r="W138" i="15"/>
  <c r="W137" i="15"/>
  <c r="W136" i="15"/>
  <c r="W135" i="15"/>
  <c r="W134" i="15"/>
  <c r="W133" i="15"/>
  <c r="W130" i="15"/>
  <c r="W127" i="15"/>
  <c r="W126" i="15"/>
  <c r="W124" i="15"/>
  <c r="W123" i="15"/>
  <c r="W122" i="15"/>
  <c r="W121" i="15"/>
  <c r="W114" i="15"/>
  <c r="W113" i="15"/>
  <c r="W112" i="15"/>
  <c r="W109" i="15"/>
  <c r="W108" i="15"/>
  <c r="W107" i="15"/>
  <c r="W106" i="15"/>
  <c r="W105" i="15"/>
  <c r="W104" i="15"/>
  <c r="W103" i="15"/>
  <c r="W99" i="15"/>
  <c r="W98" i="15"/>
  <c r="W97" i="15"/>
  <c r="W96" i="15"/>
  <c r="W95" i="15"/>
  <c r="W94" i="15"/>
  <c r="W91" i="15"/>
  <c r="W90" i="15"/>
  <c r="W87" i="15"/>
  <c r="W86" i="15"/>
  <c r="W85" i="15"/>
  <c r="W84" i="15"/>
  <c r="W83" i="15"/>
  <c r="W82" i="15"/>
  <c r="W81" i="15"/>
  <c r="W78" i="15"/>
  <c r="W77" i="15"/>
  <c r="W76" i="15"/>
  <c r="W75" i="15"/>
  <c r="W74" i="15"/>
  <c r="W73" i="15"/>
  <c r="W72" i="15"/>
  <c r="W69" i="15"/>
  <c r="W68" i="15"/>
  <c r="W67" i="15"/>
  <c r="W66" i="15"/>
  <c r="W65" i="15"/>
  <c r="W64" i="15"/>
  <c r="W63" i="15"/>
  <c r="W60" i="15"/>
  <c r="W59" i="15"/>
  <c r="W58" i="15"/>
  <c r="W57" i="15"/>
  <c r="W56" i="15"/>
  <c r="W55" i="15"/>
  <c r="W54" i="15"/>
  <c r="W51" i="15"/>
  <c r="W50" i="15"/>
  <c r="W49" i="15"/>
  <c r="W48" i="15"/>
  <c r="W47" i="15"/>
  <c r="W46" i="15"/>
  <c r="W45" i="15"/>
  <c r="V41" i="15"/>
  <c r="U41" i="15"/>
  <c r="S41" i="15"/>
  <c r="R41" i="15"/>
  <c r="Q41" i="15"/>
  <c r="P41" i="15"/>
  <c r="O41" i="15"/>
  <c r="N41" i="15"/>
  <c r="E41" i="15"/>
  <c r="W40" i="15"/>
  <c r="W39" i="15"/>
  <c r="V36" i="15"/>
  <c r="U36" i="15"/>
  <c r="S36" i="15"/>
  <c r="R36" i="15"/>
  <c r="Q36" i="15"/>
  <c r="P36" i="15"/>
  <c r="O36" i="15"/>
  <c r="N36" i="15"/>
  <c r="E36" i="15"/>
  <c r="W35" i="15"/>
  <c r="W34" i="15"/>
  <c r="W33" i="15"/>
  <c r="V29" i="15"/>
  <c r="U29" i="15"/>
  <c r="S29" i="15"/>
  <c r="R29" i="15"/>
  <c r="Q29" i="15"/>
  <c r="P29" i="15"/>
  <c r="O29" i="15"/>
  <c r="N29" i="15"/>
  <c r="E29" i="15"/>
  <c r="V28" i="15"/>
  <c r="U28" i="15"/>
  <c r="S28" i="15"/>
  <c r="R28" i="15"/>
  <c r="Q28" i="15"/>
  <c r="P28" i="15"/>
  <c r="O28" i="15"/>
  <c r="N28" i="15"/>
  <c r="E28" i="15"/>
  <c r="V27" i="15"/>
  <c r="U27" i="15"/>
  <c r="S27" i="15"/>
  <c r="R27" i="15"/>
  <c r="Q27" i="15"/>
  <c r="P27" i="15"/>
  <c r="O27" i="15"/>
  <c r="N27" i="15"/>
  <c r="E27" i="15"/>
  <c r="W26" i="15"/>
  <c r="W25" i="15"/>
  <c r="V24" i="15"/>
  <c r="U24" i="15"/>
  <c r="S24" i="15"/>
  <c r="R24" i="15"/>
  <c r="Q24" i="15"/>
  <c r="P24" i="15"/>
  <c r="O24" i="15"/>
  <c r="N24" i="15"/>
  <c r="E24" i="15"/>
  <c r="W23" i="15"/>
  <c r="W22" i="15"/>
  <c r="V21" i="15"/>
  <c r="U21" i="15"/>
  <c r="S21" i="15"/>
  <c r="R21" i="15"/>
  <c r="Q21" i="15"/>
  <c r="P21" i="15"/>
  <c r="O21" i="15"/>
  <c r="N21" i="15"/>
  <c r="E21" i="15"/>
  <c r="W20" i="15"/>
  <c r="W19" i="15"/>
  <c r="V16" i="15"/>
  <c r="U16" i="15"/>
  <c r="S16" i="15"/>
  <c r="R16" i="15"/>
  <c r="Q16" i="15"/>
  <c r="P16" i="15"/>
  <c r="O16" i="15"/>
  <c r="N16" i="15"/>
  <c r="E16" i="15"/>
  <c r="W15" i="15"/>
  <c r="W14" i="15"/>
  <c r="O126" i="3"/>
  <c r="O127" i="3"/>
  <c r="N126" i="11"/>
  <c r="N127" i="11"/>
  <c r="N98" i="11"/>
  <c r="N99" i="11"/>
  <c r="T126" i="10"/>
  <c r="T127" i="10"/>
  <c r="T98" i="10"/>
  <c r="T99" i="10"/>
  <c r="V126" i="9"/>
  <c r="V127" i="9"/>
  <c r="V98" i="9"/>
  <c r="V99" i="9"/>
  <c r="Z163" i="16" l="1"/>
  <c r="S119" i="18"/>
  <c r="W131" i="15"/>
  <c r="S172" i="17"/>
  <c r="Y131" i="19"/>
  <c r="AI30" i="20"/>
  <c r="S163" i="17"/>
  <c r="T30" i="20"/>
  <c r="U30" i="20"/>
  <c r="S149" i="18"/>
  <c r="S131" i="17"/>
  <c r="J30" i="18"/>
  <c r="S52" i="18"/>
  <c r="S92" i="18"/>
  <c r="E127" i="1"/>
  <c r="E126" i="1"/>
  <c r="Y101" i="19"/>
  <c r="Z88" i="16"/>
  <c r="E99" i="1"/>
  <c r="E98" i="1"/>
  <c r="AM101" i="20"/>
  <c r="S119" i="17"/>
  <c r="AM92" i="20"/>
  <c r="AM131" i="20"/>
  <c r="AM158" i="20"/>
  <c r="AM79" i="20"/>
  <c r="AM185" i="20"/>
  <c r="W30" i="20"/>
  <c r="AM172" i="20"/>
  <c r="AM119" i="20"/>
  <c r="AH30" i="20"/>
  <c r="Y158" i="19"/>
  <c r="W30" i="19"/>
  <c r="X30" i="19"/>
  <c r="S149" i="17"/>
  <c r="M30" i="17"/>
  <c r="S52" i="17"/>
  <c r="L30" i="17"/>
  <c r="R30" i="17"/>
  <c r="S92" i="17"/>
  <c r="G30" i="16"/>
  <c r="H30" i="16"/>
  <c r="I30" i="16"/>
  <c r="J30" i="16"/>
  <c r="Z101" i="16"/>
  <c r="W70" i="15"/>
  <c r="W185" i="15"/>
  <c r="W119" i="15"/>
  <c r="W110" i="15"/>
  <c r="W158" i="15"/>
  <c r="W61" i="15"/>
  <c r="W140" i="15"/>
  <c r="Y119" i="19"/>
  <c r="Y172" i="19"/>
  <c r="Y92" i="19"/>
  <c r="Y79" i="19"/>
  <c r="Y140" i="19"/>
  <c r="Y61" i="19"/>
  <c r="Y110" i="19"/>
  <c r="Y185" i="19"/>
  <c r="Y163" i="19"/>
  <c r="S172" i="18"/>
  <c r="S181" i="18"/>
  <c r="S131" i="18"/>
  <c r="S88" i="17"/>
  <c r="S70" i="17"/>
  <c r="S110" i="17"/>
  <c r="S185" i="17"/>
  <c r="Z149" i="16"/>
  <c r="Z70" i="16"/>
  <c r="Z119" i="16"/>
  <c r="Z172" i="16"/>
  <c r="Z92" i="16"/>
  <c r="E30" i="16"/>
  <c r="W88" i="15"/>
  <c r="W163" i="15"/>
  <c r="W172" i="15"/>
  <c r="W79" i="15"/>
  <c r="W101" i="15"/>
  <c r="W52" i="15"/>
  <c r="W149" i="15"/>
  <c r="W92" i="15"/>
  <c r="W181" i="15"/>
  <c r="Z52" i="16"/>
  <c r="Z181" i="16"/>
  <c r="Z79" i="16"/>
  <c r="Z158" i="16"/>
  <c r="Z61" i="16"/>
  <c r="Z140" i="16"/>
  <c r="Z110" i="16"/>
  <c r="Z185" i="16"/>
  <c r="S79" i="17"/>
  <c r="S101" i="17"/>
  <c r="I30" i="17"/>
  <c r="S181" i="17"/>
  <c r="S158" i="17"/>
  <c r="S61" i="17"/>
  <c r="S140" i="17"/>
  <c r="S101" i="18"/>
  <c r="S79" i="18"/>
  <c r="S158" i="18"/>
  <c r="S61" i="18"/>
  <c r="S140" i="18"/>
  <c r="S110" i="18"/>
  <c r="S185" i="18"/>
  <c r="S88" i="18"/>
  <c r="S163" i="18"/>
  <c r="S36" i="18"/>
  <c r="S70" i="18"/>
  <c r="Y88" i="19"/>
  <c r="Y149" i="19"/>
  <c r="Y70" i="19"/>
  <c r="Y52" i="19"/>
  <c r="E30" i="19"/>
  <c r="Y181" i="19"/>
  <c r="T30" i="19"/>
  <c r="U30" i="19"/>
  <c r="V30" i="19"/>
  <c r="AM61" i="20"/>
  <c r="AM110" i="20"/>
  <c r="AM41" i="20"/>
  <c r="X30" i="20"/>
  <c r="Y30" i="20"/>
  <c r="AM163" i="20"/>
  <c r="AJ30" i="20"/>
  <c r="AM88" i="20"/>
  <c r="AM149" i="20"/>
  <c r="AK30" i="20"/>
  <c r="AL30" i="20"/>
  <c r="AM70" i="20"/>
  <c r="AM29" i="20"/>
  <c r="AM52" i="20"/>
  <c r="AM181" i="20"/>
  <c r="AM24" i="20"/>
  <c r="V30" i="20"/>
  <c r="Y24" i="19"/>
  <c r="S21" i="18"/>
  <c r="S29" i="18"/>
  <c r="F188" i="18"/>
  <c r="F190" i="18" s="1"/>
  <c r="G188" i="18"/>
  <c r="G190" i="18" s="1"/>
  <c r="Q30" i="18"/>
  <c r="J188" i="18"/>
  <c r="J190" i="18" s="1"/>
  <c r="K188" i="18"/>
  <c r="K190" i="18" s="1"/>
  <c r="L188" i="18"/>
  <c r="L190" i="18" s="1"/>
  <c r="M188" i="18"/>
  <c r="M190" i="18" s="1"/>
  <c r="H188" i="17"/>
  <c r="H190" i="17" s="1"/>
  <c r="F30" i="17"/>
  <c r="G30" i="17"/>
  <c r="Z24" i="16"/>
  <c r="F30" i="16"/>
  <c r="O30" i="15"/>
  <c r="P30" i="15"/>
  <c r="S30" i="15"/>
  <c r="Q30" i="15"/>
  <c r="R30" i="15"/>
  <c r="AM21" i="20"/>
  <c r="U188" i="20"/>
  <c r="U190" i="20" s="1"/>
  <c r="AM36" i="20"/>
  <c r="AJ188" i="20"/>
  <c r="AJ190" i="20" s="1"/>
  <c r="T188" i="20"/>
  <c r="T190" i="20" s="1"/>
  <c r="W188" i="20"/>
  <c r="W190" i="20" s="1"/>
  <c r="X188" i="20"/>
  <c r="X190" i="20" s="1"/>
  <c r="AF188" i="20"/>
  <c r="AF190" i="20" s="1"/>
  <c r="AL188" i="20"/>
  <c r="AL190" i="20" s="1"/>
  <c r="E30" i="20"/>
  <c r="AM16" i="20"/>
  <c r="V188" i="20"/>
  <c r="V190" i="20" s="1"/>
  <c r="S30" i="20"/>
  <c r="AM28" i="20"/>
  <c r="E188" i="20"/>
  <c r="E190" i="20" s="1"/>
  <c r="AM27" i="20"/>
  <c r="AG30" i="20"/>
  <c r="S188" i="20"/>
  <c r="S190" i="20" s="1"/>
  <c r="AM125" i="20"/>
  <c r="AM128" i="20" s="1"/>
  <c r="AG188" i="20"/>
  <c r="AG190" i="20" s="1"/>
  <c r="AK188" i="20"/>
  <c r="AK190" i="20" s="1"/>
  <c r="AF30" i="20"/>
  <c r="Y21" i="19"/>
  <c r="Y125" i="19"/>
  <c r="Y128" i="19" s="1"/>
  <c r="Y16" i="19"/>
  <c r="E188" i="19"/>
  <c r="E190" i="19" s="1"/>
  <c r="Y29" i="19"/>
  <c r="W188" i="19"/>
  <c r="W190" i="19" s="1"/>
  <c r="V188" i="19"/>
  <c r="V190" i="19" s="1"/>
  <c r="T188" i="19"/>
  <c r="T190" i="19" s="1"/>
  <c r="X188" i="19"/>
  <c r="X190" i="19" s="1"/>
  <c r="Y36" i="19"/>
  <c r="Y27" i="19"/>
  <c r="Y28" i="19"/>
  <c r="U188" i="19"/>
  <c r="U190" i="19" s="1"/>
  <c r="Y41" i="19"/>
  <c r="Q188" i="18"/>
  <c r="Q190" i="18" s="1"/>
  <c r="R188" i="18"/>
  <c r="R190" i="18" s="1"/>
  <c r="I188" i="18"/>
  <c r="I190" i="18" s="1"/>
  <c r="H188" i="18"/>
  <c r="H190" i="18" s="1"/>
  <c r="H30" i="18"/>
  <c r="S24" i="18"/>
  <c r="S16" i="18"/>
  <c r="F30" i="18"/>
  <c r="I30" i="18"/>
  <c r="K30" i="18"/>
  <c r="G30" i="18"/>
  <c r="S27" i="18"/>
  <c r="L30" i="18"/>
  <c r="S125" i="18"/>
  <c r="S128" i="18" s="1"/>
  <c r="M30" i="18"/>
  <c r="S41" i="18"/>
  <c r="E30" i="18"/>
  <c r="R30" i="18"/>
  <c r="S28" i="18"/>
  <c r="E188" i="18"/>
  <c r="Z41" i="16"/>
  <c r="Z125" i="16"/>
  <c r="Z128" i="16" s="1"/>
  <c r="Z21" i="16"/>
  <c r="Z28" i="16"/>
  <c r="Z16" i="16"/>
  <c r="Y30" i="16"/>
  <c r="Z36" i="16"/>
  <c r="J188" i="16"/>
  <c r="J190" i="16" s="1"/>
  <c r="E188" i="16"/>
  <c r="E190" i="16" s="1"/>
  <c r="Z27" i="16"/>
  <c r="Y188" i="16"/>
  <c r="Y190" i="16" s="1"/>
  <c r="I188" i="16"/>
  <c r="I190" i="16" s="1"/>
  <c r="G188" i="16"/>
  <c r="G190" i="16" s="1"/>
  <c r="R30" i="16"/>
  <c r="R188" i="16"/>
  <c r="R190" i="16" s="1"/>
  <c r="F188" i="16"/>
  <c r="F190" i="16" s="1"/>
  <c r="H188" i="16"/>
  <c r="H190" i="16" s="1"/>
  <c r="N30" i="15"/>
  <c r="E30" i="15"/>
  <c r="S24" i="17"/>
  <c r="I188" i="17"/>
  <c r="I190" i="17" s="1"/>
  <c r="E188" i="17"/>
  <c r="E190" i="17" s="1"/>
  <c r="H30" i="17"/>
  <c r="F188" i="17"/>
  <c r="F190" i="17" s="1"/>
  <c r="S28" i="17"/>
  <c r="S125" i="17"/>
  <c r="S128" i="17" s="1"/>
  <c r="S27" i="17"/>
  <c r="E30" i="17"/>
  <c r="K30" i="17"/>
  <c r="J30" i="17"/>
  <c r="J188" i="17"/>
  <c r="J190" i="17" s="1"/>
  <c r="Q30" i="17"/>
  <c r="K188" i="17"/>
  <c r="K190" i="17" s="1"/>
  <c r="L188" i="17"/>
  <c r="L190" i="17" s="1"/>
  <c r="S36" i="17"/>
  <c r="M188" i="17"/>
  <c r="M190" i="17" s="1"/>
  <c r="Q188" i="17"/>
  <c r="Q190" i="17" s="1"/>
  <c r="R188" i="17"/>
  <c r="R190" i="17" s="1"/>
  <c r="S41" i="17"/>
  <c r="S21" i="17"/>
  <c r="S16" i="17"/>
  <c r="G188" i="17"/>
  <c r="G190" i="17" s="1"/>
  <c r="S29" i="17"/>
  <c r="Z29" i="16"/>
  <c r="N188" i="15"/>
  <c r="N190" i="15" s="1"/>
  <c r="O188" i="15"/>
  <c r="O190" i="15" s="1"/>
  <c r="U30" i="15"/>
  <c r="P188" i="15"/>
  <c r="P190" i="15" s="1"/>
  <c r="Q188" i="15"/>
  <c r="Q190" i="15" s="1"/>
  <c r="W36" i="15"/>
  <c r="W125" i="15"/>
  <c r="W128" i="15" s="1"/>
  <c r="U188" i="15"/>
  <c r="U190" i="15" s="1"/>
  <c r="S188" i="15"/>
  <c r="S190" i="15" s="1"/>
  <c r="V30" i="15"/>
  <c r="W21" i="15"/>
  <c r="V188" i="15"/>
  <c r="V190" i="15" s="1"/>
  <c r="W41" i="15"/>
  <c r="W24" i="15"/>
  <c r="W29" i="15"/>
  <c r="R188" i="15"/>
  <c r="R190" i="15" s="1"/>
  <c r="W16" i="15"/>
  <c r="W27" i="15"/>
  <c r="E188" i="15"/>
  <c r="W28" i="15"/>
  <c r="Y30" i="19" l="1"/>
  <c r="S30" i="18"/>
  <c r="S30" i="17"/>
  <c r="S190" i="17"/>
  <c r="Z30" i="16"/>
  <c r="Z190" i="16"/>
  <c r="W30" i="15"/>
  <c r="AM30" i="20"/>
  <c r="AM190" i="20"/>
  <c r="AM188" i="20"/>
  <c r="Y188" i="19"/>
  <c r="Y190" i="19"/>
  <c r="S188" i="18"/>
  <c r="E190" i="18"/>
  <c r="S190" i="18" s="1"/>
  <c r="Z188" i="16"/>
  <c r="S188" i="17"/>
  <c r="W188" i="15"/>
  <c r="E190" i="15"/>
  <c r="W190" i="15" s="1"/>
  <c r="N189" i="11" l="1"/>
  <c r="N184" i="11"/>
  <c r="N183" i="11"/>
  <c r="N180" i="11"/>
  <c r="N179" i="11"/>
  <c r="N178" i="11"/>
  <c r="N177" i="11"/>
  <c r="N176" i="11"/>
  <c r="N175" i="11"/>
  <c r="N174" i="11"/>
  <c r="N169" i="11"/>
  <c r="N168" i="11"/>
  <c r="N167" i="11"/>
  <c r="N166" i="11"/>
  <c r="N165" i="11"/>
  <c r="N162" i="11"/>
  <c r="N161" i="11"/>
  <c r="N160" i="11"/>
  <c r="N157" i="11"/>
  <c r="N156" i="11"/>
  <c r="N155" i="11"/>
  <c r="N154" i="11"/>
  <c r="N153" i="11"/>
  <c r="N152" i="11"/>
  <c r="N151" i="11"/>
  <c r="N148" i="11"/>
  <c r="N147" i="11"/>
  <c r="N146" i="11"/>
  <c r="N145" i="11"/>
  <c r="N144" i="11"/>
  <c r="N143" i="11"/>
  <c r="N142" i="11"/>
  <c r="N139" i="11"/>
  <c r="N138" i="11"/>
  <c r="N137" i="11"/>
  <c r="N136" i="11"/>
  <c r="N135" i="11"/>
  <c r="N134" i="11"/>
  <c r="N133" i="11"/>
  <c r="N130" i="11"/>
  <c r="N124" i="11"/>
  <c r="N123" i="11"/>
  <c r="N122" i="11"/>
  <c r="N121" i="11"/>
  <c r="N115" i="11"/>
  <c r="N114" i="11"/>
  <c r="N113" i="11"/>
  <c r="N112" i="11"/>
  <c r="N109" i="11"/>
  <c r="N108" i="11"/>
  <c r="N107" i="11"/>
  <c r="N106" i="11"/>
  <c r="N105" i="11"/>
  <c r="N104" i="11"/>
  <c r="N103" i="11"/>
  <c r="N97" i="11"/>
  <c r="N96" i="11"/>
  <c r="N95" i="11"/>
  <c r="N94" i="11"/>
  <c r="N91" i="11"/>
  <c r="N90" i="11"/>
  <c r="N87" i="11"/>
  <c r="N86" i="11"/>
  <c r="N85" i="11"/>
  <c r="N84" i="11"/>
  <c r="N83" i="11"/>
  <c r="N82" i="11"/>
  <c r="N81" i="11"/>
  <c r="N78" i="11"/>
  <c r="N77" i="11"/>
  <c r="N76" i="11"/>
  <c r="N75" i="11"/>
  <c r="N74" i="11"/>
  <c r="N73" i="11"/>
  <c r="N72" i="11"/>
  <c r="N69" i="11"/>
  <c r="N68" i="11"/>
  <c r="N67" i="11"/>
  <c r="N66" i="11"/>
  <c r="N65" i="11"/>
  <c r="N64" i="11"/>
  <c r="N63" i="11"/>
  <c r="N60" i="11"/>
  <c r="N59" i="11"/>
  <c r="N58" i="11"/>
  <c r="N57" i="11"/>
  <c r="N56" i="11"/>
  <c r="N55" i="11"/>
  <c r="N54" i="11"/>
  <c r="N51" i="11"/>
  <c r="N50" i="11"/>
  <c r="N49" i="11"/>
  <c r="N48" i="11"/>
  <c r="N47" i="11"/>
  <c r="N46" i="11"/>
  <c r="N45" i="11"/>
  <c r="M41" i="11"/>
  <c r="L41" i="11"/>
  <c r="K41" i="11"/>
  <c r="J41" i="11"/>
  <c r="I41" i="11"/>
  <c r="H41" i="11"/>
  <c r="G41" i="11"/>
  <c r="F41" i="11"/>
  <c r="E41" i="11"/>
  <c r="N40" i="11"/>
  <c r="N39" i="11"/>
  <c r="M36" i="11"/>
  <c r="L36" i="11"/>
  <c r="K36" i="11"/>
  <c r="J36" i="11"/>
  <c r="I36" i="11"/>
  <c r="H36" i="11"/>
  <c r="G36" i="11"/>
  <c r="F36" i="11"/>
  <c r="E36" i="11"/>
  <c r="N35" i="11"/>
  <c r="N34" i="11"/>
  <c r="N33" i="11"/>
  <c r="M29" i="11"/>
  <c r="L29" i="11"/>
  <c r="K29" i="11"/>
  <c r="J29" i="11"/>
  <c r="I29" i="11"/>
  <c r="H29" i="11"/>
  <c r="G29" i="11"/>
  <c r="F29" i="11"/>
  <c r="E29" i="11"/>
  <c r="M28" i="11"/>
  <c r="L28" i="11"/>
  <c r="K28" i="11"/>
  <c r="J28" i="11"/>
  <c r="I28" i="11"/>
  <c r="H28" i="11"/>
  <c r="G28" i="11"/>
  <c r="F28" i="11"/>
  <c r="E28" i="11"/>
  <c r="M27" i="11"/>
  <c r="L27" i="11"/>
  <c r="K27" i="11"/>
  <c r="J27" i="11"/>
  <c r="I27" i="11"/>
  <c r="H27" i="11"/>
  <c r="G27" i="11"/>
  <c r="F27" i="11"/>
  <c r="E27" i="11"/>
  <c r="N26" i="11"/>
  <c r="N25" i="11"/>
  <c r="M24" i="11"/>
  <c r="L24" i="11"/>
  <c r="K24" i="11"/>
  <c r="J24" i="11"/>
  <c r="I24" i="11"/>
  <c r="H24" i="11"/>
  <c r="G24" i="11"/>
  <c r="F24" i="11"/>
  <c r="E24" i="11"/>
  <c r="N23" i="11"/>
  <c r="N22" i="11"/>
  <c r="M21" i="11"/>
  <c r="L21" i="11"/>
  <c r="K21" i="11"/>
  <c r="J21" i="11"/>
  <c r="I21" i="11"/>
  <c r="H21" i="11"/>
  <c r="G21" i="11"/>
  <c r="F21" i="11"/>
  <c r="E21" i="11"/>
  <c r="N20" i="11"/>
  <c r="N19" i="11"/>
  <c r="M16" i="11"/>
  <c r="L16" i="11"/>
  <c r="K16" i="11"/>
  <c r="J16" i="11"/>
  <c r="I16" i="11"/>
  <c r="H16" i="11"/>
  <c r="G16" i="11"/>
  <c r="F16" i="11"/>
  <c r="E16" i="11"/>
  <c r="N15" i="11"/>
  <c r="N14" i="11"/>
  <c r="T189" i="10"/>
  <c r="T184" i="10"/>
  <c r="T183" i="10"/>
  <c r="T180" i="10"/>
  <c r="T179" i="10"/>
  <c r="T178" i="10"/>
  <c r="T177" i="10"/>
  <c r="T176" i="10"/>
  <c r="T175" i="10"/>
  <c r="T174" i="10"/>
  <c r="T168" i="10"/>
  <c r="T167" i="10"/>
  <c r="T166" i="10"/>
  <c r="T165" i="10"/>
  <c r="T162" i="10"/>
  <c r="T161" i="10"/>
  <c r="T160" i="10"/>
  <c r="T157" i="10"/>
  <c r="T156" i="10"/>
  <c r="T155" i="10"/>
  <c r="T154" i="10"/>
  <c r="T153" i="10"/>
  <c r="T152" i="10"/>
  <c r="T151" i="10"/>
  <c r="T148" i="10"/>
  <c r="T147" i="10"/>
  <c r="T146" i="10"/>
  <c r="T145" i="10"/>
  <c r="T144" i="10"/>
  <c r="T143" i="10"/>
  <c r="T142" i="10"/>
  <c r="T139" i="10"/>
  <c r="T138" i="10"/>
  <c r="T137" i="10"/>
  <c r="T136" i="10"/>
  <c r="T135" i="10"/>
  <c r="T134" i="10"/>
  <c r="T133" i="10"/>
  <c r="T130" i="10"/>
  <c r="T124" i="10"/>
  <c r="T123" i="10"/>
  <c r="T122" i="10"/>
  <c r="T121" i="10"/>
  <c r="T115" i="10"/>
  <c r="T114" i="10"/>
  <c r="T113" i="10"/>
  <c r="T112" i="10"/>
  <c r="T109" i="10"/>
  <c r="T108" i="10"/>
  <c r="T107" i="10"/>
  <c r="T106" i="10"/>
  <c r="T105" i="10"/>
  <c r="T104" i="10"/>
  <c r="T103" i="10"/>
  <c r="T97" i="10"/>
  <c r="T96" i="10"/>
  <c r="T95" i="10"/>
  <c r="T94" i="10"/>
  <c r="T91" i="10"/>
  <c r="T90" i="10"/>
  <c r="T87" i="10"/>
  <c r="T86" i="10"/>
  <c r="T85" i="10"/>
  <c r="T84" i="10"/>
  <c r="T83" i="10"/>
  <c r="T82" i="10"/>
  <c r="T81" i="10"/>
  <c r="T78" i="10"/>
  <c r="T77" i="10"/>
  <c r="T76" i="10"/>
  <c r="T75" i="10"/>
  <c r="T74" i="10"/>
  <c r="T73" i="10"/>
  <c r="T72" i="10"/>
  <c r="T69" i="10"/>
  <c r="T68" i="10"/>
  <c r="T67" i="10"/>
  <c r="T66" i="10"/>
  <c r="T65" i="10"/>
  <c r="T64" i="10"/>
  <c r="T63" i="10"/>
  <c r="T60" i="10"/>
  <c r="T59" i="10"/>
  <c r="T58" i="10"/>
  <c r="T57" i="10"/>
  <c r="T56" i="10"/>
  <c r="T55" i="10"/>
  <c r="T54" i="10"/>
  <c r="T51" i="10"/>
  <c r="T50" i="10"/>
  <c r="T49" i="10"/>
  <c r="T48" i="10"/>
  <c r="T47" i="10"/>
  <c r="T46" i="10"/>
  <c r="T45" i="10"/>
  <c r="S41" i="10"/>
  <c r="O41" i="10"/>
  <c r="N41" i="10"/>
  <c r="M41" i="10"/>
  <c r="L41" i="10"/>
  <c r="E41" i="10"/>
  <c r="T40" i="10"/>
  <c r="T39" i="10"/>
  <c r="S36" i="10"/>
  <c r="O36" i="10"/>
  <c r="N36" i="10"/>
  <c r="M36" i="10"/>
  <c r="L36" i="10"/>
  <c r="E36" i="10"/>
  <c r="T35" i="10"/>
  <c r="T34" i="10"/>
  <c r="T33" i="10"/>
  <c r="S29" i="10"/>
  <c r="O29" i="10"/>
  <c r="N29" i="10"/>
  <c r="M29" i="10"/>
  <c r="L29" i="10"/>
  <c r="E29" i="10"/>
  <c r="S28" i="10"/>
  <c r="O28" i="10"/>
  <c r="N28" i="10"/>
  <c r="M28" i="10"/>
  <c r="L28" i="10"/>
  <c r="E28" i="10"/>
  <c r="S27" i="10"/>
  <c r="O27" i="10"/>
  <c r="N27" i="10"/>
  <c r="M27" i="10"/>
  <c r="L27" i="10"/>
  <c r="E27" i="10"/>
  <c r="T26" i="10"/>
  <c r="T25" i="10"/>
  <c r="S24" i="10"/>
  <c r="O24" i="10"/>
  <c r="N24" i="10"/>
  <c r="M24" i="10"/>
  <c r="L24" i="10"/>
  <c r="E24" i="10"/>
  <c r="T23" i="10"/>
  <c r="T22" i="10"/>
  <c r="S21" i="10"/>
  <c r="O21" i="10"/>
  <c r="N21" i="10"/>
  <c r="M21" i="10"/>
  <c r="L21" i="10"/>
  <c r="E21" i="10"/>
  <c r="T20" i="10"/>
  <c r="T19" i="10"/>
  <c r="S16" i="10"/>
  <c r="O16" i="10"/>
  <c r="N16" i="10"/>
  <c r="M16" i="10"/>
  <c r="L16" i="10"/>
  <c r="E16" i="10"/>
  <c r="T15" i="10"/>
  <c r="T14" i="10"/>
  <c r="V189" i="9"/>
  <c r="V184" i="9"/>
  <c r="V183" i="9"/>
  <c r="V180" i="9"/>
  <c r="V179" i="9"/>
  <c r="V178" i="9"/>
  <c r="V177" i="9"/>
  <c r="V176" i="9"/>
  <c r="V175" i="9"/>
  <c r="V174" i="9"/>
  <c r="V169" i="9"/>
  <c r="V168" i="9"/>
  <c r="V167" i="9"/>
  <c r="V166" i="9"/>
  <c r="V165" i="9"/>
  <c r="V162" i="9"/>
  <c r="V161" i="9"/>
  <c r="V160" i="9"/>
  <c r="V157" i="9"/>
  <c r="V156" i="9"/>
  <c r="V155" i="9"/>
  <c r="V154" i="9"/>
  <c r="V153" i="9"/>
  <c r="V152" i="9"/>
  <c r="V151" i="9"/>
  <c r="V148" i="9"/>
  <c r="V147" i="9"/>
  <c r="V146" i="9"/>
  <c r="V145" i="9"/>
  <c r="V144" i="9"/>
  <c r="V143" i="9"/>
  <c r="V142" i="9"/>
  <c r="V139" i="9"/>
  <c r="V138" i="9"/>
  <c r="V137" i="9"/>
  <c r="V136" i="9"/>
  <c r="V135" i="9"/>
  <c r="V134" i="9"/>
  <c r="V133" i="9"/>
  <c r="V130" i="9"/>
  <c r="V124" i="9"/>
  <c r="V123" i="9"/>
  <c r="V122" i="9"/>
  <c r="V121" i="9"/>
  <c r="V115" i="9"/>
  <c r="V114" i="9"/>
  <c r="V113" i="9"/>
  <c r="V112" i="9"/>
  <c r="V109" i="9"/>
  <c r="V108" i="9"/>
  <c r="V107" i="9"/>
  <c r="V106" i="9"/>
  <c r="V105" i="9"/>
  <c r="V104" i="9"/>
  <c r="V103" i="9"/>
  <c r="V97" i="9"/>
  <c r="V96" i="9"/>
  <c r="V95" i="9"/>
  <c r="V94" i="9"/>
  <c r="V91" i="9"/>
  <c r="V90" i="9"/>
  <c r="V87" i="9"/>
  <c r="V86" i="9"/>
  <c r="V85" i="9"/>
  <c r="V84" i="9"/>
  <c r="V83" i="9"/>
  <c r="V82" i="9"/>
  <c r="V81" i="9"/>
  <c r="V78" i="9"/>
  <c r="V77" i="9"/>
  <c r="V76" i="9"/>
  <c r="V75" i="9"/>
  <c r="V74" i="9"/>
  <c r="V73" i="9"/>
  <c r="V72" i="9"/>
  <c r="V69" i="9"/>
  <c r="V68" i="9"/>
  <c r="V67" i="9"/>
  <c r="V66" i="9"/>
  <c r="V65" i="9"/>
  <c r="V64" i="9"/>
  <c r="V63" i="9"/>
  <c r="V60" i="9"/>
  <c r="V59" i="9"/>
  <c r="V58" i="9"/>
  <c r="V57" i="9"/>
  <c r="V56" i="9"/>
  <c r="V55" i="9"/>
  <c r="V54" i="9"/>
  <c r="V51" i="9"/>
  <c r="V50" i="9"/>
  <c r="V49" i="9"/>
  <c r="V48" i="9"/>
  <c r="V47" i="9"/>
  <c r="V46" i="9"/>
  <c r="V45" i="9"/>
  <c r="O41" i="9"/>
  <c r="E41" i="9"/>
  <c r="V40" i="9"/>
  <c r="V39" i="9"/>
  <c r="O36" i="9"/>
  <c r="E36" i="9"/>
  <c r="V35" i="9"/>
  <c r="V34" i="9"/>
  <c r="V33" i="9"/>
  <c r="O29" i="9"/>
  <c r="E29" i="9"/>
  <c r="O28" i="9"/>
  <c r="E28" i="9"/>
  <c r="O27" i="9"/>
  <c r="E27" i="9"/>
  <c r="V26" i="9"/>
  <c r="V25" i="9"/>
  <c r="O24" i="9"/>
  <c r="E24" i="9"/>
  <c r="V23" i="9"/>
  <c r="V22" i="9"/>
  <c r="O21" i="9"/>
  <c r="E21" i="9"/>
  <c r="V20" i="9"/>
  <c r="V19" i="9"/>
  <c r="O16" i="9"/>
  <c r="E16" i="9"/>
  <c r="V15" i="9"/>
  <c r="V14" i="9"/>
  <c r="H188" i="3"/>
  <c r="H190" i="3" s="1"/>
  <c r="F41" i="3"/>
  <c r="G41" i="3"/>
  <c r="H41" i="3"/>
  <c r="I41" i="3"/>
  <c r="J41" i="3"/>
  <c r="K41" i="3"/>
  <c r="L41" i="3"/>
  <c r="M41" i="3"/>
  <c r="N41" i="3"/>
  <c r="F36" i="3"/>
  <c r="G36" i="3"/>
  <c r="H36" i="3"/>
  <c r="I36" i="3"/>
  <c r="J36" i="3"/>
  <c r="K36" i="3"/>
  <c r="L36" i="3"/>
  <c r="M36" i="3"/>
  <c r="N36" i="3"/>
  <c r="F27" i="3"/>
  <c r="G27" i="3"/>
  <c r="H27" i="3"/>
  <c r="I27" i="3"/>
  <c r="J27" i="3"/>
  <c r="K27" i="3"/>
  <c r="L27" i="3"/>
  <c r="M27" i="3"/>
  <c r="N27" i="3"/>
  <c r="F28" i="3"/>
  <c r="G28" i="3"/>
  <c r="H28" i="3"/>
  <c r="I28" i="3"/>
  <c r="J28" i="3"/>
  <c r="K28" i="3"/>
  <c r="L28" i="3"/>
  <c r="M28" i="3"/>
  <c r="N28" i="3"/>
  <c r="F29" i="3"/>
  <c r="G29" i="3"/>
  <c r="H29" i="3"/>
  <c r="I29" i="3"/>
  <c r="J29" i="3"/>
  <c r="K29" i="3"/>
  <c r="L29" i="3"/>
  <c r="M29" i="3"/>
  <c r="N29" i="3"/>
  <c r="F24" i="3"/>
  <c r="G24" i="3"/>
  <c r="H24" i="3"/>
  <c r="I24" i="3"/>
  <c r="J24" i="3"/>
  <c r="K24" i="3"/>
  <c r="L24" i="3"/>
  <c r="M24" i="3"/>
  <c r="N24" i="3"/>
  <c r="F21" i="3"/>
  <c r="G21" i="3"/>
  <c r="H21" i="3"/>
  <c r="I21" i="3"/>
  <c r="J21" i="3"/>
  <c r="K21" i="3"/>
  <c r="L21" i="3"/>
  <c r="M21" i="3"/>
  <c r="N21" i="3"/>
  <c r="F16" i="3"/>
  <c r="G16" i="3"/>
  <c r="H16" i="3"/>
  <c r="I16" i="3"/>
  <c r="J16" i="3"/>
  <c r="K16" i="3"/>
  <c r="L16" i="3"/>
  <c r="M16" i="3"/>
  <c r="N16" i="3"/>
  <c r="O189" i="3"/>
  <c r="O184" i="3"/>
  <c r="O183" i="3"/>
  <c r="O180" i="3"/>
  <c r="O179" i="3"/>
  <c r="O178" i="3"/>
  <c r="O177" i="3"/>
  <c r="O176" i="3"/>
  <c r="O175" i="3"/>
  <c r="O174" i="3"/>
  <c r="O167" i="3"/>
  <c r="O166" i="3"/>
  <c r="O165" i="3"/>
  <c r="O162" i="3"/>
  <c r="O161" i="3"/>
  <c r="O160" i="3"/>
  <c r="O157" i="3"/>
  <c r="O156" i="3"/>
  <c r="O155" i="3"/>
  <c r="O154" i="3"/>
  <c r="O153" i="3"/>
  <c r="O152" i="3"/>
  <c r="O151" i="3"/>
  <c r="O148" i="3"/>
  <c r="O147" i="3"/>
  <c r="O146" i="3"/>
  <c r="O145" i="3"/>
  <c r="O144" i="3"/>
  <c r="O143" i="3"/>
  <c r="O142" i="3"/>
  <c r="O139" i="3"/>
  <c r="O138" i="3"/>
  <c r="O137" i="3"/>
  <c r="O136" i="3"/>
  <c r="O135" i="3"/>
  <c r="O134" i="3"/>
  <c r="O133" i="3"/>
  <c r="O130" i="3"/>
  <c r="O124" i="3"/>
  <c r="O123" i="3"/>
  <c r="O122" i="3"/>
  <c r="O121" i="3"/>
  <c r="O113" i="3"/>
  <c r="O112" i="3"/>
  <c r="O109" i="3"/>
  <c r="O108" i="3"/>
  <c r="O107" i="3"/>
  <c r="O106" i="3"/>
  <c r="O105" i="3"/>
  <c r="O104" i="3"/>
  <c r="O103" i="3"/>
  <c r="O97" i="3"/>
  <c r="O96" i="3"/>
  <c r="O95" i="3"/>
  <c r="O94" i="3"/>
  <c r="O91" i="3"/>
  <c r="O90" i="3"/>
  <c r="O87" i="3"/>
  <c r="O86" i="3"/>
  <c r="O85" i="3"/>
  <c r="O84" i="3"/>
  <c r="O83" i="3"/>
  <c r="O82" i="3"/>
  <c r="O81" i="3"/>
  <c r="O78" i="3"/>
  <c r="O77" i="3"/>
  <c r="O76" i="3"/>
  <c r="O75" i="3"/>
  <c r="O74" i="3"/>
  <c r="O73" i="3"/>
  <c r="O72" i="3"/>
  <c r="O69" i="3"/>
  <c r="O68" i="3"/>
  <c r="O67" i="3"/>
  <c r="O66" i="3"/>
  <c r="O65" i="3"/>
  <c r="O64" i="3"/>
  <c r="O63" i="3"/>
  <c r="O60" i="3"/>
  <c r="O59" i="3"/>
  <c r="O58" i="3"/>
  <c r="O57" i="3"/>
  <c r="O56" i="3"/>
  <c r="O55" i="3"/>
  <c r="O54" i="3"/>
  <c r="O51" i="3"/>
  <c r="O50" i="3"/>
  <c r="O49" i="3"/>
  <c r="O48" i="3"/>
  <c r="O47" i="3"/>
  <c r="O46" i="3"/>
  <c r="O45" i="3"/>
  <c r="E41" i="3"/>
  <c r="O40" i="3"/>
  <c r="O39" i="3"/>
  <c r="E36" i="3"/>
  <c r="O35" i="3"/>
  <c r="O34" i="3"/>
  <c r="O33" i="3"/>
  <c r="E29" i="3"/>
  <c r="E28" i="3"/>
  <c r="E27" i="3"/>
  <c r="O26" i="3"/>
  <c r="O25" i="3"/>
  <c r="E24" i="3"/>
  <c r="O23" i="3"/>
  <c r="O22" i="3"/>
  <c r="E21" i="3"/>
  <c r="O20" i="3"/>
  <c r="O19" i="3"/>
  <c r="E16" i="3"/>
  <c r="O15" i="3"/>
  <c r="O14" i="3"/>
  <c r="N119" i="11" l="1"/>
  <c r="N88" i="11"/>
  <c r="N110" i="11"/>
  <c r="N172" i="11"/>
  <c r="E176" i="1"/>
  <c r="E114" i="1"/>
  <c r="E177" i="1"/>
  <c r="E178" i="1"/>
  <c r="I30" i="11"/>
  <c r="E148" i="1"/>
  <c r="E115" i="1"/>
  <c r="E179" i="1"/>
  <c r="J30" i="11"/>
  <c r="E83" i="1"/>
  <c r="E113" i="1"/>
  <c r="E58" i="1"/>
  <c r="E59" i="1"/>
  <c r="E60" i="1"/>
  <c r="E121" i="1"/>
  <c r="E151" i="1"/>
  <c r="E87" i="1"/>
  <c r="E152" i="1"/>
  <c r="E39" i="1"/>
  <c r="E19" i="1"/>
  <c r="E40" i="1"/>
  <c r="E68" i="1"/>
  <c r="E94" i="1"/>
  <c r="E20" i="1"/>
  <c r="E189" i="1"/>
  <c r="E46" i="1"/>
  <c r="N185" i="11"/>
  <c r="E49" i="1"/>
  <c r="E84" i="1"/>
  <c r="E85" i="1"/>
  <c r="E122" i="1"/>
  <c r="E180" i="1"/>
  <c r="E14" i="1"/>
  <c r="E22" i="1"/>
  <c r="E25" i="1"/>
  <c r="E26" i="1"/>
  <c r="E147" i="1"/>
  <c r="E184" i="1"/>
  <c r="E56" i="1"/>
  <c r="E145" i="1"/>
  <c r="E33" i="1"/>
  <c r="E34" i="1"/>
  <c r="E155" i="1"/>
  <c r="E67" i="1"/>
  <c r="E95" i="1"/>
  <c r="E135" i="1"/>
  <c r="E75" i="1"/>
  <c r="E105" i="1"/>
  <c r="E165" i="1"/>
  <c r="E76" i="1"/>
  <c r="E81" i="1"/>
  <c r="E174" i="1"/>
  <c r="E57" i="1"/>
  <c r="E82" i="1"/>
  <c r="E112" i="1"/>
  <c r="E146" i="1"/>
  <c r="E175" i="1"/>
  <c r="E35" i="1"/>
  <c r="E63" i="1"/>
  <c r="S30" i="10"/>
  <c r="E15" i="1"/>
  <c r="E64" i="1"/>
  <c r="E123" i="1"/>
  <c r="E153" i="1"/>
  <c r="E65" i="1"/>
  <c r="E90" i="1"/>
  <c r="E124" i="1"/>
  <c r="E154" i="1"/>
  <c r="E183" i="1"/>
  <c r="E91" i="1"/>
  <c r="E133" i="1"/>
  <c r="E157" i="1"/>
  <c r="E66" i="1"/>
  <c r="E134" i="1"/>
  <c r="E156" i="1"/>
  <c r="E45" i="1"/>
  <c r="E160" i="1"/>
  <c r="E72" i="1"/>
  <c r="E97" i="1"/>
  <c r="E136" i="1"/>
  <c r="E161" i="1"/>
  <c r="E23" i="1"/>
  <c r="E47" i="1"/>
  <c r="E73" i="1"/>
  <c r="E103" i="1"/>
  <c r="E137" i="1"/>
  <c r="E162" i="1"/>
  <c r="E48" i="1"/>
  <c r="E74" i="1"/>
  <c r="E104" i="1"/>
  <c r="E138" i="1"/>
  <c r="E106" i="1"/>
  <c r="E166" i="1"/>
  <c r="E51" i="1"/>
  <c r="E77" i="1"/>
  <c r="E107" i="1"/>
  <c r="E167" i="1"/>
  <c r="E54" i="1"/>
  <c r="E108" i="1"/>
  <c r="E143" i="1"/>
  <c r="E86" i="1"/>
  <c r="E130" i="1"/>
  <c r="E131" i="1" s="1"/>
  <c r="E69" i="1"/>
  <c r="E96" i="1"/>
  <c r="E139" i="1"/>
  <c r="E50" i="1"/>
  <c r="E142" i="1"/>
  <c r="E78" i="1"/>
  <c r="E168" i="1"/>
  <c r="E55" i="1"/>
  <c r="E109" i="1"/>
  <c r="E144" i="1"/>
  <c r="E169" i="1"/>
  <c r="E30" i="9"/>
  <c r="N52" i="11"/>
  <c r="N101" i="11"/>
  <c r="N140" i="11"/>
  <c r="N163" i="11"/>
  <c r="N79" i="11"/>
  <c r="N61" i="11"/>
  <c r="T149" i="10"/>
  <c r="T61" i="10"/>
  <c r="T181" i="10"/>
  <c r="T88" i="10"/>
  <c r="T119" i="10"/>
  <c r="T185" i="10"/>
  <c r="T92" i="10"/>
  <c r="T131" i="10"/>
  <c r="T101" i="10"/>
  <c r="V101" i="9"/>
  <c r="V185" i="9"/>
  <c r="V61" i="9"/>
  <c r="V149" i="9"/>
  <c r="V88" i="9"/>
  <c r="V119" i="9"/>
  <c r="V131" i="9"/>
  <c r="V163" i="9"/>
  <c r="V181" i="9"/>
  <c r="V92" i="9"/>
  <c r="V140" i="9"/>
  <c r="V52" i="9"/>
  <c r="V79" i="9"/>
  <c r="V110" i="9"/>
  <c r="V172" i="9"/>
  <c r="V158" i="9"/>
  <c r="V70" i="9"/>
  <c r="T158" i="10"/>
  <c r="T70" i="10"/>
  <c r="T163" i="10"/>
  <c r="T52" i="10"/>
  <c r="T110" i="10"/>
  <c r="T140" i="10"/>
  <c r="T79" i="10"/>
  <c r="T172" i="10"/>
  <c r="N149" i="11"/>
  <c r="N181" i="11"/>
  <c r="N70" i="11"/>
  <c r="N92" i="11"/>
  <c r="N158" i="11"/>
  <c r="E30" i="11"/>
  <c r="N131" i="11"/>
  <c r="O181" i="3"/>
  <c r="O110" i="3"/>
  <c r="O140" i="3"/>
  <c r="O79" i="3"/>
  <c r="O149" i="3"/>
  <c r="O163" i="3"/>
  <c r="O101" i="3"/>
  <c r="O172" i="3"/>
  <c r="O52" i="3"/>
  <c r="O61" i="3"/>
  <c r="O185" i="3"/>
  <c r="O88" i="3"/>
  <c r="O119" i="3"/>
  <c r="O158" i="3"/>
  <c r="O92" i="3"/>
  <c r="M30" i="3"/>
  <c r="L30" i="3"/>
  <c r="O70" i="3"/>
  <c r="O131" i="3"/>
  <c r="L188" i="3"/>
  <c r="L190" i="3" s="1"/>
  <c r="K188" i="3"/>
  <c r="K190" i="3" s="1"/>
  <c r="N30" i="3"/>
  <c r="F188" i="3"/>
  <c r="F190" i="3" s="1"/>
  <c r="E188" i="3"/>
  <c r="E190" i="3" s="1"/>
  <c r="M188" i="3"/>
  <c r="M190" i="3" s="1"/>
  <c r="J188" i="3"/>
  <c r="J190" i="3" s="1"/>
  <c r="N188" i="3"/>
  <c r="N190" i="3" s="1"/>
  <c r="I30" i="3"/>
  <c r="G188" i="3"/>
  <c r="G190" i="3" s="1"/>
  <c r="K30" i="3"/>
  <c r="J30" i="3"/>
  <c r="I188" i="3"/>
  <c r="I190" i="3" s="1"/>
  <c r="M30" i="11"/>
  <c r="O30" i="9"/>
  <c r="G30" i="3"/>
  <c r="H30" i="3"/>
  <c r="F30" i="3"/>
  <c r="I188" i="11"/>
  <c r="I190" i="11" s="1"/>
  <c r="G30" i="11"/>
  <c r="H30" i="11"/>
  <c r="F30" i="11"/>
  <c r="E30" i="10"/>
  <c r="L30" i="10"/>
  <c r="O30" i="10"/>
  <c r="L188" i="10"/>
  <c r="L190" i="10" s="1"/>
  <c r="O188" i="9"/>
  <c r="O190" i="9" s="1"/>
  <c r="V21" i="9"/>
  <c r="H188" i="11"/>
  <c r="H190" i="11" s="1"/>
  <c r="N21" i="11"/>
  <c r="K188" i="11"/>
  <c r="K190" i="11" s="1"/>
  <c r="N24" i="11"/>
  <c r="N28" i="11"/>
  <c r="L188" i="11"/>
  <c r="L190" i="11" s="1"/>
  <c r="E188" i="11"/>
  <c r="E190" i="11" s="1"/>
  <c r="N16" i="11"/>
  <c r="N29" i="11"/>
  <c r="L30" i="11"/>
  <c r="N36" i="11"/>
  <c r="N41" i="11"/>
  <c r="N27" i="11"/>
  <c r="M188" i="11"/>
  <c r="M190" i="11" s="1"/>
  <c r="G188" i="11"/>
  <c r="G190" i="11" s="1"/>
  <c r="N125" i="11"/>
  <c r="N128" i="11" s="1"/>
  <c r="K30" i="11"/>
  <c r="J188" i="11"/>
  <c r="J190" i="11" s="1"/>
  <c r="F188" i="11"/>
  <c r="F190" i="11" s="1"/>
  <c r="O188" i="10"/>
  <c r="O190" i="10" s="1"/>
  <c r="N188" i="10"/>
  <c r="N190" i="10" s="1"/>
  <c r="T28" i="10"/>
  <c r="M188" i="10"/>
  <c r="M190" i="10" s="1"/>
  <c r="T27" i="10"/>
  <c r="T29" i="10"/>
  <c r="S188" i="10"/>
  <c r="S190" i="10" s="1"/>
  <c r="T125" i="10"/>
  <c r="T128" i="10" s="1"/>
  <c r="T36" i="10"/>
  <c r="T16" i="10"/>
  <c r="M30" i="10"/>
  <c r="T21" i="10"/>
  <c r="T24" i="10"/>
  <c r="T41" i="10"/>
  <c r="N30" i="10"/>
  <c r="E188" i="10"/>
  <c r="V36" i="9"/>
  <c r="V29" i="9"/>
  <c r="V24" i="9"/>
  <c r="V41" i="9"/>
  <c r="V27" i="9"/>
  <c r="V16" i="9"/>
  <c r="V125" i="9"/>
  <c r="E188" i="9"/>
  <c r="V28" i="9"/>
  <c r="E30" i="3"/>
  <c r="O21" i="3"/>
  <c r="O27" i="3"/>
  <c r="O24" i="3"/>
  <c r="O41" i="3"/>
  <c r="O16" i="3"/>
  <c r="O36" i="3"/>
  <c r="O29" i="3"/>
  <c r="O125" i="3"/>
  <c r="O128" i="3" s="1"/>
  <c r="O28" i="3"/>
  <c r="E92" i="1" l="1"/>
  <c r="E125" i="1"/>
  <c r="E128" i="1" s="1"/>
  <c r="E110" i="1"/>
  <c r="E158" i="1"/>
  <c r="E70" i="1"/>
  <c r="E101" i="1"/>
  <c r="E79" i="1"/>
  <c r="E61" i="1"/>
  <c r="E140" i="1"/>
  <c r="E52" i="1"/>
  <c r="E149" i="1"/>
  <c r="E163" i="1"/>
  <c r="E172" i="1"/>
  <c r="E185" i="1"/>
  <c r="E119" i="1"/>
  <c r="E181" i="1"/>
  <c r="E88" i="1"/>
  <c r="V128" i="9"/>
  <c r="O190" i="3"/>
  <c r="O188" i="3"/>
  <c r="V30" i="9"/>
  <c r="N30" i="11"/>
  <c r="N188" i="11"/>
  <c r="N190" i="11"/>
  <c r="T30" i="10"/>
  <c r="T188" i="10"/>
  <c r="E190" i="10"/>
  <c r="T190" i="10" s="1"/>
  <c r="V188" i="9"/>
  <c r="E190" i="9"/>
  <c r="V190" i="9" s="1"/>
  <c r="O30" i="3"/>
  <c r="E188" i="1" l="1"/>
  <c r="E190" i="1" s="1"/>
  <c r="E28" i="1"/>
  <c r="E41" i="1" l="1"/>
  <c r="E29" i="1"/>
  <c r="E27" i="1"/>
  <c r="E24" i="1"/>
  <c r="E21" i="1"/>
  <c r="E16" i="1"/>
  <c r="E30" i="1" l="1"/>
  <c r="E36" i="1" s="1"/>
</calcChain>
</file>

<file path=xl/sharedStrings.xml><?xml version="1.0" encoding="utf-8"?>
<sst xmlns="http://schemas.openxmlformats.org/spreadsheetml/2006/main" count="2997" uniqueCount="212">
  <si>
    <t>I</t>
  </si>
  <si>
    <t>DATA PEMILIH DAN PENGGUNAAN HAK PILIH</t>
  </si>
  <si>
    <t>A</t>
  </si>
  <si>
    <t xml:space="preserve">DATA PEMILIH  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</si>
  <si>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</si>
  <si>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</si>
  <si>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</si>
  <si>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</si>
  <si>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</si>
  <si>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</si>
  <si>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</si>
  <si>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</si>
  <si>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</si>
  <si>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</si>
  <si>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</si>
  <si>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</si>
  <si>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</si>
  <si>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</si>
  <si>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</si>
  <si>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</si>
  <si>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</si>
  <si>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</si>
  <si>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</si>
  <si>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</si>
  <si>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</si>
  <si>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</si>
  <si>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</si>
  <si>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</si>
  <si>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</si>
  <si>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</si>
  <si>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</si>
  <si>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</si>
  <si>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</si>
  <si>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</si>
  <si>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</si>
  <si>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</si>
  <si>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</si>
  <si>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</si>
  <si>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</si>
  <si>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</si>
  <si>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</si>
  <si>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</si>
  <si>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</si>
  <si>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</si>
  <si>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</si>
  <si>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</si>
  <si>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</si>
  <si>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</si>
  <si>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</si>
  <si>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</si>
  <si>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</si>
  <si>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JUMLAH SUARA SAH PARTAI POLITIK DAN CALON (A1 + A2)</t>
  </si>
  <si>
    <t>Partai Gerakan Indonesia Raya</t>
  </si>
  <si>
    <t>Partai Demokrasi Indonesia Perjuangan</t>
  </si>
  <si>
    <t>Partai Golongan Karya</t>
  </si>
  <si>
    <t>5.</t>
  </si>
  <si>
    <t>Partai NasDem</t>
  </si>
  <si>
    <t>6.</t>
  </si>
  <si>
    <t>Partai Buruh</t>
  </si>
  <si>
    <t>7.</t>
  </si>
  <si>
    <t>Partai Gelombang Rakyat Indonesia</t>
  </si>
  <si>
    <t>8.</t>
  </si>
  <si>
    <t>Partai Keadilan Sejahtera</t>
  </si>
  <si>
    <t>9.</t>
  </si>
  <si>
    <t>Partai Kebangkitan Nusantara</t>
  </si>
  <si>
    <t>10.</t>
  </si>
  <si>
    <t>Partai Hati Nurani Rakyat</t>
  </si>
  <si>
    <t>11.</t>
  </si>
  <si>
    <t>Partai Garda Republik Indonesia</t>
  </si>
  <si>
    <t>12.</t>
  </si>
  <si>
    <t>Partai Amanat Nasional</t>
  </si>
  <si>
    <t>13.</t>
  </si>
  <si>
    <t>Partai Bulan Bintang</t>
  </si>
  <si>
    <t>14.</t>
  </si>
  <si>
    <t>Partai Demokrat</t>
  </si>
  <si>
    <t>15.</t>
  </si>
  <si>
    <t>Partai Solidaritas Indonesia</t>
  </si>
  <si>
    <t>16.</t>
  </si>
  <si>
    <t>PARTAI PERINDO</t>
  </si>
  <si>
    <t>17.</t>
  </si>
  <si>
    <t>Partai Persatuan Pembangunan</t>
  </si>
  <si>
    <t>18.</t>
  </si>
  <si>
    <t>Partai Ummat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</si>
  <si>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</si>
  <si>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</si>
  <si>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</si>
  <si>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</si>
  <si>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</si>
  <si>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</si>
  <si>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</si>
  <si>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</si>
  <si>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TPS 019</t>
  </si>
  <si>
    <t>TPS 020</t>
  </si>
  <si>
    <t>TPS 021</t>
  </si>
  <si>
    <t>TPS 022</t>
  </si>
  <si>
    <t>TPS 023</t>
  </si>
  <si>
    <t>TPS 024</t>
  </si>
  <si>
    <t>JUMLAH AKHIR</t>
  </si>
  <si>
    <t>Kecamatan</t>
  </si>
  <si>
    <t>Kabupaten</t>
  </si>
  <si>
    <t>BANYUWANGI</t>
  </si>
  <si>
    <t>Provinsi</t>
  </si>
  <si>
    <t>JAWA TIMUR</t>
  </si>
  <si>
    <t>Kelurahan</t>
  </si>
  <si>
    <t>1. AGUS TARMIDI</t>
  </si>
  <si>
    <t>ROGOJAMPI</t>
  </si>
  <si>
    <t>1. ARVY RIZALDY, S.E.</t>
  </si>
  <si>
    <t>2. HILMI MUSTOFA</t>
  </si>
  <si>
    <t>3. RUSDIANAH, A.Ma.Pd</t>
  </si>
  <si>
    <t>4. USMAN YUSUF</t>
  </si>
  <si>
    <t>5. SA`ADAH</t>
  </si>
  <si>
    <t>6. FARIHA HASANATUL AMALIA</t>
  </si>
  <si>
    <t>1. SUPARMAN EDY H.</t>
  </si>
  <si>
    <t>2. NASIKHUN AMIN</t>
  </si>
  <si>
    <t>3. ENY SETIAWATI, S.H</t>
  </si>
  <si>
    <t>4. H. ABDUL QODIR, S.H., M.H.</t>
  </si>
  <si>
    <t>5. FATMAWATI, S.E.</t>
  </si>
  <si>
    <t>6. NANANG NUR AHMADI</t>
  </si>
  <si>
    <t>1. WAGIANTO</t>
  </si>
  <si>
    <t>2. ERIK TRISDIANTANA</t>
  </si>
  <si>
    <t>3. NI GALUH PARWATI</t>
  </si>
  <si>
    <t>4. DZULFIKAR REZKY</t>
  </si>
  <si>
    <t>5. AMALIYAH</t>
  </si>
  <si>
    <t>6. PUTRI PARAMITA CIPTASARI</t>
  </si>
  <si>
    <t>1. MARIFATUL KAMILA, S.H.</t>
  </si>
  <si>
    <t>2. KUSWORO, S.Pd.</t>
  </si>
  <si>
    <t>3. DIDIK SANTOSO, S.Pd.</t>
  </si>
  <si>
    <t>4. ASYIQ RAHMATULLAH, H</t>
  </si>
  <si>
    <t>5. ARI PANGESTI</t>
  </si>
  <si>
    <t>6. H. HANDOKO, S.E.</t>
  </si>
  <si>
    <t>1. H. EDI PURNOMO</t>
  </si>
  <si>
    <t>2. I GEDE SUDRO WICANO</t>
  </si>
  <si>
    <t>3. TRI MARVILA SUKMANA, S.H.</t>
  </si>
  <si>
    <t>4. ISLAMIYAH LESTARI</t>
  </si>
  <si>
    <t>5. LUTFI WAHYUDI</t>
  </si>
  <si>
    <t>6. AGUS MAIDO</t>
  </si>
  <si>
    <t>1. ERWIN SANTOSO</t>
  </si>
  <si>
    <t>1. SUTRISNO</t>
  </si>
  <si>
    <t>2. MOH. ANNAS</t>
  </si>
  <si>
    <t>3. NI MADE AYU PUNIARSI</t>
  </si>
  <si>
    <t>4. HENDRA KURNIAWAN</t>
  </si>
  <si>
    <t>5. DEASY GITTA PERWITASARI</t>
  </si>
  <si>
    <t>6. SUPRAPTO</t>
  </si>
  <si>
    <t>1. ARIEF WAHYUDI DJ, S.T.</t>
  </si>
  <si>
    <t>2. SUMAJI</t>
  </si>
  <si>
    <t>3. LILIK MARIYANA, S.Pd.</t>
  </si>
  <si>
    <t>4. M. HARUN</t>
  </si>
  <si>
    <t>5. SHOLIHIN, S.P.</t>
  </si>
  <si>
    <t>6. HANIFATUL IMTITSAL, S.K.M.</t>
  </si>
  <si>
    <t>2. DIAH AYU PERDANA</t>
  </si>
  <si>
    <t>3. SITI SUNARSIH</t>
  </si>
  <si>
    <t>4. DIDIK BASUKI</t>
  </si>
  <si>
    <t>5. PUTRI SARI APRILIA</t>
  </si>
  <si>
    <t>6. H. IMAM SOLIKHIN, B.E.</t>
  </si>
  <si>
    <t>1. JUMLANI, S.Pd.</t>
  </si>
  <si>
    <t>2. FIRDA DIAN PRAMANA, S.Pd.</t>
  </si>
  <si>
    <t>3. ENDANG SRI UTAMININGSIH, M.M.Kes.</t>
  </si>
  <si>
    <t>4. SULISTIYOWATI, S.E.I.</t>
  </si>
  <si>
    <t>5. GUNAWAN, S.H.</t>
  </si>
  <si>
    <t>6. ROHIDAH, S.T.</t>
  </si>
  <si>
    <t>1. TIMBUL, S.T., M.M.</t>
  </si>
  <si>
    <t>2. DIDIK BUDIHARTO</t>
  </si>
  <si>
    <t>3. RICA DEBY ARIANTI</t>
  </si>
  <si>
    <t>4. PRANOTO</t>
  </si>
  <si>
    <t>5. NOVIA DEWI MAHARANY</t>
  </si>
  <si>
    <t>6. H. SIGIT WIDIYANTO, S.E.</t>
  </si>
  <si>
    <t>1. NURHADI</t>
  </si>
  <si>
    <t>2. GEDE YANTI ARBAWA</t>
  </si>
  <si>
    <t>3. NURI PURWANINGSIH</t>
  </si>
  <si>
    <t>4. NILU ARISKA PERMATASARI</t>
  </si>
  <si>
    <t>5. AHMAD HOLILI</t>
  </si>
  <si>
    <t>6. ICHMAN HENRY RISANG</t>
  </si>
  <si>
    <t>1. A. DANNY KURNIAWAN, S.M.</t>
  </si>
  <si>
    <t>2. MICHAEL EDY HARIYANTO, S.H., M.H.</t>
  </si>
  <si>
    <t>3. LEONA VELESIA</t>
  </si>
  <si>
    <t>4. MUHAMMAD IQBAL ALFANANI</t>
  </si>
  <si>
    <t>5. GARRY OKTAVIAN TARYONO</t>
  </si>
  <si>
    <t>6. SULIS SETYOWATI</t>
  </si>
  <si>
    <t>1. MOCH. FATHUR ALFIANTO</t>
  </si>
  <si>
    <t>2. ERIZKY NINGTYA BLIMA RAYA</t>
  </si>
  <si>
    <t>1. EKO BANDRIONO</t>
  </si>
  <si>
    <t>2. SUTIYONO</t>
  </si>
  <si>
    <t>3. KHARISMA YUSI RAMADHANI</t>
  </si>
  <si>
    <t>4. SUGENG WICAKSONO</t>
  </si>
  <si>
    <t>5. HERY KURNIAWAN</t>
  </si>
  <si>
    <t>6. DINDA PUTRI FAYZA</t>
  </si>
  <si>
    <t>1. SYAHRONI</t>
  </si>
  <si>
    <t>2. H. MULYADI, S.Ag.</t>
  </si>
  <si>
    <t>3. INDRIANI SRI LESTARI</t>
  </si>
  <si>
    <t>4. ADHADI SUSILO, S.T.</t>
  </si>
  <si>
    <t>5. MUHAMMAD KHOLILURROHMAN</t>
  </si>
  <si>
    <t>6. INDIRA DIAS AYU VRISTANTI, A.Md.Kom.</t>
  </si>
  <si>
    <t>1. MAULANA AFFANDI</t>
  </si>
  <si>
    <t>ALIYAN</t>
  </si>
  <si>
    <t>BUBUK</t>
  </si>
  <si>
    <t>GITIK</t>
  </si>
  <si>
    <t>GLADAG</t>
  </si>
  <si>
    <t>KARANGBENDO</t>
  </si>
  <si>
    <t>KEDALEMAN</t>
  </si>
  <si>
    <t>LEMAHBANGDEWO</t>
  </si>
  <si>
    <t>MANGIR</t>
  </si>
  <si>
    <t>PENGATIGAN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</si>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</sst>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16" xfId="0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2" borderId="0" xfId="0" applyFont="1" applyFill="1"/>
    <xf numFmtId="3" fontId="2" fillId="3" borderId="0" xfId="0" applyNumberFormat="1" applyFont="1" applyFill="1"/>
    <xf numFmtId="0" fontId="2" fillId="3" borderId="0" xfId="0" applyFont="1" applyFill="1"/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 applyAlignment="1">
      <alignment horizontal="center" vertical="center" wrapText="1"/>
    </xf>
    <xf numFmtId="0" fontId="3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3" fillId="0" borderId="4" xfId="0" applyFont="1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3" fillId="0" borderId="9" xfId="0" applyFont="1" applyBorder="1"/>
    <xf numFmtId="0" fontId="3" fillId="0" borderId="3" xfId="0" applyFont="1" applyBorder="1"/>
    <xf numFmtId="0" fontId="4" fillId="0" borderId="11" xfId="0" applyFont="1" applyBorder="1" applyAlignment="1">
      <alignment horizontal="center" vertical="center"/>
    </xf>
    <xf numFmtId="0" fontId="3" fillId="0" borderId="15" xfId="0" applyFont="1" applyBorder="1"/>
    <xf numFmtId="0" fontId="4" fillId="0" borderId="3" xfId="0" applyFont="1" applyBorder="1" applyAlignment="1">
      <alignment vertical="center" wrapText="1"/>
    </xf>
    <xf numFmtId="0" fontId="4" fillId="0" borderId="14" xfId="0" applyFont="1" applyBorder="1" applyAlignment="1">
      <alignment horizontal="left" vertical="center" wrapText="1"/>
    </xf>
    <xf numFmtId="0" fontId="0" fillId="0" borderId="0" xfId="0"/>
    <xf numFmtId="0" fontId="3" fillId="0" borderId="10" xfId="0" applyFont="1" applyBorder="1"/>
    <xf numFmtId="0" fontId="3" fillId="0" borderId="12" xfId="0" applyFont="1" applyBorder="1"/>
    <xf numFmtId="0" fontId="3" fillId="0" borderId="14" xfId="0" applyFont="1" applyBorder="1"/>
    <xf numFmtId="0" fontId="4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1" xfId="0" applyFont="1" applyBorder="1"/>
    <xf numFmtId="0" fontId="4" fillId="0" borderId="8" xfId="0" applyFont="1" applyBorder="1" applyAlignment="1">
      <alignment horizontal="left" vertical="center" wrapText="1"/>
    </xf>
    <xf numFmtId="0" fontId="3" fillId="0" borderId="7" xfId="0" applyFont="1" applyBorder="1"/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3" fillId="0" borderId="13" xfId="0" applyFont="1" applyBorder="1"/>
    <xf numFmtId="0" fontId="3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5" fillId="0" borderId="3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5" fillId="0" borderId="4" xfId="0" applyFont="1" applyBorder="1"/>
  </cellXfs>
  <cellStyles count="1">
    <cellStyle name="Normal" xfId="0" builtinId="0"/>
  </cellStyles>
  <dxfs count="286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B9F4-43D1-4EFD-BC42-FAAF0D7FB350}">
  <sheetPr>
    <outlinePr summaryBelow="0" summaryRight="0"/>
  </sheetPr>
  <dimension ref="A1:HH1224"/>
  <sheetViews>
    <sheetView topLeftCell="A163" zoomScale="70" zoomScaleNormal="70" workbookViewId="0">
      <selection activeCell="A185" sqref="A185:XFD192"/>
    </sheetView>
  </sheetViews>
  <sheetFormatPr defaultColWidth="0" defaultRowHeight="15" customHeight="1" zeroHeight="1" x14ac:dyDescent="0.4"/>
  <cols>
    <col min="1" max="1" width="3.5703125" customWidth="1"/>
    <col min="2" max="2" width="4" customWidth="1"/>
    <col min="3" max="3" width="64.5703125" customWidth="1"/>
    <col min="4" max="4" width="6.5703125" customWidth="1"/>
    <col min="5" max="5" width="18.85546875" customWidth="1"/>
    <col min="6" max="7" width="10.140625" customWidth="1"/>
    <col min="8" max="16" width="10.140625" hidden="1" customWidth="1"/>
    <col min="17" max="216" width="0" hidden="1" customWidth="1"/>
    <col min="217" max="16384" width="12.5703125" hidden="1"/>
  </cols>
  <sheetData>
    <row r="1" spans="1:216" ht="15" customHeight="1" x14ac:dyDescent="0.4"/>
    <row r="2" spans="1:216" ht="15" customHeight="1" x14ac:dyDescent="0.4"/>
    <row r="3" spans="1:216" ht="15" customHeight="1" x14ac:dyDescent="0.4"/>
    <row r="4" spans="1:216" ht="15" customHeight="1" x14ac:dyDescent="0.4"/>
    <row r="5" spans="1:216" ht="15.75" customHeight="1" x14ac:dyDescent="0.4">
      <c r="F5" s="1"/>
      <c r="G5" s="1"/>
      <c r="H5" s="1"/>
      <c r="I5" s="1"/>
      <c r="J5" s="1"/>
      <c r="K5" s="1"/>
      <c r="L5" s="1"/>
      <c r="M5" s="1"/>
      <c r="N5" s="1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</row>
    <row r="6" spans="1:216" ht="15.75" customHeight="1" x14ac:dyDescent="0.4">
      <c r="F6" s="1"/>
      <c r="G6" s="1"/>
      <c r="H6" s="1"/>
      <c r="I6" s="1"/>
      <c r="J6" s="1"/>
      <c r="K6" s="1"/>
      <c r="L6" s="1"/>
      <c r="M6" s="1"/>
      <c r="N6" s="1"/>
      <c r="O6" s="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</row>
    <row r="7" spans="1:216" ht="15.75" customHeight="1" x14ac:dyDescent="0.4">
      <c r="F7" s="20"/>
      <c r="G7" s="20"/>
      <c r="H7" s="20"/>
      <c r="I7" s="20"/>
      <c r="J7" s="20"/>
      <c r="K7" s="20"/>
      <c r="L7" s="20"/>
      <c r="M7" s="20"/>
      <c r="N7" s="20"/>
      <c r="O7" s="20"/>
      <c r="P7" s="32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</row>
    <row r="8" spans="1:216" ht="15.75" customHeight="1" x14ac:dyDescent="0.4">
      <c r="C8" s="43" t="s">
        <v>98</v>
      </c>
      <c r="D8" s="43" t="s">
        <v>105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</row>
    <row r="9" spans="1:216" ht="15.75" customHeight="1" x14ac:dyDescent="0.4">
      <c r="C9" s="43" t="s">
        <v>99</v>
      </c>
      <c r="D9" s="43" t="s">
        <v>100</v>
      </c>
      <c r="F9" s="1"/>
      <c r="G9" s="1"/>
      <c r="H9" s="1"/>
      <c r="I9" s="1"/>
      <c r="J9" s="1"/>
      <c r="K9" s="1"/>
      <c r="L9" s="1"/>
      <c r="M9" s="1"/>
      <c r="N9" s="1"/>
      <c r="O9" s="1"/>
      <c r="P9" s="34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</row>
    <row r="10" spans="1:216" ht="15.75" customHeight="1" x14ac:dyDescent="0.4">
      <c r="C10" s="43" t="s">
        <v>101</v>
      </c>
      <c r="D10" s="43" t="s">
        <v>102</v>
      </c>
      <c r="F10" s="20"/>
      <c r="G10" s="20"/>
      <c r="H10" s="20"/>
      <c r="I10" s="20"/>
      <c r="J10" s="20"/>
      <c r="K10" s="20"/>
      <c r="L10" s="20"/>
      <c r="M10" s="20"/>
      <c r="N10" s="20"/>
      <c r="O10" s="23"/>
      <c r="P10" s="3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</row>
    <row r="11" spans="1:216" ht="15.75" customHeight="1" x14ac:dyDescent="0.4">
      <c r="A11" s="1"/>
      <c r="B11" s="2"/>
      <c r="C11" s="2"/>
      <c r="D11" s="2"/>
      <c r="E11" s="1"/>
      <c r="F11" s="20"/>
      <c r="G11" s="20"/>
      <c r="H11" s="20"/>
      <c r="I11" s="20"/>
      <c r="J11" s="20"/>
      <c r="K11" s="20"/>
      <c r="L11" s="20"/>
      <c r="M11" s="20"/>
      <c r="N11" s="20"/>
      <c r="O11" s="23"/>
      <c r="P11" s="3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</row>
    <row r="12" spans="1:216" ht="15.75" customHeight="1" x14ac:dyDescent="0.4">
      <c r="A12" s="5" t="s">
        <v>0</v>
      </c>
      <c r="B12" s="56" t="s">
        <v>1</v>
      </c>
      <c r="C12" s="69"/>
      <c r="D12" s="60"/>
      <c r="E12" s="79" t="s">
        <v>97</v>
      </c>
      <c r="F12" s="39"/>
      <c r="G12" s="20"/>
      <c r="H12" s="20"/>
      <c r="I12" s="20"/>
      <c r="J12" s="20"/>
      <c r="K12" s="20"/>
      <c r="L12" s="20"/>
      <c r="M12" s="20"/>
      <c r="N12" s="20"/>
      <c r="O12" s="20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</row>
    <row r="13" spans="1:216" ht="15.75" customHeight="1" x14ac:dyDescent="0.4">
      <c r="A13" s="6" t="s">
        <v>2</v>
      </c>
      <c r="B13" s="78" t="s">
        <v>3</v>
      </c>
      <c r="C13" s="69"/>
      <c r="D13" s="60"/>
      <c r="E13" s="80"/>
      <c r="F13" s="39"/>
      <c r="G13" s="20"/>
      <c r="H13" s="20"/>
      <c r="I13" s="20"/>
      <c r="J13" s="20"/>
      <c r="K13" s="20"/>
      <c r="L13" s="20"/>
      <c r="M13" s="20"/>
      <c r="N13" s="20"/>
      <c r="O13" s="20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</row>
    <row r="14" spans="1:216" ht="15.75" customHeight="1" x14ac:dyDescent="0.4">
      <c r="A14" s="7"/>
      <c r="B14" s="81" t="s">
        <v>22</v>
      </c>
      <c r="C14" s="68"/>
      <c r="D14" s="6" t="s">
        <v>23</v>
      </c>
      <c r="E14" s="9">
        <f>ALIYAN!V14+BUBUK!T14+GITIK!N14+GLADAG!W14+KARANGBENDO!Z14+KEDALEMAN!S14+LEMAHBANGDEWO!O14+MANGIR!S14+PENGATIGAN!Y14+ROGOJAMPI!AM14</f>
        <v>21517</v>
      </c>
      <c r="F14" s="40"/>
      <c r="G14" s="1"/>
      <c r="H14" s="1"/>
      <c r="I14" s="1"/>
      <c r="J14" s="1"/>
      <c r="K14" s="1"/>
      <c r="L14" s="1"/>
      <c r="M14" s="1"/>
      <c r="N14" s="1"/>
      <c r="O14" s="1"/>
      <c r="P14" s="34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</row>
    <row r="15" spans="1:216" ht="15.75" customHeight="1" x14ac:dyDescent="0.4">
      <c r="A15" s="7"/>
      <c r="B15" s="82"/>
      <c r="C15" s="75"/>
      <c r="D15" s="6" t="s">
        <v>24</v>
      </c>
      <c r="E15" s="9">
        <f>ALIYAN!V15+BUBUK!T15+GITIK!N15+GLADAG!W15+KARANGBENDO!Z15+KEDALEMAN!S15+LEMAHBANGDEWO!O15+MANGIR!S15+PENGATIGAN!Y15+ROGOJAMPI!AM15</f>
        <v>22214</v>
      </c>
      <c r="F15" s="39"/>
      <c r="G15" s="20"/>
      <c r="H15" s="20"/>
      <c r="I15" s="20"/>
      <c r="J15" s="20"/>
      <c r="K15" s="20"/>
      <c r="L15" s="20"/>
      <c r="M15" s="20"/>
      <c r="N15" s="20"/>
      <c r="O15" s="20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</row>
    <row r="16" spans="1:216" ht="15.75" customHeight="1" x14ac:dyDescent="0.4">
      <c r="A16" s="8"/>
      <c r="B16" s="80"/>
      <c r="C16" s="76"/>
      <c r="D16" s="5" t="s">
        <v>25</v>
      </c>
      <c r="E16" s="25">
        <f t="shared" ref="E16" si="0">SUM(E14:E15)</f>
        <v>43731</v>
      </c>
      <c r="F16" s="39"/>
      <c r="G16" s="20"/>
      <c r="H16" s="20"/>
      <c r="I16" s="20"/>
      <c r="J16" s="20"/>
      <c r="K16" s="20"/>
      <c r="L16" s="20"/>
      <c r="M16" s="20"/>
      <c r="N16" s="20"/>
      <c r="O16" s="20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</row>
    <row r="17" spans="1:216" ht="15.75" customHeight="1" x14ac:dyDescent="0.4">
      <c r="A17" s="61"/>
      <c r="B17" s="69"/>
      <c r="C17" s="69"/>
      <c r="D17" s="60"/>
      <c r="E17" s="9"/>
      <c r="F17" s="40"/>
      <c r="G17" s="1"/>
      <c r="H17" s="1"/>
      <c r="I17" s="1"/>
      <c r="J17" s="1"/>
      <c r="K17" s="1"/>
      <c r="L17" s="1"/>
      <c r="M17" s="1"/>
      <c r="N17" s="1"/>
      <c r="O17" s="1"/>
      <c r="P17" s="34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</row>
    <row r="18" spans="1:216" ht="15.75" customHeight="1" x14ac:dyDescent="0.4">
      <c r="A18" s="11" t="s">
        <v>26</v>
      </c>
      <c r="B18" s="78" t="s">
        <v>27</v>
      </c>
      <c r="C18" s="69"/>
      <c r="D18" s="60"/>
      <c r="E18" s="9"/>
      <c r="F18" s="39"/>
      <c r="G18" s="20"/>
      <c r="H18" s="20"/>
      <c r="I18" s="20"/>
      <c r="J18" s="20"/>
      <c r="K18" s="20"/>
      <c r="L18" s="20"/>
      <c r="M18" s="20"/>
      <c r="N18" s="20"/>
      <c r="O18" s="20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</row>
    <row r="19" spans="1:216" ht="15.75" customHeight="1" x14ac:dyDescent="0.4">
      <c r="A19" s="11"/>
      <c r="B19" s="83" t="s">
        <v>28</v>
      </c>
      <c r="C19" s="84" t="s">
        <v>29</v>
      </c>
      <c r="D19" s="6" t="s">
        <v>23</v>
      </c>
      <c r="E19" s="9">
        <f>ALIYAN!V19+BUBUK!T19+GITIK!N19+GLADAG!W19+KARANGBENDO!Z19+KEDALEMAN!S19+LEMAHBANGDEWO!O19+MANGIR!S19+PENGATIGAN!Y19+ROGOJAMPI!AM19</f>
        <v>16689</v>
      </c>
      <c r="F19" s="39"/>
      <c r="G19" s="20"/>
      <c r="H19" s="20"/>
      <c r="I19" s="20"/>
      <c r="J19" s="20"/>
      <c r="K19" s="20"/>
      <c r="L19" s="20"/>
      <c r="M19" s="20"/>
      <c r="N19" s="20"/>
      <c r="O19" s="20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</row>
    <row r="20" spans="1:216" ht="15.75" customHeight="1" x14ac:dyDescent="0.4">
      <c r="A20" s="12"/>
      <c r="B20" s="75"/>
      <c r="C20" s="85"/>
      <c r="D20" s="6" t="s">
        <v>24</v>
      </c>
      <c r="E20" s="9">
        <f>ALIYAN!V20+BUBUK!T20+GITIK!N20+GLADAG!W20+KARANGBENDO!Z20+KEDALEMAN!S20+LEMAHBANGDEWO!O20+MANGIR!S20+PENGATIGAN!Y20+ROGOJAMPI!AM20</f>
        <v>18262</v>
      </c>
      <c r="F20" s="40"/>
      <c r="G20" s="1"/>
      <c r="H20" s="1"/>
      <c r="I20" s="1"/>
      <c r="J20" s="1"/>
      <c r="K20" s="1"/>
      <c r="L20" s="1"/>
      <c r="M20" s="1"/>
      <c r="N20" s="1"/>
      <c r="O20" s="1"/>
      <c r="P20" s="34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</row>
    <row r="21" spans="1:216" ht="15.75" customHeight="1" x14ac:dyDescent="0.4">
      <c r="A21" s="13"/>
      <c r="B21" s="76"/>
      <c r="C21" s="86"/>
      <c r="D21" s="5" t="s">
        <v>25</v>
      </c>
      <c r="E21" s="25">
        <f t="shared" ref="E21" si="1">SUM(E19:E20)</f>
        <v>34951</v>
      </c>
      <c r="F21" s="40"/>
      <c r="G21" s="1"/>
      <c r="H21" s="1"/>
      <c r="I21" s="1"/>
      <c r="J21" s="1"/>
      <c r="K21" s="1"/>
      <c r="L21" s="1"/>
      <c r="M21" s="1"/>
      <c r="N21" s="1"/>
      <c r="O21" s="1"/>
      <c r="P21" s="34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</row>
    <row r="22" spans="1:216" ht="15.75" customHeight="1" x14ac:dyDescent="0.4">
      <c r="A22" s="12"/>
      <c r="B22" s="83" t="s">
        <v>30</v>
      </c>
      <c r="C22" s="84" t="s">
        <v>31</v>
      </c>
      <c r="D22" s="6" t="s">
        <v>23</v>
      </c>
      <c r="E22" s="9">
        <f>ALIYAN!V22+BUBUK!T22+GITIK!N22+GLADAG!W22+KARANGBENDO!Z22+KEDALEMAN!S22+LEMAHBANGDEWO!O22+MANGIR!S22+PENGATIGAN!Y22+ROGOJAMPI!AM22</f>
        <v>61</v>
      </c>
      <c r="F22" s="40"/>
      <c r="G22" s="1"/>
      <c r="H22" s="1"/>
      <c r="I22" s="1"/>
      <c r="J22" s="1"/>
      <c r="K22" s="1"/>
      <c r="L22" s="1"/>
      <c r="M22" s="1"/>
      <c r="N22" s="1"/>
      <c r="O22" s="1"/>
      <c r="P22" s="34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</row>
    <row r="23" spans="1:216" ht="15.75" customHeight="1" x14ac:dyDescent="0.4">
      <c r="A23" s="12"/>
      <c r="B23" s="75"/>
      <c r="C23" s="85"/>
      <c r="D23" s="6" t="s">
        <v>24</v>
      </c>
      <c r="E23" s="9">
        <f>ALIYAN!V23+BUBUK!T23+GITIK!N23+GLADAG!W23+KARANGBENDO!Z23+KEDALEMAN!S23+LEMAHBANGDEWO!O23+MANGIR!S23+PENGATIGAN!Y23+ROGOJAMPI!AM23</f>
        <v>82</v>
      </c>
      <c r="F23" s="40"/>
      <c r="G23" s="1"/>
      <c r="H23" s="1"/>
      <c r="I23" s="1"/>
      <c r="J23" s="1"/>
      <c r="K23" s="1"/>
      <c r="L23" s="1"/>
      <c r="M23" s="1"/>
      <c r="N23" s="1"/>
      <c r="O23" s="1"/>
      <c r="P23" s="34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</row>
    <row r="24" spans="1:216" ht="15.75" customHeight="1" x14ac:dyDescent="0.4">
      <c r="A24" s="13"/>
      <c r="B24" s="76"/>
      <c r="C24" s="86"/>
      <c r="D24" s="5" t="s">
        <v>25</v>
      </c>
      <c r="E24" s="25">
        <f t="shared" ref="E24" si="2">SUM(E22:E23)</f>
        <v>143</v>
      </c>
      <c r="F24" s="39"/>
      <c r="G24" s="20"/>
      <c r="H24" s="20"/>
      <c r="I24" s="20"/>
      <c r="J24" s="20"/>
      <c r="K24" s="20"/>
      <c r="L24" s="20"/>
      <c r="M24" s="20"/>
      <c r="N24" s="20"/>
      <c r="O24" s="23"/>
      <c r="P24" s="3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</row>
    <row r="25" spans="1:216" ht="15.75" customHeight="1" x14ac:dyDescent="0.4">
      <c r="A25" s="12"/>
      <c r="B25" s="83" t="s">
        <v>32</v>
      </c>
      <c r="C25" s="84" t="s">
        <v>33</v>
      </c>
      <c r="D25" s="6" t="s">
        <v>23</v>
      </c>
      <c r="E25" s="9">
        <f>ALIYAN!V25+BUBUK!T25+GITIK!N25+GLADAG!W25+KARANGBENDO!Z25+KEDALEMAN!S25+LEMAHBANGDEWO!O25+MANGIR!S25+PENGATIGAN!Y25+ROGOJAMPI!AM25</f>
        <v>164</v>
      </c>
      <c r="F25" s="40"/>
      <c r="G25" s="1"/>
      <c r="H25" s="1"/>
      <c r="I25" s="1"/>
      <c r="J25" s="1"/>
      <c r="K25" s="1"/>
      <c r="L25" s="1"/>
      <c r="M25" s="1"/>
      <c r="N25" s="1"/>
      <c r="O25" s="3"/>
      <c r="P25" s="3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</row>
    <row r="26" spans="1:216" ht="15.75" customHeight="1" x14ac:dyDescent="0.4">
      <c r="A26" s="12"/>
      <c r="B26" s="75"/>
      <c r="C26" s="85"/>
      <c r="D26" s="6" t="s">
        <v>24</v>
      </c>
      <c r="E26" s="9">
        <f>ALIYAN!V26+BUBUK!T26+GITIK!N26+GLADAG!W26+KARANGBENDO!Z26+KEDALEMAN!S26+LEMAHBANGDEWO!O26+MANGIR!S26+PENGATIGAN!Y26+ROGOJAMPI!AM26</f>
        <v>209</v>
      </c>
      <c r="F26" s="39"/>
      <c r="G26" s="20"/>
      <c r="H26" s="20"/>
      <c r="I26" s="20"/>
      <c r="J26" s="20"/>
      <c r="K26" s="20"/>
      <c r="L26" s="20"/>
      <c r="M26" s="20"/>
      <c r="N26" s="20"/>
      <c r="O26" s="20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</row>
    <row r="27" spans="1:216" ht="15.75" customHeight="1" x14ac:dyDescent="0.4">
      <c r="A27" s="13"/>
      <c r="B27" s="76"/>
      <c r="C27" s="86"/>
      <c r="D27" s="5" t="s">
        <v>25</v>
      </c>
      <c r="E27" s="25">
        <f t="shared" ref="E27" si="3">SUM(E25:E26)</f>
        <v>373</v>
      </c>
      <c r="F27" s="40"/>
      <c r="G27" s="1"/>
      <c r="H27" s="1"/>
      <c r="I27" s="1"/>
      <c r="J27" s="1"/>
      <c r="K27" s="1"/>
      <c r="L27" s="1"/>
      <c r="M27" s="1"/>
      <c r="N27" s="1"/>
      <c r="O27" s="1"/>
      <c r="P27" s="34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</row>
    <row r="28" spans="1:216" ht="15.75" customHeight="1" x14ac:dyDescent="0.4">
      <c r="A28" s="13"/>
      <c r="B28" s="87" t="s">
        <v>34</v>
      </c>
      <c r="C28" s="88" t="s">
        <v>35</v>
      </c>
      <c r="D28" s="5" t="s">
        <v>23</v>
      </c>
      <c r="E28" s="25">
        <f t="shared" ref="E28:E29" si="4">E19+E22+E25</f>
        <v>16914</v>
      </c>
      <c r="F28" s="39"/>
      <c r="G28" s="20"/>
      <c r="H28" s="20"/>
      <c r="I28" s="20"/>
      <c r="J28" s="20"/>
      <c r="K28" s="20"/>
      <c r="L28" s="20"/>
      <c r="M28" s="20"/>
      <c r="N28" s="20"/>
      <c r="O28" s="20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</row>
    <row r="29" spans="1:216" ht="15.75" customHeight="1" x14ac:dyDescent="0.4">
      <c r="A29" s="13"/>
      <c r="B29" s="75"/>
      <c r="C29" s="85"/>
      <c r="D29" s="5" t="s">
        <v>24</v>
      </c>
      <c r="E29" s="25">
        <f t="shared" si="4"/>
        <v>18553</v>
      </c>
      <c r="F29" s="40"/>
      <c r="G29" s="1"/>
      <c r="H29" s="1"/>
      <c r="I29" s="1"/>
      <c r="J29" s="1"/>
      <c r="K29" s="1"/>
      <c r="L29" s="1"/>
      <c r="M29" s="1"/>
      <c r="N29" s="1"/>
      <c r="O29" s="1"/>
      <c r="P29" s="34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</row>
    <row r="30" spans="1:216" ht="15.75" customHeight="1" x14ac:dyDescent="0.4">
      <c r="A30" s="13"/>
      <c r="B30" s="76"/>
      <c r="C30" s="86"/>
      <c r="D30" s="5" t="s">
        <v>25</v>
      </c>
      <c r="E30" s="25">
        <f t="shared" ref="E30" si="5">SUM(E28:E29)</f>
        <v>35467</v>
      </c>
      <c r="F30" s="41"/>
      <c r="G30" s="30"/>
      <c r="H30" s="30"/>
      <c r="I30" s="30"/>
      <c r="J30" s="30"/>
      <c r="K30" s="20"/>
      <c r="L30" s="20"/>
      <c r="M30" s="20"/>
      <c r="N30" s="20"/>
      <c r="O30" s="23"/>
      <c r="P30" s="35"/>
      <c r="Q30" s="30"/>
      <c r="R30" s="30"/>
      <c r="S30" s="30"/>
      <c r="T30" s="30"/>
      <c r="U30" s="4"/>
      <c r="V30" s="4"/>
      <c r="W30" s="4"/>
      <c r="X30" s="30"/>
      <c r="Y30" s="30"/>
      <c r="Z30" s="30"/>
      <c r="AA30" s="30"/>
      <c r="AB30" s="4"/>
      <c r="AC30" s="4"/>
      <c r="AD30" s="4"/>
      <c r="AE30" s="4"/>
      <c r="AF30" s="4"/>
      <c r="AG30" s="4"/>
      <c r="AH30" s="4"/>
      <c r="AI30" s="30"/>
      <c r="AJ30" s="30"/>
      <c r="AK30" s="30"/>
      <c r="AL30" s="30"/>
      <c r="AM30" s="4"/>
      <c r="AN30" s="4"/>
      <c r="AO30" s="4"/>
      <c r="AP30" s="4"/>
      <c r="AQ30" s="4"/>
      <c r="AR30" s="4"/>
      <c r="AS30" s="4"/>
      <c r="AT30" s="30"/>
      <c r="AU30" s="30"/>
      <c r="AV30" s="30"/>
      <c r="AW30" s="30"/>
      <c r="AX30" s="4"/>
      <c r="AY30" s="4"/>
      <c r="AZ30" s="4"/>
      <c r="BA30" s="4"/>
      <c r="BB30" s="4"/>
      <c r="BC30" s="4"/>
      <c r="BD30" s="4"/>
      <c r="BE30" s="4"/>
      <c r="BF30" s="30"/>
      <c r="BG30" s="30"/>
      <c r="BH30" s="30"/>
      <c r="BI30" s="30"/>
      <c r="BJ30" s="4"/>
      <c r="BK30" s="4"/>
      <c r="BL30" s="30"/>
      <c r="BM30" s="30"/>
      <c r="BN30" s="30"/>
      <c r="BO30" s="30"/>
      <c r="BP30" s="4"/>
      <c r="BQ30" s="4"/>
      <c r="BR30" s="4"/>
      <c r="BS30" s="30"/>
      <c r="BT30" s="30"/>
      <c r="BU30" s="30"/>
      <c r="BV30" s="30"/>
      <c r="BW30" s="4"/>
      <c r="BX30" s="4"/>
      <c r="BY30" s="4"/>
      <c r="BZ30" s="4"/>
      <c r="CA30" s="4"/>
      <c r="CB30" s="30"/>
      <c r="CC30" s="30"/>
      <c r="CD30" s="30"/>
      <c r="CE30" s="30"/>
      <c r="CF30" s="4"/>
      <c r="CG30" s="4"/>
      <c r="CH30" s="30"/>
      <c r="CI30" s="30"/>
      <c r="CJ30" s="30"/>
      <c r="CK30" s="30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30"/>
      <c r="DA30" s="30"/>
      <c r="DB30" s="30"/>
      <c r="DC30" s="30"/>
      <c r="DD30" s="4"/>
      <c r="DE30" s="4"/>
      <c r="DF30" s="4"/>
      <c r="DG30" s="4"/>
      <c r="DH30" s="4"/>
      <c r="DI30" s="4"/>
      <c r="DJ30" s="4"/>
      <c r="DK30" s="4"/>
      <c r="DL30" s="30"/>
      <c r="DM30" s="30"/>
      <c r="DN30" s="30"/>
      <c r="DO30" s="30"/>
      <c r="DP30" s="4"/>
      <c r="DQ30" s="4"/>
      <c r="DR30" s="4"/>
      <c r="DS30" s="4"/>
      <c r="DT30" s="30"/>
      <c r="DU30" s="30"/>
      <c r="DV30" s="30"/>
      <c r="DW30" s="30"/>
      <c r="DX30" s="4"/>
      <c r="DY30" s="4"/>
      <c r="DZ30" s="30"/>
      <c r="EA30" s="30"/>
      <c r="EB30" s="30"/>
      <c r="EC30" s="30"/>
      <c r="ED30" s="4"/>
      <c r="EE30" s="4"/>
      <c r="EF30" s="4"/>
      <c r="EG30" s="4"/>
      <c r="EH30" s="4"/>
      <c r="EI30" s="4"/>
      <c r="EJ30" s="4"/>
      <c r="EK30" s="4"/>
      <c r="EL30" s="4"/>
      <c r="EM30" s="30"/>
      <c r="EN30" s="30"/>
      <c r="EO30" s="30"/>
      <c r="EP30" s="30"/>
      <c r="EQ30" s="4"/>
      <c r="ER30" s="4"/>
      <c r="ES30" s="4"/>
      <c r="ET30" s="4"/>
      <c r="EU30" s="4"/>
      <c r="EV30" s="4"/>
      <c r="EW30" s="4"/>
      <c r="EX30" s="4"/>
      <c r="EY30" s="4"/>
      <c r="EZ30" s="30"/>
      <c r="FA30" s="30"/>
      <c r="FB30" s="30"/>
      <c r="FC30" s="30"/>
      <c r="FD30" s="4"/>
      <c r="FE30" s="4"/>
      <c r="FF30" s="30"/>
      <c r="FG30" s="30"/>
      <c r="FH30" s="30"/>
      <c r="FI30" s="30"/>
      <c r="FJ30" s="4"/>
      <c r="FK30" s="30"/>
      <c r="FL30" s="30"/>
      <c r="FM30" s="30"/>
      <c r="FN30" s="30"/>
      <c r="FO30" s="4"/>
      <c r="FP30" s="4"/>
      <c r="FQ30" s="4"/>
      <c r="FR30" s="30"/>
      <c r="FS30" s="30"/>
      <c r="FT30" s="30"/>
      <c r="FU30" s="30"/>
      <c r="FV30" s="4"/>
      <c r="FW30" s="4"/>
      <c r="FX30" s="4"/>
      <c r="FY30" s="30"/>
      <c r="FZ30" s="30"/>
      <c r="GA30" s="4"/>
      <c r="GB30" s="30"/>
      <c r="GC30" s="30"/>
      <c r="GD30" s="30"/>
      <c r="GE30" s="30"/>
      <c r="GF30" s="4"/>
      <c r="GG30" s="4"/>
      <c r="GH30" s="4"/>
      <c r="GI30" s="4"/>
      <c r="GJ30" s="4"/>
      <c r="GK30" s="4"/>
      <c r="GL30" s="4"/>
      <c r="GM30" s="4"/>
      <c r="GN30" s="30"/>
      <c r="GO30" s="30"/>
      <c r="GP30" s="30"/>
      <c r="GQ30" s="30"/>
      <c r="GR30" s="4"/>
      <c r="GS30" s="4"/>
      <c r="GT30" s="4"/>
      <c r="GU30" s="4"/>
      <c r="GV30" s="4"/>
      <c r="GW30" s="4"/>
      <c r="GX30" s="4"/>
      <c r="GY30" s="30"/>
      <c r="GZ30" s="30"/>
      <c r="HA30" s="30"/>
      <c r="HB30" s="30"/>
      <c r="HC30" s="4"/>
      <c r="HD30" s="4"/>
      <c r="HE30" s="4"/>
      <c r="HF30" s="4"/>
      <c r="HG30" s="4"/>
      <c r="HH30" s="4"/>
    </row>
    <row r="31" spans="1:216" ht="15.75" customHeight="1" x14ac:dyDescent="0.4">
      <c r="A31" s="61"/>
      <c r="B31" s="69"/>
      <c r="C31" s="69"/>
      <c r="D31" s="60"/>
      <c r="E31" s="29"/>
      <c r="F31" s="40"/>
      <c r="G31" s="1"/>
      <c r="H31" s="1"/>
      <c r="I31" s="1"/>
      <c r="J31" s="1"/>
      <c r="K31" s="1"/>
      <c r="L31" s="1"/>
      <c r="M31" s="1"/>
      <c r="N31" s="1"/>
      <c r="O31" s="3"/>
      <c r="P31" s="3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</row>
    <row r="32" spans="1:216" ht="15.75" customHeight="1" x14ac:dyDescent="0.4">
      <c r="A32" s="14" t="s">
        <v>36</v>
      </c>
      <c r="B32" s="56" t="s">
        <v>37</v>
      </c>
      <c r="C32" s="69"/>
      <c r="D32" s="60"/>
      <c r="E32" s="25"/>
      <c r="F32" s="39"/>
      <c r="G32" s="20"/>
      <c r="H32" s="20"/>
      <c r="I32" s="20"/>
      <c r="J32" s="20"/>
      <c r="K32" s="20"/>
      <c r="L32" s="20"/>
      <c r="M32" s="20"/>
      <c r="N32" s="20"/>
      <c r="O32" s="20"/>
      <c r="P32" s="32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</row>
    <row r="33" spans="1:216" ht="15.75" customHeight="1" x14ac:dyDescent="0.4">
      <c r="A33" s="6">
        <v>1</v>
      </c>
      <c r="B33" s="78" t="s">
        <v>38</v>
      </c>
      <c r="C33" s="69"/>
      <c r="D33" s="60"/>
      <c r="E33" s="9">
        <f>ALIYAN!V33+BUBUK!T33+GITIK!N33+GLADAG!W33+KARANGBENDO!Z33+KEDALEMAN!S33+LEMAHBANGDEWO!O33+MANGIR!S33+PENGATIGAN!Y33+ROGOJAMPI!AM33</f>
        <v>44748</v>
      </c>
      <c r="F33" s="39"/>
      <c r="G33" s="20"/>
      <c r="H33" s="20"/>
      <c r="I33" s="20"/>
      <c r="J33" s="20"/>
      <c r="K33" s="20"/>
      <c r="L33" s="20"/>
      <c r="M33" s="20"/>
      <c r="N33" s="20"/>
      <c r="O33" s="20"/>
      <c r="P33" s="3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</row>
    <row r="34" spans="1:216" ht="15.75" customHeight="1" x14ac:dyDescent="0.4">
      <c r="A34" s="6">
        <v>2</v>
      </c>
      <c r="B34" s="78" t="s">
        <v>39</v>
      </c>
      <c r="C34" s="69"/>
      <c r="D34" s="60"/>
      <c r="E34" s="9">
        <f>ALIYAN!V34+BUBUK!T34+GITIK!N34+GLADAG!W34+KARANGBENDO!Z34+KEDALEMAN!S34+LEMAHBANGDEWO!O34+MANGIR!S34+PENGATIGAN!Y34+ROGOJAMPI!AM34</f>
        <v>35467</v>
      </c>
      <c r="F34" s="40"/>
      <c r="G34" s="1"/>
      <c r="H34" s="1"/>
      <c r="I34" s="1"/>
      <c r="J34" s="1"/>
      <c r="K34" s="1"/>
      <c r="L34" s="1"/>
      <c r="M34" s="1"/>
      <c r="N34" s="1"/>
      <c r="O34" s="1"/>
      <c r="P34" s="34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</row>
    <row r="35" spans="1:216" ht="15.75" customHeight="1" x14ac:dyDescent="0.4">
      <c r="A35" s="6">
        <v>3</v>
      </c>
      <c r="B35" s="78" t="s">
        <v>40</v>
      </c>
      <c r="C35" s="69"/>
      <c r="D35" s="60"/>
      <c r="E35" s="9">
        <f>ALIYAN!V35+BUBUK!T35+GITIK!N35+GLADAG!W35+KARANGBENDO!Z35+KEDALEMAN!S35+LEMAHBANGDEWO!O35+MANGIR!S35+PENGATIGAN!Y35+ROGOJAMPI!AM35</f>
        <v>88</v>
      </c>
      <c r="F35" s="41"/>
      <c r="G35" s="30"/>
      <c r="H35" s="30"/>
      <c r="I35" s="30"/>
      <c r="J35" s="30"/>
      <c r="K35" s="20"/>
      <c r="L35" s="20"/>
      <c r="M35" s="20"/>
      <c r="N35" s="20"/>
      <c r="O35" s="23"/>
      <c r="P35" s="35"/>
      <c r="Q35" s="30"/>
      <c r="R35" s="30"/>
      <c r="S35" s="30"/>
      <c r="T35" s="30"/>
      <c r="U35" s="4"/>
      <c r="V35" s="4"/>
      <c r="W35" s="4"/>
      <c r="X35" s="30"/>
      <c r="Y35" s="30"/>
      <c r="Z35" s="30"/>
      <c r="AA35" s="30"/>
      <c r="AB35" s="4"/>
      <c r="AC35" s="4"/>
      <c r="AD35" s="4"/>
      <c r="AE35" s="4"/>
      <c r="AF35" s="4"/>
      <c r="AG35" s="4"/>
      <c r="AH35" s="4"/>
      <c r="AI35" s="30"/>
      <c r="AJ35" s="30"/>
      <c r="AK35" s="30"/>
      <c r="AL35" s="30"/>
      <c r="AM35" s="4"/>
      <c r="AN35" s="4"/>
      <c r="AO35" s="4"/>
      <c r="AP35" s="4"/>
      <c r="AQ35" s="4"/>
      <c r="AR35" s="4"/>
      <c r="AS35" s="4"/>
      <c r="AT35" s="30"/>
      <c r="AU35" s="30"/>
      <c r="AV35" s="30"/>
      <c r="AW35" s="30"/>
      <c r="AX35" s="4"/>
      <c r="AY35" s="4"/>
      <c r="AZ35" s="4"/>
      <c r="BA35" s="4"/>
      <c r="BB35" s="4"/>
      <c r="BC35" s="4"/>
      <c r="BD35" s="4"/>
      <c r="BE35" s="4"/>
      <c r="BF35" s="30"/>
      <c r="BG35" s="30"/>
      <c r="BH35" s="30"/>
      <c r="BI35" s="30"/>
      <c r="BJ35" s="4"/>
      <c r="BK35" s="4"/>
      <c r="BL35" s="30"/>
      <c r="BM35" s="30"/>
      <c r="BN35" s="30"/>
      <c r="BO35" s="30"/>
      <c r="BP35" s="4"/>
      <c r="BQ35" s="4"/>
      <c r="BR35" s="4"/>
      <c r="BS35" s="30"/>
      <c r="BT35" s="30"/>
      <c r="BU35" s="30"/>
      <c r="BV35" s="30"/>
      <c r="BW35" s="4"/>
      <c r="BX35" s="4"/>
      <c r="BY35" s="4"/>
      <c r="BZ35" s="4"/>
      <c r="CA35" s="4"/>
      <c r="CB35" s="30"/>
      <c r="CC35" s="30"/>
      <c r="CD35" s="30"/>
      <c r="CE35" s="30"/>
      <c r="CF35" s="4"/>
      <c r="CG35" s="4"/>
      <c r="CH35" s="30"/>
      <c r="CI35" s="30"/>
      <c r="CJ35" s="30"/>
      <c r="CK35" s="30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30"/>
      <c r="DA35" s="30"/>
      <c r="DB35" s="30"/>
      <c r="DC35" s="30"/>
      <c r="DD35" s="4"/>
      <c r="DE35" s="4"/>
      <c r="DF35" s="4"/>
      <c r="DG35" s="4"/>
      <c r="DH35" s="4"/>
      <c r="DI35" s="4"/>
      <c r="DJ35" s="4"/>
      <c r="DK35" s="4"/>
      <c r="DL35" s="30"/>
      <c r="DM35" s="30"/>
      <c r="DN35" s="30"/>
      <c r="DO35" s="30"/>
      <c r="DP35" s="4"/>
      <c r="DQ35" s="4"/>
      <c r="DR35" s="4"/>
      <c r="DS35" s="4"/>
      <c r="DT35" s="30"/>
      <c r="DU35" s="30"/>
      <c r="DV35" s="30"/>
      <c r="DW35" s="30"/>
      <c r="DX35" s="4"/>
      <c r="DY35" s="4"/>
      <c r="DZ35" s="30"/>
      <c r="EA35" s="30"/>
      <c r="EB35" s="30"/>
      <c r="EC35" s="30"/>
      <c r="ED35" s="4"/>
      <c r="EE35" s="4"/>
      <c r="EF35" s="4"/>
      <c r="EG35" s="4"/>
      <c r="EH35" s="4"/>
      <c r="EI35" s="4"/>
      <c r="EJ35" s="4"/>
      <c r="EK35" s="4"/>
      <c r="EL35" s="4"/>
      <c r="EM35" s="30"/>
      <c r="EN35" s="30"/>
      <c r="EO35" s="30"/>
      <c r="EP35" s="30"/>
      <c r="EQ35" s="4"/>
      <c r="ER35" s="4"/>
      <c r="ES35" s="4"/>
      <c r="ET35" s="4"/>
      <c r="EU35" s="4"/>
      <c r="EV35" s="4"/>
      <c r="EW35" s="4"/>
      <c r="EX35" s="4"/>
      <c r="EY35" s="4"/>
      <c r="EZ35" s="30"/>
      <c r="FA35" s="30"/>
      <c r="FB35" s="30"/>
      <c r="FC35" s="30"/>
      <c r="FD35" s="4"/>
      <c r="FE35" s="4"/>
      <c r="FF35" s="30"/>
      <c r="FG35" s="30"/>
      <c r="FH35" s="30"/>
      <c r="FI35" s="30"/>
      <c r="FJ35" s="4"/>
      <c r="FK35" s="30"/>
      <c r="FL35" s="30"/>
      <c r="FM35" s="30"/>
      <c r="FN35" s="30"/>
      <c r="FO35" s="4"/>
      <c r="FP35" s="4"/>
      <c r="FQ35" s="4"/>
      <c r="FR35" s="30"/>
      <c r="FS35" s="30"/>
      <c r="FT35" s="30"/>
      <c r="FU35" s="30"/>
      <c r="FV35" s="4"/>
      <c r="FW35" s="4"/>
      <c r="FX35" s="4"/>
      <c r="FY35" s="30"/>
      <c r="FZ35" s="30"/>
      <c r="GA35" s="4"/>
      <c r="GB35" s="30"/>
      <c r="GC35" s="30"/>
      <c r="GD35" s="30"/>
      <c r="GE35" s="30"/>
      <c r="GF35" s="4"/>
      <c r="GG35" s="4"/>
      <c r="GH35" s="4"/>
      <c r="GI35" s="4"/>
      <c r="GJ35" s="4"/>
      <c r="GK35" s="4"/>
      <c r="GL35" s="4"/>
      <c r="GM35" s="4"/>
      <c r="GN35" s="30"/>
      <c r="GO35" s="30"/>
      <c r="GP35" s="30"/>
      <c r="GQ35" s="30"/>
      <c r="GR35" s="4"/>
      <c r="GS35" s="4"/>
      <c r="GT35" s="4"/>
      <c r="GU35" s="4"/>
      <c r="GV35" s="4"/>
      <c r="GW35" s="4"/>
      <c r="GX35" s="4"/>
      <c r="GY35" s="30"/>
      <c r="GZ35" s="30"/>
      <c r="HA35" s="30"/>
      <c r="HB35" s="30"/>
      <c r="HC35" s="4"/>
      <c r="HD35" s="4"/>
      <c r="HE35" s="4"/>
      <c r="HF35" s="4"/>
      <c r="HG35" s="4"/>
      <c r="HH35" s="4"/>
    </row>
    <row r="36" spans="1:216" ht="15.75" customHeight="1" x14ac:dyDescent="0.4">
      <c r="A36" s="6">
        <v>4</v>
      </c>
      <c r="B36" s="78" t="s">
        <v>41</v>
      </c>
      <c r="C36" s="69"/>
      <c r="D36" s="60"/>
      <c r="E36" s="25">
        <f t="shared" ref="E36" si="6">E33-(E34+E35)</f>
        <v>9193</v>
      </c>
      <c r="F36" s="40"/>
      <c r="G36" s="1"/>
      <c r="H36" s="1"/>
      <c r="I36" s="1"/>
      <c r="J36" s="1"/>
      <c r="K36" s="1"/>
      <c r="L36" s="1"/>
      <c r="M36" s="1"/>
      <c r="N36" s="1"/>
      <c r="O36" s="3"/>
      <c r="P36" s="3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</row>
    <row r="37" spans="1:216" ht="15.75" customHeight="1" x14ac:dyDescent="0.4">
      <c r="A37" s="61"/>
      <c r="B37" s="69"/>
      <c r="C37" s="69"/>
      <c r="D37" s="69"/>
      <c r="E37" s="69"/>
      <c r="F37" s="39"/>
      <c r="G37" s="20"/>
      <c r="H37" s="20"/>
      <c r="I37" s="20"/>
      <c r="J37" s="20"/>
      <c r="K37" s="20"/>
      <c r="L37" s="20"/>
      <c r="M37" s="20"/>
      <c r="N37" s="20"/>
      <c r="O37" s="23"/>
      <c r="P37" s="3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</row>
    <row r="38" spans="1:216" ht="15.75" customHeight="1" x14ac:dyDescent="0.4">
      <c r="A38" s="16" t="s">
        <v>42</v>
      </c>
      <c r="B38" s="56" t="s">
        <v>43</v>
      </c>
      <c r="C38" s="69"/>
      <c r="D38" s="60"/>
      <c r="E38" s="25"/>
      <c r="F38" s="39"/>
      <c r="G38" s="20"/>
      <c r="H38" s="20"/>
      <c r="I38" s="20"/>
      <c r="J38" s="20"/>
      <c r="K38" s="20"/>
      <c r="L38" s="20"/>
      <c r="M38" s="20"/>
      <c r="N38" s="20"/>
      <c r="O38" s="20"/>
      <c r="P38" s="32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</row>
    <row r="39" spans="1:216" ht="15.75" customHeight="1" x14ac:dyDescent="0.4">
      <c r="A39" s="11"/>
      <c r="B39" s="73" t="s">
        <v>44</v>
      </c>
      <c r="C39" s="68"/>
      <c r="D39" s="6" t="s">
        <v>23</v>
      </c>
      <c r="E39" s="9">
        <f>ALIYAN!V39+BUBUK!T39+GITIK!N39+GLADAG!W39+KARANGBENDO!Z39+KEDALEMAN!S39+LEMAHBANGDEWO!O39+MANGIR!S39+PENGATIGAN!Y39+ROGOJAMPI!AM39</f>
        <v>48</v>
      </c>
      <c r="F39" s="39"/>
      <c r="G39" s="20"/>
      <c r="H39" s="20"/>
      <c r="I39" s="20"/>
      <c r="J39" s="20"/>
      <c r="K39" s="20"/>
      <c r="L39" s="20"/>
      <c r="M39" s="20"/>
      <c r="N39" s="20"/>
      <c r="O39" s="20"/>
      <c r="P39" s="32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</row>
    <row r="40" spans="1:216" ht="15.75" customHeight="1" x14ac:dyDescent="0.4">
      <c r="A40" s="12"/>
      <c r="B40" s="74"/>
      <c r="C40" s="75"/>
      <c r="D40" s="6" t="s">
        <v>24</v>
      </c>
      <c r="E40" s="9">
        <f>ALIYAN!V40+BUBUK!T40+GITIK!N40+GLADAG!W40+KARANGBENDO!Z40+KEDALEMAN!S40+LEMAHBANGDEWO!O40+MANGIR!S40+PENGATIGAN!Y40+ROGOJAMPI!AM40</f>
        <v>51</v>
      </c>
      <c r="F40" s="39"/>
      <c r="G40" s="20"/>
      <c r="H40" s="20"/>
      <c r="I40" s="20"/>
      <c r="J40" s="20"/>
      <c r="K40" s="20"/>
      <c r="L40" s="20"/>
      <c r="M40" s="20"/>
      <c r="N40" s="20"/>
      <c r="O40" s="20"/>
      <c r="P40" s="32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</row>
    <row r="41" spans="1:216" ht="15.75" customHeight="1" x14ac:dyDescent="0.4">
      <c r="A41" s="14"/>
      <c r="B41" s="71"/>
      <c r="C41" s="76"/>
      <c r="D41" s="5" t="s">
        <v>25</v>
      </c>
      <c r="E41" s="25">
        <f t="shared" ref="E41" si="7">SUM(E39:E40)</f>
        <v>99</v>
      </c>
      <c r="F41" s="39"/>
      <c r="G41" s="20"/>
      <c r="H41" s="20"/>
      <c r="I41" s="20"/>
      <c r="J41" s="20"/>
      <c r="K41" s="20"/>
      <c r="L41" s="20"/>
      <c r="M41" s="20"/>
      <c r="N41" s="20"/>
      <c r="O41" s="20"/>
      <c r="P41" s="32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</row>
    <row r="42" spans="1:216" ht="15.75" customHeight="1" x14ac:dyDescent="0.4">
      <c r="A42" s="70"/>
      <c r="B42" s="71"/>
      <c r="C42" s="71"/>
      <c r="D42" s="76"/>
      <c r="E42" s="9"/>
      <c r="F42" s="39"/>
      <c r="G42" s="20"/>
      <c r="H42" s="20"/>
      <c r="I42" s="20"/>
      <c r="J42" s="20"/>
      <c r="K42" s="20"/>
      <c r="L42" s="20"/>
      <c r="M42" s="20"/>
      <c r="N42" s="20"/>
      <c r="O42" s="20"/>
      <c r="P42" s="32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</row>
    <row r="43" spans="1:216" ht="15.75" customHeight="1" x14ac:dyDescent="0.4">
      <c r="A43" s="16" t="s">
        <v>45</v>
      </c>
      <c r="B43" s="56" t="s">
        <v>46</v>
      </c>
      <c r="C43" s="69"/>
      <c r="D43" s="60"/>
      <c r="E43" s="25"/>
      <c r="F43" s="39"/>
      <c r="G43" s="20"/>
      <c r="H43" s="20"/>
      <c r="I43" s="20"/>
      <c r="J43" s="20"/>
      <c r="K43" s="20"/>
      <c r="L43" s="20"/>
      <c r="M43" s="20"/>
      <c r="N43" s="20"/>
      <c r="O43" s="20"/>
      <c r="P43" s="32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</row>
    <row r="44" spans="1:216" ht="15.75" customHeight="1" x14ac:dyDescent="0.4">
      <c r="A44" s="73" t="s">
        <v>47</v>
      </c>
      <c r="B44" s="77"/>
      <c r="C44" s="77"/>
      <c r="D44" s="68"/>
      <c r="E44" s="9"/>
      <c r="F44" s="39"/>
      <c r="G44" s="20"/>
      <c r="H44" s="20"/>
      <c r="I44" s="20"/>
      <c r="J44" s="20"/>
      <c r="K44" s="20"/>
      <c r="L44" s="20"/>
      <c r="M44" s="20"/>
      <c r="N44" s="20"/>
      <c r="O44" s="20"/>
      <c r="P44" s="32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</row>
    <row r="45" spans="1:216" ht="15.75" customHeight="1" x14ac:dyDescent="0.4">
      <c r="A45" s="11" t="s">
        <v>48</v>
      </c>
      <c r="B45" s="17" t="s">
        <v>28</v>
      </c>
      <c r="C45" s="59" t="s">
        <v>49</v>
      </c>
      <c r="D45" s="60"/>
      <c r="E45" s="9">
        <f>ALIYAN!V45+BUBUK!T45+GITIK!N45+GLADAG!W45+KARANGBENDO!Z45+KEDALEMAN!S45+LEMAHBANGDEWO!O45+MANGIR!S45+PENGATIGAN!Y45+ROGOJAMPI!AM45</f>
        <v>772</v>
      </c>
      <c r="F45" s="40"/>
      <c r="G45" s="1"/>
      <c r="H45" s="1"/>
      <c r="I45" s="1"/>
      <c r="J45" s="1"/>
      <c r="K45" s="1"/>
      <c r="L45" s="1"/>
      <c r="M45" s="1"/>
      <c r="N45" s="1"/>
      <c r="O45" s="1"/>
      <c r="P45" s="34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</row>
    <row r="46" spans="1:216" ht="15.75" customHeight="1" x14ac:dyDescent="0.4">
      <c r="A46" s="11" t="s">
        <v>50</v>
      </c>
      <c r="B46" s="46"/>
      <c r="C46" s="24" t="s">
        <v>106</v>
      </c>
      <c r="D46" s="47"/>
      <c r="E46" s="9">
        <f>ALIYAN!V46+BUBUK!T46+GITIK!N46+GLADAG!W46+KARANGBENDO!Z46+KEDALEMAN!S46+LEMAHBANGDEWO!O46+MANGIR!S46+PENGATIGAN!Y46+ROGOJAMPI!AM46</f>
        <v>3204</v>
      </c>
      <c r="F46" s="42"/>
      <c r="G46" s="27"/>
      <c r="H46" s="27"/>
      <c r="I46" s="27"/>
      <c r="J46" s="27"/>
      <c r="K46" s="27"/>
      <c r="L46" s="27"/>
      <c r="M46" s="27"/>
      <c r="N46" s="27"/>
      <c r="O46" s="27"/>
      <c r="P46" s="37"/>
      <c r="Q46" s="30"/>
      <c r="R46" s="30"/>
      <c r="S46" s="30"/>
      <c r="T46" s="30"/>
      <c r="U46" s="30"/>
      <c r="V46" s="30"/>
      <c r="W46" s="38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0"/>
      <c r="BM46" s="30"/>
      <c r="BN46" s="30"/>
      <c r="BO46" s="30"/>
      <c r="BP46" s="30"/>
      <c r="BQ46" s="30"/>
      <c r="BR46" s="38"/>
      <c r="BS46" s="30"/>
      <c r="BT46" s="30"/>
      <c r="BU46" s="30"/>
      <c r="BV46" s="30"/>
      <c r="BW46" s="30"/>
      <c r="BX46" s="30"/>
      <c r="BY46" s="30"/>
      <c r="BZ46" s="30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8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8"/>
      <c r="EZ46" s="38"/>
      <c r="FA46" s="38"/>
      <c r="FB46" s="38"/>
      <c r="FC46" s="38"/>
      <c r="FD46" s="38"/>
      <c r="FE46" s="38"/>
      <c r="FF46" s="30"/>
      <c r="FG46" s="30"/>
      <c r="FH46" s="30"/>
      <c r="FI46" s="30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</row>
    <row r="47" spans="1:216" ht="15.75" customHeight="1" x14ac:dyDescent="0.4">
      <c r="A47" s="7"/>
      <c r="B47" s="46"/>
      <c r="C47" s="24" t="s">
        <v>107</v>
      </c>
      <c r="D47" s="47"/>
      <c r="E47" s="9">
        <f>ALIYAN!V47+BUBUK!T47+GITIK!N47+GLADAG!W47+KARANGBENDO!Z47+KEDALEMAN!S47+LEMAHBANGDEWO!O47+MANGIR!S47+PENGATIGAN!Y47+ROGOJAMPI!AM47</f>
        <v>968</v>
      </c>
      <c r="F47" s="39"/>
      <c r="G47" s="20"/>
      <c r="H47" s="20"/>
      <c r="I47" s="20"/>
      <c r="J47" s="20"/>
      <c r="K47" s="20"/>
      <c r="L47" s="20"/>
      <c r="M47" s="20"/>
      <c r="N47" s="20"/>
      <c r="O47" s="20"/>
      <c r="P47" s="32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</row>
    <row r="48" spans="1:216" ht="15.75" customHeight="1" x14ac:dyDescent="0.4">
      <c r="A48" s="7"/>
      <c r="B48" s="46"/>
      <c r="C48" s="24" t="s">
        <v>108</v>
      </c>
      <c r="D48" s="47"/>
      <c r="E48" s="9">
        <f>ALIYAN!V48+BUBUK!T48+GITIK!N48+GLADAG!W48+KARANGBENDO!Z48+KEDALEMAN!S48+LEMAHBANGDEWO!O48+MANGIR!S48+PENGATIGAN!Y48+ROGOJAMPI!AM48</f>
        <v>100</v>
      </c>
      <c r="F48" s="39"/>
      <c r="G48" s="20"/>
      <c r="H48" s="20"/>
      <c r="I48" s="20"/>
      <c r="J48" s="20"/>
      <c r="K48" s="20"/>
      <c r="L48" s="20"/>
      <c r="M48" s="20"/>
      <c r="N48" s="20"/>
      <c r="O48" s="20"/>
      <c r="P48" s="32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</row>
    <row r="49" spans="1:216" ht="15.75" customHeight="1" x14ac:dyDescent="0.4">
      <c r="A49" s="7"/>
      <c r="B49" s="46"/>
      <c r="C49" s="24" t="s">
        <v>109</v>
      </c>
      <c r="D49" s="47"/>
      <c r="E49" s="9">
        <f>ALIYAN!V49+BUBUK!T49+GITIK!N49+GLADAG!W49+KARANGBENDO!Z49+KEDALEMAN!S49+LEMAHBANGDEWO!O49+MANGIR!S49+PENGATIGAN!Y49+ROGOJAMPI!AM49</f>
        <v>57</v>
      </c>
      <c r="F49" s="39"/>
      <c r="G49" s="20"/>
      <c r="H49" s="20"/>
      <c r="I49" s="20"/>
      <c r="J49" s="20"/>
      <c r="K49" s="20"/>
      <c r="L49" s="20"/>
      <c r="M49" s="20"/>
      <c r="N49" s="20"/>
      <c r="O49" s="20"/>
      <c r="P49" s="32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</row>
    <row r="50" spans="1:216" ht="15.75" customHeight="1" x14ac:dyDescent="0.4">
      <c r="A50" s="7"/>
      <c r="B50" s="46"/>
      <c r="C50" s="24" t="s">
        <v>110</v>
      </c>
      <c r="D50" s="47"/>
      <c r="E50" s="9">
        <f>ALIYAN!V50+BUBUK!T50+GITIK!N50+GLADAG!W50+KARANGBENDO!Z50+KEDALEMAN!S50+LEMAHBANGDEWO!O50+MANGIR!S50+PENGATIGAN!Y50+ROGOJAMPI!AM50</f>
        <v>176</v>
      </c>
      <c r="F50" s="39"/>
      <c r="G50" s="20"/>
      <c r="H50" s="20"/>
      <c r="I50" s="20"/>
      <c r="J50" s="20"/>
      <c r="K50" s="20"/>
      <c r="L50" s="20"/>
      <c r="M50" s="20"/>
      <c r="N50" s="20"/>
      <c r="O50" s="20"/>
      <c r="P50" s="32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</row>
    <row r="51" spans="1:216" ht="15.75" customHeight="1" x14ac:dyDescent="0.4">
      <c r="A51" s="7"/>
      <c r="B51" s="46"/>
      <c r="C51" s="24" t="s">
        <v>111</v>
      </c>
      <c r="D51" s="47"/>
      <c r="E51" s="9">
        <f>ALIYAN!V51+BUBUK!T51+GITIK!N51+GLADAG!W51+KARANGBENDO!Z51+KEDALEMAN!S51+LEMAHBANGDEWO!O51+MANGIR!S51+PENGATIGAN!Y51+ROGOJAMPI!AM51</f>
        <v>23</v>
      </c>
      <c r="F51" s="39"/>
      <c r="G51" s="20"/>
      <c r="H51" s="20"/>
      <c r="I51" s="20"/>
      <c r="J51" s="20"/>
      <c r="K51" s="20"/>
      <c r="L51" s="20"/>
      <c r="M51" s="20"/>
      <c r="N51" s="20"/>
      <c r="O51" s="20"/>
      <c r="P51" s="32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</row>
    <row r="52" spans="1:216" ht="15.75" customHeight="1" x14ac:dyDescent="0.4">
      <c r="A52" s="6" t="s">
        <v>26</v>
      </c>
      <c r="B52" s="53" t="s">
        <v>51</v>
      </c>
      <c r="C52" s="69"/>
      <c r="D52" s="60"/>
      <c r="E52" s="5">
        <f>SUM(E45:E51)</f>
        <v>5300</v>
      </c>
      <c r="F52" s="39"/>
      <c r="G52" s="20"/>
      <c r="H52" s="20"/>
      <c r="I52" s="20"/>
      <c r="J52" s="20"/>
      <c r="K52" s="20"/>
      <c r="L52" s="20"/>
      <c r="M52" s="20"/>
      <c r="N52" s="20"/>
      <c r="O52" s="20"/>
      <c r="P52" s="32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</row>
    <row r="53" spans="1:216" ht="15.75" customHeight="1" x14ac:dyDescent="0.4">
      <c r="A53" s="70"/>
      <c r="B53" s="71"/>
      <c r="C53" s="71"/>
      <c r="D53" s="71"/>
      <c r="E53" s="71"/>
      <c r="F53" s="39"/>
      <c r="G53" s="20"/>
      <c r="H53" s="20"/>
      <c r="I53" s="20"/>
      <c r="J53" s="20"/>
      <c r="K53" s="20"/>
      <c r="L53" s="20"/>
      <c r="M53" s="20"/>
      <c r="N53" s="20"/>
      <c r="O53" s="20"/>
      <c r="P53" s="32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</row>
    <row r="54" spans="1:216" ht="15.75" customHeight="1" x14ac:dyDescent="0.4">
      <c r="A54" s="11" t="s">
        <v>48</v>
      </c>
      <c r="B54" s="17" t="s">
        <v>30</v>
      </c>
      <c r="C54" s="59" t="s">
        <v>52</v>
      </c>
      <c r="D54" s="60"/>
      <c r="E54" s="9">
        <f>ALIYAN!V54+BUBUK!T54+GITIK!N54+GLADAG!W54+KARANGBENDO!Z54+KEDALEMAN!S54+LEMAHBANGDEWO!O54+MANGIR!S54+PENGATIGAN!Y54+ROGOJAMPI!AM54</f>
        <v>957</v>
      </c>
      <c r="F54" s="40"/>
      <c r="G54" s="1"/>
      <c r="H54" s="1"/>
      <c r="I54" s="1"/>
      <c r="J54" s="1"/>
      <c r="K54" s="1"/>
      <c r="L54" s="1"/>
      <c r="M54" s="1"/>
      <c r="N54" s="1"/>
      <c r="O54" s="1"/>
      <c r="P54" s="34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</row>
    <row r="55" spans="1:216" ht="15.75" customHeight="1" x14ac:dyDescent="0.4">
      <c r="A55" s="11" t="s">
        <v>50</v>
      </c>
      <c r="B55" s="46"/>
      <c r="C55" s="24" t="s">
        <v>112</v>
      </c>
      <c r="D55" s="47"/>
      <c r="E55" s="9">
        <f>ALIYAN!V55+BUBUK!T55+GITIK!N55+GLADAG!W55+KARANGBENDO!Z55+KEDALEMAN!S55+LEMAHBANGDEWO!O55+MANGIR!S55+PENGATIGAN!Y55+ROGOJAMPI!AM55</f>
        <v>310</v>
      </c>
      <c r="F55" s="42"/>
      <c r="G55" s="27"/>
      <c r="H55" s="27"/>
      <c r="I55" s="27"/>
      <c r="J55" s="27"/>
      <c r="K55" s="27"/>
      <c r="L55" s="27"/>
      <c r="M55" s="27"/>
      <c r="N55" s="27"/>
      <c r="O55" s="27"/>
      <c r="P55" s="37"/>
      <c r="Q55" s="30"/>
      <c r="R55" s="30"/>
      <c r="S55" s="30"/>
      <c r="T55" s="30"/>
      <c r="U55" s="30"/>
      <c r="V55" s="30"/>
      <c r="W55" s="38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0"/>
      <c r="BM55" s="30"/>
      <c r="BN55" s="30"/>
      <c r="BO55" s="30"/>
      <c r="BP55" s="30"/>
      <c r="BQ55" s="30"/>
      <c r="BR55" s="38"/>
      <c r="BS55" s="30"/>
      <c r="BT55" s="30"/>
      <c r="BU55" s="30"/>
      <c r="BV55" s="30"/>
      <c r="BW55" s="30"/>
      <c r="BX55" s="30"/>
      <c r="BY55" s="30"/>
      <c r="BZ55" s="30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8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8"/>
      <c r="EZ55" s="38"/>
      <c r="FA55" s="38"/>
      <c r="FB55" s="38"/>
      <c r="FC55" s="38"/>
      <c r="FD55" s="38"/>
      <c r="FE55" s="38"/>
      <c r="FF55" s="30"/>
      <c r="FG55" s="30"/>
      <c r="FH55" s="30"/>
      <c r="FI55" s="30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</row>
    <row r="56" spans="1:216" ht="15.75" customHeight="1" x14ac:dyDescent="0.4">
      <c r="A56" s="7"/>
      <c r="B56" s="46"/>
      <c r="C56" s="24" t="s">
        <v>113</v>
      </c>
      <c r="D56" s="47"/>
      <c r="E56" s="9">
        <f>ALIYAN!V56+BUBUK!T56+GITIK!N56+GLADAG!W56+KARANGBENDO!Z56+KEDALEMAN!S56+LEMAHBANGDEWO!O56+MANGIR!S56+PENGATIGAN!Y56+ROGOJAMPI!AM56</f>
        <v>166</v>
      </c>
      <c r="F56" s="39"/>
      <c r="G56" s="20"/>
      <c r="H56" s="20"/>
      <c r="I56" s="20"/>
      <c r="J56" s="20"/>
      <c r="K56" s="20"/>
      <c r="L56" s="20"/>
      <c r="M56" s="20"/>
      <c r="N56" s="20"/>
      <c r="O56" s="20"/>
      <c r="P56" s="32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</row>
    <row r="57" spans="1:216" ht="15.75" customHeight="1" x14ac:dyDescent="0.4">
      <c r="A57" s="7"/>
      <c r="B57" s="46"/>
      <c r="C57" s="24" t="s">
        <v>114</v>
      </c>
      <c r="D57" s="47"/>
      <c r="E57" s="9">
        <f>ALIYAN!V57+BUBUK!T57+GITIK!N57+GLADAG!W57+KARANGBENDO!Z57+KEDALEMAN!S57+LEMAHBANGDEWO!O57+MANGIR!S57+PENGATIGAN!Y57+ROGOJAMPI!AM57</f>
        <v>108</v>
      </c>
      <c r="F57" s="39"/>
      <c r="G57" s="20"/>
      <c r="H57" s="20"/>
      <c r="I57" s="20"/>
      <c r="J57" s="20"/>
      <c r="K57" s="20"/>
      <c r="L57" s="20"/>
      <c r="M57" s="20"/>
      <c r="N57" s="20"/>
      <c r="O57" s="20"/>
      <c r="P57" s="32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/>
      <c r="EX57" s="33"/>
      <c r="EY57" s="33"/>
      <c r="EZ57" s="33"/>
      <c r="FA57" s="33"/>
      <c r="FB57" s="33"/>
      <c r="FC57" s="33"/>
      <c r="FD57" s="33"/>
      <c r="FE57" s="33"/>
      <c r="FF57" s="33"/>
      <c r="FG57" s="33"/>
      <c r="FH57" s="33"/>
      <c r="FI57" s="33"/>
      <c r="FJ57" s="33"/>
      <c r="FK57" s="33"/>
      <c r="FL57" s="33"/>
      <c r="FM57" s="33"/>
      <c r="FN57" s="33"/>
      <c r="FO57" s="33"/>
      <c r="FP57" s="33"/>
      <c r="FQ57" s="33"/>
      <c r="FR57" s="33"/>
      <c r="FS57" s="33"/>
      <c r="FT57" s="33"/>
      <c r="FU57" s="33"/>
      <c r="FV57" s="33"/>
      <c r="FW57" s="33"/>
      <c r="FX57" s="33"/>
      <c r="FY57" s="33"/>
      <c r="FZ57" s="33"/>
      <c r="GA57" s="33"/>
      <c r="GB57" s="33"/>
      <c r="GC57" s="33"/>
      <c r="GD57" s="33"/>
      <c r="GE57" s="33"/>
      <c r="GF57" s="33"/>
      <c r="GG57" s="33"/>
      <c r="GH57" s="33"/>
      <c r="GI57" s="33"/>
      <c r="GJ57" s="33"/>
      <c r="GK57" s="33"/>
      <c r="GL57" s="33"/>
      <c r="GM57" s="33"/>
      <c r="GN57" s="33"/>
      <c r="GO57" s="33"/>
      <c r="GP57" s="33"/>
      <c r="GQ57" s="33"/>
      <c r="GR57" s="33"/>
      <c r="GS57" s="33"/>
      <c r="GT57" s="33"/>
      <c r="GU57" s="33"/>
      <c r="GV57" s="33"/>
      <c r="GW57" s="33"/>
      <c r="GX57" s="33"/>
      <c r="GY57" s="33"/>
      <c r="GZ57" s="33"/>
      <c r="HA57" s="33"/>
      <c r="HB57" s="33"/>
      <c r="HC57" s="33"/>
      <c r="HD57" s="33"/>
      <c r="HE57" s="33"/>
      <c r="HF57" s="33"/>
      <c r="HG57" s="33"/>
      <c r="HH57" s="33"/>
    </row>
    <row r="58" spans="1:216" ht="15.75" customHeight="1" x14ac:dyDescent="0.4">
      <c r="A58" s="7"/>
      <c r="B58" s="46"/>
      <c r="C58" s="24" t="s">
        <v>115</v>
      </c>
      <c r="D58" s="47"/>
      <c r="E58" s="9">
        <f>ALIYAN!V58+BUBUK!T58+GITIK!N58+GLADAG!W58+KARANGBENDO!Z58+KEDALEMAN!S58+LEMAHBANGDEWO!O58+MANGIR!S58+PENGATIGAN!Y58+ROGOJAMPI!AM58</f>
        <v>167</v>
      </c>
      <c r="F58" s="39"/>
      <c r="G58" s="20"/>
      <c r="H58" s="20"/>
      <c r="I58" s="20"/>
      <c r="J58" s="20"/>
      <c r="K58" s="20"/>
      <c r="L58" s="20"/>
      <c r="M58" s="20"/>
      <c r="N58" s="20"/>
      <c r="O58" s="20"/>
      <c r="P58" s="32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3"/>
      <c r="EP58" s="33"/>
      <c r="EQ58" s="33"/>
      <c r="ER58" s="33"/>
      <c r="ES58" s="33"/>
      <c r="ET58" s="33"/>
      <c r="EU58" s="33"/>
      <c r="EV58" s="33"/>
      <c r="EW58" s="33"/>
      <c r="EX58" s="33"/>
      <c r="EY58" s="33"/>
      <c r="EZ58" s="33"/>
      <c r="FA58" s="33"/>
      <c r="FB58" s="33"/>
      <c r="FC58" s="33"/>
      <c r="FD58" s="33"/>
      <c r="FE58" s="33"/>
      <c r="FF58" s="33"/>
      <c r="FG58" s="33"/>
      <c r="FH58" s="33"/>
      <c r="FI58" s="33"/>
      <c r="FJ58" s="33"/>
      <c r="FK58" s="33"/>
      <c r="FL58" s="33"/>
      <c r="FM58" s="33"/>
      <c r="FN58" s="33"/>
      <c r="FO58" s="33"/>
      <c r="FP58" s="33"/>
      <c r="FQ58" s="33"/>
      <c r="FR58" s="33"/>
      <c r="FS58" s="33"/>
      <c r="FT58" s="33"/>
      <c r="FU58" s="33"/>
      <c r="FV58" s="33"/>
      <c r="FW58" s="33"/>
      <c r="FX58" s="33"/>
      <c r="FY58" s="33"/>
      <c r="FZ58" s="33"/>
      <c r="GA58" s="33"/>
      <c r="GB58" s="33"/>
      <c r="GC58" s="33"/>
      <c r="GD58" s="33"/>
      <c r="GE58" s="33"/>
      <c r="GF58" s="33"/>
      <c r="GG58" s="33"/>
      <c r="GH58" s="33"/>
      <c r="GI58" s="33"/>
      <c r="GJ58" s="33"/>
      <c r="GK58" s="33"/>
      <c r="GL58" s="33"/>
      <c r="GM58" s="33"/>
      <c r="GN58" s="33"/>
      <c r="GO58" s="33"/>
      <c r="GP58" s="33"/>
      <c r="GQ58" s="33"/>
      <c r="GR58" s="33"/>
      <c r="GS58" s="33"/>
      <c r="GT58" s="33"/>
      <c r="GU58" s="33"/>
      <c r="GV58" s="33"/>
      <c r="GW58" s="33"/>
      <c r="GX58" s="33"/>
      <c r="GY58" s="33"/>
      <c r="GZ58" s="33"/>
      <c r="HA58" s="33"/>
      <c r="HB58" s="33"/>
      <c r="HC58" s="33"/>
      <c r="HD58" s="33"/>
      <c r="HE58" s="33"/>
      <c r="HF58" s="33"/>
      <c r="HG58" s="33"/>
      <c r="HH58" s="33"/>
    </row>
    <row r="59" spans="1:216" ht="15.75" customHeight="1" x14ac:dyDescent="0.4">
      <c r="A59" s="7"/>
      <c r="B59" s="46"/>
      <c r="C59" s="24" t="s">
        <v>116</v>
      </c>
      <c r="D59" s="47"/>
      <c r="E59" s="9">
        <f>ALIYAN!V59+BUBUK!T59+GITIK!N59+GLADAG!W59+KARANGBENDO!Z59+KEDALEMAN!S59+LEMAHBANGDEWO!O59+MANGIR!S59+PENGATIGAN!Y59+ROGOJAMPI!AM59</f>
        <v>38</v>
      </c>
      <c r="F59" s="39"/>
      <c r="G59" s="20"/>
      <c r="H59" s="20"/>
      <c r="I59" s="20"/>
      <c r="J59" s="20"/>
      <c r="K59" s="20"/>
      <c r="L59" s="20"/>
      <c r="M59" s="20"/>
      <c r="N59" s="20"/>
      <c r="O59" s="20"/>
      <c r="P59" s="32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</row>
    <row r="60" spans="1:216" ht="15.75" customHeight="1" x14ac:dyDescent="0.4">
      <c r="A60" s="7"/>
      <c r="B60" s="46"/>
      <c r="C60" s="24" t="s">
        <v>117</v>
      </c>
      <c r="D60" s="47"/>
      <c r="E60" s="9">
        <f>ALIYAN!V60+BUBUK!T60+GITIK!N60+GLADAG!W60+KARANGBENDO!Z60+KEDALEMAN!S60+LEMAHBANGDEWO!O60+MANGIR!S60+PENGATIGAN!Y60+ROGOJAMPI!AM60</f>
        <v>1264</v>
      </c>
      <c r="F60" s="39"/>
      <c r="G60" s="20"/>
      <c r="H60" s="20"/>
      <c r="I60" s="20"/>
      <c r="J60" s="20"/>
      <c r="K60" s="20"/>
      <c r="L60" s="20"/>
      <c r="M60" s="20"/>
      <c r="N60" s="20"/>
      <c r="O60" s="20"/>
      <c r="P60" s="32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</row>
    <row r="61" spans="1:216" ht="15.75" customHeight="1" x14ac:dyDescent="0.4">
      <c r="A61" s="6" t="s">
        <v>26</v>
      </c>
      <c r="B61" s="53" t="s">
        <v>51</v>
      </c>
      <c r="C61" s="69"/>
      <c r="D61" s="60"/>
      <c r="E61" s="5">
        <f>SUM(E54:E60)</f>
        <v>3010</v>
      </c>
      <c r="F61" s="39"/>
      <c r="G61" s="20"/>
      <c r="H61" s="20"/>
      <c r="I61" s="20"/>
      <c r="J61" s="20"/>
      <c r="K61" s="20"/>
      <c r="L61" s="20"/>
      <c r="M61" s="20"/>
      <c r="N61" s="20"/>
      <c r="O61" s="20"/>
      <c r="P61" s="32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</row>
    <row r="62" spans="1:216" ht="15.75" customHeight="1" x14ac:dyDescent="0.4">
      <c r="A62" s="70"/>
      <c r="B62" s="71"/>
      <c r="C62" s="71"/>
      <c r="D62" s="71"/>
      <c r="E62" s="71"/>
      <c r="F62" s="39"/>
      <c r="G62" s="20"/>
      <c r="H62" s="20"/>
      <c r="I62" s="20"/>
      <c r="J62" s="20"/>
      <c r="K62" s="20"/>
      <c r="L62" s="20"/>
      <c r="M62" s="20"/>
      <c r="N62" s="20"/>
      <c r="O62" s="20"/>
      <c r="P62" s="32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33"/>
      <c r="GW62" s="33"/>
      <c r="GX62" s="33"/>
      <c r="GY62" s="33"/>
      <c r="GZ62" s="33"/>
      <c r="HA62" s="33"/>
      <c r="HB62" s="33"/>
      <c r="HC62" s="33"/>
      <c r="HD62" s="33"/>
      <c r="HE62" s="33"/>
      <c r="HF62" s="33"/>
      <c r="HG62" s="33"/>
      <c r="HH62" s="33"/>
    </row>
    <row r="63" spans="1:216" ht="15.75" customHeight="1" x14ac:dyDescent="0.4">
      <c r="A63" s="11" t="s">
        <v>48</v>
      </c>
      <c r="B63" s="17" t="s">
        <v>32</v>
      </c>
      <c r="C63" s="59" t="s">
        <v>53</v>
      </c>
      <c r="D63" s="60"/>
      <c r="E63" s="9">
        <f>ALIYAN!V63+BUBUK!T63+GITIK!N63+GLADAG!W63+KARANGBENDO!Z63+KEDALEMAN!S63+LEMAHBANGDEWO!O63+MANGIR!S63+PENGATIGAN!Y63+ROGOJAMPI!AM63</f>
        <v>880</v>
      </c>
      <c r="F63" s="40"/>
      <c r="G63" s="1"/>
      <c r="H63" s="1"/>
      <c r="I63" s="1"/>
      <c r="J63" s="1"/>
      <c r="K63" s="1"/>
      <c r="L63" s="1"/>
      <c r="M63" s="1"/>
      <c r="N63" s="1"/>
      <c r="O63" s="1"/>
      <c r="P63" s="34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  <c r="GI63" s="31"/>
      <c r="GJ63" s="31"/>
      <c r="GK63" s="31"/>
      <c r="GL63" s="31"/>
      <c r="GM63" s="31"/>
      <c r="GN63" s="31"/>
      <c r="GO63" s="31"/>
      <c r="GP63" s="31"/>
      <c r="GQ63" s="31"/>
      <c r="GR63" s="31"/>
      <c r="GS63" s="31"/>
      <c r="GT63" s="31"/>
      <c r="GU63" s="31"/>
      <c r="GV63" s="31"/>
      <c r="GW63" s="31"/>
      <c r="GX63" s="31"/>
      <c r="GY63" s="31"/>
      <c r="GZ63" s="31"/>
      <c r="HA63" s="31"/>
      <c r="HB63" s="31"/>
      <c r="HC63" s="31"/>
      <c r="HD63" s="31"/>
      <c r="HE63" s="31"/>
      <c r="HF63" s="31"/>
      <c r="HG63" s="31"/>
      <c r="HH63" s="31"/>
    </row>
    <row r="64" spans="1:216" ht="15.75" customHeight="1" x14ac:dyDescent="0.4">
      <c r="A64" s="11" t="s">
        <v>50</v>
      </c>
      <c r="B64" s="46"/>
      <c r="C64" s="24" t="s">
        <v>118</v>
      </c>
      <c r="D64" s="47"/>
      <c r="E64" s="9">
        <f>ALIYAN!V64+BUBUK!T64+GITIK!N64+GLADAG!W64+KARANGBENDO!Z64+KEDALEMAN!S64+LEMAHBANGDEWO!O64+MANGIR!S64+PENGATIGAN!Y64+ROGOJAMPI!AM64</f>
        <v>1324</v>
      </c>
      <c r="F64" s="42"/>
      <c r="G64" s="27"/>
      <c r="H64" s="27"/>
      <c r="I64" s="27"/>
      <c r="J64" s="27"/>
      <c r="K64" s="27"/>
      <c r="L64" s="27"/>
      <c r="M64" s="27"/>
      <c r="N64" s="27"/>
      <c r="O64" s="27"/>
      <c r="P64" s="37"/>
      <c r="Q64" s="30"/>
      <c r="R64" s="30"/>
      <c r="S64" s="30"/>
      <c r="T64" s="30"/>
      <c r="U64" s="30"/>
      <c r="V64" s="30"/>
      <c r="W64" s="38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0"/>
      <c r="BM64" s="30"/>
      <c r="BN64" s="30"/>
      <c r="BO64" s="30"/>
      <c r="BP64" s="30"/>
      <c r="BQ64" s="30"/>
      <c r="BR64" s="38"/>
      <c r="BS64" s="30"/>
      <c r="BT64" s="30"/>
      <c r="BU64" s="30"/>
      <c r="BV64" s="30"/>
      <c r="BW64" s="30"/>
      <c r="BX64" s="30"/>
      <c r="BY64" s="30"/>
      <c r="BZ64" s="30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8"/>
      <c r="EZ64" s="38"/>
      <c r="FA64" s="38"/>
      <c r="FB64" s="38"/>
      <c r="FC64" s="38"/>
      <c r="FD64" s="38"/>
      <c r="FE64" s="38"/>
      <c r="FF64" s="30"/>
      <c r="FG64" s="30"/>
      <c r="FH64" s="30"/>
      <c r="FI64" s="30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</row>
    <row r="65" spans="1:216" ht="15.75" customHeight="1" x14ac:dyDescent="0.4">
      <c r="A65" s="7"/>
      <c r="B65" s="46"/>
      <c r="C65" s="24" t="s">
        <v>119</v>
      </c>
      <c r="D65" s="47"/>
      <c r="E65" s="9">
        <f>ALIYAN!V65+BUBUK!T65+GITIK!N65+GLADAG!W65+KARANGBENDO!Z65+KEDALEMAN!S65+LEMAHBANGDEWO!O65+MANGIR!S65+PENGATIGAN!Y65+ROGOJAMPI!AM65</f>
        <v>650</v>
      </c>
      <c r="F65" s="39"/>
      <c r="G65" s="20"/>
      <c r="H65" s="20"/>
      <c r="I65" s="20"/>
      <c r="J65" s="20"/>
      <c r="K65" s="20"/>
      <c r="L65" s="20"/>
      <c r="M65" s="20"/>
      <c r="N65" s="20"/>
      <c r="O65" s="20"/>
      <c r="P65" s="32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</row>
    <row r="66" spans="1:216" ht="15.75" customHeight="1" x14ac:dyDescent="0.4">
      <c r="A66" s="7"/>
      <c r="B66" s="46"/>
      <c r="C66" s="24" t="s">
        <v>120</v>
      </c>
      <c r="D66" s="47"/>
      <c r="E66" s="9">
        <f>ALIYAN!V66+BUBUK!T66+GITIK!N66+GLADAG!W66+KARANGBENDO!Z66+KEDALEMAN!S66+LEMAHBANGDEWO!O66+MANGIR!S66+PENGATIGAN!Y66+ROGOJAMPI!AM66</f>
        <v>2089</v>
      </c>
      <c r="F66" s="39"/>
      <c r="G66" s="20"/>
      <c r="H66" s="20"/>
      <c r="I66" s="20"/>
      <c r="J66" s="20"/>
      <c r="K66" s="20"/>
      <c r="L66" s="20"/>
      <c r="M66" s="20"/>
      <c r="N66" s="20"/>
      <c r="O66" s="20"/>
      <c r="P66" s="32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  <c r="GS66" s="33"/>
      <c r="GT66" s="33"/>
      <c r="GU66" s="33"/>
      <c r="GV66" s="33"/>
      <c r="GW66" s="33"/>
      <c r="GX66" s="33"/>
      <c r="GY66" s="33"/>
      <c r="GZ66" s="33"/>
      <c r="HA66" s="33"/>
      <c r="HB66" s="33"/>
      <c r="HC66" s="33"/>
      <c r="HD66" s="33"/>
      <c r="HE66" s="33"/>
      <c r="HF66" s="33"/>
      <c r="HG66" s="33"/>
      <c r="HH66" s="33"/>
    </row>
    <row r="67" spans="1:216" ht="15.75" customHeight="1" x14ac:dyDescent="0.4">
      <c r="A67" s="7"/>
      <c r="B67" s="46"/>
      <c r="C67" s="24" t="s">
        <v>121</v>
      </c>
      <c r="D67" s="47"/>
      <c r="E67" s="9">
        <f>ALIYAN!V67+BUBUK!T67+GITIK!N67+GLADAG!W67+KARANGBENDO!Z67+KEDALEMAN!S67+LEMAHBANGDEWO!O67+MANGIR!S67+PENGATIGAN!Y67+ROGOJAMPI!AM67</f>
        <v>568</v>
      </c>
      <c r="F67" s="39"/>
      <c r="G67" s="20"/>
      <c r="H67" s="20"/>
      <c r="I67" s="20"/>
      <c r="J67" s="20"/>
      <c r="K67" s="20"/>
      <c r="L67" s="20"/>
      <c r="M67" s="20"/>
      <c r="N67" s="20"/>
      <c r="O67" s="20"/>
      <c r="P67" s="32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</row>
    <row r="68" spans="1:216" ht="15.75" customHeight="1" x14ac:dyDescent="0.4">
      <c r="A68" s="7"/>
      <c r="B68" s="46"/>
      <c r="C68" s="24" t="s">
        <v>122</v>
      </c>
      <c r="D68" s="47"/>
      <c r="E68" s="9">
        <f>ALIYAN!V68+BUBUK!T68+GITIK!N68+GLADAG!W68+KARANGBENDO!Z68+KEDALEMAN!S68+LEMAHBANGDEWO!O68+MANGIR!S68+PENGATIGAN!Y68+ROGOJAMPI!AM68</f>
        <v>209</v>
      </c>
      <c r="F68" s="39"/>
      <c r="G68" s="20"/>
      <c r="H68" s="20"/>
      <c r="I68" s="20"/>
      <c r="J68" s="20"/>
      <c r="K68" s="20"/>
      <c r="L68" s="20"/>
      <c r="M68" s="20"/>
      <c r="N68" s="20"/>
      <c r="O68" s="20"/>
      <c r="P68" s="32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  <c r="GV68" s="33"/>
      <c r="GW68" s="33"/>
      <c r="GX68" s="33"/>
      <c r="GY68" s="33"/>
      <c r="GZ68" s="33"/>
      <c r="HA68" s="33"/>
      <c r="HB68" s="33"/>
      <c r="HC68" s="33"/>
      <c r="HD68" s="33"/>
      <c r="HE68" s="33"/>
      <c r="HF68" s="33"/>
      <c r="HG68" s="33"/>
      <c r="HH68" s="33"/>
    </row>
    <row r="69" spans="1:216" ht="15.75" customHeight="1" x14ac:dyDescent="0.4">
      <c r="A69" s="7"/>
      <c r="B69" s="46"/>
      <c r="C69" s="24" t="s">
        <v>123</v>
      </c>
      <c r="D69" s="47"/>
      <c r="E69" s="9">
        <f>ALIYAN!V69+BUBUK!T69+GITIK!N69+GLADAG!W69+KARANGBENDO!Z69+KEDALEMAN!S69+LEMAHBANGDEWO!O69+MANGIR!S69+PENGATIGAN!Y69+ROGOJAMPI!AM69</f>
        <v>86</v>
      </c>
      <c r="F69" s="39"/>
      <c r="G69" s="20"/>
      <c r="H69" s="20"/>
      <c r="I69" s="20"/>
      <c r="J69" s="20"/>
      <c r="K69" s="20"/>
      <c r="L69" s="20"/>
      <c r="M69" s="20"/>
      <c r="N69" s="20"/>
      <c r="O69" s="20"/>
      <c r="P69" s="32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  <c r="ED69" s="33"/>
      <c r="EE69" s="33"/>
      <c r="EF69" s="33"/>
      <c r="EG69" s="33"/>
      <c r="EH69" s="33"/>
      <c r="EI69" s="33"/>
      <c r="EJ69" s="33"/>
      <c r="EK69" s="33"/>
      <c r="EL69" s="33"/>
      <c r="EM69" s="33"/>
      <c r="EN69" s="33"/>
      <c r="EO69" s="33"/>
      <c r="EP69" s="33"/>
      <c r="EQ69" s="33"/>
      <c r="ER69" s="33"/>
      <c r="ES69" s="33"/>
      <c r="ET69" s="33"/>
      <c r="EU69" s="33"/>
      <c r="EV69" s="33"/>
      <c r="EW69" s="33"/>
      <c r="EX69" s="33"/>
      <c r="EY69" s="33"/>
      <c r="EZ69" s="33"/>
      <c r="FA69" s="33"/>
      <c r="FB69" s="33"/>
      <c r="FC69" s="33"/>
      <c r="FD69" s="33"/>
      <c r="FE69" s="33"/>
      <c r="FF69" s="33"/>
      <c r="FG69" s="33"/>
      <c r="FH69" s="33"/>
      <c r="FI69" s="33"/>
      <c r="FJ69" s="33"/>
      <c r="FK69" s="33"/>
      <c r="FL69" s="33"/>
      <c r="FM69" s="33"/>
      <c r="FN69" s="33"/>
      <c r="FO69" s="33"/>
      <c r="FP69" s="33"/>
      <c r="FQ69" s="33"/>
      <c r="FR69" s="33"/>
      <c r="FS69" s="33"/>
      <c r="FT69" s="33"/>
      <c r="FU69" s="33"/>
      <c r="FV69" s="33"/>
      <c r="FW69" s="33"/>
      <c r="FX69" s="33"/>
      <c r="FY69" s="33"/>
      <c r="FZ69" s="33"/>
      <c r="GA69" s="33"/>
      <c r="GB69" s="33"/>
      <c r="GC69" s="33"/>
      <c r="GD69" s="33"/>
      <c r="GE69" s="33"/>
      <c r="GF69" s="33"/>
      <c r="GG69" s="33"/>
      <c r="GH69" s="33"/>
      <c r="GI69" s="33"/>
      <c r="GJ69" s="33"/>
      <c r="GK69" s="33"/>
      <c r="GL69" s="33"/>
      <c r="GM69" s="33"/>
      <c r="GN69" s="33"/>
      <c r="GO69" s="33"/>
      <c r="GP69" s="33"/>
      <c r="GQ69" s="33"/>
      <c r="GR69" s="33"/>
      <c r="GS69" s="33"/>
      <c r="GT69" s="33"/>
      <c r="GU69" s="33"/>
      <c r="GV69" s="33"/>
      <c r="GW69" s="33"/>
      <c r="GX69" s="33"/>
      <c r="GY69" s="33"/>
      <c r="GZ69" s="33"/>
      <c r="HA69" s="33"/>
      <c r="HB69" s="33"/>
      <c r="HC69" s="33"/>
      <c r="HD69" s="33"/>
      <c r="HE69" s="33"/>
      <c r="HF69" s="33"/>
      <c r="HG69" s="33"/>
      <c r="HH69" s="33"/>
    </row>
    <row r="70" spans="1:216" ht="15.75" customHeight="1" x14ac:dyDescent="0.4">
      <c r="A70" s="6" t="s">
        <v>26</v>
      </c>
      <c r="B70" s="53" t="s">
        <v>51</v>
      </c>
      <c r="C70" s="69"/>
      <c r="D70" s="60"/>
      <c r="E70" s="5">
        <f>SUM(E63:E69)</f>
        <v>5806</v>
      </c>
      <c r="F70" s="39"/>
      <c r="G70" s="20"/>
      <c r="H70" s="20"/>
      <c r="I70" s="20"/>
      <c r="J70" s="20"/>
      <c r="K70" s="20"/>
      <c r="L70" s="20"/>
      <c r="M70" s="20"/>
      <c r="N70" s="20"/>
      <c r="O70" s="20"/>
      <c r="P70" s="32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L70" s="33"/>
      <c r="DM70" s="33"/>
      <c r="DN70" s="33"/>
      <c r="DO70" s="33"/>
      <c r="DP70" s="33"/>
      <c r="DQ70" s="33"/>
      <c r="DR70" s="33"/>
      <c r="DS70" s="33"/>
      <c r="DT70" s="33"/>
      <c r="DU70" s="33"/>
      <c r="DV70" s="33"/>
      <c r="DW70" s="33"/>
      <c r="DX70" s="33"/>
      <c r="DY70" s="33"/>
      <c r="DZ70" s="33"/>
      <c r="EA70" s="33"/>
      <c r="EB70" s="33"/>
      <c r="EC70" s="33"/>
      <c r="ED70" s="33"/>
      <c r="EE70" s="33"/>
      <c r="EF70" s="33"/>
      <c r="EG70" s="33"/>
      <c r="EH70" s="33"/>
      <c r="EI70" s="33"/>
      <c r="EJ70" s="33"/>
      <c r="EK70" s="33"/>
      <c r="EL70" s="33"/>
      <c r="EM70" s="33"/>
      <c r="EN70" s="33"/>
      <c r="EO70" s="33"/>
      <c r="EP70" s="33"/>
      <c r="EQ70" s="33"/>
      <c r="ER70" s="33"/>
      <c r="ES70" s="33"/>
      <c r="ET70" s="33"/>
      <c r="EU70" s="33"/>
      <c r="EV70" s="33"/>
      <c r="EW70" s="33"/>
      <c r="EX70" s="33"/>
      <c r="EY70" s="33"/>
      <c r="EZ70" s="33"/>
      <c r="FA70" s="33"/>
      <c r="FB70" s="33"/>
      <c r="FC70" s="33"/>
      <c r="FD70" s="33"/>
      <c r="FE70" s="33"/>
      <c r="FF70" s="33"/>
      <c r="FG70" s="33"/>
      <c r="FH70" s="33"/>
      <c r="FI70" s="33"/>
      <c r="FJ70" s="33"/>
      <c r="FK70" s="33"/>
      <c r="FL70" s="33"/>
      <c r="FM70" s="33"/>
      <c r="FN70" s="33"/>
      <c r="FO70" s="33"/>
      <c r="FP70" s="33"/>
      <c r="FQ70" s="33"/>
      <c r="FR70" s="33"/>
      <c r="FS70" s="33"/>
      <c r="FT70" s="33"/>
      <c r="FU70" s="33"/>
      <c r="FV70" s="33"/>
      <c r="FW70" s="33"/>
      <c r="FX70" s="33"/>
      <c r="FY70" s="33"/>
      <c r="FZ70" s="33"/>
      <c r="GA70" s="33"/>
      <c r="GB70" s="33"/>
      <c r="GC70" s="33"/>
      <c r="GD70" s="33"/>
      <c r="GE70" s="33"/>
      <c r="GF70" s="33"/>
      <c r="GG70" s="33"/>
      <c r="GH70" s="33"/>
      <c r="GI70" s="33"/>
      <c r="GJ70" s="33"/>
      <c r="GK70" s="33"/>
      <c r="GL70" s="33"/>
      <c r="GM70" s="33"/>
      <c r="GN70" s="33"/>
      <c r="GO70" s="33"/>
      <c r="GP70" s="33"/>
      <c r="GQ70" s="33"/>
      <c r="GR70" s="33"/>
      <c r="GS70" s="33"/>
      <c r="GT70" s="33"/>
      <c r="GU70" s="33"/>
      <c r="GV70" s="33"/>
      <c r="GW70" s="33"/>
      <c r="GX70" s="33"/>
      <c r="GY70" s="33"/>
      <c r="GZ70" s="33"/>
      <c r="HA70" s="33"/>
      <c r="HB70" s="33"/>
      <c r="HC70" s="33"/>
      <c r="HD70" s="33"/>
      <c r="HE70" s="33"/>
      <c r="HF70" s="33"/>
      <c r="HG70" s="33"/>
      <c r="HH70" s="33"/>
    </row>
    <row r="71" spans="1:216" ht="15.75" customHeight="1" x14ac:dyDescent="0.4">
      <c r="A71" s="70"/>
      <c r="B71" s="71"/>
      <c r="C71" s="71"/>
      <c r="D71" s="71"/>
      <c r="E71" s="71"/>
      <c r="F71" s="39"/>
      <c r="G71" s="20"/>
      <c r="H71" s="20"/>
      <c r="I71" s="20"/>
      <c r="J71" s="20"/>
      <c r="K71" s="20"/>
      <c r="L71" s="20"/>
      <c r="M71" s="20"/>
      <c r="N71" s="20"/>
      <c r="O71" s="20"/>
      <c r="P71" s="32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</row>
    <row r="72" spans="1:216" ht="15.75" customHeight="1" x14ac:dyDescent="0.4">
      <c r="A72" s="11" t="s">
        <v>48</v>
      </c>
      <c r="B72" s="17" t="s">
        <v>34</v>
      </c>
      <c r="C72" s="59" t="s">
        <v>54</v>
      </c>
      <c r="D72" s="60"/>
      <c r="E72" s="9">
        <f>ALIYAN!V72+BUBUK!T72+GITIK!N72+GLADAG!W72+KARANGBENDO!Z72+KEDALEMAN!S72+LEMAHBANGDEWO!O72+MANGIR!S72+PENGATIGAN!Y72+ROGOJAMPI!AM72</f>
        <v>368</v>
      </c>
      <c r="F72" s="40"/>
      <c r="G72" s="1"/>
      <c r="H72" s="1"/>
      <c r="I72" s="1"/>
      <c r="J72" s="1"/>
      <c r="K72" s="1"/>
      <c r="L72" s="1"/>
      <c r="M72" s="1"/>
      <c r="N72" s="1"/>
      <c r="O72" s="1"/>
      <c r="P72" s="34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  <c r="GI72" s="31"/>
      <c r="GJ72" s="31"/>
      <c r="GK72" s="31"/>
      <c r="GL72" s="31"/>
      <c r="GM72" s="31"/>
      <c r="GN72" s="31"/>
      <c r="GO72" s="31"/>
      <c r="GP72" s="31"/>
      <c r="GQ72" s="31"/>
      <c r="GR72" s="31"/>
      <c r="GS72" s="31"/>
      <c r="GT72" s="31"/>
      <c r="GU72" s="31"/>
      <c r="GV72" s="31"/>
      <c r="GW72" s="31"/>
      <c r="GX72" s="31"/>
      <c r="GY72" s="31"/>
      <c r="GZ72" s="31"/>
      <c r="HA72" s="31"/>
      <c r="HB72" s="31"/>
      <c r="HC72" s="31"/>
      <c r="HD72" s="31"/>
      <c r="HE72" s="31"/>
      <c r="HF72" s="31"/>
      <c r="HG72" s="31"/>
      <c r="HH72" s="31"/>
    </row>
    <row r="73" spans="1:216" ht="15.75" customHeight="1" x14ac:dyDescent="0.4">
      <c r="A73" s="11" t="s">
        <v>50</v>
      </c>
      <c r="B73" s="46"/>
      <c r="C73" s="24" t="s">
        <v>124</v>
      </c>
      <c r="D73" s="47"/>
      <c r="E73" s="9">
        <f>ALIYAN!V73+BUBUK!T73+GITIK!N73+GLADAG!W73+KARANGBENDO!Z73+KEDALEMAN!S73+LEMAHBANGDEWO!O73+MANGIR!S73+PENGATIGAN!Y73+ROGOJAMPI!AM73</f>
        <v>2113</v>
      </c>
      <c r="F73" s="42"/>
      <c r="G73" s="27"/>
      <c r="H73" s="27"/>
      <c r="I73" s="27"/>
      <c r="J73" s="27"/>
      <c r="K73" s="27"/>
      <c r="L73" s="27"/>
      <c r="M73" s="27"/>
      <c r="N73" s="27"/>
      <c r="O73" s="27"/>
      <c r="P73" s="37"/>
      <c r="Q73" s="30"/>
      <c r="R73" s="30"/>
      <c r="S73" s="30"/>
      <c r="T73" s="30"/>
      <c r="U73" s="30"/>
      <c r="V73" s="30"/>
      <c r="W73" s="38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0"/>
      <c r="BM73" s="30"/>
      <c r="BN73" s="30"/>
      <c r="BO73" s="30"/>
      <c r="BP73" s="30"/>
      <c r="BQ73" s="30"/>
      <c r="BR73" s="38"/>
      <c r="BS73" s="30"/>
      <c r="BT73" s="30"/>
      <c r="BU73" s="30"/>
      <c r="BV73" s="30"/>
      <c r="BW73" s="30"/>
      <c r="BX73" s="30"/>
      <c r="BY73" s="30"/>
      <c r="BZ73" s="30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8"/>
      <c r="EZ73" s="38"/>
      <c r="FA73" s="38"/>
      <c r="FB73" s="38"/>
      <c r="FC73" s="38"/>
      <c r="FD73" s="38"/>
      <c r="FE73" s="38"/>
      <c r="FF73" s="30"/>
      <c r="FG73" s="30"/>
      <c r="FH73" s="30"/>
      <c r="FI73" s="30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</row>
    <row r="74" spans="1:216" ht="15.75" customHeight="1" x14ac:dyDescent="0.4">
      <c r="A74" s="7"/>
      <c r="B74" s="46"/>
      <c r="C74" s="24" t="s">
        <v>125</v>
      </c>
      <c r="D74" s="47"/>
      <c r="E74" s="9">
        <f>ALIYAN!V74+BUBUK!T74+GITIK!N74+GLADAG!W74+KARANGBENDO!Z74+KEDALEMAN!S74+LEMAHBANGDEWO!O74+MANGIR!S74+PENGATIGAN!Y74+ROGOJAMPI!AM74</f>
        <v>53</v>
      </c>
      <c r="F74" s="39"/>
      <c r="G74" s="20"/>
      <c r="H74" s="20"/>
      <c r="I74" s="20"/>
      <c r="J74" s="20"/>
      <c r="K74" s="20"/>
      <c r="L74" s="20"/>
      <c r="M74" s="20"/>
      <c r="N74" s="20"/>
      <c r="O74" s="20"/>
      <c r="P74" s="32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</row>
    <row r="75" spans="1:216" ht="15.75" customHeight="1" x14ac:dyDescent="0.4">
      <c r="A75" s="7"/>
      <c r="B75" s="46"/>
      <c r="C75" s="24" t="s">
        <v>126</v>
      </c>
      <c r="D75" s="47"/>
      <c r="E75" s="9">
        <f>ALIYAN!V75+BUBUK!T75+GITIK!N75+GLADAG!W75+KARANGBENDO!Z75+KEDALEMAN!S75+LEMAHBANGDEWO!O75+MANGIR!S75+PENGATIGAN!Y75+ROGOJAMPI!AM75</f>
        <v>35</v>
      </c>
      <c r="F75" s="39"/>
      <c r="G75" s="20"/>
      <c r="H75" s="20"/>
      <c r="I75" s="20"/>
      <c r="J75" s="20"/>
      <c r="K75" s="20"/>
      <c r="L75" s="20"/>
      <c r="M75" s="20"/>
      <c r="N75" s="20"/>
      <c r="O75" s="20"/>
      <c r="P75" s="32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</row>
    <row r="76" spans="1:216" ht="15.75" customHeight="1" x14ac:dyDescent="0.4">
      <c r="A76" s="7"/>
      <c r="B76" s="46"/>
      <c r="C76" s="24" t="s">
        <v>127</v>
      </c>
      <c r="D76" s="47"/>
      <c r="E76" s="9">
        <f>ALIYAN!V76+BUBUK!T76+GITIK!N76+GLADAG!W76+KARANGBENDO!Z76+KEDALEMAN!S76+LEMAHBANGDEWO!O76+MANGIR!S76+PENGATIGAN!Y76+ROGOJAMPI!AM76</f>
        <v>32</v>
      </c>
      <c r="F76" s="39"/>
      <c r="G76" s="20"/>
      <c r="H76" s="20"/>
      <c r="I76" s="20"/>
      <c r="J76" s="20"/>
      <c r="K76" s="20"/>
      <c r="L76" s="20"/>
      <c r="M76" s="20"/>
      <c r="N76" s="20"/>
      <c r="O76" s="20"/>
      <c r="P76" s="32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  <c r="GS76" s="33"/>
      <c r="GT76" s="33"/>
      <c r="GU76" s="33"/>
      <c r="GV76" s="33"/>
      <c r="GW76" s="33"/>
      <c r="GX76" s="33"/>
      <c r="GY76" s="33"/>
      <c r="GZ76" s="33"/>
      <c r="HA76" s="33"/>
      <c r="HB76" s="33"/>
      <c r="HC76" s="33"/>
      <c r="HD76" s="33"/>
      <c r="HE76" s="33"/>
      <c r="HF76" s="33"/>
      <c r="HG76" s="33"/>
      <c r="HH76" s="33"/>
    </row>
    <row r="77" spans="1:216" ht="15.75" customHeight="1" x14ac:dyDescent="0.4">
      <c r="A77" s="7"/>
      <c r="B77" s="46"/>
      <c r="C77" s="24" t="s">
        <v>128</v>
      </c>
      <c r="D77" s="47"/>
      <c r="E77" s="9">
        <f>ALIYAN!V77+BUBUK!T77+GITIK!N77+GLADAG!W77+KARANGBENDO!Z77+KEDALEMAN!S77+LEMAHBANGDEWO!O77+MANGIR!S77+PENGATIGAN!Y77+ROGOJAMPI!AM77</f>
        <v>37</v>
      </c>
      <c r="F77" s="39"/>
      <c r="G77" s="20"/>
      <c r="H77" s="20"/>
      <c r="I77" s="20"/>
      <c r="J77" s="20"/>
      <c r="K77" s="20"/>
      <c r="L77" s="20"/>
      <c r="M77" s="20"/>
      <c r="N77" s="20"/>
      <c r="O77" s="20"/>
      <c r="P77" s="32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</row>
    <row r="78" spans="1:216" ht="15.75" customHeight="1" x14ac:dyDescent="0.4">
      <c r="A78" s="7"/>
      <c r="B78" s="46"/>
      <c r="C78" s="24" t="s">
        <v>129</v>
      </c>
      <c r="D78" s="47"/>
      <c r="E78" s="9">
        <f>ALIYAN!V78+BUBUK!T78+GITIK!N78+GLADAG!W78+KARANGBENDO!Z78+KEDALEMAN!S78+LEMAHBANGDEWO!O78+MANGIR!S78+PENGATIGAN!Y78+ROGOJAMPI!AM78</f>
        <v>954</v>
      </c>
      <c r="F78" s="39"/>
      <c r="G78" s="20"/>
      <c r="H78" s="20"/>
      <c r="I78" s="20"/>
      <c r="J78" s="20"/>
      <c r="K78" s="20"/>
      <c r="L78" s="20"/>
      <c r="M78" s="20"/>
      <c r="N78" s="20"/>
      <c r="O78" s="20"/>
      <c r="P78" s="32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  <c r="GV78" s="33"/>
      <c r="GW78" s="33"/>
      <c r="GX78" s="33"/>
      <c r="GY78" s="33"/>
      <c r="GZ78" s="33"/>
      <c r="HA78" s="33"/>
      <c r="HB78" s="33"/>
      <c r="HC78" s="33"/>
      <c r="HD78" s="33"/>
      <c r="HE78" s="33"/>
      <c r="HF78" s="33"/>
      <c r="HG78" s="33"/>
      <c r="HH78" s="33"/>
    </row>
    <row r="79" spans="1:216" ht="15.75" customHeight="1" x14ac:dyDescent="0.4">
      <c r="A79" s="6" t="s">
        <v>26</v>
      </c>
      <c r="B79" s="53" t="s">
        <v>51</v>
      </c>
      <c r="C79" s="69"/>
      <c r="D79" s="60"/>
      <c r="E79" s="5">
        <f>SUM(E72:E78)</f>
        <v>3592</v>
      </c>
      <c r="F79" s="39"/>
      <c r="G79" s="20"/>
      <c r="H79" s="20"/>
      <c r="I79" s="20"/>
      <c r="J79" s="20"/>
      <c r="K79" s="20"/>
      <c r="L79" s="20"/>
      <c r="M79" s="20"/>
      <c r="N79" s="20"/>
      <c r="O79" s="20"/>
      <c r="P79" s="32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</row>
    <row r="80" spans="1:216" ht="15.75" customHeight="1" x14ac:dyDescent="0.4">
      <c r="A80" s="70"/>
      <c r="B80" s="71"/>
      <c r="C80" s="71"/>
      <c r="D80" s="71"/>
      <c r="E80" s="71"/>
      <c r="F80" s="39"/>
      <c r="G80" s="20"/>
      <c r="H80" s="20"/>
      <c r="I80" s="20"/>
      <c r="J80" s="20"/>
      <c r="K80" s="20"/>
      <c r="L80" s="20"/>
      <c r="M80" s="20"/>
      <c r="N80" s="20"/>
      <c r="O80" s="20"/>
      <c r="P80" s="32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  <c r="GV80" s="33"/>
      <c r="GW80" s="33"/>
      <c r="GX80" s="33"/>
      <c r="GY80" s="33"/>
      <c r="GZ80" s="33"/>
      <c r="HA80" s="33"/>
      <c r="HB80" s="33"/>
      <c r="HC80" s="33"/>
      <c r="HD80" s="33"/>
      <c r="HE80" s="33"/>
      <c r="HF80" s="33"/>
      <c r="HG80" s="33"/>
      <c r="HH80" s="33"/>
    </row>
    <row r="81" spans="1:216" ht="15.75" customHeight="1" x14ac:dyDescent="0.4">
      <c r="A81" s="11" t="s">
        <v>48</v>
      </c>
      <c r="B81" s="17" t="s">
        <v>55</v>
      </c>
      <c r="C81" s="59" t="s">
        <v>56</v>
      </c>
      <c r="D81" s="60"/>
      <c r="E81" s="9">
        <f>ALIYAN!V81+BUBUK!T81+GITIK!N81+GLADAG!W81+KARANGBENDO!Z81+KEDALEMAN!S81+LEMAHBANGDEWO!O81+MANGIR!S81+PENGATIGAN!Y81+ROGOJAMPI!AM81</f>
        <v>209</v>
      </c>
      <c r="F81" s="40"/>
      <c r="G81" s="1"/>
      <c r="H81" s="1"/>
      <c r="I81" s="1"/>
      <c r="J81" s="1"/>
      <c r="K81" s="1"/>
      <c r="L81" s="1"/>
      <c r="M81" s="1"/>
      <c r="N81" s="1"/>
      <c r="O81" s="1"/>
      <c r="P81" s="34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</row>
    <row r="82" spans="1:216" ht="15.75" customHeight="1" x14ac:dyDescent="0.4">
      <c r="A82" s="11" t="s">
        <v>50</v>
      </c>
      <c r="B82" s="46"/>
      <c r="C82" s="24" t="s">
        <v>130</v>
      </c>
      <c r="D82" s="47"/>
      <c r="E82" s="9">
        <f>ALIYAN!V82+BUBUK!T82+GITIK!N82+GLADAG!W82+KARANGBENDO!Z82+KEDALEMAN!S82+LEMAHBANGDEWO!O82+MANGIR!S82+PENGATIGAN!Y82+ROGOJAMPI!AM82</f>
        <v>591</v>
      </c>
      <c r="F82" s="42"/>
      <c r="G82" s="27"/>
      <c r="H82" s="27"/>
      <c r="I82" s="27"/>
      <c r="J82" s="27"/>
      <c r="K82" s="27"/>
      <c r="L82" s="27"/>
      <c r="M82" s="27"/>
      <c r="N82" s="27"/>
      <c r="O82" s="27"/>
      <c r="P82" s="37"/>
      <c r="Q82" s="30"/>
      <c r="R82" s="30"/>
      <c r="S82" s="30"/>
      <c r="T82" s="30"/>
      <c r="U82" s="30"/>
      <c r="V82" s="30"/>
      <c r="W82" s="38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0"/>
      <c r="BM82" s="30"/>
      <c r="BN82" s="30"/>
      <c r="BO82" s="30"/>
      <c r="BP82" s="30"/>
      <c r="BQ82" s="30"/>
      <c r="BR82" s="38"/>
      <c r="BS82" s="30"/>
      <c r="BT82" s="30"/>
      <c r="BU82" s="30"/>
      <c r="BV82" s="30"/>
      <c r="BW82" s="30"/>
      <c r="BX82" s="30"/>
      <c r="BY82" s="30"/>
      <c r="BZ82" s="30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8"/>
      <c r="EZ82" s="38"/>
      <c r="FA82" s="38"/>
      <c r="FB82" s="38"/>
      <c r="FC82" s="38"/>
      <c r="FD82" s="38"/>
      <c r="FE82" s="38"/>
      <c r="FF82" s="30"/>
      <c r="FG82" s="30"/>
      <c r="FH82" s="30"/>
      <c r="FI82" s="30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</row>
    <row r="83" spans="1:216" ht="15.75" customHeight="1" x14ac:dyDescent="0.4">
      <c r="A83" s="7"/>
      <c r="B83" s="46"/>
      <c r="C83" s="24" t="s">
        <v>131</v>
      </c>
      <c r="D83" s="47"/>
      <c r="E83" s="9">
        <f>ALIYAN!V83+BUBUK!T83+GITIK!N83+GLADAG!W83+KARANGBENDO!Z83+KEDALEMAN!S83+LEMAHBANGDEWO!O83+MANGIR!S83+PENGATIGAN!Y83+ROGOJAMPI!AM83</f>
        <v>818</v>
      </c>
      <c r="F83" s="39"/>
      <c r="G83" s="20"/>
      <c r="H83" s="20"/>
      <c r="I83" s="20"/>
      <c r="J83" s="20"/>
      <c r="K83" s="20"/>
      <c r="L83" s="20"/>
      <c r="M83" s="20"/>
      <c r="N83" s="20"/>
      <c r="O83" s="20"/>
      <c r="P83" s="32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</row>
    <row r="84" spans="1:216" ht="15.75" customHeight="1" x14ac:dyDescent="0.4">
      <c r="A84" s="7"/>
      <c r="B84" s="46"/>
      <c r="C84" s="24" t="s">
        <v>132</v>
      </c>
      <c r="D84" s="47"/>
      <c r="E84" s="9">
        <f>ALIYAN!V84+BUBUK!T84+GITIK!N84+GLADAG!W84+KARANGBENDO!Z84+KEDALEMAN!S84+LEMAHBANGDEWO!O84+MANGIR!S84+PENGATIGAN!Y84+ROGOJAMPI!AM84</f>
        <v>28</v>
      </c>
      <c r="F84" s="39"/>
      <c r="G84" s="20"/>
      <c r="H84" s="20"/>
      <c r="I84" s="20"/>
      <c r="J84" s="20"/>
      <c r="K84" s="20"/>
      <c r="L84" s="20"/>
      <c r="M84" s="20"/>
      <c r="N84" s="20"/>
      <c r="O84" s="20"/>
      <c r="P84" s="32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  <c r="GS84" s="33"/>
      <c r="GT84" s="33"/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</row>
    <row r="85" spans="1:216" ht="15.75" customHeight="1" x14ac:dyDescent="0.4">
      <c r="A85" s="7"/>
      <c r="B85" s="46"/>
      <c r="C85" s="24" t="s">
        <v>133</v>
      </c>
      <c r="D85" s="47"/>
      <c r="E85" s="9">
        <f>ALIYAN!V85+BUBUK!T85+GITIK!N85+GLADAG!W85+KARANGBENDO!Z85+KEDALEMAN!S85+LEMAHBANGDEWO!O85+MANGIR!S85+PENGATIGAN!Y85+ROGOJAMPI!AM85</f>
        <v>14</v>
      </c>
      <c r="F85" s="39"/>
      <c r="G85" s="20"/>
      <c r="H85" s="20"/>
      <c r="I85" s="20"/>
      <c r="J85" s="20"/>
      <c r="K85" s="20"/>
      <c r="L85" s="20"/>
      <c r="M85" s="20"/>
      <c r="N85" s="20"/>
      <c r="O85" s="20"/>
      <c r="P85" s="32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</row>
    <row r="86" spans="1:216" ht="15.75" customHeight="1" x14ac:dyDescent="0.4">
      <c r="A86" s="7"/>
      <c r="B86" s="46"/>
      <c r="C86" s="24" t="s">
        <v>134</v>
      </c>
      <c r="D86" s="47"/>
      <c r="E86" s="9">
        <f>ALIYAN!V86+BUBUK!T86+GITIK!N86+GLADAG!W86+KARANGBENDO!Z86+KEDALEMAN!S86+LEMAHBANGDEWO!O86+MANGIR!S86+PENGATIGAN!Y86+ROGOJAMPI!AM86</f>
        <v>366</v>
      </c>
      <c r="F86" s="39"/>
      <c r="G86" s="20"/>
      <c r="H86" s="20"/>
      <c r="I86" s="20"/>
      <c r="J86" s="20"/>
      <c r="K86" s="20"/>
      <c r="L86" s="20"/>
      <c r="M86" s="20"/>
      <c r="N86" s="20"/>
      <c r="O86" s="20"/>
      <c r="P86" s="32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33"/>
      <c r="GF86" s="33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33"/>
      <c r="GX86" s="33"/>
      <c r="GY86" s="33"/>
      <c r="GZ86" s="33"/>
      <c r="HA86" s="33"/>
      <c r="HB86" s="33"/>
      <c r="HC86" s="33"/>
      <c r="HD86" s="33"/>
      <c r="HE86" s="33"/>
      <c r="HF86" s="33"/>
      <c r="HG86" s="33"/>
      <c r="HH86" s="33"/>
    </row>
    <row r="87" spans="1:216" ht="15.75" customHeight="1" x14ac:dyDescent="0.4">
      <c r="A87" s="7"/>
      <c r="B87" s="46"/>
      <c r="C87" s="24" t="s">
        <v>135</v>
      </c>
      <c r="D87" s="47"/>
      <c r="E87" s="9">
        <f>ALIYAN!V87+BUBUK!T87+GITIK!N87+GLADAG!W87+KARANGBENDO!Z87+KEDALEMAN!S87+LEMAHBANGDEWO!O87+MANGIR!S87+PENGATIGAN!Y87+ROGOJAMPI!AM87</f>
        <v>10</v>
      </c>
      <c r="F87" s="39"/>
      <c r="G87" s="20"/>
      <c r="H87" s="20"/>
      <c r="I87" s="20"/>
      <c r="J87" s="20"/>
      <c r="K87" s="20"/>
      <c r="L87" s="20"/>
      <c r="M87" s="20"/>
      <c r="N87" s="20"/>
      <c r="O87" s="20"/>
      <c r="P87" s="32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</row>
    <row r="88" spans="1:216" ht="15.75" customHeight="1" x14ac:dyDescent="0.4">
      <c r="A88" s="6" t="s">
        <v>26</v>
      </c>
      <c r="B88" s="53" t="s">
        <v>51</v>
      </c>
      <c r="C88" s="69"/>
      <c r="D88" s="60"/>
      <c r="E88" s="5">
        <f>SUM(E81:E87)</f>
        <v>2036</v>
      </c>
      <c r="F88" s="39"/>
      <c r="G88" s="20"/>
      <c r="H88" s="20"/>
      <c r="I88" s="20"/>
      <c r="J88" s="20"/>
      <c r="K88" s="20"/>
      <c r="L88" s="20"/>
      <c r="M88" s="20"/>
      <c r="N88" s="20"/>
      <c r="O88" s="20"/>
      <c r="P88" s="32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</row>
    <row r="89" spans="1:216" ht="15.75" customHeight="1" x14ac:dyDescent="0.4">
      <c r="A89" s="70"/>
      <c r="B89" s="71"/>
      <c r="C89" s="71"/>
      <c r="D89" s="71"/>
      <c r="E89" s="71"/>
      <c r="F89" s="39"/>
      <c r="G89" s="20"/>
      <c r="H89" s="20"/>
      <c r="I89" s="20"/>
      <c r="J89" s="20"/>
      <c r="K89" s="20"/>
      <c r="L89" s="20"/>
      <c r="M89" s="20"/>
      <c r="N89" s="20"/>
      <c r="O89" s="20"/>
      <c r="P89" s="32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</row>
    <row r="90" spans="1:216" ht="15.75" customHeight="1" x14ac:dyDescent="0.4">
      <c r="A90" s="11" t="s">
        <v>48</v>
      </c>
      <c r="B90" s="17" t="s">
        <v>57</v>
      </c>
      <c r="C90" s="59" t="s">
        <v>58</v>
      </c>
      <c r="D90" s="60"/>
      <c r="E90" s="9">
        <f>ALIYAN!V90+BUBUK!T90+GITIK!N90+GLADAG!W90+KARANGBENDO!Z90+KEDALEMAN!S90+LEMAHBANGDEWO!O90+MANGIR!S90+PENGATIGAN!Y90+ROGOJAMPI!AM90</f>
        <v>56</v>
      </c>
      <c r="F90" s="40"/>
      <c r="G90" s="1"/>
      <c r="H90" s="1"/>
      <c r="I90" s="1"/>
      <c r="J90" s="1"/>
      <c r="K90" s="1"/>
      <c r="L90" s="1"/>
      <c r="M90" s="1"/>
      <c r="N90" s="1"/>
      <c r="O90" s="1"/>
      <c r="P90" s="34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/>
      <c r="FQ90" s="31"/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/>
      <c r="GC90" s="31"/>
      <c r="GD90" s="31"/>
      <c r="GE90" s="31"/>
      <c r="GF90" s="31"/>
      <c r="GG90" s="31"/>
      <c r="GH90" s="31"/>
      <c r="GI90" s="31"/>
      <c r="GJ90" s="31"/>
      <c r="GK90" s="31"/>
      <c r="GL90" s="31"/>
      <c r="GM90" s="31"/>
      <c r="GN90" s="31"/>
      <c r="GO90" s="31"/>
      <c r="GP90" s="31"/>
      <c r="GQ90" s="31"/>
      <c r="GR90" s="31"/>
      <c r="GS90" s="31"/>
      <c r="GT90" s="31"/>
      <c r="GU90" s="31"/>
      <c r="GV90" s="31"/>
      <c r="GW90" s="31"/>
      <c r="GX90" s="31"/>
      <c r="GY90" s="31"/>
      <c r="GZ90" s="31"/>
      <c r="HA90" s="31"/>
      <c r="HB90" s="31"/>
      <c r="HC90" s="31"/>
      <c r="HD90" s="31"/>
      <c r="HE90" s="31"/>
      <c r="HF90" s="31"/>
      <c r="HG90" s="31"/>
      <c r="HH90" s="31"/>
    </row>
    <row r="91" spans="1:216" ht="15.75" customHeight="1" x14ac:dyDescent="0.4">
      <c r="A91" s="11" t="s">
        <v>50</v>
      </c>
      <c r="B91" s="46"/>
      <c r="C91" s="72" t="s">
        <v>136</v>
      </c>
      <c r="D91" s="60"/>
      <c r="E91" s="9">
        <f>ALIYAN!V91+BUBUK!T91+GITIK!N91+GLADAG!W91+KARANGBENDO!Z91+KEDALEMAN!S91+LEMAHBANGDEWO!O91+MANGIR!S91+PENGATIGAN!Y91+ROGOJAMPI!AM91</f>
        <v>40</v>
      </c>
      <c r="F91" s="42"/>
      <c r="G91" s="27"/>
      <c r="H91" s="27"/>
      <c r="I91" s="27"/>
      <c r="J91" s="27"/>
      <c r="K91" s="27"/>
      <c r="L91" s="27"/>
      <c r="M91" s="27"/>
      <c r="N91" s="27"/>
      <c r="O91" s="27"/>
      <c r="P91" s="37"/>
      <c r="Q91" s="30"/>
      <c r="R91" s="30"/>
      <c r="S91" s="30"/>
      <c r="T91" s="30"/>
      <c r="U91" s="30"/>
      <c r="V91" s="30"/>
      <c r="W91" s="38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0"/>
      <c r="BM91" s="30"/>
      <c r="BN91" s="30"/>
      <c r="BO91" s="30"/>
      <c r="BP91" s="30"/>
      <c r="BQ91" s="30"/>
      <c r="BR91" s="38"/>
      <c r="BS91" s="30"/>
      <c r="BT91" s="30"/>
      <c r="BU91" s="30"/>
      <c r="BV91" s="30"/>
      <c r="BW91" s="30"/>
      <c r="BX91" s="30"/>
      <c r="BY91" s="30"/>
      <c r="BZ91" s="30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8"/>
      <c r="EZ91" s="38"/>
      <c r="FA91" s="38"/>
      <c r="FB91" s="38"/>
      <c r="FC91" s="38"/>
      <c r="FD91" s="38"/>
      <c r="FE91" s="38"/>
      <c r="FF91" s="30"/>
      <c r="FG91" s="30"/>
      <c r="FH91" s="30"/>
      <c r="FI91" s="30"/>
      <c r="FJ91" s="38"/>
      <c r="FK91" s="38"/>
      <c r="FL91" s="38"/>
      <c r="FM91" s="38"/>
      <c r="FN91" s="38"/>
      <c r="FO91" s="38"/>
      <c r="FP91" s="38"/>
      <c r="FQ91" s="38"/>
      <c r="FR91" s="38"/>
      <c r="FS91" s="38"/>
      <c r="FT91" s="38"/>
      <c r="FU91" s="38"/>
      <c r="FV91" s="38"/>
      <c r="FW91" s="38"/>
      <c r="FX91" s="38"/>
      <c r="FY91" s="38"/>
      <c r="FZ91" s="38"/>
      <c r="GA91" s="38"/>
      <c r="GB91" s="38"/>
      <c r="GC91" s="38"/>
      <c r="GD91" s="38"/>
      <c r="GE91" s="38"/>
      <c r="GF91" s="38"/>
      <c r="GG91" s="38"/>
      <c r="GH91" s="38"/>
      <c r="GI91" s="38"/>
      <c r="GJ91" s="38"/>
      <c r="GK91" s="38"/>
      <c r="GL91" s="38"/>
      <c r="GM91" s="38"/>
      <c r="GN91" s="38"/>
      <c r="GO91" s="38"/>
      <c r="GP91" s="38"/>
      <c r="GQ91" s="38"/>
      <c r="GR91" s="38"/>
      <c r="GS91" s="38"/>
      <c r="GT91" s="38"/>
      <c r="GU91" s="38"/>
      <c r="GV91" s="38"/>
      <c r="GW91" s="38"/>
      <c r="GX91" s="38"/>
      <c r="GY91" s="38"/>
      <c r="GZ91" s="38"/>
      <c r="HA91" s="38"/>
      <c r="HB91" s="38"/>
      <c r="HC91" s="38"/>
      <c r="HD91" s="38"/>
      <c r="HE91" s="38"/>
      <c r="HF91" s="38"/>
      <c r="HG91" s="38"/>
      <c r="HH91" s="38"/>
    </row>
    <row r="92" spans="1:216" ht="15.75" customHeight="1" x14ac:dyDescent="0.4">
      <c r="A92" s="6" t="s">
        <v>26</v>
      </c>
      <c r="B92" s="53" t="s">
        <v>51</v>
      </c>
      <c r="C92" s="54"/>
      <c r="D92" s="55"/>
      <c r="E92" s="5">
        <f>SUM(E90:E91)</f>
        <v>96</v>
      </c>
      <c r="F92" s="42"/>
      <c r="G92" s="27"/>
      <c r="H92" s="27"/>
      <c r="I92" s="27"/>
      <c r="J92" s="27"/>
      <c r="K92" s="27"/>
      <c r="L92" s="27"/>
      <c r="M92" s="27"/>
      <c r="N92" s="27"/>
      <c r="O92" s="27"/>
      <c r="P92" s="37"/>
      <c r="Q92" s="30"/>
      <c r="R92" s="30"/>
      <c r="S92" s="30"/>
      <c r="T92" s="30"/>
      <c r="U92" s="30"/>
      <c r="V92" s="30"/>
      <c r="W92" s="38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0"/>
      <c r="BM92" s="30"/>
      <c r="BN92" s="30"/>
      <c r="BO92" s="30"/>
      <c r="BP92" s="30"/>
      <c r="BQ92" s="30"/>
      <c r="BR92" s="38"/>
      <c r="BS92" s="30"/>
      <c r="BT92" s="30"/>
      <c r="BU92" s="30"/>
      <c r="BV92" s="30"/>
      <c r="BW92" s="30"/>
      <c r="BX92" s="30"/>
      <c r="BY92" s="30"/>
      <c r="BZ92" s="30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8"/>
      <c r="EZ92" s="38"/>
      <c r="FA92" s="38"/>
      <c r="FB92" s="38"/>
      <c r="FC92" s="38"/>
      <c r="FD92" s="38"/>
      <c r="FE92" s="38"/>
      <c r="FF92" s="30"/>
      <c r="FG92" s="30"/>
      <c r="FH92" s="30"/>
      <c r="FI92" s="30"/>
      <c r="FJ92" s="38"/>
      <c r="FK92" s="38"/>
      <c r="FL92" s="38"/>
      <c r="FM92" s="38"/>
      <c r="FN92" s="38"/>
      <c r="FO92" s="38"/>
      <c r="FP92" s="38"/>
      <c r="FQ92" s="38"/>
      <c r="FR92" s="38"/>
      <c r="FS92" s="38"/>
      <c r="FT92" s="38"/>
      <c r="FU92" s="38"/>
      <c r="FV92" s="38"/>
      <c r="FW92" s="38"/>
      <c r="FX92" s="38"/>
      <c r="FY92" s="38"/>
      <c r="FZ92" s="38"/>
      <c r="GA92" s="38"/>
      <c r="GB92" s="38"/>
      <c r="GC92" s="38"/>
      <c r="GD92" s="38"/>
      <c r="GE92" s="38"/>
      <c r="GF92" s="38"/>
      <c r="GG92" s="38"/>
      <c r="GH92" s="38"/>
      <c r="GI92" s="38"/>
      <c r="GJ92" s="38"/>
      <c r="GK92" s="38"/>
      <c r="GL92" s="38"/>
      <c r="GM92" s="38"/>
      <c r="GN92" s="38"/>
      <c r="GO92" s="38"/>
      <c r="GP92" s="38"/>
      <c r="GQ92" s="38"/>
      <c r="GR92" s="38"/>
      <c r="GS92" s="38"/>
      <c r="GT92" s="38"/>
      <c r="GU92" s="38"/>
      <c r="GV92" s="38"/>
      <c r="GW92" s="38"/>
      <c r="GX92" s="38"/>
      <c r="GY92" s="38"/>
      <c r="GZ92" s="38"/>
      <c r="HA92" s="38"/>
      <c r="HB92" s="38"/>
      <c r="HC92" s="38"/>
      <c r="HD92" s="38"/>
      <c r="HE92" s="38"/>
      <c r="HF92" s="38"/>
      <c r="HG92" s="38"/>
      <c r="HH92" s="38"/>
    </row>
    <row r="93" spans="1:216" ht="15.75" customHeight="1" x14ac:dyDescent="0.4">
      <c r="A93" s="61"/>
      <c r="B93" s="62"/>
      <c r="C93" s="62"/>
      <c r="D93" s="62"/>
      <c r="E93" s="63"/>
      <c r="F93" s="39"/>
      <c r="G93" s="20"/>
      <c r="H93" s="20"/>
      <c r="I93" s="20"/>
      <c r="J93" s="20"/>
      <c r="K93" s="20"/>
      <c r="L93" s="20"/>
      <c r="M93" s="20"/>
      <c r="N93" s="20"/>
      <c r="O93" s="20"/>
      <c r="P93" s="32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  <c r="EE93" s="33"/>
      <c r="EF93" s="33"/>
      <c r="EG93" s="33"/>
      <c r="EH93" s="33"/>
      <c r="EI93" s="33"/>
      <c r="EJ93" s="33"/>
      <c r="EK93" s="33"/>
      <c r="EL93" s="33"/>
      <c r="EM93" s="33"/>
      <c r="EN93" s="33"/>
      <c r="EO93" s="33"/>
      <c r="EP93" s="33"/>
      <c r="EQ93" s="33"/>
      <c r="ER93" s="33"/>
      <c r="ES93" s="33"/>
      <c r="ET93" s="33"/>
      <c r="EU93" s="33"/>
      <c r="EV93" s="33"/>
      <c r="EW93" s="33"/>
      <c r="EX93" s="33"/>
      <c r="EY93" s="33"/>
      <c r="EZ93" s="33"/>
      <c r="FA93" s="33"/>
      <c r="FB93" s="33"/>
      <c r="FC93" s="33"/>
      <c r="FD93" s="33"/>
      <c r="FE93" s="33"/>
      <c r="FF93" s="33"/>
      <c r="FG93" s="33"/>
      <c r="FH93" s="33"/>
      <c r="FI93" s="33"/>
      <c r="FJ93" s="33"/>
      <c r="FK93" s="33"/>
      <c r="FL93" s="33"/>
      <c r="FM93" s="33"/>
      <c r="FN93" s="33"/>
      <c r="FO93" s="33"/>
      <c r="FP93" s="33"/>
      <c r="FQ93" s="33"/>
      <c r="FR93" s="33"/>
      <c r="FS93" s="33"/>
      <c r="FT93" s="33"/>
      <c r="FU93" s="33"/>
      <c r="FV93" s="33"/>
      <c r="FW93" s="33"/>
      <c r="FX93" s="33"/>
      <c r="FY93" s="33"/>
      <c r="FZ93" s="33"/>
      <c r="GA93" s="33"/>
      <c r="GB93" s="33"/>
      <c r="GC93" s="33"/>
      <c r="GD93" s="33"/>
      <c r="GE93" s="33"/>
      <c r="GF93" s="33"/>
      <c r="GG93" s="33"/>
      <c r="GH93" s="33"/>
      <c r="GI93" s="33"/>
      <c r="GJ93" s="33"/>
      <c r="GK93" s="33"/>
      <c r="GL93" s="33"/>
      <c r="GM93" s="33"/>
      <c r="GN93" s="33"/>
      <c r="GO93" s="33"/>
      <c r="GP93" s="33"/>
      <c r="GQ93" s="33"/>
      <c r="GR93" s="33"/>
      <c r="GS93" s="33"/>
      <c r="GT93" s="33"/>
      <c r="GU93" s="33"/>
      <c r="GV93" s="33"/>
      <c r="GW93" s="33"/>
      <c r="GX93" s="33"/>
      <c r="GY93" s="33"/>
      <c r="GZ93" s="33"/>
      <c r="HA93" s="33"/>
      <c r="HB93" s="33"/>
      <c r="HC93" s="33"/>
      <c r="HD93" s="33"/>
      <c r="HE93" s="33"/>
      <c r="HF93" s="33"/>
      <c r="HG93" s="33"/>
      <c r="HH93" s="33"/>
    </row>
    <row r="94" spans="1:216" ht="15.75" customHeight="1" x14ac:dyDescent="0.4">
      <c r="A94" s="11" t="s">
        <v>48</v>
      </c>
      <c r="B94" s="17" t="s">
        <v>59</v>
      </c>
      <c r="C94" s="59" t="s">
        <v>60</v>
      </c>
      <c r="D94" s="60"/>
      <c r="E94" s="9">
        <f>ALIYAN!V94+BUBUK!T94+GITIK!N94+GLADAG!W94+KARANGBENDO!Z94+KEDALEMAN!S94+LEMAHBANGDEWO!O94+MANGIR!S94+PENGATIGAN!Y94+ROGOJAMPI!AM94</f>
        <v>49</v>
      </c>
      <c r="F94" s="39"/>
      <c r="G94" s="20"/>
      <c r="H94" s="20"/>
      <c r="I94" s="20"/>
      <c r="J94" s="20"/>
      <c r="K94" s="20"/>
      <c r="L94" s="20"/>
      <c r="M94" s="20"/>
      <c r="N94" s="20"/>
      <c r="O94" s="20"/>
      <c r="P94" s="32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  <c r="ED94" s="33"/>
      <c r="EE94" s="33"/>
      <c r="EF94" s="33"/>
      <c r="EG94" s="33"/>
      <c r="EH94" s="33"/>
      <c r="EI94" s="33"/>
      <c r="EJ94" s="33"/>
      <c r="EK94" s="33"/>
      <c r="EL94" s="33"/>
      <c r="EM94" s="33"/>
      <c r="EN94" s="33"/>
      <c r="EO94" s="33"/>
      <c r="EP94" s="33"/>
      <c r="EQ94" s="33"/>
      <c r="ER94" s="33"/>
      <c r="ES94" s="33"/>
      <c r="ET94" s="33"/>
      <c r="EU94" s="33"/>
      <c r="EV94" s="33"/>
      <c r="EW94" s="33"/>
      <c r="EX94" s="33"/>
      <c r="EY94" s="33"/>
      <c r="EZ94" s="33"/>
      <c r="FA94" s="33"/>
      <c r="FB94" s="33"/>
      <c r="FC94" s="33"/>
      <c r="FD94" s="33"/>
      <c r="FE94" s="33"/>
      <c r="FF94" s="33"/>
      <c r="FG94" s="33"/>
      <c r="FH94" s="33"/>
      <c r="FI94" s="33"/>
      <c r="FJ94" s="33"/>
      <c r="FK94" s="33"/>
      <c r="FL94" s="33"/>
      <c r="FM94" s="33"/>
      <c r="FN94" s="33"/>
      <c r="FO94" s="33"/>
      <c r="FP94" s="33"/>
      <c r="FQ94" s="33"/>
      <c r="FR94" s="33"/>
      <c r="FS94" s="33"/>
      <c r="FT94" s="33"/>
      <c r="FU94" s="33"/>
      <c r="FV94" s="33"/>
      <c r="FW94" s="33"/>
      <c r="FX94" s="33"/>
      <c r="FY94" s="33"/>
      <c r="FZ94" s="33"/>
      <c r="GA94" s="33"/>
      <c r="GB94" s="33"/>
      <c r="GC94" s="33"/>
      <c r="GD94" s="33"/>
      <c r="GE94" s="33"/>
      <c r="GF94" s="33"/>
      <c r="GG94" s="33"/>
      <c r="GH94" s="33"/>
      <c r="GI94" s="33"/>
      <c r="GJ94" s="33"/>
      <c r="GK94" s="33"/>
      <c r="GL94" s="33"/>
      <c r="GM94" s="33"/>
      <c r="GN94" s="33"/>
      <c r="GO94" s="33"/>
      <c r="GP94" s="33"/>
      <c r="GQ94" s="33"/>
      <c r="GR94" s="33"/>
      <c r="GS94" s="33"/>
      <c r="GT94" s="33"/>
      <c r="GU94" s="33"/>
      <c r="GV94" s="33"/>
      <c r="GW94" s="33"/>
      <c r="GX94" s="33"/>
      <c r="GY94" s="33"/>
      <c r="GZ94" s="33"/>
      <c r="HA94" s="33"/>
      <c r="HB94" s="33"/>
      <c r="HC94" s="33"/>
      <c r="HD94" s="33"/>
      <c r="HE94" s="33"/>
      <c r="HF94" s="33"/>
      <c r="HG94" s="33"/>
      <c r="HH94" s="33"/>
    </row>
    <row r="95" spans="1:216" ht="15.75" customHeight="1" x14ac:dyDescent="0.4">
      <c r="A95" s="11" t="s">
        <v>50</v>
      </c>
      <c r="B95" s="46"/>
      <c r="C95" s="24" t="s">
        <v>137</v>
      </c>
      <c r="D95" s="47"/>
      <c r="E95" s="9">
        <f>ALIYAN!V95+BUBUK!T95+GITIK!N95+GLADAG!W95+KARANGBENDO!Z95+KEDALEMAN!S95+LEMAHBANGDEWO!O95+MANGIR!S95+PENGATIGAN!Y95+ROGOJAMPI!AM95</f>
        <v>15</v>
      </c>
      <c r="F95" s="39"/>
      <c r="G95" s="20"/>
      <c r="H95" s="20"/>
      <c r="I95" s="20"/>
      <c r="J95" s="20"/>
      <c r="K95" s="20"/>
      <c r="L95" s="20"/>
      <c r="M95" s="20"/>
      <c r="N95" s="20"/>
      <c r="O95" s="20"/>
      <c r="P95" s="32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</row>
    <row r="96" spans="1:216" ht="15.75" customHeight="1" x14ac:dyDescent="0.4">
      <c r="A96" s="7"/>
      <c r="B96" s="46"/>
      <c r="C96" s="24" t="s">
        <v>138</v>
      </c>
      <c r="D96" s="47"/>
      <c r="E96" s="9">
        <f>ALIYAN!V96+BUBUK!T96+GITIK!N96+GLADAG!W96+KARANGBENDO!Z96+KEDALEMAN!S96+LEMAHBANGDEWO!O96+MANGIR!S96+PENGATIGAN!Y96+ROGOJAMPI!AM96</f>
        <v>25</v>
      </c>
      <c r="F96" s="39"/>
      <c r="G96" s="20"/>
      <c r="H96" s="20"/>
      <c r="I96" s="20"/>
      <c r="J96" s="20"/>
      <c r="K96" s="20"/>
      <c r="L96" s="20"/>
      <c r="M96" s="20"/>
      <c r="N96" s="20"/>
      <c r="O96" s="20"/>
      <c r="P96" s="32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  <c r="GV96" s="33"/>
      <c r="GW96" s="33"/>
      <c r="GX96" s="33"/>
      <c r="GY96" s="33"/>
      <c r="GZ96" s="33"/>
      <c r="HA96" s="33"/>
      <c r="HB96" s="33"/>
      <c r="HC96" s="33"/>
      <c r="HD96" s="33"/>
      <c r="HE96" s="33"/>
      <c r="HF96" s="33"/>
      <c r="HG96" s="33"/>
      <c r="HH96" s="33"/>
    </row>
    <row r="97" spans="1:216" ht="15.75" customHeight="1" x14ac:dyDescent="0.4">
      <c r="A97" s="7"/>
      <c r="B97" s="46"/>
      <c r="C97" s="24" t="s">
        <v>139</v>
      </c>
      <c r="D97" s="47"/>
      <c r="E97" s="9">
        <f>ALIYAN!V97+BUBUK!T97+GITIK!N97+GLADAG!W97+KARANGBENDO!Z97+KEDALEMAN!S97+LEMAHBANGDEWO!O97+MANGIR!S97+PENGATIGAN!Y97+ROGOJAMPI!AM97</f>
        <v>14</v>
      </c>
      <c r="F97" s="39"/>
      <c r="G97" s="20"/>
      <c r="H97" s="20"/>
      <c r="I97" s="20"/>
      <c r="J97" s="20"/>
      <c r="K97" s="20"/>
      <c r="L97" s="20"/>
      <c r="M97" s="20"/>
      <c r="N97" s="20"/>
      <c r="O97" s="20"/>
      <c r="P97" s="32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</row>
    <row r="98" spans="1:216" ht="15.75" customHeight="1" x14ac:dyDescent="0.4">
      <c r="A98" s="7"/>
      <c r="B98" s="46"/>
      <c r="C98" s="24" t="s">
        <v>140</v>
      </c>
      <c r="D98" s="47"/>
      <c r="E98" s="9">
        <f>ALIYAN!V98+BUBUK!T98+GITIK!N98+GLADAG!W98+KARANGBENDO!Z98+KEDALEMAN!S98+LEMAHBANGDEWO!O98+MANGIR!S98+PENGATIGAN!Y98+ROGOJAMPI!AM98</f>
        <v>9</v>
      </c>
      <c r="F98" s="39"/>
      <c r="G98" s="20"/>
      <c r="H98" s="20"/>
      <c r="I98" s="20"/>
      <c r="J98" s="20"/>
      <c r="K98" s="20"/>
      <c r="L98" s="20"/>
      <c r="M98" s="20"/>
      <c r="N98" s="20"/>
      <c r="O98" s="20"/>
      <c r="P98" s="32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  <c r="GV98" s="33"/>
      <c r="GW98" s="33"/>
      <c r="GX98" s="33"/>
      <c r="GY98" s="33"/>
      <c r="GZ98" s="33"/>
      <c r="HA98" s="33"/>
      <c r="HB98" s="33"/>
      <c r="HC98" s="33"/>
      <c r="HD98" s="33"/>
      <c r="HE98" s="33"/>
      <c r="HF98" s="33"/>
      <c r="HG98" s="33"/>
      <c r="HH98" s="33"/>
    </row>
    <row r="99" spans="1:216" ht="15.75" customHeight="1" x14ac:dyDescent="0.4">
      <c r="A99" s="7"/>
      <c r="B99" s="46"/>
      <c r="C99" s="24" t="s">
        <v>141</v>
      </c>
      <c r="D99" s="47"/>
      <c r="E99" s="9">
        <f>ALIYAN!V99+BUBUK!T99+GITIK!N99+GLADAG!W99+KARANGBENDO!Z99+KEDALEMAN!S99+LEMAHBANGDEWO!O99+MANGIR!S99+PENGATIGAN!Y99+ROGOJAMPI!AM99</f>
        <v>2</v>
      </c>
      <c r="F99" s="39"/>
      <c r="G99" s="20"/>
      <c r="H99" s="20"/>
      <c r="I99" s="20"/>
      <c r="J99" s="20"/>
      <c r="K99" s="20"/>
      <c r="L99" s="20"/>
      <c r="M99" s="20"/>
      <c r="N99" s="20"/>
      <c r="O99" s="20"/>
      <c r="P99" s="32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33"/>
      <c r="GF99" s="33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  <c r="GS99" s="33"/>
      <c r="GT99" s="33"/>
      <c r="GU99" s="33"/>
      <c r="GV99" s="33"/>
      <c r="GW99" s="33"/>
      <c r="GX99" s="33"/>
      <c r="GY99" s="33"/>
      <c r="GZ99" s="33"/>
      <c r="HA99" s="33"/>
      <c r="HB99" s="33"/>
      <c r="HC99" s="33"/>
      <c r="HD99" s="33"/>
      <c r="HE99" s="33"/>
      <c r="HF99" s="33"/>
      <c r="HG99" s="33"/>
      <c r="HH99" s="33"/>
    </row>
    <row r="100" spans="1:216" ht="15.75" customHeight="1" x14ac:dyDescent="0.4">
      <c r="A100" s="7"/>
      <c r="B100" s="46"/>
      <c r="C100" s="24" t="s">
        <v>142</v>
      </c>
      <c r="D100" s="47"/>
      <c r="E100" s="9">
        <f>ALIYAN!V100+BUBUK!T100+GITIK!N100+GLADAG!W100+KARANGBENDO!Z100+KEDALEMAN!S100+LEMAHBANGDEWO!O100+MANGIR!S100+PENGATIGAN!Y100+ROGOJAMPI!AM100</f>
        <v>85</v>
      </c>
      <c r="F100" s="39"/>
      <c r="G100" s="20"/>
      <c r="H100" s="20"/>
      <c r="I100" s="20"/>
      <c r="J100" s="20"/>
      <c r="K100" s="20"/>
      <c r="L100" s="20"/>
      <c r="M100" s="20"/>
      <c r="N100" s="20"/>
      <c r="O100" s="20"/>
      <c r="P100" s="32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3"/>
      <c r="GE100" s="33"/>
      <c r="GF100" s="33"/>
      <c r="GG100" s="33"/>
      <c r="GH100" s="33"/>
      <c r="GI100" s="33"/>
      <c r="GJ100" s="33"/>
      <c r="GK100" s="33"/>
      <c r="GL100" s="33"/>
      <c r="GM100" s="33"/>
      <c r="GN100" s="33"/>
      <c r="GO100" s="33"/>
      <c r="GP100" s="33"/>
      <c r="GQ100" s="33"/>
      <c r="GR100" s="33"/>
      <c r="GS100" s="33"/>
      <c r="GT100" s="33"/>
      <c r="GU100" s="33"/>
      <c r="GV100" s="33"/>
      <c r="GW100" s="33"/>
      <c r="GX100" s="33"/>
      <c r="GY100" s="33"/>
      <c r="GZ100" s="33"/>
      <c r="HA100" s="33"/>
      <c r="HB100" s="33"/>
      <c r="HC100" s="33"/>
      <c r="HD100" s="33"/>
      <c r="HE100" s="33"/>
      <c r="HF100" s="33"/>
      <c r="HG100" s="33"/>
      <c r="HH100" s="33"/>
    </row>
    <row r="101" spans="1:216" ht="15.75" customHeight="1" x14ac:dyDescent="0.4">
      <c r="A101" s="6" t="s">
        <v>26</v>
      </c>
      <c r="B101" s="53" t="s">
        <v>51</v>
      </c>
      <c r="C101" s="54"/>
      <c r="D101" s="55"/>
      <c r="E101" s="5">
        <f>SUM(E94:E100)</f>
        <v>199</v>
      </c>
      <c r="F101" s="39"/>
      <c r="G101" s="20"/>
      <c r="H101" s="20"/>
      <c r="I101" s="20"/>
      <c r="J101" s="20"/>
      <c r="K101" s="20"/>
      <c r="L101" s="20"/>
      <c r="M101" s="20"/>
      <c r="N101" s="20"/>
      <c r="O101" s="20"/>
      <c r="P101" s="32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  <c r="GS101" s="33"/>
      <c r="GT101" s="33"/>
      <c r="GU101" s="33"/>
      <c r="GV101" s="33"/>
      <c r="GW101" s="33"/>
      <c r="GX101" s="33"/>
      <c r="GY101" s="33"/>
      <c r="GZ101" s="33"/>
      <c r="HA101" s="33"/>
      <c r="HB101" s="33"/>
      <c r="HC101" s="33"/>
      <c r="HD101" s="33"/>
      <c r="HE101" s="33"/>
      <c r="HF101" s="33"/>
      <c r="HG101" s="33"/>
      <c r="HH101" s="33"/>
    </row>
    <row r="102" spans="1:216" ht="15.75" customHeight="1" x14ac:dyDescent="0.4">
      <c r="A102" s="61"/>
      <c r="B102" s="62"/>
      <c r="C102" s="62"/>
      <c r="D102" s="62"/>
      <c r="E102" s="63"/>
      <c r="F102" s="39"/>
      <c r="G102" s="20"/>
      <c r="H102" s="20"/>
      <c r="I102" s="20"/>
      <c r="J102" s="20"/>
      <c r="K102" s="20"/>
      <c r="L102" s="20"/>
      <c r="M102" s="20"/>
      <c r="N102" s="20"/>
      <c r="O102" s="20"/>
      <c r="P102" s="32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</row>
    <row r="103" spans="1:216" ht="15.75" customHeight="1" x14ac:dyDescent="0.4">
      <c r="A103" s="11" t="s">
        <v>48</v>
      </c>
      <c r="B103" s="17" t="s">
        <v>61</v>
      </c>
      <c r="C103" s="59" t="s">
        <v>62</v>
      </c>
      <c r="D103" s="60"/>
      <c r="E103" s="9">
        <f>ALIYAN!V103+BUBUK!T103+GITIK!N103+GLADAG!W103+KARANGBENDO!Z103+KEDALEMAN!S103+LEMAHBANGDEWO!O103+MANGIR!S103+PENGATIGAN!Y103+ROGOJAMPI!AM103</f>
        <v>98</v>
      </c>
      <c r="F103" s="40"/>
      <c r="G103" s="1"/>
      <c r="H103" s="1"/>
      <c r="I103" s="1"/>
      <c r="J103" s="1"/>
      <c r="K103" s="1"/>
      <c r="L103" s="1"/>
      <c r="M103" s="1"/>
      <c r="N103" s="1"/>
      <c r="O103" s="1"/>
      <c r="P103" s="34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/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  <c r="FN103" s="31"/>
      <c r="FO103" s="31"/>
      <c r="FP103" s="31"/>
      <c r="FQ103" s="31"/>
      <c r="FR103" s="31"/>
      <c r="FS103" s="31"/>
      <c r="FT103" s="31"/>
      <c r="FU103" s="31"/>
      <c r="FV103" s="31"/>
      <c r="FW103" s="31"/>
      <c r="FX103" s="31"/>
      <c r="FY103" s="31"/>
      <c r="FZ103" s="31"/>
      <c r="GA103" s="31"/>
      <c r="GB103" s="31"/>
      <c r="GC103" s="31"/>
      <c r="GD103" s="31"/>
      <c r="GE103" s="31"/>
      <c r="GF103" s="31"/>
      <c r="GG103" s="31"/>
      <c r="GH103" s="31"/>
      <c r="GI103" s="31"/>
      <c r="GJ103" s="31"/>
      <c r="GK103" s="31"/>
      <c r="GL103" s="31"/>
      <c r="GM103" s="31"/>
      <c r="GN103" s="31"/>
      <c r="GO103" s="31"/>
      <c r="GP103" s="31"/>
      <c r="GQ103" s="31"/>
      <c r="GR103" s="31"/>
      <c r="GS103" s="31"/>
      <c r="GT103" s="31"/>
      <c r="GU103" s="31"/>
      <c r="GV103" s="31"/>
      <c r="GW103" s="31"/>
      <c r="GX103" s="31"/>
      <c r="GY103" s="31"/>
      <c r="GZ103" s="31"/>
      <c r="HA103" s="31"/>
      <c r="HB103" s="31"/>
      <c r="HC103" s="31"/>
      <c r="HD103" s="31"/>
      <c r="HE103" s="31"/>
      <c r="HF103" s="31"/>
      <c r="HG103" s="31"/>
      <c r="HH103" s="31"/>
    </row>
    <row r="104" spans="1:216" ht="15.75" customHeight="1" x14ac:dyDescent="0.4">
      <c r="A104" s="11" t="s">
        <v>50</v>
      </c>
      <c r="B104" s="46"/>
      <c r="C104" s="24" t="s">
        <v>143</v>
      </c>
      <c r="D104" s="47"/>
      <c r="E104" s="9">
        <f>ALIYAN!V104+BUBUK!T104+GITIK!N104+GLADAG!W104+KARANGBENDO!Z104+KEDALEMAN!S104+LEMAHBANGDEWO!O104+MANGIR!S104+PENGATIGAN!Y104+ROGOJAMPI!AM104</f>
        <v>192</v>
      </c>
      <c r="F104" s="42"/>
      <c r="G104" s="27"/>
      <c r="H104" s="27"/>
      <c r="I104" s="27"/>
      <c r="J104" s="27"/>
      <c r="K104" s="27"/>
      <c r="L104" s="27"/>
      <c r="M104" s="27"/>
      <c r="N104" s="27"/>
      <c r="O104" s="27"/>
      <c r="P104" s="37"/>
      <c r="Q104" s="30"/>
      <c r="R104" s="30"/>
      <c r="S104" s="30"/>
      <c r="T104" s="30"/>
      <c r="U104" s="30"/>
      <c r="V104" s="30"/>
      <c r="W104" s="38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0"/>
      <c r="BM104" s="30"/>
      <c r="BN104" s="30"/>
      <c r="BO104" s="30"/>
      <c r="BP104" s="30"/>
      <c r="BQ104" s="30"/>
      <c r="BR104" s="38"/>
      <c r="BS104" s="30"/>
      <c r="BT104" s="30"/>
      <c r="BU104" s="30"/>
      <c r="BV104" s="30"/>
      <c r="BW104" s="30"/>
      <c r="BX104" s="30"/>
      <c r="BY104" s="30"/>
      <c r="BZ104" s="30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  <c r="EI104" s="38"/>
      <c r="EJ104" s="38"/>
      <c r="EK104" s="38"/>
      <c r="EL104" s="38"/>
      <c r="EM104" s="30"/>
      <c r="EN104" s="30"/>
      <c r="EO104" s="30"/>
      <c r="EP104" s="30"/>
      <c r="EQ104" s="30"/>
      <c r="ER104" s="30"/>
      <c r="ES104" s="30"/>
      <c r="ET104" s="30"/>
      <c r="EU104" s="30"/>
      <c r="EV104" s="30"/>
      <c r="EW104" s="30"/>
      <c r="EX104" s="30"/>
      <c r="EY104" s="38"/>
      <c r="EZ104" s="38"/>
      <c r="FA104" s="38"/>
      <c r="FB104" s="38"/>
      <c r="FC104" s="38"/>
      <c r="FD104" s="38"/>
      <c r="FE104" s="38"/>
      <c r="FF104" s="30"/>
      <c r="FG104" s="30"/>
      <c r="FH104" s="30"/>
      <c r="FI104" s="30"/>
      <c r="FJ104" s="38"/>
      <c r="FK104" s="38"/>
      <c r="FL104" s="38"/>
      <c r="FM104" s="38"/>
      <c r="FN104" s="38"/>
      <c r="FO104" s="38"/>
      <c r="FP104" s="38"/>
      <c r="FQ104" s="38"/>
      <c r="FR104" s="38"/>
      <c r="FS104" s="38"/>
      <c r="FT104" s="38"/>
      <c r="FU104" s="38"/>
      <c r="FV104" s="38"/>
      <c r="FW104" s="38"/>
      <c r="FX104" s="38"/>
      <c r="FY104" s="38"/>
      <c r="FZ104" s="38"/>
      <c r="GA104" s="38"/>
      <c r="GB104" s="38"/>
      <c r="GC104" s="38"/>
      <c r="GD104" s="38"/>
      <c r="GE104" s="38"/>
      <c r="GF104" s="38"/>
      <c r="GG104" s="38"/>
      <c r="GH104" s="38"/>
      <c r="GI104" s="38"/>
      <c r="GJ104" s="38"/>
      <c r="GK104" s="38"/>
      <c r="GL104" s="38"/>
      <c r="GM104" s="38"/>
      <c r="GN104" s="38"/>
      <c r="GO104" s="38"/>
      <c r="GP104" s="38"/>
      <c r="GQ104" s="38"/>
      <c r="GR104" s="38"/>
      <c r="GS104" s="38"/>
      <c r="GT104" s="38"/>
      <c r="GU104" s="38"/>
      <c r="GV104" s="38"/>
      <c r="GW104" s="38"/>
      <c r="GX104" s="38"/>
      <c r="GY104" s="38"/>
      <c r="GZ104" s="38"/>
      <c r="HA104" s="38"/>
      <c r="HB104" s="38"/>
      <c r="HC104" s="38"/>
      <c r="HD104" s="38"/>
      <c r="HE104" s="38"/>
      <c r="HF104" s="38"/>
      <c r="HG104" s="38"/>
      <c r="HH104" s="38"/>
    </row>
    <row r="105" spans="1:216" ht="15.75" customHeight="1" x14ac:dyDescent="0.4">
      <c r="A105" s="7"/>
      <c r="B105" s="46"/>
      <c r="C105" s="24" t="s">
        <v>144</v>
      </c>
      <c r="D105" s="47"/>
      <c r="E105" s="9">
        <f>ALIYAN!V105+BUBUK!T105+GITIK!N105+GLADAG!W105+KARANGBENDO!Z105+KEDALEMAN!S105+LEMAHBANGDEWO!O105+MANGIR!S105+PENGATIGAN!Y105+ROGOJAMPI!AM105</f>
        <v>14</v>
      </c>
      <c r="F105" s="39"/>
      <c r="G105" s="20"/>
      <c r="H105" s="20"/>
      <c r="I105" s="20"/>
      <c r="J105" s="20"/>
      <c r="K105" s="20"/>
      <c r="L105" s="20"/>
      <c r="M105" s="20"/>
      <c r="N105" s="20"/>
      <c r="O105" s="20"/>
      <c r="P105" s="32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  <c r="ED105" s="33"/>
      <c r="EE105" s="33"/>
      <c r="EF105" s="33"/>
      <c r="EG105" s="33"/>
      <c r="EH105" s="33"/>
      <c r="EI105" s="33"/>
      <c r="EJ105" s="33"/>
      <c r="EK105" s="33"/>
      <c r="EL105" s="33"/>
      <c r="EM105" s="33"/>
      <c r="EN105" s="33"/>
      <c r="EO105" s="33"/>
      <c r="EP105" s="33"/>
      <c r="EQ105" s="33"/>
      <c r="ER105" s="33"/>
      <c r="ES105" s="33"/>
      <c r="ET105" s="33"/>
      <c r="EU105" s="33"/>
      <c r="EV105" s="33"/>
      <c r="EW105" s="33"/>
      <c r="EX105" s="33"/>
      <c r="EY105" s="33"/>
      <c r="EZ105" s="33"/>
      <c r="FA105" s="33"/>
      <c r="FB105" s="33"/>
      <c r="FC105" s="33"/>
      <c r="FD105" s="33"/>
      <c r="FE105" s="33"/>
      <c r="FF105" s="33"/>
      <c r="FG105" s="33"/>
      <c r="FH105" s="33"/>
      <c r="FI105" s="33"/>
      <c r="FJ105" s="33"/>
      <c r="FK105" s="33"/>
      <c r="FL105" s="33"/>
      <c r="FM105" s="33"/>
      <c r="FN105" s="33"/>
      <c r="FO105" s="33"/>
      <c r="FP105" s="33"/>
      <c r="FQ105" s="33"/>
      <c r="FR105" s="33"/>
      <c r="FS105" s="33"/>
      <c r="FT105" s="33"/>
      <c r="FU105" s="33"/>
      <c r="FV105" s="33"/>
      <c r="FW105" s="33"/>
      <c r="FX105" s="33"/>
      <c r="FY105" s="33"/>
      <c r="FZ105" s="33"/>
      <c r="GA105" s="33"/>
      <c r="GB105" s="33"/>
      <c r="GC105" s="33"/>
      <c r="GD105" s="33"/>
      <c r="GE105" s="33"/>
      <c r="GF105" s="33"/>
      <c r="GG105" s="33"/>
      <c r="GH105" s="33"/>
      <c r="GI105" s="33"/>
      <c r="GJ105" s="33"/>
      <c r="GK105" s="33"/>
      <c r="GL105" s="33"/>
      <c r="GM105" s="33"/>
      <c r="GN105" s="33"/>
      <c r="GO105" s="33"/>
      <c r="GP105" s="33"/>
      <c r="GQ105" s="33"/>
      <c r="GR105" s="33"/>
      <c r="GS105" s="33"/>
      <c r="GT105" s="33"/>
      <c r="GU105" s="33"/>
      <c r="GV105" s="33"/>
      <c r="GW105" s="33"/>
      <c r="GX105" s="33"/>
      <c r="GY105" s="33"/>
      <c r="GZ105" s="33"/>
      <c r="HA105" s="33"/>
      <c r="HB105" s="33"/>
      <c r="HC105" s="33"/>
      <c r="HD105" s="33"/>
      <c r="HE105" s="33"/>
      <c r="HF105" s="33"/>
      <c r="HG105" s="33"/>
      <c r="HH105" s="33"/>
    </row>
    <row r="106" spans="1:216" ht="15.75" customHeight="1" x14ac:dyDescent="0.4">
      <c r="A106" s="7"/>
      <c r="B106" s="46"/>
      <c r="C106" s="24" t="s">
        <v>145</v>
      </c>
      <c r="D106" s="47"/>
      <c r="E106" s="9">
        <f>ALIYAN!V106+BUBUK!T106+GITIK!N106+GLADAG!W106+KARANGBENDO!Z106+KEDALEMAN!S106+LEMAHBANGDEWO!O106+MANGIR!S106+PENGATIGAN!Y106+ROGOJAMPI!AM106</f>
        <v>68</v>
      </c>
      <c r="F106" s="39"/>
      <c r="G106" s="20"/>
      <c r="H106" s="20"/>
      <c r="I106" s="20"/>
      <c r="J106" s="20"/>
      <c r="K106" s="20"/>
      <c r="L106" s="20"/>
      <c r="M106" s="20"/>
      <c r="N106" s="20"/>
      <c r="O106" s="20"/>
      <c r="P106" s="32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  <c r="DM106" s="33"/>
      <c r="DN106" s="33"/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  <c r="ED106" s="33"/>
      <c r="EE106" s="33"/>
      <c r="EF106" s="33"/>
      <c r="EG106" s="33"/>
      <c r="EH106" s="33"/>
      <c r="EI106" s="33"/>
      <c r="EJ106" s="33"/>
      <c r="EK106" s="33"/>
      <c r="EL106" s="33"/>
      <c r="EM106" s="33"/>
      <c r="EN106" s="33"/>
      <c r="EO106" s="33"/>
      <c r="EP106" s="33"/>
      <c r="EQ106" s="33"/>
      <c r="ER106" s="33"/>
      <c r="ES106" s="33"/>
      <c r="ET106" s="33"/>
      <c r="EU106" s="33"/>
      <c r="EV106" s="33"/>
      <c r="EW106" s="33"/>
      <c r="EX106" s="33"/>
      <c r="EY106" s="33"/>
      <c r="EZ106" s="33"/>
      <c r="FA106" s="33"/>
      <c r="FB106" s="33"/>
      <c r="FC106" s="33"/>
      <c r="FD106" s="33"/>
      <c r="FE106" s="33"/>
      <c r="FF106" s="33"/>
      <c r="FG106" s="33"/>
      <c r="FH106" s="33"/>
      <c r="FI106" s="33"/>
      <c r="FJ106" s="33"/>
      <c r="FK106" s="33"/>
      <c r="FL106" s="33"/>
      <c r="FM106" s="33"/>
      <c r="FN106" s="33"/>
      <c r="FO106" s="33"/>
      <c r="FP106" s="33"/>
      <c r="FQ106" s="33"/>
      <c r="FR106" s="33"/>
      <c r="FS106" s="33"/>
      <c r="FT106" s="33"/>
      <c r="FU106" s="33"/>
      <c r="FV106" s="33"/>
      <c r="FW106" s="33"/>
      <c r="FX106" s="33"/>
      <c r="FY106" s="33"/>
      <c r="FZ106" s="33"/>
      <c r="GA106" s="33"/>
      <c r="GB106" s="33"/>
      <c r="GC106" s="33"/>
      <c r="GD106" s="33"/>
      <c r="GE106" s="33"/>
      <c r="GF106" s="33"/>
      <c r="GG106" s="33"/>
      <c r="GH106" s="33"/>
      <c r="GI106" s="33"/>
      <c r="GJ106" s="33"/>
      <c r="GK106" s="33"/>
      <c r="GL106" s="33"/>
      <c r="GM106" s="33"/>
      <c r="GN106" s="33"/>
      <c r="GO106" s="33"/>
      <c r="GP106" s="33"/>
      <c r="GQ106" s="33"/>
      <c r="GR106" s="33"/>
      <c r="GS106" s="33"/>
      <c r="GT106" s="33"/>
      <c r="GU106" s="33"/>
      <c r="GV106" s="33"/>
      <c r="GW106" s="33"/>
      <c r="GX106" s="33"/>
      <c r="GY106" s="33"/>
      <c r="GZ106" s="33"/>
      <c r="HA106" s="33"/>
      <c r="HB106" s="33"/>
      <c r="HC106" s="33"/>
      <c r="HD106" s="33"/>
      <c r="HE106" s="33"/>
      <c r="HF106" s="33"/>
      <c r="HG106" s="33"/>
      <c r="HH106" s="33"/>
    </row>
    <row r="107" spans="1:216" ht="15.75" customHeight="1" x14ac:dyDescent="0.4">
      <c r="A107" s="7"/>
      <c r="B107" s="46"/>
      <c r="C107" s="24" t="s">
        <v>146</v>
      </c>
      <c r="D107" s="47"/>
      <c r="E107" s="9">
        <f>ALIYAN!V107+BUBUK!T107+GITIK!N107+GLADAG!W107+KARANGBENDO!Z107+KEDALEMAN!S107+LEMAHBANGDEWO!O107+MANGIR!S107+PENGATIGAN!Y107+ROGOJAMPI!AM107</f>
        <v>55</v>
      </c>
      <c r="F107" s="39"/>
      <c r="G107" s="20"/>
      <c r="H107" s="20"/>
      <c r="I107" s="20"/>
      <c r="J107" s="20"/>
      <c r="K107" s="20"/>
      <c r="L107" s="20"/>
      <c r="M107" s="20"/>
      <c r="N107" s="20"/>
      <c r="O107" s="20"/>
      <c r="P107" s="32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</row>
    <row r="108" spans="1:216" ht="15.75" customHeight="1" x14ac:dyDescent="0.4">
      <c r="A108" s="7"/>
      <c r="B108" s="46"/>
      <c r="C108" s="24" t="s">
        <v>147</v>
      </c>
      <c r="D108" s="47"/>
      <c r="E108" s="9">
        <f>ALIYAN!V108+BUBUK!T108+GITIK!N108+GLADAG!W108+KARANGBENDO!Z108+KEDALEMAN!S108+LEMAHBANGDEWO!O108+MANGIR!S108+PENGATIGAN!Y108+ROGOJAMPI!AM108</f>
        <v>6</v>
      </c>
      <c r="F108" s="39"/>
      <c r="G108" s="20"/>
      <c r="H108" s="20"/>
      <c r="I108" s="20"/>
      <c r="J108" s="20"/>
      <c r="K108" s="20"/>
      <c r="L108" s="20"/>
      <c r="M108" s="20"/>
      <c r="N108" s="20"/>
      <c r="O108" s="20"/>
      <c r="P108" s="32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  <c r="GB108" s="33"/>
      <c r="GC108" s="33"/>
      <c r="GD108" s="33"/>
      <c r="GE108" s="33"/>
      <c r="GF108" s="33"/>
      <c r="GG108" s="33"/>
      <c r="GH108" s="33"/>
      <c r="GI108" s="33"/>
      <c r="GJ108" s="33"/>
      <c r="GK108" s="33"/>
      <c r="GL108" s="33"/>
      <c r="GM108" s="33"/>
      <c r="GN108" s="33"/>
      <c r="GO108" s="33"/>
      <c r="GP108" s="33"/>
      <c r="GQ108" s="33"/>
      <c r="GR108" s="33"/>
      <c r="GS108" s="33"/>
      <c r="GT108" s="33"/>
      <c r="GU108" s="33"/>
      <c r="GV108" s="33"/>
      <c r="GW108" s="33"/>
      <c r="GX108" s="33"/>
      <c r="GY108" s="33"/>
      <c r="GZ108" s="33"/>
      <c r="HA108" s="33"/>
      <c r="HB108" s="33"/>
      <c r="HC108" s="33"/>
      <c r="HD108" s="33"/>
      <c r="HE108" s="33"/>
      <c r="HF108" s="33"/>
      <c r="HG108" s="33"/>
      <c r="HH108" s="33"/>
    </row>
    <row r="109" spans="1:216" ht="15.75" customHeight="1" x14ac:dyDescent="0.4">
      <c r="A109" s="7"/>
      <c r="B109" s="46"/>
      <c r="C109" s="24" t="s">
        <v>148</v>
      </c>
      <c r="D109" s="47"/>
      <c r="E109" s="9">
        <f>ALIYAN!V109+BUBUK!T109+GITIK!N109+GLADAG!W109+KARANGBENDO!Z109+KEDALEMAN!S109+LEMAHBANGDEWO!O109+MANGIR!S109+PENGATIGAN!Y109+ROGOJAMPI!AM109</f>
        <v>93</v>
      </c>
      <c r="F109" s="39"/>
      <c r="G109" s="20"/>
      <c r="H109" s="20"/>
      <c r="I109" s="20"/>
      <c r="J109" s="20"/>
      <c r="K109" s="20"/>
      <c r="L109" s="20"/>
      <c r="M109" s="20"/>
      <c r="N109" s="20"/>
      <c r="O109" s="20"/>
      <c r="P109" s="32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  <c r="GC109" s="33"/>
      <c r="GD109" s="33"/>
      <c r="GE109" s="33"/>
      <c r="GF109" s="33"/>
      <c r="GG109" s="33"/>
      <c r="GH109" s="33"/>
      <c r="GI109" s="33"/>
      <c r="GJ109" s="33"/>
      <c r="GK109" s="33"/>
      <c r="GL109" s="33"/>
      <c r="GM109" s="33"/>
      <c r="GN109" s="33"/>
      <c r="GO109" s="33"/>
      <c r="GP109" s="33"/>
      <c r="GQ109" s="33"/>
      <c r="GR109" s="33"/>
      <c r="GS109" s="33"/>
      <c r="GT109" s="33"/>
      <c r="GU109" s="33"/>
      <c r="GV109" s="33"/>
      <c r="GW109" s="33"/>
      <c r="GX109" s="33"/>
      <c r="GY109" s="33"/>
      <c r="GZ109" s="33"/>
      <c r="HA109" s="33"/>
      <c r="HB109" s="33"/>
      <c r="HC109" s="33"/>
      <c r="HD109" s="33"/>
      <c r="HE109" s="33"/>
      <c r="HF109" s="33"/>
      <c r="HG109" s="33"/>
      <c r="HH109" s="33"/>
    </row>
    <row r="110" spans="1:216" ht="15.75" customHeight="1" x14ac:dyDescent="0.4">
      <c r="A110" s="6" t="s">
        <v>26</v>
      </c>
      <c r="B110" s="53" t="s">
        <v>51</v>
      </c>
      <c r="C110" s="54"/>
      <c r="D110" s="55"/>
      <c r="E110" s="5">
        <f>SUM(E103:E109)</f>
        <v>526</v>
      </c>
      <c r="F110" s="39"/>
      <c r="G110" s="20"/>
      <c r="H110" s="20"/>
      <c r="I110" s="20"/>
      <c r="J110" s="20"/>
      <c r="K110" s="20"/>
      <c r="L110" s="20"/>
      <c r="M110" s="20"/>
      <c r="N110" s="20"/>
      <c r="O110" s="20"/>
      <c r="P110" s="32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  <c r="GC110" s="33"/>
      <c r="GD110" s="33"/>
      <c r="GE110" s="33"/>
      <c r="GF110" s="33"/>
      <c r="GG110" s="33"/>
      <c r="GH110" s="33"/>
      <c r="GI110" s="33"/>
      <c r="GJ110" s="33"/>
      <c r="GK110" s="33"/>
      <c r="GL110" s="33"/>
      <c r="GM110" s="33"/>
      <c r="GN110" s="33"/>
      <c r="GO110" s="33"/>
      <c r="GP110" s="33"/>
      <c r="GQ110" s="33"/>
      <c r="GR110" s="33"/>
      <c r="GS110" s="33"/>
      <c r="GT110" s="33"/>
      <c r="GU110" s="33"/>
      <c r="GV110" s="33"/>
      <c r="GW110" s="33"/>
      <c r="GX110" s="33"/>
      <c r="GY110" s="33"/>
      <c r="GZ110" s="33"/>
      <c r="HA110" s="33"/>
      <c r="HB110" s="33"/>
      <c r="HC110" s="33"/>
      <c r="HD110" s="33"/>
      <c r="HE110" s="33"/>
      <c r="HF110" s="33"/>
      <c r="HG110" s="33"/>
      <c r="HH110" s="33"/>
    </row>
    <row r="111" spans="1:216" ht="15.75" customHeight="1" x14ac:dyDescent="0.4">
      <c r="A111" s="61"/>
      <c r="B111" s="62"/>
      <c r="C111" s="62"/>
      <c r="D111" s="62"/>
      <c r="E111" s="63"/>
      <c r="F111" s="39"/>
      <c r="G111" s="20"/>
      <c r="H111" s="20"/>
      <c r="I111" s="20"/>
      <c r="J111" s="20"/>
      <c r="K111" s="20"/>
      <c r="L111" s="20"/>
      <c r="M111" s="20"/>
      <c r="N111" s="20"/>
      <c r="O111" s="20"/>
      <c r="P111" s="32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</row>
    <row r="112" spans="1:216" ht="15.75" customHeight="1" x14ac:dyDescent="0.4">
      <c r="A112" s="11" t="s">
        <v>48</v>
      </c>
      <c r="B112" s="17" t="s">
        <v>63</v>
      </c>
      <c r="C112" s="59" t="s">
        <v>64</v>
      </c>
      <c r="D112" s="60"/>
      <c r="E112" s="9">
        <f>ALIYAN!V112+BUBUK!T112+GITIK!N112+GLADAG!W112+KARANGBENDO!Z112+KEDALEMAN!S112+LEMAHBANGDEWO!O112+MANGIR!S112+PENGATIGAN!Y112+ROGOJAMPI!AM112</f>
        <v>4</v>
      </c>
      <c r="F112" s="40"/>
      <c r="G112" s="1"/>
      <c r="H112" s="1"/>
      <c r="I112" s="1"/>
      <c r="J112" s="1"/>
      <c r="K112" s="1"/>
      <c r="L112" s="1"/>
      <c r="M112" s="1"/>
      <c r="N112" s="1"/>
      <c r="O112" s="1"/>
      <c r="P112" s="34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</row>
    <row r="113" spans="1:216" ht="15.75" customHeight="1" x14ac:dyDescent="0.4">
      <c r="A113" s="11" t="s">
        <v>50</v>
      </c>
      <c r="B113" s="17"/>
      <c r="C113" s="24" t="s">
        <v>104</v>
      </c>
      <c r="D113" s="45"/>
      <c r="E113" s="9">
        <f>ALIYAN!V113+BUBUK!T113+GITIK!N113+GLADAG!W113+KARANGBENDO!Z113+KEDALEMAN!S113+LEMAHBANGDEWO!O113+MANGIR!S113+PENGATIGAN!Y113+ROGOJAMPI!AM113</f>
        <v>5</v>
      </c>
      <c r="F113" s="42"/>
      <c r="G113" s="27"/>
      <c r="H113" s="27"/>
      <c r="I113" s="27"/>
      <c r="J113" s="27"/>
      <c r="K113" s="27"/>
      <c r="L113" s="27"/>
      <c r="M113" s="27"/>
      <c r="N113" s="27"/>
      <c r="O113" s="27"/>
      <c r="P113" s="37"/>
      <c r="Q113" s="30"/>
      <c r="R113" s="30"/>
      <c r="S113" s="30"/>
      <c r="T113" s="30"/>
      <c r="U113" s="30"/>
      <c r="V113" s="30"/>
      <c r="W113" s="38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0"/>
      <c r="BM113" s="30"/>
      <c r="BN113" s="30"/>
      <c r="BO113" s="30"/>
      <c r="BP113" s="30"/>
      <c r="BQ113" s="30"/>
      <c r="BR113" s="38"/>
      <c r="BS113" s="30"/>
      <c r="BT113" s="30"/>
      <c r="BU113" s="30"/>
      <c r="BV113" s="30"/>
      <c r="BW113" s="30"/>
      <c r="BX113" s="30"/>
      <c r="BY113" s="30"/>
      <c r="BZ113" s="30"/>
      <c r="CA113" s="38"/>
      <c r="CB113" s="38"/>
      <c r="CC113" s="38"/>
      <c r="CD113" s="38"/>
      <c r="CE113" s="38"/>
      <c r="CF113" s="38"/>
      <c r="CG113" s="38"/>
      <c r="CH113" s="38"/>
      <c r="CI113" s="38"/>
      <c r="CJ113" s="38"/>
      <c r="CK113" s="38"/>
      <c r="CL113" s="38"/>
      <c r="CM113" s="38"/>
      <c r="CN113" s="38"/>
      <c r="CO113" s="38"/>
      <c r="CP113" s="38"/>
      <c r="CQ113" s="38"/>
      <c r="CR113" s="38"/>
      <c r="CS113" s="38"/>
      <c r="CT113" s="38"/>
      <c r="CU113" s="38"/>
      <c r="CV113" s="38"/>
      <c r="CW113" s="38"/>
      <c r="CX113" s="38"/>
      <c r="CY113" s="38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8"/>
      <c r="DL113" s="38"/>
      <c r="DM113" s="38"/>
      <c r="DN113" s="38"/>
      <c r="DO113" s="38"/>
      <c r="DP113" s="38"/>
      <c r="DQ113" s="38"/>
      <c r="DR113" s="38"/>
      <c r="DS113" s="38"/>
      <c r="DT113" s="38"/>
      <c r="DU113" s="38"/>
      <c r="DV113" s="38"/>
      <c r="DW113" s="38"/>
      <c r="DX113" s="38"/>
      <c r="DY113" s="38"/>
      <c r="DZ113" s="38"/>
      <c r="EA113" s="38"/>
      <c r="EB113" s="38"/>
      <c r="EC113" s="38"/>
      <c r="ED113" s="38"/>
      <c r="EE113" s="38"/>
      <c r="EF113" s="38"/>
      <c r="EG113" s="38"/>
      <c r="EH113" s="38"/>
      <c r="EI113" s="38"/>
      <c r="EJ113" s="38"/>
      <c r="EK113" s="38"/>
      <c r="EL113" s="38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8"/>
      <c r="EZ113" s="38"/>
      <c r="FA113" s="38"/>
      <c r="FB113" s="38"/>
      <c r="FC113" s="38"/>
      <c r="FD113" s="38"/>
      <c r="FE113" s="38"/>
      <c r="FF113" s="30"/>
      <c r="FG113" s="30"/>
      <c r="FH113" s="30"/>
      <c r="FI113" s="30"/>
      <c r="FJ113" s="38"/>
      <c r="FK113" s="38"/>
      <c r="FL113" s="38"/>
      <c r="FM113" s="38"/>
      <c r="FN113" s="38"/>
      <c r="FO113" s="38"/>
      <c r="FP113" s="38"/>
      <c r="FQ113" s="38"/>
      <c r="FR113" s="38"/>
      <c r="FS113" s="38"/>
      <c r="FT113" s="38"/>
      <c r="FU113" s="38"/>
      <c r="FV113" s="38"/>
      <c r="FW113" s="38"/>
      <c r="FX113" s="38"/>
      <c r="FY113" s="38"/>
      <c r="FZ113" s="38"/>
      <c r="GA113" s="38"/>
      <c r="GB113" s="38"/>
      <c r="GC113" s="38"/>
      <c r="GD113" s="38"/>
      <c r="GE113" s="38"/>
      <c r="GF113" s="38"/>
      <c r="GG113" s="38"/>
      <c r="GH113" s="38"/>
      <c r="GI113" s="38"/>
      <c r="GJ113" s="38"/>
      <c r="GK113" s="38"/>
      <c r="GL113" s="38"/>
      <c r="GM113" s="38"/>
      <c r="GN113" s="38"/>
      <c r="GO113" s="38"/>
      <c r="GP113" s="38"/>
      <c r="GQ113" s="38"/>
      <c r="GR113" s="38"/>
      <c r="GS113" s="38"/>
      <c r="GT113" s="38"/>
      <c r="GU113" s="38"/>
      <c r="GV113" s="38"/>
      <c r="GW113" s="38"/>
      <c r="GX113" s="38"/>
      <c r="GY113" s="38"/>
      <c r="GZ113" s="38"/>
      <c r="HA113" s="38"/>
      <c r="HB113" s="38"/>
      <c r="HC113" s="38"/>
      <c r="HD113" s="38"/>
      <c r="HE113" s="38"/>
      <c r="HF113" s="38"/>
      <c r="HG113" s="38"/>
      <c r="HH113" s="38"/>
    </row>
    <row r="114" spans="1:216" ht="15.75" customHeight="1" x14ac:dyDescent="0.4">
      <c r="A114" s="7"/>
      <c r="B114" s="17"/>
      <c r="C114" s="24" t="s">
        <v>149</v>
      </c>
      <c r="D114" s="45"/>
      <c r="E114" s="9">
        <f>ALIYAN!V114+BUBUK!T114+GITIK!N114+GLADAG!W114+KARANGBENDO!Z114+KEDALEMAN!S114+LEMAHBANGDEWO!O114+MANGIR!S114+PENGATIGAN!Y114+ROGOJAMPI!AM114</f>
        <v>27</v>
      </c>
      <c r="F114" s="39"/>
      <c r="G114" s="20"/>
      <c r="H114" s="20"/>
      <c r="I114" s="20"/>
      <c r="J114" s="20"/>
      <c r="K114" s="20"/>
      <c r="L114" s="20"/>
      <c r="M114" s="20"/>
      <c r="N114" s="20"/>
      <c r="O114" s="20"/>
      <c r="P114" s="32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  <c r="CZ114" s="33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  <c r="DL114" s="33"/>
      <c r="DM114" s="33"/>
      <c r="DN114" s="33"/>
      <c r="DO114" s="33"/>
      <c r="DP114" s="33"/>
      <c r="DQ114" s="33"/>
      <c r="DR114" s="33"/>
      <c r="DS114" s="33"/>
      <c r="DT114" s="33"/>
      <c r="DU114" s="33"/>
      <c r="DV114" s="33"/>
      <c r="DW114" s="33"/>
      <c r="DX114" s="33"/>
      <c r="DY114" s="33"/>
      <c r="DZ114" s="33"/>
      <c r="EA114" s="33"/>
      <c r="EB114" s="33"/>
      <c r="EC114" s="33"/>
      <c r="ED114" s="33"/>
      <c r="EE114" s="33"/>
      <c r="EF114" s="33"/>
      <c r="EG114" s="33"/>
      <c r="EH114" s="33"/>
      <c r="EI114" s="33"/>
      <c r="EJ114" s="33"/>
      <c r="EK114" s="33"/>
      <c r="EL114" s="33"/>
      <c r="EM114" s="33"/>
      <c r="EN114" s="33"/>
      <c r="EO114" s="33"/>
      <c r="EP114" s="33"/>
      <c r="EQ114" s="33"/>
      <c r="ER114" s="33"/>
      <c r="ES114" s="33"/>
      <c r="ET114" s="33"/>
      <c r="EU114" s="33"/>
      <c r="EV114" s="33"/>
      <c r="EW114" s="33"/>
      <c r="EX114" s="33"/>
      <c r="EY114" s="33"/>
      <c r="EZ114" s="33"/>
      <c r="FA114" s="33"/>
      <c r="FB114" s="33"/>
      <c r="FC114" s="33"/>
      <c r="FD114" s="33"/>
      <c r="FE114" s="33"/>
      <c r="FF114" s="33"/>
      <c r="FG114" s="33"/>
      <c r="FH114" s="33"/>
      <c r="FI114" s="33"/>
      <c r="FJ114" s="33"/>
      <c r="FK114" s="33"/>
      <c r="FL114" s="33"/>
      <c r="FM114" s="33"/>
      <c r="FN114" s="33"/>
      <c r="FO114" s="33"/>
      <c r="FP114" s="33"/>
      <c r="FQ114" s="33"/>
      <c r="FR114" s="33"/>
      <c r="FS114" s="33"/>
      <c r="FT114" s="33"/>
      <c r="FU114" s="33"/>
      <c r="FV114" s="33"/>
      <c r="FW114" s="33"/>
      <c r="FX114" s="33"/>
      <c r="FY114" s="33"/>
      <c r="FZ114" s="33"/>
      <c r="GA114" s="33"/>
      <c r="GB114" s="33"/>
      <c r="GC114" s="33"/>
      <c r="GD114" s="33"/>
      <c r="GE114" s="33"/>
      <c r="GF114" s="33"/>
      <c r="GG114" s="33"/>
      <c r="GH114" s="33"/>
      <c r="GI114" s="33"/>
      <c r="GJ114" s="33"/>
      <c r="GK114" s="33"/>
      <c r="GL114" s="33"/>
      <c r="GM114" s="33"/>
      <c r="GN114" s="33"/>
      <c r="GO114" s="33"/>
      <c r="GP114" s="33"/>
      <c r="GQ114" s="33"/>
      <c r="GR114" s="33"/>
      <c r="GS114" s="33"/>
      <c r="GT114" s="33"/>
      <c r="GU114" s="33"/>
      <c r="GV114" s="33"/>
      <c r="GW114" s="33"/>
      <c r="GX114" s="33"/>
      <c r="GY114" s="33"/>
      <c r="GZ114" s="33"/>
      <c r="HA114" s="33"/>
      <c r="HB114" s="33"/>
      <c r="HC114" s="33"/>
      <c r="HD114" s="33"/>
      <c r="HE114" s="33"/>
      <c r="HF114" s="33"/>
      <c r="HG114" s="33"/>
      <c r="HH114" s="33"/>
    </row>
    <row r="115" spans="1:216" ht="15.75" customHeight="1" x14ac:dyDescent="0.4">
      <c r="A115" s="7"/>
      <c r="B115" s="17"/>
      <c r="C115" s="24" t="s">
        <v>150</v>
      </c>
      <c r="D115" s="45"/>
      <c r="E115" s="9">
        <f>ALIYAN!V115+BUBUK!T115+GITIK!N115+GLADAG!W115+KARANGBENDO!Z115+KEDALEMAN!S115+LEMAHBANGDEWO!O115+MANGIR!S115+PENGATIGAN!Y115+ROGOJAMPI!AM115</f>
        <v>1</v>
      </c>
      <c r="F115" s="39"/>
      <c r="G115" s="20"/>
      <c r="H115" s="20"/>
      <c r="I115" s="20"/>
      <c r="J115" s="20"/>
      <c r="K115" s="20"/>
      <c r="L115" s="20"/>
      <c r="M115" s="20"/>
      <c r="N115" s="20"/>
      <c r="O115" s="20"/>
      <c r="P115" s="32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  <c r="CZ115" s="33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  <c r="DL115" s="33"/>
      <c r="DM115" s="33"/>
      <c r="DN115" s="33"/>
      <c r="DO115" s="33"/>
      <c r="DP115" s="33"/>
      <c r="DQ115" s="33"/>
      <c r="DR115" s="33"/>
      <c r="DS115" s="33"/>
      <c r="DT115" s="33"/>
      <c r="DU115" s="33"/>
      <c r="DV115" s="33"/>
      <c r="DW115" s="33"/>
      <c r="DX115" s="33"/>
      <c r="DY115" s="33"/>
      <c r="DZ115" s="33"/>
      <c r="EA115" s="33"/>
      <c r="EB115" s="33"/>
      <c r="EC115" s="33"/>
      <c r="ED115" s="33"/>
      <c r="EE115" s="33"/>
      <c r="EF115" s="33"/>
      <c r="EG115" s="33"/>
      <c r="EH115" s="33"/>
      <c r="EI115" s="33"/>
      <c r="EJ115" s="33"/>
      <c r="EK115" s="33"/>
      <c r="EL115" s="33"/>
      <c r="EM115" s="33"/>
      <c r="EN115" s="33"/>
      <c r="EO115" s="33"/>
      <c r="EP115" s="33"/>
      <c r="EQ115" s="33"/>
      <c r="ER115" s="33"/>
      <c r="ES115" s="33"/>
      <c r="ET115" s="33"/>
      <c r="EU115" s="33"/>
      <c r="EV115" s="33"/>
      <c r="EW115" s="33"/>
      <c r="EX115" s="33"/>
      <c r="EY115" s="33"/>
      <c r="EZ115" s="33"/>
      <c r="FA115" s="33"/>
      <c r="FB115" s="33"/>
      <c r="FC115" s="33"/>
      <c r="FD115" s="33"/>
      <c r="FE115" s="33"/>
      <c r="FF115" s="33"/>
      <c r="FG115" s="33"/>
      <c r="FH115" s="33"/>
      <c r="FI115" s="33"/>
      <c r="FJ115" s="33"/>
      <c r="FK115" s="33"/>
      <c r="FL115" s="33"/>
      <c r="FM115" s="33"/>
      <c r="FN115" s="33"/>
      <c r="FO115" s="33"/>
      <c r="FP115" s="33"/>
      <c r="FQ115" s="33"/>
      <c r="FR115" s="33"/>
      <c r="FS115" s="33"/>
      <c r="FT115" s="33"/>
      <c r="FU115" s="33"/>
      <c r="FV115" s="33"/>
      <c r="FW115" s="33"/>
      <c r="FX115" s="33"/>
      <c r="FY115" s="33"/>
      <c r="FZ115" s="33"/>
      <c r="GA115" s="33"/>
      <c r="GB115" s="33"/>
      <c r="GC115" s="33"/>
      <c r="GD115" s="33"/>
      <c r="GE115" s="33"/>
      <c r="GF115" s="33"/>
      <c r="GG115" s="33"/>
      <c r="GH115" s="33"/>
      <c r="GI115" s="33"/>
      <c r="GJ115" s="33"/>
      <c r="GK115" s="33"/>
      <c r="GL115" s="33"/>
      <c r="GM115" s="33"/>
      <c r="GN115" s="33"/>
      <c r="GO115" s="33"/>
      <c r="GP115" s="33"/>
      <c r="GQ115" s="33"/>
      <c r="GR115" s="33"/>
      <c r="GS115" s="33"/>
      <c r="GT115" s="33"/>
      <c r="GU115" s="33"/>
      <c r="GV115" s="33"/>
      <c r="GW115" s="33"/>
      <c r="GX115" s="33"/>
      <c r="GY115" s="33"/>
      <c r="GZ115" s="33"/>
      <c r="HA115" s="33"/>
      <c r="HB115" s="33"/>
      <c r="HC115" s="33"/>
      <c r="HD115" s="33"/>
      <c r="HE115" s="33"/>
      <c r="HF115" s="33"/>
      <c r="HG115" s="33"/>
      <c r="HH115" s="33"/>
    </row>
    <row r="116" spans="1:216" ht="15.75" customHeight="1" x14ac:dyDescent="0.4">
      <c r="A116" s="7"/>
      <c r="B116" s="46"/>
      <c r="C116" s="24" t="s">
        <v>151</v>
      </c>
      <c r="D116" s="47"/>
      <c r="E116" s="9">
        <f>ALIYAN!V116+BUBUK!T116+GITIK!N116+GLADAG!W116+KARANGBENDO!Z116+KEDALEMAN!S116+LEMAHBANGDEWO!O116+MANGIR!S116+PENGATIGAN!Y116+ROGOJAMPI!AM116</f>
        <v>3</v>
      </c>
      <c r="F116" s="39"/>
      <c r="G116" s="20"/>
      <c r="H116" s="20"/>
      <c r="I116" s="20"/>
      <c r="J116" s="20"/>
      <c r="K116" s="20"/>
      <c r="L116" s="20"/>
      <c r="M116" s="20"/>
      <c r="N116" s="20"/>
      <c r="O116" s="20"/>
      <c r="P116" s="32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</row>
    <row r="117" spans="1:216" ht="15.75" customHeight="1" x14ac:dyDescent="0.4">
      <c r="A117" s="7"/>
      <c r="B117" s="46"/>
      <c r="C117" s="24" t="s">
        <v>152</v>
      </c>
      <c r="D117" s="47"/>
      <c r="E117" s="9">
        <f>ALIYAN!V117+BUBUK!T117+GITIK!N117+GLADAG!W117+KARANGBENDO!Z117+KEDALEMAN!S117+LEMAHBANGDEWO!O117+MANGIR!S117+PENGATIGAN!Y117+ROGOJAMPI!AM117</f>
        <v>4</v>
      </c>
      <c r="F117" s="39"/>
      <c r="G117" s="20"/>
      <c r="H117" s="20"/>
      <c r="I117" s="20"/>
      <c r="J117" s="20"/>
      <c r="K117" s="20"/>
      <c r="L117" s="20"/>
      <c r="M117" s="20"/>
      <c r="N117" s="20"/>
      <c r="O117" s="20"/>
      <c r="P117" s="32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</row>
    <row r="118" spans="1:216" ht="15.75" customHeight="1" x14ac:dyDescent="0.4">
      <c r="A118" s="7"/>
      <c r="B118" s="46"/>
      <c r="C118" s="24" t="s">
        <v>153</v>
      </c>
      <c r="D118" s="47"/>
      <c r="E118" s="9">
        <f>ALIYAN!V118+BUBUK!T118+GITIK!N118+GLADAG!W118+KARANGBENDO!Z118+KEDALEMAN!S118+LEMAHBANGDEWO!O118+MANGIR!S118+PENGATIGAN!Y118+ROGOJAMPI!AM118</f>
        <v>1</v>
      </c>
      <c r="F118" s="39"/>
      <c r="G118" s="20"/>
      <c r="H118" s="20"/>
      <c r="I118" s="20"/>
      <c r="J118" s="20"/>
      <c r="K118" s="20"/>
      <c r="L118" s="20"/>
      <c r="M118" s="20"/>
      <c r="N118" s="20"/>
      <c r="O118" s="20"/>
      <c r="P118" s="32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  <c r="GC118" s="33"/>
      <c r="GD118" s="33"/>
      <c r="GE118" s="33"/>
      <c r="GF118" s="33"/>
      <c r="GG118" s="33"/>
      <c r="GH118" s="33"/>
      <c r="GI118" s="33"/>
      <c r="GJ118" s="33"/>
      <c r="GK118" s="33"/>
      <c r="GL118" s="33"/>
      <c r="GM118" s="33"/>
      <c r="GN118" s="33"/>
      <c r="GO118" s="33"/>
      <c r="GP118" s="33"/>
      <c r="GQ118" s="33"/>
      <c r="GR118" s="33"/>
      <c r="GS118" s="33"/>
      <c r="GT118" s="33"/>
      <c r="GU118" s="33"/>
      <c r="GV118" s="33"/>
      <c r="GW118" s="33"/>
      <c r="GX118" s="33"/>
      <c r="GY118" s="33"/>
      <c r="GZ118" s="33"/>
      <c r="HA118" s="33"/>
      <c r="HB118" s="33"/>
      <c r="HC118" s="33"/>
      <c r="HD118" s="33"/>
      <c r="HE118" s="33"/>
      <c r="HF118" s="33"/>
      <c r="HG118" s="33"/>
      <c r="HH118" s="33"/>
    </row>
    <row r="119" spans="1:216" ht="15.75" customHeight="1" x14ac:dyDescent="0.4">
      <c r="A119" s="6" t="s">
        <v>26</v>
      </c>
      <c r="B119" s="53" t="s">
        <v>51</v>
      </c>
      <c r="C119" s="54"/>
      <c r="D119" s="55"/>
      <c r="E119" s="5">
        <f>SUM(E112:E118)</f>
        <v>45</v>
      </c>
      <c r="F119" s="39"/>
      <c r="G119" s="20"/>
      <c r="H119" s="20"/>
      <c r="I119" s="20"/>
      <c r="J119" s="20"/>
      <c r="K119" s="20"/>
      <c r="L119" s="20"/>
      <c r="M119" s="20"/>
      <c r="N119" s="20"/>
      <c r="O119" s="20"/>
      <c r="P119" s="32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  <c r="GS119" s="33"/>
      <c r="GT119" s="33"/>
      <c r="GU119" s="33"/>
      <c r="GV119" s="33"/>
      <c r="GW119" s="33"/>
      <c r="GX119" s="33"/>
      <c r="GY119" s="33"/>
      <c r="GZ119" s="33"/>
      <c r="HA119" s="33"/>
      <c r="HB119" s="33"/>
      <c r="HC119" s="33"/>
      <c r="HD119" s="33"/>
      <c r="HE119" s="33"/>
      <c r="HF119" s="33"/>
      <c r="HG119" s="33"/>
      <c r="HH119" s="33"/>
    </row>
    <row r="120" spans="1:216" ht="15.75" customHeight="1" x14ac:dyDescent="0.4">
      <c r="A120" s="61"/>
      <c r="B120" s="62"/>
      <c r="C120" s="62"/>
      <c r="D120" s="62"/>
      <c r="E120" s="63"/>
      <c r="F120" s="40"/>
      <c r="G120" s="1"/>
      <c r="H120" s="1"/>
      <c r="I120" s="1"/>
      <c r="J120" s="1"/>
      <c r="K120" s="1"/>
      <c r="L120" s="1"/>
      <c r="M120" s="1"/>
      <c r="N120" s="1"/>
      <c r="O120" s="1"/>
      <c r="P120" s="34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/>
      <c r="DP120" s="31"/>
      <c r="DQ120" s="31"/>
      <c r="DR120" s="31"/>
      <c r="DS120" s="31"/>
      <c r="DT120" s="31"/>
      <c r="DU120" s="31"/>
      <c r="DV120" s="31"/>
      <c r="DW120" s="31"/>
      <c r="DX120" s="31"/>
      <c r="DY120" s="31"/>
      <c r="DZ120" s="31"/>
      <c r="EA120" s="31"/>
      <c r="EB120" s="31"/>
      <c r="EC120" s="31"/>
      <c r="ED120" s="31"/>
      <c r="EE120" s="31"/>
      <c r="EF120" s="31"/>
      <c r="EG120" s="31"/>
      <c r="EH120" s="31"/>
      <c r="EI120" s="31"/>
      <c r="EJ120" s="31"/>
      <c r="EK120" s="31"/>
      <c r="EL120" s="31"/>
      <c r="EM120" s="31"/>
      <c r="EN120" s="31"/>
      <c r="EO120" s="31"/>
      <c r="EP120" s="31"/>
      <c r="EQ120" s="31"/>
      <c r="ER120" s="31"/>
      <c r="ES120" s="31"/>
      <c r="ET120" s="31"/>
      <c r="EU120" s="31"/>
      <c r="EV120" s="31"/>
      <c r="EW120" s="31"/>
      <c r="EX120" s="31"/>
      <c r="EY120" s="31"/>
      <c r="EZ120" s="31"/>
      <c r="FA120" s="31"/>
      <c r="FB120" s="31"/>
      <c r="FC120" s="31"/>
      <c r="FD120" s="31"/>
      <c r="FE120" s="31"/>
      <c r="FF120" s="31"/>
      <c r="FG120" s="31"/>
      <c r="FH120" s="31"/>
      <c r="FI120" s="31"/>
      <c r="FJ120" s="31"/>
      <c r="FK120" s="31"/>
      <c r="FL120" s="31"/>
      <c r="FM120" s="31"/>
      <c r="FN120" s="31"/>
      <c r="FO120" s="31"/>
      <c r="FP120" s="31"/>
      <c r="FQ120" s="31"/>
      <c r="FR120" s="31"/>
      <c r="FS120" s="31"/>
      <c r="FT120" s="31"/>
      <c r="FU120" s="31"/>
      <c r="FV120" s="31"/>
      <c r="FW120" s="31"/>
      <c r="FX120" s="31"/>
      <c r="FY120" s="31"/>
      <c r="FZ120" s="31"/>
      <c r="GA120" s="31"/>
      <c r="GB120" s="31"/>
      <c r="GC120" s="31"/>
      <c r="GD120" s="31"/>
      <c r="GE120" s="31"/>
      <c r="GF120" s="31"/>
      <c r="GG120" s="31"/>
      <c r="GH120" s="31"/>
      <c r="GI120" s="31"/>
      <c r="GJ120" s="31"/>
      <c r="GK120" s="31"/>
      <c r="GL120" s="31"/>
      <c r="GM120" s="31"/>
      <c r="GN120" s="31"/>
      <c r="GO120" s="31"/>
      <c r="GP120" s="31"/>
      <c r="GQ120" s="31"/>
      <c r="GR120" s="31"/>
      <c r="GS120" s="31"/>
      <c r="GT120" s="31"/>
      <c r="GU120" s="31"/>
      <c r="GV120" s="31"/>
      <c r="GW120" s="31"/>
      <c r="GX120" s="31"/>
      <c r="GY120" s="31"/>
      <c r="GZ120" s="31"/>
      <c r="HA120" s="31"/>
      <c r="HB120" s="31"/>
      <c r="HC120" s="31"/>
      <c r="HD120" s="31"/>
      <c r="HE120" s="31"/>
      <c r="HF120" s="31"/>
      <c r="HG120" s="31"/>
      <c r="HH120" s="31"/>
    </row>
    <row r="121" spans="1:216" ht="15.75" customHeight="1" x14ac:dyDescent="0.4">
      <c r="A121" s="11" t="s">
        <v>48</v>
      </c>
      <c r="B121" s="44" t="s">
        <v>65</v>
      </c>
      <c r="C121" s="67" t="s">
        <v>66</v>
      </c>
      <c r="D121" s="68"/>
      <c r="E121" s="9">
        <f>ALIYAN!V121+BUBUK!T121+GITIK!N121+GLADAG!W121+KARANGBENDO!Z121+KEDALEMAN!S121+LEMAHBANGDEWO!O121+MANGIR!S121+PENGATIGAN!Y121+ROGOJAMPI!AM121</f>
        <v>20</v>
      </c>
      <c r="F121" s="42"/>
      <c r="G121" s="27"/>
      <c r="H121" s="27"/>
      <c r="I121" s="27"/>
      <c r="J121" s="27"/>
      <c r="K121" s="27"/>
      <c r="L121" s="27"/>
      <c r="M121" s="27"/>
      <c r="N121" s="27"/>
      <c r="O121" s="27"/>
      <c r="P121" s="37"/>
      <c r="Q121" s="30"/>
      <c r="R121" s="30"/>
      <c r="S121" s="30"/>
      <c r="T121" s="30"/>
      <c r="U121" s="30"/>
      <c r="V121" s="30"/>
      <c r="W121" s="38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0"/>
      <c r="BM121" s="30"/>
      <c r="BN121" s="30"/>
      <c r="BO121" s="30"/>
      <c r="BP121" s="30"/>
      <c r="BQ121" s="30"/>
      <c r="BR121" s="38"/>
      <c r="BS121" s="30"/>
      <c r="BT121" s="30"/>
      <c r="BU121" s="30"/>
      <c r="BV121" s="30"/>
      <c r="BW121" s="30"/>
      <c r="BX121" s="30"/>
      <c r="BY121" s="30"/>
      <c r="BZ121" s="30"/>
      <c r="CA121" s="38"/>
      <c r="CB121" s="38"/>
      <c r="CC121" s="38"/>
      <c r="CD121" s="38"/>
      <c r="CE121" s="38"/>
      <c r="CF121" s="38"/>
      <c r="CG121" s="38"/>
      <c r="CH121" s="38"/>
      <c r="CI121" s="38"/>
      <c r="CJ121" s="38"/>
      <c r="CK121" s="38"/>
      <c r="CL121" s="38"/>
      <c r="CM121" s="38"/>
      <c r="CN121" s="38"/>
      <c r="CO121" s="38"/>
      <c r="CP121" s="38"/>
      <c r="CQ121" s="38"/>
      <c r="CR121" s="38"/>
      <c r="CS121" s="38"/>
      <c r="CT121" s="38"/>
      <c r="CU121" s="38"/>
      <c r="CV121" s="38"/>
      <c r="CW121" s="38"/>
      <c r="CX121" s="38"/>
      <c r="CY121" s="38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8"/>
      <c r="DL121" s="38"/>
      <c r="DM121" s="38"/>
      <c r="DN121" s="38"/>
      <c r="DO121" s="38"/>
      <c r="DP121" s="38"/>
      <c r="DQ121" s="38"/>
      <c r="DR121" s="38"/>
      <c r="DS121" s="38"/>
      <c r="DT121" s="38"/>
      <c r="DU121" s="38"/>
      <c r="DV121" s="38"/>
      <c r="DW121" s="38"/>
      <c r="DX121" s="38"/>
      <c r="DY121" s="38"/>
      <c r="DZ121" s="38"/>
      <c r="EA121" s="38"/>
      <c r="EB121" s="38"/>
      <c r="EC121" s="38"/>
      <c r="ED121" s="38"/>
      <c r="EE121" s="38"/>
      <c r="EF121" s="38"/>
      <c r="EG121" s="38"/>
      <c r="EH121" s="38"/>
      <c r="EI121" s="38"/>
      <c r="EJ121" s="38"/>
      <c r="EK121" s="38"/>
      <c r="EL121" s="38"/>
      <c r="EM121" s="30"/>
      <c r="EN121" s="30"/>
      <c r="EO121" s="30"/>
      <c r="EP121" s="30"/>
      <c r="EQ121" s="30"/>
      <c r="ER121" s="30"/>
      <c r="ES121" s="30"/>
      <c r="ET121" s="30"/>
      <c r="EU121" s="30"/>
      <c r="EV121" s="30"/>
      <c r="EW121" s="30"/>
      <c r="EX121" s="30"/>
      <c r="EY121" s="38"/>
      <c r="EZ121" s="38"/>
      <c r="FA121" s="38"/>
      <c r="FB121" s="38"/>
      <c r="FC121" s="38"/>
      <c r="FD121" s="38"/>
      <c r="FE121" s="38"/>
      <c r="FF121" s="30"/>
      <c r="FG121" s="30"/>
      <c r="FH121" s="30"/>
      <c r="FI121" s="30"/>
      <c r="FJ121" s="38"/>
      <c r="FK121" s="38"/>
      <c r="FL121" s="38"/>
      <c r="FM121" s="38"/>
      <c r="FN121" s="38"/>
      <c r="FO121" s="38"/>
      <c r="FP121" s="38"/>
      <c r="FQ121" s="38"/>
      <c r="FR121" s="38"/>
      <c r="FS121" s="38"/>
      <c r="FT121" s="38"/>
      <c r="FU121" s="38"/>
      <c r="FV121" s="38"/>
      <c r="FW121" s="38"/>
      <c r="FX121" s="38"/>
      <c r="FY121" s="38"/>
      <c r="FZ121" s="38"/>
      <c r="GA121" s="38"/>
      <c r="GB121" s="38"/>
      <c r="GC121" s="38"/>
      <c r="GD121" s="38"/>
      <c r="GE121" s="38"/>
      <c r="GF121" s="38"/>
      <c r="GG121" s="38"/>
      <c r="GH121" s="38"/>
      <c r="GI121" s="38"/>
      <c r="GJ121" s="38"/>
      <c r="GK121" s="38"/>
      <c r="GL121" s="38"/>
      <c r="GM121" s="38"/>
      <c r="GN121" s="38"/>
      <c r="GO121" s="38"/>
      <c r="GP121" s="38"/>
      <c r="GQ121" s="38"/>
      <c r="GR121" s="38"/>
      <c r="GS121" s="38"/>
      <c r="GT121" s="38"/>
      <c r="GU121" s="38"/>
      <c r="GV121" s="38"/>
      <c r="GW121" s="38"/>
      <c r="GX121" s="38"/>
      <c r="GY121" s="38"/>
      <c r="GZ121" s="38"/>
      <c r="HA121" s="38"/>
      <c r="HB121" s="38"/>
      <c r="HC121" s="38"/>
      <c r="HD121" s="38"/>
      <c r="HE121" s="38"/>
      <c r="HF121" s="38"/>
      <c r="HG121" s="38"/>
      <c r="HH121" s="38"/>
    </row>
    <row r="122" spans="1:216" ht="15.75" customHeight="1" x14ac:dyDescent="0.4">
      <c r="A122" s="48" t="s">
        <v>50</v>
      </c>
      <c r="B122" s="46"/>
      <c r="C122" s="24" t="s">
        <v>154</v>
      </c>
      <c r="D122" s="47"/>
      <c r="E122" s="9">
        <f>ALIYAN!V122+BUBUK!T122+GITIK!N122+GLADAG!W122+KARANGBENDO!Z122+KEDALEMAN!S122+LEMAHBANGDEWO!O122+MANGIR!S122+PENGATIGAN!Y122+ROGOJAMPI!AM122</f>
        <v>533</v>
      </c>
      <c r="F122" s="39"/>
      <c r="G122" s="20"/>
      <c r="H122" s="20"/>
      <c r="I122" s="20"/>
      <c r="J122" s="20"/>
      <c r="K122" s="20"/>
      <c r="L122" s="20"/>
      <c r="M122" s="20"/>
      <c r="N122" s="20"/>
      <c r="O122" s="20"/>
      <c r="P122" s="32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</row>
    <row r="123" spans="1:216" ht="15.75" customHeight="1" x14ac:dyDescent="0.4">
      <c r="A123" s="7"/>
      <c r="B123" s="46"/>
      <c r="C123" s="24" t="s">
        <v>155</v>
      </c>
      <c r="D123" s="47"/>
      <c r="E123" s="9">
        <f>ALIYAN!V123+BUBUK!T123+GITIK!N123+GLADAG!W123+KARANGBENDO!Z123+KEDALEMAN!S123+LEMAHBANGDEWO!O123+MANGIR!S123+PENGATIGAN!Y123+ROGOJAMPI!AM123</f>
        <v>12</v>
      </c>
      <c r="F123" s="39"/>
      <c r="G123" s="20"/>
      <c r="H123" s="20"/>
      <c r="I123" s="20"/>
      <c r="J123" s="20"/>
      <c r="K123" s="20"/>
      <c r="L123" s="20"/>
      <c r="M123" s="20"/>
      <c r="N123" s="20"/>
      <c r="O123" s="20"/>
      <c r="P123" s="32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</row>
    <row r="124" spans="1:216" ht="15.75" customHeight="1" x14ac:dyDescent="0.4">
      <c r="A124" s="7"/>
      <c r="B124" s="46"/>
      <c r="C124" s="24" t="s">
        <v>156</v>
      </c>
      <c r="D124" s="47"/>
      <c r="E124" s="9">
        <f>ALIYAN!V124+BUBUK!T124+GITIK!N124+GLADAG!W124+KARANGBENDO!Z124+KEDALEMAN!S124+LEMAHBANGDEWO!O124+MANGIR!S124+PENGATIGAN!Y124+ROGOJAMPI!AM124</f>
        <v>22</v>
      </c>
      <c r="F124" s="39"/>
      <c r="G124" s="20"/>
      <c r="H124" s="20"/>
      <c r="I124" s="20"/>
      <c r="J124" s="20"/>
      <c r="K124" s="20"/>
      <c r="L124" s="20"/>
      <c r="M124" s="20"/>
      <c r="N124" s="20"/>
      <c r="O124" s="20"/>
      <c r="P124" s="32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  <c r="GS124" s="33"/>
      <c r="GT124" s="33"/>
      <c r="GU124" s="33"/>
      <c r="GV124" s="33"/>
      <c r="GW124" s="33"/>
      <c r="GX124" s="33"/>
      <c r="GY124" s="33"/>
      <c r="GZ124" s="33"/>
      <c r="HA124" s="33"/>
      <c r="HB124" s="33"/>
      <c r="HC124" s="33"/>
      <c r="HD124" s="33"/>
      <c r="HE124" s="33"/>
      <c r="HF124" s="33"/>
      <c r="HG124" s="33"/>
      <c r="HH124" s="33"/>
    </row>
    <row r="125" spans="1:216" ht="15.75" customHeight="1" x14ac:dyDescent="0.4">
      <c r="A125" s="7"/>
      <c r="B125" s="46"/>
      <c r="C125" s="24" t="s">
        <v>157</v>
      </c>
      <c r="D125" s="47"/>
      <c r="E125" s="9">
        <f>ALIYAN!V125+BUBUK!T125+GITIK!N125+GLADAG!W125+KARANGBENDO!Z125+KEDALEMAN!S125+LEMAHBANGDEWO!O125+MANGIR!S125+PENGATIGAN!Y125+ROGOJAMPI!AM125</f>
        <v>637</v>
      </c>
      <c r="F125" s="39"/>
      <c r="G125" s="20"/>
      <c r="H125" s="20"/>
      <c r="I125" s="20"/>
      <c r="J125" s="20"/>
      <c r="K125" s="20"/>
      <c r="L125" s="20"/>
      <c r="M125" s="20"/>
      <c r="N125" s="20"/>
      <c r="O125" s="20"/>
      <c r="P125" s="32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</row>
    <row r="126" spans="1:216" ht="15.75" customHeight="1" x14ac:dyDescent="0.4">
      <c r="A126" s="7"/>
      <c r="B126" s="46"/>
      <c r="C126" s="24" t="s">
        <v>158</v>
      </c>
      <c r="D126" s="47"/>
      <c r="E126" s="9">
        <f>ALIYAN!V126+BUBUK!T126+GITIK!N126+GLADAG!W126+KARANGBENDO!Z126+KEDALEMAN!S126+LEMAHBANGDEWO!O126+MANGIR!S126+PENGATIGAN!Y126+ROGOJAMPI!AM126</f>
        <v>0</v>
      </c>
      <c r="F126" s="39"/>
      <c r="G126" s="20"/>
      <c r="H126" s="20"/>
      <c r="I126" s="20"/>
      <c r="J126" s="20"/>
      <c r="K126" s="20"/>
      <c r="L126" s="20"/>
      <c r="M126" s="20"/>
      <c r="N126" s="20"/>
      <c r="O126" s="20"/>
      <c r="P126" s="32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</row>
    <row r="127" spans="1:216" ht="15.75" customHeight="1" x14ac:dyDescent="0.4">
      <c r="A127" s="7"/>
      <c r="B127" s="46"/>
      <c r="C127" s="24" t="s">
        <v>159</v>
      </c>
      <c r="D127" s="47"/>
      <c r="E127" s="9">
        <f>ALIYAN!V127+BUBUK!T127+GITIK!N127+GLADAG!W127+KARANGBENDO!Z127+KEDALEMAN!S127+LEMAHBANGDEWO!O127+MANGIR!S127+PENGATIGAN!Y127+ROGOJAMPI!AM127</f>
        <v>21</v>
      </c>
      <c r="F127" s="39"/>
      <c r="G127" s="20"/>
      <c r="H127" s="20"/>
      <c r="I127" s="20"/>
      <c r="J127" s="20"/>
      <c r="K127" s="20"/>
      <c r="L127" s="20"/>
      <c r="M127" s="20"/>
      <c r="N127" s="20"/>
      <c r="O127" s="20"/>
      <c r="P127" s="32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  <c r="GS127" s="33"/>
      <c r="GT127" s="33"/>
      <c r="GU127" s="33"/>
      <c r="GV127" s="33"/>
      <c r="GW127" s="33"/>
      <c r="GX127" s="33"/>
      <c r="GY127" s="33"/>
      <c r="GZ127" s="33"/>
      <c r="HA127" s="33"/>
      <c r="HB127" s="33"/>
      <c r="HC127" s="33"/>
      <c r="HD127" s="33"/>
      <c r="HE127" s="33"/>
      <c r="HF127" s="33"/>
      <c r="HG127" s="33"/>
      <c r="HH127" s="33"/>
    </row>
    <row r="128" spans="1:216" ht="15.75" customHeight="1" x14ac:dyDescent="0.4">
      <c r="A128" s="6" t="s">
        <v>26</v>
      </c>
      <c r="B128" s="64" t="s">
        <v>51</v>
      </c>
      <c r="C128" s="65"/>
      <c r="D128" s="66"/>
      <c r="E128" s="5">
        <f>SUM(E121:E127)</f>
        <v>1245</v>
      </c>
      <c r="F128" s="39"/>
      <c r="G128" s="20"/>
      <c r="H128" s="20"/>
      <c r="I128" s="20"/>
      <c r="J128" s="20"/>
      <c r="K128" s="20"/>
      <c r="L128" s="20"/>
      <c r="M128" s="20"/>
      <c r="N128" s="20"/>
      <c r="O128" s="20"/>
      <c r="P128" s="32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  <c r="GC128" s="33"/>
      <c r="GD128" s="33"/>
      <c r="GE128" s="33"/>
      <c r="GF128" s="33"/>
      <c r="GG128" s="33"/>
      <c r="GH128" s="33"/>
      <c r="GI128" s="33"/>
      <c r="GJ128" s="33"/>
      <c r="GK128" s="33"/>
      <c r="GL128" s="33"/>
      <c r="GM128" s="33"/>
      <c r="GN128" s="33"/>
      <c r="GO128" s="33"/>
      <c r="GP128" s="33"/>
      <c r="GQ128" s="33"/>
      <c r="GR128" s="33"/>
      <c r="GS128" s="33"/>
      <c r="GT128" s="33"/>
      <c r="GU128" s="33"/>
      <c r="GV128" s="33"/>
      <c r="GW128" s="33"/>
      <c r="GX128" s="33"/>
      <c r="GY128" s="33"/>
      <c r="GZ128" s="33"/>
      <c r="HA128" s="33"/>
      <c r="HB128" s="33"/>
      <c r="HC128" s="33"/>
      <c r="HD128" s="33"/>
      <c r="HE128" s="33"/>
      <c r="HF128" s="33"/>
      <c r="HG128" s="33"/>
      <c r="HH128" s="33"/>
    </row>
    <row r="129" spans="1:216" ht="15.75" customHeight="1" x14ac:dyDescent="0.4">
      <c r="A129" s="61"/>
      <c r="B129" s="62"/>
      <c r="C129" s="62"/>
      <c r="D129" s="62"/>
      <c r="E129" s="63"/>
      <c r="F129" s="39"/>
      <c r="G129" s="20"/>
      <c r="H129" s="20"/>
      <c r="I129" s="20"/>
      <c r="J129" s="20"/>
      <c r="K129" s="20"/>
      <c r="L129" s="20"/>
      <c r="M129" s="20"/>
      <c r="N129" s="20"/>
      <c r="O129" s="20"/>
      <c r="P129" s="32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  <c r="ED129" s="33"/>
      <c r="EE129" s="33"/>
      <c r="EF129" s="33"/>
      <c r="EG129" s="33"/>
      <c r="EH129" s="33"/>
      <c r="EI129" s="33"/>
      <c r="EJ129" s="33"/>
      <c r="EK129" s="33"/>
      <c r="EL129" s="33"/>
      <c r="EM129" s="33"/>
      <c r="EN129" s="33"/>
      <c r="EO129" s="33"/>
      <c r="EP129" s="33"/>
      <c r="EQ129" s="33"/>
      <c r="ER129" s="33"/>
      <c r="ES129" s="33"/>
      <c r="ET129" s="33"/>
      <c r="EU129" s="33"/>
      <c r="EV129" s="33"/>
      <c r="EW129" s="33"/>
      <c r="EX129" s="33"/>
      <c r="EY129" s="33"/>
      <c r="EZ129" s="33"/>
      <c r="FA129" s="33"/>
      <c r="FB129" s="33"/>
      <c r="FC129" s="33"/>
      <c r="FD129" s="33"/>
      <c r="FE129" s="33"/>
      <c r="FF129" s="33"/>
      <c r="FG129" s="33"/>
      <c r="FH129" s="33"/>
      <c r="FI129" s="33"/>
      <c r="FJ129" s="33"/>
      <c r="FK129" s="33"/>
      <c r="FL129" s="33"/>
      <c r="FM129" s="33"/>
      <c r="FN129" s="33"/>
      <c r="FO129" s="33"/>
      <c r="FP129" s="33"/>
      <c r="FQ129" s="33"/>
      <c r="FR129" s="33"/>
      <c r="FS129" s="33"/>
      <c r="FT129" s="33"/>
      <c r="FU129" s="33"/>
      <c r="FV129" s="33"/>
      <c r="FW129" s="33"/>
      <c r="FX129" s="33"/>
      <c r="FY129" s="33"/>
      <c r="FZ129" s="33"/>
      <c r="GA129" s="33"/>
      <c r="GB129" s="33"/>
      <c r="GC129" s="33"/>
      <c r="GD129" s="33"/>
      <c r="GE129" s="33"/>
      <c r="GF129" s="33"/>
      <c r="GG129" s="33"/>
      <c r="GH129" s="33"/>
      <c r="GI129" s="33"/>
      <c r="GJ129" s="33"/>
      <c r="GK129" s="33"/>
      <c r="GL129" s="33"/>
      <c r="GM129" s="33"/>
      <c r="GN129" s="33"/>
      <c r="GO129" s="33"/>
      <c r="GP129" s="33"/>
      <c r="GQ129" s="33"/>
      <c r="GR129" s="33"/>
      <c r="GS129" s="33"/>
      <c r="GT129" s="33"/>
      <c r="GU129" s="33"/>
      <c r="GV129" s="33"/>
      <c r="GW129" s="33"/>
      <c r="GX129" s="33"/>
      <c r="GY129" s="33"/>
      <c r="GZ129" s="33"/>
      <c r="HA129" s="33"/>
      <c r="HB129" s="33"/>
      <c r="HC129" s="33"/>
      <c r="HD129" s="33"/>
      <c r="HE129" s="33"/>
      <c r="HF129" s="33"/>
      <c r="HG129" s="33"/>
      <c r="HH129" s="33"/>
    </row>
    <row r="130" spans="1:216" ht="15.75" customHeight="1" x14ac:dyDescent="0.4">
      <c r="A130" s="11" t="s">
        <v>48</v>
      </c>
      <c r="B130" s="17" t="s">
        <v>67</v>
      </c>
      <c r="C130" s="59" t="s">
        <v>68</v>
      </c>
      <c r="D130" s="60"/>
      <c r="E130" s="9">
        <f>ALIYAN!V130+BUBUK!T130+GITIK!N130+GLADAG!W130+KARANGBENDO!Z130+KEDALEMAN!S130+LEMAHBANGDEWO!O130+MANGIR!S130+PENGATIGAN!Y130+ROGOJAMPI!AM130</f>
        <v>21</v>
      </c>
      <c r="F130" s="40"/>
      <c r="G130" s="1"/>
      <c r="H130" s="1"/>
      <c r="I130" s="1"/>
      <c r="J130" s="1"/>
      <c r="K130" s="1"/>
      <c r="L130" s="1"/>
      <c r="M130" s="1"/>
      <c r="N130" s="1"/>
      <c r="O130" s="1"/>
      <c r="P130" s="34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  <c r="FN130" s="31"/>
      <c r="FO130" s="31"/>
      <c r="FP130" s="31"/>
      <c r="FQ130" s="31"/>
      <c r="FR130" s="31"/>
      <c r="FS130" s="31"/>
      <c r="FT130" s="31"/>
      <c r="FU130" s="31"/>
      <c r="FV130" s="31"/>
      <c r="FW130" s="31"/>
      <c r="FX130" s="31"/>
      <c r="FY130" s="31"/>
      <c r="FZ130" s="31"/>
      <c r="GA130" s="31"/>
      <c r="GB130" s="31"/>
      <c r="GC130" s="31"/>
      <c r="GD130" s="31"/>
      <c r="GE130" s="31"/>
      <c r="GF130" s="31"/>
      <c r="GG130" s="31"/>
      <c r="GH130" s="31"/>
      <c r="GI130" s="31"/>
      <c r="GJ130" s="31"/>
      <c r="GK130" s="31"/>
      <c r="GL130" s="31"/>
      <c r="GM130" s="31"/>
      <c r="GN130" s="31"/>
      <c r="GO130" s="31"/>
      <c r="GP130" s="31"/>
      <c r="GQ130" s="31"/>
      <c r="GR130" s="31"/>
      <c r="GS130" s="31"/>
      <c r="GT130" s="31"/>
      <c r="GU130" s="31"/>
      <c r="GV130" s="31"/>
      <c r="GW130" s="31"/>
      <c r="GX130" s="31"/>
      <c r="GY130" s="31"/>
      <c r="GZ130" s="31"/>
      <c r="HA130" s="31"/>
      <c r="HB130" s="31"/>
      <c r="HC130" s="31"/>
      <c r="HD130" s="31"/>
      <c r="HE130" s="31"/>
      <c r="HF130" s="31"/>
      <c r="HG130" s="31"/>
      <c r="HH130" s="31"/>
    </row>
    <row r="131" spans="1:216" ht="15.75" customHeight="1" x14ac:dyDescent="0.4">
      <c r="A131" s="6" t="s">
        <v>26</v>
      </c>
      <c r="B131" s="53" t="s">
        <v>51</v>
      </c>
      <c r="C131" s="54"/>
      <c r="D131" s="55"/>
      <c r="E131" s="5">
        <f>SUM(E130:E130)</f>
        <v>21</v>
      </c>
      <c r="F131" s="39"/>
      <c r="G131" s="20"/>
      <c r="H131" s="20"/>
      <c r="I131" s="20"/>
      <c r="J131" s="20"/>
      <c r="K131" s="20"/>
      <c r="L131" s="20"/>
      <c r="M131" s="20"/>
      <c r="N131" s="20"/>
      <c r="O131" s="20"/>
      <c r="P131" s="32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  <c r="GC131" s="33"/>
      <c r="GD131" s="33"/>
      <c r="GE131" s="33"/>
      <c r="GF131" s="33"/>
      <c r="GG131" s="33"/>
      <c r="GH131" s="33"/>
      <c r="GI131" s="33"/>
      <c r="GJ131" s="33"/>
      <c r="GK131" s="33"/>
      <c r="GL131" s="33"/>
      <c r="GM131" s="33"/>
      <c r="GN131" s="33"/>
      <c r="GO131" s="33"/>
      <c r="GP131" s="33"/>
      <c r="GQ131" s="33"/>
      <c r="GR131" s="33"/>
      <c r="GS131" s="33"/>
      <c r="GT131" s="33"/>
      <c r="GU131" s="33"/>
      <c r="GV131" s="33"/>
      <c r="GW131" s="33"/>
      <c r="GX131" s="33"/>
      <c r="GY131" s="33"/>
      <c r="GZ131" s="33"/>
      <c r="HA131" s="33"/>
      <c r="HB131" s="33"/>
      <c r="HC131" s="33"/>
      <c r="HD131" s="33"/>
      <c r="HE131" s="33"/>
      <c r="HF131" s="33"/>
      <c r="HG131" s="33"/>
      <c r="HH131" s="33"/>
    </row>
    <row r="132" spans="1:216" ht="15.75" customHeight="1" x14ac:dyDescent="0.4">
      <c r="A132" s="61"/>
      <c r="B132" s="62"/>
      <c r="C132" s="62"/>
      <c r="D132" s="62"/>
      <c r="E132" s="63"/>
      <c r="F132" s="39"/>
      <c r="G132" s="20"/>
      <c r="H132" s="20"/>
      <c r="I132" s="20"/>
      <c r="J132" s="20"/>
      <c r="K132" s="20"/>
      <c r="L132" s="20"/>
      <c r="M132" s="20"/>
      <c r="N132" s="20"/>
      <c r="O132" s="20"/>
      <c r="P132" s="32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</row>
    <row r="133" spans="1:216" ht="15.75" customHeight="1" x14ac:dyDescent="0.4">
      <c r="A133" s="11" t="s">
        <v>48</v>
      </c>
      <c r="B133" s="17" t="s">
        <v>69</v>
      </c>
      <c r="C133" s="59" t="s">
        <v>70</v>
      </c>
      <c r="D133" s="60"/>
      <c r="E133" s="9">
        <f>ALIYAN!V133+BUBUK!T133+GITIK!N133+GLADAG!W133+KARANGBENDO!Z133+KEDALEMAN!S133+LEMAHBANGDEWO!O133+MANGIR!S133+PENGATIGAN!Y133+ROGOJAMPI!AM133</f>
        <v>80</v>
      </c>
      <c r="F133" s="40"/>
      <c r="G133" s="1"/>
      <c r="H133" s="1"/>
      <c r="I133" s="1"/>
      <c r="J133" s="1"/>
      <c r="K133" s="1"/>
      <c r="L133" s="1"/>
      <c r="M133" s="1"/>
      <c r="N133" s="1"/>
      <c r="O133" s="1"/>
      <c r="P133" s="34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31"/>
      <c r="DL133" s="31"/>
      <c r="DM133" s="31"/>
      <c r="DN133" s="31"/>
      <c r="DO133" s="31"/>
      <c r="DP133" s="31"/>
      <c r="DQ133" s="31"/>
      <c r="DR133" s="31"/>
      <c r="DS133" s="31"/>
      <c r="DT133" s="31"/>
      <c r="DU133" s="31"/>
      <c r="DV133" s="31"/>
      <c r="DW133" s="31"/>
      <c r="DX133" s="31"/>
      <c r="DY133" s="31"/>
      <c r="DZ133" s="31"/>
      <c r="EA133" s="31"/>
      <c r="EB133" s="31"/>
      <c r="EC133" s="31"/>
      <c r="ED133" s="31"/>
      <c r="EE133" s="31"/>
      <c r="EF133" s="31"/>
      <c r="EG133" s="31"/>
      <c r="EH133" s="31"/>
      <c r="EI133" s="31"/>
      <c r="EJ133" s="31"/>
      <c r="EK133" s="31"/>
      <c r="EL133" s="31"/>
      <c r="EM133" s="31"/>
      <c r="EN133" s="31"/>
      <c r="EO133" s="31"/>
      <c r="EP133" s="31"/>
      <c r="EQ133" s="31"/>
      <c r="ER133" s="31"/>
      <c r="ES133" s="31"/>
      <c r="ET133" s="31"/>
      <c r="EU133" s="31"/>
      <c r="EV133" s="31"/>
      <c r="EW133" s="31"/>
      <c r="EX133" s="31"/>
      <c r="EY133" s="31"/>
      <c r="EZ133" s="31"/>
      <c r="FA133" s="31"/>
      <c r="FB133" s="31"/>
      <c r="FC133" s="31"/>
      <c r="FD133" s="31"/>
      <c r="FE133" s="31"/>
      <c r="FF133" s="31"/>
      <c r="FG133" s="31"/>
      <c r="FH133" s="31"/>
      <c r="FI133" s="31"/>
      <c r="FJ133" s="31"/>
      <c r="FK133" s="31"/>
      <c r="FL133" s="31"/>
      <c r="FM133" s="31"/>
      <c r="FN133" s="31"/>
      <c r="FO133" s="31"/>
      <c r="FP133" s="31"/>
      <c r="FQ133" s="31"/>
      <c r="FR133" s="31"/>
      <c r="FS133" s="31"/>
      <c r="FT133" s="31"/>
      <c r="FU133" s="31"/>
      <c r="FV133" s="31"/>
      <c r="FW133" s="31"/>
      <c r="FX133" s="31"/>
      <c r="FY133" s="31"/>
      <c r="FZ133" s="31"/>
      <c r="GA133" s="31"/>
      <c r="GB133" s="31"/>
      <c r="GC133" s="31"/>
      <c r="GD133" s="31"/>
      <c r="GE133" s="31"/>
      <c r="GF133" s="31"/>
      <c r="GG133" s="31"/>
      <c r="GH133" s="31"/>
      <c r="GI133" s="31"/>
      <c r="GJ133" s="31"/>
      <c r="GK133" s="31"/>
      <c r="GL133" s="31"/>
      <c r="GM133" s="31"/>
      <c r="GN133" s="31"/>
      <c r="GO133" s="31"/>
      <c r="GP133" s="31"/>
      <c r="GQ133" s="31"/>
      <c r="GR133" s="31"/>
      <c r="GS133" s="31"/>
      <c r="GT133" s="31"/>
      <c r="GU133" s="31"/>
      <c r="GV133" s="31"/>
      <c r="GW133" s="31"/>
      <c r="GX133" s="31"/>
      <c r="GY133" s="31"/>
      <c r="GZ133" s="31"/>
      <c r="HA133" s="31"/>
      <c r="HB133" s="31"/>
      <c r="HC133" s="31"/>
      <c r="HD133" s="31"/>
      <c r="HE133" s="31"/>
      <c r="HF133" s="31"/>
      <c r="HG133" s="31"/>
      <c r="HH133" s="31"/>
    </row>
    <row r="134" spans="1:216" ht="15.75" customHeight="1" x14ac:dyDescent="0.4">
      <c r="A134" s="11" t="s">
        <v>50</v>
      </c>
      <c r="B134" s="46"/>
      <c r="C134" s="24" t="s">
        <v>160</v>
      </c>
      <c r="D134" s="47"/>
      <c r="E134" s="9">
        <f>ALIYAN!V134+BUBUK!T134+GITIK!N134+GLADAG!W134+KARANGBENDO!Z134+KEDALEMAN!S134+LEMAHBANGDEWO!O134+MANGIR!S134+PENGATIGAN!Y134+ROGOJAMPI!AM134</f>
        <v>19</v>
      </c>
      <c r="F134" s="42"/>
      <c r="G134" s="27"/>
      <c r="H134" s="27"/>
      <c r="I134" s="27"/>
      <c r="J134" s="27"/>
      <c r="K134" s="27"/>
      <c r="L134" s="27"/>
      <c r="M134" s="27"/>
      <c r="N134" s="27"/>
      <c r="O134" s="27"/>
      <c r="P134" s="37"/>
      <c r="Q134" s="30"/>
      <c r="R134" s="30"/>
      <c r="S134" s="30"/>
      <c r="T134" s="30"/>
      <c r="U134" s="30"/>
      <c r="V134" s="30"/>
      <c r="W134" s="38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0"/>
      <c r="BM134" s="30"/>
      <c r="BN134" s="30"/>
      <c r="BO134" s="30"/>
      <c r="BP134" s="30"/>
      <c r="BQ134" s="30"/>
      <c r="BR134" s="38"/>
      <c r="BS134" s="30"/>
      <c r="BT134" s="30"/>
      <c r="BU134" s="30"/>
      <c r="BV134" s="30"/>
      <c r="BW134" s="30"/>
      <c r="BX134" s="30"/>
      <c r="BY134" s="30"/>
      <c r="BZ134" s="30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  <c r="EB134" s="38"/>
      <c r="EC134" s="38"/>
      <c r="ED134" s="38"/>
      <c r="EE134" s="38"/>
      <c r="EF134" s="38"/>
      <c r="EG134" s="38"/>
      <c r="EH134" s="38"/>
      <c r="EI134" s="38"/>
      <c r="EJ134" s="38"/>
      <c r="EK134" s="38"/>
      <c r="EL134" s="38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8"/>
      <c r="EZ134" s="38"/>
      <c r="FA134" s="38"/>
      <c r="FB134" s="38"/>
      <c r="FC134" s="38"/>
      <c r="FD134" s="38"/>
      <c r="FE134" s="38"/>
      <c r="FF134" s="30"/>
      <c r="FG134" s="30"/>
      <c r="FH134" s="30"/>
      <c r="FI134" s="30"/>
      <c r="FJ134" s="38"/>
      <c r="FK134" s="38"/>
      <c r="FL134" s="38"/>
      <c r="FM134" s="38"/>
      <c r="FN134" s="38"/>
      <c r="FO134" s="38"/>
      <c r="FP134" s="38"/>
      <c r="FQ134" s="38"/>
      <c r="FR134" s="38"/>
      <c r="FS134" s="38"/>
      <c r="FT134" s="38"/>
      <c r="FU134" s="38"/>
      <c r="FV134" s="38"/>
      <c r="FW134" s="38"/>
      <c r="FX134" s="38"/>
      <c r="FY134" s="38"/>
      <c r="FZ134" s="38"/>
      <c r="GA134" s="38"/>
      <c r="GB134" s="38"/>
      <c r="GC134" s="38"/>
      <c r="GD134" s="38"/>
      <c r="GE134" s="38"/>
      <c r="GF134" s="38"/>
      <c r="GG134" s="38"/>
      <c r="GH134" s="38"/>
      <c r="GI134" s="38"/>
      <c r="GJ134" s="38"/>
      <c r="GK134" s="38"/>
      <c r="GL134" s="38"/>
      <c r="GM134" s="38"/>
      <c r="GN134" s="38"/>
      <c r="GO134" s="38"/>
      <c r="GP134" s="38"/>
      <c r="GQ134" s="38"/>
      <c r="GR134" s="38"/>
      <c r="GS134" s="38"/>
      <c r="GT134" s="38"/>
      <c r="GU134" s="38"/>
      <c r="GV134" s="38"/>
      <c r="GW134" s="38"/>
      <c r="GX134" s="38"/>
      <c r="GY134" s="38"/>
      <c r="GZ134" s="38"/>
      <c r="HA134" s="38"/>
      <c r="HB134" s="38"/>
      <c r="HC134" s="38"/>
      <c r="HD134" s="38"/>
      <c r="HE134" s="38"/>
      <c r="HF134" s="38"/>
      <c r="HG134" s="38"/>
      <c r="HH134" s="38"/>
    </row>
    <row r="135" spans="1:216" ht="15.75" customHeight="1" x14ac:dyDescent="0.4">
      <c r="A135" s="7"/>
      <c r="B135" s="46"/>
      <c r="C135" s="24" t="s">
        <v>161</v>
      </c>
      <c r="D135" s="47"/>
      <c r="E135" s="9">
        <f>ALIYAN!V135+BUBUK!T135+GITIK!N135+GLADAG!W135+KARANGBENDO!Z135+KEDALEMAN!S135+LEMAHBANGDEWO!O135+MANGIR!S135+PENGATIGAN!Y135+ROGOJAMPI!AM135</f>
        <v>357</v>
      </c>
      <c r="F135" s="39"/>
      <c r="G135" s="20"/>
      <c r="H135" s="20"/>
      <c r="I135" s="20"/>
      <c r="J135" s="20"/>
      <c r="K135" s="20"/>
      <c r="L135" s="20"/>
      <c r="M135" s="20"/>
      <c r="N135" s="20"/>
      <c r="O135" s="20"/>
      <c r="P135" s="32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  <c r="GC135" s="33"/>
      <c r="GD135" s="33"/>
      <c r="GE135" s="33"/>
      <c r="GF135" s="33"/>
      <c r="GG135" s="33"/>
      <c r="GH135" s="33"/>
      <c r="GI135" s="33"/>
      <c r="GJ135" s="33"/>
      <c r="GK135" s="33"/>
      <c r="GL135" s="33"/>
      <c r="GM135" s="33"/>
      <c r="GN135" s="33"/>
      <c r="GO135" s="33"/>
      <c r="GP135" s="33"/>
      <c r="GQ135" s="33"/>
      <c r="GR135" s="33"/>
      <c r="GS135" s="33"/>
      <c r="GT135" s="33"/>
      <c r="GU135" s="33"/>
      <c r="GV135" s="33"/>
      <c r="GW135" s="33"/>
      <c r="GX135" s="33"/>
      <c r="GY135" s="33"/>
      <c r="GZ135" s="33"/>
      <c r="HA135" s="33"/>
      <c r="HB135" s="33"/>
      <c r="HC135" s="33"/>
      <c r="HD135" s="33"/>
      <c r="HE135" s="33"/>
      <c r="HF135" s="33"/>
      <c r="HG135" s="33"/>
      <c r="HH135" s="33"/>
    </row>
    <row r="136" spans="1:216" ht="15.75" customHeight="1" x14ac:dyDescent="0.4">
      <c r="A136" s="7"/>
      <c r="B136" s="46"/>
      <c r="C136" s="24" t="s">
        <v>162</v>
      </c>
      <c r="D136" s="47"/>
      <c r="E136" s="9">
        <f>ALIYAN!V136+BUBUK!T136+GITIK!N136+GLADAG!W136+KARANGBENDO!Z136+KEDALEMAN!S136+LEMAHBANGDEWO!O136+MANGIR!S136+PENGATIGAN!Y136+ROGOJAMPI!AM136</f>
        <v>35</v>
      </c>
      <c r="F136" s="39"/>
      <c r="G136" s="20"/>
      <c r="H136" s="20"/>
      <c r="I136" s="20"/>
      <c r="J136" s="20"/>
      <c r="K136" s="20"/>
      <c r="L136" s="20"/>
      <c r="M136" s="20"/>
      <c r="N136" s="20"/>
      <c r="O136" s="20"/>
      <c r="P136" s="32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  <c r="EW136" s="33"/>
      <c r="EX136" s="33"/>
      <c r="EY136" s="33"/>
      <c r="EZ136" s="33"/>
      <c r="FA136" s="33"/>
      <c r="FB136" s="33"/>
      <c r="FC136" s="33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3"/>
      <c r="FP136" s="33"/>
      <c r="FQ136" s="33"/>
      <c r="FR136" s="33"/>
      <c r="FS136" s="33"/>
      <c r="FT136" s="33"/>
      <c r="FU136" s="33"/>
      <c r="FV136" s="33"/>
      <c r="FW136" s="33"/>
      <c r="FX136" s="33"/>
      <c r="FY136" s="33"/>
      <c r="FZ136" s="33"/>
      <c r="GA136" s="33"/>
      <c r="GB136" s="33"/>
      <c r="GC136" s="33"/>
      <c r="GD136" s="33"/>
      <c r="GE136" s="33"/>
      <c r="GF136" s="33"/>
      <c r="GG136" s="33"/>
      <c r="GH136" s="33"/>
      <c r="GI136" s="33"/>
      <c r="GJ136" s="33"/>
      <c r="GK136" s="33"/>
      <c r="GL136" s="33"/>
      <c r="GM136" s="33"/>
      <c r="GN136" s="33"/>
      <c r="GO136" s="33"/>
      <c r="GP136" s="33"/>
      <c r="GQ136" s="33"/>
      <c r="GR136" s="33"/>
      <c r="GS136" s="33"/>
      <c r="GT136" s="33"/>
      <c r="GU136" s="33"/>
      <c r="GV136" s="33"/>
      <c r="GW136" s="33"/>
      <c r="GX136" s="33"/>
      <c r="GY136" s="33"/>
      <c r="GZ136" s="33"/>
      <c r="HA136" s="33"/>
      <c r="HB136" s="33"/>
      <c r="HC136" s="33"/>
      <c r="HD136" s="33"/>
      <c r="HE136" s="33"/>
      <c r="HF136" s="33"/>
      <c r="HG136" s="33"/>
      <c r="HH136" s="33"/>
    </row>
    <row r="137" spans="1:216" ht="15.75" customHeight="1" x14ac:dyDescent="0.4">
      <c r="A137" s="7"/>
      <c r="B137" s="46"/>
      <c r="C137" s="24" t="s">
        <v>163</v>
      </c>
      <c r="D137" s="47"/>
      <c r="E137" s="9">
        <f>ALIYAN!V137+BUBUK!T137+GITIK!N137+GLADAG!W137+KARANGBENDO!Z137+KEDALEMAN!S137+LEMAHBANGDEWO!O137+MANGIR!S137+PENGATIGAN!Y137+ROGOJAMPI!AM137</f>
        <v>9</v>
      </c>
      <c r="F137" s="39"/>
      <c r="G137" s="20"/>
      <c r="H137" s="20"/>
      <c r="I137" s="20"/>
      <c r="J137" s="20"/>
      <c r="K137" s="20"/>
      <c r="L137" s="20"/>
      <c r="M137" s="20"/>
      <c r="N137" s="20"/>
      <c r="O137" s="20"/>
      <c r="P137" s="32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  <c r="GS137" s="33"/>
      <c r="GT137" s="33"/>
      <c r="GU137" s="33"/>
      <c r="GV137" s="33"/>
      <c r="GW137" s="33"/>
      <c r="GX137" s="33"/>
      <c r="GY137" s="33"/>
      <c r="GZ137" s="33"/>
      <c r="HA137" s="33"/>
      <c r="HB137" s="33"/>
      <c r="HC137" s="33"/>
      <c r="HD137" s="33"/>
      <c r="HE137" s="33"/>
      <c r="HF137" s="33"/>
      <c r="HG137" s="33"/>
      <c r="HH137" s="33"/>
    </row>
    <row r="138" spans="1:216" ht="15.75" customHeight="1" x14ac:dyDescent="0.4">
      <c r="A138" s="7"/>
      <c r="B138" s="46"/>
      <c r="C138" s="24" t="s">
        <v>164</v>
      </c>
      <c r="D138" s="47"/>
      <c r="E138" s="9">
        <f>ALIYAN!V138+BUBUK!T138+GITIK!N138+GLADAG!W138+KARANGBENDO!Z138+KEDALEMAN!S138+LEMAHBANGDEWO!O138+MANGIR!S138+PENGATIGAN!Y138+ROGOJAMPI!AM138</f>
        <v>5</v>
      </c>
      <c r="F138" s="39"/>
      <c r="G138" s="20"/>
      <c r="H138" s="20"/>
      <c r="I138" s="20"/>
      <c r="J138" s="20"/>
      <c r="K138" s="20"/>
      <c r="L138" s="20"/>
      <c r="M138" s="20"/>
      <c r="N138" s="20"/>
      <c r="O138" s="20"/>
      <c r="P138" s="32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</row>
    <row r="139" spans="1:216" ht="15.75" customHeight="1" x14ac:dyDescent="0.4">
      <c r="A139" s="7"/>
      <c r="B139" s="46"/>
      <c r="C139" s="24" t="s">
        <v>165</v>
      </c>
      <c r="D139" s="47"/>
      <c r="E139" s="9">
        <f>ALIYAN!V139+BUBUK!T139+GITIK!N139+GLADAG!W139+KARANGBENDO!Z139+KEDALEMAN!S139+LEMAHBANGDEWO!O139+MANGIR!S139+PENGATIGAN!Y139+ROGOJAMPI!AM139</f>
        <v>117</v>
      </c>
      <c r="F139" s="39"/>
      <c r="G139" s="20"/>
      <c r="H139" s="20"/>
      <c r="I139" s="20"/>
      <c r="J139" s="20"/>
      <c r="K139" s="20"/>
      <c r="L139" s="20"/>
      <c r="M139" s="20"/>
      <c r="N139" s="20"/>
      <c r="O139" s="20"/>
      <c r="P139" s="32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</row>
    <row r="140" spans="1:216" ht="15.75" customHeight="1" x14ac:dyDescent="0.4">
      <c r="A140" s="6" t="s">
        <v>26</v>
      </c>
      <c r="B140" s="53" t="s">
        <v>51</v>
      </c>
      <c r="C140" s="54"/>
      <c r="D140" s="55"/>
      <c r="E140" s="5">
        <f>SUM(E133:E139)</f>
        <v>622</v>
      </c>
      <c r="F140" s="39"/>
      <c r="G140" s="20"/>
      <c r="H140" s="20"/>
      <c r="I140" s="20"/>
      <c r="J140" s="20"/>
      <c r="K140" s="20"/>
      <c r="L140" s="20"/>
      <c r="M140" s="20"/>
      <c r="N140" s="20"/>
      <c r="O140" s="20"/>
      <c r="P140" s="32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  <c r="GS140" s="33"/>
      <c r="GT140" s="33"/>
      <c r="GU140" s="33"/>
      <c r="GV140" s="33"/>
      <c r="GW140" s="33"/>
      <c r="GX140" s="33"/>
      <c r="GY140" s="33"/>
      <c r="GZ140" s="33"/>
      <c r="HA140" s="33"/>
      <c r="HB140" s="33"/>
      <c r="HC140" s="33"/>
      <c r="HD140" s="33"/>
      <c r="HE140" s="33"/>
      <c r="HF140" s="33"/>
      <c r="HG140" s="33"/>
      <c r="HH140" s="33"/>
    </row>
    <row r="141" spans="1:216" ht="15.75" customHeight="1" x14ac:dyDescent="0.4">
      <c r="A141" s="61"/>
      <c r="B141" s="62"/>
      <c r="C141" s="62"/>
      <c r="D141" s="62"/>
      <c r="E141" s="63"/>
      <c r="F141" s="39"/>
      <c r="G141" s="20"/>
      <c r="H141" s="20"/>
      <c r="I141" s="20"/>
      <c r="J141" s="20"/>
      <c r="K141" s="20"/>
      <c r="L141" s="20"/>
      <c r="M141" s="20"/>
      <c r="N141" s="20"/>
      <c r="O141" s="20"/>
      <c r="P141" s="32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3"/>
      <c r="DN141" s="33"/>
      <c r="DO141" s="33"/>
      <c r="DP141" s="33"/>
      <c r="DQ141" s="33"/>
      <c r="DR141" s="33"/>
      <c r="DS141" s="33"/>
      <c r="DT141" s="33"/>
      <c r="DU141" s="33"/>
      <c r="DV141" s="33"/>
      <c r="DW141" s="33"/>
      <c r="DX141" s="33"/>
      <c r="DY141" s="33"/>
      <c r="DZ141" s="33"/>
      <c r="EA141" s="33"/>
      <c r="EB141" s="33"/>
      <c r="EC141" s="33"/>
      <c r="ED141" s="33"/>
      <c r="EE141" s="33"/>
      <c r="EF141" s="33"/>
      <c r="EG141" s="33"/>
      <c r="EH141" s="33"/>
      <c r="EI141" s="33"/>
      <c r="EJ141" s="33"/>
      <c r="EK141" s="33"/>
      <c r="EL141" s="33"/>
      <c r="EM141" s="33"/>
      <c r="EN141" s="33"/>
      <c r="EO141" s="33"/>
      <c r="EP141" s="33"/>
      <c r="EQ141" s="33"/>
      <c r="ER141" s="33"/>
      <c r="ES141" s="33"/>
      <c r="ET141" s="33"/>
      <c r="EU141" s="33"/>
      <c r="EV141" s="33"/>
      <c r="EW141" s="33"/>
      <c r="EX141" s="33"/>
      <c r="EY141" s="33"/>
      <c r="EZ141" s="33"/>
      <c r="FA141" s="33"/>
      <c r="FB141" s="33"/>
      <c r="FC141" s="33"/>
      <c r="FD141" s="33"/>
      <c r="FE141" s="33"/>
      <c r="FF141" s="33"/>
      <c r="FG141" s="33"/>
      <c r="FH141" s="33"/>
      <c r="FI141" s="33"/>
      <c r="FJ141" s="33"/>
      <c r="FK141" s="33"/>
      <c r="FL141" s="33"/>
      <c r="FM141" s="33"/>
      <c r="FN141" s="33"/>
      <c r="FO141" s="33"/>
      <c r="FP141" s="33"/>
      <c r="FQ141" s="33"/>
      <c r="FR141" s="33"/>
      <c r="FS141" s="33"/>
      <c r="FT141" s="33"/>
      <c r="FU141" s="33"/>
      <c r="FV141" s="33"/>
      <c r="FW141" s="33"/>
      <c r="FX141" s="33"/>
      <c r="FY141" s="33"/>
      <c r="FZ141" s="33"/>
      <c r="GA141" s="33"/>
      <c r="GB141" s="33"/>
      <c r="GC141" s="33"/>
      <c r="GD141" s="33"/>
      <c r="GE141" s="33"/>
      <c r="GF141" s="33"/>
      <c r="GG141" s="33"/>
      <c r="GH141" s="33"/>
      <c r="GI141" s="33"/>
      <c r="GJ141" s="33"/>
      <c r="GK141" s="33"/>
      <c r="GL141" s="33"/>
      <c r="GM141" s="33"/>
      <c r="GN141" s="33"/>
      <c r="GO141" s="33"/>
      <c r="GP141" s="33"/>
      <c r="GQ141" s="33"/>
      <c r="GR141" s="33"/>
      <c r="GS141" s="33"/>
      <c r="GT141" s="33"/>
      <c r="GU141" s="33"/>
      <c r="GV141" s="33"/>
      <c r="GW141" s="33"/>
      <c r="GX141" s="33"/>
      <c r="GY141" s="33"/>
      <c r="GZ141" s="33"/>
      <c r="HA141" s="33"/>
      <c r="HB141" s="33"/>
      <c r="HC141" s="33"/>
      <c r="HD141" s="33"/>
      <c r="HE141" s="33"/>
      <c r="HF141" s="33"/>
      <c r="HG141" s="33"/>
      <c r="HH141" s="33"/>
    </row>
    <row r="142" spans="1:216" ht="15.75" customHeight="1" x14ac:dyDescent="0.4">
      <c r="A142" s="11" t="s">
        <v>48</v>
      </c>
      <c r="B142" s="17" t="s">
        <v>71</v>
      </c>
      <c r="C142" s="59" t="s">
        <v>72</v>
      </c>
      <c r="D142" s="60"/>
      <c r="E142" s="9">
        <f>ALIYAN!V142+BUBUK!T142+GITIK!N142+GLADAG!W142+KARANGBENDO!Z142+KEDALEMAN!S142+LEMAHBANGDEWO!O142+MANGIR!S142+PENGATIGAN!Y142+ROGOJAMPI!AM142</f>
        <v>11</v>
      </c>
      <c r="F142" s="40"/>
      <c r="G142" s="1"/>
      <c r="H142" s="1"/>
      <c r="I142" s="1"/>
      <c r="J142" s="1"/>
      <c r="K142" s="1"/>
      <c r="L142" s="1"/>
      <c r="M142" s="1"/>
      <c r="N142" s="1"/>
      <c r="O142" s="1"/>
      <c r="P142" s="34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  <c r="FH142" s="31"/>
      <c r="FI142" s="31"/>
      <c r="FJ142" s="31"/>
      <c r="FK142" s="31"/>
      <c r="FL142" s="31"/>
      <c r="FM142" s="31"/>
      <c r="FN142" s="31"/>
      <c r="FO142" s="31"/>
      <c r="FP142" s="31"/>
      <c r="FQ142" s="31"/>
      <c r="FR142" s="31"/>
      <c r="FS142" s="31"/>
      <c r="FT142" s="31"/>
      <c r="FU142" s="31"/>
      <c r="FV142" s="31"/>
      <c r="FW142" s="31"/>
      <c r="FX142" s="31"/>
      <c r="FY142" s="31"/>
      <c r="FZ142" s="31"/>
      <c r="GA142" s="31"/>
      <c r="GB142" s="31"/>
      <c r="GC142" s="31"/>
      <c r="GD142" s="31"/>
      <c r="GE142" s="31"/>
      <c r="GF142" s="31"/>
      <c r="GG142" s="31"/>
      <c r="GH142" s="31"/>
      <c r="GI142" s="31"/>
      <c r="GJ142" s="31"/>
      <c r="GK142" s="31"/>
      <c r="GL142" s="31"/>
      <c r="GM142" s="31"/>
      <c r="GN142" s="31"/>
      <c r="GO142" s="31"/>
      <c r="GP142" s="31"/>
      <c r="GQ142" s="31"/>
      <c r="GR142" s="31"/>
      <c r="GS142" s="31"/>
      <c r="GT142" s="31"/>
      <c r="GU142" s="31"/>
      <c r="GV142" s="31"/>
      <c r="GW142" s="31"/>
      <c r="GX142" s="31"/>
      <c r="GY142" s="31"/>
      <c r="GZ142" s="31"/>
      <c r="HA142" s="31"/>
      <c r="HB142" s="31"/>
      <c r="HC142" s="31"/>
      <c r="HD142" s="31"/>
      <c r="HE142" s="31"/>
      <c r="HF142" s="31"/>
      <c r="HG142" s="31"/>
      <c r="HH142" s="31"/>
    </row>
    <row r="143" spans="1:216" ht="15.75" customHeight="1" x14ac:dyDescent="0.4">
      <c r="A143" s="11" t="s">
        <v>50</v>
      </c>
      <c r="B143" s="46"/>
      <c r="C143" s="24" t="s">
        <v>166</v>
      </c>
      <c r="D143" s="47"/>
      <c r="E143" s="9">
        <f>ALIYAN!V143+BUBUK!T143+GITIK!N143+GLADAG!W143+KARANGBENDO!Z143+KEDALEMAN!S143+LEMAHBANGDEWO!O143+MANGIR!S143+PENGATIGAN!Y143+ROGOJAMPI!AM143</f>
        <v>70</v>
      </c>
      <c r="F143" s="42"/>
      <c r="G143" s="27"/>
      <c r="H143" s="27"/>
      <c r="I143" s="27"/>
      <c r="J143" s="27"/>
      <c r="K143" s="27"/>
      <c r="L143" s="27"/>
      <c r="M143" s="27"/>
      <c r="N143" s="27"/>
      <c r="O143" s="27"/>
      <c r="P143" s="37"/>
      <c r="Q143" s="30"/>
      <c r="R143" s="30"/>
      <c r="S143" s="30"/>
      <c r="T143" s="30"/>
      <c r="U143" s="30"/>
      <c r="V143" s="30"/>
      <c r="W143" s="38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0"/>
      <c r="BM143" s="30"/>
      <c r="BN143" s="30"/>
      <c r="BO143" s="30"/>
      <c r="BP143" s="30"/>
      <c r="BQ143" s="30"/>
      <c r="BR143" s="38"/>
      <c r="BS143" s="30"/>
      <c r="BT143" s="30"/>
      <c r="BU143" s="30"/>
      <c r="BV143" s="30"/>
      <c r="BW143" s="30"/>
      <c r="BX143" s="30"/>
      <c r="BY143" s="30"/>
      <c r="BZ143" s="30"/>
      <c r="CA143" s="38"/>
      <c r="CB143" s="38"/>
      <c r="CC143" s="38"/>
      <c r="CD143" s="38"/>
      <c r="CE143" s="38"/>
      <c r="CF143" s="38"/>
      <c r="CG143" s="38"/>
      <c r="CH143" s="38"/>
      <c r="CI143" s="38"/>
      <c r="CJ143" s="38"/>
      <c r="CK143" s="38"/>
      <c r="CL143" s="38"/>
      <c r="CM143" s="38"/>
      <c r="CN143" s="38"/>
      <c r="CO143" s="38"/>
      <c r="CP143" s="38"/>
      <c r="CQ143" s="38"/>
      <c r="CR143" s="38"/>
      <c r="CS143" s="38"/>
      <c r="CT143" s="38"/>
      <c r="CU143" s="38"/>
      <c r="CV143" s="38"/>
      <c r="CW143" s="38"/>
      <c r="CX143" s="38"/>
      <c r="CY143" s="38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8"/>
      <c r="DL143" s="38"/>
      <c r="DM143" s="38"/>
      <c r="DN143" s="38"/>
      <c r="DO143" s="38"/>
      <c r="DP143" s="38"/>
      <c r="DQ143" s="38"/>
      <c r="DR143" s="38"/>
      <c r="DS143" s="38"/>
      <c r="DT143" s="38"/>
      <c r="DU143" s="38"/>
      <c r="DV143" s="38"/>
      <c r="DW143" s="38"/>
      <c r="DX143" s="38"/>
      <c r="DY143" s="38"/>
      <c r="DZ143" s="38"/>
      <c r="EA143" s="38"/>
      <c r="EB143" s="38"/>
      <c r="EC143" s="38"/>
      <c r="ED143" s="38"/>
      <c r="EE143" s="38"/>
      <c r="EF143" s="38"/>
      <c r="EG143" s="38"/>
      <c r="EH143" s="38"/>
      <c r="EI143" s="38"/>
      <c r="EJ143" s="38"/>
      <c r="EK143" s="38"/>
      <c r="EL143" s="38"/>
      <c r="EM143" s="30"/>
      <c r="EN143" s="30"/>
      <c r="EO143" s="30"/>
      <c r="EP143" s="30"/>
      <c r="EQ143" s="30"/>
      <c r="ER143" s="30"/>
      <c r="ES143" s="30"/>
      <c r="ET143" s="30"/>
      <c r="EU143" s="30"/>
      <c r="EV143" s="30"/>
      <c r="EW143" s="30"/>
      <c r="EX143" s="30"/>
      <c r="EY143" s="38"/>
      <c r="EZ143" s="38"/>
      <c r="FA143" s="38"/>
      <c r="FB143" s="38"/>
      <c r="FC143" s="38"/>
      <c r="FD143" s="38"/>
      <c r="FE143" s="38"/>
      <c r="FF143" s="30"/>
      <c r="FG143" s="30"/>
      <c r="FH143" s="30"/>
      <c r="FI143" s="30"/>
      <c r="FJ143" s="38"/>
      <c r="FK143" s="38"/>
      <c r="FL143" s="38"/>
      <c r="FM143" s="38"/>
      <c r="FN143" s="38"/>
      <c r="FO143" s="38"/>
      <c r="FP143" s="38"/>
      <c r="FQ143" s="38"/>
      <c r="FR143" s="38"/>
      <c r="FS143" s="38"/>
      <c r="FT143" s="38"/>
      <c r="FU143" s="38"/>
      <c r="FV143" s="38"/>
      <c r="FW143" s="38"/>
      <c r="FX143" s="38"/>
      <c r="FY143" s="38"/>
      <c r="FZ143" s="38"/>
      <c r="GA143" s="38"/>
      <c r="GB143" s="38"/>
      <c r="GC143" s="38"/>
      <c r="GD143" s="38"/>
      <c r="GE143" s="38"/>
      <c r="GF143" s="38"/>
      <c r="GG143" s="38"/>
      <c r="GH143" s="38"/>
      <c r="GI143" s="38"/>
      <c r="GJ143" s="38"/>
      <c r="GK143" s="38"/>
      <c r="GL143" s="38"/>
      <c r="GM143" s="38"/>
      <c r="GN143" s="38"/>
      <c r="GO143" s="38"/>
      <c r="GP143" s="38"/>
      <c r="GQ143" s="38"/>
      <c r="GR143" s="38"/>
      <c r="GS143" s="38"/>
      <c r="GT143" s="38"/>
      <c r="GU143" s="38"/>
      <c r="GV143" s="38"/>
      <c r="GW143" s="38"/>
      <c r="GX143" s="38"/>
      <c r="GY143" s="38"/>
      <c r="GZ143" s="38"/>
      <c r="HA143" s="38"/>
      <c r="HB143" s="38"/>
      <c r="HC143" s="38"/>
      <c r="HD143" s="38"/>
      <c r="HE143" s="38"/>
      <c r="HF143" s="38"/>
      <c r="HG143" s="38"/>
      <c r="HH143" s="38"/>
    </row>
    <row r="144" spans="1:216" ht="15.75" customHeight="1" x14ac:dyDescent="0.4">
      <c r="A144" s="7"/>
      <c r="B144" s="46"/>
      <c r="C144" s="24" t="s">
        <v>167</v>
      </c>
      <c r="D144" s="47"/>
      <c r="E144" s="9">
        <f>ALIYAN!V144+BUBUK!T144+GITIK!N144+GLADAG!W144+KARANGBENDO!Z144+KEDALEMAN!S144+LEMAHBANGDEWO!O144+MANGIR!S144+PENGATIGAN!Y144+ROGOJAMPI!AM144</f>
        <v>8</v>
      </c>
      <c r="F144" s="39"/>
      <c r="G144" s="20"/>
      <c r="H144" s="20"/>
      <c r="I144" s="20"/>
      <c r="J144" s="20"/>
      <c r="K144" s="20"/>
      <c r="L144" s="20"/>
      <c r="M144" s="20"/>
      <c r="N144" s="20"/>
      <c r="O144" s="20"/>
      <c r="P144" s="32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  <c r="GC144" s="33"/>
      <c r="GD144" s="33"/>
      <c r="GE144" s="33"/>
      <c r="GF144" s="33"/>
      <c r="GG144" s="33"/>
      <c r="GH144" s="33"/>
      <c r="GI144" s="33"/>
      <c r="GJ144" s="33"/>
      <c r="GK144" s="33"/>
      <c r="GL144" s="33"/>
      <c r="GM144" s="33"/>
      <c r="GN144" s="33"/>
      <c r="GO144" s="33"/>
      <c r="GP144" s="33"/>
      <c r="GQ144" s="33"/>
      <c r="GR144" s="33"/>
      <c r="GS144" s="33"/>
      <c r="GT144" s="33"/>
      <c r="GU144" s="33"/>
      <c r="GV144" s="33"/>
      <c r="GW144" s="33"/>
      <c r="GX144" s="33"/>
      <c r="GY144" s="33"/>
      <c r="GZ144" s="33"/>
      <c r="HA144" s="33"/>
      <c r="HB144" s="33"/>
      <c r="HC144" s="33"/>
      <c r="HD144" s="33"/>
      <c r="HE144" s="33"/>
      <c r="HF144" s="33"/>
      <c r="HG144" s="33"/>
      <c r="HH144" s="33"/>
    </row>
    <row r="145" spans="1:216" ht="15.75" customHeight="1" x14ac:dyDescent="0.4">
      <c r="A145" s="7"/>
      <c r="B145" s="46"/>
      <c r="C145" s="24" t="s">
        <v>168</v>
      </c>
      <c r="D145" s="47"/>
      <c r="E145" s="9">
        <f>ALIYAN!V145+BUBUK!T145+GITIK!N145+GLADAG!W145+KARANGBENDO!Z145+KEDALEMAN!S145+LEMAHBANGDEWO!O145+MANGIR!S145+PENGATIGAN!Y145+ROGOJAMPI!AM145</f>
        <v>0</v>
      </c>
      <c r="F145" s="39"/>
      <c r="G145" s="20"/>
      <c r="H145" s="20"/>
      <c r="I145" s="20"/>
      <c r="J145" s="20"/>
      <c r="K145" s="20"/>
      <c r="L145" s="20"/>
      <c r="M145" s="20"/>
      <c r="N145" s="20"/>
      <c r="O145" s="20"/>
      <c r="P145" s="32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  <c r="GS145" s="33"/>
      <c r="GT145" s="33"/>
      <c r="GU145" s="33"/>
      <c r="GV145" s="33"/>
      <c r="GW145" s="33"/>
      <c r="GX145" s="33"/>
      <c r="GY145" s="33"/>
      <c r="GZ145" s="33"/>
      <c r="HA145" s="33"/>
      <c r="HB145" s="33"/>
      <c r="HC145" s="33"/>
      <c r="HD145" s="33"/>
      <c r="HE145" s="33"/>
      <c r="HF145" s="33"/>
      <c r="HG145" s="33"/>
      <c r="HH145" s="33"/>
    </row>
    <row r="146" spans="1:216" ht="15.75" customHeight="1" x14ac:dyDescent="0.4">
      <c r="A146" s="7"/>
      <c r="B146" s="46"/>
      <c r="C146" s="24" t="s">
        <v>169</v>
      </c>
      <c r="D146" s="47"/>
      <c r="E146" s="9">
        <f>ALIYAN!V146+BUBUK!T146+GITIK!N146+GLADAG!W146+KARANGBENDO!Z146+KEDALEMAN!S146+LEMAHBANGDEWO!O146+MANGIR!S146+PENGATIGAN!Y146+ROGOJAMPI!AM146</f>
        <v>5</v>
      </c>
      <c r="F146" s="39"/>
      <c r="G146" s="20"/>
      <c r="H146" s="20"/>
      <c r="I146" s="20"/>
      <c r="J146" s="20"/>
      <c r="K146" s="20"/>
      <c r="L146" s="20"/>
      <c r="M146" s="20"/>
      <c r="N146" s="20"/>
      <c r="O146" s="20"/>
      <c r="P146" s="32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  <c r="GC146" s="33"/>
      <c r="GD146" s="33"/>
      <c r="GE146" s="33"/>
      <c r="GF146" s="33"/>
      <c r="GG146" s="33"/>
      <c r="GH146" s="33"/>
      <c r="GI146" s="33"/>
      <c r="GJ146" s="33"/>
      <c r="GK146" s="33"/>
      <c r="GL146" s="33"/>
      <c r="GM146" s="33"/>
      <c r="GN146" s="33"/>
      <c r="GO146" s="33"/>
      <c r="GP146" s="33"/>
      <c r="GQ146" s="33"/>
      <c r="GR146" s="33"/>
      <c r="GS146" s="33"/>
      <c r="GT146" s="33"/>
      <c r="GU146" s="33"/>
      <c r="GV146" s="33"/>
      <c r="GW146" s="33"/>
      <c r="GX146" s="33"/>
      <c r="GY146" s="33"/>
      <c r="GZ146" s="33"/>
      <c r="HA146" s="33"/>
      <c r="HB146" s="33"/>
      <c r="HC146" s="33"/>
      <c r="HD146" s="33"/>
      <c r="HE146" s="33"/>
      <c r="HF146" s="33"/>
      <c r="HG146" s="33"/>
      <c r="HH146" s="33"/>
    </row>
    <row r="147" spans="1:216" ht="15.75" customHeight="1" x14ac:dyDescent="0.4">
      <c r="A147" s="7"/>
      <c r="B147" s="46"/>
      <c r="C147" s="24" t="s">
        <v>170</v>
      </c>
      <c r="D147" s="47"/>
      <c r="E147" s="9">
        <f>ALIYAN!V147+BUBUK!T147+GITIK!N147+GLADAG!W147+KARANGBENDO!Z147+KEDALEMAN!S147+LEMAHBANGDEWO!O147+MANGIR!S147+PENGATIGAN!Y147+ROGOJAMPI!AM147</f>
        <v>1</v>
      </c>
      <c r="F147" s="39"/>
      <c r="G147" s="20"/>
      <c r="H147" s="20"/>
      <c r="I147" s="20"/>
      <c r="J147" s="20"/>
      <c r="K147" s="20"/>
      <c r="L147" s="20"/>
      <c r="M147" s="20"/>
      <c r="N147" s="20"/>
      <c r="O147" s="20"/>
      <c r="P147" s="32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  <c r="GS147" s="33"/>
      <c r="GT147" s="33"/>
      <c r="GU147" s="33"/>
      <c r="GV147" s="33"/>
      <c r="GW147" s="33"/>
      <c r="GX147" s="33"/>
      <c r="GY147" s="33"/>
      <c r="GZ147" s="33"/>
      <c r="HA147" s="33"/>
      <c r="HB147" s="33"/>
      <c r="HC147" s="33"/>
      <c r="HD147" s="33"/>
      <c r="HE147" s="33"/>
      <c r="HF147" s="33"/>
      <c r="HG147" s="33"/>
      <c r="HH147" s="33"/>
    </row>
    <row r="148" spans="1:216" ht="15.75" customHeight="1" x14ac:dyDescent="0.4">
      <c r="A148" s="7"/>
      <c r="B148" s="46"/>
      <c r="C148" s="24" t="s">
        <v>171</v>
      </c>
      <c r="D148" s="47"/>
      <c r="E148" s="9">
        <f>ALIYAN!V148+BUBUK!T148+GITIK!N148+GLADAG!W148+KARANGBENDO!Z148+KEDALEMAN!S148+LEMAHBANGDEWO!O148+MANGIR!S148+PENGATIGAN!Y148+ROGOJAMPI!AM148</f>
        <v>4</v>
      </c>
      <c r="F148" s="39"/>
      <c r="G148" s="20"/>
      <c r="H148" s="20"/>
      <c r="I148" s="20"/>
      <c r="J148" s="20"/>
      <c r="K148" s="20"/>
      <c r="L148" s="20"/>
      <c r="M148" s="20"/>
      <c r="N148" s="20"/>
      <c r="O148" s="20"/>
      <c r="P148" s="32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</row>
    <row r="149" spans="1:216" ht="15.75" customHeight="1" x14ac:dyDescent="0.4">
      <c r="A149" s="6" t="s">
        <v>26</v>
      </c>
      <c r="B149" s="53" t="s">
        <v>51</v>
      </c>
      <c r="C149" s="54"/>
      <c r="D149" s="55"/>
      <c r="E149" s="5">
        <f>SUM(E142:E148)</f>
        <v>99</v>
      </c>
      <c r="F149" s="39"/>
      <c r="G149" s="20"/>
      <c r="H149" s="20"/>
      <c r="I149" s="20"/>
      <c r="J149" s="20"/>
      <c r="K149" s="20"/>
      <c r="L149" s="20"/>
      <c r="M149" s="20"/>
      <c r="N149" s="20"/>
      <c r="O149" s="20"/>
      <c r="P149" s="32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  <c r="GS149" s="33"/>
      <c r="GT149" s="33"/>
      <c r="GU149" s="33"/>
      <c r="GV149" s="33"/>
      <c r="GW149" s="33"/>
      <c r="GX149" s="33"/>
      <c r="GY149" s="33"/>
      <c r="GZ149" s="33"/>
      <c r="HA149" s="33"/>
      <c r="HB149" s="33"/>
      <c r="HC149" s="33"/>
      <c r="HD149" s="33"/>
      <c r="HE149" s="33"/>
      <c r="HF149" s="33"/>
      <c r="HG149" s="33"/>
      <c r="HH149" s="33"/>
    </row>
    <row r="150" spans="1:216" ht="15.75" customHeight="1" x14ac:dyDescent="0.4">
      <c r="A150" s="61"/>
      <c r="B150" s="62"/>
      <c r="C150" s="62"/>
      <c r="D150" s="62"/>
      <c r="E150" s="63"/>
      <c r="F150" s="39"/>
      <c r="G150" s="20"/>
      <c r="H150" s="20"/>
      <c r="I150" s="20"/>
      <c r="J150" s="20"/>
      <c r="K150" s="20"/>
      <c r="L150" s="20"/>
      <c r="M150" s="20"/>
      <c r="N150" s="20"/>
      <c r="O150" s="20"/>
      <c r="P150" s="32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3"/>
      <c r="FC150" s="33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3"/>
      <c r="FP150" s="33"/>
      <c r="FQ150" s="33"/>
      <c r="FR150" s="33"/>
      <c r="FS150" s="33"/>
      <c r="FT150" s="33"/>
      <c r="FU150" s="33"/>
      <c r="FV150" s="33"/>
      <c r="FW150" s="33"/>
      <c r="FX150" s="33"/>
      <c r="FY150" s="33"/>
      <c r="FZ150" s="33"/>
      <c r="GA150" s="33"/>
      <c r="GB150" s="33"/>
      <c r="GC150" s="33"/>
      <c r="GD150" s="33"/>
      <c r="GE150" s="33"/>
      <c r="GF150" s="33"/>
      <c r="GG150" s="33"/>
      <c r="GH150" s="33"/>
      <c r="GI150" s="33"/>
      <c r="GJ150" s="33"/>
      <c r="GK150" s="33"/>
      <c r="GL150" s="33"/>
      <c r="GM150" s="33"/>
      <c r="GN150" s="33"/>
      <c r="GO150" s="33"/>
      <c r="GP150" s="33"/>
      <c r="GQ150" s="33"/>
      <c r="GR150" s="33"/>
      <c r="GS150" s="33"/>
      <c r="GT150" s="33"/>
      <c r="GU150" s="33"/>
      <c r="GV150" s="33"/>
      <c r="GW150" s="33"/>
      <c r="GX150" s="33"/>
      <c r="GY150" s="33"/>
      <c r="GZ150" s="33"/>
      <c r="HA150" s="33"/>
      <c r="HB150" s="33"/>
      <c r="HC150" s="33"/>
      <c r="HD150" s="33"/>
      <c r="HE150" s="33"/>
      <c r="HF150" s="33"/>
      <c r="HG150" s="33"/>
      <c r="HH150" s="33"/>
    </row>
    <row r="151" spans="1:216" ht="15.75" customHeight="1" x14ac:dyDescent="0.4">
      <c r="A151" s="11" t="s">
        <v>48</v>
      </c>
      <c r="B151" s="17" t="s">
        <v>73</v>
      </c>
      <c r="C151" s="59" t="s">
        <v>74</v>
      </c>
      <c r="D151" s="60"/>
      <c r="E151" s="9">
        <f>ALIYAN!V151+BUBUK!T151+GITIK!N151+GLADAG!W151+KARANGBENDO!Z151+KEDALEMAN!S151+LEMAHBANGDEWO!O151+MANGIR!S151+PENGATIGAN!Y151+ROGOJAMPI!AM151</f>
        <v>904</v>
      </c>
      <c r="F151" s="40"/>
      <c r="G151" s="1"/>
      <c r="H151" s="1"/>
      <c r="I151" s="1"/>
      <c r="J151" s="1"/>
      <c r="K151" s="1"/>
      <c r="L151" s="1"/>
      <c r="M151" s="1"/>
      <c r="N151" s="1"/>
      <c r="O151" s="1"/>
      <c r="P151" s="34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1"/>
      <c r="EH151" s="31"/>
      <c r="EI151" s="31"/>
      <c r="EJ151" s="31"/>
      <c r="EK151" s="31"/>
      <c r="EL151" s="31"/>
      <c r="EM151" s="31"/>
      <c r="EN151" s="31"/>
      <c r="EO151" s="31"/>
      <c r="EP151" s="31"/>
      <c r="EQ151" s="31"/>
      <c r="ER151" s="31"/>
      <c r="ES151" s="31"/>
      <c r="ET151" s="31"/>
      <c r="EU151" s="31"/>
      <c r="EV151" s="31"/>
      <c r="EW151" s="31"/>
      <c r="EX151" s="31"/>
      <c r="EY151" s="31"/>
      <c r="EZ151" s="31"/>
      <c r="FA151" s="31"/>
      <c r="FB151" s="31"/>
      <c r="FC151" s="31"/>
      <c r="FD151" s="31"/>
      <c r="FE151" s="31"/>
      <c r="FF151" s="31"/>
      <c r="FG151" s="31"/>
      <c r="FH151" s="31"/>
      <c r="FI151" s="31"/>
      <c r="FJ151" s="31"/>
      <c r="FK151" s="31"/>
      <c r="FL151" s="31"/>
      <c r="FM151" s="31"/>
      <c r="FN151" s="31"/>
      <c r="FO151" s="31"/>
      <c r="FP151" s="31"/>
      <c r="FQ151" s="31"/>
      <c r="FR151" s="31"/>
      <c r="FS151" s="31"/>
      <c r="FT151" s="31"/>
      <c r="FU151" s="31"/>
      <c r="FV151" s="31"/>
      <c r="FW151" s="31"/>
      <c r="FX151" s="31"/>
      <c r="FY151" s="31"/>
      <c r="FZ151" s="31"/>
      <c r="GA151" s="31"/>
      <c r="GB151" s="31"/>
      <c r="GC151" s="31"/>
      <c r="GD151" s="31"/>
      <c r="GE151" s="31"/>
      <c r="GF151" s="31"/>
      <c r="GG151" s="31"/>
      <c r="GH151" s="31"/>
      <c r="GI151" s="31"/>
      <c r="GJ151" s="31"/>
      <c r="GK151" s="31"/>
      <c r="GL151" s="31"/>
      <c r="GM151" s="31"/>
      <c r="GN151" s="31"/>
      <c r="GO151" s="31"/>
      <c r="GP151" s="31"/>
      <c r="GQ151" s="31"/>
      <c r="GR151" s="31"/>
      <c r="GS151" s="31"/>
      <c r="GT151" s="31"/>
      <c r="GU151" s="31"/>
      <c r="GV151" s="31"/>
      <c r="GW151" s="31"/>
      <c r="GX151" s="31"/>
      <c r="GY151" s="31"/>
      <c r="GZ151" s="31"/>
      <c r="HA151" s="31"/>
      <c r="HB151" s="31"/>
      <c r="HC151" s="31"/>
      <c r="HD151" s="31"/>
      <c r="HE151" s="31"/>
      <c r="HF151" s="31"/>
      <c r="HG151" s="31"/>
      <c r="HH151" s="31"/>
    </row>
    <row r="152" spans="1:216" ht="15.75" customHeight="1" x14ac:dyDescent="0.4">
      <c r="A152" s="11" t="s">
        <v>50</v>
      </c>
      <c r="B152" s="46"/>
      <c r="C152" s="24" t="s">
        <v>172</v>
      </c>
      <c r="D152" s="47"/>
      <c r="E152" s="9">
        <f>ALIYAN!V152+BUBUK!T152+GITIK!N152+GLADAG!W152+KARANGBENDO!Z152+KEDALEMAN!S152+LEMAHBANGDEWO!O152+MANGIR!S152+PENGATIGAN!Y152+ROGOJAMPI!AM152</f>
        <v>368</v>
      </c>
      <c r="F152" s="42"/>
      <c r="G152" s="27"/>
      <c r="H152" s="27"/>
      <c r="I152" s="27"/>
      <c r="J152" s="27"/>
      <c r="K152" s="27"/>
      <c r="L152" s="27"/>
      <c r="M152" s="27"/>
      <c r="N152" s="27"/>
      <c r="O152" s="27"/>
      <c r="P152" s="37"/>
      <c r="Q152" s="30"/>
      <c r="R152" s="30"/>
      <c r="S152" s="30"/>
      <c r="T152" s="30"/>
      <c r="U152" s="30"/>
      <c r="V152" s="30"/>
      <c r="W152" s="38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0"/>
      <c r="BM152" s="30"/>
      <c r="BN152" s="30"/>
      <c r="BO152" s="30"/>
      <c r="BP152" s="30"/>
      <c r="BQ152" s="30"/>
      <c r="BR152" s="38"/>
      <c r="BS152" s="30"/>
      <c r="BT152" s="30"/>
      <c r="BU152" s="30"/>
      <c r="BV152" s="30"/>
      <c r="BW152" s="30"/>
      <c r="BX152" s="30"/>
      <c r="BY152" s="30"/>
      <c r="BZ152" s="30"/>
      <c r="CA152" s="38"/>
      <c r="CB152" s="38"/>
      <c r="CC152" s="38"/>
      <c r="CD152" s="38"/>
      <c r="CE152" s="38"/>
      <c r="CF152" s="38"/>
      <c r="CG152" s="38"/>
      <c r="CH152" s="38"/>
      <c r="CI152" s="38"/>
      <c r="CJ152" s="38"/>
      <c r="CK152" s="38"/>
      <c r="CL152" s="38"/>
      <c r="CM152" s="38"/>
      <c r="CN152" s="38"/>
      <c r="CO152" s="38"/>
      <c r="CP152" s="38"/>
      <c r="CQ152" s="38"/>
      <c r="CR152" s="38"/>
      <c r="CS152" s="38"/>
      <c r="CT152" s="38"/>
      <c r="CU152" s="38"/>
      <c r="CV152" s="38"/>
      <c r="CW152" s="38"/>
      <c r="CX152" s="38"/>
      <c r="CY152" s="38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8"/>
      <c r="DL152" s="38"/>
      <c r="DM152" s="38"/>
      <c r="DN152" s="38"/>
      <c r="DO152" s="38"/>
      <c r="DP152" s="38"/>
      <c r="DQ152" s="38"/>
      <c r="DR152" s="38"/>
      <c r="DS152" s="38"/>
      <c r="DT152" s="38"/>
      <c r="DU152" s="38"/>
      <c r="DV152" s="38"/>
      <c r="DW152" s="38"/>
      <c r="DX152" s="38"/>
      <c r="DY152" s="38"/>
      <c r="DZ152" s="38"/>
      <c r="EA152" s="38"/>
      <c r="EB152" s="38"/>
      <c r="EC152" s="38"/>
      <c r="ED152" s="38"/>
      <c r="EE152" s="38"/>
      <c r="EF152" s="38"/>
      <c r="EG152" s="38"/>
      <c r="EH152" s="38"/>
      <c r="EI152" s="38"/>
      <c r="EJ152" s="38"/>
      <c r="EK152" s="38"/>
      <c r="EL152" s="38"/>
      <c r="EM152" s="30"/>
      <c r="EN152" s="30"/>
      <c r="EO152" s="30"/>
      <c r="EP152" s="30"/>
      <c r="EQ152" s="30"/>
      <c r="ER152" s="30"/>
      <c r="ES152" s="30"/>
      <c r="ET152" s="30"/>
      <c r="EU152" s="30"/>
      <c r="EV152" s="30"/>
      <c r="EW152" s="30"/>
      <c r="EX152" s="30"/>
      <c r="EY152" s="38"/>
      <c r="EZ152" s="38"/>
      <c r="FA152" s="38"/>
      <c r="FB152" s="38"/>
      <c r="FC152" s="38"/>
      <c r="FD152" s="38"/>
      <c r="FE152" s="38"/>
      <c r="FF152" s="30"/>
      <c r="FG152" s="30"/>
      <c r="FH152" s="30"/>
      <c r="FI152" s="30"/>
      <c r="FJ152" s="38"/>
      <c r="FK152" s="38"/>
      <c r="FL152" s="38"/>
      <c r="FM152" s="38"/>
      <c r="FN152" s="38"/>
      <c r="FO152" s="38"/>
      <c r="FP152" s="38"/>
      <c r="FQ152" s="38"/>
      <c r="FR152" s="38"/>
      <c r="FS152" s="38"/>
      <c r="FT152" s="38"/>
      <c r="FU152" s="38"/>
      <c r="FV152" s="38"/>
      <c r="FW152" s="38"/>
      <c r="FX152" s="38"/>
      <c r="FY152" s="38"/>
      <c r="FZ152" s="38"/>
      <c r="GA152" s="38"/>
      <c r="GB152" s="38"/>
      <c r="GC152" s="38"/>
      <c r="GD152" s="38"/>
      <c r="GE152" s="38"/>
      <c r="GF152" s="38"/>
      <c r="GG152" s="38"/>
      <c r="GH152" s="38"/>
      <c r="GI152" s="38"/>
      <c r="GJ152" s="38"/>
      <c r="GK152" s="38"/>
      <c r="GL152" s="38"/>
      <c r="GM152" s="38"/>
      <c r="GN152" s="38"/>
      <c r="GO152" s="38"/>
      <c r="GP152" s="38"/>
      <c r="GQ152" s="38"/>
      <c r="GR152" s="38"/>
      <c r="GS152" s="38"/>
      <c r="GT152" s="38"/>
      <c r="GU152" s="38"/>
      <c r="GV152" s="38"/>
      <c r="GW152" s="38"/>
      <c r="GX152" s="38"/>
      <c r="GY152" s="38"/>
      <c r="GZ152" s="38"/>
      <c r="HA152" s="38"/>
      <c r="HB152" s="38"/>
      <c r="HC152" s="38"/>
      <c r="HD152" s="38"/>
      <c r="HE152" s="38"/>
      <c r="HF152" s="38"/>
      <c r="HG152" s="38"/>
      <c r="HH152" s="38"/>
    </row>
    <row r="153" spans="1:216" ht="15.75" customHeight="1" x14ac:dyDescent="0.4">
      <c r="A153" s="7"/>
      <c r="B153" s="46"/>
      <c r="C153" s="24" t="s">
        <v>173</v>
      </c>
      <c r="D153" s="47"/>
      <c r="E153" s="9">
        <f>ALIYAN!V153+BUBUK!T153+GITIK!N153+GLADAG!W153+KARANGBENDO!Z153+KEDALEMAN!S153+LEMAHBANGDEWO!O153+MANGIR!S153+PENGATIGAN!Y153+ROGOJAMPI!AM153</f>
        <v>7549</v>
      </c>
      <c r="F153" s="39"/>
      <c r="G153" s="20"/>
      <c r="H153" s="20"/>
      <c r="I153" s="20"/>
      <c r="J153" s="20"/>
      <c r="K153" s="20"/>
      <c r="L153" s="20"/>
      <c r="M153" s="20"/>
      <c r="N153" s="20"/>
      <c r="O153" s="20"/>
      <c r="P153" s="32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  <c r="CZ153" s="33"/>
      <c r="DA153" s="33"/>
      <c r="DB153" s="33"/>
      <c r="DC153" s="33"/>
      <c r="DD153" s="33"/>
      <c r="DE153" s="33"/>
      <c r="DF153" s="33"/>
      <c r="DG153" s="33"/>
      <c r="DH153" s="33"/>
      <c r="DI153" s="33"/>
      <c r="DJ153" s="33"/>
      <c r="DK153" s="33"/>
      <c r="DL153" s="33"/>
      <c r="DM153" s="33"/>
      <c r="DN153" s="33"/>
      <c r="DO153" s="33"/>
      <c r="DP153" s="33"/>
      <c r="DQ153" s="33"/>
      <c r="DR153" s="33"/>
      <c r="DS153" s="33"/>
      <c r="DT153" s="33"/>
      <c r="DU153" s="33"/>
      <c r="DV153" s="33"/>
      <c r="DW153" s="33"/>
      <c r="DX153" s="33"/>
      <c r="DY153" s="33"/>
      <c r="DZ153" s="33"/>
      <c r="EA153" s="33"/>
      <c r="EB153" s="33"/>
      <c r="EC153" s="33"/>
      <c r="ED153" s="33"/>
      <c r="EE153" s="33"/>
      <c r="EF153" s="33"/>
      <c r="EG153" s="33"/>
      <c r="EH153" s="33"/>
      <c r="EI153" s="33"/>
      <c r="EJ153" s="33"/>
      <c r="EK153" s="33"/>
      <c r="EL153" s="33"/>
      <c r="EM153" s="33"/>
      <c r="EN153" s="33"/>
      <c r="EO153" s="33"/>
      <c r="EP153" s="33"/>
      <c r="EQ153" s="33"/>
      <c r="ER153" s="33"/>
      <c r="ES153" s="33"/>
      <c r="ET153" s="33"/>
      <c r="EU153" s="33"/>
      <c r="EV153" s="33"/>
      <c r="EW153" s="33"/>
      <c r="EX153" s="33"/>
      <c r="EY153" s="33"/>
      <c r="EZ153" s="33"/>
      <c r="FA153" s="33"/>
      <c r="FB153" s="33"/>
      <c r="FC153" s="33"/>
      <c r="FD153" s="33"/>
      <c r="FE153" s="33"/>
      <c r="FF153" s="33"/>
      <c r="FG153" s="33"/>
      <c r="FH153" s="33"/>
      <c r="FI153" s="33"/>
      <c r="FJ153" s="33"/>
      <c r="FK153" s="33"/>
      <c r="FL153" s="33"/>
      <c r="FM153" s="33"/>
      <c r="FN153" s="33"/>
      <c r="FO153" s="33"/>
      <c r="FP153" s="33"/>
      <c r="FQ153" s="33"/>
      <c r="FR153" s="33"/>
      <c r="FS153" s="33"/>
      <c r="FT153" s="33"/>
      <c r="FU153" s="33"/>
      <c r="FV153" s="33"/>
      <c r="FW153" s="33"/>
      <c r="FX153" s="33"/>
      <c r="FY153" s="33"/>
      <c r="FZ153" s="33"/>
      <c r="GA153" s="33"/>
      <c r="GB153" s="33"/>
      <c r="GC153" s="33"/>
      <c r="GD153" s="33"/>
      <c r="GE153" s="33"/>
      <c r="GF153" s="33"/>
      <c r="GG153" s="33"/>
      <c r="GH153" s="33"/>
      <c r="GI153" s="33"/>
      <c r="GJ153" s="33"/>
      <c r="GK153" s="33"/>
      <c r="GL153" s="33"/>
      <c r="GM153" s="33"/>
      <c r="GN153" s="33"/>
      <c r="GO153" s="33"/>
      <c r="GP153" s="33"/>
      <c r="GQ153" s="33"/>
      <c r="GR153" s="33"/>
      <c r="GS153" s="33"/>
      <c r="GT153" s="33"/>
      <c r="GU153" s="33"/>
      <c r="GV153" s="33"/>
      <c r="GW153" s="33"/>
      <c r="GX153" s="33"/>
      <c r="GY153" s="33"/>
      <c r="GZ153" s="33"/>
      <c r="HA153" s="33"/>
      <c r="HB153" s="33"/>
      <c r="HC153" s="33"/>
      <c r="HD153" s="33"/>
      <c r="HE153" s="33"/>
      <c r="HF153" s="33"/>
      <c r="HG153" s="33"/>
      <c r="HH153" s="33"/>
    </row>
    <row r="154" spans="1:216" ht="15.75" customHeight="1" x14ac:dyDescent="0.4">
      <c r="A154" s="7"/>
      <c r="B154" s="46"/>
      <c r="C154" s="24" t="s">
        <v>174</v>
      </c>
      <c r="D154" s="47"/>
      <c r="E154" s="9">
        <f>ALIYAN!V154+BUBUK!T154+GITIK!N154+GLADAG!W154+KARANGBENDO!Z154+KEDALEMAN!S154+LEMAHBANGDEWO!O154+MANGIR!S154+PENGATIGAN!Y154+ROGOJAMPI!AM154</f>
        <v>41</v>
      </c>
      <c r="F154" s="39"/>
      <c r="G154" s="20"/>
      <c r="H154" s="20"/>
      <c r="I154" s="20"/>
      <c r="J154" s="20"/>
      <c r="K154" s="20"/>
      <c r="L154" s="20"/>
      <c r="M154" s="20"/>
      <c r="N154" s="20"/>
      <c r="O154" s="20"/>
      <c r="P154" s="32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  <c r="GB154" s="33"/>
      <c r="GC154" s="33"/>
      <c r="GD154" s="33"/>
      <c r="GE154" s="33"/>
      <c r="GF154" s="33"/>
      <c r="GG154" s="33"/>
      <c r="GH154" s="33"/>
      <c r="GI154" s="33"/>
      <c r="GJ154" s="33"/>
      <c r="GK154" s="33"/>
      <c r="GL154" s="33"/>
      <c r="GM154" s="33"/>
      <c r="GN154" s="33"/>
      <c r="GO154" s="33"/>
      <c r="GP154" s="33"/>
      <c r="GQ154" s="33"/>
      <c r="GR154" s="33"/>
      <c r="GS154" s="33"/>
      <c r="GT154" s="33"/>
      <c r="GU154" s="33"/>
      <c r="GV154" s="33"/>
      <c r="GW154" s="33"/>
      <c r="GX154" s="33"/>
      <c r="GY154" s="33"/>
      <c r="GZ154" s="33"/>
      <c r="HA154" s="33"/>
      <c r="HB154" s="33"/>
      <c r="HC154" s="33"/>
      <c r="HD154" s="33"/>
      <c r="HE154" s="33"/>
      <c r="HF154" s="33"/>
      <c r="HG154" s="33"/>
      <c r="HH154" s="33"/>
    </row>
    <row r="155" spans="1:216" ht="15.75" customHeight="1" x14ac:dyDescent="0.4">
      <c r="A155" s="7"/>
      <c r="B155" s="46"/>
      <c r="C155" s="24" t="s">
        <v>175</v>
      </c>
      <c r="D155" s="47"/>
      <c r="E155" s="9">
        <f>ALIYAN!V155+BUBUK!T155+GITIK!N155+GLADAG!W155+KARANGBENDO!Z155+KEDALEMAN!S155+LEMAHBANGDEWO!O155+MANGIR!S155+PENGATIGAN!Y155+ROGOJAMPI!AM155</f>
        <v>39</v>
      </c>
      <c r="F155" s="39"/>
      <c r="G155" s="20"/>
      <c r="H155" s="20"/>
      <c r="I155" s="20"/>
      <c r="J155" s="20"/>
      <c r="K155" s="20"/>
      <c r="L155" s="20"/>
      <c r="M155" s="20"/>
      <c r="N155" s="20"/>
      <c r="O155" s="20"/>
      <c r="P155" s="32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</row>
    <row r="156" spans="1:216" ht="15.75" customHeight="1" x14ac:dyDescent="0.4">
      <c r="A156" s="7"/>
      <c r="B156" s="46"/>
      <c r="C156" s="24" t="s">
        <v>176</v>
      </c>
      <c r="D156" s="47"/>
      <c r="E156" s="9">
        <f>ALIYAN!V156+BUBUK!T156+GITIK!N156+GLADAG!W156+KARANGBENDO!Z156+KEDALEMAN!S156+LEMAHBANGDEWO!O156+MANGIR!S156+PENGATIGAN!Y156+ROGOJAMPI!AM156</f>
        <v>8</v>
      </c>
      <c r="F156" s="39"/>
      <c r="G156" s="20"/>
      <c r="H156" s="20"/>
      <c r="I156" s="20"/>
      <c r="J156" s="20"/>
      <c r="K156" s="20"/>
      <c r="L156" s="20"/>
      <c r="M156" s="20"/>
      <c r="N156" s="20"/>
      <c r="O156" s="20"/>
      <c r="P156" s="32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</row>
    <row r="157" spans="1:216" ht="15.75" customHeight="1" x14ac:dyDescent="0.4">
      <c r="A157" s="7"/>
      <c r="B157" s="46"/>
      <c r="C157" s="24" t="s">
        <v>177</v>
      </c>
      <c r="D157" s="47"/>
      <c r="E157" s="9">
        <f>ALIYAN!V157+BUBUK!T157+GITIK!N157+GLADAG!W157+KARANGBENDO!Z157+KEDALEMAN!S157+LEMAHBANGDEWO!O157+MANGIR!S157+PENGATIGAN!Y157+ROGOJAMPI!AM157</f>
        <v>203</v>
      </c>
      <c r="F157" s="39"/>
      <c r="G157" s="20"/>
      <c r="H157" s="20"/>
      <c r="I157" s="20"/>
      <c r="J157" s="20"/>
      <c r="K157" s="20"/>
      <c r="L157" s="20"/>
      <c r="M157" s="20"/>
      <c r="N157" s="20"/>
      <c r="O157" s="20"/>
      <c r="P157" s="32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</row>
    <row r="158" spans="1:216" ht="15.75" customHeight="1" x14ac:dyDescent="0.4">
      <c r="A158" s="6" t="s">
        <v>26</v>
      </c>
      <c r="B158" s="53" t="s">
        <v>51</v>
      </c>
      <c r="C158" s="54"/>
      <c r="D158" s="55"/>
      <c r="E158" s="5">
        <f>SUM(E151:E157)</f>
        <v>9112</v>
      </c>
      <c r="F158" s="39"/>
      <c r="G158" s="20"/>
      <c r="H158" s="20"/>
      <c r="I158" s="20"/>
      <c r="J158" s="20"/>
      <c r="K158" s="20"/>
      <c r="L158" s="20"/>
      <c r="M158" s="20"/>
      <c r="N158" s="20"/>
      <c r="O158" s="20"/>
      <c r="P158" s="32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  <c r="GC158" s="33"/>
      <c r="GD158" s="33"/>
      <c r="GE158" s="33"/>
      <c r="GF158" s="33"/>
      <c r="GG158" s="33"/>
      <c r="GH158" s="33"/>
      <c r="GI158" s="33"/>
      <c r="GJ158" s="33"/>
      <c r="GK158" s="33"/>
      <c r="GL158" s="33"/>
      <c r="GM158" s="33"/>
      <c r="GN158" s="33"/>
      <c r="GO158" s="33"/>
      <c r="GP158" s="33"/>
      <c r="GQ158" s="33"/>
      <c r="GR158" s="33"/>
      <c r="GS158" s="33"/>
      <c r="GT158" s="33"/>
      <c r="GU158" s="33"/>
      <c r="GV158" s="33"/>
      <c r="GW158" s="33"/>
      <c r="GX158" s="33"/>
      <c r="GY158" s="33"/>
      <c r="GZ158" s="33"/>
      <c r="HA158" s="33"/>
      <c r="HB158" s="33"/>
      <c r="HC158" s="33"/>
      <c r="HD158" s="33"/>
      <c r="HE158" s="33"/>
      <c r="HF158" s="33"/>
      <c r="HG158" s="33"/>
      <c r="HH158" s="33"/>
    </row>
    <row r="159" spans="1:216" ht="15.75" customHeight="1" x14ac:dyDescent="0.4">
      <c r="A159" s="61"/>
      <c r="B159" s="62"/>
      <c r="C159" s="62"/>
      <c r="D159" s="62"/>
      <c r="E159" s="63"/>
      <c r="F159" s="39"/>
      <c r="G159" s="20"/>
      <c r="H159" s="20"/>
      <c r="I159" s="20"/>
      <c r="J159" s="20"/>
      <c r="K159" s="20"/>
      <c r="L159" s="20"/>
      <c r="M159" s="20"/>
      <c r="N159" s="20"/>
      <c r="O159" s="20"/>
      <c r="P159" s="32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  <c r="GS159" s="33"/>
      <c r="GT159" s="33"/>
      <c r="GU159" s="33"/>
      <c r="GV159" s="33"/>
      <c r="GW159" s="33"/>
      <c r="GX159" s="33"/>
      <c r="GY159" s="33"/>
      <c r="GZ159" s="33"/>
      <c r="HA159" s="33"/>
      <c r="HB159" s="33"/>
      <c r="HC159" s="33"/>
      <c r="HD159" s="33"/>
      <c r="HE159" s="33"/>
      <c r="HF159" s="33"/>
      <c r="HG159" s="33"/>
      <c r="HH159" s="33"/>
    </row>
    <row r="160" spans="1:216" ht="15.75" customHeight="1" x14ac:dyDescent="0.4">
      <c r="A160" s="11" t="s">
        <v>48</v>
      </c>
      <c r="B160" s="17" t="s">
        <v>75</v>
      </c>
      <c r="C160" s="59" t="s">
        <v>76</v>
      </c>
      <c r="D160" s="60"/>
      <c r="E160" s="9">
        <f>ALIYAN!V160+BUBUK!T160+GITIK!N160+GLADAG!W160+KARANGBENDO!Z160+KEDALEMAN!S160+LEMAHBANGDEWO!O160+MANGIR!S160+PENGATIGAN!Y160+ROGOJAMPI!AM160</f>
        <v>150</v>
      </c>
      <c r="F160" s="40"/>
      <c r="G160" s="1"/>
      <c r="H160" s="1"/>
      <c r="I160" s="1"/>
      <c r="J160" s="1"/>
      <c r="K160" s="1"/>
      <c r="L160" s="1"/>
      <c r="M160" s="1"/>
      <c r="N160" s="1"/>
      <c r="O160" s="1"/>
      <c r="P160" s="34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  <c r="FH160" s="31"/>
      <c r="FI160" s="31"/>
      <c r="FJ160" s="31"/>
      <c r="FK160" s="31"/>
      <c r="FL160" s="31"/>
      <c r="FM160" s="31"/>
      <c r="FN160" s="31"/>
      <c r="FO160" s="31"/>
      <c r="FP160" s="31"/>
      <c r="FQ160" s="31"/>
      <c r="FR160" s="31"/>
      <c r="FS160" s="31"/>
      <c r="FT160" s="31"/>
      <c r="FU160" s="31"/>
      <c r="FV160" s="31"/>
      <c r="FW160" s="31"/>
      <c r="FX160" s="31"/>
      <c r="FY160" s="31"/>
      <c r="FZ160" s="31"/>
      <c r="GA160" s="31"/>
      <c r="GB160" s="31"/>
      <c r="GC160" s="31"/>
      <c r="GD160" s="31"/>
      <c r="GE160" s="31"/>
      <c r="GF160" s="31"/>
      <c r="GG160" s="31"/>
      <c r="GH160" s="31"/>
      <c r="GI160" s="31"/>
      <c r="GJ160" s="31"/>
      <c r="GK160" s="31"/>
      <c r="GL160" s="31"/>
      <c r="GM160" s="31"/>
      <c r="GN160" s="31"/>
      <c r="GO160" s="31"/>
      <c r="GP160" s="31"/>
      <c r="GQ160" s="31"/>
      <c r="GR160" s="31"/>
      <c r="GS160" s="31"/>
      <c r="GT160" s="31"/>
      <c r="GU160" s="31"/>
      <c r="GV160" s="31"/>
      <c r="GW160" s="31"/>
      <c r="GX160" s="31"/>
      <c r="GY160" s="31"/>
      <c r="GZ160" s="31"/>
      <c r="HA160" s="31"/>
      <c r="HB160" s="31"/>
      <c r="HC160" s="31"/>
      <c r="HD160" s="31"/>
      <c r="HE160" s="31"/>
      <c r="HF160" s="31"/>
      <c r="HG160" s="31"/>
      <c r="HH160" s="31"/>
    </row>
    <row r="161" spans="1:216" ht="15.75" customHeight="1" x14ac:dyDescent="0.4">
      <c r="A161" s="11" t="s">
        <v>50</v>
      </c>
      <c r="B161" s="46"/>
      <c r="C161" s="24" t="s">
        <v>178</v>
      </c>
      <c r="D161" s="47"/>
      <c r="E161" s="9">
        <f>ALIYAN!V161+BUBUK!T161+GITIK!N161+GLADAG!W161+KARANGBENDO!Z161+KEDALEMAN!S161+LEMAHBANGDEWO!O161+MANGIR!S161+PENGATIGAN!Y161+ROGOJAMPI!AM161</f>
        <v>210</v>
      </c>
      <c r="F161" s="42"/>
      <c r="G161" s="27"/>
      <c r="H161" s="27"/>
      <c r="I161" s="27"/>
      <c r="J161" s="27"/>
      <c r="K161" s="27"/>
      <c r="L161" s="27"/>
      <c r="M161" s="27"/>
      <c r="N161" s="27"/>
      <c r="O161" s="27"/>
      <c r="P161" s="37"/>
      <c r="Q161" s="30"/>
      <c r="R161" s="30"/>
      <c r="S161" s="30"/>
      <c r="T161" s="30"/>
      <c r="U161" s="30"/>
      <c r="V161" s="30"/>
      <c r="W161" s="38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0"/>
      <c r="BM161" s="30"/>
      <c r="BN161" s="30"/>
      <c r="BO161" s="30"/>
      <c r="BP161" s="30"/>
      <c r="BQ161" s="30"/>
      <c r="BR161" s="38"/>
      <c r="BS161" s="30"/>
      <c r="BT161" s="30"/>
      <c r="BU161" s="30"/>
      <c r="BV161" s="30"/>
      <c r="BW161" s="30"/>
      <c r="BX161" s="30"/>
      <c r="BY161" s="30"/>
      <c r="BZ161" s="30"/>
      <c r="CA161" s="38"/>
      <c r="CB161" s="38"/>
      <c r="CC161" s="38"/>
      <c r="CD161" s="38"/>
      <c r="CE161" s="38"/>
      <c r="CF161" s="38"/>
      <c r="CG161" s="38"/>
      <c r="CH161" s="38"/>
      <c r="CI161" s="38"/>
      <c r="CJ161" s="38"/>
      <c r="CK161" s="38"/>
      <c r="CL161" s="38"/>
      <c r="CM161" s="38"/>
      <c r="CN161" s="38"/>
      <c r="CO161" s="38"/>
      <c r="CP161" s="38"/>
      <c r="CQ161" s="38"/>
      <c r="CR161" s="38"/>
      <c r="CS161" s="38"/>
      <c r="CT161" s="38"/>
      <c r="CU161" s="38"/>
      <c r="CV161" s="38"/>
      <c r="CW161" s="38"/>
      <c r="CX161" s="38"/>
      <c r="CY161" s="38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8"/>
      <c r="DL161" s="38"/>
      <c r="DM161" s="38"/>
      <c r="DN161" s="38"/>
      <c r="DO161" s="38"/>
      <c r="DP161" s="38"/>
      <c r="DQ161" s="38"/>
      <c r="DR161" s="38"/>
      <c r="DS161" s="38"/>
      <c r="DT161" s="38"/>
      <c r="DU161" s="38"/>
      <c r="DV161" s="38"/>
      <c r="DW161" s="38"/>
      <c r="DX161" s="38"/>
      <c r="DY161" s="38"/>
      <c r="DZ161" s="38"/>
      <c r="EA161" s="38"/>
      <c r="EB161" s="38"/>
      <c r="EC161" s="38"/>
      <c r="ED161" s="38"/>
      <c r="EE161" s="38"/>
      <c r="EF161" s="38"/>
      <c r="EG161" s="38"/>
      <c r="EH161" s="38"/>
      <c r="EI161" s="38"/>
      <c r="EJ161" s="38"/>
      <c r="EK161" s="38"/>
      <c r="EL161" s="38"/>
      <c r="EM161" s="30"/>
      <c r="EN161" s="30"/>
      <c r="EO161" s="30"/>
      <c r="EP161" s="30"/>
      <c r="EQ161" s="30"/>
      <c r="ER161" s="30"/>
      <c r="ES161" s="30"/>
      <c r="ET161" s="30"/>
      <c r="EU161" s="30"/>
      <c r="EV161" s="30"/>
      <c r="EW161" s="30"/>
      <c r="EX161" s="30"/>
      <c r="EY161" s="38"/>
      <c r="EZ161" s="38"/>
      <c r="FA161" s="38"/>
      <c r="FB161" s="38"/>
      <c r="FC161" s="38"/>
      <c r="FD161" s="38"/>
      <c r="FE161" s="38"/>
      <c r="FF161" s="30"/>
      <c r="FG161" s="30"/>
      <c r="FH161" s="30"/>
      <c r="FI161" s="30"/>
      <c r="FJ161" s="38"/>
      <c r="FK161" s="38"/>
      <c r="FL161" s="38"/>
      <c r="FM161" s="38"/>
      <c r="FN161" s="38"/>
      <c r="FO161" s="38"/>
      <c r="FP161" s="38"/>
      <c r="FQ161" s="38"/>
      <c r="FR161" s="38"/>
      <c r="FS161" s="38"/>
      <c r="FT161" s="38"/>
      <c r="FU161" s="38"/>
      <c r="FV161" s="38"/>
      <c r="FW161" s="38"/>
      <c r="FX161" s="38"/>
      <c r="FY161" s="38"/>
      <c r="FZ161" s="38"/>
      <c r="GA161" s="38"/>
      <c r="GB161" s="38"/>
      <c r="GC161" s="38"/>
      <c r="GD161" s="38"/>
      <c r="GE161" s="38"/>
      <c r="GF161" s="38"/>
      <c r="GG161" s="38"/>
      <c r="GH161" s="38"/>
      <c r="GI161" s="38"/>
      <c r="GJ161" s="38"/>
      <c r="GK161" s="38"/>
      <c r="GL161" s="38"/>
      <c r="GM161" s="38"/>
      <c r="GN161" s="38"/>
      <c r="GO161" s="38"/>
      <c r="GP161" s="38"/>
      <c r="GQ161" s="38"/>
      <c r="GR161" s="38"/>
      <c r="GS161" s="38"/>
      <c r="GT161" s="38"/>
      <c r="GU161" s="38"/>
      <c r="GV161" s="38"/>
      <c r="GW161" s="38"/>
      <c r="GX161" s="38"/>
      <c r="GY161" s="38"/>
      <c r="GZ161" s="38"/>
      <c r="HA161" s="38"/>
      <c r="HB161" s="38"/>
      <c r="HC161" s="38"/>
      <c r="HD161" s="38"/>
      <c r="HE161" s="38"/>
      <c r="HF161" s="38"/>
      <c r="HG161" s="38"/>
      <c r="HH161" s="38"/>
    </row>
    <row r="162" spans="1:216" ht="15.75" customHeight="1" x14ac:dyDescent="0.4">
      <c r="A162" s="7"/>
      <c r="B162" s="46"/>
      <c r="C162" s="24" t="s">
        <v>179</v>
      </c>
      <c r="D162" s="47"/>
      <c r="E162" s="9">
        <f>ALIYAN!V162+BUBUK!T162+GITIK!N162+GLADAG!W162+KARANGBENDO!Z162+KEDALEMAN!S162+LEMAHBANGDEWO!O162+MANGIR!S162+PENGATIGAN!Y162+ROGOJAMPI!AM162</f>
        <v>50</v>
      </c>
      <c r="F162" s="39"/>
      <c r="G162" s="20"/>
      <c r="H162" s="20"/>
      <c r="I162" s="20"/>
      <c r="J162" s="20"/>
      <c r="K162" s="20"/>
      <c r="L162" s="20"/>
      <c r="M162" s="20"/>
      <c r="N162" s="20"/>
      <c r="O162" s="20"/>
      <c r="P162" s="32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</row>
    <row r="163" spans="1:216" ht="15.75" customHeight="1" x14ac:dyDescent="0.4">
      <c r="A163" s="6" t="s">
        <v>26</v>
      </c>
      <c r="B163" s="53" t="s">
        <v>51</v>
      </c>
      <c r="C163" s="54"/>
      <c r="D163" s="55"/>
      <c r="E163" s="5">
        <f>SUM(E160:E162)</f>
        <v>410</v>
      </c>
      <c r="F163" s="39"/>
      <c r="G163" s="20"/>
      <c r="H163" s="20"/>
      <c r="I163" s="20"/>
      <c r="J163" s="20"/>
      <c r="K163" s="20"/>
      <c r="L163" s="20"/>
      <c r="M163" s="20"/>
      <c r="N163" s="20"/>
      <c r="O163" s="20"/>
      <c r="P163" s="32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</row>
    <row r="164" spans="1:216" ht="15.75" customHeight="1" x14ac:dyDescent="0.4">
      <c r="A164" s="61"/>
      <c r="B164" s="62"/>
      <c r="C164" s="62"/>
      <c r="D164" s="62"/>
      <c r="E164" s="63"/>
      <c r="F164" s="39"/>
      <c r="G164" s="20"/>
      <c r="H164" s="20"/>
      <c r="I164" s="20"/>
      <c r="J164" s="20"/>
      <c r="K164" s="20"/>
      <c r="L164" s="20"/>
      <c r="M164" s="20"/>
      <c r="N164" s="20"/>
      <c r="O164" s="20"/>
      <c r="P164" s="32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</row>
    <row r="165" spans="1:216" ht="15.75" customHeight="1" x14ac:dyDescent="0.4">
      <c r="A165" s="11" t="s">
        <v>48</v>
      </c>
      <c r="B165" s="17" t="s">
        <v>77</v>
      </c>
      <c r="C165" s="59" t="s">
        <v>78</v>
      </c>
      <c r="D165" s="60"/>
      <c r="E165" s="9">
        <f>ALIYAN!V165+BUBUK!T165+GITIK!N165+GLADAG!W165+KARANGBENDO!Z165+KEDALEMAN!S165+LEMAHBANGDEWO!O165+MANGIR!S165+PENGATIGAN!Y165+ROGOJAMPI!AM165</f>
        <v>16</v>
      </c>
      <c r="F165" s="40"/>
      <c r="G165" s="1"/>
      <c r="H165" s="1"/>
      <c r="I165" s="1"/>
      <c r="J165" s="1"/>
      <c r="K165" s="1"/>
      <c r="L165" s="1"/>
      <c r="M165" s="1"/>
      <c r="N165" s="1"/>
      <c r="O165" s="1"/>
      <c r="P165" s="34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</row>
    <row r="166" spans="1:216" ht="15.75" customHeight="1" x14ac:dyDescent="0.4">
      <c r="A166" s="11" t="s">
        <v>50</v>
      </c>
      <c r="B166" s="17"/>
      <c r="C166" s="24" t="s">
        <v>180</v>
      </c>
      <c r="D166" s="45"/>
      <c r="E166" s="9">
        <f>ALIYAN!V166+BUBUK!T166+GITIK!N166+GLADAG!W166+KARANGBENDO!Z166+KEDALEMAN!S166+LEMAHBANGDEWO!O166+MANGIR!S166+PENGATIGAN!Y166+ROGOJAMPI!AM166</f>
        <v>23</v>
      </c>
      <c r="F166" s="42"/>
      <c r="G166" s="27"/>
      <c r="H166" s="27"/>
      <c r="I166" s="27"/>
      <c r="J166" s="27"/>
      <c r="K166" s="27"/>
      <c r="L166" s="27"/>
      <c r="M166" s="27"/>
      <c r="N166" s="27"/>
      <c r="O166" s="27"/>
      <c r="P166" s="37"/>
      <c r="Q166" s="30"/>
      <c r="R166" s="30"/>
      <c r="S166" s="30"/>
      <c r="T166" s="30"/>
      <c r="U166" s="30"/>
      <c r="V166" s="30"/>
      <c r="W166" s="38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0"/>
      <c r="BM166" s="30"/>
      <c r="BN166" s="30"/>
      <c r="BO166" s="30"/>
      <c r="BP166" s="30"/>
      <c r="BQ166" s="30"/>
      <c r="BR166" s="38"/>
      <c r="BS166" s="30"/>
      <c r="BT166" s="30"/>
      <c r="BU166" s="30"/>
      <c r="BV166" s="30"/>
      <c r="BW166" s="30"/>
      <c r="BX166" s="30"/>
      <c r="BY166" s="30"/>
      <c r="BZ166" s="30"/>
      <c r="CA166" s="38"/>
      <c r="CB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8"/>
      <c r="DL166" s="38"/>
      <c r="DM166" s="38"/>
      <c r="DN166" s="38"/>
      <c r="DO166" s="38"/>
      <c r="DP166" s="38"/>
      <c r="DQ166" s="38"/>
      <c r="DR166" s="38"/>
      <c r="DS166" s="38"/>
      <c r="DT166" s="38"/>
      <c r="DU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8"/>
      <c r="EZ166" s="38"/>
      <c r="FA166" s="38"/>
      <c r="FB166" s="38"/>
      <c r="FC166" s="38"/>
      <c r="FD166" s="38"/>
      <c r="FE166" s="38"/>
      <c r="FF166" s="30"/>
      <c r="FG166" s="30"/>
      <c r="FH166" s="30"/>
      <c r="FI166" s="30"/>
      <c r="FJ166" s="38"/>
      <c r="FK166" s="38"/>
      <c r="FL166" s="38"/>
      <c r="FM166" s="38"/>
      <c r="FN166" s="38"/>
      <c r="FO166" s="38"/>
      <c r="FP166" s="38"/>
      <c r="FQ166" s="38"/>
      <c r="FR166" s="38"/>
      <c r="FS166" s="38"/>
      <c r="FT166" s="38"/>
      <c r="FU166" s="38"/>
      <c r="FV166" s="38"/>
      <c r="FW166" s="38"/>
      <c r="FX166" s="38"/>
      <c r="FY166" s="38"/>
      <c r="FZ166" s="38"/>
      <c r="GA166" s="38"/>
      <c r="GB166" s="38"/>
      <c r="GC166" s="38"/>
      <c r="GD166" s="38"/>
      <c r="GE166" s="38"/>
      <c r="GF166" s="38"/>
      <c r="GG166" s="38"/>
      <c r="GH166" s="38"/>
      <c r="GI166" s="38"/>
      <c r="GJ166" s="38"/>
      <c r="GK166" s="38"/>
      <c r="GL166" s="38"/>
      <c r="GM166" s="38"/>
      <c r="GN166" s="38"/>
      <c r="GO166" s="38"/>
      <c r="GP166" s="38"/>
      <c r="GQ166" s="38"/>
      <c r="GR166" s="38"/>
      <c r="GS166" s="38"/>
      <c r="GT166" s="38"/>
      <c r="GU166" s="38"/>
      <c r="GV166" s="38"/>
      <c r="GW166" s="38"/>
      <c r="GX166" s="38"/>
      <c r="GY166" s="38"/>
      <c r="GZ166" s="38"/>
      <c r="HA166" s="38"/>
      <c r="HB166" s="38"/>
      <c r="HC166" s="38"/>
      <c r="HD166" s="38"/>
      <c r="HE166" s="38"/>
      <c r="HF166" s="38"/>
      <c r="HG166" s="38"/>
      <c r="HH166" s="38"/>
    </row>
    <row r="167" spans="1:216" ht="15.75" customHeight="1" x14ac:dyDescent="0.4">
      <c r="A167" s="7"/>
      <c r="B167" s="17"/>
      <c r="C167" s="24" t="s">
        <v>181</v>
      </c>
      <c r="D167" s="45"/>
      <c r="E167" s="9">
        <f>ALIYAN!V167+BUBUK!T167+GITIK!N167+GLADAG!W167+KARANGBENDO!Z167+KEDALEMAN!S167+LEMAHBANGDEWO!O167+MANGIR!S167+PENGATIGAN!Y167+ROGOJAMPI!AM167</f>
        <v>5</v>
      </c>
      <c r="F167" s="39"/>
      <c r="G167" s="20"/>
      <c r="H167" s="20"/>
      <c r="I167" s="20"/>
      <c r="J167" s="20"/>
      <c r="K167" s="20"/>
      <c r="L167" s="20"/>
      <c r="M167" s="20"/>
      <c r="N167" s="20"/>
      <c r="O167" s="20"/>
      <c r="P167" s="32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</row>
    <row r="168" spans="1:216" ht="15.75" customHeight="1" x14ac:dyDescent="0.4">
      <c r="A168" s="7"/>
      <c r="B168" s="17"/>
      <c r="C168" s="24" t="s">
        <v>182</v>
      </c>
      <c r="D168" s="45"/>
      <c r="E168" s="9">
        <f>ALIYAN!V168+BUBUK!T168+GITIK!N168+GLADAG!W168+KARANGBENDO!Z168+KEDALEMAN!S168+LEMAHBANGDEWO!O168+MANGIR!S168+PENGATIGAN!Y168+ROGOJAMPI!AM168</f>
        <v>3</v>
      </c>
      <c r="F168" s="39"/>
      <c r="G168" s="20"/>
      <c r="H168" s="20"/>
      <c r="I168" s="20"/>
      <c r="J168" s="20"/>
      <c r="K168" s="20"/>
      <c r="L168" s="20"/>
      <c r="M168" s="20"/>
      <c r="N168" s="20"/>
      <c r="O168" s="20"/>
      <c r="P168" s="32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33"/>
      <c r="HG168" s="33"/>
      <c r="HH168" s="33"/>
    </row>
    <row r="169" spans="1:216" ht="15.75" customHeight="1" x14ac:dyDescent="0.4">
      <c r="A169" s="7"/>
      <c r="B169" s="46"/>
      <c r="C169" s="24" t="s">
        <v>183</v>
      </c>
      <c r="D169" s="47"/>
      <c r="E169" s="9">
        <f>ALIYAN!V169+BUBUK!T169+GITIK!N169+GLADAG!W169+KARANGBENDO!Z169+KEDALEMAN!S169+LEMAHBANGDEWO!O169+MANGIR!S169+PENGATIGAN!Y169+ROGOJAMPI!AM169</f>
        <v>23</v>
      </c>
      <c r="F169" s="39"/>
      <c r="G169" s="20"/>
      <c r="H169" s="20"/>
      <c r="I169" s="20"/>
      <c r="J169" s="20"/>
      <c r="K169" s="20"/>
      <c r="L169" s="20"/>
      <c r="M169" s="20"/>
      <c r="N169" s="20"/>
      <c r="O169" s="20"/>
      <c r="P169" s="32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</row>
    <row r="170" spans="1:216" ht="15.75" customHeight="1" x14ac:dyDescent="0.4">
      <c r="A170" s="7"/>
      <c r="B170" s="46"/>
      <c r="C170" s="24" t="s">
        <v>184</v>
      </c>
      <c r="D170" s="47"/>
      <c r="E170" s="9">
        <f>ALIYAN!V170+BUBUK!T170+GITIK!N170+GLADAG!W170+KARANGBENDO!Z170+KEDALEMAN!S170+LEMAHBANGDEWO!O170+MANGIR!S170+PENGATIGAN!Y170+ROGOJAMPI!AM170</f>
        <v>18</v>
      </c>
      <c r="F170" s="39"/>
      <c r="G170" s="20"/>
      <c r="H170" s="20"/>
      <c r="I170" s="20"/>
      <c r="J170" s="20"/>
      <c r="K170" s="20"/>
      <c r="L170" s="20"/>
      <c r="M170" s="20"/>
      <c r="N170" s="20"/>
      <c r="O170" s="20"/>
      <c r="P170" s="32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</row>
    <row r="171" spans="1:216" ht="15.75" customHeight="1" x14ac:dyDescent="0.4">
      <c r="A171" s="7"/>
      <c r="B171" s="46"/>
      <c r="C171" s="24" t="s">
        <v>185</v>
      </c>
      <c r="D171" s="47"/>
      <c r="E171" s="9">
        <f>ALIYAN!V171+BUBUK!T171+GITIK!N171+GLADAG!W171+KARANGBENDO!Z171+KEDALEMAN!S171+LEMAHBANGDEWO!O171+MANGIR!S171+PENGATIGAN!Y171+ROGOJAMPI!AM171</f>
        <v>3</v>
      </c>
      <c r="F171" s="39"/>
      <c r="G171" s="20"/>
      <c r="H171" s="20"/>
      <c r="I171" s="20"/>
      <c r="J171" s="20"/>
      <c r="K171" s="20"/>
      <c r="L171" s="20"/>
      <c r="M171" s="20"/>
      <c r="N171" s="20"/>
      <c r="O171" s="20"/>
      <c r="P171" s="32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</row>
    <row r="172" spans="1:216" ht="15.75" customHeight="1" x14ac:dyDescent="0.4">
      <c r="A172" s="6" t="s">
        <v>26</v>
      </c>
      <c r="B172" s="53" t="s">
        <v>51</v>
      </c>
      <c r="C172" s="54"/>
      <c r="D172" s="55"/>
      <c r="E172" s="5">
        <f>SUM(E165:E171)</f>
        <v>91</v>
      </c>
      <c r="F172" s="39"/>
      <c r="G172" s="20"/>
      <c r="H172" s="20"/>
      <c r="I172" s="20"/>
      <c r="J172" s="20"/>
      <c r="K172" s="20"/>
      <c r="L172" s="20"/>
      <c r="M172" s="20"/>
      <c r="N172" s="20"/>
      <c r="O172" s="20"/>
      <c r="P172" s="32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</row>
    <row r="173" spans="1:216" ht="15.75" customHeight="1" x14ac:dyDescent="0.4">
      <c r="A173" s="61"/>
      <c r="B173" s="62"/>
      <c r="C173" s="62"/>
      <c r="D173" s="62"/>
      <c r="E173" s="63"/>
      <c r="F173" s="39"/>
      <c r="G173" s="20"/>
      <c r="H173" s="20"/>
      <c r="I173" s="20"/>
      <c r="J173" s="20"/>
      <c r="K173" s="20"/>
      <c r="L173" s="20"/>
      <c r="M173" s="20"/>
      <c r="N173" s="20"/>
      <c r="O173" s="20"/>
      <c r="P173" s="32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33"/>
      <c r="HG173" s="33"/>
      <c r="HH173" s="33"/>
    </row>
    <row r="174" spans="1:216" ht="15.75" customHeight="1" x14ac:dyDescent="0.4">
      <c r="A174" s="11" t="s">
        <v>48</v>
      </c>
      <c r="B174" s="17" t="s">
        <v>79</v>
      </c>
      <c r="C174" s="59" t="s">
        <v>80</v>
      </c>
      <c r="D174" s="60"/>
      <c r="E174" s="9">
        <f>ALIYAN!V174+BUBUK!T174+GITIK!N174+GLADAG!W174+KARANGBENDO!Z174+KEDALEMAN!S174+LEMAHBANGDEWO!O174+MANGIR!S174+PENGATIGAN!Y174+ROGOJAMPI!AM174</f>
        <v>112</v>
      </c>
      <c r="F174" s="40"/>
      <c r="G174" s="1"/>
      <c r="H174" s="1"/>
      <c r="I174" s="1"/>
      <c r="J174" s="1"/>
      <c r="K174" s="1"/>
      <c r="L174" s="1"/>
      <c r="M174" s="1"/>
      <c r="N174" s="1"/>
      <c r="O174" s="1"/>
      <c r="P174" s="34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/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/>
      <c r="FO174" s="31"/>
      <c r="FP174" s="31"/>
      <c r="FQ174" s="31"/>
      <c r="FR174" s="31"/>
      <c r="FS174" s="31"/>
      <c r="FT174" s="31"/>
      <c r="FU174" s="31"/>
      <c r="FV174" s="31"/>
      <c r="FW174" s="31"/>
      <c r="FX174" s="31"/>
      <c r="FY174" s="31"/>
      <c r="FZ174" s="31"/>
      <c r="GA174" s="31"/>
      <c r="GB174" s="31"/>
      <c r="GC174" s="31"/>
      <c r="GD174" s="31"/>
      <c r="GE174" s="31"/>
      <c r="GF174" s="31"/>
      <c r="GG174" s="31"/>
      <c r="GH174" s="31"/>
      <c r="GI174" s="31"/>
      <c r="GJ174" s="31"/>
      <c r="GK174" s="31"/>
      <c r="GL174" s="31"/>
      <c r="GM174" s="31"/>
      <c r="GN174" s="31"/>
      <c r="GO174" s="31"/>
      <c r="GP174" s="31"/>
      <c r="GQ174" s="31"/>
      <c r="GR174" s="31"/>
      <c r="GS174" s="31"/>
      <c r="GT174" s="31"/>
      <c r="GU174" s="31"/>
      <c r="GV174" s="31"/>
      <c r="GW174" s="31"/>
      <c r="GX174" s="31"/>
      <c r="GY174" s="31"/>
      <c r="GZ174" s="31"/>
      <c r="HA174" s="31"/>
      <c r="HB174" s="31"/>
      <c r="HC174" s="31"/>
      <c r="HD174" s="31"/>
      <c r="HE174" s="31"/>
      <c r="HF174" s="31"/>
      <c r="HG174" s="31"/>
      <c r="HH174" s="31"/>
    </row>
    <row r="175" spans="1:216" ht="15.75" customHeight="1" x14ac:dyDescent="0.4">
      <c r="A175" s="11" t="s">
        <v>50</v>
      </c>
      <c r="B175" s="46"/>
      <c r="C175" s="24" t="s">
        <v>186</v>
      </c>
      <c r="D175" s="47"/>
      <c r="E175" s="9">
        <f>ALIYAN!V175+BUBUK!T175+GITIK!N175+GLADAG!W175+KARANGBENDO!Z175+KEDALEMAN!S175+LEMAHBANGDEWO!O175+MANGIR!S175+PENGATIGAN!Y175+ROGOJAMPI!AM175</f>
        <v>53</v>
      </c>
      <c r="F175" s="42"/>
      <c r="G175" s="27"/>
      <c r="H175" s="27"/>
      <c r="I175" s="27"/>
      <c r="J175" s="27"/>
      <c r="K175" s="27"/>
      <c r="L175" s="27"/>
      <c r="M175" s="27"/>
      <c r="N175" s="27"/>
      <c r="O175" s="27"/>
      <c r="P175" s="37"/>
      <c r="Q175" s="30"/>
      <c r="R175" s="30"/>
      <c r="S175" s="30"/>
      <c r="T175" s="30"/>
      <c r="U175" s="30"/>
      <c r="V175" s="30"/>
      <c r="W175" s="38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0"/>
      <c r="BM175" s="30"/>
      <c r="BN175" s="30"/>
      <c r="BO175" s="30"/>
      <c r="BP175" s="30"/>
      <c r="BQ175" s="30"/>
      <c r="BR175" s="38"/>
      <c r="BS175" s="30"/>
      <c r="BT175" s="30"/>
      <c r="BU175" s="30"/>
      <c r="BV175" s="30"/>
      <c r="BW175" s="30"/>
      <c r="BX175" s="30"/>
      <c r="BY175" s="30"/>
      <c r="BZ175" s="30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8"/>
      <c r="EZ175" s="38"/>
      <c r="FA175" s="38"/>
      <c r="FB175" s="38"/>
      <c r="FC175" s="38"/>
      <c r="FD175" s="38"/>
      <c r="FE175" s="38"/>
      <c r="FF175" s="30"/>
      <c r="FG175" s="30"/>
      <c r="FH175" s="30"/>
      <c r="FI175" s="30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</row>
    <row r="176" spans="1:216" ht="15.75" customHeight="1" x14ac:dyDescent="0.4">
      <c r="A176" s="7"/>
      <c r="B176" s="46"/>
      <c r="C176" s="24" t="s">
        <v>187</v>
      </c>
      <c r="D176" s="47"/>
      <c r="E176" s="9">
        <f>ALIYAN!V176+BUBUK!T176+GITIK!N176+GLADAG!W176+KARANGBENDO!Z176+KEDALEMAN!S176+LEMAHBANGDEWO!O176+MANGIR!S176+PENGATIGAN!Y176+ROGOJAMPI!AM176</f>
        <v>1056</v>
      </c>
      <c r="F176" s="39"/>
      <c r="G176" s="20"/>
      <c r="H176" s="20"/>
      <c r="I176" s="20"/>
      <c r="J176" s="20"/>
      <c r="K176" s="20"/>
      <c r="L176" s="20"/>
      <c r="M176" s="20"/>
      <c r="N176" s="20"/>
      <c r="O176" s="20"/>
      <c r="P176" s="32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33"/>
      <c r="HG176" s="33"/>
      <c r="HH176" s="33"/>
    </row>
    <row r="177" spans="1:216" ht="15.75" customHeight="1" x14ac:dyDescent="0.4">
      <c r="A177" s="7"/>
      <c r="B177" s="46"/>
      <c r="C177" s="24" t="s">
        <v>188</v>
      </c>
      <c r="D177" s="47"/>
      <c r="E177" s="9">
        <f>ALIYAN!V177+BUBUK!T177+GITIK!N177+GLADAG!W177+KARANGBENDO!Z177+KEDALEMAN!S177+LEMAHBANGDEWO!O177+MANGIR!S177+PENGATIGAN!Y177+ROGOJAMPI!AM177</f>
        <v>22</v>
      </c>
      <c r="F177" s="39"/>
      <c r="G177" s="20"/>
      <c r="H177" s="20"/>
      <c r="I177" s="20"/>
      <c r="J177" s="20"/>
      <c r="K177" s="20"/>
      <c r="L177" s="20"/>
      <c r="M177" s="20"/>
      <c r="N177" s="20"/>
      <c r="O177" s="20"/>
      <c r="P177" s="32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  <c r="ED177" s="33"/>
      <c r="EE177" s="33"/>
      <c r="EF177" s="33"/>
      <c r="EG177" s="33"/>
      <c r="EH177" s="33"/>
      <c r="EI177" s="33"/>
      <c r="EJ177" s="33"/>
      <c r="EK177" s="33"/>
      <c r="EL177" s="33"/>
      <c r="EM177" s="33"/>
      <c r="EN177" s="33"/>
      <c r="EO177" s="33"/>
      <c r="EP177" s="33"/>
      <c r="EQ177" s="33"/>
      <c r="ER177" s="33"/>
      <c r="ES177" s="33"/>
      <c r="ET177" s="33"/>
      <c r="EU177" s="33"/>
      <c r="EV177" s="33"/>
      <c r="EW177" s="33"/>
      <c r="EX177" s="33"/>
      <c r="EY177" s="33"/>
      <c r="EZ177" s="33"/>
      <c r="FA177" s="33"/>
      <c r="FB177" s="33"/>
      <c r="FC177" s="33"/>
      <c r="FD177" s="33"/>
      <c r="FE177" s="33"/>
      <c r="FF177" s="33"/>
      <c r="FG177" s="33"/>
      <c r="FH177" s="33"/>
      <c r="FI177" s="33"/>
      <c r="FJ177" s="33"/>
      <c r="FK177" s="33"/>
      <c r="FL177" s="33"/>
      <c r="FM177" s="33"/>
      <c r="FN177" s="33"/>
      <c r="FO177" s="33"/>
      <c r="FP177" s="33"/>
      <c r="FQ177" s="33"/>
      <c r="FR177" s="33"/>
      <c r="FS177" s="33"/>
      <c r="FT177" s="33"/>
      <c r="FU177" s="33"/>
      <c r="FV177" s="33"/>
      <c r="FW177" s="33"/>
      <c r="FX177" s="33"/>
      <c r="FY177" s="33"/>
      <c r="FZ177" s="33"/>
      <c r="GA177" s="33"/>
      <c r="GB177" s="33"/>
      <c r="GC177" s="33"/>
      <c r="GD177" s="33"/>
      <c r="GE177" s="33"/>
      <c r="GF177" s="33"/>
      <c r="GG177" s="33"/>
      <c r="GH177" s="33"/>
      <c r="GI177" s="33"/>
      <c r="GJ177" s="33"/>
      <c r="GK177" s="33"/>
      <c r="GL177" s="33"/>
      <c r="GM177" s="33"/>
      <c r="GN177" s="33"/>
      <c r="GO177" s="33"/>
      <c r="GP177" s="33"/>
      <c r="GQ177" s="33"/>
      <c r="GR177" s="33"/>
      <c r="GS177" s="33"/>
      <c r="GT177" s="33"/>
      <c r="GU177" s="33"/>
      <c r="GV177" s="33"/>
      <c r="GW177" s="33"/>
      <c r="GX177" s="33"/>
      <c r="GY177" s="33"/>
      <c r="GZ177" s="33"/>
      <c r="HA177" s="33"/>
      <c r="HB177" s="33"/>
      <c r="HC177" s="33"/>
      <c r="HD177" s="33"/>
      <c r="HE177" s="33"/>
      <c r="HF177" s="33"/>
      <c r="HG177" s="33"/>
      <c r="HH177" s="33"/>
    </row>
    <row r="178" spans="1:216" ht="15.75" customHeight="1" x14ac:dyDescent="0.4">
      <c r="A178" s="7"/>
      <c r="B178" s="46"/>
      <c r="C178" s="24" t="s">
        <v>189</v>
      </c>
      <c r="D178" s="47"/>
      <c r="E178" s="9">
        <f>ALIYAN!V178+BUBUK!T178+GITIK!N178+GLADAG!W178+KARANGBENDO!Z178+KEDALEMAN!S178+LEMAHBANGDEWO!O178+MANGIR!S178+PENGATIGAN!Y178+ROGOJAMPI!AM178</f>
        <v>21</v>
      </c>
      <c r="F178" s="39"/>
      <c r="G178" s="20"/>
      <c r="H178" s="20"/>
      <c r="I178" s="20"/>
      <c r="J178" s="20"/>
      <c r="K178" s="20"/>
      <c r="L178" s="20"/>
      <c r="M178" s="20"/>
      <c r="N178" s="20"/>
      <c r="O178" s="20"/>
      <c r="P178" s="32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3"/>
      <c r="DN178" s="33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  <c r="ED178" s="33"/>
      <c r="EE178" s="33"/>
      <c r="EF178" s="33"/>
      <c r="EG178" s="33"/>
      <c r="EH178" s="33"/>
      <c r="EI178" s="33"/>
      <c r="EJ178" s="33"/>
      <c r="EK178" s="33"/>
      <c r="EL178" s="33"/>
      <c r="EM178" s="33"/>
      <c r="EN178" s="33"/>
      <c r="EO178" s="33"/>
      <c r="EP178" s="33"/>
      <c r="EQ178" s="33"/>
      <c r="ER178" s="33"/>
      <c r="ES178" s="33"/>
      <c r="ET178" s="33"/>
      <c r="EU178" s="33"/>
      <c r="EV178" s="33"/>
      <c r="EW178" s="33"/>
      <c r="EX178" s="33"/>
      <c r="EY178" s="33"/>
      <c r="EZ178" s="33"/>
      <c r="FA178" s="33"/>
      <c r="FB178" s="33"/>
      <c r="FC178" s="33"/>
      <c r="FD178" s="33"/>
      <c r="FE178" s="33"/>
      <c r="FF178" s="33"/>
      <c r="FG178" s="33"/>
      <c r="FH178" s="33"/>
      <c r="FI178" s="33"/>
      <c r="FJ178" s="33"/>
      <c r="FK178" s="33"/>
      <c r="FL178" s="33"/>
      <c r="FM178" s="33"/>
      <c r="FN178" s="33"/>
      <c r="FO178" s="33"/>
      <c r="FP178" s="33"/>
      <c r="FQ178" s="33"/>
      <c r="FR178" s="33"/>
      <c r="FS178" s="33"/>
      <c r="FT178" s="33"/>
      <c r="FU178" s="33"/>
      <c r="FV178" s="33"/>
      <c r="FW178" s="33"/>
      <c r="FX178" s="33"/>
      <c r="FY178" s="33"/>
      <c r="FZ178" s="33"/>
      <c r="GA178" s="33"/>
      <c r="GB178" s="33"/>
      <c r="GC178" s="33"/>
      <c r="GD178" s="33"/>
      <c r="GE178" s="33"/>
      <c r="GF178" s="33"/>
      <c r="GG178" s="33"/>
      <c r="GH178" s="33"/>
      <c r="GI178" s="33"/>
      <c r="GJ178" s="33"/>
      <c r="GK178" s="33"/>
      <c r="GL178" s="33"/>
      <c r="GM178" s="33"/>
      <c r="GN178" s="33"/>
      <c r="GO178" s="33"/>
      <c r="GP178" s="33"/>
      <c r="GQ178" s="33"/>
      <c r="GR178" s="33"/>
      <c r="GS178" s="33"/>
      <c r="GT178" s="33"/>
      <c r="GU178" s="33"/>
      <c r="GV178" s="33"/>
      <c r="GW178" s="33"/>
      <c r="GX178" s="33"/>
      <c r="GY178" s="33"/>
      <c r="GZ178" s="33"/>
      <c r="HA178" s="33"/>
      <c r="HB178" s="33"/>
      <c r="HC178" s="33"/>
      <c r="HD178" s="33"/>
      <c r="HE178" s="33"/>
      <c r="HF178" s="33"/>
      <c r="HG178" s="33"/>
      <c r="HH178" s="33"/>
    </row>
    <row r="179" spans="1:216" ht="15.75" customHeight="1" x14ac:dyDescent="0.4">
      <c r="A179" s="7"/>
      <c r="B179" s="46"/>
      <c r="C179" s="24" t="s">
        <v>190</v>
      </c>
      <c r="D179" s="47"/>
      <c r="E179" s="9">
        <f>ALIYAN!V179+BUBUK!T179+GITIK!N179+GLADAG!W179+KARANGBENDO!Z179+KEDALEMAN!S179+LEMAHBANGDEWO!O179+MANGIR!S179+PENGATIGAN!Y179+ROGOJAMPI!AM179</f>
        <v>25</v>
      </c>
      <c r="F179" s="39"/>
      <c r="G179" s="20"/>
      <c r="H179" s="20"/>
      <c r="I179" s="20"/>
      <c r="J179" s="20"/>
      <c r="K179" s="20"/>
      <c r="L179" s="20"/>
      <c r="M179" s="20"/>
      <c r="N179" s="20"/>
      <c r="O179" s="20"/>
      <c r="P179" s="32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33"/>
      <c r="HG179" s="33"/>
      <c r="HH179" s="33"/>
    </row>
    <row r="180" spans="1:216" ht="15.75" customHeight="1" x14ac:dyDescent="0.4">
      <c r="A180" s="7"/>
      <c r="B180" s="46"/>
      <c r="C180" s="24" t="s">
        <v>191</v>
      </c>
      <c r="D180" s="47"/>
      <c r="E180" s="9">
        <f>ALIYAN!V180+BUBUK!T180+GITIK!N180+GLADAG!W180+KARANGBENDO!Z180+KEDALEMAN!S180+LEMAHBANGDEWO!O180+MANGIR!S180+PENGATIGAN!Y180+ROGOJAMPI!AM180</f>
        <v>10</v>
      </c>
      <c r="F180" s="39"/>
      <c r="G180" s="20"/>
      <c r="H180" s="20"/>
      <c r="I180" s="20"/>
      <c r="J180" s="20"/>
      <c r="K180" s="20"/>
      <c r="L180" s="20"/>
      <c r="M180" s="20"/>
      <c r="N180" s="20"/>
      <c r="O180" s="20"/>
      <c r="P180" s="32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33"/>
      <c r="HG180" s="33"/>
      <c r="HH180" s="33"/>
    </row>
    <row r="181" spans="1:216" ht="15.75" customHeight="1" x14ac:dyDescent="0.4">
      <c r="A181" s="6" t="s">
        <v>26</v>
      </c>
      <c r="B181" s="53" t="s">
        <v>51</v>
      </c>
      <c r="C181" s="54"/>
      <c r="D181" s="55"/>
      <c r="E181" s="5">
        <f>SUM(E174:E180)</f>
        <v>1299</v>
      </c>
      <c r="F181" s="39"/>
      <c r="G181" s="20"/>
      <c r="H181" s="20"/>
      <c r="I181" s="20"/>
      <c r="J181" s="20"/>
      <c r="K181" s="20"/>
      <c r="L181" s="20"/>
      <c r="M181" s="20"/>
      <c r="N181" s="20"/>
      <c r="O181" s="20"/>
      <c r="P181" s="32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</row>
    <row r="182" spans="1:216" ht="15.75" customHeight="1" x14ac:dyDescent="0.4">
      <c r="A182" s="61"/>
      <c r="B182" s="62"/>
      <c r="C182" s="62"/>
      <c r="D182" s="62"/>
      <c r="E182" s="63"/>
      <c r="F182" s="39"/>
      <c r="G182" s="20"/>
      <c r="H182" s="20"/>
      <c r="I182" s="20"/>
      <c r="J182" s="20"/>
      <c r="K182" s="20"/>
      <c r="L182" s="20"/>
      <c r="M182" s="20"/>
      <c r="N182" s="20"/>
      <c r="O182" s="20"/>
      <c r="P182" s="32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  <c r="GS182" s="33"/>
      <c r="GT182" s="33"/>
      <c r="GU182" s="33"/>
      <c r="GV182" s="33"/>
      <c r="GW182" s="33"/>
      <c r="GX182" s="33"/>
      <c r="GY182" s="33"/>
      <c r="GZ182" s="33"/>
      <c r="HA182" s="33"/>
      <c r="HB182" s="33"/>
      <c r="HC182" s="33"/>
      <c r="HD182" s="33"/>
      <c r="HE182" s="33"/>
      <c r="HF182" s="33"/>
      <c r="HG182" s="33"/>
      <c r="HH182" s="33"/>
    </row>
    <row r="183" spans="1:216" ht="15.75" customHeight="1" x14ac:dyDescent="0.4">
      <c r="A183" s="11" t="s">
        <v>48</v>
      </c>
      <c r="B183" s="17" t="s">
        <v>81</v>
      </c>
      <c r="C183" s="59" t="s">
        <v>82</v>
      </c>
      <c r="D183" s="60"/>
      <c r="E183" s="9">
        <f>ALIYAN!V183+BUBUK!T183+GITIK!N183+GLADAG!W183+KARANGBENDO!Z183+KEDALEMAN!S183+LEMAHBANGDEWO!O183+MANGIR!S183+PENGATIGAN!Y183+ROGOJAMPI!AM183</f>
        <v>59</v>
      </c>
      <c r="F183" s="40"/>
      <c r="G183" s="1"/>
      <c r="H183" s="1"/>
      <c r="I183" s="1"/>
      <c r="J183" s="1"/>
      <c r="K183" s="1"/>
      <c r="L183" s="1"/>
      <c r="M183" s="1"/>
      <c r="N183" s="1"/>
      <c r="O183" s="1"/>
      <c r="P183" s="34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  <c r="CX183" s="31"/>
      <c r="CY183" s="31"/>
      <c r="CZ183" s="31"/>
      <c r="DA183" s="31"/>
      <c r="DB183" s="31"/>
      <c r="DC183" s="31"/>
      <c r="DD183" s="31"/>
      <c r="DE183" s="31"/>
      <c r="DF183" s="31"/>
      <c r="DG183" s="31"/>
      <c r="DH183" s="31"/>
      <c r="DI183" s="31"/>
      <c r="DJ183" s="31"/>
      <c r="DK183" s="31"/>
      <c r="DL183" s="31"/>
      <c r="DM183" s="31"/>
      <c r="DN183" s="31"/>
      <c r="DO183" s="31"/>
      <c r="DP183" s="31"/>
      <c r="DQ183" s="31"/>
      <c r="DR183" s="31"/>
      <c r="DS183" s="31"/>
      <c r="DT183" s="31"/>
      <c r="DU183" s="31"/>
      <c r="DV183" s="31"/>
      <c r="DW183" s="31"/>
      <c r="DX183" s="31"/>
      <c r="DY183" s="31"/>
      <c r="DZ183" s="31"/>
      <c r="EA183" s="31"/>
      <c r="EB183" s="31"/>
      <c r="EC183" s="31"/>
      <c r="ED183" s="31"/>
      <c r="EE183" s="31"/>
      <c r="EF183" s="31"/>
      <c r="EG183" s="31"/>
      <c r="EH183" s="31"/>
      <c r="EI183" s="31"/>
      <c r="EJ183" s="31"/>
      <c r="EK183" s="31"/>
      <c r="EL183" s="31"/>
      <c r="EM183" s="31"/>
      <c r="EN183" s="31"/>
      <c r="EO183" s="31"/>
      <c r="EP183" s="31"/>
      <c r="EQ183" s="31"/>
      <c r="ER183" s="31"/>
      <c r="ES183" s="31"/>
      <c r="ET183" s="31"/>
      <c r="EU183" s="31"/>
      <c r="EV183" s="31"/>
      <c r="EW183" s="31"/>
      <c r="EX183" s="31"/>
      <c r="EY183" s="31"/>
      <c r="EZ183" s="31"/>
      <c r="FA183" s="31"/>
      <c r="FB183" s="31"/>
      <c r="FC183" s="31"/>
      <c r="FD183" s="31"/>
      <c r="FE183" s="31"/>
      <c r="FF183" s="31"/>
      <c r="FG183" s="31"/>
      <c r="FH183" s="31"/>
      <c r="FI183" s="31"/>
      <c r="FJ183" s="31"/>
      <c r="FK183" s="31"/>
      <c r="FL183" s="31"/>
      <c r="FM183" s="31"/>
      <c r="FN183" s="31"/>
      <c r="FO183" s="31"/>
      <c r="FP183" s="31"/>
      <c r="FQ183" s="31"/>
      <c r="FR183" s="31"/>
      <c r="FS183" s="31"/>
      <c r="FT183" s="31"/>
      <c r="FU183" s="31"/>
      <c r="FV183" s="31"/>
      <c r="FW183" s="31"/>
      <c r="FX183" s="31"/>
      <c r="FY183" s="31"/>
      <c r="FZ183" s="31"/>
      <c r="GA183" s="31"/>
      <c r="GB183" s="31"/>
      <c r="GC183" s="31"/>
      <c r="GD183" s="31"/>
      <c r="GE183" s="31"/>
      <c r="GF183" s="31"/>
      <c r="GG183" s="31"/>
      <c r="GH183" s="31"/>
      <c r="GI183" s="31"/>
      <c r="GJ183" s="31"/>
      <c r="GK183" s="31"/>
      <c r="GL183" s="31"/>
      <c r="GM183" s="31"/>
      <c r="GN183" s="31"/>
      <c r="GO183" s="31"/>
      <c r="GP183" s="31"/>
      <c r="GQ183" s="31"/>
      <c r="GR183" s="31"/>
      <c r="GS183" s="31"/>
      <c r="GT183" s="31"/>
      <c r="GU183" s="31"/>
      <c r="GV183" s="31"/>
      <c r="GW183" s="31"/>
      <c r="GX183" s="31"/>
      <c r="GY183" s="31"/>
      <c r="GZ183" s="31"/>
      <c r="HA183" s="31"/>
      <c r="HB183" s="31"/>
      <c r="HC183" s="31"/>
      <c r="HD183" s="31"/>
      <c r="HE183" s="31"/>
      <c r="HF183" s="31"/>
      <c r="HG183" s="31"/>
      <c r="HH183" s="31"/>
    </row>
    <row r="184" spans="1:216" ht="15.75" customHeight="1" x14ac:dyDescent="0.4">
      <c r="A184" s="11" t="s">
        <v>50</v>
      </c>
      <c r="B184" s="46"/>
      <c r="C184" s="24" t="s">
        <v>192</v>
      </c>
      <c r="D184" s="47"/>
      <c r="E184" s="9">
        <f>ALIYAN!V184+BUBUK!T184+GITIK!N184+GLADAG!W184+KARANGBENDO!Z184+KEDALEMAN!S184+LEMAHBANGDEWO!O184+MANGIR!S184+PENGATIGAN!Y184+ROGOJAMPI!AM184</f>
        <v>259</v>
      </c>
      <c r="F184" s="39"/>
      <c r="G184" s="20"/>
      <c r="H184" s="20"/>
      <c r="I184" s="20"/>
      <c r="J184" s="20"/>
      <c r="K184" s="20"/>
      <c r="L184" s="20"/>
      <c r="M184" s="20"/>
      <c r="N184" s="20"/>
      <c r="O184" s="23"/>
      <c r="P184" s="35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</row>
    <row r="185" spans="1:216" ht="15.75" customHeight="1" x14ac:dyDescent="0.4">
      <c r="A185" s="6" t="s">
        <v>26</v>
      </c>
      <c r="B185" s="53" t="s">
        <v>51</v>
      </c>
      <c r="C185" s="54"/>
      <c r="D185" s="55"/>
      <c r="E185" s="5">
        <f>SUM(E183:E184)</f>
        <v>318</v>
      </c>
      <c r="F185" s="39"/>
      <c r="G185" s="20"/>
      <c r="H185" s="20"/>
      <c r="I185" s="20"/>
      <c r="J185" s="20"/>
      <c r="K185" s="20"/>
      <c r="L185" s="20"/>
      <c r="M185" s="20"/>
      <c r="N185" s="20"/>
      <c r="O185" s="20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</row>
    <row r="186" spans="1:216" ht="15.75" customHeight="1" x14ac:dyDescent="0.4">
      <c r="F186" s="39"/>
      <c r="G186" s="20"/>
      <c r="H186" s="20"/>
      <c r="I186" s="20"/>
      <c r="J186" s="20"/>
      <c r="K186" s="20"/>
      <c r="L186" s="20"/>
      <c r="M186" s="20"/>
      <c r="N186" s="20"/>
      <c r="O186" s="20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</row>
    <row r="187" spans="1:216" ht="15.75" customHeight="1" x14ac:dyDescent="0.4">
      <c r="A187" s="16" t="s">
        <v>83</v>
      </c>
      <c r="B187" s="56" t="s">
        <v>84</v>
      </c>
      <c r="C187" s="57"/>
      <c r="D187" s="58"/>
      <c r="E187" s="5"/>
      <c r="F187" s="39"/>
      <c r="G187" s="20"/>
      <c r="H187" s="20"/>
      <c r="I187" s="20"/>
      <c r="J187" s="20"/>
      <c r="K187" s="20"/>
      <c r="L187" s="20"/>
      <c r="M187" s="20"/>
      <c r="N187" s="20"/>
      <c r="O187" s="20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</row>
    <row r="188" spans="1:216" ht="15.75" customHeight="1" x14ac:dyDescent="0.4">
      <c r="A188" s="16"/>
      <c r="B188" s="19" t="s">
        <v>85</v>
      </c>
      <c r="C188" s="51" t="s">
        <v>86</v>
      </c>
      <c r="D188" s="52"/>
      <c r="E188" s="9">
        <f>ALIYAN!V188+BUBUK!T188+GITIK!N188+GLADAG!W188+KARANGBENDO!Z188+KEDALEMAN!S188+LEMAHBANGDEWO!O188+MANGIR!S188+PENGATIGAN!Y188+ROGOJAMPI!AM188</f>
        <v>33219</v>
      </c>
      <c r="F188" s="39"/>
      <c r="G188" s="20"/>
      <c r="H188" s="20"/>
      <c r="I188" s="20"/>
      <c r="J188" s="20"/>
      <c r="K188" s="20"/>
      <c r="L188" s="20"/>
      <c r="M188" s="20"/>
      <c r="N188" s="20"/>
      <c r="O188" s="2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</row>
    <row r="189" spans="1:216" ht="15.75" customHeight="1" x14ac:dyDescent="0.4">
      <c r="A189" s="13"/>
      <c r="B189" s="19" t="s">
        <v>87</v>
      </c>
      <c r="C189" s="51" t="s">
        <v>88</v>
      </c>
      <c r="D189" s="52"/>
      <c r="E189" s="9">
        <f>ALIYAN!V189+BUBUK!T189+GITIK!N189+GLADAG!W189+KARANGBENDO!Z189+KEDALEMAN!S189+LEMAHBANGDEWO!O189+MANGIR!S189+PENGATIGAN!Y189+ROGOJAMPI!AM189</f>
        <v>2248</v>
      </c>
      <c r="F189" s="39"/>
      <c r="G189" s="20"/>
      <c r="H189" s="20"/>
      <c r="I189" s="20"/>
      <c r="J189" s="20"/>
      <c r="K189" s="20"/>
      <c r="L189" s="20"/>
      <c r="M189" s="20"/>
      <c r="N189" s="20"/>
      <c r="O189" s="2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</row>
    <row r="190" spans="1:216" ht="15.75" customHeight="1" x14ac:dyDescent="0.4">
      <c r="A190" s="14"/>
      <c r="B190" s="19" t="s">
        <v>89</v>
      </c>
      <c r="C190" s="51" t="s">
        <v>90</v>
      </c>
      <c r="D190" s="52"/>
      <c r="E190" s="5">
        <f t="shared" ref="E190" si="8">SUM(E188:E189)</f>
        <v>35467</v>
      </c>
      <c r="F190" s="39"/>
      <c r="G190" s="20"/>
      <c r="H190" s="20"/>
      <c r="I190" s="20"/>
      <c r="J190" s="20"/>
      <c r="K190" s="20"/>
      <c r="L190" s="20"/>
      <c r="M190" s="20"/>
      <c r="N190" s="20"/>
      <c r="O190" s="2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</row>
    <row r="191" spans="1:216" ht="15.75" customHeight="1" x14ac:dyDescent="0.4">
      <c r="A191" s="20"/>
      <c r="B191" s="21"/>
      <c r="C191" s="22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</row>
    <row r="192" spans="1:216" ht="15.75" customHeight="1" x14ac:dyDescent="0.4">
      <c r="A192" s="20"/>
      <c r="B192" s="21"/>
      <c r="C192" s="22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</row>
    <row r="193" spans="1:216" ht="15.75" customHeight="1" x14ac:dyDescent="0.4">
      <c r="A193" s="20"/>
      <c r="B193" s="21"/>
      <c r="C193" s="22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</row>
    <row r="194" spans="1:216" ht="15.75" hidden="1" customHeight="1" x14ac:dyDescent="0.4">
      <c r="A194" s="20"/>
      <c r="B194" s="21"/>
      <c r="C194" s="22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</row>
    <row r="195" spans="1:216" ht="15.75" hidden="1" customHeight="1" x14ac:dyDescent="0.4">
      <c r="A195" s="20"/>
      <c r="B195" s="21"/>
      <c r="C195" s="22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</row>
    <row r="196" spans="1:216" ht="15.75" hidden="1" customHeight="1" x14ac:dyDescent="0.4">
      <c r="A196" s="20"/>
      <c r="B196" s="21"/>
      <c r="C196" s="22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</row>
    <row r="197" spans="1:216" ht="15.75" hidden="1" customHeight="1" x14ac:dyDescent="0.4">
      <c r="A197" s="20"/>
      <c r="B197" s="21"/>
      <c r="C197" s="22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</row>
    <row r="198" spans="1:216" ht="15.75" hidden="1" customHeight="1" x14ac:dyDescent="0.4">
      <c r="A198" s="20"/>
      <c r="B198" s="21"/>
      <c r="C198" s="22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</row>
    <row r="199" spans="1:216" ht="15.75" hidden="1" customHeight="1" x14ac:dyDescent="0.4">
      <c r="A199" s="20"/>
      <c r="B199" s="21"/>
      <c r="C199" s="22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</row>
    <row r="200" spans="1:216" ht="15.75" hidden="1" customHeight="1" x14ac:dyDescent="0.4">
      <c r="A200" s="20"/>
      <c r="B200" s="21"/>
      <c r="C200" s="22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</row>
    <row r="201" spans="1:216" ht="15.75" hidden="1" customHeight="1" x14ac:dyDescent="0.4">
      <c r="A201" s="20"/>
      <c r="B201" s="21"/>
      <c r="C201" s="22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</row>
    <row r="202" spans="1:216" ht="15.75" hidden="1" customHeight="1" x14ac:dyDescent="0.4">
      <c r="A202" s="20"/>
      <c r="B202" s="21"/>
      <c r="C202" s="22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</row>
    <row r="203" spans="1:216" ht="15.75" hidden="1" customHeight="1" x14ac:dyDescent="0.4">
      <c r="A203" s="20"/>
      <c r="B203" s="21"/>
      <c r="C203" s="22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</row>
    <row r="204" spans="1:216" ht="15.75" hidden="1" customHeight="1" x14ac:dyDescent="0.4">
      <c r="A204" s="20"/>
      <c r="B204" s="21"/>
      <c r="C204" s="22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</row>
    <row r="205" spans="1:216" ht="15.75" hidden="1" customHeight="1" x14ac:dyDescent="0.4">
      <c r="A205" s="20"/>
      <c r="B205" s="21"/>
      <c r="C205" s="22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</row>
    <row r="206" spans="1:216" ht="15.75" hidden="1" customHeight="1" x14ac:dyDescent="0.4">
      <c r="A206" s="20"/>
      <c r="B206" s="21"/>
      <c r="C206" s="22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</row>
    <row r="207" spans="1:216" ht="15.75" hidden="1" customHeight="1" x14ac:dyDescent="0.4">
      <c r="A207" s="20"/>
      <c r="B207" s="21"/>
      <c r="C207" s="22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</row>
    <row r="208" spans="1:216" ht="15.75" hidden="1" customHeight="1" x14ac:dyDescent="0.4">
      <c r="A208" s="20"/>
      <c r="B208" s="21"/>
      <c r="C208" s="22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</row>
    <row r="209" spans="1:216" ht="15.75" hidden="1" customHeight="1" x14ac:dyDescent="0.4">
      <c r="A209" s="20"/>
      <c r="B209" s="21"/>
      <c r="C209" s="22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</row>
    <row r="210" spans="1:216" ht="15.75" hidden="1" customHeight="1" x14ac:dyDescent="0.4">
      <c r="A210" s="20"/>
      <c r="B210" s="21"/>
      <c r="C210" s="22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</row>
    <row r="211" spans="1:216" ht="15.75" hidden="1" customHeight="1" x14ac:dyDescent="0.4">
      <c r="A211" s="20"/>
      <c r="B211" s="21"/>
      <c r="C211" s="22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</row>
    <row r="212" spans="1:216" ht="15.75" hidden="1" customHeight="1" x14ac:dyDescent="0.4">
      <c r="A212" s="20"/>
      <c r="B212" s="21"/>
      <c r="C212" s="22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</row>
    <row r="213" spans="1:216" ht="15.75" hidden="1" customHeight="1" x14ac:dyDescent="0.4">
      <c r="A213" s="20"/>
      <c r="B213" s="21"/>
      <c r="C213" s="22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</row>
    <row r="214" spans="1:216" ht="15.75" hidden="1" customHeight="1" x14ac:dyDescent="0.4">
      <c r="A214" s="20"/>
      <c r="B214" s="21"/>
      <c r="C214" s="22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</row>
    <row r="215" spans="1:216" ht="15.75" hidden="1" customHeight="1" x14ac:dyDescent="0.4">
      <c r="A215" s="20"/>
      <c r="B215" s="21"/>
      <c r="C215" s="22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</row>
    <row r="216" spans="1:216" ht="15.75" hidden="1" customHeight="1" x14ac:dyDescent="0.4">
      <c r="A216" s="20"/>
      <c r="B216" s="21"/>
      <c r="C216" s="22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</row>
    <row r="217" spans="1:216" ht="15.75" hidden="1" customHeight="1" x14ac:dyDescent="0.4">
      <c r="A217" s="20"/>
      <c r="B217" s="21"/>
      <c r="C217" s="22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</row>
    <row r="218" spans="1:216" ht="15.75" hidden="1" customHeight="1" x14ac:dyDescent="0.4">
      <c r="A218" s="20"/>
      <c r="B218" s="21"/>
      <c r="C218" s="22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</row>
    <row r="219" spans="1:216" ht="15.75" hidden="1" customHeight="1" x14ac:dyDescent="0.4">
      <c r="A219" s="20"/>
      <c r="B219" s="21"/>
      <c r="C219" s="22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</row>
    <row r="220" spans="1:216" ht="15.75" hidden="1" customHeight="1" x14ac:dyDescent="0.4">
      <c r="A220" s="20"/>
      <c r="B220" s="21"/>
      <c r="C220" s="22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</row>
    <row r="221" spans="1:216" ht="15.75" hidden="1" customHeight="1" x14ac:dyDescent="0.4">
      <c r="A221" s="20"/>
      <c r="B221" s="21"/>
      <c r="C221" s="22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</row>
    <row r="222" spans="1:216" ht="15.75" hidden="1" customHeight="1" x14ac:dyDescent="0.4">
      <c r="A222" s="20"/>
      <c r="B222" s="21"/>
      <c r="C222" s="22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</row>
    <row r="223" spans="1:216" ht="15.75" hidden="1" customHeight="1" x14ac:dyDescent="0.4">
      <c r="A223" s="20"/>
      <c r="B223" s="21"/>
      <c r="C223" s="22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</row>
    <row r="224" spans="1:216" ht="15.75" hidden="1" customHeight="1" x14ac:dyDescent="0.4">
      <c r="A224" s="20"/>
      <c r="B224" s="21"/>
      <c r="C224" s="22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</row>
    <row r="225" spans="1:216" ht="15.75" hidden="1" customHeight="1" x14ac:dyDescent="0.4">
      <c r="A225" s="20"/>
      <c r="B225" s="21"/>
      <c r="C225" s="22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</row>
    <row r="226" spans="1:216" ht="15.75" hidden="1" customHeight="1" x14ac:dyDescent="0.4">
      <c r="A226" s="20"/>
      <c r="B226" s="21"/>
      <c r="C226" s="22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</row>
    <row r="227" spans="1:216" ht="15.75" hidden="1" customHeight="1" x14ac:dyDescent="0.4">
      <c r="A227" s="20"/>
      <c r="B227" s="21"/>
      <c r="C227" s="22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</row>
    <row r="228" spans="1:216" ht="15.75" hidden="1" customHeight="1" x14ac:dyDescent="0.4">
      <c r="A228" s="20"/>
      <c r="B228" s="21"/>
      <c r="C228" s="22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</row>
    <row r="229" spans="1:216" ht="15.75" hidden="1" customHeight="1" x14ac:dyDescent="0.4">
      <c r="A229" s="20"/>
      <c r="B229" s="21"/>
      <c r="C229" s="22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</row>
    <row r="230" spans="1:216" ht="15.75" hidden="1" customHeight="1" x14ac:dyDescent="0.4">
      <c r="A230" s="20"/>
      <c r="B230" s="21"/>
      <c r="C230" s="22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</row>
    <row r="231" spans="1:216" ht="15.75" hidden="1" customHeight="1" x14ac:dyDescent="0.4">
      <c r="A231" s="20"/>
      <c r="B231" s="21"/>
      <c r="C231" s="22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</row>
    <row r="232" spans="1:216" ht="15.75" hidden="1" customHeight="1" x14ac:dyDescent="0.4">
      <c r="A232" s="20"/>
      <c r="B232" s="21"/>
      <c r="C232" s="22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</row>
    <row r="233" spans="1:216" ht="15.75" hidden="1" customHeight="1" x14ac:dyDescent="0.4">
      <c r="A233" s="20"/>
      <c r="B233" s="21"/>
      <c r="C233" s="22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</row>
    <row r="234" spans="1:216" ht="15.75" hidden="1" customHeight="1" x14ac:dyDescent="0.4">
      <c r="A234" s="20"/>
      <c r="B234" s="21"/>
      <c r="C234" s="22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</row>
    <row r="235" spans="1:216" ht="15.75" hidden="1" customHeight="1" x14ac:dyDescent="0.4">
      <c r="A235" s="20"/>
      <c r="B235" s="21"/>
      <c r="C235" s="22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</row>
    <row r="236" spans="1:216" ht="15.75" hidden="1" customHeight="1" x14ac:dyDescent="0.4">
      <c r="A236" s="20"/>
      <c r="B236" s="21"/>
      <c r="C236" s="22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</row>
    <row r="237" spans="1:216" ht="15.75" hidden="1" customHeight="1" x14ac:dyDescent="0.4">
      <c r="A237" s="20"/>
      <c r="B237" s="21"/>
      <c r="C237" s="22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</row>
    <row r="238" spans="1:216" ht="15.75" hidden="1" customHeight="1" x14ac:dyDescent="0.4">
      <c r="A238" s="20"/>
      <c r="B238" s="21"/>
      <c r="C238" s="22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</row>
    <row r="239" spans="1:216" ht="15.75" hidden="1" customHeight="1" x14ac:dyDescent="0.4">
      <c r="A239" s="20"/>
      <c r="B239" s="21"/>
      <c r="C239" s="22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</row>
    <row r="240" spans="1:216" ht="15.75" hidden="1" customHeight="1" x14ac:dyDescent="0.4">
      <c r="A240" s="20"/>
      <c r="B240" s="21"/>
      <c r="C240" s="22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</row>
    <row r="241" spans="1:216" ht="15.75" hidden="1" customHeight="1" x14ac:dyDescent="0.4">
      <c r="A241" s="20"/>
      <c r="B241" s="21"/>
      <c r="C241" s="22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</row>
    <row r="242" spans="1:216" ht="15.75" hidden="1" customHeight="1" x14ac:dyDescent="0.4">
      <c r="A242" s="20"/>
      <c r="B242" s="21"/>
      <c r="C242" s="22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</row>
    <row r="243" spans="1:216" ht="15.75" hidden="1" customHeight="1" x14ac:dyDescent="0.4">
      <c r="A243" s="20"/>
      <c r="B243" s="21"/>
      <c r="C243" s="22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</row>
    <row r="244" spans="1:216" ht="15.75" hidden="1" customHeight="1" x14ac:dyDescent="0.4">
      <c r="A244" s="20"/>
      <c r="B244" s="21"/>
      <c r="C244" s="22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</row>
    <row r="245" spans="1:216" ht="15.75" hidden="1" customHeight="1" x14ac:dyDescent="0.4">
      <c r="A245" s="20"/>
      <c r="B245" s="21"/>
      <c r="C245" s="22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</row>
    <row r="246" spans="1:216" ht="15.75" hidden="1" customHeight="1" x14ac:dyDescent="0.4">
      <c r="A246" s="20"/>
      <c r="B246" s="21"/>
      <c r="C246" s="22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</row>
    <row r="247" spans="1:216" ht="15.75" hidden="1" customHeight="1" x14ac:dyDescent="0.4">
      <c r="A247" s="20"/>
      <c r="B247" s="21"/>
      <c r="C247" s="22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</row>
    <row r="248" spans="1:216" ht="15.75" hidden="1" customHeight="1" x14ac:dyDescent="0.4">
      <c r="A248" s="20"/>
      <c r="B248" s="21"/>
      <c r="C248" s="22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</row>
    <row r="249" spans="1:216" ht="15.75" hidden="1" customHeight="1" x14ac:dyDescent="0.4">
      <c r="A249" s="20"/>
      <c r="B249" s="21"/>
      <c r="C249" s="22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</row>
    <row r="250" spans="1:216" ht="15.75" hidden="1" customHeight="1" x14ac:dyDescent="0.4">
      <c r="A250" s="20"/>
      <c r="B250" s="21"/>
      <c r="C250" s="22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</row>
    <row r="251" spans="1:216" ht="15.75" hidden="1" customHeight="1" x14ac:dyDescent="0.4">
      <c r="A251" s="20"/>
      <c r="B251" s="21"/>
      <c r="C251" s="22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</row>
    <row r="252" spans="1:216" ht="15.75" hidden="1" customHeight="1" x14ac:dyDescent="0.4">
      <c r="A252" s="20"/>
      <c r="B252" s="21"/>
      <c r="C252" s="22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</row>
    <row r="253" spans="1:216" ht="15.75" hidden="1" customHeight="1" x14ac:dyDescent="0.4">
      <c r="A253" s="20"/>
      <c r="B253" s="21"/>
      <c r="C253" s="22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</row>
    <row r="254" spans="1:216" ht="15.75" hidden="1" customHeight="1" x14ac:dyDescent="0.4">
      <c r="A254" s="20"/>
      <c r="B254" s="21"/>
      <c r="C254" s="22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</row>
    <row r="255" spans="1:216" ht="15.75" hidden="1" customHeight="1" x14ac:dyDescent="0.4">
      <c r="A255" s="20"/>
      <c r="B255" s="21"/>
      <c r="C255" s="22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</row>
    <row r="256" spans="1:216" ht="15.75" hidden="1" customHeight="1" x14ac:dyDescent="0.4">
      <c r="A256" s="20"/>
      <c r="B256" s="21"/>
      <c r="C256" s="22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</row>
    <row r="257" spans="1:216" ht="15.75" hidden="1" customHeight="1" x14ac:dyDescent="0.4">
      <c r="A257" s="20"/>
      <c r="B257" s="21"/>
      <c r="C257" s="22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</row>
    <row r="258" spans="1:216" ht="15.75" hidden="1" customHeight="1" x14ac:dyDescent="0.4">
      <c r="A258" s="20"/>
      <c r="B258" s="21"/>
      <c r="C258" s="22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</row>
    <row r="259" spans="1:216" ht="15.75" hidden="1" customHeight="1" x14ac:dyDescent="0.4">
      <c r="A259" s="20"/>
      <c r="B259" s="21"/>
      <c r="C259" s="22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</row>
    <row r="260" spans="1:216" ht="15.75" hidden="1" customHeight="1" x14ac:dyDescent="0.4">
      <c r="A260" s="20"/>
      <c r="B260" s="21"/>
      <c r="C260" s="22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</row>
    <row r="261" spans="1:216" ht="15.75" hidden="1" customHeight="1" x14ac:dyDescent="0.4">
      <c r="A261" s="20"/>
      <c r="B261" s="21"/>
      <c r="C261" s="22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</row>
    <row r="262" spans="1:216" ht="15.75" hidden="1" customHeight="1" x14ac:dyDescent="0.4">
      <c r="A262" s="20"/>
      <c r="B262" s="21"/>
      <c r="C262" s="22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</row>
    <row r="263" spans="1:216" ht="15.75" hidden="1" customHeight="1" x14ac:dyDescent="0.4">
      <c r="A263" s="20"/>
      <c r="B263" s="21"/>
      <c r="C263" s="22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</row>
    <row r="264" spans="1:216" ht="15.75" hidden="1" customHeight="1" x14ac:dyDescent="0.4">
      <c r="A264" s="20"/>
      <c r="B264" s="21"/>
      <c r="C264" s="22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</row>
    <row r="265" spans="1:216" ht="15.75" hidden="1" customHeight="1" x14ac:dyDescent="0.4">
      <c r="A265" s="20"/>
      <c r="B265" s="21"/>
      <c r="C265" s="22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</row>
    <row r="266" spans="1:216" ht="15.75" hidden="1" customHeight="1" x14ac:dyDescent="0.4">
      <c r="A266" s="20"/>
      <c r="B266" s="21"/>
      <c r="C266" s="22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</row>
    <row r="267" spans="1:216" ht="15.75" hidden="1" customHeight="1" x14ac:dyDescent="0.4">
      <c r="A267" s="20"/>
      <c r="B267" s="21"/>
      <c r="C267" s="22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</row>
    <row r="268" spans="1:216" ht="15.75" hidden="1" customHeight="1" x14ac:dyDescent="0.4">
      <c r="A268" s="20"/>
      <c r="B268" s="21"/>
      <c r="C268" s="22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</row>
    <row r="269" spans="1:216" ht="15.75" hidden="1" customHeight="1" x14ac:dyDescent="0.4">
      <c r="A269" s="20"/>
      <c r="B269" s="21"/>
      <c r="C269" s="22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</row>
    <row r="270" spans="1:216" ht="15.75" hidden="1" customHeight="1" x14ac:dyDescent="0.4">
      <c r="A270" s="20"/>
      <c r="B270" s="21"/>
      <c r="C270" s="22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</row>
    <row r="271" spans="1:216" ht="15.75" hidden="1" customHeight="1" x14ac:dyDescent="0.4">
      <c r="A271" s="20"/>
      <c r="B271" s="21"/>
      <c r="C271" s="22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</row>
    <row r="272" spans="1:216" ht="15.75" hidden="1" customHeight="1" x14ac:dyDescent="0.4">
      <c r="A272" s="20"/>
      <c r="B272" s="21"/>
      <c r="C272" s="22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</row>
    <row r="273" spans="1:216" ht="15.75" hidden="1" customHeight="1" x14ac:dyDescent="0.4">
      <c r="A273" s="20"/>
      <c r="B273" s="21"/>
      <c r="C273" s="22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</row>
    <row r="274" spans="1:216" ht="15.75" hidden="1" customHeight="1" x14ac:dyDescent="0.4">
      <c r="A274" s="20"/>
      <c r="B274" s="21"/>
      <c r="C274" s="22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</row>
    <row r="275" spans="1:216" ht="15.75" hidden="1" customHeight="1" x14ac:dyDescent="0.4">
      <c r="A275" s="20"/>
      <c r="B275" s="21"/>
      <c r="C275" s="22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</row>
    <row r="276" spans="1:216" ht="15.75" hidden="1" customHeight="1" x14ac:dyDescent="0.4">
      <c r="A276" s="20"/>
      <c r="B276" s="21"/>
      <c r="C276" s="22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</row>
    <row r="277" spans="1:216" ht="15.75" hidden="1" customHeight="1" x14ac:dyDescent="0.4">
      <c r="A277" s="20"/>
      <c r="B277" s="21"/>
      <c r="C277" s="22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</row>
    <row r="278" spans="1:216" ht="15.75" hidden="1" customHeight="1" x14ac:dyDescent="0.4">
      <c r="A278" s="20"/>
      <c r="B278" s="21"/>
      <c r="C278" s="22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</row>
    <row r="279" spans="1:216" ht="15.75" hidden="1" customHeight="1" x14ac:dyDescent="0.4">
      <c r="A279" s="20"/>
      <c r="B279" s="21"/>
      <c r="C279" s="22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</row>
    <row r="280" spans="1:216" ht="15.75" hidden="1" customHeight="1" x14ac:dyDescent="0.4">
      <c r="A280" s="20"/>
      <c r="B280" s="21"/>
      <c r="C280" s="22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</row>
    <row r="281" spans="1:216" ht="15.75" hidden="1" customHeight="1" x14ac:dyDescent="0.4">
      <c r="A281" s="20"/>
      <c r="B281" s="21"/>
      <c r="C281" s="22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</row>
    <row r="282" spans="1:216" ht="15.75" hidden="1" customHeight="1" x14ac:dyDescent="0.4">
      <c r="A282" s="20"/>
      <c r="B282" s="21"/>
      <c r="C282" s="22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</row>
    <row r="283" spans="1:216" ht="15.75" hidden="1" customHeight="1" x14ac:dyDescent="0.4">
      <c r="A283" s="20"/>
      <c r="B283" s="21"/>
      <c r="C283" s="22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</row>
    <row r="284" spans="1:216" ht="15.75" hidden="1" customHeight="1" x14ac:dyDescent="0.4">
      <c r="A284" s="20"/>
      <c r="B284" s="21"/>
      <c r="C284" s="22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</row>
    <row r="285" spans="1:216" ht="15.75" hidden="1" customHeight="1" x14ac:dyDescent="0.4">
      <c r="A285" s="20"/>
      <c r="B285" s="21"/>
      <c r="C285" s="22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</row>
    <row r="286" spans="1:216" ht="15.75" hidden="1" customHeight="1" x14ac:dyDescent="0.4">
      <c r="A286" s="20"/>
      <c r="B286" s="21"/>
      <c r="C286" s="22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</row>
    <row r="287" spans="1:216" ht="15.75" hidden="1" customHeight="1" x14ac:dyDescent="0.4">
      <c r="A287" s="20"/>
      <c r="B287" s="21"/>
      <c r="C287" s="22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</row>
    <row r="288" spans="1:216" ht="15.75" hidden="1" customHeight="1" x14ac:dyDescent="0.4">
      <c r="A288" s="20"/>
      <c r="B288" s="21"/>
      <c r="C288" s="22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</row>
    <row r="289" spans="1:216" ht="15.75" hidden="1" customHeight="1" x14ac:dyDescent="0.4">
      <c r="A289" s="20"/>
      <c r="B289" s="21"/>
      <c r="C289" s="22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</row>
    <row r="290" spans="1:216" ht="15.75" hidden="1" customHeight="1" x14ac:dyDescent="0.4">
      <c r="A290" s="20"/>
      <c r="B290" s="21"/>
      <c r="C290" s="22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</row>
    <row r="291" spans="1:216" ht="15.75" hidden="1" customHeight="1" x14ac:dyDescent="0.4">
      <c r="A291" s="20"/>
      <c r="B291" s="21"/>
      <c r="C291" s="2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</row>
    <row r="292" spans="1:216" ht="15.75" hidden="1" customHeight="1" x14ac:dyDescent="0.4">
      <c r="A292" s="20"/>
      <c r="B292" s="21"/>
      <c r="C292" s="22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</row>
    <row r="293" spans="1:216" ht="15.75" hidden="1" customHeight="1" x14ac:dyDescent="0.4">
      <c r="A293" s="20"/>
      <c r="B293" s="21"/>
      <c r="C293" s="22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</row>
    <row r="294" spans="1:216" ht="15.75" hidden="1" customHeight="1" x14ac:dyDescent="0.4">
      <c r="A294" s="20"/>
      <c r="B294" s="21"/>
      <c r="C294" s="22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</row>
    <row r="295" spans="1:216" ht="15.75" hidden="1" customHeight="1" x14ac:dyDescent="0.4">
      <c r="A295" s="20"/>
      <c r="B295" s="21"/>
      <c r="C295" s="22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</row>
    <row r="296" spans="1:216" ht="15.75" hidden="1" customHeight="1" x14ac:dyDescent="0.4">
      <c r="A296" s="20"/>
      <c r="B296" s="21"/>
      <c r="C296" s="22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</row>
    <row r="297" spans="1:216" ht="15.75" hidden="1" customHeight="1" x14ac:dyDescent="0.4">
      <c r="A297" s="20"/>
      <c r="B297" s="21"/>
      <c r="C297" s="22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</row>
    <row r="298" spans="1:216" ht="15.75" hidden="1" customHeight="1" x14ac:dyDescent="0.4">
      <c r="A298" s="20"/>
      <c r="B298" s="21"/>
      <c r="C298" s="22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</row>
    <row r="299" spans="1:216" ht="15.75" hidden="1" customHeight="1" x14ac:dyDescent="0.4">
      <c r="A299" s="20"/>
      <c r="B299" s="21"/>
      <c r="C299" s="22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</row>
    <row r="300" spans="1:216" ht="15.75" hidden="1" customHeight="1" x14ac:dyDescent="0.4">
      <c r="A300" s="20"/>
      <c r="B300" s="21"/>
      <c r="C300" s="22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</row>
    <row r="301" spans="1:216" ht="15.75" hidden="1" customHeight="1" x14ac:dyDescent="0.4">
      <c r="A301" s="20"/>
      <c r="B301" s="21"/>
      <c r="C301" s="22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</row>
    <row r="302" spans="1:216" ht="15.75" hidden="1" customHeight="1" x14ac:dyDescent="0.4">
      <c r="A302" s="20"/>
      <c r="B302" s="21"/>
      <c r="C302" s="22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</row>
    <row r="303" spans="1:216" ht="15.75" hidden="1" customHeight="1" x14ac:dyDescent="0.4">
      <c r="A303" s="20"/>
      <c r="B303" s="21"/>
      <c r="C303" s="22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</row>
    <row r="304" spans="1:216" ht="15.75" hidden="1" customHeight="1" x14ac:dyDescent="0.4">
      <c r="A304" s="20"/>
      <c r="B304" s="21"/>
      <c r="C304" s="22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</row>
    <row r="305" spans="1:216" ht="15.75" hidden="1" customHeight="1" x14ac:dyDescent="0.4">
      <c r="A305" s="20"/>
      <c r="B305" s="21"/>
      <c r="C305" s="22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</row>
    <row r="306" spans="1:216" ht="15.75" hidden="1" customHeight="1" x14ac:dyDescent="0.4">
      <c r="A306" s="20"/>
      <c r="B306" s="21"/>
      <c r="C306" s="22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</row>
    <row r="307" spans="1:216" ht="15.75" hidden="1" customHeight="1" x14ac:dyDescent="0.4">
      <c r="A307" s="20"/>
      <c r="B307" s="21"/>
      <c r="C307" s="22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</row>
    <row r="308" spans="1:216" ht="15.75" hidden="1" customHeight="1" x14ac:dyDescent="0.4">
      <c r="A308" s="20"/>
      <c r="B308" s="21"/>
      <c r="C308" s="22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</row>
    <row r="309" spans="1:216" ht="15.75" hidden="1" customHeight="1" x14ac:dyDescent="0.4">
      <c r="A309" s="20"/>
      <c r="B309" s="21"/>
      <c r="C309" s="22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</row>
    <row r="310" spans="1:216" ht="15.75" hidden="1" customHeight="1" x14ac:dyDescent="0.4">
      <c r="A310" s="20"/>
      <c r="B310" s="21"/>
      <c r="C310" s="22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</row>
    <row r="311" spans="1:216" ht="15.75" hidden="1" customHeight="1" x14ac:dyDescent="0.4">
      <c r="A311" s="20"/>
      <c r="B311" s="21"/>
      <c r="C311" s="22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</row>
    <row r="312" spans="1:216" ht="15.75" hidden="1" customHeight="1" x14ac:dyDescent="0.4">
      <c r="A312" s="20"/>
      <c r="B312" s="21"/>
      <c r="C312" s="22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</row>
    <row r="313" spans="1:216" ht="15.75" hidden="1" customHeight="1" x14ac:dyDescent="0.4">
      <c r="A313" s="20"/>
      <c r="B313" s="21"/>
      <c r="C313" s="22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</row>
    <row r="314" spans="1:216" ht="15.75" hidden="1" customHeight="1" x14ac:dyDescent="0.4">
      <c r="A314" s="20"/>
      <c r="B314" s="21"/>
      <c r="C314" s="22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</row>
    <row r="315" spans="1:216" ht="15.75" hidden="1" customHeight="1" x14ac:dyDescent="0.4">
      <c r="A315" s="20"/>
      <c r="B315" s="21"/>
      <c r="C315" s="22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</row>
    <row r="316" spans="1:216" ht="15.75" hidden="1" customHeight="1" x14ac:dyDescent="0.4">
      <c r="A316" s="20"/>
      <c r="B316" s="21"/>
      <c r="C316" s="22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</row>
    <row r="317" spans="1:216" ht="15.75" hidden="1" customHeight="1" x14ac:dyDescent="0.4">
      <c r="A317" s="20"/>
      <c r="B317" s="21"/>
      <c r="C317" s="22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</row>
    <row r="318" spans="1:216" ht="15.75" hidden="1" customHeight="1" x14ac:dyDescent="0.4">
      <c r="A318" s="20"/>
      <c r="B318" s="21"/>
      <c r="C318" s="22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</row>
    <row r="319" spans="1:216" ht="15.75" hidden="1" customHeight="1" x14ac:dyDescent="0.4">
      <c r="A319" s="20"/>
      <c r="B319" s="21"/>
      <c r="C319" s="22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</row>
    <row r="320" spans="1:216" ht="15.75" hidden="1" customHeight="1" x14ac:dyDescent="0.4">
      <c r="A320" s="20"/>
      <c r="B320" s="21"/>
      <c r="C320" s="22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</row>
    <row r="321" spans="1:216" ht="15.75" hidden="1" customHeight="1" x14ac:dyDescent="0.4">
      <c r="A321" s="20"/>
      <c r="B321" s="21"/>
      <c r="C321" s="22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</row>
    <row r="322" spans="1:216" ht="15.75" hidden="1" customHeight="1" x14ac:dyDescent="0.4">
      <c r="A322" s="20"/>
      <c r="B322" s="21"/>
      <c r="C322" s="22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</row>
    <row r="323" spans="1:216" ht="15.75" hidden="1" customHeight="1" x14ac:dyDescent="0.4">
      <c r="A323" s="20"/>
      <c r="B323" s="21"/>
      <c r="C323" s="22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</row>
    <row r="324" spans="1:216" ht="15.75" hidden="1" customHeight="1" x14ac:dyDescent="0.4">
      <c r="A324" s="20"/>
      <c r="B324" s="21"/>
      <c r="C324" s="22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</row>
    <row r="325" spans="1:216" ht="15.75" hidden="1" customHeight="1" x14ac:dyDescent="0.4">
      <c r="A325" s="20"/>
      <c r="B325" s="21"/>
      <c r="C325" s="22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</row>
    <row r="326" spans="1:216" ht="15.75" hidden="1" customHeight="1" x14ac:dyDescent="0.4">
      <c r="A326" s="20"/>
      <c r="B326" s="21"/>
      <c r="C326" s="22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</row>
    <row r="327" spans="1:216" ht="15.75" hidden="1" customHeight="1" x14ac:dyDescent="0.4">
      <c r="A327" s="20"/>
      <c r="B327" s="21"/>
      <c r="C327" s="22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</row>
    <row r="328" spans="1:216" ht="15.75" hidden="1" customHeight="1" x14ac:dyDescent="0.4">
      <c r="A328" s="20"/>
      <c r="B328" s="21"/>
      <c r="C328" s="22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</row>
    <row r="329" spans="1:216" ht="15.75" hidden="1" customHeight="1" x14ac:dyDescent="0.4">
      <c r="A329" s="20"/>
      <c r="B329" s="21"/>
      <c r="C329" s="22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</row>
    <row r="330" spans="1:216" ht="15.75" hidden="1" customHeight="1" x14ac:dyDescent="0.4">
      <c r="A330" s="20"/>
      <c r="B330" s="21"/>
      <c r="C330" s="22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</row>
    <row r="331" spans="1:216" ht="15.75" hidden="1" customHeight="1" x14ac:dyDescent="0.4">
      <c r="A331" s="20"/>
      <c r="B331" s="21"/>
      <c r="C331" s="22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</row>
    <row r="332" spans="1:216" ht="15.75" hidden="1" customHeight="1" x14ac:dyDescent="0.4">
      <c r="A332" s="20"/>
      <c r="B332" s="21"/>
      <c r="C332" s="22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</row>
    <row r="333" spans="1:216" ht="15.75" hidden="1" customHeight="1" x14ac:dyDescent="0.4">
      <c r="A333" s="20"/>
      <c r="B333" s="21"/>
      <c r="C333" s="22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</row>
    <row r="334" spans="1:216" ht="15.75" hidden="1" customHeight="1" x14ac:dyDescent="0.4">
      <c r="A334" s="20"/>
      <c r="B334" s="21"/>
      <c r="C334" s="22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</row>
    <row r="335" spans="1:216" ht="15.75" hidden="1" customHeight="1" x14ac:dyDescent="0.4">
      <c r="A335" s="20"/>
      <c r="B335" s="21"/>
      <c r="C335" s="22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</row>
    <row r="336" spans="1:216" ht="15.75" hidden="1" customHeight="1" x14ac:dyDescent="0.4">
      <c r="A336" s="20"/>
      <c r="B336" s="21"/>
      <c r="C336" s="22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</row>
    <row r="337" spans="1:216" ht="15.75" hidden="1" customHeight="1" x14ac:dyDescent="0.4">
      <c r="A337" s="20"/>
      <c r="B337" s="21"/>
      <c r="C337" s="22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</row>
    <row r="338" spans="1:216" ht="15.75" hidden="1" customHeight="1" x14ac:dyDescent="0.4">
      <c r="A338" s="20"/>
      <c r="B338" s="21"/>
      <c r="C338" s="22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</row>
    <row r="339" spans="1:216" ht="15.75" hidden="1" customHeight="1" x14ac:dyDescent="0.4">
      <c r="A339" s="20"/>
      <c r="B339" s="21"/>
      <c r="C339" s="22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</row>
    <row r="340" spans="1:216" ht="15.75" hidden="1" customHeight="1" x14ac:dyDescent="0.4">
      <c r="A340" s="20"/>
      <c r="B340" s="21"/>
      <c r="C340" s="22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</row>
    <row r="341" spans="1:216" ht="15.75" hidden="1" customHeight="1" x14ac:dyDescent="0.4">
      <c r="A341" s="20"/>
      <c r="B341" s="21"/>
      <c r="C341" s="22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</row>
    <row r="342" spans="1:216" ht="15.75" hidden="1" customHeight="1" x14ac:dyDescent="0.4">
      <c r="A342" s="20"/>
      <c r="B342" s="21"/>
      <c r="C342" s="22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</row>
    <row r="343" spans="1:216" ht="15.75" hidden="1" customHeight="1" x14ac:dyDescent="0.4">
      <c r="A343" s="20"/>
      <c r="B343" s="21"/>
      <c r="C343" s="22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</row>
    <row r="344" spans="1:216" ht="15.75" hidden="1" customHeight="1" x14ac:dyDescent="0.4">
      <c r="A344" s="20"/>
      <c r="B344" s="21"/>
      <c r="C344" s="22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</row>
    <row r="345" spans="1:216" ht="15.75" hidden="1" customHeight="1" x14ac:dyDescent="0.4">
      <c r="A345" s="20"/>
      <c r="B345" s="21"/>
      <c r="C345" s="22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</row>
    <row r="346" spans="1:216" ht="15.75" hidden="1" customHeight="1" x14ac:dyDescent="0.4">
      <c r="A346" s="20"/>
      <c r="B346" s="21"/>
      <c r="C346" s="22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</row>
    <row r="347" spans="1:216" ht="15.75" hidden="1" customHeight="1" x14ac:dyDescent="0.4">
      <c r="A347" s="20"/>
      <c r="B347" s="21"/>
      <c r="C347" s="22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</row>
    <row r="348" spans="1:216" ht="15.75" hidden="1" customHeight="1" x14ac:dyDescent="0.4">
      <c r="A348" s="20"/>
      <c r="B348" s="21"/>
      <c r="C348" s="22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</row>
    <row r="349" spans="1:216" ht="15.75" hidden="1" customHeight="1" x14ac:dyDescent="0.4">
      <c r="A349" s="20"/>
      <c r="B349" s="21"/>
      <c r="C349" s="22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</row>
    <row r="350" spans="1:216" ht="15.75" hidden="1" customHeight="1" x14ac:dyDescent="0.4">
      <c r="A350" s="20"/>
      <c r="B350" s="21"/>
      <c r="C350" s="22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</row>
    <row r="351" spans="1:216" ht="15.75" hidden="1" customHeight="1" x14ac:dyDescent="0.4">
      <c r="A351" s="20"/>
      <c r="B351" s="21"/>
      <c r="C351" s="22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</row>
    <row r="352" spans="1:216" ht="15.75" hidden="1" customHeight="1" x14ac:dyDescent="0.4">
      <c r="A352" s="20"/>
      <c r="B352" s="21"/>
      <c r="C352" s="22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</row>
    <row r="353" spans="1:216" ht="15.75" hidden="1" customHeight="1" x14ac:dyDescent="0.4">
      <c r="A353" s="20"/>
      <c r="B353" s="21"/>
      <c r="C353" s="22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</row>
    <row r="354" spans="1:216" ht="15.75" hidden="1" customHeight="1" x14ac:dyDescent="0.4">
      <c r="A354" s="20"/>
      <c r="B354" s="21"/>
      <c r="C354" s="22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</row>
    <row r="355" spans="1:216" ht="15.75" hidden="1" customHeight="1" x14ac:dyDescent="0.4">
      <c r="A355" s="20"/>
      <c r="B355" s="21"/>
      <c r="C355" s="22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</row>
    <row r="356" spans="1:216" ht="15.75" hidden="1" customHeight="1" x14ac:dyDescent="0.4">
      <c r="A356" s="20"/>
      <c r="B356" s="21"/>
      <c r="C356" s="22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</row>
    <row r="357" spans="1:216" ht="15.75" hidden="1" customHeight="1" x14ac:dyDescent="0.4">
      <c r="A357" s="20"/>
      <c r="B357" s="21"/>
      <c r="C357" s="22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</row>
    <row r="358" spans="1:216" ht="15.75" hidden="1" customHeight="1" x14ac:dyDescent="0.4">
      <c r="A358" s="20"/>
      <c r="B358" s="21"/>
      <c r="C358" s="22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</row>
    <row r="359" spans="1:216" ht="15.75" hidden="1" customHeight="1" x14ac:dyDescent="0.4">
      <c r="A359" s="20"/>
      <c r="B359" s="21"/>
      <c r="C359" s="22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</row>
    <row r="360" spans="1:216" ht="15.75" hidden="1" customHeight="1" x14ac:dyDescent="0.4">
      <c r="A360" s="20"/>
      <c r="B360" s="21"/>
      <c r="C360" s="22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</row>
    <row r="361" spans="1:216" ht="15.75" hidden="1" customHeight="1" x14ac:dyDescent="0.4">
      <c r="A361" s="20"/>
      <c r="B361" s="21"/>
      <c r="C361" s="22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</row>
    <row r="362" spans="1:216" ht="15.75" hidden="1" customHeight="1" x14ac:dyDescent="0.4">
      <c r="A362" s="20"/>
      <c r="B362" s="21"/>
      <c r="C362" s="22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</row>
    <row r="363" spans="1:216" ht="15.75" hidden="1" customHeight="1" x14ac:dyDescent="0.4">
      <c r="A363" s="20"/>
      <c r="B363" s="21"/>
      <c r="C363" s="22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</row>
    <row r="364" spans="1:216" ht="15.75" hidden="1" customHeight="1" x14ac:dyDescent="0.4">
      <c r="A364" s="20"/>
      <c r="B364" s="21"/>
      <c r="C364" s="22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</row>
    <row r="365" spans="1:216" ht="15.75" hidden="1" customHeight="1" x14ac:dyDescent="0.4">
      <c r="A365" s="20"/>
      <c r="B365" s="21"/>
      <c r="C365" s="22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</row>
    <row r="366" spans="1:216" ht="15.75" hidden="1" customHeight="1" x14ac:dyDescent="0.4">
      <c r="A366" s="20"/>
      <c r="B366" s="21"/>
      <c r="C366" s="22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</row>
    <row r="367" spans="1:216" ht="15.75" hidden="1" customHeight="1" x14ac:dyDescent="0.4">
      <c r="A367" s="20"/>
      <c r="B367" s="21"/>
      <c r="C367" s="22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</row>
    <row r="368" spans="1:216" ht="15.75" hidden="1" customHeight="1" x14ac:dyDescent="0.4">
      <c r="A368" s="20"/>
      <c r="B368" s="21"/>
      <c r="C368" s="22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</row>
    <row r="369" spans="1:216" ht="15.75" hidden="1" customHeight="1" x14ac:dyDescent="0.4">
      <c r="A369" s="20"/>
      <c r="B369" s="21"/>
      <c r="C369" s="22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</row>
    <row r="370" spans="1:216" ht="15.75" hidden="1" customHeight="1" x14ac:dyDescent="0.4">
      <c r="A370" s="20"/>
      <c r="B370" s="21"/>
      <c r="C370" s="22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</row>
    <row r="371" spans="1:216" ht="15.75" hidden="1" customHeight="1" x14ac:dyDescent="0.4">
      <c r="A371" s="20"/>
      <c r="B371" s="21"/>
      <c r="C371" s="22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</row>
    <row r="372" spans="1:216" ht="15.75" hidden="1" customHeight="1" x14ac:dyDescent="0.4">
      <c r="A372" s="20"/>
      <c r="B372" s="21"/>
      <c r="C372" s="22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</row>
    <row r="373" spans="1:216" ht="15.75" hidden="1" customHeight="1" x14ac:dyDescent="0.4">
      <c r="A373" s="20"/>
      <c r="B373" s="21"/>
      <c r="C373" s="22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</row>
    <row r="374" spans="1:216" ht="15.75" hidden="1" customHeight="1" x14ac:dyDescent="0.4">
      <c r="A374" s="20"/>
      <c r="B374" s="21"/>
      <c r="C374" s="22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</row>
    <row r="375" spans="1:216" ht="15.75" hidden="1" customHeight="1" x14ac:dyDescent="0.4">
      <c r="A375" s="20"/>
      <c r="B375" s="21"/>
      <c r="C375" s="22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</row>
    <row r="376" spans="1:216" ht="15.75" hidden="1" customHeight="1" x14ac:dyDescent="0.4">
      <c r="A376" s="20"/>
      <c r="B376" s="21"/>
      <c r="C376" s="22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</row>
    <row r="377" spans="1:216" ht="15.75" hidden="1" customHeight="1" x14ac:dyDescent="0.4">
      <c r="A377" s="20"/>
      <c r="B377" s="21"/>
      <c r="C377" s="22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</row>
    <row r="378" spans="1:216" ht="15.75" hidden="1" customHeight="1" x14ac:dyDescent="0.4">
      <c r="A378" s="20"/>
      <c r="B378" s="21"/>
      <c r="C378" s="22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</row>
    <row r="379" spans="1:216" ht="15.75" hidden="1" customHeight="1" x14ac:dyDescent="0.4">
      <c r="A379" s="20"/>
      <c r="B379" s="21"/>
      <c r="C379" s="22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</row>
    <row r="380" spans="1:216" ht="15.75" hidden="1" customHeight="1" x14ac:dyDescent="0.4">
      <c r="A380" s="20"/>
      <c r="B380" s="21"/>
      <c r="C380" s="22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</row>
    <row r="381" spans="1:216" ht="15.75" hidden="1" customHeight="1" x14ac:dyDescent="0.4">
      <c r="A381" s="20"/>
      <c r="B381" s="21"/>
      <c r="C381" s="22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</row>
    <row r="382" spans="1:216" ht="15.75" hidden="1" customHeight="1" x14ac:dyDescent="0.4">
      <c r="A382" s="20"/>
      <c r="B382" s="21"/>
      <c r="C382" s="22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</row>
    <row r="383" spans="1:216" ht="15.75" hidden="1" customHeight="1" x14ac:dyDescent="0.4">
      <c r="A383" s="20"/>
      <c r="B383" s="21"/>
      <c r="C383" s="22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</row>
    <row r="384" spans="1:216" ht="15.75" hidden="1" customHeight="1" x14ac:dyDescent="0.4">
      <c r="A384" s="20"/>
      <c r="B384" s="21"/>
      <c r="C384" s="22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</row>
    <row r="385" spans="1:216" ht="15.75" hidden="1" customHeight="1" x14ac:dyDescent="0.4">
      <c r="A385" s="20"/>
      <c r="B385" s="21"/>
      <c r="C385" s="22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</row>
    <row r="386" spans="1:216" ht="15.75" hidden="1" customHeight="1" x14ac:dyDescent="0.4">
      <c r="A386" s="20"/>
      <c r="B386" s="21"/>
      <c r="C386" s="22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</row>
    <row r="387" spans="1:216" ht="15.75" hidden="1" customHeight="1" x14ac:dyDescent="0.4">
      <c r="A387" s="20"/>
      <c r="B387" s="21"/>
      <c r="C387" s="22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</row>
    <row r="388" spans="1:216" ht="15.75" hidden="1" customHeight="1" x14ac:dyDescent="0.4">
      <c r="A388" s="20"/>
      <c r="B388" s="21"/>
      <c r="C388" s="22"/>
      <c r="D388" s="20"/>
      <c r="E388" s="20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</row>
    <row r="389" spans="1:216" ht="15.75" hidden="1" customHeight="1" x14ac:dyDescent="0.4">
      <c r="A389" s="20"/>
      <c r="B389" s="21"/>
      <c r="C389" s="22"/>
      <c r="D389" s="20"/>
      <c r="E389" s="20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</row>
    <row r="390" spans="1:216" ht="15.75" hidden="1" customHeight="1" x14ac:dyDescent="0.4">
      <c r="A390" s="20"/>
      <c r="B390" s="21"/>
      <c r="C390" s="22"/>
      <c r="D390" s="20"/>
      <c r="E390" s="20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</row>
    <row r="391" spans="1:216" ht="15.75" hidden="1" customHeight="1" x14ac:dyDescent="0.4">
      <c r="A391" s="20"/>
      <c r="B391" s="21"/>
      <c r="C391" s="22"/>
      <c r="D391" s="20"/>
      <c r="E391" s="20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</row>
    <row r="392" spans="1:216" ht="15.75" hidden="1" customHeight="1" x14ac:dyDescent="0.4">
      <c r="A392" s="20"/>
      <c r="B392" s="21"/>
      <c r="C392" s="22"/>
      <c r="D392" s="20"/>
      <c r="E392" s="20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</row>
    <row r="393" spans="1:216" ht="15.75" hidden="1" customHeight="1" x14ac:dyDescent="0.4">
      <c r="A393" s="20"/>
      <c r="B393" s="21"/>
      <c r="C393" s="22"/>
      <c r="D393" s="20"/>
      <c r="E393" s="20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</row>
    <row r="394" spans="1:216" ht="15.75" hidden="1" customHeight="1" x14ac:dyDescent="0.4">
      <c r="A394" s="20"/>
      <c r="B394" s="21"/>
      <c r="C394" s="22"/>
      <c r="D394" s="20"/>
      <c r="E394" s="20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</row>
    <row r="395" spans="1:216" ht="15.75" hidden="1" customHeight="1" x14ac:dyDescent="0.4"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</row>
    <row r="396" spans="1:216" ht="15.75" hidden="1" customHeight="1" x14ac:dyDescent="0.4"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</row>
    <row r="397" spans="1:216" ht="15.75" hidden="1" customHeight="1" x14ac:dyDescent="0.4"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</row>
    <row r="398" spans="1:216" ht="15.75" hidden="1" customHeight="1" x14ac:dyDescent="0.4"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</row>
    <row r="399" spans="1:216" ht="15.75" hidden="1" customHeight="1" x14ac:dyDescent="0.4"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</row>
    <row r="400" spans="1:216" ht="15.75" hidden="1" customHeight="1" x14ac:dyDescent="0.4"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</row>
    <row r="401" spans="16:216" ht="15.75" hidden="1" customHeight="1" x14ac:dyDescent="0.4"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</row>
    <row r="402" spans="16:216" ht="15.75" hidden="1" customHeight="1" x14ac:dyDescent="0.4"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</row>
    <row r="403" spans="16:216" ht="15.75" hidden="1" customHeight="1" x14ac:dyDescent="0.4"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</row>
    <row r="404" spans="16:216" ht="15.75" hidden="1" customHeight="1" x14ac:dyDescent="0.4"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</row>
    <row r="405" spans="16:216" ht="15.75" hidden="1" customHeight="1" x14ac:dyDescent="0.4"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</row>
    <row r="406" spans="16:216" ht="15.75" hidden="1" customHeight="1" x14ac:dyDescent="0.4"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</row>
    <row r="407" spans="16:216" ht="15.75" hidden="1" customHeight="1" x14ac:dyDescent="0.4"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</row>
    <row r="408" spans="16:216" ht="15.75" hidden="1" customHeight="1" x14ac:dyDescent="0.4"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</row>
    <row r="409" spans="16:216" ht="15.75" hidden="1" customHeight="1" x14ac:dyDescent="0.4"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</row>
    <row r="410" spans="16:216" ht="15.75" hidden="1" customHeight="1" x14ac:dyDescent="0.4"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</row>
    <row r="411" spans="16:216" ht="15.75" hidden="1" customHeight="1" x14ac:dyDescent="0.4"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</row>
    <row r="412" spans="16:216" ht="15.75" hidden="1" customHeight="1" x14ac:dyDescent="0.4"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</row>
    <row r="413" spans="16:216" ht="15.75" hidden="1" customHeight="1" x14ac:dyDescent="0.4"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</row>
    <row r="414" spans="16:216" ht="15.75" hidden="1" customHeight="1" x14ac:dyDescent="0.4"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</row>
    <row r="415" spans="16:216" ht="15.75" hidden="1" customHeight="1" x14ac:dyDescent="0.4"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</row>
    <row r="416" spans="16:216" ht="15.75" hidden="1" customHeight="1" x14ac:dyDescent="0.4"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</row>
    <row r="417" spans="16:216" ht="15.75" hidden="1" customHeight="1" x14ac:dyDescent="0.4"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</row>
    <row r="418" spans="16:216" ht="15.75" hidden="1" customHeight="1" x14ac:dyDescent="0.4"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</row>
    <row r="419" spans="16:216" ht="15.75" hidden="1" customHeight="1" x14ac:dyDescent="0.4"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</row>
    <row r="420" spans="16:216" ht="15.75" hidden="1" customHeight="1" x14ac:dyDescent="0.4"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</row>
    <row r="421" spans="16:216" ht="15.75" hidden="1" customHeight="1" x14ac:dyDescent="0.4"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</row>
    <row r="422" spans="16:216" ht="15.75" hidden="1" customHeight="1" x14ac:dyDescent="0.4"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</row>
    <row r="423" spans="16:216" ht="15.75" hidden="1" customHeight="1" x14ac:dyDescent="0.4"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</row>
    <row r="424" spans="16:216" ht="15.75" hidden="1" customHeight="1" x14ac:dyDescent="0.4"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</row>
    <row r="425" spans="16:216" ht="15.75" hidden="1" customHeight="1" x14ac:dyDescent="0.4"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</row>
    <row r="426" spans="16:216" ht="15.75" hidden="1" customHeight="1" x14ac:dyDescent="0.4"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</row>
    <row r="427" spans="16:216" ht="15.75" hidden="1" customHeight="1" x14ac:dyDescent="0.4"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</row>
    <row r="428" spans="16:216" ht="15.75" hidden="1" customHeight="1" x14ac:dyDescent="0.4"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</row>
    <row r="429" spans="16:216" ht="15.75" hidden="1" customHeight="1" x14ac:dyDescent="0.4"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</row>
    <row r="430" spans="16:216" ht="15.75" hidden="1" customHeight="1" x14ac:dyDescent="0.4"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</row>
    <row r="431" spans="16:216" ht="15.75" hidden="1" customHeight="1" x14ac:dyDescent="0.4"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</row>
    <row r="432" spans="16:216" ht="15.75" hidden="1" customHeight="1" x14ac:dyDescent="0.4"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</row>
    <row r="433" spans="16:216" ht="15.75" hidden="1" customHeight="1" x14ac:dyDescent="0.4"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</row>
    <row r="434" spans="16:216" ht="15.75" hidden="1" customHeight="1" x14ac:dyDescent="0.4"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</row>
    <row r="435" spans="16:216" ht="15.75" hidden="1" customHeight="1" x14ac:dyDescent="0.4"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</row>
    <row r="436" spans="16:216" ht="15.75" hidden="1" customHeight="1" x14ac:dyDescent="0.4"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</row>
    <row r="437" spans="16:216" ht="15.75" hidden="1" customHeight="1" x14ac:dyDescent="0.4"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</row>
    <row r="438" spans="16:216" ht="15.75" hidden="1" customHeight="1" x14ac:dyDescent="0.4"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</row>
    <row r="439" spans="16:216" ht="15.75" hidden="1" customHeight="1" x14ac:dyDescent="0.4"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</row>
    <row r="440" spans="16:216" ht="15.75" hidden="1" customHeight="1" x14ac:dyDescent="0.4"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</row>
    <row r="441" spans="16:216" ht="15.75" hidden="1" customHeight="1" x14ac:dyDescent="0.4"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</row>
    <row r="442" spans="16:216" ht="15.75" hidden="1" customHeight="1" x14ac:dyDescent="0.4"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</row>
    <row r="443" spans="16:216" ht="15.75" hidden="1" customHeight="1" x14ac:dyDescent="0.4"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</row>
    <row r="444" spans="16:216" ht="15.75" hidden="1" customHeight="1" x14ac:dyDescent="0.4"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</row>
    <row r="445" spans="16:216" ht="15.75" hidden="1" customHeight="1" x14ac:dyDescent="0.4"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</row>
    <row r="446" spans="16:216" ht="15.75" hidden="1" customHeight="1" x14ac:dyDescent="0.4"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</row>
    <row r="447" spans="16:216" ht="15.75" hidden="1" customHeight="1" x14ac:dyDescent="0.4"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</row>
    <row r="448" spans="16:216" ht="15.75" hidden="1" customHeight="1" x14ac:dyDescent="0.4"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</row>
    <row r="449" spans="16:216" ht="15.75" hidden="1" customHeight="1" x14ac:dyDescent="0.4"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</row>
    <row r="450" spans="16:216" ht="15.75" hidden="1" customHeight="1" x14ac:dyDescent="0.4"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</row>
    <row r="451" spans="16:216" ht="15.75" hidden="1" customHeight="1" x14ac:dyDescent="0.4"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</row>
    <row r="452" spans="16:216" ht="15.75" hidden="1" customHeight="1" x14ac:dyDescent="0.4"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</row>
    <row r="453" spans="16:216" ht="15.75" hidden="1" customHeight="1" x14ac:dyDescent="0.4"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</row>
    <row r="454" spans="16:216" ht="15.75" hidden="1" customHeight="1" x14ac:dyDescent="0.4"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</row>
    <row r="455" spans="16:216" ht="15.75" hidden="1" customHeight="1" x14ac:dyDescent="0.4"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</row>
    <row r="456" spans="16:216" ht="15.75" hidden="1" customHeight="1" x14ac:dyDescent="0.4"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</row>
    <row r="457" spans="16:216" ht="15.75" hidden="1" customHeight="1" x14ac:dyDescent="0.4"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</row>
    <row r="458" spans="16:216" ht="15.75" hidden="1" customHeight="1" x14ac:dyDescent="0.4"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</row>
    <row r="459" spans="16:216" ht="15.75" hidden="1" customHeight="1" x14ac:dyDescent="0.4"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</row>
    <row r="460" spans="16:216" ht="15.75" hidden="1" customHeight="1" x14ac:dyDescent="0.4"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</row>
    <row r="461" spans="16:216" ht="15.75" hidden="1" customHeight="1" x14ac:dyDescent="0.4"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</row>
    <row r="462" spans="16:216" ht="15.75" hidden="1" customHeight="1" x14ac:dyDescent="0.4"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</row>
    <row r="463" spans="16:216" ht="15.75" hidden="1" customHeight="1" x14ac:dyDescent="0.4"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</row>
    <row r="464" spans="16:216" ht="15.75" hidden="1" customHeight="1" x14ac:dyDescent="0.4"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</row>
    <row r="465" spans="16:216" ht="15.75" hidden="1" customHeight="1" x14ac:dyDescent="0.4"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</row>
    <row r="466" spans="16:216" ht="15.75" hidden="1" customHeight="1" x14ac:dyDescent="0.4"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</row>
    <row r="467" spans="16:216" ht="15.75" hidden="1" customHeight="1" x14ac:dyDescent="0.4"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</row>
    <row r="468" spans="16:216" ht="15.75" hidden="1" customHeight="1" x14ac:dyDescent="0.4"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</row>
    <row r="469" spans="16:216" ht="15.75" hidden="1" customHeight="1" x14ac:dyDescent="0.4"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</row>
    <row r="470" spans="16:216" ht="15.75" hidden="1" customHeight="1" x14ac:dyDescent="0.4"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</row>
    <row r="471" spans="16:216" ht="15.75" hidden="1" customHeight="1" x14ac:dyDescent="0.4"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</row>
    <row r="472" spans="16:216" ht="15.75" hidden="1" customHeight="1" x14ac:dyDescent="0.4"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</row>
    <row r="473" spans="16:216" ht="15.75" hidden="1" customHeight="1" x14ac:dyDescent="0.4"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</row>
    <row r="474" spans="16:216" ht="15.75" hidden="1" customHeight="1" x14ac:dyDescent="0.4"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</row>
    <row r="475" spans="16:216" ht="15.75" hidden="1" customHeight="1" x14ac:dyDescent="0.4"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</row>
    <row r="476" spans="16:216" ht="15.75" hidden="1" customHeight="1" x14ac:dyDescent="0.4"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</row>
    <row r="477" spans="16:216" ht="15.75" hidden="1" customHeight="1" x14ac:dyDescent="0.4"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</row>
    <row r="478" spans="16:216" ht="15.75" hidden="1" customHeight="1" x14ac:dyDescent="0.4"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</row>
    <row r="479" spans="16:216" ht="15.75" hidden="1" customHeight="1" x14ac:dyDescent="0.4"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</row>
    <row r="480" spans="16:216" ht="15.75" hidden="1" customHeight="1" x14ac:dyDescent="0.4"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</row>
    <row r="481" spans="16:216" ht="15.75" hidden="1" customHeight="1" x14ac:dyDescent="0.4"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</row>
    <row r="482" spans="16:216" ht="15.75" hidden="1" customHeight="1" x14ac:dyDescent="0.4"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</row>
    <row r="483" spans="16:216" ht="15.75" hidden="1" customHeight="1" x14ac:dyDescent="0.4"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</row>
    <row r="484" spans="16:216" ht="15.75" hidden="1" customHeight="1" x14ac:dyDescent="0.4"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</row>
    <row r="485" spans="16:216" ht="15.75" hidden="1" customHeight="1" x14ac:dyDescent="0.4"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</row>
    <row r="486" spans="16:216" ht="15.75" hidden="1" customHeight="1" x14ac:dyDescent="0.4"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</row>
    <row r="487" spans="16:216" ht="15.75" hidden="1" customHeight="1" x14ac:dyDescent="0.4"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</row>
    <row r="488" spans="16:216" ht="15.75" hidden="1" customHeight="1" x14ac:dyDescent="0.4"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</row>
    <row r="489" spans="16:216" ht="15.75" hidden="1" customHeight="1" x14ac:dyDescent="0.4"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</row>
    <row r="490" spans="16:216" ht="15.75" hidden="1" customHeight="1" x14ac:dyDescent="0.4"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</row>
    <row r="491" spans="16:216" ht="15.75" hidden="1" customHeight="1" x14ac:dyDescent="0.4"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</row>
    <row r="492" spans="16:216" ht="15.75" hidden="1" customHeight="1" x14ac:dyDescent="0.4"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</row>
    <row r="493" spans="16:216" ht="15.75" hidden="1" customHeight="1" x14ac:dyDescent="0.4"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</row>
    <row r="494" spans="16:216" ht="15.75" hidden="1" customHeight="1" x14ac:dyDescent="0.4"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</row>
    <row r="495" spans="16:216" ht="15.75" hidden="1" customHeight="1" x14ac:dyDescent="0.4"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</row>
    <row r="496" spans="16:216" ht="15.75" hidden="1" customHeight="1" x14ac:dyDescent="0.4"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</row>
    <row r="497" spans="16:216" ht="15.75" hidden="1" customHeight="1" x14ac:dyDescent="0.4"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</row>
    <row r="498" spans="16:216" ht="15.75" hidden="1" customHeight="1" x14ac:dyDescent="0.4"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</row>
    <row r="499" spans="16:216" ht="15.75" hidden="1" customHeight="1" x14ac:dyDescent="0.4"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</row>
    <row r="500" spans="16:216" ht="15.75" hidden="1" customHeight="1" x14ac:dyDescent="0.4"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</row>
    <row r="501" spans="16:216" ht="15.75" hidden="1" customHeight="1" x14ac:dyDescent="0.4"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</row>
    <row r="502" spans="16:216" ht="15.75" hidden="1" customHeight="1" x14ac:dyDescent="0.4"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</row>
    <row r="503" spans="16:216" ht="15.75" hidden="1" customHeight="1" x14ac:dyDescent="0.4"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</row>
    <row r="504" spans="16:216" ht="15.75" hidden="1" customHeight="1" x14ac:dyDescent="0.4"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</row>
    <row r="505" spans="16:216" ht="15.75" hidden="1" customHeight="1" x14ac:dyDescent="0.4"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</row>
    <row r="506" spans="16:216" ht="15.75" hidden="1" customHeight="1" x14ac:dyDescent="0.4"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</row>
    <row r="507" spans="16:216" ht="15.75" hidden="1" customHeight="1" x14ac:dyDescent="0.4"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</row>
    <row r="508" spans="16:216" ht="15.75" hidden="1" customHeight="1" x14ac:dyDescent="0.4"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</row>
    <row r="509" spans="16:216" ht="15.75" hidden="1" customHeight="1" x14ac:dyDescent="0.4"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</row>
    <row r="510" spans="16:216" ht="15.75" hidden="1" customHeight="1" x14ac:dyDescent="0.4"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</row>
    <row r="511" spans="16:216" ht="15.75" hidden="1" customHeight="1" x14ac:dyDescent="0.4"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</row>
    <row r="512" spans="16:216" ht="15.75" hidden="1" customHeight="1" x14ac:dyDescent="0.4"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</row>
    <row r="513" spans="16:216" ht="15.75" hidden="1" customHeight="1" x14ac:dyDescent="0.4"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</row>
    <row r="514" spans="16:216" ht="15.75" hidden="1" customHeight="1" x14ac:dyDescent="0.4"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</row>
    <row r="515" spans="16:216" ht="15.75" hidden="1" customHeight="1" x14ac:dyDescent="0.4"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</row>
    <row r="516" spans="16:216" ht="15.75" hidden="1" customHeight="1" x14ac:dyDescent="0.4"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</row>
    <row r="517" spans="16:216" ht="15.75" hidden="1" customHeight="1" x14ac:dyDescent="0.4"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</row>
    <row r="518" spans="16:216" ht="15.75" hidden="1" customHeight="1" x14ac:dyDescent="0.4"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</row>
    <row r="519" spans="16:216" ht="15.75" hidden="1" customHeight="1" x14ac:dyDescent="0.4"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</row>
    <row r="520" spans="16:216" ht="15.75" hidden="1" customHeight="1" x14ac:dyDescent="0.4"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</row>
    <row r="521" spans="16:216" ht="15.75" hidden="1" customHeight="1" x14ac:dyDescent="0.4"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</row>
    <row r="522" spans="16:216" ht="15.75" hidden="1" customHeight="1" x14ac:dyDescent="0.4"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</row>
    <row r="523" spans="16:216" ht="15.75" hidden="1" customHeight="1" x14ac:dyDescent="0.4"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</row>
    <row r="524" spans="16:216" ht="15.75" hidden="1" customHeight="1" x14ac:dyDescent="0.4"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</row>
    <row r="525" spans="16:216" ht="15.75" hidden="1" customHeight="1" x14ac:dyDescent="0.4"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</row>
    <row r="526" spans="16:216" ht="15.75" hidden="1" customHeight="1" x14ac:dyDescent="0.4"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</row>
    <row r="527" spans="16:216" ht="15.75" hidden="1" customHeight="1" x14ac:dyDescent="0.4"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</row>
    <row r="528" spans="16:216" ht="15.75" hidden="1" customHeight="1" x14ac:dyDescent="0.4"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</row>
    <row r="529" spans="16:216" ht="15.75" hidden="1" customHeight="1" x14ac:dyDescent="0.4"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</row>
    <row r="530" spans="16:216" ht="15.75" hidden="1" customHeight="1" x14ac:dyDescent="0.4"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</row>
    <row r="531" spans="16:216" ht="15.75" hidden="1" customHeight="1" x14ac:dyDescent="0.4"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</row>
    <row r="532" spans="16:216" ht="15.75" hidden="1" customHeight="1" x14ac:dyDescent="0.4"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</row>
    <row r="533" spans="16:216" ht="15.75" hidden="1" customHeight="1" x14ac:dyDescent="0.4"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</row>
    <row r="534" spans="16:216" ht="15.75" hidden="1" customHeight="1" x14ac:dyDescent="0.4"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</row>
    <row r="535" spans="16:216" ht="15.75" hidden="1" customHeight="1" x14ac:dyDescent="0.4"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</row>
    <row r="536" spans="16:216" ht="15.75" hidden="1" customHeight="1" x14ac:dyDescent="0.4"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</row>
    <row r="537" spans="16:216" ht="15.75" hidden="1" customHeight="1" x14ac:dyDescent="0.4"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</row>
    <row r="538" spans="16:216" ht="15.75" hidden="1" customHeight="1" x14ac:dyDescent="0.4"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</row>
    <row r="539" spans="16:216" ht="15.75" hidden="1" customHeight="1" x14ac:dyDescent="0.4"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</row>
    <row r="540" spans="16:216" ht="15.75" hidden="1" customHeight="1" x14ac:dyDescent="0.4"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</row>
    <row r="541" spans="16:216" ht="15.75" hidden="1" customHeight="1" x14ac:dyDescent="0.4"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</row>
    <row r="542" spans="16:216" ht="15.75" hidden="1" customHeight="1" x14ac:dyDescent="0.4"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</row>
    <row r="543" spans="16:216" ht="15.75" hidden="1" customHeight="1" x14ac:dyDescent="0.4"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</row>
    <row r="544" spans="16:216" ht="15.75" hidden="1" customHeight="1" x14ac:dyDescent="0.4"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</row>
    <row r="545" spans="16:216" ht="15.75" hidden="1" customHeight="1" x14ac:dyDescent="0.4"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</row>
    <row r="546" spans="16:216" ht="15.75" hidden="1" customHeight="1" x14ac:dyDescent="0.4"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</row>
    <row r="547" spans="16:216" ht="15.75" hidden="1" customHeight="1" x14ac:dyDescent="0.4"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</row>
    <row r="548" spans="16:216" ht="15.75" hidden="1" customHeight="1" x14ac:dyDescent="0.4"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</row>
    <row r="549" spans="16:216" ht="15.75" hidden="1" customHeight="1" x14ac:dyDescent="0.4"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</row>
    <row r="550" spans="16:216" ht="15.75" hidden="1" customHeight="1" x14ac:dyDescent="0.4"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</row>
    <row r="551" spans="16:216" ht="15.75" hidden="1" customHeight="1" x14ac:dyDescent="0.4"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</row>
    <row r="552" spans="16:216" ht="15.75" hidden="1" customHeight="1" x14ac:dyDescent="0.4"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</row>
    <row r="553" spans="16:216" ht="15.75" hidden="1" customHeight="1" x14ac:dyDescent="0.4"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</row>
    <row r="554" spans="16:216" ht="15.75" hidden="1" customHeight="1" x14ac:dyDescent="0.4"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</row>
    <row r="555" spans="16:216" ht="15.75" hidden="1" customHeight="1" x14ac:dyDescent="0.4"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</row>
    <row r="556" spans="16:216" ht="15.75" hidden="1" customHeight="1" x14ac:dyDescent="0.4"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</row>
    <row r="557" spans="16:216" ht="15.75" hidden="1" customHeight="1" x14ac:dyDescent="0.4"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</row>
    <row r="558" spans="16:216" ht="15.75" hidden="1" customHeight="1" x14ac:dyDescent="0.4"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</row>
    <row r="559" spans="16:216" ht="15.75" hidden="1" customHeight="1" x14ac:dyDescent="0.4"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</row>
    <row r="560" spans="16:216" ht="15.75" hidden="1" customHeight="1" x14ac:dyDescent="0.4"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</row>
    <row r="561" spans="16:216" ht="15.75" hidden="1" customHeight="1" x14ac:dyDescent="0.4"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</row>
    <row r="562" spans="16:216" ht="15.75" hidden="1" customHeight="1" x14ac:dyDescent="0.4"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</row>
    <row r="563" spans="16:216" ht="15.75" hidden="1" customHeight="1" x14ac:dyDescent="0.4"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</row>
    <row r="564" spans="16:216" ht="15.75" hidden="1" customHeight="1" x14ac:dyDescent="0.4"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</row>
    <row r="565" spans="16:216" ht="15.75" hidden="1" customHeight="1" x14ac:dyDescent="0.4"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</row>
    <row r="566" spans="16:216" ht="15.75" hidden="1" customHeight="1" x14ac:dyDescent="0.4"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</row>
    <row r="567" spans="16:216" ht="15.75" hidden="1" customHeight="1" x14ac:dyDescent="0.4"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</row>
    <row r="568" spans="16:216" ht="15.75" hidden="1" customHeight="1" x14ac:dyDescent="0.4"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</row>
    <row r="569" spans="16:216" ht="15.75" hidden="1" customHeight="1" x14ac:dyDescent="0.4"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</row>
    <row r="570" spans="16:216" ht="15.75" hidden="1" customHeight="1" x14ac:dyDescent="0.4"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</row>
    <row r="571" spans="16:216" ht="15.75" hidden="1" customHeight="1" x14ac:dyDescent="0.4"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</row>
    <row r="572" spans="16:216" ht="15.75" hidden="1" customHeight="1" x14ac:dyDescent="0.4"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</row>
    <row r="573" spans="16:216" ht="15.75" hidden="1" customHeight="1" x14ac:dyDescent="0.4"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</row>
    <row r="574" spans="16:216" ht="15.75" hidden="1" customHeight="1" x14ac:dyDescent="0.4"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</row>
    <row r="575" spans="16:216" ht="15.75" hidden="1" customHeight="1" x14ac:dyDescent="0.4"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</row>
    <row r="576" spans="16:216" ht="15.75" hidden="1" customHeight="1" x14ac:dyDescent="0.4"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</row>
    <row r="577" spans="16:216" ht="15.75" hidden="1" customHeight="1" x14ac:dyDescent="0.4"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</row>
    <row r="578" spans="16:216" ht="15.75" hidden="1" customHeight="1" x14ac:dyDescent="0.4"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</row>
    <row r="579" spans="16:216" ht="15.75" hidden="1" customHeight="1" x14ac:dyDescent="0.4"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</row>
    <row r="580" spans="16:216" ht="15.75" hidden="1" customHeight="1" x14ac:dyDescent="0.4"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</row>
    <row r="581" spans="16:216" ht="15.75" hidden="1" customHeight="1" x14ac:dyDescent="0.4"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</row>
    <row r="582" spans="16:216" ht="15.75" hidden="1" customHeight="1" x14ac:dyDescent="0.4"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</row>
    <row r="583" spans="16:216" ht="15.75" hidden="1" customHeight="1" x14ac:dyDescent="0.4"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</row>
    <row r="584" spans="16:216" ht="15.75" hidden="1" customHeight="1" x14ac:dyDescent="0.4"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</row>
    <row r="585" spans="16:216" ht="15.75" hidden="1" customHeight="1" x14ac:dyDescent="0.4"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</row>
    <row r="586" spans="16:216" ht="15.75" hidden="1" customHeight="1" x14ac:dyDescent="0.4"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</row>
    <row r="587" spans="16:216" ht="15.75" hidden="1" customHeight="1" x14ac:dyDescent="0.4"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</row>
    <row r="588" spans="16:216" ht="15.75" hidden="1" customHeight="1" x14ac:dyDescent="0.4"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</row>
    <row r="589" spans="16:216" ht="15.75" hidden="1" customHeight="1" x14ac:dyDescent="0.4"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</row>
    <row r="590" spans="16:216" ht="15.75" hidden="1" customHeight="1" x14ac:dyDescent="0.4"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</row>
    <row r="591" spans="16:216" ht="15.75" hidden="1" customHeight="1" x14ac:dyDescent="0.4"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</row>
    <row r="592" spans="16:216" ht="15.75" hidden="1" customHeight="1" x14ac:dyDescent="0.4"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</row>
    <row r="593" spans="16:216" ht="15.75" hidden="1" customHeight="1" x14ac:dyDescent="0.4"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</row>
    <row r="594" spans="16:216" ht="15.75" hidden="1" customHeight="1" x14ac:dyDescent="0.4"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</row>
    <row r="595" spans="16:216" ht="15.75" hidden="1" customHeight="1" x14ac:dyDescent="0.4"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</row>
    <row r="596" spans="16:216" ht="15.75" hidden="1" customHeight="1" x14ac:dyDescent="0.4"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</row>
    <row r="597" spans="16:216" ht="15.75" hidden="1" customHeight="1" x14ac:dyDescent="0.4"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</row>
    <row r="598" spans="16:216" ht="15.75" hidden="1" customHeight="1" x14ac:dyDescent="0.4"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</row>
    <row r="599" spans="16:216" ht="15.75" hidden="1" customHeight="1" x14ac:dyDescent="0.4"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</row>
    <row r="600" spans="16:216" ht="15.75" hidden="1" customHeight="1" x14ac:dyDescent="0.4"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</row>
    <row r="601" spans="16:216" ht="15.75" hidden="1" customHeight="1" x14ac:dyDescent="0.4"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</row>
    <row r="602" spans="16:216" ht="15.75" hidden="1" customHeight="1" x14ac:dyDescent="0.4"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</row>
    <row r="603" spans="16:216" ht="15.75" hidden="1" customHeight="1" x14ac:dyDescent="0.4"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</row>
    <row r="604" spans="16:216" ht="15.75" hidden="1" customHeight="1" x14ac:dyDescent="0.4"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</row>
    <row r="605" spans="16:216" ht="15.75" hidden="1" customHeight="1" x14ac:dyDescent="0.4"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</row>
    <row r="606" spans="16:216" ht="15.75" hidden="1" customHeight="1" x14ac:dyDescent="0.4"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</row>
    <row r="607" spans="16:216" ht="15.75" hidden="1" customHeight="1" x14ac:dyDescent="0.4"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</row>
    <row r="608" spans="16:216" ht="15.75" hidden="1" customHeight="1" x14ac:dyDescent="0.4"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</row>
    <row r="609" spans="16:216" ht="15.75" hidden="1" customHeight="1" x14ac:dyDescent="0.4"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</row>
    <row r="610" spans="16:216" ht="15.75" hidden="1" customHeight="1" x14ac:dyDescent="0.4"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</row>
    <row r="611" spans="16:216" ht="15.75" hidden="1" customHeight="1" x14ac:dyDescent="0.4"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</row>
    <row r="612" spans="16:216" ht="15.75" hidden="1" customHeight="1" x14ac:dyDescent="0.4"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</row>
    <row r="613" spans="16:216" ht="15.75" hidden="1" customHeight="1" x14ac:dyDescent="0.4"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</row>
    <row r="614" spans="16:216" ht="15.75" hidden="1" customHeight="1" x14ac:dyDescent="0.4"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</row>
    <row r="615" spans="16:216" ht="15.75" hidden="1" customHeight="1" x14ac:dyDescent="0.4"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</row>
    <row r="616" spans="16:216" ht="15.75" hidden="1" customHeight="1" x14ac:dyDescent="0.4"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</row>
    <row r="617" spans="16:216" ht="15.75" hidden="1" customHeight="1" x14ac:dyDescent="0.4"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</row>
    <row r="618" spans="16:216" ht="15.75" hidden="1" customHeight="1" x14ac:dyDescent="0.4"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</row>
    <row r="619" spans="16:216" ht="15.75" hidden="1" customHeight="1" x14ac:dyDescent="0.4"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</row>
    <row r="620" spans="16:216" ht="15.75" hidden="1" customHeight="1" x14ac:dyDescent="0.4"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</row>
    <row r="621" spans="16:216" ht="15.75" hidden="1" customHeight="1" x14ac:dyDescent="0.4"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</row>
    <row r="622" spans="16:216" ht="15.75" hidden="1" customHeight="1" x14ac:dyDescent="0.4"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</row>
    <row r="623" spans="16:216" ht="15.75" hidden="1" customHeight="1" x14ac:dyDescent="0.4"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</row>
    <row r="624" spans="16:216" ht="15.75" hidden="1" customHeight="1" x14ac:dyDescent="0.4"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</row>
    <row r="625" spans="16:216" ht="15.75" hidden="1" customHeight="1" x14ac:dyDescent="0.4"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</row>
    <row r="626" spans="16:216" ht="15.75" hidden="1" customHeight="1" x14ac:dyDescent="0.4"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</row>
    <row r="627" spans="16:216" ht="15.75" hidden="1" customHeight="1" x14ac:dyDescent="0.4"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</row>
    <row r="628" spans="16:216" ht="15.75" hidden="1" customHeight="1" x14ac:dyDescent="0.4"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</row>
    <row r="629" spans="16:216" ht="15.75" hidden="1" customHeight="1" x14ac:dyDescent="0.4"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</row>
    <row r="630" spans="16:216" ht="15.75" hidden="1" customHeight="1" x14ac:dyDescent="0.4"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</row>
    <row r="631" spans="16:216" ht="15.75" hidden="1" customHeight="1" x14ac:dyDescent="0.4"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</row>
    <row r="632" spans="16:216" ht="15.75" hidden="1" customHeight="1" x14ac:dyDescent="0.4"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</row>
    <row r="633" spans="16:216" ht="15.75" hidden="1" customHeight="1" x14ac:dyDescent="0.4"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</row>
    <row r="634" spans="16:216" ht="15.75" hidden="1" customHeight="1" x14ac:dyDescent="0.4"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</row>
    <row r="635" spans="16:216" ht="15.75" hidden="1" customHeight="1" x14ac:dyDescent="0.4"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</row>
    <row r="636" spans="16:216" ht="15.75" hidden="1" customHeight="1" x14ac:dyDescent="0.4"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</row>
    <row r="637" spans="16:216" ht="15.75" hidden="1" customHeight="1" x14ac:dyDescent="0.4"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</row>
    <row r="638" spans="16:216" ht="15.75" hidden="1" customHeight="1" x14ac:dyDescent="0.4"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</row>
    <row r="639" spans="16:216" ht="15.75" hidden="1" customHeight="1" x14ac:dyDescent="0.4"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</row>
    <row r="640" spans="16:216" ht="15.75" hidden="1" customHeight="1" x14ac:dyDescent="0.4"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</row>
    <row r="641" spans="16:216" ht="15.75" hidden="1" customHeight="1" x14ac:dyDescent="0.4"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</row>
    <row r="642" spans="16:216" ht="15.75" hidden="1" customHeight="1" x14ac:dyDescent="0.4"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</row>
    <row r="643" spans="16:216" ht="15.75" hidden="1" customHeight="1" x14ac:dyDescent="0.4"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</row>
    <row r="644" spans="16:216" ht="15.75" hidden="1" customHeight="1" x14ac:dyDescent="0.4"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</row>
    <row r="645" spans="16:216" ht="15.75" hidden="1" customHeight="1" x14ac:dyDescent="0.4"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</row>
    <row r="646" spans="16:216" ht="15.75" hidden="1" customHeight="1" x14ac:dyDescent="0.4"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</row>
    <row r="647" spans="16:216" ht="15.75" hidden="1" customHeight="1" x14ac:dyDescent="0.4"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</row>
    <row r="648" spans="16:216" ht="15.75" hidden="1" customHeight="1" x14ac:dyDescent="0.4"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</row>
    <row r="649" spans="16:216" ht="15.75" hidden="1" customHeight="1" x14ac:dyDescent="0.4"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</row>
    <row r="650" spans="16:216" ht="15.75" hidden="1" customHeight="1" x14ac:dyDescent="0.4"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</row>
    <row r="651" spans="16:216" ht="15.75" hidden="1" customHeight="1" x14ac:dyDescent="0.4"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</row>
    <row r="652" spans="16:216" ht="15.75" hidden="1" customHeight="1" x14ac:dyDescent="0.4"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</row>
    <row r="653" spans="16:216" ht="15.75" hidden="1" customHeight="1" x14ac:dyDescent="0.4"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</row>
    <row r="654" spans="16:216" ht="15.75" hidden="1" customHeight="1" x14ac:dyDescent="0.4"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</row>
    <row r="655" spans="16:216" ht="15.75" hidden="1" customHeight="1" x14ac:dyDescent="0.4"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</row>
    <row r="656" spans="16:216" ht="15.75" hidden="1" customHeight="1" x14ac:dyDescent="0.4"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</row>
    <row r="657" spans="16:216" ht="15.75" hidden="1" customHeight="1" x14ac:dyDescent="0.4"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</row>
    <row r="658" spans="16:216" ht="15.75" hidden="1" customHeight="1" x14ac:dyDescent="0.4"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</row>
    <row r="659" spans="16:216" ht="15.75" hidden="1" customHeight="1" x14ac:dyDescent="0.4"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</row>
    <row r="660" spans="16:216" ht="15.75" hidden="1" customHeight="1" x14ac:dyDescent="0.4"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</row>
    <row r="661" spans="16:216" ht="15.75" hidden="1" customHeight="1" x14ac:dyDescent="0.4"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</row>
    <row r="662" spans="16:216" ht="15.75" hidden="1" customHeight="1" x14ac:dyDescent="0.4"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</row>
    <row r="663" spans="16:216" ht="15.75" hidden="1" customHeight="1" x14ac:dyDescent="0.4"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</row>
    <row r="664" spans="16:216" ht="15.75" hidden="1" customHeight="1" x14ac:dyDescent="0.4"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</row>
    <row r="665" spans="16:216" ht="15.75" hidden="1" customHeight="1" x14ac:dyDescent="0.4"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</row>
    <row r="666" spans="16:216" ht="15.75" hidden="1" customHeight="1" x14ac:dyDescent="0.4"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</row>
    <row r="667" spans="16:216" ht="15.75" hidden="1" customHeight="1" x14ac:dyDescent="0.4"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</row>
    <row r="668" spans="16:216" ht="15.75" hidden="1" customHeight="1" x14ac:dyDescent="0.4"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</row>
    <row r="669" spans="16:216" ht="15.75" hidden="1" customHeight="1" x14ac:dyDescent="0.4"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</row>
    <row r="670" spans="16:216" ht="15.75" hidden="1" customHeight="1" x14ac:dyDescent="0.4"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</row>
    <row r="671" spans="16:216" ht="15.75" hidden="1" customHeight="1" x14ac:dyDescent="0.4"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</row>
    <row r="672" spans="16:216" ht="15.75" hidden="1" customHeight="1" x14ac:dyDescent="0.4"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</row>
    <row r="673" spans="16:216" ht="15.75" hidden="1" customHeight="1" x14ac:dyDescent="0.4"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</row>
    <row r="674" spans="16:216" ht="15.75" hidden="1" customHeight="1" x14ac:dyDescent="0.4"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</row>
    <row r="675" spans="16:216" ht="15.75" hidden="1" customHeight="1" x14ac:dyDescent="0.4"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</row>
    <row r="676" spans="16:216" ht="15.75" hidden="1" customHeight="1" x14ac:dyDescent="0.4"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</row>
    <row r="677" spans="16:216" ht="15.75" hidden="1" customHeight="1" x14ac:dyDescent="0.4"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</row>
    <row r="678" spans="16:216" ht="15.75" hidden="1" customHeight="1" x14ac:dyDescent="0.4"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</row>
    <row r="679" spans="16:216" ht="15.75" hidden="1" customHeight="1" x14ac:dyDescent="0.4"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</row>
    <row r="680" spans="16:216" ht="15.75" hidden="1" customHeight="1" x14ac:dyDescent="0.4"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</row>
    <row r="681" spans="16:216" ht="15.75" hidden="1" customHeight="1" x14ac:dyDescent="0.4"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</row>
    <row r="682" spans="16:216" ht="15.75" hidden="1" customHeight="1" x14ac:dyDescent="0.4"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</row>
    <row r="683" spans="16:216" ht="15.75" hidden="1" customHeight="1" x14ac:dyDescent="0.4"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</row>
    <row r="684" spans="16:216" ht="15.75" hidden="1" customHeight="1" x14ac:dyDescent="0.4"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</row>
    <row r="685" spans="16:216" ht="15.75" hidden="1" customHeight="1" x14ac:dyDescent="0.4"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</row>
    <row r="686" spans="16:216" ht="15.75" hidden="1" customHeight="1" x14ac:dyDescent="0.4"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</row>
    <row r="687" spans="16:216" ht="15.75" hidden="1" customHeight="1" x14ac:dyDescent="0.4"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</row>
    <row r="688" spans="16:216" ht="15.75" hidden="1" customHeight="1" x14ac:dyDescent="0.4"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</row>
    <row r="689" spans="16:216" ht="15.75" hidden="1" customHeight="1" x14ac:dyDescent="0.4"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</row>
    <row r="690" spans="16:216" ht="15.75" hidden="1" customHeight="1" x14ac:dyDescent="0.4"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</row>
    <row r="691" spans="16:216" ht="15.75" hidden="1" customHeight="1" x14ac:dyDescent="0.4"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</row>
    <row r="692" spans="16:216" ht="15.75" hidden="1" customHeight="1" x14ac:dyDescent="0.4"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</row>
    <row r="693" spans="16:216" ht="15.75" hidden="1" customHeight="1" x14ac:dyDescent="0.4"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</row>
    <row r="694" spans="16:216" ht="15.75" hidden="1" customHeight="1" x14ac:dyDescent="0.4"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</row>
    <row r="695" spans="16:216" ht="15.75" hidden="1" customHeight="1" x14ac:dyDescent="0.4"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</row>
    <row r="696" spans="16:216" ht="15.75" hidden="1" customHeight="1" x14ac:dyDescent="0.4"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</row>
    <row r="697" spans="16:216" ht="15.75" hidden="1" customHeight="1" x14ac:dyDescent="0.4"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</row>
    <row r="698" spans="16:216" ht="15.75" hidden="1" customHeight="1" x14ac:dyDescent="0.4"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</row>
    <row r="699" spans="16:216" ht="15.75" hidden="1" customHeight="1" x14ac:dyDescent="0.4"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</row>
    <row r="700" spans="16:216" ht="15.75" hidden="1" customHeight="1" x14ac:dyDescent="0.4"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</row>
    <row r="701" spans="16:216" ht="15.75" hidden="1" customHeight="1" x14ac:dyDescent="0.4"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</row>
    <row r="702" spans="16:216" ht="15.75" hidden="1" customHeight="1" x14ac:dyDescent="0.4"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</row>
    <row r="703" spans="16:216" ht="15.75" hidden="1" customHeight="1" x14ac:dyDescent="0.4"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</row>
    <row r="704" spans="16:216" ht="15.75" hidden="1" customHeight="1" x14ac:dyDescent="0.4"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</row>
    <row r="705" spans="16:216" ht="15.75" hidden="1" customHeight="1" x14ac:dyDescent="0.4"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</row>
    <row r="706" spans="16:216" ht="15.75" hidden="1" customHeight="1" x14ac:dyDescent="0.4"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</row>
    <row r="707" spans="16:216" ht="15.75" hidden="1" customHeight="1" x14ac:dyDescent="0.4"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</row>
    <row r="708" spans="16:216" ht="15.75" hidden="1" customHeight="1" x14ac:dyDescent="0.4"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</row>
    <row r="709" spans="16:216" ht="15.75" hidden="1" customHeight="1" x14ac:dyDescent="0.4"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</row>
    <row r="710" spans="16:216" ht="15.75" hidden="1" customHeight="1" x14ac:dyDescent="0.4"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</row>
    <row r="711" spans="16:216" ht="15.75" hidden="1" customHeight="1" x14ac:dyDescent="0.4"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</row>
    <row r="712" spans="16:216" ht="15.75" hidden="1" customHeight="1" x14ac:dyDescent="0.4"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</row>
    <row r="713" spans="16:216" ht="15.75" hidden="1" customHeight="1" x14ac:dyDescent="0.4"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</row>
    <row r="714" spans="16:216" ht="15.75" hidden="1" customHeight="1" x14ac:dyDescent="0.4"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</row>
    <row r="715" spans="16:216" ht="15.75" hidden="1" customHeight="1" x14ac:dyDescent="0.4"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</row>
    <row r="716" spans="16:216" ht="15.75" hidden="1" customHeight="1" x14ac:dyDescent="0.4"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</row>
    <row r="717" spans="16:216" ht="15.75" hidden="1" customHeight="1" x14ac:dyDescent="0.4"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</row>
    <row r="718" spans="16:216" ht="15.75" hidden="1" customHeight="1" x14ac:dyDescent="0.4"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</row>
    <row r="719" spans="16:216" ht="15.75" hidden="1" customHeight="1" x14ac:dyDescent="0.4"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</row>
    <row r="720" spans="16:216" ht="15.75" hidden="1" customHeight="1" x14ac:dyDescent="0.4"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</row>
    <row r="721" spans="16:216" ht="15.75" hidden="1" customHeight="1" x14ac:dyDescent="0.4"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</row>
    <row r="722" spans="16:216" ht="15.75" hidden="1" customHeight="1" x14ac:dyDescent="0.4"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</row>
    <row r="723" spans="16:216" ht="15.75" hidden="1" customHeight="1" x14ac:dyDescent="0.4"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</row>
    <row r="724" spans="16:216" ht="15.75" hidden="1" customHeight="1" x14ac:dyDescent="0.4"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</row>
    <row r="725" spans="16:216" ht="15.75" hidden="1" customHeight="1" x14ac:dyDescent="0.4"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</row>
    <row r="726" spans="16:216" ht="15.75" hidden="1" customHeight="1" x14ac:dyDescent="0.4"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</row>
    <row r="727" spans="16:216" ht="15.75" hidden="1" customHeight="1" x14ac:dyDescent="0.4"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</row>
    <row r="728" spans="16:216" ht="15.75" hidden="1" customHeight="1" x14ac:dyDescent="0.4"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</row>
    <row r="729" spans="16:216" ht="15.75" hidden="1" customHeight="1" x14ac:dyDescent="0.4"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</row>
    <row r="730" spans="16:216" ht="15.75" hidden="1" customHeight="1" x14ac:dyDescent="0.4"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</row>
    <row r="731" spans="16:216" ht="15.75" hidden="1" customHeight="1" x14ac:dyDescent="0.4"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</row>
    <row r="732" spans="16:216" ht="15.75" hidden="1" customHeight="1" x14ac:dyDescent="0.4"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</row>
    <row r="733" spans="16:216" ht="15.75" hidden="1" customHeight="1" x14ac:dyDescent="0.4"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</row>
    <row r="734" spans="16:216" ht="15.75" hidden="1" customHeight="1" x14ac:dyDescent="0.4"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</row>
    <row r="735" spans="16:216" ht="15.75" hidden="1" customHeight="1" x14ac:dyDescent="0.4"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</row>
    <row r="736" spans="16:216" ht="15.75" hidden="1" customHeight="1" x14ac:dyDescent="0.4"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</row>
    <row r="737" spans="16:216" ht="15.75" hidden="1" customHeight="1" x14ac:dyDescent="0.4"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</row>
    <row r="738" spans="16:216" ht="15.75" hidden="1" customHeight="1" x14ac:dyDescent="0.4"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</row>
    <row r="739" spans="16:216" ht="15.75" hidden="1" customHeight="1" x14ac:dyDescent="0.4"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</row>
    <row r="740" spans="16:216" ht="15.75" hidden="1" customHeight="1" x14ac:dyDescent="0.4"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</row>
    <row r="741" spans="16:216" ht="15.75" hidden="1" customHeight="1" x14ac:dyDescent="0.4"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</row>
    <row r="742" spans="16:216" ht="15.75" hidden="1" customHeight="1" x14ac:dyDescent="0.4"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</row>
    <row r="743" spans="16:216" ht="15.75" hidden="1" customHeight="1" x14ac:dyDescent="0.4"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</row>
    <row r="744" spans="16:216" ht="15.75" hidden="1" customHeight="1" x14ac:dyDescent="0.4"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</row>
    <row r="745" spans="16:216" ht="15.75" hidden="1" customHeight="1" x14ac:dyDescent="0.4"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</row>
    <row r="746" spans="16:216" ht="15.75" hidden="1" customHeight="1" x14ac:dyDescent="0.4"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</row>
    <row r="747" spans="16:216" ht="15.75" hidden="1" customHeight="1" x14ac:dyDescent="0.4"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</row>
    <row r="748" spans="16:216" ht="15.75" hidden="1" customHeight="1" x14ac:dyDescent="0.4"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</row>
    <row r="749" spans="16:216" ht="15.75" hidden="1" customHeight="1" x14ac:dyDescent="0.4"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</row>
    <row r="750" spans="16:216" ht="15.75" hidden="1" customHeight="1" x14ac:dyDescent="0.4"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</row>
    <row r="751" spans="16:216" ht="15.75" hidden="1" customHeight="1" x14ac:dyDescent="0.4"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</row>
    <row r="752" spans="16:216" ht="15.75" hidden="1" customHeight="1" x14ac:dyDescent="0.4"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</row>
    <row r="753" spans="16:216" ht="15.75" hidden="1" customHeight="1" x14ac:dyDescent="0.4"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</row>
    <row r="754" spans="16:216" ht="15.75" hidden="1" customHeight="1" x14ac:dyDescent="0.4"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</row>
    <row r="755" spans="16:216" ht="15.75" hidden="1" customHeight="1" x14ac:dyDescent="0.4"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</row>
    <row r="756" spans="16:216" ht="15.75" hidden="1" customHeight="1" x14ac:dyDescent="0.4"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</row>
    <row r="757" spans="16:216" ht="15.75" hidden="1" customHeight="1" x14ac:dyDescent="0.4"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</row>
    <row r="758" spans="16:216" ht="15.75" hidden="1" customHeight="1" x14ac:dyDescent="0.4"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</row>
    <row r="759" spans="16:216" ht="15.75" hidden="1" customHeight="1" x14ac:dyDescent="0.4"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</row>
    <row r="760" spans="16:216" ht="15.75" hidden="1" customHeight="1" x14ac:dyDescent="0.4"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</row>
    <row r="761" spans="16:216" ht="15.75" hidden="1" customHeight="1" x14ac:dyDescent="0.4"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</row>
    <row r="762" spans="16:216" ht="15.75" hidden="1" customHeight="1" x14ac:dyDescent="0.4"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</row>
    <row r="763" spans="16:216" ht="15.75" hidden="1" customHeight="1" x14ac:dyDescent="0.4"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</row>
    <row r="764" spans="16:216" ht="15.75" hidden="1" customHeight="1" x14ac:dyDescent="0.4"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</row>
    <row r="765" spans="16:216" ht="15.75" hidden="1" customHeight="1" x14ac:dyDescent="0.4"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</row>
    <row r="766" spans="16:216" ht="15.75" hidden="1" customHeight="1" x14ac:dyDescent="0.4"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</row>
    <row r="767" spans="16:216" ht="15.75" hidden="1" customHeight="1" x14ac:dyDescent="0.4"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</row>
    <row r="768" spans="16:216" ht="15.75" hidden="1" customHeight="1" x14ac:dyDescent="0.4"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</row>
    <row r="769" spans="16:216" ht="15.75" hidden="1" customHeight="1" x14ac:dyDescent="0.4"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</row>
    <row r="770" spans="16:216" ht="15.75" hidden="1" customHeight="1" x14ac:dyDescent="0.4"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</row>
    <row r="771" spans="16:216" ht="15.75" hidden="1" customHeight="1" x14ac:dyDescent="0.4"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</row>
    <row r="772" spans="16:216" ht="15.75" hidden="1" customHeight="1" x14ac:dyDescent="0.4"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</row>
    <row r="773" spans="16:216" ht="15.75" hidden="1" customHeight="1" x14ac:dyDescent="0.4"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</row>
    <row r="774" spans="16:216" ht="15.75" hidden="1" customHeight="1" x14ac:dyDescent="0.4"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</row>
    <row r="775" spans="16:216" ht="15.75" hidden="1" customHeight="1" x14ac:dyDescent="0.4"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</row>
    <row r="776" spans="16:216" ht="15.75" hidden="1" customHeight="1" x14ac:dyDescent="0.4"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</row>
    <row r="777" spans="16:216" ht="15.75" hidden="1" customHeight="1" x14ac:dyDescent="0.4"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</row>
    <row r="778" spans="16:216" ht="15.75" hidden="1" customHeight="1" x14ac:dyDescent="0.4"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</row>
    <row r="779" spans="16:216" ht="15.75" hidden="1" customHeight="1" x14ac:dyDescent="0.4"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</row>
    <row r="780" spans="16:216" ht="15.75" hidden="1" customHeight="1" x14ac:dyDescent="0.4"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</row>
    <row r="781" spans="16:216" ht="15.75" hidden="1" customHeight="1" x14ac:dyDescent="0.4"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</row>
    <row r="782" spans="16:216" ht="15.75" hidden="1" customHeight="1" x14ac:dyDescent="0.4"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</row>
    <row r="783" spans="16:216" ht="15.75" hidden="1" customHeight="1" x14ac:dyDescent="0.4"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</row>
    <row r="784" spans="16:216" ht="15.75" hidden="1" customHeight="1" x14ac:dyDescent="0.4"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</row>
    <row r="785" spans="16:216" ht="15.75" hidden="1" customHeight="1" x14ac:dyDescent="0.4"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</row>
    <row r="786" spans="16:216" ht="15.75" hidden="1" customHeight="1" x14ac:dyDescent="0.4"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</row>
    <row r="787" spans="16:216" ht="15.75" hidden="1" customHeight="1" x14ac:dyDescent="0.4"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</row>
    <row r="788" spans="16:216" ht="15.75" hidden="1" customHeight="1" x14ac:dyDescent="0.4"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</row>
    <row r="789" spans="16:216" ht="15.75" hidden="1" customHeight="1" x14ac:dyDescent="0.4"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</row>
    <row r="790" spans="16:216" ht="15.75" hidden="1" customHeight="1" x14ac:dyDescent="0.4"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</row>
    <row r="791" spans="16:216" ht="15.75" hidden="1" customHeight="1" x14ac:dyDescent="0.4"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</row>
    <row r="792" spans="16:216" ht="15.75" hidden="1" customHeight="1" x14ac:dyDescent="0.4"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</row>
    <row r="793" spans="16:216" ht="15.75" hidden="1" customHeight="1" x14ac:dyDescent="0.4"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</row>
    <row r="794" spans="16:216" ht="15.75" hidden="1" customHeight="1" x14ac:dyDescent="0.4"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</row>
    <row r="795" spans="16:216" ht="15.75" hidden="1" customHeight="1" x14ac:dyDescent="0.4"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</row>
    <row r="796" spans="16:216" ht="15.75" hidden="1" customHeight="1" x14ac:dyDescent="0.4"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</row>
    <row r="797" spans="16:216" ht="15.75" hidden="1" customHeight="1" x14ac:dyDescent="0.4"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</row>
    <row r="798" spans="16:216" ht="15.75" hidden="1" customHeight="1" x14ac:dyDescent="0.4"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</row>
    <row r="799" spans="16:216" ht="15.75" hidden="1" customHeight="1" x14ac:dyDescent="0.4"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</row>
    <row r="800" spans="16:216" ht="15.75" hidden="1" customHeight="1" x14ac:dyDescent="0.4"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</row>
    <row r="801" spans="16:216" ht="15.75" hidden="1" customHeight="1" x14ac:dyDescent="0.4"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</row>
    <row r="802" spans="16:216" ht="15.75" hidden="1" customHeight="1" x14ac:dyDescent="0.4"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</row>
    <row r="803" spans="16:216" ht="15.75" hidden="1" customHeight="1" x14ac:dyDescent="0.4"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</row>
    <row r="804" spans="16:216" ht="15.75" hidden="1" customHeight="1" x14ac:dyDescent="0.4"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</row>
    <row r="805" spans="16:216" ht="15.75" hidden="1" customHeight="1" x14ac:dyDescent="0.4"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</row>
    <row r="806" spans="16:216" ht="15.75" hidden="1" customHeight="1" x14ac:dyDescent="0.4"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</row>
    <row r="807" spans="16:216" ht="15.75" hidden="1" customHeight="1" x14ac:dyDescent="0.4"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</row>
    <row r="808" spans="16:216" ht="15.75" hidden="1" customHeight="1" x14ac:dyDescent="0.4"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</row>
    <row r="809" spans="16:216" ht="15.75" hidden="1" customHeight="1" x14ac:dyDescent="0.4"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</row>
    <row r="810" spans="16:216" ht="15.75" hidden="1" customHeight="1" x14ac:dyDescent="0.4"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</row>
    <row r="811" spans="16:216" ht="15.75" hidden="1" customHeight="1" x14ac:dyDescent="0.4"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</row>
    <row r="812" spans="16:216" ht="15.75" hidden="1" customHeight="1" x14ac:dyDescent="0.4"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</row>
    <row r="813" spans="16:216" ht="15.75" hidden="1" customHeight="1" x14ac:dyDescent="0.4"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</row>
    <row r="814" spans="16:216" ht="15.75" hidden="1" customHeight="1" x14ac:dyDescent="0.4"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</row>
    <row r="815" spans="16:216" ht="15.75" hidden="1" customHeight="1" x14ac:dyDescent="0.4"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</row>
    <row r="816" spans="16:216" ht="15.75" hidden="1" customHeight="1" x14ac:dyDescent="0.4"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</row>
    <row r="817" spans="16:216" ht="15.75" hidden="1" customHeight="1" x14ac:dyDescent="0.4"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</row>
    <row r="818" spans="16:216" ht="15.75" hidden="1" customHeight="1" x14ac:dyDescent="0.4"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</row>
    <row r="819" spans="16:216" ht="15.75" hidden="1" customHeight="1" x14ac:dyDescent="0.4"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</row>
    <row r="820" spans="16:216" ht="15.75" hidden="1" customHeight="1" x14ac:dyDescent="0.4"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</row>
    <row r="821" spans="16:216" ht="15.75" hidden="1" customHeight="1" x14ac:dyDescent="0.4"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</row>
    <row r="822" spans="16:216" ht="15.75" hidden="1" customHeight="1" x14ac:dyDescent="0.4"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</row>
    <row r="823" spans="16:216" ht="15.75" hidden="1" customHeight="1" x14ac:dyDescent="0.4"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</row>
    <row r="824" spans="16:216" ht="15.75" hidden="1" customHeight="1" x14ac:dyDescent="0.4"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</row>
    <row r="825" spans="16:216" ht="15.75" hidden="1" customHeight="1" x14ac:dyDescent="0.4"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</row>
    <row r="826" spans="16:216" ht="15.75" hidden="1" customHeight="1" x14ac:dyDescent="0.4"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</row>
    <row r="827" spans="16:216" ht="15.75" hidden="1" customHeight="1" x14ac:dyDescent="0.4"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</row>
    <row r="828" spans="16:216" ht="15.75" hidden="1" customHeight="1" x14ac:dyDescent="0.4"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</row>
    <row r="829" spans="16:216" ht="15.75" hidden="1" customHeight="1" x14ac:dyDescent="0.4"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</row>
    <row r="830" spans="16:216" ht="15.75" hidden="1" customHeight="1" x14ac:dyDescent="0.4"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</row>
    <row r="831" spans="16:216" ht="15.75" hidden="1" customHeight="1" x14ac:dyDescent="0.4"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</row>
    <row r="832" spans="16:216" ht="15.75" hidden="1" customHeight="1" x14ac:dyDescent="0.4"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</row>
    <row r="833" spans="16:216" ht="15.75" hidden="1" customHeight="1" x14ac:dyDescent="0.4"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</row>
    <row r="834" spans="16:216" ht="15.75" hidden="1" customHeight="1" x14ac:dyDescent="0.4"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</row>
    <row r="835" spans="16:216" ht="15.75" hidden="1" customHeight="1" x14ac:dyDescent="0.4"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</row>
    <row r="836" spans="16:216" ht="15.75" hidden="1" customHeight="1" x14ac:dyDescent="0.4"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</row>
    <row r="837" spans="16:216" ht="15.75" hidden="1" customHeight="1" x14ac:dyDescent="0.4"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</row>
    <row r="838" spans="16:216" ht="15.75" hidden="1" customHeight="1" x14ac:dyDescent="0.4"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</row>
    <row r="839" spans="16:216" ht="15.75" hidden="1" customHeight="1" x14ac:dyDescent="0.4"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</row>
    <row r="840" spans="16:216" ht="15.75" hidden="1" customHeight="1" x14ac:dyDescent="0.4"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</row>
    <row r="841" spans="16:216" ht="15.75" hidden="1" customHeight="1" x14ac:dyDescent="0.4"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</row>
    <row r="842" spans="16:216" ht="15.75" hidden="1" customHeight="1" x14ac:dyDescent="0.4"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</row>
    <row r="843" spans="16:216" ht="15.75" hidden="1" customHeight="1" x14ac:dyDescent="0.4"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</row>
    <row r="844" spans="16:216" ht="15.75" hidden="1" customHeight="1" x14ac:dyDescent="0.4"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</row>
    <row r="845" spans="16:216" ht="15.75" hidden="1" customHeight="1" x14ac:dyDescent="0.4"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</row>
    <row r="846" spans="16:216" ht="15.75" hidden="1" customHeight="1" x14ac:dyDescent="0.4"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</row>
    <row r="847" spans="16:216" ht="15.75" hidden="1" customHeight="1" x14ac:dyDescent="0.4"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</row>
    <row r="848" spans="16:216" ht="15.75" hidden="1" customHeight="1" x14ac:dyDescent="0.4"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</row>
    <row r="849" spans="16:216" ht="15.75" hidden="1" customHeight="1" x14ac:dyDescent="0.4"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</row>
    <row r="850" spans="16:216" ht="15.75" hidden="1" customHeight="1" x14ac:dyDescent="0.4"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</row>
    <row r="851" spans="16:216" ht="15.75" hidden="1" customHeight="1" x14ac:dyDescent="0.4"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</row>
    <row r="852" spans="16:216" ht="15.75" hidden="1" customHeight="1" x14ac:dyDescent="0.4"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</row>
    <row r="853" spans="16:216" ht="15.75" hidden="1" customHeight="1" x14ac:dyDescent="0.4"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</row>
    <row r="854" spans="16:216" ht="15.75" hidden="1" customHeight="1" x14ac:dyDescent="0.4"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</row>
    <row r="855" spans="16:216" ht="15.75" hidden="1" customHeight="1" x14ac:dyDescent="0.4"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</row>
    <row r="856" spans="16:216" ht="15.75" hidden="1" customHeight="1" x14ac:dyDescent="0.4"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</row>
    <row r="857" spans="16:216" ht="15.75" hidden="1" customHeight="1" x14ac:dyDescent="0.4"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</row>
    <row r="858" spans="16:216" ht="15.75" hidden="1" customHeight="1" x14ac:dyDescent="0.4"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</row>
    <row r="859" spans="16:216" ht="15.75" hidden="1" customHeight="1" x14ac:dyDescent="0.4"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</row>
    <row r="860" spans="16:216" ht="15.75" hidden="1" customHeight="1" x14ac:dyDescent="0.4"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</row>
    <row r="861" spans="16:216" ht="15.75" hidden="1" customHeight="1" x14ac:dyDescent="0.4"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</row>
    <row r="862" spans="16:216" ht="15.75" hidden="1" customHeight="1" x14ac:dyDescent="0.4"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</row>
    <row r="863" spans="16:216" ht="15.75" hidden="1" customHeight="1" x14ac:dyDescent="0.4"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</row>
    <row r="864" spans="16:216" ht="15.75" hidden="1" customHeight="1" x14ac:dyDescent="0.4"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</row>
    <row r="865" spans="16:216" ht="15.75" hidden="1" customHeight="1" x14ac:dyDescent="0.4"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</row>
    <row r="866" spans="16:216" ht="15.75" hidden="1" customHeight="1" x14ac:dyDescent="0.4"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</row>
    <row r="867" spans="16:216" ht="15.75" hidden="1" customHeight="1" x14ac:dyDescent="0.4"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</row>
    <row r="868" spans="16:216" ht="15.75" hidden="1" customHeight="1" x14ac:dyDescent="0.4"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</row>
    <row r="869" spans="16:216" ht="15.75" hidden="1" customHeight="1" x14ac:dyDescent="0.4"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</row>
    <row r="870" spans="16:216" ht="15.75" hidden="1" customHeight="1" x14ac:dyDescent="0.4"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</row>
    <row r="871" spans="16:216" ht="15.75" hidden="1" customHeight="1" x14ac:dyDescent="0.4"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</row>
    <row r="872" spans="16:216" ht="15.75" hidden="1" customHeight="1" x14ac:dyDescent="0.4"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</row>
    <row r="873" spans="16:216" ht="15.75" hidden="1" customHeight="1" x14ac:dyDescent="0.4"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</row>
    <row r="874" spans="16:216" ht="15.75" hidden="1" customHeight="1" x14ac:dyDescent="0.4"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</row>
    <row r="875" spans="16:216" ht="15.75" hidden="1" customHeight="1" x14ac:dyDescent="0.4"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</row>
    <row r="876" spans="16:216" ht="15.75" hidden="1" customHeight="1" x14ac:dyDescent="0.4"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</row>
    <row r="877" spans="16:216" ht="15.75" hidden="1" customHeight="1" x14ac:dyDescent="0.4"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</row>
    <row r="878" spans="16:216" ht="15.75" hidden="1" customHeight="1" x14ac:dyDescent="0.4"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</row>
    <row r="879" spans="16:216" ht="15.75" hidden="1" customHeight="1" x14ac:dyDescent="0.4"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</row>
    <row r="880" spans="16:216" ht="15.75" hidden="1" customHeight="1" x14ac:dyDescent="0.4"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</row>
    <row r="881" spans="16:216" ht="15.75" hidden="1" customHeight="1" x14ac:dyDescent="0.4"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</row>
    <row r="882" spans="16:216" ht="15.75" hidden="1" customHeight="1" x14ac:dyDescent="0.4"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</row>
    <row r="883" spans="16:216" ht="15.75" hidden="1" customHeight="1" x14ac:dyDescent="0.4"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</row>
    <row r="884" spans="16:216" ht="15.75" hidden="1" customHeight="1" x14ac:dyDescent="0.4"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</row>
    <row r="885" spans="16:216" ht="15.75" hidden="1" customHeight="1" x14ac:dyDescent="0.4"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</row>
    <row r="886" spans="16:216" ht="15.75" hidden="1" customHeight="1" x14ac:dyDescent="0.4"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</row>
    <row r="887" spans="16:216" ht="15.75" hidden="1" customHeight="1" x14ac:dyDescent="0.4"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</row>
    <row r="888" spans="16:216" ht="15.75" hidden="1" customHeight="1" x14ac:dyDescent="0.4"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</row>
    <row r="889" spans="16:216" ht="15.75" hidden="1" customHeight="1" x14ac:dyDescent="0.4"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</row>
    <row r="890" spans="16:216" ht="15.75" hidden="1" customHeight="1" x14ac:dyDescent="0.4"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</row>
    <row r="891" spans="16:216" ht="15.75" hidden="1" customHeight="1" x14ac:dyDescent="0.4"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</row>
    <row r="892" spans="16:216" ht="15.75" hidden="1" customHeight="1" x14ac:dyDescent="0.4"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</row>
    <row r="893" spans="16:216" ht="15.75" hidden="1" customHeight="1" x14ac:dyDescent="0.4"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</row>
    <row r="894" spans="16:216" ht="15.75" hidden="1" customHeight="1" x14ac:dyDescent="0.4"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</row>
    <row r="895" spans="16:216" ht="15.75" hidden="1" customHeight="1" x14ac:dyDescent="0.4"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</row>
    <row r="896" spans="16:216" ht="15.75" hidden="1" customHeight="1" x14ac:dyDescent="0.4"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</row>
    <row r="897" spans="16:216" ht="15.75" hidden="1" customHeight="1" x14ac:dyDescent="0.4"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</row>
    <row r="898" spans="16:216" ht="15.75" hidden="1" customHeight="1" x14ac:dyDescent="0.4"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</row>
    <row r="899" spans="16:216" ht="15.75" hidden="1" customHeight="1" x14ac:dyDescent="0.4"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</row>
    <row r="900" spans="16:216" ht="15.75" hidden="1" customHeight="1" x14ac:dyDescent="0.4"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</row>
    <row r="901" spans="16:216" ht="15.75" hidden="1" customHeight="1" x14ac:dyDescent="0.4"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</row>
    <row r="902" spans="16:216" ht="15.75" hidden="1" customHeight="1" x14ac:dyDescent="0.4"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</row>
    <row r="903" spans="16:216" ht="15.75" hidden="1" customHeight="1" x14ac:dyDescent="0.4"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</row>
    <row r="904" spans="16:216" ht="15.75" hidden="1" customHeight="1" x14ac:dyDescent="0.4"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</row>
    <row r="905" spans="16:216" ht="15.75" hidden="1" customHeight="1" x14ac:dyDescent="0.4"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</row>
    <row r="906" spans="16:216" ht="15.75" hidden="1" customHeight="1" x14ac:dyDescent="0.4"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</row>
    <row r="907" spans="16:216" ht="15.75" hidden="1" customHeight="1" x14ac:dyDescent="0.4"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</row>
    <row r="908" spans="16:216" ht="15.75" hidden="1" customHeight="1" x14ac:dyDescent="0.4"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</row>
    <row r="909" spans="16:216" ht="15.75" hidden="1" customHeight="1" x14ac:dyDescent="0.4"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</row>
    <row r="910" spans="16:216" ht="15.75" hidden="1" customHeight="1" x14ac:dyDescent="0.4"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</row>
    <row r="911" spans="16:216" ht="15.75" hidden="1" customHeight="1" x14ac:dyDescent="0.4"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</row>
    <row r="912" spans="16:216" ht="15.75" hidden="1" customHeight="1" x14ac:dyDescent="0.4"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</row>
    <row r="913" spans="16:216" ht="15.75" hidden="1" customHeight="1" x14ac:dyDescent="0.4"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</row>
    <row r="914" spans="16:216" ht="15.75" hidden="1" customHeight="1" x14ac:dyDescent="0.4"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</row>
    <row r="915" spans="16:216" ht="15.75" hidden="1" customHeight="1" x14ac:dyDescent="0.4"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</row>
    <row r="916" spans="16:216" ht="15.75" hidden="1" customHeight="1" x14ac:dyDescent="0.4"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</row>
    <row r="917" spans="16:216" ht="15.75" hidden="1" customHeight="1" x14ac:dyDescent="0.4"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</row>
    <row r="918" spans="16:216" ht="15.75" hidden="1" customHeight="1" x14ac:dyDescent="0.4"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</row>
    <row r="919" spans="16:216" ht="15.75" hidden="1" customHeight="1" x14ac:dyDescent="0.4"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</row>
    <row r="920" spans="16:216" ht="15.75" hidden="1" customHeight="1" x14ac:dyDescent="0.4"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</row>
    <row r="921" spans="16:216" ht="15.75" hidden="1" customHeight="1" x14ac:dyDescent="0.4"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</row>
    <row r="922" spans="16:216" ht="15.75" hidden="1" customHeight="1" x14ac:dyDescent="0.4"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</row>
    <row r="923" spans="16:216" ht="15.75" hidden="1" customHeight="1" x14ac:dyDescent="0.4"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</row>
    <row r="924" spans="16:216" ht="15.75" hidden="1" customHeight="1" x14ac:dyDescent="0.4"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</row>
    <row r="925" spans="16:216" ht="15.75" hidden="1" customHeight="1" x14ac:dyDescent="0.4"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</row>
    <row r="926" spans="16:216" ht="15.75" hidden="1" customHeight="1" x14ac:dyDescent="0.4"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</row>
    <row r="927" spans="16:216" ht="15.75" hidden="1" customHeight="1" x14ac:dyDescent="0.4"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</row>
    <row r="928" spans="16:216" ht="15.75" hidden="1" customHeight="1" x14ac:dyDescent="0.4"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</row>
    <row r="929" spans="16:216" ht="15.75" hidden="1" customHeight="1" x14ac:dyDescent="0.4"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</row>
    <row r="930" spans="16:216" ht="15.75" hidden="1" customHeight="1" x14ac:dyDescent="0.4"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</row>
    <row r="931" spans="16:216" ht="15.75" hidden="1" customHeight="1" x14ac:dyDescent="0.4"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</row>
    <row r="932" spans="16:216" ht="15.75" hidden="1" customHeight="1" x14ac:dyDescent="0.4"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</row>
    <row r="933" spans="16:216" ht="15.75" hidden="1" customHeight="1" x14ac:dyDescent="0.4"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</row>
    <row r="934" spans="16:216" ht="15.75" hidden="1" customHeight="1" x14ac:dyDescent="0.4"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</row>
    <row r="935" spans="16:216" ht="15.75" hidden="1" customHeight="1" x14ac:dyDescent="0.4"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</row>
    <row r="936" spans="16:216" ht="15.75" hidden="1" customHeight="1" x14ac:dyDescent="0.4"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</row>
    <row r="937" spans="16:216" ht="15.75" hidden="1" customHeight="1" x14ac:dyDescent="0.4"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</row>
    <row r="938" spans="16:216" ht="15.75" hidden="1" customHeight="1" x14ac:dyDescent="0.4"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</row>
    <row r="939" spans="16:216" ht="15.75" hidden="1" customHeight="1" x14ac:dyDescent="0.4"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</row>
    <row r="940" spans="16:216" ht="15.75" hidden="1" customHeight="1" x14ac:dyDescent="0.4"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</row>
    <row r="941" spans="16:216" ht="15.75" hidden="1" customHeight="1" x14ac:dyDescent="0.4"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</row>
    <row r="942" spans="16:216" ht="15.75" hidden="1" customHeight="1" x14ac:dyDescent="0.4"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</row>
    <row r="943" spans="16:216" ht="15.75" hidden="1" customHeight="1" x14ac:dyDescent="0.4"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</row>
    <row r="944" spans="16:216" ht="15.75" hidden="1" customHeight="1" x14ac:dyDescent="0.4"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</row>
    <row r="945" spans="16:216" ht="15.75" hidden="1" customHeight="1" x14ac:dyDescent="0.4"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</row>
    <row r="946" spans="16:216" ht="15.75" hidden="1" customHeight="1" x14ac:dyDescent="0.4"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</row>
    <row r="947" spans="16:216" ht="15.75" hidden="1" customHeight="1" x14ac:dyDescent="0.4"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</row>
    <row r="948" spans="16:216" ht="15.75" hidden="1" customHeight="1" x14ac:dyDescent="0.4"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</row>
    <row r="949" spans="16:216" ht="15.75" hidden="1" customHeight="1" x14ac:dyDescent="0.4"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</row>
    <row r="950" spans="16:216" ht="15.75" hidden="1" customHeight="1" x14ac:dyDescent="0.4"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</row>
    <row r="951" spans="16:216" ht="15.75" hidden="1" customHeight="1" x14ac:dyDescent="0.4"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</row>
    <row r="952" spans="16:216" ht="15.75" hidden="1" customHeight="1" x14ac:dyDescent="0.4"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</row>
    <row r="953" spans="16:216" ht="15.75" hidden="1" customHeight="1" x14ac:dyDescent="0.4"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</row>
    <row r="954" spans="16:216" ht="15.75" hidden="1" customHeight="1" x14ac:dyDescent="0.4"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</row>
    <row r="955" spans="16:216" ht="15.75" hidden="1" customHeight="1" x14ac:dyDescent="0.4"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</row>
    <row r="956" spans="16:216" ht="15.75" hidden="1" customHeight="1" x14ac:dyDescent="0.4"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</row>
    <row r="957" spans="16:216" ht="15.75" hidden="1" customHeight="1" x14ac:dyDescent="0.4"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</row>
    <row r="958" spans="16:216" ht="15.75" hidden="1" customHeight="1" x14ac:dyDescent="0.4"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</row>
    <row r="959" spans="16:216" ht="15.75" hidden="1" customHeight="1" x14ac:dyDescent="0.4"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</row>
    <row r="960" spans="16:216" ht="15.75" hidden="1" customHeight="1" x14ac:dyDescent="0.4"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</row>
    <row r="961" spans="16:216" ht="15.75" hidden="1" customHeight="1" x14ac:dyDescent="0.4"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</row>
    <row r="962" spans="16:216" ht="15.75" hidden="1" customHeight="1" x14ac:dyDescent="0.4"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</row>
    <row r="963" spans="16:216" ht="15.75" hidden="1" customHeight="1" x14ac:dyDescent="0.4"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</row>
    <row r="964" spans="16:216" ht="15.75" hidden="1" customHeight="1" x14ac:dyDescent="0.4"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</row>
    <row r="965" spans="16:216" ht="15.75" hidden="1" customHeight="1" x14ac:dyDescent="0.4"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</row>
    <row r="966" spans="16:216" ht="15.75" hidden="1" customHeight="1" x14ac:dyDescent="0.4"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</row>
    <row r="967" spans="16:216" ht="15.75" hidden="1" customHeight="1" x14ac:dyDescent="0.4"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</row>
    <row r="968" spans="16:216" ht="15.75" hidden="1" customHeight="1" x14ac:dyDescent="0.4"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</row>
    <row r="969" spans="16:216" ht="15.75" hidden="1" customHeight="1" x14ac:dyDescent="0.4"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</row>
    <row r="970" spans="16:216" ht="15.75" hidden="1" customHeight="1" x14ac:dyDescent="0.4"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</row>
    <row r="971" spans="16:216" ht="15.75" hidden="1" customHeight="1" x14ac:dyDescent="0.4"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</row>
    <row r="972" spans="16:216" ht="15.75" hidden="1" customHeight="1" x14ac:dyDescent="0.4"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</row>
    <row r="973" spans="16:216" ht="15.75" hidden="1" customHeight="1" x14ac:dyDescent="0.4"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</row>
    <row r="974" spans="16:216" ht="15.75" hidden="1" customHeight="1" x14ac:dyDescent="0.4"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</row>
    <row r="975" spans="16:216" ht="15.75" hidden="1" customHeight="1" x14ac:dyDescent="0.4"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</row>
    <row r="976" spans="16:216" ht="15.75" hidden="1" customHeight="1" x14ac:dyDescent="0.4"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</row>
    <row r="977" spans="16:216" ht="15.75" hidden="1" customHeight="1" x14ac:dyDescent="0.4"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</row>
    <row r="978" spans="16:216" ht="15.75" hidden="1" customHeight="1" x14ac:dyDescent="0.4"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</row>
    <row r="979" spans="16:216" ht="15.75" hidden="1" customHeight="1" x14ac:dyDescent="0.4"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</row>
    <row r="980" spans="16:216" ht="15.75" hidden="1" customHeight="1" x14ac:dyDescent="0.4"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</row>
    <row r="981" spans="16:216" ht="15.75" hidden="1" customHeight="1" x14ac:dyDescent="0.4"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</row>
    <row r="982" spans="16:216" ht="15.75" hidden="1" customHeight="1" x14ac:dyDescent="0.4"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</row>
    <row r="983" spans="16:216" ht="15.75" hidden="1" customHeight="1" x14ac:dyDescent="0.4"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</row>
    <row r="984" spans="16:216" ht="15.75" hidden="1" customHeight="1" x14ac:dyDescent="0.4"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</row>
    <row r="985" spans="16:216" ht="15.75" hidden="1" customHeight="1" x14ac:dyDescent="0.4"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</row>
    <row r="986" spans="16:216" ht="15.75" hidden="1" customHeight="1" x14ac:dyDescent="0.4"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</row>
    <row r="987" spans="16:216" ht="15.75" hidden="1" customHeight="1" x14ac:dyDescent="0.4"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</row>
    <row r="988" spans="16:216" ht="15.75" hidden="1" customHeight="1" x14ac:dyDescent="0.4"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</row>
    <row r="989" spans="16:216" ht="15.75" hidden="1" customHeight="1" x14ac:dyDescent="0.4"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</row>
    <row r="990" spans="16:216" ht="15.75" hidden="1" customHeight="1" x14ac:dyDescent="0.4"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</row>
    <row r="991" spans="16:216" ht="15.75" hidden="1" customHeight="1" x14ac:dyDescent="0.4"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</row>
    <row r="992" spans="16:216" ht="15.75" hidden="1" customHeight="1" x14ac:dyDescent="0.4"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</row>
    <row r="993" spans="16:216" ht="15.75" hidden="1" customHeight="1" x14ac:dyDescent="0.4"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</row>
    <row r="994" spans="16:216" ht="15.75" hidden="1" customHeight="1" x14ac:dyDescent="0.4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</row>
    <row r="995" spans="16:216" ht="15.75" hidden="1" customHeight="1" x14ac:dyDescent="0.4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</row>
    <row r="996" spans="16:216" ht="15.75" hidden="1" customHeight="1" x14ac:dyDescent="0.4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</row>
    <row r="997" spans="16:216" ht="15.75" hidden="1" customHeight="1" x14ac:dyDescent="0.4"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</row>
    <row r="998" spans="16:216" ht="15.75" hidden="1" customHeight="1" x14ac:dyDescent="0.4"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</row>
    <row r="999" spans="16:216" ht="15.75" hidden="1" customHeight="1" x14ac:dyDescent="0.4"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</row>
    <row r="1000" spans="16:216" ht="15.75" hidden="1" customHeight="1" x14ac:dyDescent="0.4"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</row>
    <row r="1001" spans="16:216" ht="15.75" hidden="1" customHeight="1" x14ac:dyDescent="0.4"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</row>
    <row r="1002" spans="16:216" ht="15.75" hidden="1" customHeight="1" x14ac:dyDescent="0.4"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</row>
    <row r="1003" spans="16:216" ht="15.75" hidden="1" customHeight="1" x14ac:dyDescent="0.4"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</row>
    <row r="1004" spans="16:216" ht="15.75" hidden="1" customHeight="1" x14ac:dyDescent="0.4"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</row>
    <row r="1005" spans="16:216" ht="15.75" hidden="1" customHeight="1" x14ac:dyDescent="0.4"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</row>
    <row r="1006" spans="16:216" ht="15.75" hidden="1" customHeight="1" x14ac:dyDescent="0.4"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</row>
    <row r="1007" spans="16:216" ht="15.75" hidden="1" customHeight="1" x14ac:dyDescent="0.4"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</row>
    <row r="1008" spans="16:216" ht="15.75" hidden="1" customHeight="1" x14ac:dyDescent="0.4"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</row>
    <row r="1009" spans="16:216" ht="15.75" hidden="1" customHeight="1" x14ac:dyDescent="0.4"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</row>
    <row r="1010" spans="16:216" ht="15.75" hidden="1" customHeight="1" x14ac:dyDescent="0.4"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</row>
    <row r="1011" spans="16:216" ht="15.75" hidden="1" customHeight="1" x14ac:dyDescent="0.4"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</row>
    <row r="1012" spans="16:216" ht="15.75" hidden="1" customHeight="1" x14ac:dyDescent="0.4"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</row>
    <row r="1013" spans="16:216" ht="15.75" hidden="1" customHeight="1" x14ac:dyDescent="0.4"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</row>
    <row r="1014" spans="16:216" ht="15.75" hidden="1" customHeight="1" x14ac:dyDescent="0.4"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</row>
    <row r="1015" spans="16:216" ht="15.75" hidden="1" customHeight="1" x14ac:dyDescent="0.4"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</row>
    <row r="1016" spans="16:216" ht="15.75" hidden="1" customHeight="1" x14ac:dyDescent="0.4"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</row>
    <row r="1017" spans="16:216" ht="15.75" hidden="1" customHeight="1" x14ac:dyDescent="0.4"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</row>
    <row r="1018" spans="16:216" ht="15.75" hidden="1" customHeight="1" x14ac:dyDescent="0.4"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</row>
    <row r="1019" spans="16:216" ht="15.75" hidden="1" customHeight="1" x14ac:dyDescent="0.4"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</row>
    <row r="1020" spans="16:216" ht="15.75" hidden="1" customHeight="1" x14ac:dyDescent="0.4"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</row>
    <row r="1021" spans="16:216" ht="15.75" hidden="1" customHeight="1" x14ac:dyDescent="0.4"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</row>
    <row r="1022" spans="16:216" ht="15.75" hidden="1" customHeight="1" x14ac:dyDescent="0.4"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</row>
    <row r="1023" spans="16:216" ht="15.75" hidden="1" customHeight="1" x14ac:dyDescent="0.4"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</row>
    <row r="1024" spans="16:216" ht="15.75" hidden="1" customHeight="1" x14ac:dyDescent="0.4"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</row>
    <row r="1025" spans="16:216" ht="15.75" hidden="1" customHeight="1" x14ac:dyDescent="0.4"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</row>
    <row r="1026" spans="16:216" ht="15.75" hidden="1" customHeight="1" x14ac:dyDescent="0.4"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</row>
    <row r="1027" spans="16:216" ht="15.75" hidden="1" customHeight="1" x14ac:dyDescent="0.4"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</row>
    <row r="1028" spans="16:216" ht="15.75" hidden="1" customHeight="1" x14ac:dyDescent="0.4"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</row>
    <row r="1029" spans="16:216" ht="15.75" hidden="1" customHeight="1" x14ac:dyDescent="0.4"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</row>
    <row r="1030" spans="16:216" ht="15.75" hidden="1" customHeight="1" x14ac:dyDescent="0.4"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</row>
    <row r="1031" spans="16:216" ht="15.75" hidden="1" customHeight="1" x14ac:dyDescent="0.4"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</row>
    <row r="1032" spans="16:216" ht="15.75" hidden="1" customHeight="1" x14ac:dyDescent="0.4"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</row>
    <row r="1033" spans="16:216" ht="15.75" hidden="1" customHeight="1" x14ac:dyDescent="0.4"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</row>
    <row r="1034" spans="16:216" ht="15.75" hidden="1" customHeight="1" x14ac:dyDescent="0.4"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</row>
    <row r="1035" spans="16:216" ht="15.75" hidden="1" customHeight="1" x14ac:dyDescent="0.4"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</row>
    <row r="1036" spans="16:216" ht="15.75" hidden="1" customHeight="1" x14ac:dyDescent="0.4"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</row>
    <row r="1037" spans="16:216" ht="15.75" hidden="1" customHeight="1" x14ac:dyDescent="0.4"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</row>
    <row r="1038" spans="16:216" ht="15.75" hidden="1" customHeight="1" x14ac:dyDescent="0.4"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</row>
    <row r="1039" spans="16:216" ht="15.75" hidden="1" customHeight="1" x14ac:dyDescent="0.4"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</row>
    <row r="1040" spans="16:216" ht="15.75" hidden="1" customHeight="1" x14ac:dyDescent="0.4"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</row>
    <row r="1041" spans="16:216" ht="15.75" hidden="1" customHeight="1" x14ac:dyDescent="0.4"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</row>
    <row r="1042" spans="16:216" ht="15.75" hidden="1" customHeight="1" x14ac:dyDescent="0.4"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</row>
    <row r="1043" spans="16:216" ht="15.75" hidden="1" customHeight="1" x14ac:dyDescent="0.4"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</row>
    <row r="1044" spans="16:216" ht="15.75" hidden="1" customHeight="1" x14ac:dyDescent="0.4"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</row>
    <row r="1045" spans="16:216" ht="15.75" hidden="1" customHeight="1" x14ac:dyDescent="0.4"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</row>
    <row r="1046" spans="16:216" ht="15.75" hidden="1" customHeight="1" x14ac:dyDescent="0.4"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</row>
    <row r="1047" spans="16:216" ht="15.75" hidden="1" customHeight="1" x14ac:dyDescent="0.4"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</row>
    <row r="1048" spans="16:216" ht="15.75" hidden="1" customHeight="1" x14ac:dyDescent="0.4"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</row>
    <row r="1049" spans="16:216" ht="15.75" hidden="1" customHeight="1" x14ac:dyDescent="0.4"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</row>
    <row r="1050" spans="16:216" ht="15.75" hidden="1" customHeight="1" x14ac:dyDescent="0.4"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</row>
    <row r="1051" spans="16:216" ht="15.75" hidden="1" customHeight="1" x14ac:dyDescent="0.4"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</row>
    <row r="1052" spans="16:216" ht="15.75" hidden="1" customHeight="1" x14ac:dyDescent="0.4"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</row>
    <row r="1053" spans="16:216" ht="15.75" hidden="1" customHeight="1" x14ac:dyDescent="0.4"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</row>
    <row r="1054" spans="16:216" ht="15.75" hidden="1" customHeight="1" x14ac:dyDescent="0.4"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</row>
    <row r="1055" spans="16:216" ht="15.75" hidden="1" customHeight="1" x14ac:dyDescent="0.4"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</row>
    <row r="1056" spans="16:216" ht="15.75" hidden="1" customHeight="1" x14ac:dyDescent="0.4"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</row>
    <row r="1057" spans="16:216" ht="15.75" hidden="1" customHeight="1" x14ac:dyDescent="0.4"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</row>
    <row r="1058" spans="16:216" ht="15.75" hidden="1" customHeight="1" x14ac:dyDescent="0.4"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</row>
    <row r="1059" spans="16:216" ht="15.75" hidden="1" customHeight="1" x14ac:dyDescent="0.4"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</row>
    <row r="1060" spans="16:216" ht="15.75" hidden="1" customHeight="1" x14ac:dyDescent="0.4"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</row>
    <row r="1061" spans="16:216" ht="15.75" hidden="1" customHeight="1" x14ac:dyDescent="0.4"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</row>
    <row r="1062" spans="16:216" ht="15.75" hidden="1" customHeight="1" x14ac:dyDescent="0.4"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</row>
    <row r="1063" spans="16:216" ht="15.75" hidden="1" customHeight="1" x14ac:dyDescent="0.4"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</row>
    <row r="1064" spans="16:216" ht="15.75" hidden="1" customHeight="1" x14ac:dyDescent="0.4"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</row>
    <row r="1065" spans="16:216" ht="15.75" hidden="1" customHeight="1" x14ac:dyDescent="0.4"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</row>
    <row r="1066" spans="16:216" ht="15.75" hidden="1" customHeight="1" x14ac:dyDescent="0.4"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</row>
    <row r="1067" spans="16:216" ht="15.75" hidden="1" customHeight="1" x14ac:dyDescent="0.4"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</row>
    <row r="1068" spans="16:216" ht="15.75" hidden="1" customHeight="1" x14ac:dyDescent="0.4"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</row>
    <row r="1069" spans="16:216" ht="15.75" hidden="1" customHeight="1" x14ac:dyDescent="0.4"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</row>
    <row r="1070" spans="16:216" ht="15.75" hidden="1" customHeight="1" x14ac:dyDescent="0.4"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</row>
    <row r="1071" spans="16:216" ht="15.75" hidden="1" customHeight="1" x14ac:dyDescent="0.4"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</row>
    <row r="1072" spans="16:216" ht="15.75" hidden="1" customHeight="1" x14ac:dyDescent="0.4"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</row>
    <row r="1073" spans="16:216" ht="15.75" hidden="1" customHeight="1" x14ac:dyDescent="0.4"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</row>
    <row r="1074" spans="16:216" ht="15.75" hidden="1" customHeight="1" x14ac:dyDescent="0.4"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</row>
    <row r="1075" spans="16:216" ht="15.75" hidden="1" customHeight="1" x14ac:dyDescent="0.4"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</row>
    <row r="1076" spans="16:216" ht="15.75" hidden="1" customHeight="1" x14ac:dyDescent="0.4"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</row>
    <row r="1077" spans="16:216" ht="15.75" hidden="1" customHeight="1" x14ac:dyDescent="0.4"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</row>
    <row r="1078" spans="16:216" ht="15.75" hidden="1" customHeight="1" x14ac:dyDescent="0.4"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</row>
    <row r="1079" spans="16:216" ht="15.75" hidden="1" customHeight="1" x14ac:dyDescent="0.4"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</row>
    <row r="1080" spans="16:216" ht="15.75" hidden="1" customHeight="1" x14ac:dyDescent="0.4"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</row>
    <row r="1081" spans="16:216" ht="15.75" hidden="1" customHeight="1" x14ac:dyDescent="0.4"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</row>
    <row r="1082" spans="16:216" ht="15.75" hidden="1" customHeight="1" x14ac:dyDescent="0.4"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</row>
    <row r="1083" spans="16:216" ht="15.75" hidden="1" customHeight="1" x14ac:dyDescent="0.4"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</row>
    <row r="1084" spans="16:216" ht="15.75" hidden="1" customHeight="1" x14ac:dyDescent="0.4"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</row>
    <row r="1085" spans="16:216" ht="15.75" hidden="1" customHeight="1" x14ac:dyDescent="0.4"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</row>
    <row r="1086" spans="16:216" ht="15.75" hidden="1" customHeight="1" x14ac:dyDescent="0.4"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</row>
    <row r="1087" spans="16:216" ht="15.75" hidden="1" customHeight="1" x14ac:dyDescent="0.4"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</row>
    <row r="1088" spans="16:216" ht="15.75" hidden="1" customHeight="1" x14ac:dyDescent="0.4"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</row>
    <row r="1089" spans="16:216" ht="15.75" hidden="1" customHeight="1" x14ac:dyDescent="0.4"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</row>
    <row r="1090" spans="16:216" ht="15.75" hidden="1" customHeight="1" x14ac:dyDescent="0.4"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</row>
    <row r="1091" spans="16:216" ht="15.75" hidden="1" customHeight="1" x14ac:dyDescent="0.4"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</row>
    <row r="1092" spans="16:216" ht="15.75" hidden="1" customHeight="1" x14ac:dyDescent="0.4"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</row>
    <row r="1093" spans="16:216" ht="15.75" hidden="1" customHeight="1" x14ac:dyDescent="0.4"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</row>
    <row r="1094" spans="16:216" ht="15.75" hidden="1" customHeight="1" x14ac:dyDescent="0.4"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</row>
    <row r="1095" spans="16:216" ht="15.75" hidden="1" customHeight="1" x14ac:dyDescent="0.4"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</row>
    <row r="1096" spans="16:216" ht="15.75" hidden="1" customHeight="1" x14ac:dyDescent="0.4"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</row>
    <row r="1097" spans="16:216" ht="15.75" hidden="1" customHeight="1" x14ac:dyDescent="0.4"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</row>
    <row r="1098" spans="16:216" ht="15.75" hidden="1" customHeight="1" x14ac:dyDescent="0.4"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</row>
    <row r="1099" spans="16:216" ht="15.75" hidden="1" customHeight="1" x14ac:dyDescent="0.4"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</row>
    <row r="1100" spans="16:216" ht="15.75" hidden="1" customHeight="1" x14ac:dyDescent="0.4"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</row>
    <row r="1101" spans="16:216" ht="15.75" hidden="1" customHeight="1" x14ac:dyDescent="0.4"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</row>
    <row r="1102" spans="16:216" ht="15.75" hidden="1" customHeight="1" x14ac:dyDescent="0.4"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</row>
    <row r="1103" spans="16:216" ht="15.75" hidden="1" customHeight="1" x14ac:dyDescent="0.4"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</row>
    <row r="1104" spans="16:216" ht="15.75" hidden="1" customHeight="1" x14ac:dyDescent="0.4"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</row>
    <row r="1105" spans="16:216" ht="15.75" hidden="1" customHeight="1" x14ac:dyDescent="0.4"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</row>
    <row r="1106" spans="16:216" ht="15.75" hidden="1" customHeight="1" x14ac:dyDescent="0.4"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</row>
    <row r="1107" spans="16:216" ht="15.75" hidden="1" customHeight="1" x14ac:dyDescent="0.4"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</row>
    <row r="1108" spans="16:216" ht="15.75" hidden="1" customHeight="1" x14ac:dyDescent="0.4"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</row>
    <row r="1109" spans="16:216" ht="15.75" hidden="1" customHeight="1" x14ac:dyDescent="0.4"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</row>
    <row r="1110" spans="16:216" ht="15.75" hidden="1" customHeight="1" x14ac:dyDescent="0.4"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</row>
    <row r="1111" spans="16:216" ht="15.75" hidden="1" customHeight="1" x14ac:dyDescent="0.4"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</row>
    <row r="1112" spans="16:216" ht="15.75" hidden="1" customHeight="1" x14ac:dyDescent="0.4"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</row>
    <row r="1113" spans="16:216" ht="15.75" hidden="1" customHeight="1" x14ac:dyDescent="0.4"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</row>
    <row r="1114" spans="16:216" ht="15.75" hidden="1" customHeight="1" x14ac:dyDescent="0.4"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</row>
    <row r="1115" spans="16:216" ht="15.75" hidden="1" customHeight="1" x14ac:dyDescent="0.4"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</row>
    <row r="1116" spans="16:216" ht="15.75" hidden="1" customHeight="1" x14ac:dyDescent="0.4"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</row>
    <row r="1117" spans="16:216" ht="15.75" hidden="1" customHeight="1" x14ac:dyDescent="0.4"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</row>
    <row r="1118" spans="16:216" ht="15.75" hidden="1" customHeight="1" x14ac:dyDescent="0.4"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</row>
    <row r="1119" spans="16:216" ht="15.75" hidden="1" customHeight="1" x14ac:dyDescent="0.4"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</row>
    <row r="1120" spans="16:216" ht="15.75" hidden="1" customHeight="1" x14ac:dyDescent="0.4"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</row>
    <row r="1121" spans="16:216" ht="15.75" hidden="1" customHeight="1" x14ac:dyDescent="0.4"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</row>
    <row r="1122" spans="16:216" ht="15.75" hidden="1" customHeight="1" x14ac:dyDescent="0.4"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</row>
    <row r="1123" spans="16:216" ht="15.75" hidden="1" customHeight="1" x14ac:dyDescent="0.4"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</row>
    <row r="1124" spans="16:216" ht="15.75" hidden="1" customHeight="1" x14ac:dyDescent="0.4"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</row>
    <row r="1125" spans="16:216" ht="15.75" hidden="1" customHeight="1" x14ac:dyDescent="0.4"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</row>
    <row r="1126" spans="16:216" ht="15.75" hidden="1" customHeight="1" x14ac:dyDescent="0.4"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</row>
    <row r="1127" spans="16:216" ht="15.75" hidden="1" customHeight="1" x14ac:dyDescent="0.4"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</row>
    <row r="1128" spans="16:216" ht="15.75" hidden="1" customHeight="1" x14ac:dyDescent="0.4"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</row>
    <row r="1129" spans="16:216" ht="15.75" hidden="1" customHeight="1" x14ac:dyDescent="0.4"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</row>
    <row r="1130" spans="16:216" ht="15.75" hidden="1" customHeight="1" x14ac:dyDescent="0.4"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</row>
    <row r="1131" spans="16:216" ht="15.75" hidden="1" customHeight="1" x14ac:dyDescent="0.4"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</row>
    <row r="1132" spans="16:216" ht="15.75" hidden="1" customHeight="1" x14ac:dyDescent="0.4"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</row>
    <row r="1133" spans="16:216" ht="15.75" hidden="1" customHeight="1" x14ac:dyDescent="0.4"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</row>
    <row r="1134" spans="16:216" ht="15.75" hidden="1" customHeight="1" x14ac:dyDescent="0.4"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</row>
    <row r="1135" spans="16:216" ht="15.75" hidden="1" customHeight="1" x14ac:dyDescent="0.4"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</row>
    <row r="1136" spans="16:216" ht="15.75" hidden="1" customHeight="1" x14ac:dyDescent="0.4"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</row>
    <row r="1137" spans="16:216" ht="15.75" hidden="1" customHeight="1" x14ac:dyDescent="0.4"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</row>
    <row r="1138" spans="16:216" ht="15.75" hidden="1" customHeight="1" x14ac:dyDescent="0.4"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</row>
    <row r="1139" spans="16:216" ht="15.75" hidden="1" customHeight="1" x14ac:dyDescent="0.4"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4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/>
      <c r="GK1139" s="4"/>
      <c r="GL1139" s="4"/>
      <c r="GM1139" s="4"/>
      <c r="GN1139" s="4"/>
      <c r="GO1139" s="4"/>
      <c r="GP1139" s="4"/>
      <c r="GQ1139" s="4"/>
      <c r="GR1139" s="4"/>
      <c r="GS1139" s="4"/>
      <c r="GT1139" s="4"/>
      <c r="GU1139" s="4"/>
      <c r="GV1139" s="4"/>
      <c r="GW1139" s="4"/>
      <c r="GX1139" s="4"/>
      <c r="GY1139" s="4"/>
      <c r="GZ1139" s="4"/>
      <c r="HA1139" s="4"/>
      <c r="HB1139" s="4"/>
      <c r="HC1139" s="4"/>
      <c r="HD1139" s="4"/>
      <c r="HE1139" s="4"/>
      <c r="HF1139" s="4"/>
      <c r="HG1139" s="4"/>
      <c r="HH1139" s="4"/>
    </row>
    <row r="1140" spans="16:216" ht="15.75" hidden="1" customHeight="1" x14ac:dyDescent="0.4"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</row>
    <row r="1141" spans="16:216" ht="15.75" hidden="1" customHeight="1" x14ac:dyDescent="0.4"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4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/>
      <c r="GK1141" s="4"/>
      <c r="GL1141" s="4"/>
      <c r="GM1141" s="4"/>
      <c r="GN1141" s="4"/>
      <c r="GO1141" s="4"/>
      <c r="GP1141" s="4"/>
      <c r="GQ1141" s="4"/>
      <c r="GR1141" s="4"/>
      <c r="GS1141" s="4"/>
      <c r="GT1141" s="4"/>
      <c r="GU1141" s="4"/>
      <c r="GV1141" s="4"/>
      <c r="GW1141" s="4"/>
      <c r="GX1141" s="4"/>
      <c r="GY1141" s="4"/>
      <c r="GZ1141" s="4"/>
      <c r="HA1141" s="4"/>
      <c r="HB1141" s="4"/>
      <c r="HC1141" s="4"/>
      <c r="HD1141" s="4"/>
      <c r="HE1141" s="4"/>
      <c r="HF1141" s="4"/>
      <c r="HG1141" s="4"/>
      <c r="HH1141" s="4"/>
    </row>
    <row r="1142" spans="16:216" ht="15" customHeight="1" x14ac:dyDescent="0.4"/>
    <row r="1143" spans="16:216" ht="15" customHeight="1" x14ac:dyDescent="0.4"/>
    <row r="1144" spans="16:216" ht="15" customHeight="1" x14ac:dyDescent="0.4"/>
    <row r="1145" spans="16:216" ht="15" customHeight="1" x14ac:dyDescent="0.4"/>
    <row r="1146" spans="16:216" ht="15" customHeight="1" x14ac:dyDescent="0.4"/>
    <row r="1147" spans="16:216" ht="15" customHeight="1" x14ac:dyDescent="0.4"/>
    <row r="1148" spans="16:216" ht="15" customHeight="1" x14ac:dyDescent="0.4"/>
    <row r="1149" spans="16:216" ht="15" customHeight="1" x14ac:dyDescent="0.4"/>
    <row r="1150" spans="16:216" ht="15" customHeight="1" x14ac:dyDescent="0.4"/>
    <row r="1151" spans="16:216" ht="15" customHeight="1" x14ac:dyDescent="0.4"/>
    <row r="1152" spans="16:216" ht="15" customHeight="1" x14ac:dyDescent="0.4"/>
    <row r="1153" ht="15" customHeight="1" x14ac:dyDescent="0.4"/>
    <row r="1154" ht="15" customHeight="1" x14ac:dyDescent="0.4"/>
    <row r="1155" ht="15" customHeight="1" x14ac:dyDescent="0.4"/>
    <row r="1156" ht="15" customHeight="1" x14ac:dyDescent="0.4"/>
    <row r="1157" ht="15" customHeight="1" x14ac:dyDescent="0.4"/>
    <row r="1158" ht="15" customHeight="1" x14ac:dyDescent="0.4"/>
    <row r="1159" ht="15" customHeight="1" x14ac:dyDescent="0.4"/>
    <row r="1160" ht="15" customHeight="1" x14ac:dyDescent="0.4"/>
    <row r="1161" ht="15" customHeight="1" x14ac:dyDescent="0.4"/>
    <row r="1162" ht="15" customHeight="1" x14ac:dyDescent="0.4"/>
    <row r="1163" ht="15" customHeight="1" x14ac:dyDescent="0.4"/>
    <row r="1164" ht="15" customHeight="1" x14ac:dyDescent="0.4"/>
    <row r="1165" ht="15" customHeight="1" x14ac:dyDescent="0.4"/>
    <row r="1166" ht="15" customHeight="1" x14ac:dyDescent="0.4"/>
    <row r="1167" ht="15" customHeight="1" x14ac:dyDescent="0.4"/>
    <row r="1168" ht="15" customHeight="1" x14ac:dyDescent="0.4"/>
    <row r="1169" ht="15" customHeight="1" x14ac:dyDescent="0.4"/>
    <row r="1170" ht="15" customHeight="1" x14ac:dyDescent="0.4"/>
    <row r="1171" ht="15" customHeight="1" x14ac:dyDescent="0.4"/>
    <row r="1172" ht="15" customHeight="1" x14ac:dyDescent="0.4"/>
    <row r="1173" ht="15" customHeight="1" x14ac:dyDescent="0.4"/>
    <row r="1174" ht="15" customHeight="1" x14ac:dyDescent="0.4"/>
    <row r="1175" ht="15" customHeight="1" x14ac:dyDescent="0.4"/>
    <row r="1176" ht="15" customHeight="1" x14ac:dyDescent="0.4"/>
    <row r="1177" ht="15" customHeight="1" x14ac:dyDescent="0.4"/>
    <row r="1178" ht="15" customHeight="1" x14ac:dyDescent="0.4"/>
    <row r="1179" ht="15" customHeight="1" x14ac:dyDescent="0.4"/>
    <row r="1180" ht="15" customHeight="1" x14ac:dyDescent="0.4"/>
    <row r="1181" ht="15" customHeight="1" x14ac:dyDescent="0.4"/>
    <row r="1182" ht="15" customHeight="1" x14ac:dyDescent="0.4"/>
    <row r="1183" ht="15" customHeight="1" x14ac:dyDescent="0.4"/>
    <row r="1184" ht="15" customHeight="1" x14ac:dyDescent="0.4"/>
    <row r="1185" ht="15" customHeight="1" x14ac:dyDescent="0.4"/>
    <row r="1186" ht="15" customHeight="1" x14ac:dyDescent="0.4"/>
    <row r="1187" ht="15" customHeight="1" x14ac:dyDescent="0.4"/>
    <row r="1188" ht="15" customHeight="1" x14ac:dyDescent="0.4"/>
    <row r="1189" ht="15" customHeight="1" x14ac:dyDescent="0.4"/>
    <row r="1190" ht="15" customHeight="1" x14ac:dyDescent="0.4"/>
    <row r="1191" ht="15" customHeight="1" x14ac:dyDescent="0.4"/>
    <row r="1192" ht="15" customHeight="1" x14ac:dyDescent="0.4"/>
    <row r="1193" ht="15" customHeight="1" x14ac:dyDescent="0.4"/>
    <row r="1194" ht="15" customHeight="1" x14ac:dyDescent="0.4"/>
    <row r="1195" ht="15" customHeight="1" x14ac:dyDescent="0.4"/>
    <row r="1196" ht="15" customHeight="1" x14ac:dyDescent="0.4"/>
    <row r="1197" ht="15" customHeight="1" x14ac:dyDescent="0.4"/>
    <row r="1198" ht="15" customHeight="1" x14ac:dyDescent="0.4"/>
    <row r="1199" ht="15" customHeight="1" x14ac:dyDescent="0.4"/>
    <row r="1200" ht="15" customHeight="1" x14ac:dyDescent="0.4"/>
    <row r="1201" ht="15" customHeight="1" x14ac:dyDescent="0.4"/>
    <row r="1202" ht="15" customHeight="1" x14ac:dyDescent="0.4"/>
    <row r="1203" ht="15" customHeight="1" x14ac:dyDescent="0.4"/>
    <row r="1204" ht="15" customHeight="1" x14ac:dyDescent="0.4"/>
    <row r="1205" ht="15" customHeight="1" x14ac:dyDescent="0.4"/>
    <row r="1206" ht="15" customHeight="1" x14ac:dyDescent="0.4"/>
    <row r="1207" ht="15" customHeight="1" x14ac:dyDescent="0.4"/>
    <row r="1208" ht="15" customHeight="1" x14ac:dyDescent="0.4"/>
    <row r="1209" ht="15" customHeight="1" x14ac:dyDescent="0.4"/>
    <row r="1210" ht="15" customHeight="1" x14ac:dyDescent="0.4"/>
    <row r="1211" ht="15" customHeight="1" x14ac:dyDescent="0.4"/>
    <row r="1212" ht="15" customHeight="1" x14ac:dyDescent="0.4"/>
    <row r="1213" ht="15" customHeight="1" x14ac:dyDescent="0.4"/>
    <row r="1214" ht="15" customHeight="1" x14ac:dyDescent="0.4"/>
    <row r="1215" ht="15" customHeight="1" x14ac:dyDescent="0.4"/>
    <row r="1216" ht="15" customHeight="1" x14ac:dyDescent="0.4"/>
    <row r="1217" ht="15" customHeight="1" x14ac:dyDescent="0.4"/>
    <row r="1218" ht="15" customHeight="1" x14ac:dyDescent="0.4"/>
    <row r="1219" ht="15" customHeight="1" x14ac:dyDescent="0.4"/>
    <row r="1220" ht="15" customHeight="1" x14ac:dyDescent="0.4"/>
    <row r="1221" ht="15" customHeight="1" x14ac:dyDescent="0.4"/>
    <row r="1222" ht="15" customHeight="1" x14ac:dyDescent="0.4"/>
    <row r="1223" ht="15" customHeight="1" x14ac:dyDescent="0.4"/>
    <row r="1224" ht="15" customHeight="1" x14ac:dyDescent="0.4"/>
  </sheetData>
  <mergeCells count="84">
    <mergeCell ref="A31:D31"/>
    <mergeCell ref="B12:D12"/>
    <mergeCell ref="B25:B27"/>
    <mergeCell ref="C25:C27"/>
    <mergeCell ref="B28:B30"/>
    <mergeCell ref="C28:C30"/>
    <mergeCell ref="E12:E13"/>
    <mergeCell ref="B13:D13"/>
    <mergeCell ref="B14:C16"/>
    <mergeCell ref="A17:D17"/>
    <mergeCell ref="B22:B24"/>
    <mergeCell ref="C22:C24"/>
    <mergeCell ref="B18:D18"/>
    <mergeCell ref="B19:B21"/>
    <mergeCell ref="C19:C2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52:D52"/>
    <mergeCell ref="B43:D43"/>
    <mergeCell ref="A44:D44"/>
    <mergeCell ref="C45:D45"/>
    <mergeCell ref="B61:D61"/>
    <mergeCell ref="A62:E62"/>
    <mergeCell ref="C54:D54"/>
    <mergeCell ref="A53:E53"/>
    <mergeCell ref="C63:D63"/>
    <mergeCell ref="C81:D81"/>
    <mergeCell ref="B79:D79"/>
    <mergeCell ref="A80:E80"/>
    <mergeCell ref="B70:D70"/>
    <mergeCell ref="A71:E71"/>
    <mergeCell ref="C72:D72"/>
    <mergeCell ref="B92:D92"/>
    <mergeCell ref="A93:E93"/>
    <mergeCell ref="C94:D94"/>
    <mergeCell ref="B88:D88"/>
    <mergeCell ref="C90:D90"/>
    <mergeCell ref="A89:E89"/>
    <mergeCell ref="C91:D91"/>
    <mergeCell ref="C121:D121"/>
    <mergeCell ref="B119:D119"/>
    <mergeCell ref="A120:E120"/>
    <mergeCell ref="B101:D101"/>
    <mergeCell ref="A102:E102"/>
    <mergeCell ref="C103:D103"/>
    <mergeCell ref="C112:D112"/>
    <mergeCell ref="B110:D110"/>
    <mergeCell ref="A111:E111"/>
    <mergeCell ref="C133:D133"/>
    <mergeCell ref="B131:D131"/>
    <mergeCell ref="A132:E132"/>
    <mergeCell ref="B128:D128"/>
    <mergeCell ref="A129:E129"/>
    <mergeCell ref="C130:D130"/>
    <mergeCell ref="B149:D149"/>
    <mergeCell ref="A150:E150"/>
    <mergeCell ref="C151:D151"/>
    <mergeCell ref="B140:D140"/>
    <mergeCell ref="C142:D142"/>
    <mergeCell ref="A141:E141"/>
    <mergeCell ref="B163:D163"/>
    <mergeCell ref="C165:D165"/>
    <mergeCell ref="A164:E164"/>
    <mergeCell ref="C160:D160"/>
    <mergeCell ref="B158:D158"/>
    <mergeCell ref="A159:E159"/>
    <mergeCell ref="C183:D183"/>
    <mergeCell ref="B181:D181"/>
    <mergeCell ref="A182:E182"/>
    <mergeCell ref="B172:D172"/>
    <mergeCell ref="A173:E173"/>
    <mergeCell ref="C174:D174"/>
    <mergeCell ref="C188:D188"/>
    <mergeCell ref="C189:D189"/>
    <mergeCell ref="C190:D190"/>
    <mergeCell ref="B185:D185"/>
    <mergeCell ref="B187:D187"/>
  </mergeCells>
  <conditionalFormatting sqref="E52">
    <cfRule type="containsBlanks" dxfId="285" priority="1">
      <formula>LEN(TRIM(E52))=0</formula>
    </cfRule>
  </conditionalFormatting>
  <conditionalFormatting sqref="E61">
    <cfRule type="containsBlanks" dxfId="284" priority="2">
      <formula>LEN(TRIM(E61))=0</formula>
    </cfRule>
  </conditionalFormatting>
  <conditionalFormatting sqref="E70">
    <cfRule type="containsBlanks" dxfId="283" priority="3">
      <formula>LEN(TRIM(E70))=0</formula>
    </cfRule>
  </conditionalFormatting>
  <conditionalFormatting sqref="E79">
    <cfRule type="containsBlanks" dxfId="282" priority="4">
      <formula>LEN(TRIM(E79))=0</formula>
    </cfRule>
  </conditionalFormatting>
  <conditionalFormatting sqref="E88">
    <cfRule type="containsBlanks" dxfId="281" priority="5">
      <formula>LEN(TRIM(E88))=0</formula>
    </cfRule>
  </conditionalFormatting>
  <conditionalFormatting sqref="E92">
    <cfRule type="containsBlanks" dxfId="280" priority="6">
      <formula>LEN(TRIM(E92))=0</formula>
    </cfRule>
  </conditionalFormatting>
  <conditionalFormatting sqref="E101">
    <cfRule type="containsBlanks" dxfId="279" priority="7">
      <formula>LEN(TRIM(E101))=0</formula>
    </cfRule>
  </conditionalFormatting>
  <conditionalFormatting sqref="E110">
    <cfRule type="containsBlanks" dxfId="278" priority="8">
      <formula>LEN(TRIM(E110))=0</formula>
    </cfRule>
  </conditionalFormatting>
  <conditionalFormatting sqref="E119">
    <cfRule type="containsBlanks" dxfId="277" priority="9">
      <formula>LEN(TRIM(E119))=0</formula>
    </cfRule>
  </conditionalFormatting>
  <conditionalFormatting sqref="E128">
    <cfRule type="containsBlanks" dxfId="276" priority="10">
      <formula>LEN(TRIM(E128))=0</formula>
    </cfRule>
  </conditionalFormatting>
  <conditionalFormatting sqref="E131">
    <cfRule type="containsBlanks" dxfId="275" priority="11">
      <formula>LEN(TRIM(E131))=0</formula>
    </cfRule>
  </conditionalFormatting>
  <conditionalFormatting sqref="E140">
    <cfRule type="containsBlanks" dxfId="274" priority="12">
      <formula>LEN(TRIM(E140))=0</formula>
    </cfRule>
  </conditionalFormatting>
  <conditionalFormatting sqref="E149">
    <cfRule type="containsBlanks" dxfId="273" priority="13">
      <formula>LEN(TRIM(E149))=0</formula>
    </cfRule>
  </conditionalFormatting>
  <conditionalFormatting sqref="E158">
    <cfRule type="containsBlanks" dxfId="272" priority="14">
      <formula>LEN(TRIM(E158))=0</formula>
    </cfRule>
  </conditionalFormatting>
  <conditionalFormatting sqref="E163">
    <cfRule type="containsBlanks" dxfId="271" priority="15">
      <formula>LEN(TRIM(E163))=0</formula>
    </cfRule>
  </conditionalFormatting>
  <conditionalFormatting sqref="E172">
    <cfRule type="containsBlanks" dxfId="270" priority="16">
      <formula>LEN(TRIM(E172))=0</formula>
    </cfRule>
  </conditionalFormatting>
  <conditionalFormatting sqref="E181">
    <cfRule type="containsBlanks" dxfId="269" priority="17">
      <formula>LEN(TRIM(E181))=0</formula>
    </cfRule>
  </conditionalFormatting>
  <conditionalFormatting sqref="E185">
    <cfRule type="containsBlanks" dxfId="268" priority="25">
      <formula>LEN(TRIM(E185))=0</formula>
    </cfRule>
  </conditionalFormatting>
  <conditionalFormatting sqref="F185:O187">
    <cfRule type="cellIs" dxfId="267" priority="49" operator="equal">
      <formula>"FALSE"</formula>
    </cfRule>
  </conditionalFormatting>
  <conditionalFormatting sqref="E30">
    <cfRule type="expression" dxfId="266" priority="183">
      <formula>E30&lt;&gt;E190</formula>
    </cfRule>
    <cfRule type="expression" dxfId="265" priority="184">
      <formula>E30&lt;&gt;E34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0B6F-3DA7-481D-AF0D-47F958A575F4}">
  <sheetPr>
    <tabColor rgb="FF92D050"/>
  </sheetPr>
  <dimension ref="A2:V190"/>
  <sheetViews>
    <sheetView topLeftCell="A13" zoomScale="70" zoomScaleNormal="70" workbookViewId="0">
      <pane ySplit="1" topLeftCell="A179" activePane="bottomLeft" state="frozen"/>
      <selection activeCell="A185" sqref="A185:XFD192"/>
      <selection pane="bottomLeft" activeCell="V189" sqref="V189"/>
    </sheetView>
  </sheetViews>
  <sheetFormatPr defaultRowHeight="13.15" x14ac:dyDescent="0.4"/>
  <cols>
    <col min="3" max="3" width="67.140625" bestFit="1" customWidth="1"/>
    <col min="4" max="4" width="5.85546875" bestFit="1" customWidth="1"/>
    <col min="22" max="22" width="13.28515625" customWidth="1"/>
  </cols>
  <sheetData>
    <row r="2" spans="1:22" x14ac:dyDescent="0.4">
      <c r="C2" s="43" t="s">
        <v>98</v>
      </c>
      <c r="D2" s="43" t="s">
        <v>105</v>
      </c>
    </row>
    <row r="3" spans="1:22" x14ac:dyDescent="0.4">
      <c r="C3" s="43" t="s">
        <v>99</v>
      </c>
      <c r="D3" s="43" t="s">
        <v>100</v>
      </c>
    </row>
    <row r="4" spans="1:22" x14ac:dyDescent="0.4">
      <c r="C4" s="43" t="s">
        <v>101</v>
      </c>
      <c r="D4" s="43" t="s">
        <v>102</v>
      </c>
    </row>
    <row r="5" spans="1:22" x14ac:dyDescent="0.4">
      <c r="C5" s="43"/>
      <c r="D5" s="43"/>
    </row>
    <row r="6" spans="1:22" x14ac:dyDescent="0.4">
      <c r="C6" s="43"/>
      <c r="D6" s="43"/>
    </row>
    <row r="7" spans="1:22" x14ac:dyDescent="0.4">
      <c r="C7" s="43"/>
      <c r="D7" s="43"/>
    </row>
    <row r="8" spans="1:22" x14ac:dyDescent="0.4">
      <c r="C8" s="43"/>
      <c r="D8" s="43"/>
    </row>
    <row r="9" spans="1:22" x14ac:dyDescent="0.4">
      <c r="C9" s="43" t="s">
        <v>103</v>
      </c>
      <c r="D9" s="43" t="s">
        <v>193</v>
      </c>
    </row>
    <row r="11" spans="1:22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1"/>
      <c r="T11" s="1"/>
      <c r="U11" s="1"/>
    </row>
    <row r="12" spans="1:22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2" t="s">
        <v>97</v>
      </c>
    </row>
    <row r="13" spans="1:22" x14ac:dyDescent="0.4">
      <c r="A13" s="6" t="s">
        <v>2</v>
      </c>
      <c r="B13" s="78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93"/>
    </row>
    <row r="14" spans="1:22" x14ac:dyDescent="0.4">
      <c r="A14" s="7"/>
      <c r="B14" s="81" t="s">
        <v>22</v>
      </c>
      <c r="C14" s="68"/>
      <c r="D14" s="6" t="s">
        <v>23</v>
      </c>
      <c r="E14" s="6">
        <v>76</v>
      </c>
      <c r="F14" s="6">
        <v>101</v>
      </c>
      <c r="G14" s="6">
        <v>67</v>
      </c>
      <c r="H14" s="6">
        <v>144</v>
      </c>
      <c r="I14" s="6">
        <v>143</v>
      </c>
      <c r="J14" s="6">
        <v>119</v>
      </c>
      <c r="K14" s="6">
        <v>147</v>
      </c>
      <c r="L14" s="6">
        <v>105</v>
      </c>
      <c r="M14" s="6">
        <v>114</v>
      </c>
      <c r="N14" s="6">
        <v>118</v>
      </c>
      <c r="O14" s="6">
        <v>132</v>
      </c>
      <c r="P14" s="6">
        <v>116</v>
      </c>
      <c r="Q14" s="6">
        <v>115</v>
      </c>
      <c r="R14" s="6">
        <v>137</v>
      </c>
      <c r="S14" s="6">
        <v>126</v>
      </c>
      <c r="T14" s="6">
        <v>119</v>
      </c>
      <c r="U14" s="6">
        <v>121</v>
      </c>
      <c r="V14" s="5">
        <f>SUM(E14:U14)</f>
        <v>2000</v>
      </c>
    </row>
    <row r="15" spans="1:22" x14ac:dyDescent="0.4">
      <c r="A15" s="7"/>
      <c r="B15" s="82"/>
      <c r="C15" s="75"/>
      <c r="D15" s="6" t="s">
        <v>24</v>
      </c>
      <c r="E15" s="6">
        <v>78</v>
      </c>
      <c r="F15" s="6">
        <v>98</v>
      </c>
      <c r="G15" s="6">
        <v>73</v>
      </c>
      <c r="H15" s="6">
        <v>137</v>
      </c>
      <c r="I15" s="6">
        <v>121</v>
      </c>
      <c r="J15" s="6">
        <v>108</v>
      </c>
      <c r="K15" s="6">
        <v>145</v>
      </c>
      <c r="L15" s="6">
        <v>117</v>
      </c>
      <c r="M15" s="6">
        <v>114</v>
      </c>
      <c r="N15" s="6">
        <v>130</v>
      </c>
      <c r="O15" s="6">
        <v>138</v>
      </c>
      <c r="P15" s="6">
        <v>115</v>
      </c>
      <c r="Q15" s="6">
        <v>127</v>
      </c>
      <c r="R15" s="6">
        <v>134</v>
      </c>
      <c r="S15" s="6">
        <v>126</v>
      </c>
      <c r="T15" s="6">
        <v>123</v>
      </c>
      <c r="U15" s="6">
        <v>140</v>
      </c>
      <c r="V15" s="5">
        <f>SUM(E15:U15)</f>
        <v>2024</v>
      </c>
    </row>
    <row r="16" spans="1:22" x14ac:dyDescent="0.4">
      <c r="A16" s="8"/>
      <c r="B16" s="80"/>
      <c r="C16" s="76"/>
      <c r="D16" s="5" t="s">
        <v>25</v>
      </c>
      <c r="E16" s="5">
        <f t="shared" ref="E16:U16" si="0">SUM(E14:E15)</f>
        <v>154</v>
      </c>
      <c r="F16" s="5">
        <f t="shared" ref="F16:N16" si="1">SUM(F14:F15)</f>
        <v>199</v>
      </c>
      <c r="G16" s="5">
        <f t="shared" si="1"/>
        <v>140</v>
      </c>
      <c r="H16" s="5">
        <f t="shared" si="1"/>
        <v>281</v>
      </c>
      <c r="I16" s="5">
        <f t="shared" si="1"/>
        <v>264</v>
      </c>
      <c r="J16" s="5">
        <f t="shared" si="1"/>
        <v>227</v>
      </c>
      <c r="K16" s="5">
        <f t="shared" si="1"/>
        <v>292</v>
      </c>
      <c r="L16" s="5">
        <f t="shared" si="1"/>
        <v>222</v>
      </c>
      <c r="M16" s="5">
        <f t="shared" si="1"/>
        <v>228</v>
      </c>
      <c r="N16" s="5">
        <f t="shared" si="1"/>
        <v>248</v>
      </c>
      <c r="O16" s="5">
        <f t="shared" si="0"/>
        <v>270</v>
      </c>
      <c r="P16" s="5">
        <f t="shared" si="0"/>
        <v>231</v>
      </c>
      <c r="Q16" s="5">
        <f t="shared" si="0"/>
        <v>242</v>
      </c>
      <c r="R16" s="5">
        <f t="shared" si="0"/>
        <v>271</v>
      </c>
      <c r="S16" s="5">
        <f t="shared" si="0"/>
        <v>252</v>
      </c>
      <c r="T16" s="5">
        <f t="shared" si="0"/>
        <v>242</v>
      </c>
      <c r="U16" s="5">
        <f t="shared" si="0"/>
        <v>261</v>
      </c>
      <c r="V16" s="5">
        <f>SUM(E16:U16)</f>
        <v>4024</v>
      </c>
    </row>
    <row r="17" spans="1:22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6"/>
      <c r="T17" s="6"/>
      <c r="U17" s="6"/>
      <c r="V17" s="28"/>
    </row>
    <row r="18" spans="1:22" x14ac:dyDescent="0.4">
      <c r="A18" s="11" t="s">
        <v>26</v>
      </c>
      <c r="B18" s="78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6"/>
      <c r="T18" s="6"/>
      <c r="U18" s="6"/>
      <c r="V18" s="28"/>
    </row>
    <row r="19" spans="1:22" x14ac:dyDescent="0.4">
      <c r="A19" s="11"/>
      <c r="B19" s="83" t="s">
        <v>28</v>
      </c>
      <c r="C19" s="84" t="s">
        <v>29</v>
      </c>
      <c r="D19" s="6" t="s">
        <v>23</v>
      </c>
      <c r="E19" s="6">
        <v>62</v>
      </c>
      <c r="F19" s="6">
        <v>87</v>
      </c>
      <c r="G19" s="6">
        <v>55</v>
      </c>
      <c r="H19" s="6">
        <v>112</v>
      </c>
      <c r="I19" s="6">
        <v>104</v>
      </c>
      <c r="J19" s="6">
        <v>91</v>
      </c>
      <c r="K19" s="6">
        <v>118</v>
      </c>
      <c r="L19" s="6">
        <v>82</v>
      </c>
      <c r="M19" s="6">
        <v>97</v>
      </c>
      <c r="N19" s="6">
        <v>93</v>
      </c>
      <c r="O19" s="6">
        <v>114</v>
      </c>
      <c r="P19" s="6">
        <v>97</v>
      </c>
      <c r="Q19" s="6">
        <v>105</v>
      </c>
      <c r="R19" s="6">
        <v>111</v>
      </c>
      <c r="S19" s="6">
        <v>96</v>
      </c>
      <c r="T19" s="6">
        <v>100</v>
      </c>
      <c r="U19" s="6">
        <v>100</v>
      </c>
      <c r="V19" s="5">
        <f t="shared" ref="V19:V30" si="2">SUM(E19:U19)</f>
        <v>1624</v>
      </c>
    </row>
    <row r="20" spans="1:22" x14ac:dyDescent="0.4">
      <c r="A20" s="12"/>
      <c r="B20" s="75"/>
      <c r="C20" s="85"/>
      <c r="D20" s="6" t="s">
        <v>24</v>
      </c>
      <c r="E20" s="6">
        <v>67</v>
      </c>
      <c r="F20" s="6">
        <v>86</v>
      </c>
      <c r="G20" s="6">
        <v>61</v>
      </c>
      <c r="H20" s="6">
        <v>118</v>
      </c>
      <c r="I20" s="6">
        <v>101</v>
      </c>
      <c r="J20" s="6">
        <v>94</v>
      </c>
      <c r="K20" s="6">
        <v>134</v>
      </c>
      <c r="L20" s="6">
        <v>97</v>
      </c>
      <c r="M20" s="6">
        <v>95</v>
      </c>
      <c r="N20" s="6">
        <v>110</v>
      </c>
      <c r="O20" s="6">
        <v>119</v>
      </c>
      <c r="P20" s="6">
        <v>106</v>
      </c>
      <c r="Q20" s="6">
        <v>116</v>
      </c>
      <c r="R20" s="6">
        <v>111</v>
      </c>
      <c r="S20" s="6">
        <v>104</v>
      </c>
      <c r="T20" s="6">
        <v>110</v>
      </c>
      <c r="U20" s="6">
        <v>122</v>
      </c>
      <c r="V20" s="5">
        <f t="shared" si="2"/>
        <v>1751</v>
      </c>
    </row>
    <row r="21" spans="1:22" x14ac:dyDescent="0.4">
      <c r="A21" s="13"/>
      <c r="B21" s="76"/>
      <c r="C21" s="86"/>
      <c r="D21" s="5" t="s">
        <v>25</v>
      </c>
      <c r="E21" s="5">
        <f t="shared" ref="E21:U21" si="3">SUM(E19:E20)</f>
        <v>129</v>
      </c>
      <c r="F21" s="5">
        <f t="shared" ref="F21:N21" si="4">SUM(F19:F20)</f>
        <v>173</v>
      </c>
      <c r="G21" s="5">
        <f t="shared" si="4"/>
        <v>116</v>
      </c>
      <c r="H21" s="5">
        <f t="shared" si="4"/>
        <v>230</v>
      </c>
      <c r="I21" s="5">
        <f t="shared" si="4"/>
        <v>205</v>
      </c>
      <c r="J21" s="5">
        <f t="shared" si="4"/>
        <v>185</v>
      </c>
      <c r="K21" s="5">
        <f t="shared" si="4"/>
        <v>252</v>
      </c>
      <c r="L21" s="5">
        <f t="shared" si="4"/>
        <v>179</v>
      </c>
      <c r="M21" s="5">
        <f t="shared" si="4"/>
        <v>192</v>
      </c>
      <c r="N21" s="5">
        <f t="shared" si="4"/>
        <v>203</v>
      </c>
      <c r="O21" s="5">
        <f t="shared" si="3"/>
        <v>233</v>
      </c>
      <c r="P21" s="5">
        <f t="shared" si="3"/>
        <v>203</v>
      </c>
      <c r="Q21" s="5">
        <f t="shared" si="3"/>
        <v>221</v>
      </c>
      <c r="R21" s="5">
        <f t="shared" si="3"/>
        <v>222</v>
      </c>
      <c r="S21" s="5">
        <f t="shared" si="3"/>
        <v>200</v>
      </c>
      <c r="T21" s="5">
        <f t="shared" si="3"/>
        <v>210</v>
      </c>
      <c r="U21" s="5">
        <f t="shared" si="3"/>
        <v>222</v>
      </c>
      <c r="V21" s="5">
        <f t="shared" si="2"/>
        <v>3375</v>
      </c>
    </row>
    <row r="22" spans="1:22" x14ac:dyDescent="0.4">
      <c r="A22" s="12"/>
      <c r="B22" s="83" t="s">
        <v>30</v>
      </c>
      <c r="C22" s="84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1</v>
      </c>
      <c r="J22" s="6">
        <v>1</v>
      </c>
      <c r="K22" s="6">
        <v>0</v>
      </c>
      <c r="L22" s="6">
        <v>2</v>
      </c>
      <c r="M22" s="6">
        <v>0</v>
      </c>
      <c r="N22" s="6">
        <v>1</v>
      </c>
      <c r="O22" s="6">
        <v>3</v>
      </c>
      <c r="P22" s="6">
        <v>1</v>
      </c>
      <c r="Q22" s="6">
        <v>1</v>
      </c>
      <c r="R22" s="6">
        <v>1</v>
      </c>
      <c r="S22" s="6">
        <v>0</v>
      </c>
      <c r="T22" s="6">
        <v>0</v>
      </c>
      <c r="U22" s="6">
        <v>0</v>
      </c>
      <c r="V22" s="5">
        <f t="shared" si="2"/>
        <v>11</v>
      </c>
    </row>
    <row r="23" spans="1:22" x14ac:dyDescent="0.4">
      <c r="A23" s="12"/>
      <c r="B23" s="75"/>
      <c r="C23" s="85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3</v>
      </c>
      <c r="J23" s="6">
        <v>0</v>
      </c>
      <c r="K23" s="6">
        <v>3</v>
      </c>
      <c r="L23" s="6">
        <v>1</v>
      </c>
      <c r="M23" s="6">
        <v>1</v>
      </c>
      <c r="N23" s="6">
        <v>1</v>
      </c>
      <c r="O23" s="6">
        <v>2</v>
      </c>
      <c r="P23" s="6">
        <v>1</v>
      </c>
      <c r="Q23" s="6">
        <v>2</v>
      </c>
      <c r="R23" s="6">
        <v>0</v>
      </c>
      <c r="S23" s="6">
        <v>0</v>
      </c>
      <c r="T23" s="6">
        <v>1</v>
      </c>
      <c r="U23" s="6">
        <v>0</v>
      </c>
      <c r="V23" s="5">
        <f t="shared" si="2"/>
        <v>15</v>
      </c>
    </row>
    <row r="24" spans="1:22" x14ac:dyDescent="0.4">
      <c r="A24" s="13"/>
      <c r="B24" s="76"/>
      <c r="C24" s="86"/>
      <c r="D24" s="5" t="s">
        <v>25</v>
      </c>
      <c r="E24" s="5">
        <f t="shared" ref="E24:U24" si="5">SUM(E22:E23)</f>
        <v>0</v>
      </c>
      <c r="F24" s="5">
        <f t="shared" ref="F24:N24" si="6">SUM(F22:F23)</f>
        <v>0</v>
      </c>
      <c r="G24" s="5">
        <f t="shared" si="6"/>
        <v>0</v>
      </c>
      <c r="H24" s="5">
        <f t="shared" si="6"/>
        <v>0</v>
      </c>
      <c r="I24" s="5">
        <f t="shared" si="6"/>
        <v>4</v>
      </c>
      <c r="J24" s="5">
        <f t="shared" si="6"/>
        <v>1</v>
      </c>
      <c r="K24" s="5">
        <f t="shared" si="6"/>
        <v>3</v>
      </c>
      <c r="L24" s="5">
        <f t="shared" si="6"/>
        <v>3</v>
      </c>
      <c r="M24" s="5">
        <f t="shared" si="6"/>
        <v>1</v>
      </c>
      <c r="N24" s="5">
        <f t="shared" si="6"/>
        <v>2</v>
      </c>
      <c r="O24" s="5">
        <f t="shared" si="5"/>
        <v>5</v>
      </c>
      <c r="P24" s="5">
        <f t="shared" si="5"/>
        <v>2</v>
      </c>
      <c r="Q24" s="5">
        <f t="shared" si="5"/>
        <v>3</v>
      </c>
      <c r="R24" s="5">
        <f t="shared" si="5"/>
        <v>1</v>
      </c>
      <c r="S24" s="5">
        <f t="shared" si="5"/>
        <v>0</v>
      </c>
      <c r="T24" s="5">
        <f t="shared" si="5"/>
        <v>1</v>
      </c>
      <c r="U24" s="5">
        <f t="shared" si="5"/>
        <v>0</v>
      </c>
      <c r="V24" s="5">
        <f t="shared" si="2"/>
        <v>26</v>
      </c>
    </row>
    <row r="25" spans="1:22" x14ac:dyDescent="0.4">
      <c r="A25" s="12"/>
      <c r="B25" s="83" t="s">
        <v>32</v>
      </c>
      <c r="C25" s="84" t="s">
        <v>33</v>
      </c>
      <c r="D25" s="6" t="s">
        <v>23</v>
      </c>
      <c r="E25" s="6">
        <v>0</v>
      </c>
      <c r="F25" s="6">
        <v>1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2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5">
        <f t="shared" si="2"/>
        <v>3</v>
      </c>
    </row>
    <row r="26" spans="1:22" x14ac:dyDescent="0.4">
      <c r="A26" s="12"/>
      <c r="B26" s="75"/>
      <c r="C26" s="85"/>
      <c r="D26" s="6" t="s">
        <v>24</v>
      </c>
      <c r="E26" s="6">
        <v>1</v>
      </c>
      <c r="F26" s="6">
        <v>0</v>
      </c>
      <c r="G26" s="6">
        <v>0</v>
      </c>
      <c r="H26" s="6">
        <v>0</v>
      </c>
      <c r="I26" s="6">
        <v>1</v>
      </c>
      <c r="J26" s="6">
        <v>0</v>
      </c>
      <c r="K26" s="6">
        <v>0</v>
      </c>
      <c r="L26" s="6">
        <v>1</v>
      </c>
      <c r="M26" s="6">
        <v>2</v>
      </c>
      <c r="N26" s="6">
        <v>0</v>
      </c>
      <c r="O26" s="6">
        <v>0</v>
      </c>
      <c r="P26" s="6">
        <v>0</v>
      </c>
      <c r="Q26" s="6">
        <v>2</v>
      </c>
      <c r="R26" s="6">
        <v>2</v>
      </c>
      <c r="S26" s="6">
        <v>3</v>
      </c>
      <c r="T26" s="6">
        <v>0</v>
      </c>
      <c r="U26" s="6">
        <v>0</v>
      </c>
      <c r="V26" s="5">
        <f t="shared" si="2"/>
        <v>12</v>
      </c>
    </row>
    <row r="27" spans="1:22" x14ac:dyDescent="0.4">
      <c r="A27" s="13"/>
      <c r="B27" s="76"/>
      <c r="C27" s="86"/>
      <c r="D27" s="5" t="s">
        <v>25</v>
      </c>
      <c r="E27" s="5">
        <f t="shared" ref="E27:U27" si="7">SUM(E25:E26)</f>
        <v>1</v>
      </c>
      <c r="F27" s="5">
        <f t="shared" ref="F27:N27" si="8">SUM(F25:F26)</f>
        <v>1</v>
      </c>
      <c r="G27" s="5">
        <f t="shared" si="8"/>
        <v>0</v>
      </c>
      <c r="H27" s="5">
        <f t="shared" si="8"/>
        <v>0</v>
      </c>
      <c r="I27" s="5">
        <f t="shared" si="8"/>
        <v>1</v>
      </c>
      <c r="J27" s="5">
        <f t="shared" si="8"/>
        <v>0</v>
      </c>
      <c r="K27" s="5">
        <f t="shared" si="8"/>
        <v>0</v>
      </c>
      <c r="L27" s="5">
        <f t="shared" si="8"/>
        <v>3</v>
      </c>
      <c r="M27" s="5">
        <f t="shared" si="8"/>
        <v>2</v>
      </c>
      <c r="N27" s="5">
        <f t="shared" si="8"/>
        <v>0</v>
      </c>
      <c r="O27" s="5">
        <f t="shared" si="7"/>
        <v>0</v>
      </c>
      <c r="P27" s="5">
        <f t="shared" si="7"/>
        <v>0</v>
      </c>
      <c r="Q27" s="5">
        <f t="shared" si="7"/>
        <v>2</v>
      </c>
      <c r="R27" s="5">
        <f t="shared" si="7"/>
        <v>2</v>
      </c>
      <c r="S27" s="5">
        <f t="shared" si="7"/>
        <v>3</v>
      </c>
      <c r="T27" s="5">
        <f t="shared" si="7"/>
        <v>0</v>
      </c>
      <c r="U27" s="5">
        <f t="shared" si="7"/>
        <v>0</v>
      </c>
      <c r="V27" s="5">
        <f t="shared" si="2"/>
        <v>15</v>
      </c>
    </row>
    <row r="28" spans="1:22" x14ac:dyDescent="0.4">
      <c r="A28" s="13"/>
      <c r="B28" s="87" t="s">
        <v>34</v>
      </c>
      <c r="C28" s="88" t="s">
        <v>35</v>
      </c>
      <c r="D28" s="5" t="s">
        <v>23</v>
      </c>
      <c r="E28" s="5">
        <f>SUM(E19,E22,E25)</f>
        <v>62</v>
      </c>
      <c r="F28" s="5">
        <f t="shared" ref="F28:N28" si="9">SUM(F19,F22,F25)</f>
        <v>88</v>
      </c>
      <c r="G28" s="5">
        <f t="shared" si="9"/>
        <v>55</v>
      </c>
      <c r="H28" s="5">
        <f t="shared" si="9"/>
        <v>112</v>
      </c>
      <c r="I28" s="5">
        <f t="shared" si="9"/>
        <v>105</v>
      </c>
      <c r="J28" s="5">
        <f t="shared" si="9"/>
        <v>92</v>
      </c>
      <c r="K28" s="5">
        <f t="shared" si="9"/>
        <v>118</v>
      </c>
      <c r="L28" s="5">
        <f t="shared" si="9"/>
        <v>86</v>
      </c>
      <c r="M28" s="5">
        <f t="shared" si="9"/>
        <v>97</v>
      </c>
      <c r="N28" s="5">
        <f t="shared" si="9"/>
        <v>94</v>
      </c>
      <c r="O28" s="5">
        <f t="shared" ref="O28:U29" si="10">SUM(O19,O22,O25)</f>
        <v>117</v>
      </c>
      <c r="P28" s="5">
        <f t="shared" si="10"/>
        <v>98</v>
      </c>
      <c r="Q28" s="5">
        <f t="shared" si="10"/>
        <v>106</v>
      </c>
      <c r="R28" s="5">
        <f t="shared" si="10"/>
        <v>112</v>
      </c>
      <c r="S28" s="5">
        <f t="shared" si="10"/>
        <v>96</v>
      </c>
      <c r="T28" s="5">
        <f t="shared" si="10"/>
        <v>100</v>
      </c>
      <c r="U28" s="5">
        <f t="shared" si="10"/>
        <v>100</v>
      </c>
      <c r="V28" s="5">
        <f t="shared" si="2"/>
        <v>1638</v>
      </c>
    </row>
    <row r="29" spans="1:22" x14ac:dyDescent="0.4">
      <c r="A29" s="13"/>
      <c r="B29" s="75"/>
      <c r="C29" s="85"/>
      <c r="D29" s="5" t="s">
        <v>24</v>
      </c>
      <c r="E29" s="5">
        <f>SUM(E20,E23,E26)</f>
        <v>68</v>
      </c>
      <c r="F29" s="5">
        <f t="shared" ref="F29:N29" si="11">SUM(F20,F23,F26)</f>
        <v>86</v>
      </c>
      <c r="G29" s="5">
        <f t="shared" si="11"/>
        <v>61</v>
      </c>
      <c r="H29" s="5">
        <f t="shared" si="11"/>
        <v>118</v>
      </c>
      <c r="I29" s="5">
        <f t="shared" si="11"/>
        <v>105</v>
      </c>
      <c r="J29" s="5">
        <f t="shared" si="11"/>
        <v>94</v>
      </c>
      <c r="K29" s="5">
        <f t="shared" si="11"/>
        <v>137</v>
      </c>
      <c r="L29" s="5">
        <f t="shared" si="11"/>
        <v>99</v>
      </c>
      <c r="M29" s="5">
        <f t="shared" si="11"/>
        <v>98</v>
      </c>
      <c r="N29" s="5">
        <f t="shared" si="11"/>
        <v>111</v>
      </c>
      <c r="O29" s="5">
        <f t="shared" si="10"/>
        <v>121</v>
      </c>
      <c r="P29" s="5">
        <f t="shared" si="10"/>
        <v>107</v>
      </c>
      <c r="Q29" s="5">
        <f t="shared" si="10"/>
        <v>120</v>
      </c>
      <c r="R29" s="5">
        <f t="shared" si="10"/>
        <v>113</v>
      </c>
      <c r="S29" s="5">
        <f t="shared" si="10"/>
        <v>107</v>
      </c>
      <c r="T29" s="5">
        <f t="shared" si="10"/>
        <v>111</v>
      </c>
      <c r="U29" s="5">
        <f t="shared" si="10"/>
        <v>122</v>
      </c>
      <c r="V29" s="5">
        <f t="shared" si="2"/>
        <v>1778</v>
      </c>
    </row>
    <row r="30" spans="1:22" x14ac:dyDescent="0.4">
      <c r="A30" s="13"/>
      <c r="B30" s="76"/>
      <c r="C30" s="86"/>
      <c r="D30" s="5" t="s">
        <v>25</v>
      </c>
      <c r="E30" s="5">
        <f t="shared" ref="E30:U30" si="12">SUM(E28:E29)</f>
        <v>130</v>
      </c>
      <c r="F30" s="5">
        <f t="shared" ref="F30:N30" si="13">SUM(F28:F29)</f>
        <v>174</v>
      </c>
      <c r="G30" s="5">
        <f t="shared" si="13"/>
        <v>116</v>
      </c>
      <c r="H30" s="5">
        <f t="shared" si="13"/>
        <v>230</v>
      </c>
      <c r="I30" s="5">
        <f t="shared" si="13"/>
        <v>210</v>
      </c>
      <c r="J30" s="5">
        <f t="shared" si="13"/>
        <v>186</v>
      </c>
      <c r="K30" s="5">
        <f t="shared" si="13"/>
        <v>255</v>
      </c>
      <c r="L30" s="5">
        <f t="shared" si="13"/>
        <v>185</v>
      </c>
      <c r="M30" s="5">
        <f t="shared" si="13"/>
        <v>195</v>
      </c>
      <c r="N30" s="5">
        <f t="shared" si="13"/>
        <v>205</v>
      </c>
      <c r="O30" s="5">
        <f t="shared" si="12"/>
        <v>238</v>
      </c>
      <c r="P30" s="5">
        <f t="shared" si="12"/>
        <v>205</v>
      </c>
      <c r="Q30" s="5">
        <f t="shared" si="12"/>
        <v>226</v>
      </c>
      <c r="R30" s="5">
        <f t="shared" si="12"/>
        <v>225</v>
      </c>
      <c r="S30" s="5">
        <f t="shared" si="12"/>
        <v>203</v>
      </c>
      <c r="T30" s="5">
        <f t="shared" si="12"/>
        <v>211</v>
      </c>
      <c r="U30" s="5">
        <f t="shared" si="12"/>
        <v>222</v>
      </c>
      <c r="V30" s="5">
        <f t="shared" si="2"/>
        <v>3416</v>
      </c>
    </row>
    <row r="31" spans="1:22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6"/>
      <c r="T31" s="6"/>
      <c r="U31" s="6"/>
      <c r="V31" s="28"/>
    </row>
    <row r="32" spans="1:22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5"/>
      <c r="T32" s="5"/>
      <c r="U32" s="5"/>
      <c r="V32" s="28"/>
    </row>
    <row r="33" spans="1:22" x14ac:dyDescent="0.4">
      <c r="A33" s="6">
        <v>1</v>
      </c>
      <c r="B33" s="78" t="s">
        <v>38</v>
      </c>
      <c r="C33" s="69"/>
      <c r="D33" s="60"/>
      <c r="E33" s="6">
        <v>158</v>
      </c>
      <c r="F33" s="6">
        <v>203</v>
      </c>
      <c r="G33" s="6">
        <v>143</v>
      </c>
      <c r="H33" s="6">
        <v>287</v>
      </c>
      <c r="I33" s="6">
        <v>270</v>
      </c>
      <c r="J33" s="6">
        <v>232</v>
      </c>
      <c r="K33" s="6">
        <v>298</v>
      </c>
      <c r="L33" s="6">
        <v>227</v>
      </c>
      <c r="M33" s="6">
        <v>233</v>
      </c>
      <c r="N33" s="6">
        <v>253</v>
      </c>
      <c r="O33" s="6">
        <v>276</v>
      </c>
      <c r="P33" s="6">
        <v>236</v>
      </c>
      <c r="Q33" s="6">
        <v>247</v>
      </c>
      <c r="R33" s="6">
        <v>276</v>
      </c>
      <c r="S33" s="6">
        <v>258</v>
      </c>
      <c r="T33" s="6">
        <v>247</v>
      </c>
      <c r="U33" s="6">
        <v>267</v>
      </c>
      <c r="V33" s="5">
        <f>SUM(E33:U33)</f>
        <v>4111</v>
      </c>
    </row>
    <row r="34" spans="1:22" x14ac:dyDescent="0.4">
      <c r="A34" s="6">
        <v>2</v>
      </c>
      <c r="B34" s="78" t="s">
        <v>39</v>
      </c>
      <c r="C34" s="69"/>
      <c r="D34" s="60"/>
      <c r="E34" s="5">
        <v>130</v>
      </c>
      <c r="F34" s="5">
        <v>174</v>
      </c>
      <c r="G34" s="5">
        <v>116</v>
      </c>
      <c r="H34" s="5">
        <v>230</v>
      </c>
      <c r="I34" s="5">
        <v>210</v>
      </c>
      <c r="J34" s="5">
        <v>186</v>
      </c>
      <c r="K34" s="5">
        <v>255</v>
      </c>
      <c r="L34" s="5">
        <v>185</v>
      </c>
      <c r="M34" s="5">
        <v>195</v>
      </c>
      <c r="N34" s="5">
        <v>205</v>
      </c>
      <c r="O34" s="5">
        <v>238</v>
      </c>
      <c r="P34" s="5">
        <v>205</v>
      </c>
      <c r="Q34" s="5">
        <v>226</v>
      </c>
      <c r="R34" s="5">
        <v>225</v>
      </c>
      <c r="S34" s="5">
        <v>203</v>
      </c>
      <c r="T34" s="5">
        <v>211</v>
      </c>
      <c r="U34" s="5">
        <v>222</v>
      </c>
      <c r="V34" s="5">
        <f>SUM(E34:U34)</f>
        <v>3416</v>
      </c>
    </row>
    <row r="35" spans="1:22" x14ac:dyDescent="0.4">
      <c r="A35" s="6">
        <v>3</v>
      </c>
      <c r="B35" s="78" t="s">
        <v>40</v>
      </c>
      <c r="C35" s="69"/>
      <c r="D35" s="60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1</v>
      </c>
      <c r="K35" s="6">
        <v>0</v>
      </c>
      <c r="L35" s="6">
        <v>3</v>
      </c>
      <c r="M35" s="6">
        <v>0</v>
      </c>
      <c r="N35" s="6">
        <v>0</v>
      </c>
      <c r="O35" s="6">
        <v>1</v>
      </c>
      <c r="P35" s="6">
        <v>0</v>
      </c>
      <c r="Q35" s="6">
        <v>2</v>
      </c>
      <c r="R35" s="6">
        <v>2</v>
      </c>
      <c r="S35" s="6">
        <v>1</v>
      </c>
      <c r="T35" s="6">
        <v>1</v>
      </c>
      <c r="U35" s="6">
        <v>0</v>
      </c>
      <c r="V35" s="5">
        <f>SUM(E35:U35)</f>
        <v>11</v>
      </c>
    </row>
    <row r="36" spans="1:22" x14ac:dyDescent="0.4">
      <c r="A36" s="6">
        <v>4</v>
      </c>
      <c r="B36" s="78" t="s">
        <v>41</v>
      </c>
      <c r="C36" s="69"/>
      <c r="D36" s="60"/>
      <c r="E36" s="5">
        <f t="shared" ref="E36:U36" si="14">E33-(E34+E35)</f>
        <v>28</v>
      </c>
      <c r="F36" s="5">
        <f t="shared" ref="F36:N36" si="15">F33-(F34+F35)</f>
        <v>29</v>
      </c>
      <c r="G36" s="5">
        <f t="shared" si="15"/>
        <v>27</v>
      </c>
      <c r="H36" s="5">
        <f t="shared" si="15"/>
        <v>57</v>
      </c>
      <c r="I36" s="5">
        <f t="shared" si="15"/>
        <v>60</v>
      </c>
      <c r="J36" s="5">
        <f t="shared" si="15"/>
        <v>45</v>
      </c>
      <c r="K36" s="5">
        <f t="shared" si="15"/>
        <v>43</v>
      </c>
      <c r="L36" s="5">
        <f t="shared" si="15"/>
        <v>39</v>
      </c>
      <c r="M36" s="5">
        <f t="shared" si="15"/>
        <v>38</v>
      </c>
      <c r="N36" s="5">
        <f t="shared" si="15"/>
        <v>48</v>
      </c>
      <c r="O36" s="5">
        <f t="shared" si="14"/>
        <v>37</v>
      </c>
      <c r="P36" s="5">
        <f t="shared" si="14"/>
        <v>31</v>
      </c>
      <c r="Q36" s="5">
        <f t="shared" si="14"/>
        <v>19</v>
      </c>
      <c r="R36" s="5">
        <f t="shared" si="14"/>
        <v>49</v>
      </c>
      <c r="S36" s="5">
        <f t="shared" si="14"/>
        <v>54</v>
      </c>
      <c r="T36" s="5">
        <f t="shared" si="14"/>
        <v>35</v>
      </c>
      <c r="U36" s="5">
        <f t="shared" si="14"/>
        <v>45</v>
      </c>
      <c r="V36" s="5">
        <f>SUM(E36:U36)</f>
        <v>684</v>
      </c>
    </row>
    <row r="37" spans="1:22" x14ac:dyDescent="0.4">
      <c r="A37" s="61"/>
      <c r="B37" s="69"/>
      <c r="C37" s="69"/>
      <c r="D37" s="69"/>
      <c r="E37" s="61"/>
      <c r="F37" s="62"/>
      <c r="G37" s="62"/>
      <c r="H37" s="62"/>
      <c r="I37" s="62"/>
      <c r="J37" s="62"/>
      <c r="K37" s="62"/>
      <c r="L37" s="62"/>
      <c r="M37" s="62"/>
      <c r="N37" s="62"/>
      <c r="O37" s="89"/>
      <c r="P37" s="89"/>
      <c r="Q37" s="89"/>
      <c r="R37" s="89"/>
      <c r="S37" s="89"/>
      <c r="T37" s="89"/>
      <c r="U37" s="89"/>
      <c r="V37" s="28"/>
    </row>
    <row r="38" spans="1:22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5"/>
      <c r="T38" s="5"/>
      <c r="U38" s="5"/>
      <c r="V38" s="28"/>
    </row>
    <row r="39" spans="1:22" x14ac:dyDescent="0.4">
      <c r="A39" s="11"/>
      <c r="B39" s="73" t="s">
        <v>44</v>
      </c>
      <c r="C39" s="68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2</v>
      </c>
      <c r="J39" s="6">
        <v>0</v>
      </c>
      <c r="K39" s="6">
        <v>0</v>
      </c>
      <c r="L39" s="6">
        <v>1</v>
      </c>
      <c r="M39" s="6">
        <v>0</v>
      </c>
      <c r="N39" s="6">
        <v>0</v>
      </c>
      <c r="O39" s="6">
        <v>0</v>
      </c>
      <c r="P39" s="6">
        <v>0</v>
      </c>
      <c r="Q39" s="6">
        <v>1</v>
      </c>
      <c r="R39" s="6">
        <v>0</v>
      </c>
      <c r="S39" s="6">
        <v>0</v>
      </c>
      <c r="T39" s="6">
        <v>0</v>
      </c>
      <c r="U39" s="6">
        <v>0</v>
      </c>
      <c r="V39" s="5">
        <f>SUM(E39:U39)</f>
        <v>4</v>
      </c>
    </row>
    <row r="40" spans="1:22" x14ac:dyDescent="0.4">
      <c r="A40" s="12"/>
      <c r="B40" s="74"/>
      <c r="C40" s="75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2</v>
      </c>
      <c r="J40" s="6">
        <v>0</v>
      </c>
      <c r="K40" s="6">
        <v>0</v>
      </c>
      <c r="L40" s="6">
        <v>0</v>
      </c>
      <c r="M40" s="6">
        <v>0</v>
      </c>
      <c r="N40" s="6">
        <v>3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5">
        <f>SUM(E40:U40)</f>
        <v>5</v>
      </c>
    </row>
    <row r="41" spans="1:22" x14ac:dyDescent="0.4">
      <c r="A41" s="14"/>
      <c r="B41" s="71"/>
      <c r="C41" s="76"/>
      <c r="D41" s="5" t="s">
        <v>25</v>
      </c>
      <c r="E41" s="5">
        <f t="shared" ref="E41:U41" si="16">SUM(E39:E40)</f>
        <v>0</v>
      </c>
      <c r="F41" s="5">
        <f t="shared" ref="F41:N41" si="17">SUM(F39:F40)</f>
        <v>0</v>
      </c>
      <c r="G41" s="5">
        <f t="shared" si="17"/>
        <v>0</v>
      </c>
      <c r="H41" s="5">
        <f t="shared" si="17"/>
        <v>0</v>
      </c>
      <c r="I41" s="5">
        <f t="shared" si="17"/>
        <v>4</v>
      </c>
      <c r="J41" s="5">
        <f t="shared" si="17"/>
        <v>0</v>
      </c>
      <c r="K41" s="5">
        <f t="shared" si="17"/>
        <v>0</v>
      </c>
      <c r="L41" s="5">
        <f t="shared" si="17"/>
        <v>1</v>
      </c>
      <c r="M41" s="5">
        <f t="shared" si="17"/>
        <v>0</v>
      </c>
      <c r="N41" s="5">
        <f t="shared" si="17"/>
        <v>3</v>
      </c>
      <c r="O41" s="5">
        <f t="shared" si="16"/>
        <v>0</v>
      </c>
      <c r="P41" s="5">
        <f t="shared" si="16"/>
        <v>0</v>
      </c>
      <c r="Q41" s="5">
        <f t="shared" si="16"/>
        <v>1</v>
      </c>
      <c r="R41" s="5">
        <f t="shared" si="16"/>
        <v>0</v>
      </c>
      <c r="S41" s="5">
        <f t="shared" si="16"/>
        <v>0</v>
      </c>
      <c r="T41" s="5">
        <f t="shared" si="16"/>
        <v>0</v>
      </c>
      <c r="U41" s="5">
        <f t="shared" si="16"/>
        <v>0</v>
      </c>
      <c r="V41" s="5">
        <f>SUM(E41:U41)</f>
        <v>9</v>
      </c>
    </row>
    <row r="42" spans="1:22" x14ac:dyDescent="0.4">
      <c r="A42" s="70"/>
      <c r="B42" s="71"/>
      <c r="C42" s="71"/>
      <c r="D42" s="76"/>
      <c r="E42" s="61"/>
      <c r="F42" s="62"/>
      <c r="G42" s="62"/>
      <c r="H42" s="62"/>
      <c r="I42" s="62"/>
      <c r="J42" s="62"/>
      <c r="K42" s="62"/>
      <c r="L42" s="62"/>
      <c r="M42" s="62"/>
      <c r="N42" s="62"/>
      <c r="O42" s="69"/>
      <c r="P42" s="69"/>
      <c r="Q42" s="69"/>
      <c r="R42" s="69"/>
      <c r="S42" s="69"/>
      <c r="T42" s="69"/>
      <c r="U42" s="69"/>
      <c r="V42" s="5"/>
    </row>
    <row r="43" spans="1:22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5"/>
      <c r="T43" s="5"/>
      <c r="U43" s="5"/>
      <c r="V43" s="5"/>
    </row>
    <row r="44" spans="1:22" ht="13.15" customHeight="1" x14ac:dyDescent="0.4">
      <c r="A44" s="73" t="s">
        <v>47</v>
      </c>
      <c r="B44" s="77"/>
      <c r="C44" s="77"/>
      <c r="D44" s="6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6"/>
      <c r="T44" s="6"/>
      <c r="U44" s="6"/>
      <c r="V44" s="5"/>
    </row>
    <row r="45" spans="1:22" x14ac:dyDescent="0.4">
      <c r="A45" s="11" t="s">
        <v>48</v>
      </c>
      <c r="B45" s="17" t="s">
        <v>28</v>
      </c>
      <c r="C45" s="59" t="s">
        <v>49</v>
      </c>
      <c r="D45" s="60"/>
      <c r="E45" s="6">
        <v>8</v>
      </c>
      <c r="F45" s="6">
        <v>1</v>
      </c>
      <c r="G45" s="6">
        <v>10</v>
      </c>
      <c r="H45" s="6">
        <v>2</v>
      </c>
      <c r="I45" s="6">
        <v>2</v>
      </c>
      <c r="J45" s="6">
        <v>3</v>
      </c>
      <c r="K45" s="6">
        <v>3</v>
      </c>
      <c r="L45" s="6">
        <v>2</v>
      </c>
      <c r="M45" s="6">
        <v>2</v>
      </c>
      <c r="N45" s="6">
        <v>0</v>
      </c>
      <c r="O45" s="6">
        <v>0</v>
      </c>
      <c r="P45" s="6">
        <v>4</v>
      </c>
      <c r="Q45" s="6">
        <v>7</v>
      </c>
      <c r="R45" s="6">
        <v>3</v>
      </c>
      <c r="S45" s="6">
        <v>1</v>
      </c>
      <c r="T45" s="6">
        <v>3</v>
      </c>
      <c r="U45" s="6">
        <v>1</v>
      </c>
      <c r="V45" s="5">
        <f t="shared" ref="V45:V51" si="18">SUM(E45:U45)</f>
        <v>52</v>
      </c>
    </row>
    <row r="46" spans="1:22" x14ac:dyDescent="0.4">
      <c r="A46" s="11" t="s">
        <v>50</v>
      </c>
      <c r="B46" s="46"/>
      <c r="C46" s="24" t="s">
        <v>106</v>
      </c>
      <c r="D46" s="47"/>
      <c r="E46" s="6">
        <v>6</v>
      </c>
      <c r="F46" s="6">
        <v>6</v>
      </c>
      <c r="G46" s="6">
        <v>18</v>
      </c>
      <c r="H46" s="6">
        <v>1</v>
      </c>
      <c r="I46" s="6">
        <v>10</v>
      </c>
      <c r="J46" s="6">
        <v>10</v>
      </c>
      <c r="K46" s="6">
        <v>20</v>
      </c>
      <c r="L46" s="6">
        <v>10</v>
      </c>
      <c r="M46" s="6">
        <v>1</v>
      </c>
      <c r="N46" s="6">
        <v>7</v>
      </c>
      <c r="O46" s="6">
        <v>13</v>
      </c>
      <c r="P46" s="6">
        <v>17</v>
      </c>
      <c r="Q46" s="6">
        <v>26</v>
      </c>
      <c r="R46" s="6">
        <v>25</v>
      </c>
      <c r="S46" s="6">
        <v>9</v>
      </c>
      <c r="T46" s="6">
        <v>2</v>
      </c>
      <c r="U46" s="6">
        <v>7</v>
      </c>
      <c r="V46" s="5">
        <f t="shared" si="18"/>
        <v>188</v>
      </c>
    </row>
    <row r="47" spans="1:22" x14ac:dyDescent="0.4">
      <c r="A47" s="7"/>
      <c r="B47" s="46"/>
      <c r="C47" s="24" t="s">
        <v>107</v>
      </c>
      <c r="D47" s="47"/>
      <c r="E47" s="6">
        <v>1</v>
      </c>
      <c r="F47" s="6">
        <v>2</v>
      </c>
      <c r="G47" s="6">
        <v>0</v>
      </c>
      <c r="H47" s="6">
        <v>1</v>
      </c>
      <c r="I47" s="6">
        <v>2</v>
      </c>
      <c r="J47" s="6">
        <v>5</v>
      </c>
      <c r="K47" s="6">
        <v>16</v>
      </c>
      <c r="L47" s="6">
        <v>11</v>
      </c>
      <c r="M47" s="6">
        <v>3</v>
      </c>
      <c r="N47" s="6">
        <v>2</v>
      </c>
      <c r="O47" s="6">
        <v>6</v>
      </c>
      <c r="P47" s="6">
        <v>6</v>
      </c>
      <c r="Q47" s="6">
        <v>2</v>
      </c>
      <c r="R47" s="6">
        <v>6</v>
      </c>
      <c r="S47" s="6">
        <v>2</v>
      </c>
      <c r="T47" s="6">
        <v>5</v>
      </c>
      <c r="U47" s="6">
        <v>3</v>
      </c>
      <c r="V47" s="5">
        <f t="shared" si="18"/>
        <v>73</v>
      </c>
    </row>
    <row r="48" spans="1:22" x14ac:dyDescent="0.4">
      <c r="A48" s="7"/>
      <c r="B48" s="46"/>
      <c r="C48" s="24" t="s">
        <v>108</v>
      </c>
      <c r="D48" s="47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1</v>
      </c>
      <c r="L48" s="6">
        <v>3</v>
      </c>
      <c r="M48" s="6">
        <v>0</v>
      </c>
      <c r="N48" s="6">
        <v>3</v>
      </c>
      <c r="O48" s="6">
        <v>0</v>
      </c>
      <c r="P48" s="6">
        <v>1</v>
      </c>
      <c r="Q48" s="6">
        <v>0</v>
      </c>
      <c r="R48" s="6">
        <v>0</v>
      </c>
      <c r="S48" s="6">
        <v>0</v>
      </c>
      <c r="T48" s="6">
        <v>0</v>
      </c>
      <c r="U48" s="6">
        <v>1</v>
      </c>
      <c r="V48" s="5">
        <f t="shared" si="18"/>
        <v>9</v>
      </c>
    </row>
    <row r="49" spans="1:22" x14ac:dyDescent="0.4">
      <c r="A49" s="7"/>
      <c r="B49" s="46"/>
      <c r="C49" s="24" t="s">
        <v>109</v>
      </c>
      <c r="D49" s="47"/>
      <c r="E49" s="6">
        <v>0</v>
      </c>
      <c r="F49" s="6">
        <v>0</v>
      </c>
      <c r="G49" s="6">
        <v>1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5">
        <f t="shared" si="18"/>
        <v>1</v>
      </c>
    </row>
    <row r="50" spans="1:22" x14ac:dyDescent="0.4">
      <c r="A50" s="7"/>
      <c r="B50" s="46"/>
      <c r="C50" s="24" t="s">
        <v>110</v>
      </c>
      <c r="D50" s="47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1</v>
      </c>
      <c r="L50" s="6">
        <v>0</v>
      </c>
      <c r="M50" s="6">
        <v>0</v>
      </c>
      <c r="N50" s="6">
        <v>0</v>
      </c>
      <c r="O50" s="6">
        <v>1</v>
      </c>
      <c r="P50" s="6">
        <v>0</v>
      </c>
      <c r="Q50" s="6">
        <v>0</v>
      </c>
      <c r="R50" s="6">
        <v>2</v>
      </c>
      <c r="S50" s="6">
        <v>0</v>
      </c>
      <c r="T50" s="6">
        <v>0</v>
      </c>
      <c r="U50" s="6">
        <v>0</v>
      </c>
      <c r="V50" s="5">
        <f t="shared" si="18"/>
        <v>4</v>
      </c>
    </row>
    <row r="51" spans="1:22" x14ac:dyDescent="0.4">
      <c r="A51" s="7"/>
      <c r="B51" s="46"/>
      <c r="C51" s="24" t="s">
        <v>111</v>
      </c>
      <c r="D51" s="47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1</v>
      </c>
      <c r="R51" s="6">
        <v>0</v>
      </c>
      <c r="S51" s="6">
        <v>0</v>
      </c>
      <c r="T51" s="6">
        <v>0</v>
      </c>
      <c r="U51" s="6">
        <v>0</v>
      </c>
      <c r="V51" s="5">
        <f t="shared" si="18"/>
        <v>1</v>
      </c>
    </row>
    <row r="52" spans="1:22" x14ac:dyDescent="0.4">
      <c r="A52" s="6" t="s">
        <v>26</v>
      </c>
      <c r="B52" s="53" t="s">
        <v>51</v>
      </c>
      <c r="C52" s="69"/>
      <c r="D52" s="60"/>
      <c r="E52" s="5">
        <f>SUM(E45:E51)</f>
        <v>15</v>
      </c>
      <c r="F52" s="5">
        <f>SUM(F45:F51)</f>
        <v>9</v>
      </c>
      <c r="G52" s="5">
        <f>SUM(G45:G51)</f>
        <v>29</v>
      </c>
      <c r="H52" s="5">
        <f>SUM(H45:H51)</f>
        <v>4</v>
      </c>
      <c r="I52" s="5">
        <f>SUM(I45:I51)</f>
        <v>14</v>
      </c>
      <c r="J52" s="5">
        <f>SUM(J45:J51)</f>
        <v>18</v>
      </c>
      <c r="K52" s="5">
        <f>SUM(K45:K51)</f>
        <v>41</v>
      </c>
      <c r="L52" s="5">
        <f>SUM(L45:L51)</f>
        <v>26</v>
      </c>
      <c r="M52" s="5">
        <f>SUM(M45:M51)</f>
        <v>6</v>
      </c>
      <c r="N52" s="5">
        <f>SUM(N45:N51)</f>
        <v>12</v>
      </c>
      <c r="O52" s="5">
        <f>SUM(O45:O51)</f>
        <v>20</v>
      </c>
      <c r="P52" s="5">
        <f>SUM(P45:P51)</f>
        <v>28</v>
      </c>
      <c r="Q52" s="5">
        <f>SUM(Q45:Q51)</f>
        <v>36</v>
      </c>
      <c r="R52" s="5">
        <f>SUM(R45:R51)</f>
        <v>36</v>
      </c>
      <c r="S52" s="5">
        <f>SUM(S45:S51)</f>
        <v>12</v>
      </c>
      <c r="T52" s="5">
        <f>SUM(T45:T51)</f>
        <v>10</v>
      </c>
      <c r="U52" s="5">
        <f>SUM(U45:U51)</f>
        <v>12</v>
      </c>
      <c r="V52" s="5">
        <f>SUM(V45:V51)</f>
        <v>328</v>
      </c>
    </row>
    <row r="53" spans="1:22" x14ac:dyDescent="0.4">
      <c r="A53" s="70"/>
      <c r="B53" s="71"/>
      <c r="C53" s="71"/>
      <c r="D53" s="71"/>
      <c r="E53" s="71"/>
      <c r="V53" s="5"/>
    </row>
    <row r="54" spans="1:22" x14ac:dyDescent="0.4">
      <c r="A54" s="11" t="s">
        <v>48</v>
      </c>
      <c r="B54" s="17" t="s">
        <v>30</v>
      </c>
      <c r="C54" s="59" t="s">
        <v>52</v>
      </c>
      <c r="D54" s="60"/>
      <c r="E54" s="6">
        <v>7</v>
      </c>
      <c r="F54" s="6">
        <v>7</v>
      </c>
      <c r="G54" s="6">
        <v>5</v>
      </c>
      <c r="H54" s="6">
        <v>4</v>
      </c>
      <c r="I54" s="6">
        <v>8</v>
      </c>
      <c r="J54" s="6">
        <v>4</v>
      </c>
      <c r="K54" s="6">
        <v>9</v>
      </c>
      <c r="L54" s="6">
        <v>3</v>
      </c>
      <c r="M54" s="6">
        <v>5</v>
      </c>
      <c r="N54" s="6">
        <v>6</v>
      </c>
      <c r="O54" s="6">
        <v>0</v>
      </c>
      <c r="P54" s="6">
        <v>2</v>
      </c>
      <c r="Q54" s="6">
        <v>8</v>
      </c>
      <c r="R54" s="6">
        <v>6</v>
      </c>
      <c r="S54" s="6">
        <v>3</v>
      </c>
      <c r="T54" s="6">
        <v>2</v>
      </c>
      <c r="U54" s="6">
        <v>4</v>
      </c>
      <c r="V54" s="5">
        <f t="shared" ref="V54:V60" si="19">SUM(E54:U54)</f>
        <v>83</v>
      </c>
    </row>
    <row r="55" spans="1:22" x14ac:dyDescent="0.4">
      <c r="A55" s="11" t="s">
        <v>50</v>
      </c>
      <c r="B55" s="46"/>
      <c r="C55" s="24" t="s">
        <v>112</v>
      </c>
      <c r="D55" s="47"/>
      <c r="E55" s="6">
        <v>0</v>
      </c>
      <c r="F55" s="6">
        <v>4</v>
      </c>
      <c r="G55" s="6">
        <v>1</v>
      </c>
      <c r="H55" s="6">
        <v>1</v>
      </c>
      <c r="I55" s="6">
        <v>0</v>
      </c>
      <c r="J55" s="6">
        <v>1</v>
      </c>
      <c r="K55" s="6">
        <v>1</v>
      </c>
      <c r="L55" s="6">
        <v>0</v>
      </c>
      <c r="M55" s="6">
        <v>1</v>
      </c>
      <c r="N55" s="6">
        <v>1</v>
      </c>
      <c r="O55" s="6">
        <v>1</v>
      </c>
      <c r="P55" s="6">
        <v>1</v>
      </c>
      <c r="Q55" s="6">
        <v>3</v>
      </c>
      <c r="R55" s="6">
        <v>3</v>
      </c>
      <c r="S55" s="6">
        <v>1</v>
      </c>
      <c r="T55" s="6">
        <v>3</v>
      </c>
      <c r="U55" s="6">
        <v>0</v>
      </c>
      <c r="V55" s="5">
        <f t="shared" si="19"/>
        <v>22</v>
      </c>
    </row>
    <row r="56" spans="1:22" x14ac:dyDescent="0.4">
      <c r="A56" s="7"/>
      <c r="B56" s="46"/>
      <c r="C56" s="24" t="s">
        <v>113</v>
      </c>
      <c r="D56" s="47"/>
      <c r="E56" s="6">
        <v>0</v>
      </c>
      <c r="F56" s="6">
        <v>1</v>
      </c>
      <c r="G56" s="6">
        <v>1</v>
      </c>
      <c r="H56" s="6">
        <v>1</v>
      </c>
      <c r="I56" s="6">
        <v>1</v>
      </c>
      <c r="J56" s="6">
        <v>1</v>
      </c>
      <c r="K56" s="6">
        <v>2</v>
      </c>
      <c r="L56" s="6">
        <v>2</v>
      </c>
      <c r="M56" s="6">
        <v>0</v>
      </c>
      <c r="N56" s="6">
        <v>1</v>
      </c>
      <c r="O56" s="6">
        <v>1</v>
      </c>
      <c r="P56" s="6">
        <v>2</v>
      </c>
      <c r="Q56" s="6">
        <v>4</v>
      </c>
      <c r="R56" s="6">
        <v>1</v>
      </c>
      <c r="S56" s="6">
        <v>1</v>
      </c>
      <c r="T56" s="6">
        <v>0</v>
      </c>
      <c r="U56" s="6">
        <v>1</v>
      </c>
      <c r="V56" s="5">
        <f t="shared" si="19"/>
        <v>20</v>
      </c>
    </row>
    <row r="57" spans="1:22" x14ac:dyDescent="0.4">
      <c r="A57" s="7"/>
      <c r="B57" s="46"/>
      <c r="C57" s="24" t="s">
        <v>114</v>
      </c>
      <c r="D57" s="47"/>
      <c r="E57" s="6">
        <v>0</v>
      </c>
      <c r="F57" s="6">
        <v>0</v>
      </c>
      <c r="G57" s="6">
        <v>1</v>
      </c>
      <c r="H57" s="6">
        <v>3</v>
      </c>
      <c r="I57" s="6">
        <v>1</v>
      </c>
      <c r="J57" s="6">
        <v>1</v>
      </c>
      <c r="K57" s="6">
        <v>0</v>
      </c>
      <c r="L57" s="6">
        <v>1</v>
      </c>
      <c r="M57" s="6">
        <v>3</v>
      </c>
      <c r="N57" s="6">
        <v>1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1</v>
      </c>
      <c r="V57" s="5">
        <f t="shared" si="19"/>
        <v>12</v>
      </c>
    </row>
    <row r="58" spans="1:22" x14ac:dyDescent="0.4">
      <c r="A58" s="7"/>
      <c r="B58" s="46"/>
      <c r="C58" s="24" t="s">
        <v>115</v>
      </c>
      <c r="D58" s="47"/>
      <c r="E58" s="6">
        <v>0</v>
      </c>
      <c r="F58" s="6">
        <v>0</v>
      </c>
      <c r="G58" s="6">
        <v>0</v>
      </c>
      <c r="H58" s="6">
        <v>0</v>
      </c>
      <c r="I58" s="6">
        <v>1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2</v>
      </c>
      <c r="S58" s="6">
        <v>0</v>
      </c>
      <c r="T58" s="6">
        <v>2</v>
      </c>
      <c r="U58" s="6">
        <v>1</v>
      </c>
      <c r="V58" s="5">
        <f t="shared" si="19"/>
        <v>6</v>
      </c>
    </row>
    <row r="59" spans="1:22" x14ac:dyDescent="0.4">
      <c r="A59" s="7"/>
      <c r="B59" s="46"/>
      <c r="C59" s="24" t="s">
        <v>116</v>
      </c>
      <c r="D59" s="47"/>
      <c r="E59" s="6">
        <v>1</v>
      </c>
      <c r="F59" s="6">
        <v>0</v>
      </c>
      <c r="G59" s="6">
        <v>1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1</v>
      </c>
      <c r="N59" s="6">
        <v>1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1</v>
      </c>
      <c r="V59" s="5">
        <f t="shared" si="19"/>
        <v>5</v>
      </c>
    </row>
    <row r="60" spans="1:22" ht="13.15" customHeight="1" x14ac:dyDescent="0.4">
      <c r="A60" s="7"/>
      <c r="B60" s="46"/>
      <c r="C60" s="24" t="s">
        <v>117</v>
      </c>
      <c r="D60" s="47"/>
      <c r="E60" s="6">
        <v>0</v>
      </c>
      <c r="F60" s="6">
        <v>3</v>
      </c>
      <c r="G60" s="6">
        <v>0</v>
      </c>
      <c r="H60" s="6">
        <v>2</v>
      </c>
      <c r="I60" s="6">
        <v>7</v>
      </c>
      <c r="J60" s="6">
        <v>10</v>
      </c>
      <c r="K60" s="6">
        <v>4</v>
      </c>
      <c r="L60" s="6">
        <v>4</v>
      </c>
      <c r="M60" s="6">
        <v>3</v>
      </c>
      <c r="N60" s="6">
        <v>5</v>
      </c>
      <c r="O60" s="6">
        <v>15</v>
      </c>
      <c r="P60" s="6">
        <v>7</v>
      </c>
      <c r="Q60" s="6">
        <v>4</v>
      </c>
      <c r="R60" s="6">
        <v>18</v>
      </c>
      <c r="S60" s="6">
        <v>6</v>
      </c>
      <c r="T60" s="6">
        <v>2</v>
      </c>
      <c r="U60" s="6">
        <v>8</v>
      </c>
      <c r="V60" s="5">
        <f t="shared" si="19"/>
        <v>98</v>
      </c>
    </row>
    <row r="61" spans="1:22" x14ac:dyDescent="0.4">
      <c r="A61" s="6" t="s">
        <v>26</v>
      </c>
      <c r="B61" s="53" t="s">
        <v>51</v>
      </c>
      <c r="C61" s="69"/>
      <c r="D61" s="60"/>
      <c r="E61" s="5">
        <f>SUM(E54:E60)</f>
        <v>8</v>
      </c>
      <c r="F61" s="5">
        <f>SUM(F54:F60)</f>
        <v>15</v>
      </c>
      <c r="G61" s="5">
        <f>SUM(G54:G60)</f>
        <v>9</v>
      </c>
      <c r="H61" s="5">
        <f>SUM(H54:H60)</f>
        <v>11</v>
      </c>
      <c r="I61" s="5">
        <f>SUM(I54:I60)</f>
        <v>18</v>
      </c>
      <c r="J61" s="5">
        <f>SUM(J54:J60)</f>
        <v>17</v>
      </c>
      <c r="K61" s="5">
        <f>SUM(K54:K60)</f>
        <v>16</v>
      </c>
      <c r="L61" s="5">
        <f>SUM(L54:L60)</f>
        <v>10</v>
      </c>
      <c r="M61" s="5">
        <f>SUM(M54:M60)</f>
        <v>13</v>
      </c>
      <c r="N61" s="5">
        <f>SUM(N54:N60)</f>
        <v>15</v>
      </c>
      <c r="O61" s="5">
        <f>SUM(O54:O60)</f>
        <v>17</v>
      </c>
      <c r="P61" s="5">
        <f>SUM(P54:P60)</f>
        <v>12</v>
      </c>
      <c r="Q61" s="5">
        <f>SUM(Q54:Q60)</f>
        <v>19</v>
      </c>
      <c r="R61" s="5">
        <f>SUM(R54:R60)</f>
        <v>30</v>
      </c>
      <c r="S61" s="5">
        <f>SUM(S54:S60)</f>
        <v>11</v>
      </c>
      <c r="T61" s="5">
        <f>SUM(T54:T60)</f>
        <v>9</v>
      </c>
      <c r="U61" s="5">
        <f>SUM(U54:U60)</f>
        <v>16</v>
      </c>
      <c r="V61" s="5">
        <f>SUM(V54:V60)</f>
        <v>246</v>
      </c>
    </row>
    <row r="62" spans="1:22" x14ac:dyDescent="0.4">
      <c r="A62" s="70"/>
      <c r="B62" s="71"/>
      <c r="C62" s="71"/>
      <c r="D62" s="71"/>
      <c r="E62" s="71"/>
    </row>
    <row r="63" spans="1:22" x14ac:dyDescent="0.4">
      <c r="A63" s="11" t="s">
        <v>48</v>
      </c>
      <c r="B63" s="17" t="s">
        <v>32</v>
      </c>
      <c r="C63" s="59" t="s">
        <v>53</v>
      </c>
      <c r="D63" s="60"/>
      <c r="E63" s="6">
        <v>3</v>
      </c>
      <c r="F63" s="6">
        <v>5</v>
      </c>
      <c r="G63" s="6">
        <v>5</v>
      </c>
      <c r="H63" s="6">
        <v>16</v>
      </c>
      <c r="I63" s="6">
        <v>20</v>
      </c>
      <c r="J63" s="6">
        <v>12</v>
      </c>
      <c r="K63" s="6">
        <v>17</v>
      </c>
      <c r="L63" s="6">
        <v>6</v>
      </c>
      <c r="M63" s="6">
        <v>1</v>
      </c>
      <c r="N63" s="6">
        <v>8</v>
      </c>
      <c r="O63" s="6">
        <v>1</v>
      </c>
      <c r="P63" s="6">
        <v>6</v>
      </c>
      <c r="Q63" s="6">
        <v>3</v>
      </c>
      <c r="R63" s="6">
        <v>6</v>
      </c>
      <c r="S63" s="6">
        <v>5</v>
      </c>
      <c r="T63" s="6">
        <v>11</v>
      </c>
      <c r="U63" s="6">
        <v>6</v>
      </c>
      <c r="V63" s="5">
        <f t="shared" ref="V63:V69" si="20">SUM(E63:U63)</f>
        <v>131</v>
      </c>
    </row>
    <row r="64" spans="1:22" x14ac:dyDescent="0.4">
      <c r="A64" s="11" t="s">
        <v>50</v>
      </c>
      <c r="B64" s="46"/>
      <c r="C64" s="24" t="s">
        <v>118</v>
      </c>
      <c r="D64" s="47"/>
      <c r="E64" s="6">
        <v>2</v>
      </c>
      <c r="F64" s="6">
        <v>1</v>
      </c>
      <c r="G64" s="6">
        <v>2</v>
      </c>
      <c r="H64" s="6">
        <v>1</v>
      </c>
      <c r="I64" s="6">
        <v>3</v>
      </c>
      <c r="J64" s="6">
        <v>2</v>
      </c>
      <c r="K64" s="6">
        <v>2</v>
      </c>
      <c r="L64" s="6">
        <v>2</v>
      </c>
      <c r="M64" s="6">
        <v>3</v>
      </c>
      <c r="N64" s="6">
        <v>5</v>
      </c>
      <c r="O64" s="6">
        <v>16</v>
      </c>
      <c r="P64" s="6">
        <v>1</v>
      </c>
      <c r="Q64" s="6">
        <v>4</v>
      </c>
      <c r="R64" s="6">
        <v>42</v>
      </c>
      <c r="S64" s="6">
        <v>13</v>
      </c>
      <c r="T64" s="6">
        <v>11</v>
      </c>
      <c r="U64" s="6">
        <v>6</v>
      </c>
      <c r="V64" s="5">
        <f t="shared" si="20"/>
        <v>116</v>
      </c>
    </row>
    <row r="65" spans="1:22" x14ac:dyDescent="0.4">
      <c r="A65" s="7"/>
      <c r="B65" s="46"/>
      <c r="C65" s="24" t="s">
        <v>119</v>
      </c>
      <c r="D65" s="47"/>
      <c r="E65" s="6">
        <v>0</v>
      </c>
      <c r="F65" s="6">
        <v>0</v>
      </c>
      <c r="G65" s="6">
        <v>0</v>
      </c>
      <c r="H65" s="6">
        <v>0</v>
      </c>
      <c r="I65" s="6">
        <v>1</v>
      </c>
      <c r="J65" s="6">
        <v>1</v>
      </c>
      <c r="K65" s="6">
        <v>0</v>
      </c>
      <c r="L65" s="6">
        <v>1</v>
      </c>
      <c r="M65" s="6">
        <v>1</v>
      </c>
      <c r="N65" s="6">
        <v>0</v>
      </c>
      <c r="O65" s="6">
        <v>0</v>
      </c>
      <c r="P65" s="6">
        <v>0</v>
      </c>
      <c r="Q65" s="6">
        <v>1</v>
      </c>
      <c r="R65" s="6">
        <v>2</v>
      </c>
      <c r="S65" s="6">
        <v>2</v>
      </c>
      <c r="T65" s="6">
        <v>1</v>
      </c>
      <c r="U65" s="6">
        <v>0</v>
      </c>
      <c r="V65" s="5">
        <f t="shared" si="20"/>
        <v>10</v>
      </c>
    </row>
    <row r="66" spans="1:22" x14ac:dyDescent="0.4">
      <c r="A66" s="7"/>
      <c r="B66" s="46"/>
      <c r="C66" s="24" t="s">
        <v>120</v>
      </c>
      <c r="D66" s="47"/>
      <c r="E66" s="6">
        <v>2</v>
      </c>
      <c r="F66" s="6">
        <v>6</v>
      </c>
      <c r="G66" s="6">
        <v>1</v>
      </c>
      <c r="H66" s="6">
        <v>100</v>
      </c>
      <c r="I66" s="6">
        <v>62</v>
      </c>
      <c r="J66" s="6">
        <v>36</v>
      </c>
      <c r="K66" s="6">
        <v>59</v>
      </c>
      <c r="L66" s="6">
        <v>41</v>
      </c>
      <c r="M66" s="6">
        <v>66</v>
      </c>
      <c r="N66" s="6">
        <v>29</v>
      </c>
      <c r="O66" s="6">
        <v>38</v>
      </c>
      <c r="P66" s="6">
        <v>16</v>
      </c>
      <c r="Q66" s="6">
        <v>32</v>
      </c>
      <c r="R66" s="6">
        <v>25</v>
      </c>
      <c r="S66" s="6">
        <v>34</v>
      </c>
      <c r="T66" s="6">
        <v>62</v>
      </c>
      <c r="U66" s="6">
        <v>41</v>
      </c>
      <c r="V66" s="5">
        <f t="shared" si="20"/>
        <v>650</v>
      </c>
    </row>
    <row r="67" spans="1:22" x14ac:dyDescent="0.4">
      <c r="A67" s="7"/>
      <c r="B67" s="46"/>
      <c r="C67" s="24" t="s">
        <v>121</v>
      </c>
      <c r="D67" s="47"/>
      <c r="E67" s="6">
        <v>2</v>
      </c>
      <c r="F67" s="6">
        <v>0</v>
      </c>
      <c r="G67" s="6">
        <v>1</v>
      </c>
      <c r="H67" s="6">
        <v>1</v>
      </c>
      <c r="I67" s="6">
        <v>2</v>
      </c>
      <c r="J67" s="6">
        <v>1</v>
      </c>
      <c r="K67" s="6">
        <v>0</v>
      </c>
      <c r="L67" s="6">
        <v>0</v>
      </c>
      <c r="M67" s="6">
        <v>0</v>
      </c>
      <c r="N67" s="6">
        <v>0</v>
      </c>
      <c r="O67" s="6">
        <v>1</v>
      </c>
      <c r="P67" s="6">
        <v>0</v>
      </c>
      <c r="Q67" s="6">
        <v>1</v>
      </c>
      <c r="R67" s="6">
        <v>1</v>
      </c>
      <c r="S67" s="6">
        <v>0</v>
      </c>
      <c r="T67" s="6">
        <v>7</v>
      </c>
      <c r="U67" s="6">
        <v>0</v>
      </c>
      <c r="V67" s="5">
        <f t="shared" si="20"/>
        <v>17</v>
      </c>
    </row>
    <row r="68" spans="1:22" ht="13.15" customHeight="1" x14ac:dyDescent="0.4">
      <c r="A68" s="7"/>
      <c r="B68" s="46"/>
      <c r="C68" s="24" t="s">
        <v>122</v>
      </c>
      <c r="D68" s="47"/>
      <c r="E68" s="6">
        <v>3</v>
      </c>
      <c r="F68" s="6">
        <v>1</v>
      </c>
      <c r="G68" s="6">
        <v>0</v>
      </c>
      <c r="H68" s="6">
        <v>2</v>
      </c>
      <c r="I68" s="6">
        <v>2</v>
      </c>
      <c r="J68" s="6">
        <v>2</v>
      </c>
      <c r="K68" s="6">
        <v>0</v>
      </c>
      <c r="L68" s="6">
        <v>0</v>
      </c>
      <c r="M68" s="6">
        <v>0</v>
      </c>
      <c r="N68" s="6">
        <v>10</v>
      </c>
      <c r="O68" s="6">
        <v>0</v>
      </c>
      <c r="P68" s="6">
        <v>1</v>
      </c>
      <c r="Q68" s="6">
        <v>2</v>
      </c>
      <c r="R68" s="6">
        <v>0</v>
      </c>
      <c r="S68" s="6">
        <v>0</v>
      </c>
      <c r="T68" s="6">
        <v>1</v>
      </c>
      <c r="U68" s="6">
        <v>0</v>
      </c>
      <c r="V68" s="5">
        <f t="shared" si="20"/>
        <v>24</v>
      </c>
    </row>
    <row r="69" spans="1:22" x14ac:dyDescent="0.4">
      <c r="A69" s="7"/>
      <c r="B69" s="46"/>
      <c r="C69" s="24" t="s">
        <v>123</v>
      </c>
      <c r="D69" s="47"/>
      <c r="E69" s="6">
        <v>1</v>
      </c>
      <c r="F69" s="6">
        <v>0</v>
      </c>
      <c r="G69" s="6">
        <v>0</v>
      </c>
      <c r="H69" s="6">
        <v>0</v>
      </c>
      <c r="I69" s="6">
        <v>0</v>
      </c>
      <c r="J69" s="6">
        <v>2</v>
      </c>
      <c r="K69" s="6">
        <v>1</v>
      </c>
      <c r="L69" s="6">
        <v>1</v>
      </c>
      <c r="M69" s="6">
        <v>0</v>
      </c>
      <c r="N69" s="6">
        <v>0</v>
      </c>
      <c r="O69" s="6">
        <v>0</v>
      </c>
      <c r="P69" s="6">
        <v>0</v>
      </c>
      <c r="Q69" s="6">
        <v>1</v>
      </c>
      <c r="R69" s="6">
        <v>0</v>
      </c>
      <c r="S69" s="6">
        <v>0</v>
      </c>
      <c r="T69" s="6">
        <v>1</v>
      </c>
      <c r="U69" s="6">
        <v>0</v>
      </c>
      <c r="V69" s="5">
        <f t="shared" si="20"/>
        <v>7</v>
      </c>
    </row>
    <row r="70" spans="1:22" x14ac:dyDescent="0.4">
      <c r="A70" s="6" t="s">
        <v>26</v>
      </c>
      <c r="B70" s="53" t="s">
        <v>51</v>
      </c>
      <c r="C70" s="69"/>
      <c r="D70" s="60"/>
      <c r="E70" s="5">
        <f>SUM(E63:E69)</f>
        <v>13</v>
      </c>
      <c r="F70" s="5">
        <f>SUM(F63:F69)</f>
        <v>13</v>
      </c>
      <c r="G70" s="5">
        <f>SUM(G63:G69)</f>
        <v>9</v>
      </c>
      <c r="H70" s="5">
        <f>SUM(H63:H69)</f>
        <v>120</v>
      </c>
      <c r="I70" s="5">
        <f>SUM(I63:I69)</f>
        <v>90</v>
      </c>
      <c r="J70" s="5">
        <f>SUM(J63:J69)</f>
        <v>56</v>
      </c>
      <c r="K70" s="5">
        <f>SUM(K63:K69)</f>
        <v>79</v>
      </c>
      <c r="L70" s="5">
        <f>SUM(L63:L69)</f>
        <v>51</v>
      </c>
      <c r="M70" s="5">
        <f>SUM(M63:M69)</f>
        <v>71</v>
      </c>
      <c r="N70" s="5">
        <f>SUM(N63:N69)</f>
        <v>52</v>
      </c>
      <c r="O70" s="5">
        <f>SUM(O63:O69)</f>
        <v>56</v>
      </c>
      <c r="P70" s="5">
        <f>SUM(P63:P69)</f>
        <v>24</v>
      </c>
      <c r="Q70" s="5">
        <f>SUM(Q63:Q69)</f>
        <v>44</v>
      </c>
      <c r="R70" s="5">
        <f>SUM(R63:R69)</f>
        <v>76</v>
      </c>
      <c r="S70" s="5">
        <f>SUM(S63:S69)</f>
        <v>54</v>
      </c>
      <c r="T70" s="5">
        <f>SUM(T63:T69)</f>
        <v>94</v>
      </c>
      <c r="U70" s="5">
        <f>SUM(U63:U69)</f>
        <v>53</v>
      </c>
      <c r="V70" s="5">
        <f>SUM(V63:V69)</f>
        <v>955</v>
      </c>
    </row>
    <row r="71" spans="1:22" x14ac:dyDescent="0.4">
      <c r="A71" s="70"/>
      <c r="B71" s="71"/>
      <c r="C71" s="71"/>
      <c r="D71" s="71"/>
      <c r="E71" s="71"/>
    </row>
    <row r="72" spans="1:22" x14ac:dyDescent="0.4">
      <c r="A72" s="11" t="s">
        <v>48</v>
      </c>
      <c r="B72" s="17" t="s">
        <v>34</v>
      </c>
      <c r="C72" s="59" t="s">
        <v>54</v>
      </c>
      <c r="D72" s="60"/>
      <c r="E72" s="6">
        <v>9</v>
      </c>
      <c r="F72" s="6">
        <v>15</v>
      </c>
      <c r="G72" s="6">
        <v>5</v>
      </c>
      <c r="H72" s="6">
        <v>2</v>
      </c>
      <c r="I72" s="6">
        <v>9</v>
      </c>
      <c r="J72" s="6">
        <v>1</v>
      </c>
      <c r="K72" s="6">
        <v>3</v>
      </c>
      <c r="L72" s="6">
        <v>6</v>
      </c>
      <c r="M72" s="6">
        <v>4</v>
      </c>
      <c r="N72" s="6">
        <v>2</v>
      </c>
      <c r="O72" s="6">
        <v>4</v>
      </c>
      <c r="P72" s="6">
        <v>0</v>
      </c>
      <c r="Q72" s="6">
        <v>7</v>
      </c>
      <c r="R72" s="6">
        <v>1</v>
      </c>
      <c r="S72" s="6">
        <v>5</v>
      </c>
      <c r="T72" s="6">
        <v>3</v>
      </c>
      <c r="U72" s="6">
        <v>6</v>
      </c>
      <c r="V72" s="5">
        <f t="shared" ref="V72:V78" si="21">SUM(E72:U72)</f>
        <v>82</v>
      </c>
    </row>
    <row r="73" spans="1:22" x14ac:dyDescent="0.4">
      <c r="A73" s="11" t="s">
        <v>50</v>
      </c>
      <c r="B73" s="46"/>
      <c r="C73" s="24" t="s">
        <v>124</v>
      </c>
      <c r="D73" s="47"/>
      <c r="E73" s="6">
        <v>17</v>
      </c>
      <c r="F73" s="6">
        <v>55</v>
      </c>
      <c r="G73" s="6">
        <v>41</v>
      </c>
      <c r="H73" s="6">
        <v>25</v>
      </c>
      <c r="I73" s="6">
        <v>15</v>
      </c>
      <c r="J73" s="6">
        <v>22</v>
      </c>
      <c r="K73" s="6">
        <v>36</v>
      </c>
      <c r="L73" s="6">
        <v>52</v>
      </c>
      <c r="M73" s="6">
        <v>33</v>
      </c>
      <c r="N73" s="6">
        <v>78</v>
      </c>
      <c r="O73" s="6">
        <v>74</v>
      </c>
      <c r="P73" s="6">
        <v>32</v>
      </c>
      <c r="Q73" s="6">
        <v>33</v>
      </c>
      <c r="R73" s="6">
        <v>27</v>
      </c>
      <c r="S73" s="6">
        <v>66</v>
      </c>
      <c r="T73" s="6">
        <v>44</v>
      </c>
      <c r="U73" s="6">
        <v>67</v>
      </c>
      <c r="V73" s="5">
        <f t="shared" si="21"/>
        <v>717</v>
      </c>
    </row>
    <row r="74" spans="1:22" x14ac:dyDescent="0.4">
      <c r="A74" s="7"/>
      <c r="B74" s="46"/>
      <c r="C74" s="24" t="s">
        <v>125</v>
      </c>
      <c r="D74" s="47"/>
      <c r="E74" s="6">
        <v>0</v>
      </c>
      <c r="F74" s="6">
        <v>2</v>
      </c>
      <c r="G74" s="6">
        <v>0</v>
      </c>
      <c r="H74" s="6">
        <v>1</v>
      </c>
      <c r="I74" s="6">
        <v>0</v>
      </c>
      <c r="J74" s="6">
        <v>1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1</v>
      </c>
      <c r="R74" s="6">
        <v>0</v>
      </c>
      <c r="S74" s="6">
        <v>0</v>
      </c>
      <c r="T74" s="6">
        <v>0</v>
      </c>
      <c r="U74" s="6">
        <v>0</v>
      </c>
      <c r="V74" s="5">
        <f t="shared" si="21"/>
        <v>5</v>
      </c>
    </row>
    <row r="75" spans="1:22" x14ac:dyDescent="0.4">
      <c r="A75" s="7"/>
      <c r="B75" s="46"/>
      <c r="C75" s="24" t="s">
        <v>126</v>
      </c>
      <c r="D75" s="47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1</v>
      </c>
      <c r="K75" s="6">
        <v>1</v>
      </c>
      <c r="L75" s="6">
        <v>1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1</v>
      </c>
      <c r="V75" s="5">
        <f t="shared" si="21"/>
        <v>4</v>
      </c>
    </row>
    <row r="76" spans="1:22" ht="13.15" customHeight="1" x14ac:dyDescent="0.4">
      <c r="A76" s="7"/>
      <c r="B76" s="46"/>
      <c r="C76" s="24" t="s">
        <v>127</v>
      </c>
      <c r="D76" s="47"/>
      <c r="E76" s="6">
        <v>1</v>
      </c>
      <c r="F76" s="6">
        <v>1</v>
      </c>
      <c r="G76" s="6">
        <v>1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1</v>
      </c>
      <c r="T76" s="6">
        <v>0</v>
      </c>
      <c r="U76" s="6">
        <v>0</v>
      </c>
      <c r="V76" s="5">
        <f t="shared" si="21"/>
        <v>4</v>
      </c>
    </row>
    <row r="77" spans="1:22" x14ac:dyDescent="0.4">
      <c r="A77" s="7"/>
      <c r="B77" s="46"/>
      <c r="C77" s="24" t="s">
        <v>128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1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5">
        <f t="shared" si="21"/>
        <v>1</v>
      </c>
    </row>
    <row r="78" spans="1:22" x14ac:dyDescent="0.4">
      <c r="A78" s="7"/>
      <c r="B78" s="46"/>
      <c r="C78" s="24" t="s">
        <v>129</v>
      </c>
      <c r="D78" s="47"/>
      <c r="E78" s="6">
        <v>0</v>
      </c>
      <c r="F78" s="6">
        <v>1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1</v>
      </c>
      <c r="N78" s="6">
        <v>0</v>
      </c>
      <c r="O78" s="6">
        <v>20</v>
      </c>
      <c r="P78" s="6">
        <v>18</v>
      </c>
      <c r="Q78" s="6">
        <v>17</v>
      </c>
      <c r="R78" s="6">
        <v>7</v>
      </c>
      <c r="S78" s="6">
        <v>9</v>
      </c>
      <c r="T78" s="6">
        <v>5</v>
      </c>
      <c r="U78" s="6">
        <v>7</v>
      </c>
      <c r="V78" s="5">
        <f t="shared" si="21"/>
        <v>85</v>
      </c>
    </row>
    <row r="79" spans="1:22" x14ac:dyDescent="0.4">
      <c r="A79" s="6" t="s">
        <v>26</v>
      </c>
      <c r="B79" s="53" t="s">
        <v>51</v>
      </c>
      <c r="C79" s="69"/>
      <c r="D79" s="60"/>
      <c r="E79" s="5">
        <f>SUM(E72:E78)</f>
        <v>27</v>
      </c>
      <c r="F79" s="5">
        <f>SUM(F72:F78)</f>
        <v>74</v>
      </c>
      <c r="G79" s="5">
        <f>SUM(G72:G78)</f>
        <v>47</v>
      </c>
      <c r="H79" s="5">
        <f>SUM(H72:H78)</f>
        <v>28</v>
      </c>
      <c r="I79" s="5">
        <f>SUM(I72:I78)</f>
        <v>24</v>
      </c>
      <c r="J79" s="5">
        <f>SUM(J72:J78)</f>
        <v>25</v>
      </c>
      <c r="K79" s="5">
        <f>SUM(K72:K78)</f>
        <v>41</v>
      </c>
      <c r="L79" s="5">
        <f>SUM(L72:L78)</f>
        <v>59</v>
      </c>
      <c r="M79" s="5">
        <f>SUM(M72:M78)</f>
        <v>38</v>
      </c>
      <c r="N79" s="5">
        <f>SUM(N72:N78)</f>
        <v>80</v>
      </c>
      <c r="O79" s="5">
        <f>SUM(O72:O78)</f>
        <v>98</v>
      </c>
      <c r="P79" s="5">
        <f>SUM(P72:P78)</f>
        <v>50</v>
      </c>
      <c r="Q79" s="5">
        <f>SUM(Q72:Q78)</f>
        <v>58</v>
      </c>
      <c r="R79" s="5">
        <f>SUM(R72:R78)</f>
        <v>35</v>
      </c>
      <c r="S79" s="5">
        <f>SUM(S72:S78)</f>
        <v>81</v>
      </c>
      <c r="T79" s="5">
        <f>SUM(T72:T78)</f>
        <v>52</v>
      </c>
      <c r="U79" s="5">
        <f>SUM(U72:U78)</f>
        <v>81</v>
      </c>
      <c r="V79" s="5">
        <f>SUM(V72:V78)</f>
        <v>898</v>
      </c>
    </row>
    <row r="80" spans="1:22" x14ac:dyDescent="0.4">
      <c r="A80" s="70"/>
      <c r="B80" s="71"/>
      <c r="C80" s="71"/>
      <c r="D80" s="71"/>
      <c r="E80" s="71"/>
    </row>
    <row r="81" spans="1:22" x14ac:dyDescent="0.4">
      <c r="A81" s="11" t="s">
        <v>48</v>
      </c>
      <c r="B81" s="17" t="s">
        <v>55</v>
      </c>
      <c r="C81" s="59" t="s">
        <v>56</v>
      </c>
      <c r="D81" s="60"/>
      <c r="E81" s="6">
        <v>0</v>
      </c>
      <c r="F81" s="6">
        <v>2</v>
      </c>
      <c r="G81" s="6">
        <v>2</v>
      </c>
      <c r="H81" s="6">
        <v>1</v>
      </c>
      <c r="I81" s="6">
        <v>0</v>
      </c>
      <c r="J81" s="6">
        <v>0</v>
      </c>
      <c r="K81" s="6">
        <v>1</v>
      </c>
      <c r="L81" s="6">
        <v>0</v>
      </c>
      <c r="M81" s="6">
        <v>0</v>
      </c>
      <c r="N81" s="6">
        <v>0</v>
      </c>
      <c r="O81" s="6">
        <v>0</v>
      </c>
      <c r="P81" s="6">
        <v>1</v>
      </c>
      <c r="Q81" s="6">
        <v>2</v>
      </c>
      <c r="R81" s="6">
        <v>0</v>
      </c>
      <c r="S81" s="6">
        <v>1</v>
      </c>
      <c r="T81" s="6">
        <v>1</v>
      </c>
      <c r="U81" s="6">
        <v>0</v>
      </c>
      <c r="V81" s="5">
        <f t="shared" ref="V81:V87" si="22">SUM(E81:U81)</f>
        <v>11</v>
      </c>
    </row>
    <row r="82" spans="1:22" x14ac:dyDescent="0.4">
      <c r="A82" s="11" t="s">
        <v>50</v>
      </c>
      <c r="B82" s="46"/>
      <c r="C82" s="24" t="s">
        <v>130</v>
      </c>
      <c r="D82" s="47"/>
      <c r="E82" s="6">
        <v>1</v>
      </c>
      <c r="F82" s="6">
        <v>0</v>
      </c>
      <c r="G82" s="6">
        <v>1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2</v>
      </c>
      <c r="Q82" s="6">
        <v>1</v>
      </c>
      <c r="R82" s="6">
        <v>5</v>
      </c>
      <c r="S82" s="6">
        <v>1</v>
      </c>
      <c r="T82" s="6">
        <v>0</v>
      </c>
      <c r="U82" s="6">
        <v>0</v>
      </c>
      <c r="V82" s="5">
        <f t="shared" si="22"/>
        <v>11</v>
      </c>
    </row>
    <row r="83" spans="1:22" x14ac:dyDescent="0.4">
      <c r="A83" s="7"/>
      <c r="B83" s="46"/>
      <c r="C83" s="24" t="s">
        <v>131</v>
      </c>
      <c r="D83" s="47"/>
      <c r="E83" s="6">
        <v>1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1</v>
      </c>
      <c r="O83" s="6">
        <v>8</v>
      </c>
      <c r="P83" s="6">
        <v>27</v>
      </c>
      <c r="Q83" s="6">
        <v>8</v>
      </c>
      <c r="R83" s="6">
        <v>2</v>
      </c>
      <c r="S83" s="6">
        <v>11</v>
      </c>
      <c r="T83" s="6">
        <v>11</v>
      </c>
      <c r="U83" s="6">
        <v>2</v>
      </c>
      <c r="V83" s="5">
        <f t="shared" si="22"/>
        <v>71</v>
      </c>
    </row>
    <row r="84" spans="1:22" ht="13.15" customHeight="1" x14ac:dyDescent="0.4">
      <c r="A84" s="7"/>
      <c r="B84" s="46"/>
      <c r="C84" s="24" t="s">
        <v>132</v>
      </c>
      <c r="D84" s="47"/>
      <c r="E84" s="6">
        <v>0</v>
      </c>
      <c r="F84" s="6">
        <v>1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5">
        <f t="shared" si="22"/>
        <v>1</v>
      </c>
    </row>
    <row r="85" spans="1:22" x14ac:dyDescent="0.4">
      <c r="A85" s="7"/>
      <c r="B85" s="46"/>
      <c r="C85" s="24" t="s">
        <v>133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1</v>
      </c>
      <c r="S85" s="6">
        <v>0</v>
      </c>
      <c r="T85" s="6">
        <v>0</v>
      </c>
      <c r="U85" s="6">
        <v>0</v>
      </c>
      <c r="V85" s="5">
        <f t="shared" si="22"/>
        <v>1</v>
      </c>
    </row>
    <row r="86" spans="1:22" x14ac:dyDescent="0.4">
      <c r="A86" s="7"/>
      <c r="B86" s="46"/>
      <c r="C86" s="24" t="s">
        <v>134</v>
      </c>
      <c r="D86" s="47"/>
      <c r="E86" s="6">
        <v>9</v>
      </c>
      <c r="F86" s="6">
        <v>0</v>
      </c>
      <c r="G86" s="6">
        <v>1</v>
      </c>
      <c r="H86" s="6">
        <v>0</v>
      </c>
      <c r="I86" s="6">
        <v>0</v>
      </c>
      <c r="J86" s="6">
        <v>1</v>
      </c>
      <c r="K86" s="6">
        <v>3</v>
      </c>
      <c r="L86" s="6">
        <v>1</v>
      </c>
      <c r="M86" s="6">
        <v>1</v>
      </c>
      <c r="N86" s="6">
        <v>0</v>
      </c>
      <c r="O86" s="6">
        <v>0</v>
      </c>
      <c r="P86" s="6">
        <v>1</v>
      </c>
      <c r="Q86" s="6">
        <v>0</v>
      </c>
      <c r="R86" s="6">
        <v>2</v>
      </c>
      <c r="S86" s="6">
        <v>0</v>
      </c>
      <c r="T86" s="6">
        <v>0</v>
      </c>
      <c r="U86" s="6">
        <v>0</v>
      </c>
      <c r="V86" s="5">
        <f t="shared" si="22"/>
        <v>19</v>
      </c>
    </row>
    <row r="87" spans="1:22" x14ac:dyDescent="0.4">
      <c r="A87" s="7"/>
      <c r="B87" s="46"/>
      <c r="C87" s="24" t="s">
        <v>135</v>
      </c>
      <c r="D87" s="47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5">
        <f t="shared" si="22"/>
        <v>0</v>
      </c>
    </row>
    <row r="88" spans="1:22" x14ac:dyDescent="0.4">
      <c r="A88" s="6" t="s">
        <v>26</v>
      </c>
      <c r="B88" s="53" t="s">
        <v>51</v>
      </c>
      <c r="C88" s="69"/>
      <c r="D88" s="60"/>
      <c r="E88" s="5">
        <f>SUM(E81:E87)</f>
        <v>11</v>
      </c>
      <c r="F88" s="5">
        <f>SUM(F81:F87)</f>
        <v>3</v>
      </c>
      <c r="G88" s="5">
        <f>SUM(G81:G87)</f>
        <v>4</v>
      </c>
      <c r="H88" s="5">
        <f>SUM(H81:H87)</f>
        <v>1</v>
      </c>
      <c r="I88" s="5">
        <f>SUM(I81:I87)</f>
        <v>0</v>
      </c>
      <c r="J88" s="5">
        <f>SUM(J81:J87)</f>
        <v>1</v>
      </c>
      <c r="K88" s="5">
        <f>SUM(K81:K87)</f>
        <v>4</v>
      </c>
      <c r="L88" s="5">
        <f>SUM(L81:L87)</f>
        <v>1</v>
      </c>
      <c r="M88" s="5">
        <f>SUM(M81:M87)</f>
        <v>1</v>
      </c>
      <c r="N88" s="5">
        <f>SUM(N81:N87)</f>
        <v>1</v>
      </c>
      <c r="O88" s="5">
        <f>SUM(O81:O87)</f>
        <v>8</v>
      </c>
      <c r="P88" s="5">
        <f>SUM(P81:P87)</f>
        <v>31</v>
      </c>
      <c r="Q88" s="5">
        <f>SUM(Q81:Q87)</f>
        <v>11</v>
      </c>
      <c r="R88" s="5">
        <f>SUM(R81:R87)</f>
        <v>10</v>
      </c>
      <c r="S88" s="5">
        <f>SUM(S81:S87)</f>
        <v>13</v>
      </c>
      <c r="T88" s="5">
        <f>SUM(T81:T87)</f>
        <v>12</v>
      </c>
      <c r="U88" s="5">
        <f>SUM(U81:U87)</f>
        <v>2</v>
      </c>
      <c r="V88" s="5">
        <f>SUM(V81:V87)</f>
        <v>114</v>
      </c>
    </row>
    <row r="89" spans="1:22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 spans="1:22" x14ac:dyDescent="0.4">
      <c r="A90" s="11" t="s">
        <v>48</v>
      </c>
      <c r="B90" s="17" t="s">
        <v>57</v>
      </c>
      <c r="C90" s="59" t="s">
        <v>58</v>
      </c>
      <c r="D90" s="60"/>
      <c r="E90" s="6">
        <v>0</v>
      </c>
      <c r="F90" s="6">
        <v>1</v>
      </c>
      <c r="G90" s="6">
        <v>0</v>
      </c>
      <c r="H90" s="6">
        <v>0</v>
      </c>
      <c r="I90" s="6">
        <v>0</v>
      </c>
      <c r="J90" s="6">
        <v>1</v>
      </c>
      <c r="K90" s="6">
        <v>0</v>
      </c>
      <c r="L90" s="6">
        <v>0</v>
      </c>
      <c r="M90" s="6">
        <v>0</v>
      </c>
      <c r="N90" s="6">
        <v>1</v>
      </c>
      <c r="O90" s="6">
        <v>0</v>
      </c>
      <c r="P90" s="6">
        <v>1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5">
        <f t="shared" ref="V90:V91" si="23">SUM(E90:U90)</f>
        <v>4</v>
      </c>
    </row>
    <row r="91" spans="1:22" x14ac:dyDescent="0.4">
      <c r="A91" s="11" t="s">
        <v>50</v>
      </c>
      <c r="B91" s="46"/>
      <c r="C91" s="72" t="s">
        <v>136</v>
      </c>
      <c r="D91" s="60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1</v>
      </c>
      <c r="V91" s="5">
        <f t="shared" si="23"/>
        <v>1</v>
      </c>
    </row>
    <row r="92" spans="1:22" ht="13.15" customHeight="1" x14ac:dyDescent="0.4">
      <c r="A92" s="6" t="s">
        <v>26</v>
      </c>
      <c r="B92" s="53" t="s">
        <v>51</v>
      </c>
      <c r="C92" s="54"/>
      <c r="D92" s="55"/>
      <c r="E92" s="5">
        <f>SUM(E90:E91)</f>
        <v>0</v>
      </c>
      <c r="F92" s="5">
        <f>SUM(F90:F91)</f>
        <v>1</v>
      </c>
      <c r="G92" s="5">
        <f>SUM(G90:G91)</f>
        <v>0</v>
      </c>
      <c r="H92" s="5">
        <f>SUM(H90:H91)</f>
        <v>0</v>
      </c>
      <c r="I92" s="5">
        <f>SUM(I90:I91)</f>
        <v>0</v>
      </c>
      <c r="J92" s="5">
        <f>SUM(J90:J91)</f>
        <v>1</v>
      </c>
      <c r="K92" s="5">
        <f>SUM(K90:K91)</f>
        <v>0</v>
      </c>
      <c r="L92" s="5">
        <f>SUM(L90:L91)</f>
        <v>0</v>
      </c>
      <c r="M92" s="5">
        <f>SUM(M90:M91)</f>
        <v>0</v>
      </c>
      <c r="N92" s="5">
        <f>SUM(N90:N91)</f>
        <v>1</v>
      </c>
      <c r="O92" s="5">
        <f>SUM(O90:O91)</f>
        <v>0</v>
      </c>
      <c r="P92" s="5">
        <f>SUM(P90:P91)</f>
        <v>1</v>
      </c>
      <c r="Q92" s="5">
        <f>SUM(Q90:Q91)</f>
        <v>0</v>
      </c>
      <c r="R92" s="5">
        <f>SUM(R90:R91)</f>
        <v>0</v>
      </c>
      <c r="S92" s="5">
        <f>SUM(S90:S91)</f>
        <v>0</v>
      </c>
      <c r="T92" s="5">
        <f>SUM(T90:T91)</f>
        <v>0</v>
      </c>
      <c r="U92" s="5">
        <f>SUM(U90:U91)</f>
        <v>1</v>
      </c>
      <c r="V92" s="5">
        <f>SUM(V90:V91)</f>
        <v>5</v>
      </c>
    </row>
    <row r="93" spans="1:22" x14ac:dyDescent="0.4">
      <c r="A93" s="61"/>
      <c r="B93" s="62"/>
      <c r="C93" s="62"/>
      <c r="D93" s="62"/>
      <c r="E93" s="63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5"/>
    </row>
    <row r="94" spans="1:22" x14ac:dyDescent="0.4">
      <c r="A94" s="11" t="s">
        <v>48</v>
      </c>
      <c r="B94" s="17" t="s">
        <v>59</v>
      </c>
      <c r="C94" s="59" t="s">
        <v>60</v>
      </c>
      <c r="D94" s="60"/>
      <c r="E94" s="6">
        <v>1</v>
      </c>
      <c r="F94" s="6">
        <v>1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1</v>
      </c>
      <c r="O94" s="6">
        <v>1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5">
        <f t="shared" ref="V94:V100" si="24">SUM(E94:U94)</f>
        <v>5</v>
      </c>
    </row>
    <row r="95" spans="1:22" x14ac:dyDescent="0.4">
      <c r="A95" s="11" t="s">
        <v>50</v>
      </c>
      <c r="B95" s="46"/>
      <c r="C95" s="24" t="s">
        <v>137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1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1</v>
      </c>
      <c r="S95" s="6">
        <v>0</v>
      </c>
      <c r="T95" s="6">
        <v>0</v>
      </c>
      <c r="U95" s="6">
        <v>0</v>
      </c>
      <c r="V95" s="5">
        <f t="shared" si="24"/>
        <v>2</v>
      </c>
    </row>
    <row r="96" spans="1:22" x14ac:dyDescent="0.4">
      <c r="A96" s="7"/>
      <c r="B96" s="46"/>
      <c r="C96" s="24" t="s">
        <v>138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1</v>
      </c>
      <c r="R96" s="6">
        <v>0</v>
      </c>
      <c r="S96" s="6">
        <v>0</v>
      </c>
      <c r="T96" s="6">
        <v>0</v>
      </c>
      <c r="U96" s="6">
        <v>0</v>
      </c>
      <c r="V96" s="5">
        <f t="shared" si="24"/>
        <v>1</v>
      </c>
    </row>
    <row r="97" spans="1:22" x14ac:dyDescent="0.4">
      <c r="A97" s="7"/>
      <c r="B97" s="46"/>
      <c r="C97" s="24" t="s">
        <v>139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1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5">
        <f t="shared" si="24"/>
        <v>1</v>
      </c>
    </row>
    <row r="98" spans="1:22" x14ac:dyDescent="0.4">
      <c r="A98" s="7"/>
      <c r="B98" s="46"/>
      <c r="C98" s="24" t="s">
        <v>140</v>
      </c>
      <c r="D98" s="47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5">
        <f t="shared" si="24"/>
        <v>0</v>
      </c>
    </row>
    <row r="99" spans="1:22" x14ac:dyDescent="0.4">
      <c r="A99" s="7"/>
      <c r="B99" s="46"/>
      <c r="C99" s="24" t="s">
        <v>141</v>
      </c>
      <c r="D99" s="47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5">
        <f t="shared" si="24"/>
        <v>0</v>
      </c>
    </row>
    <row r="100" spans="1:22" x14ac:dyDescent="0.4">
      <c r="A100" s="7"/>
      <c r="B100" s="46"/>
      <c r="C100" s="24" t="s">
        <v>142</v>
      </c>
      <c r="D100" s="47"/>
      <c r="E100" s="50">
        <v>0</v>
      </c>
      <c r="F100" s="29">
        <v>0</v>
      </c>
      <c r="G100" s="29">
        <v>0</v>
      </c>
      <c r="H100" s="29">
        <v>0</v>
      </c>
      <c r="I100" s="29">
        <v>0</v>
      </c>
      <c r="J100" s="29">
        <v>0</v>
      </c>
      <c r="K100" s="29">
        <v>0</v>
      </c>
      <c r="L100" s="29">
        <v>1</v>
      </c>
      <c r="M100" s="29">
        <v>0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5">
        <f t="shared" si="24"/>
        <v>1</v>
      </c>
    </row>
    <row r="101" spans="1:22" x14ac:dyDescent="0.4">
      <c r="A101" s="6" t="s">
        <v>26</v>
      </c>
      <c r="B101" s="53" t="s">
        <v>51</v>
      </c>
      <c r="C101" s="54"/>
      <c r="D101" s="55"/>
      <c r="E101" s="5">
        <f>SUM(E94:E100)</f>
        <v>1</v>
      </c>
      <c r="F101" s="5">
        <f>SUM(F94:F100)</f>
        <v>1</v>
      </c>
      <c r="G101" s="5">
        <f>SUM(G94:G100)</f>
        <v>0</v>
      </c>
      <c r="H101" s="5">
        <f>SUM(H94:H100)</f>
        <v>0</v>
      </c>
      <c r="I101" s="5">
        <f>SUM(I94:I100)</f>
        <v>0</v>
      </c>
      <c r="J101" s="5">
        <f>SUM(J94:J100)</f>
        <v>0</v>
      </c>
      <c r="K101" s="5">
        <f>SUM(K94:K100)</f>
        <v>2</v>
      </c>
      <c r="L101" s="5">
        <f>SUM(L94:L100)</f>
        <v>1</v>
      </c>
      <c r="M101" s="5">
        <f>SUM(M94:M100)</f>
        <v>1</v>
      </c>
      <c r="N101" s="5">
        <f>SUM(N94:N100)</f>
        <v>1</v>
      </c>
      <c r="O101" s="5">
        <f>SUM(O94:O100)</f>
        <v>1</v>
      </c>
      <c r="P101" s="5">
        <f>SUM(P94:P100)</f>
        <v>0</v>
      </c>
      <c r="Q101" s="5">
        <f>SUM(Q94:Q100)</f>
        <v>1</v>
      </c>
      <c r="R101" s="5">
        <f>SUM(R94:R100)</f>
        <v>1</v>
      </c>
      <c r="S101" s="5">
        <f>SUM(S94:S100)</f>
        <v>0</v>
      </c>
      <c r="T101" s="5">
        <f>SUM(T94:T100)</f>
        <v>0</v>
      </c>
      <c r="U101" s="5">
        <f>SUM(U94:U100)</f>
        <v>0</v>
      </c>
      <c r="V101" s="5">
        <f>SUM(V94:V100)</f>
        <v>10</v>
      </c>
    </row>
    <row r="102" spans="1:22" x14ac:dyDescent="0.4">
      <c r="A102" s="61"/>
      <c r="B102" s="62"/>
      <c r="C102" s="62"/>
      <c r="D102" s="62"/>
      <c r="E102" s="63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 spans="1:22" x14ac:dyDescent="0.4">
      <c r="A103" s="11" t="s">
        <v>48</v>
      </c>
      <c r="B103" s="17" t="s">
        <v>61</v>
      </c>
      <c r="C103" s="59" t="s">
        <v>62</v>
      </c>
      <c r="D103" s="60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1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5">
        <f t="shared" ref="V103:V109" si="25">SUM(E103:U103)</f>
        <v>1</v>
      </c>
    </row>
    <row r="104" spans="1:22" ht="13.15" customHeight="1" x14ac:dyDescent="0.4">
      <c r="A104" s="11" t="s">
        <v>50</v>
      </c>
      <c r="B104" s="46"/>
      <c r="C104" s="24" t="s">
        <v>143</v>
      </c>
      <c r="D104" s="47"/>
      <c r="E104" s="6">
        <v>0</v>
      </c>
      <c r="F104" s="6">
        <v>0</v>
      </c>
      <c r="G104" s="6">
        <v>0</v>
      </c>
      <c r="H104" s="6">
        <v>2</v>
      </c>
      <c r="I104" s="6">
        <v>1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1</v>
      </c>
      <c r="R104" s="6">
        <v>0</v>
      </c>
      <c r="S104" s="6">
        <v>0</v>
      </c>
      <c r="T104" s="6">
        <v>0</v>
      </c>
      <c r="U104" s="6">
        <v>0</v>
      </c>
      <c r="V104" s="5">
        <f t="shared" si="25"/>
        <v>4</v>
      </c>
    </row>
    <row r="105" spans="1:22" x14ac:dyDescent="0.4">
      <c r="A105" s="7"/>
      <c r="B105" s="46"/>
      <c r="C105" s="24" t="s">
        <v>144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5">
        <f t="shared" si="25"/>
        <v>0</v>
      </c>
    </row>
    <row r="106" spans="1:22" x14ac:dyDescent="0.4">
      <c r="A106" s="7"/>
      <c r="B106" s="46"/>
      <c r="C106" s="24" t="s">
        <v>145</v>
      </c>
      <c r="D106" s="47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1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5">
        <f t="shared" si="25"/>
        <v>1</v>
      </c>
    </row>
    <row r="107" spans="1:22" x14ac:dyDescent="0.4">
      <c r="A107" s="7"/>
      <c r="B107" s="46"/>
      <c r="C107" s="24" t="s">
        <v>146</v>
      </c>
      <c r="D107" s="47"/>
      <c r="E107" s="6">
        <v>0</v>
      </c>
      <c r="F107" s="6">
        <v>0</v>
      </c>
      <c r="G107" s="6">
        <v>0</v>
      </c>
      <c r="H107" s="6">
        <v>1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5">
        <f t="shared" si="25"/>
        <v>1</v>
      </c>
    </row>
    <row r="108" spans="1:22" x14ac:dyDescent="0.4">
      <c r="A108" s="7"/>
      <c r="B108" s="46"/>
      <c r="C108" s="24" t="s">
        <v>147</v>
      </c>
      <c r="D108" s="47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5">
        <f t="shared" si="25"/>
        <v>0</v>
      </c>
    </row>
    <row r="109" spans="1:22" x14ac:dyDescent="0.4">
      <c r="A109" s="7"/>
      <c r="B109" s="46"/>
      <c r="C109" s="24" t="s">
        <v>148</v>
      </c>
      <c r="D109" s="47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5">
        <f t="shared" si="25"/>
        <v>0</v>
      </c>
    </row>
    <row r="110" spans="1:22" x14ac:dyDescent="0.4">
      <c r="A110" s="6" t="s">
        <v>26</v>
      </c>
      <c r="B110" s="53" t="s">
        <v>51</v>
      </c>
      <c r="C110" s="54"/>
      <c r="D110" s="55"/>
      <c r="E110" s="5">
        <f>SUM(E103:E109)</f>
        <v>0</v>
      </c>
      <c r="F110" s="5">
        <f>SUM(F103:F109)</f>
        <v>0</v>
      </c>
      <c r="G110" s="5">
        <f>SUM(G103:G109)</f>
        <v>0</v>
      </c>
      <c r="H110" s="5">
        <f>SUM(H103:H109)</f>
        <v>3</v>
      </c>
      <c r="I110" s="5">
        <f>SUM(I103:I109)</f>
        <v>1</v>
      </c>
      <c r="J110" s="5">
        <f>SUM(J103:J109)</f>
        <v>0</v>
      </c>
      <c r="K110" s="5">
        <f>SUM(K103:K109)</f>
        <v>1</v>
      </c>
      <c r="L110" s="5">
        <f>SUM(L103:L109)</f>
        <v>0</v>
      </c>
      <c r="M110" s="5">
        <f>SUM(M103:M109)</f>
        <v>0</v>
      </c>
      <c r="N110" s="5">
        <f>SUM(N103:N109)</f>
        <v>0</v>
      </c>
      <c r="O110" s="5">
        <f>SUM(O103:O109)</f>
        <v>0</v>
      </c>
      <c r="P110" s="5">
        <f>SUM(P103:P109)</f>
        <v>1</v>
      </c>
      <c r="Q110" s="5">
        <f>SUM(Q103:Q109)</f>
        <v>1</v>
      </c>
      <c r="R110" s="5">
        <f>SUM(R103:R109)</f>
        <v>0</v>
      </c>
      <c r="S110" s="5">
        <f>SUM(S103:S109)</f>
        <v>0</v>
      </c>
      <c r="T110" s="5">
        <f>SUM(T103:T109)</f>
        <v>0</v>
      </c>
      <c r="U110" s="5">
        <f>SUM(U103:U109)</f>
        <v>0</v>
      </c>
      <c r="V110" s="5">
        <f>SUM(V103:V109)</f>
        <v>7</v>
      </c>
    </row>
    <row r="111" spans="1:22" x14ac:dyDescent="0.4">
      <c r="A111" s="61"/>
      <c r="B111" s="62"/>
      <c r="C111" s="62"/>
      <c r="D111" s="62"/>
      <c r="E111" s="6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 spans="1:22" ht="13.15" customHeight="1" x14ac:dyDescent="0.4">
      <c r="A112" s="11" t="s">
        <v>48</v>
      </c>
      <c r="B112" s="17" t="s">
        <v>63</v>
      </c>
      <c r="C112" s="59" t="s">
        <v>64</v>
      </c>
      <c r="D112" s="60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5">
        <f t="shared" ref="V112:V118" si="26">SUM(E112:U112)</f>
        <v>0</v>
      </c>
    </row>
    <row r="113" spans="1:22" x14ac:dyDescent="0.4">
      <c r="A113" s="11" t="s">
        <v>50</v>
      </c>
      <c r="B113" s="17"/>
      <c r="C113" s="24" t="s">
        <v>104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5">
        <f t="shared" si="26"/>
        <v>0</v>
      </c>
    </row>
    <row r="114" spans="1:22" x14ac:dyDescent="0.4">
      <c r="A114" s="7"/>
      <c r="B114" s="17"/>
      <c r="C114" s="24" t="s">
        <v>149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1</v>
      </c>
      <c r="J114" s="6">
        <v>2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1</v>
      </c>
      <c r="V114" s="5">
        <f t="shared" si="26"/>
        <v>4</v>
      </c>
    </row>
    <row r="115" spans="1:22" x14ac:dyDescent="0.4">
      <c r="A115" s="7"/>
      <c r="B115" s="17"/>
      <c r="C115" s="24" t="s">
        <v>150</v>
      </c>
      <c r="D115" s="45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5">
        <f t="shared" si="26"/>
        <v>0</v>
      </c>
    </row>
    <row r="116" spans="1:22" x14ac:dyDescent="0.4">
      <c r="A116" s="7"/>
      <c r="B116" s="46"/>
      <c r="C116" s="24" t="s">
        <v>151</v>
      </c>
      <c r="D116" s="47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5">
        <f t="shared" si="26"/>
        <v>0</v>
      </c>
    </row>
    <row r="117" spans="1:22" x14ac:dyDescent="0.4">
      <c r="A117" s="7"/>
      <c r="B117" s="46"/>
      <c r="C117" s="24" t="s">
        <v>152</v>
      </c>
      <c r="D117" s="47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1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5">
        <f t="shared" si="26"/>
        <v>1</v>
      </c>
    </row>
    <row r="118" spans="1:22" x14ac:dyDescent="0.4">
      <c r="A118" s="7"/>
      <c r="B118" s="46"/>
      <c r="C118" s="24" t="s">
        <v>153</v>
      </c>
      <c r="D118" s="47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5">
        <f t="shared" si="26"/>
        <v>0</v>
      </c>
    </row>
    <row r="119" spans="1:22" ht="13.15" customHeight="1" x14ac:dyDescent="0.4">
      <c r="A119" s="6" t="s">
        <v>26</v>
      </c>
      <c r="B119" s="53" t="s">
        <v>51</v>
      </c>
      <c r="C119" s="54"/>
      <c r="D119" s="55"/>
      <c r="E119" s="5">
        <f>SUM(E112:E118)</f>
        <v>0</v>
      </c>
      <c r="F119" s="5">
        <f>SUM(F112:F118)</f>
        <v>0</v>
      </c>
      <c r="G119" s="5">
        <f>SUM(G112:G118)</f>
        <v>0</v>
      </c>
      <c r="H119" s="5">
        <f>SUM(H112:H118)</f>
        <v>0</v>
      </c>
      <c r="I119" s="5">
        <f>SUM(I112:I118)</f>
        <v>1</v>
      </c>
      <c r="J119" s="5">
        <f>SUM(J112:J118)</f>
        <v>2</v>
      </c>
      <c r="K119" s="5">
        <f>SUM(K112:K118)</f>
        <v>1</v>
      </c>
      <c r="L119" s="5">
        <f>SUM(L112:L118)</f>
        <v>0</v>
      </c>
      <c r="M119" s="5">
        <f>SUM(M112:M118)</f>
        <v>0</v>
      </c>
      <c r="N119" s="5">
        <f>SUM(N112:N118)</f>
        <v>0</v>
      </c>
      <c r="O119" s="5">
        <f>SUM(O112:O118)</f>
        <v>0</v>
      </c>
      <c r="P119" s="5">
        <f>SUM(P112:P118)</f>
        <v>0</v>
      </c>
      <c r="Q119" s="5">
        <f>SUM(Q112:Q118)</f>
        <v>0</v>
      </c>
      <c r="R119" s="5">
        <f>SUM(R112:R118)</f>
        <v>0</v>
      </c>
      <c r="S119" s="5">
        <f>SUM(S112:S118)</f>
        <v>0</v>
      </c>
      <c r="T119" s="5">
        <f>SUM(T112:T118)</f>
        <v>0</v>
      </c>
      <c r="U119" s="5">
        <f>SUM(U112:U118)</f>
        <v>1</v>
      </c>
      <c r="V119" s="5">
        <f>SUM(V112:V118)</f>
        <v>5</v>
      </c>
    </row>
    <row r="120" spans="1:22" x14ac:dyDescent="0.4">
      <c r="A120" s="61"/>
      <c r="B120" s="62"/>
      <c r="C120" s="62"/>
      <c r="D120" s="62"/>
      <c r="E120" s="6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5"/>
    </row>
    <row r="121" spans="1:22" x14ac:dyDescent="0.4">
      <c r="A121" s="11" t="s">
        <v>48</v>
      </c>
      <c r="B121" s="44" t="s">
        <v>65</v>
      </c>
      <c r="C121" s="67" t="s">
        <v>66</v>
      </c>
      <c r="D121" s="68"/>
      <c r="E121" s="6">
        <v>1</v>
      </c>
      <c r="F121" s="6">
        <v>1</v>
      </c>
      <c r="G121" s="6">
        <v>0</v>
      </c>
      <c r="H121" s="6">
        <v>0</v>
      </c>
      <c r="I121" s="6">
        <v>0</v>
      </c>
      <c r="J121" s="6">
        <v>0</v>
      </c>
      <c r="K121" s="6">
        <v>3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1</v>
      </c>
      <c r="T121" s="6">
        <v>0</v>
      </c>
      <c r="U121" s="6">
        <v>0</v>
      </c>
      <c r="V121" s="5">
        <f>SUM(E122:U122)</f>
        <v>0</v>
      </c>
    </row>
    <row r="122" spans="1:22" x14ac:dyDescent="0.4">
      <c r="A122" s="48" t="s">
        <v>50</v>
      </c>
      <c r="B122" s="46"/>
      <c r="C122" s="24" t="s">
        <v>154</v>
      </c>
      <c r="D122" s="47"/>
      <c r="E122" s="49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5">
        <f>SUM(E123:U123)</f>
        <v>108</v>
      </c>
    </row>
    <row r="123" spans="1:22" x14ac:dyDescent="0.4">
      <c r="A123" s="7"/>
      <c r="B123" s="46"/>
      <c r="C123" s="24" t="s">
        <v>155</v>
      </c>
      <c r="D123" s="47"/>
      <c r="E123" s="49">
        <v>4</v>
      </c>
      <c r="F123" s="6">
        <v>37</v>
      </c>
      <c r="G123" s="6">
        <v>4</v>
      </c>
      <c r="H123" s="6">
        <v>2</v>
      </c>
      <c r="I123" s="6">
        <v>4</v>
      </c>
      <c r="J123" s="6">
        <v>12</v>
      </c>
      <c r="K123" s="6">
        <v>17</v>
      </c>
      <c r="L123" s="6">
        <v>0</v>
      </c>
      <c r="M123" s="6">
        <v>0</v>
      </c>
      <c r="N123" s="6">
        <v>1</v>
      </c>
      <c r="O123" s="6">
        <v>2</v>
      </c>
      <c r="P123" s="6">
        <v>0</v>
      </c>
      <c r="Q123" s="6">
        <v>4</v>
      </c>
      <c r="R123" s="6">
        <v>1</v>
      </c>
      <c r="S123" s="6">
        <v>5</v>
      </c>
      <c r="T123" s="6">
        <v>7</v>
      </c>
      <c r="U123" s="6">
        <v>8</v>
      </c>
      <c r="V123" s="5">
        <f>SUM(E124:U124)</f>
        <v>1</v>
      </c>
    </row>
    <row r="124" spans="1:22" x14ac:dyDescent="0.4">
      <c r="A124" s="7"/>
      <c r="B124" s="46"/>
      <c r="C124" s="24" t="s">
        <v>156</v>
      </c>
      <c r="D124" s="47"/>
      <c r="E124" s="49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1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5">
        <f>SUM(E125:U125)</f>
        <v>3</v>
      </c>
    </row>
    <row r="125" spans="1:22" x14ac:dyDescent="0.4">
      <c r="A125" s="7"/>
      <c r="B125" s="46"/>
      <c r="C125" s="24" t="s">
        <v>157</v>
      </c>
      <c r="D125" s="47"/>
      <c r="E125" s="49">
        <v>1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2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5">
        <f>SUM(E128:U128)</f>
        <v>123</v>
      </c>
    </row>
    <row r="126" spans="1:22" x14ac:dyDescent="0.4">
      <c r="A126" s="7"/>
      <c r="B126" s="46"/>
      <c r="C126" s="24" t="s">
        <v>158</v>
      </c>
      <c r="D126" s="47"/>
      <c r="E126" s="49">
        <v>2</v>
      </c>
      <c r="F126" s="6">
        <v>2</v>
      </c>
      <c r="G126" s="6">
        <v>0</v>
      </c>
      <c r="H126" s="6">
        <v>0</v>
      </c>
      <c r="I126" s="6">
        <v>1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5">
        <f>SUM(E129:U129)</f>
        <v>0</v>
      </c>
    </row>
    <row r="127" spans="1:22" x14ac:dyDescent="0.4">
      <c r="A127" s="7"/>
      <c r="B127" s="46"/>
      <c r="C127" s="24" t="s">
        <v>159</v>
      </c>
      <c r="D127" s="47"/>
      <c r="E127" s="49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5">
        <f>SUM(E130:U130)</f>
        <v>2</v>
      </c>
    </row>
    <row r="128" spans="1:22" x14ac:dyDescent="0.4">
      <c r="A128" s="6" t="s">
        <v>26</v>
      </c>
      <c r="B128" s="64" t="s">
        <v>51</v>
      </c>
      <c r="C128" s="65"/>
      <c r="D128" s="66"/>
      <c r="E128" s="5">
        <f>SUM(E121:E127)</f>
        <v>8</v>
      </c>
      <c r="F128" s="5">
        <f>SUM(F121:F127)</f>
        <v>40</v>
      </c>
      <c r="G128" s="5">
        <f>SUM(G121:G127)</f>
        <v>4</v>
      </c>
      <c r="H128" s="5">
        <f>SUM(H121:H127)</f>
        <v>2</v>
      </c>
      <c r="I128" s="5">
        <f>SUM(I121:I127)</f>
        <v>5</v>
      </c>
      <c r="J128" s="5">
        <f>SUM(J121:J127)</f>
        <v>12</v>
      </c>
      <c r="K128" s="5">
        <f>SUM(K121:K127)</f>
        <v>21</v>
      </c>
      <c r="L128" s="5">
        <f>SUM(L121:L127)</f>
        <v>0</v>
      </c>
      <c r="M128" s="5">
        <f>SUM(M121:M127)</f>
        <v>0</v>
      </c>
      <c r="N128" s="5">
        <f>SUM(N121:N127)</f>
        <v>1</v>
      </c>
      <c r="O128" s="5">
        <f>SUM(O121:O127)</f>
        <v>2</v>
      </c>
      <c r="P128" s="5">
        <f>SUM(P121:P127)</f>
        <v>2</v>
      </c>
      <c r="Q128" s="5">
        <f>SUM(Q121:Q127)</f>
        <v>4</v>
      </c>
      <c r="R128" s="5">
        <f>SUM(R121:R127)</f>
        <v>1</v>
      </c>
      <c r="S128" s="5">
        <f>SUM(S121:S127)</f>
        <v>6</v>
      </c>
      <c r="T128" s="5">
        <f>SUM(T121:T127)</f>
        <v>7</v>
      </c>
      <c r="U128" s="5">
        <f>SUM(U121:U127)</f>
        <v>8</v>
      </c>
      <c r="V128" s="5">
        <f>SUM(V121:V127)</f>
        <v>237</v>
      </c>
    </row>
    <row r="129" spans="1:22" x14ac:dyDescent="0.4">
      <c r="A129" s="61"/>
      <c r="B129" s="62"/>
      <c r="C129" s="62"/>
      <c r="D129" s="62"/>
      <c r="E129" s="63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spans="1:22" ht="13.15" customHeight="1" x14ac:dyDescent="0.4">
      <c r="A130" s="11" t="s">
        <v>48</v>
      </c>
      <c r="B130" s="17" t="s">
        <v>67</v>
      </c>
      <c r="C130" s="59" t="s">
        <v>68</v>
      </c>
      <c r="D130" s="60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1</v>
      </c>
      <c r="M130" s="6">
        <v>0</v>
      </c>
      <c r="N130" s="6">
        <v>0</v>
      </c>
      <c r="O130" s="6">
        <v>0</v>
      </c>
      <c r="P130" s="6">
        <v>1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5">
        <f t="shared" ref="V130" si="27">SUM(E130:U130)</f>
        <v>2</v>
      </c>
    </row>
    <row r="131" spans="1:22" x14ac:dyDescent="0.4">
      <c r="A131" s="6" t="s">
        <v>26</v>
      </c>
      <c r="B131" s="53" t="s">
        <v>51</v>
      </c>
      <c r="C131" s="54"/>
      <c r="D131" s="55"/>
      <c r="E131" s="5">
        <f>SUM(E130:E130)</f>
        <v>0</v>
      </c>
      <c r="F131" s="5">
        <f>SUM(F130:F130)</f>
        <v>0</v>
      </c>
      <c r="G131" s="5">
        <f>SUM(G130:G130)</f>
        <v>0</v>
      </c>
      <c r="H131" s="5">
        <f>SUM(H130:H130)</f>
        <v>0</v>
      </c>
      <c r="I131" s="5">
        <f>SUM(I130:I130)</f>
        <v>0</v>
      </c>
      <c r="J131" s="5">
        <f>SUM(J130:J130)</f>
        <v>0</v>
      </c>
      <c r="K131" s="5">
        <f>SUM(K130:K130)</f>
        <v>0</v>
      </c>
      <c r="L131" s="5">
        <f>SUM(L130:L130)</f>
        <v>1</v>
      </c>
      <c r="M131" s="5">
        <f>SUM(M130:M130)</f>
        <v>0</v>
      </c>
      <c r="N131" s="5">
        <f>SUM(N130:N130)</f>
        <v>0</v>
      </c>
      <c r="O131" s="5">
        <f>SUM(O130:O130)</f>
        <v>0</v>
      </c>
      <c r="P131" s="5">
        <f>SUM(P130:P130)</f>
        <v>1</v>
      </c>
      <c r="Q131" s="5">
        <f>SUM(Q130:Q130)</f>
        <v>0</v>
      </c>
      <c r="R131" s="5">
        <f>SUM(R130:R130)</f>
        <v>0</v>
      </c>
      <c r="S131" s="5">
        <f>SUM(S130:S130)</f>
        <v>0</v>
      </c>
      <c r="T131" s="5">
        <f>SUM(T130:T130)</f>
        <v>0</v>
      </c>
      <c r="U131" s="5">
        <f>SUM(U130:U130)</f>
        <v>0</v>
      </c>
      <c r="V131" s="5">
        <f>SUM(V130:V130)</f>
        <v>2</v>
      </c>
    </row>
    <row r="132" spans="1:22" ht="13.15" customHeight="1" x14ac:dyDescent="0.4">
      <c r="A132" s="61"/>
      <c r="B132" s="62"/>
      <c r="C132" s="62"/>
      <c r="D132" s="62"/>
      <c r="E132" s="63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spans="1:22" x14ac:dyDescent="0.4">
      <c r="A133" s="11" t="s">
        <v>48</v>
      </c>
      <c r="B133" s="17" t="s">
        <v>69</v>
      </c>
      <c r="C133" s="59" t="s">
        <v>70</v>
      </c>
      <c r="D133" s="60"/>
      <c r="E133" s="6">
        <v>0</v>
      </c>
      <c r="F133" s="6">
        <v>0</v>
      </c>
      <c r="G133" s="6">
        <v>0</v>
      </c>
      <c r="H133" s="6">
        <v>1</v>
      </c>
      <c r="I133" s="6">
        <v>0</v>
      </c>
      <c r="J133" s="6">
        <v>1</v>
      </c>
      <c r="K133" s="6">
        <v>2</v>
      </c>
      <c r="L133" s="6">
        <v>1</v>
      </c>
      <c r="M133" s="6">
        <v>1</v>
      </c>
      <c r="N133" s="6">
        <v>1</v>
      </c>
      <c r="O133" s="6">
        <v>0</v>
      </c>
      <c r="P133" s="6">
        <v>0</v>
      </c>
      <c r="Q133" s="6">
        <v>1</v>
      </c>
      <c r="R133" s="6">
        <v>0</v>
      </c>
      <c r="S133" s="6">
        <v>0</v>
      </c>
      <c r="T133" s="6">
        <v>0</v>
      </c>
      <c r="U133" s="6">
        <v>0</v>
      </c>
      <c r="V133" s="5">
        <f t="shared" ref="V133:V139" si="28">SUM(E133:U133)</f>
        <v>8</v>
      </c>
    </row>
    <row r="134" spans="1:22" x14ac:dyDescent="0.4">
      <c r="A134" s="11" t="s">
        <v>50</v>
      </c>
      <c r="B134" s="46"/>
      <c r="C134" s="24" t="s">
        <v>160</v>
      </c>
      <c r="D134" s="47"/>
      <c r="E134" s="6">
        <v>0</v>
      </c>
      <c r="F134" s="6">
        <v>1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2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5">
        <f t="shared" si="28"/>
        <v>3</v>
      </c>
    </row>
    <row r="135" spans="1:22" x14ac:dyDescent="0.4">
      <c r="A135" s="7"/>
      <c r="B135" s="46"/>
      <c r="C135" s="24" t="s">
        <v>161</v>
      </c>
      <c r="D135" s="47"/>
      <c r="E135" s="6">
        <v>0</v>
      </c>
      <c r="F135" s="6">
        <v>0</v>
      </c>
      <c r="G135" s="6">
        <v>0</v>
      </c>
      <c r="H135" s="6">
        <v>17</v>
      </c>
      <c r="I135" s="6">
        <v>10</v>
      </c>
      <c r="J135" s="6">
        <v>19</v>
      </c>
      <c r="K135" s="6">
        <v>3</v>
      </c>
      <c r="L135" s="6">
        <v>8</v>
      </c>
      <c r="M135" s="6">
        <v>7</v>
      </c>
      <c r="N135" s="6">
        <v>0</v>
      </c>
      <c r="O135" s="6">
        <v>4</v>
      </c>
      <c r="P135" s="6">
        <v>8</v>
      </c>
      <c r="Q135" s="6">
        <v>10</v>
      </c>
      <c r="R135" s="6">
        <v>7</v>
      </c>
      <c r="S135" s="6">
        <v>2</v>
      </c>
      <c r="T135" s="6">
        <v>2</v>
      </c>
      <c r="U135" s="6">
        <v>14</v>
      </c>
      <c r="V135" s="5">
        <f t="shared" si="28"/>
        <v>111</v>
      </c>
    </row>
    <row r="136" spans="1:22" x14ac:dyDescent="0.4">
      <c r="A136" s="7"/>
      <c r="B136" s="46"/>
      <c r="C136" s="24" t="s">
        <v>162</v>
      </c>
      <c r="D136" s="47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1</v>
      </c>
      <c r="N136" s="6">
        <v>0</v>
      </c>
      <c r="O136" s="6">
        <v>0</v>
      </c>
      <c r="P136" s="6">
        <v>0</v>
      </c>
      <c r="Q136" s="6">
        <v>1</v>
      </c>
      <c r="R136" s="6">
        <v>0</v>
      </c>
      <c r="S136" s="6">
        <v>0</v>
      </c>
      <c r="T136" s="6">
        <v>0</v>
      </c>
      <c r="U136" s="6">
        <v>0</v>
      </c>
      <c r="V136" s="5">
        <f t="shared" si="28"/>
        <v>2</v>
      </c>
    </row>
    <row r="137" spans="1:22" x14ac:dyDescent="0.4">
      <c r="A137" s="7"/>
      <c r="B137" s="46"/>
      <c r="C137" s="24" t="s">
        <v>163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5">
        <f t="shared" si="28"/>
        <v>0</v>
      </c>
    </row>
    <row r="138" spans="1:22" x14ac:dyDescent="0.4">
      <c r="A138" s="7"/>
      <c r="B138" s="46"/>
      <c r="C138" s="24" t="s">
        <v>164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5">
        <f t="shared" si="28"/>
        <v>0</v>
      </c>
    </row>
    <row r="139" spans="1:22" x14ac:dyDescent="0.4">
      <c r="A139" s="7"/>
      <c r="B139" s="46"/>
      <c r="C139" s="24" t="s">
        <v>165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1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1</v>
      </c>
      <c r="V139" s="5">
        <f t="shared" si="28"/>
        <v>2</v>
      </c>
    </row>
    <row r="140" spans="1:22" ht="13.15" customHeight="1" x14ac:dyDescent="0.4">
      <c r="A140" s="6" t="s">
        <v>26</v>
      </c>
      <c r="B140" s="53" t="s">
        <v>51</v>
      </c>
      <c r="C140" s="54"/>
      <c r="D140" s="55"/>
      <c r="E140" s="5">
        <f>SUM(E133:E139)</f>
        <v>0</v>
      </c>
      <c r="F140" s="5">
        <f>SUM(F133:F139)</f>
        <v>1</v>
      </c>
      <c r="G140" s="5">
        <f>SUM(G133:G139)</f>
        <v>0</v>
      </c>
      <c r="H140" s="5">
        <f>SUM(H133:H139)</f>
        <v>18</v>
      </c>
      <c r="I140" s="5">
        <f>SUM(I133:I139)</f>
        <v>10</v>
      </c>
      <c r="J140" s="5">
        <f>SUM(J133:J139)</f>
        <v>20</v>
      </c>
      <c r="K140" s="5">
        <f>SUM(K133:K139)</f>
        <v>6</v>
      </c>
      <c r="L140" s="5">
        <f>SUM(L133:L139)</f>
        <v>9</v>
      </c>
      <c r="M140" s="5">
        <f>SUM(M133:M139)</f>
        <v>11</v>
      </c>
      <c r="N140" s="5">
        <f>SUM(N133:N139)</f>
        <v>1</v>
      </c>
      <c r="O140" s="5">
        <f>SUM(O133:O139)</f>
        <v>4</v>
      </c>
      <c r="P140" s="5">
        <f>SUM(P133:P139)</f>
        <v>8</v>
      </c>
      <c r="Q140" s="5">
        <f>SUM(Q133:Q139)</f>
        <v>12</v>
      </c>
      <c r="R140" s="5">
        <f>SUM(R133:R139)</f>
        <v>7</v>
      </c>
      <c r="S140" s="5">
        <f>SUM(S133:S139)</f>
        <v>2</v>
      </c>
      <c r="T140" s="5">
        <f>SUM(T133:T139)</f>
        <v>2</v>
      </c>
      <c r="U140" s="5">
        <f>SUM(U133:U139)</f>
        <v>15</v>
      </c>
      <c r="V140" s="5">
        <f>SUM(V133:V139)</f>
        <v>126</v>
      </c>
    </row>
    <row r="141" spans="1:22" x14ac:dyDescent="0.4">
      <c r="A141" s="61"/>
      <c r="B141" s="62"/>
      <c r="C141" s="62"/>
      <c r="D141" s="62"/>
      <c r="E141" s="63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5"/>
    </row>
    <row r="142" spans="1:22" x14ac:dyDescent="0.4">
      <c r="A142" s="11" t="s">
        <v>48</v>
      </c>
      <c r="B142" s="17" t="s">
        <v>71</v>
      </c>
      <c r="C142" s="59" t="s">
        <v>72</v>
      </c>
      <c r="D142" s="6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1</v>
      </c>
      <c r="T142" s="6">
        <v>0</v>
      </c>
      <c r="U142" s="6">
        <v>0</v>
      </c>
      <c r="V142" s="5">
        <f t="shared" ref="V142:V148" si="29">SUM(E142:U142)</f>
        <v>1</v>
      </c>
    </row>
    <row r="143" spans="1:22" x14ac:dyDescent="0.4">
      <c r="A143" s="11" t="s">
        <v>50</v>
      </c>
      <c r="B143" s="46"/>
      <c r="C143" s="24" t="s">
        <v>166</v>
      </c>
      <c r="D143" s="47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5">
        <f t="shared" si="29"/>
        <v>0</v>
      </c>
    </row>
    <row r="144" spans="1:22" x14ac:dyDescent="0.4">
      <c r="A144" s="7"/>
      <c r="B144" s="46"/>
      <c r="C144" s="24" t="s">
        <v>167</v>
      </c>
      <c r="D144" s="47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5">
        <f t="shared" si="29"/>
        <v>0</v>
      </c>
    </row>
    <row r="145" spans="1:22" x14ac:dyDescent="0.4">
      <c r="A145" s="7"/>
      <c r="B145" s="46"/>
      <c r="C145" s="24" t="s">
        <v>168</v>
      </c>
      <c r="D145" s="47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5">
        <f t="shared" si="29"/>
        <v>0</v>
      </c>
    </row>
    <row r="146" spans="1:22" x14ac:dyDescent="0.4">
      <c r="A146" s="7"/>
      <c r="B146" s="46"/>
      <c r="C146" s="24" t="s">
        <v>169</v>
      </c>
      <c r="D146" s="47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5">
        <f t="shared" si="29"/>
        <v>0</v>
      </c>
    </row>
    <row r="147" spans="1:22" x14ac:dyDescent="0.4">
      <c r="A147" s="7"/>
      <c r="B147" s="46"/>
      <c r="C147" s="24" t="s">
        <v>170</v>
      </c>
      <c r="D147" s="47"/>
      <c r="E147" s="6">
        <v>0</v>
      </c>
      <c r="F147" s="6">
        <v>1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5">
        <f t="shared" si="29"/>
        <v>1</v>
      </c>
    </row>
    <row r="148" spans="1:22" x14ac:dyDescent="0.4">
      <c r="A148" s="7"/>
      <c r="B148" s="46"/>
      <c r="C148" s="24" t="s">
        <v>171</v>
      </c>
      <c r="D148" s="47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5">
        <f t="shared" si="29"/>
        <v>0</v>
      </c>
    </row>
    <row r="149" spans="1:22" x14ac:dyDescent="0.4">
      <c r="A149" s="6" t="s">
        <v>26</v>
      </c>
      <c r="B149" s="53" t="s">
        <v>51</v>
      </c>
      <c r="C149" s="54"/>
      <c r="D149" s="55"/>
      <c r="E149" s="5">
        <f>SUM(E142:E148)</f>
        <v>0</v>
      </c>
      <c r="F149" s="5">
        <f>SUM(F142:F148)</f>
        <v>1</v>
      </c>
      <c r="G149" s="5">
        <f>SUM(G142:G148)</f>
        <v>0</v>
      </c>
      <c r="H149" s="5">
        <f>SUM(H142:H148)</f>
        <v>0</v>
      </c>
      <c r="I149" s="5">
        <f>SUM(I142:I148)</f>
        <v>0</v>
      </c>
      <c r="J149" s="5">
        <f>SUM(J142:J148)</f>
        <v>0</v>
      </c>
      <c r="K149" s="5">
        <f>SUM(K142:K148)</f>
        <v>0</v>
      </c>
      <c r="L149" s="5">
        <f>SUM(L142:L148)</f>
        <v>0</v>
      </c>
      <c r="M149" s="5">
        <f>SUM(M142:M148)</f>
        <v>0</v>
      </c>
      <c r="N149" s="5">
        <f>SUM(N142:N148)</f>
        <v>0</v>
      </c>
      <c r="O149" s="5">
        <f>SUM(O142:O148)</f>
        <v>0</v>
      </c>
      <c r="P149" s="5">
        <f>SUM(P142:P148)</f>
        <v>0</v>
      </c>
      <c r="Q149" s="5">
        <f>SUM(Q142:Q148)</f>
        <v>0</v>
      </c>
      <c r="R149" s="5">
        <f>SUM(R142:R148)</f>
        <v>0</v>
      </c>
      <c r="S149" s="5">
        <f>SUM(S142:S148)</f>
        <v>1</v>
      </c>
      <c r="T149" s="5">
        <f>SUM(T142:T148)</f>
        <v>0</v>
      </c>
      <c r="U149" s="5">
        <f>SUM(U142:U148)</f>
        <v>0</v>
      </c>
      <c r="V149" s="5">
        <f>SUM(V142:V148)</f>
        <v>2</v>
      </c>
    </row>
    <row r="150" spans="1:22" x14ac:dyDescent="0.4">
      <c r="A150" s="61"/>
      <c r="B150" s="62"/>
      <c r="C150" s="62"/>
      <c r="D150" s="62"/>
      <c r="E150" s="63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 spans="1:22" x14ac:dyDescent="0.4">
      <c r="A151" s="11" t="s">
        <v>48</v>
      </c>
      <c r="B151" s="17" t="s">
        <v>73</v>
      </c>
      <c r="C151" s="59" t="s">
        <v>74</v>
      </c>
      <c r="D151" s="60"/>
      <c r="E151" s="6">
        <v>3</v>
      </c>
      <c r="F151" s="6">
        <v>3</v>
      </c>
      <c r="G151" s="6">
        <v>0</v>
      </c>
      <c r="H151" s="6">
        <v>3</v>
      </c>
      <c r="I151" s="6">
        <v>3</v>
      </c>
      <c r="J151" s="6">
        <v>2</v>
      </c>
      <c r="K151" s="6">
        <v>0</v>
      </c>
      <c r="L151" s="6">
        <v>2</v>
      </c>
      <c r="M151" s="6">
        <v>7</v>
      </c>
      <c r="N151" s="6">
        <v>4</v>
      </c>
      <c r="O151" s="6">
        <v>0</v>
      </c>
      <c r="P151" s="6">
        <v>1</v>
      </c>
      <c r="Q151" s="6">
        <v>2</v>
      </c>
      <c r="R151" s="6">
        <v>1</v>
      </c>
      <c r="S151" s="6">
        <v>0</v>
      </c>
      <c r="T151" s="6">
        <v>0</v>
      </c>
      <c r="U151" s="6">
        <v>0</v>
      </c>
      <c r="V151" s="5">
        <f t="shared" ref="V151:V157" si="30">SUM(E151:U151)</f>
        <v>31</v>
      </c>
    </row>
    <row r="152" spans="1:22" x14ac:dyDescent="0.4">
      <c r="A152" s="11" t="s">
        <v>50</v>
      </c>
      <c r="B152" s="46"/>
      <c r="C152" s="24" t="s">
        <v>172</v>
      </c>
      <c r="D152" s="47"/>
      <c r="E152" s="6">
        <v>0</v>
      </c>
      <c r="F152" s="6">
        <v>0</v>
      </c>
      <c r="G152" s="6">
        <v>0</v>
      </c>
      <c r="H152" s="6">
        <v>0</v>
      </c>
      <c r="I152" s="6">
        <v>1</v>
      </c>
      <c r="J152" s="6">
        <v>0</v>
      </c>
      <c r="K152" s="6">
        <v>0</v>
      </c>
      <c r="L152" s="6">
        <v>0</v>
      </c>
      <c r="M152" s="6">
        <v>2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1</v>
      </c>
      <c r="T152" s="6">
        <v>1</v>
      </c>
      <c r="U152" s="6">
        <v>1</v>
      </c>
      <c r="V152" s="5">
        <f t="shared" si="30"/>
        <v>6</v>
      </c>
    </row>
    <row r="153" spans="1:22" x14ac:dyDescent="0.4">
      <c r="A153" s="7"/>
      <c r="B153" s="46"/>
      <c r="C153" s="24" t="s">
        <v>173</v>
      </c>
      <c r="D153" s="47"/>
      <c r="E153" s="6">
        <v>18</v>
      </c>
      <c r="F153" s="6">
        <v>1</v>
      </c>
      <c r="G153" s="6">
        <v>10</v>
      </c>
      <c r="H153" s="6">
        <v>29</v>
      </c>
      <c r="I153" s="6">
        <v>28</v>
      </c>
      <c r="J153" s="6">
        <v>17</v>
      </c>
      <c r="K153" s="6">
        <v>26</v>
      </c>
      <c r="L153" s="6">
        <v>10</v>
      </c>
      <c r="M153" s="6">
        <v>28</v>
      </c>
      <c r="N153" s="6">
        <v>20</v>
      </c>
      <c r="O153" s="6">
        <v>17</v>
      </c>
      <c r="P153" s="6">
        <v>7</v>
      </c>
      <c r="Q153" s="6">
        <v>6</v>
      </c>
      <c r="R153" s="6">
        <v>4</v>
      </c>
      <c r="S153" s="6">
        <v>2</v>
      </c>
      <c r="T153" s="6">
        <v>6</v>
      </c>
      <c r="U153" s="6">
        <v>13</v>
      </c>
      <c r="V153" s="5">
        <f t="shared" si="30"/>
        <v>242</v>
      </c>
    </row>
    <row r="154" spans="1:22" x14ac:dyDescent="0.4">
      <c r="A154" s="7"/>
      <c r="B154" s="46"/>
      <c r="C154" s="24" t="s">
        <v>174</v>
      </c>
      <c r="D154" s="47"/>
      <c r="E154" s="6">
        <v>0</v>
      </c>
      <c r="F154" s="6">
        <v>0</v>
      </c>
      <c r="G154" s="6">
        <v>1</v>
      </c>
      <c r="H154" s="6">
        <v>0</v>
      </c>
      <c r="I154" s="6">
        <v>1</v>
      </c>
      <c r="J154" s="6">
        <v>0</v>
      </c>
      <c r="K154" s="6">
        <v>0</v>
      </c>
      <c r="L154" s="6">
        <v>1</v>
      </c>
      <c r="M154" s="6">
        <v>0</v>
      </c>
      <c r="N154" s="6">
        <v>0</v>
      </c>
      <c r="O154" s="6">
        <v>0</v>
      </c>
      <c r="P154" s="6">
        <v>0</v>
      </c>
      <c r="Q154" s="6">
        <v>1</v>
      </c>
      <c r="R154" s="6">
        <v>0</v>
      </c>
      <c r="S154" s="6">
        <v>0</v>
      </c>
      <c r="T154" s="6">
        <v>0</v>
      </c>
      <c r="U154" s="6">
        <v>0</v>
      </c>
      <c r="V154" s="5">
        <f t="shared" si="30"/>
        <v>4</v>
      </c>
    </row>
    <row r="155" spans="1:22" x14ac:dyDescent="0.4">
      <c r="A155" s="7"/>
      <c r="B155" s="46"/>
      <c r="C155" s="24" t="s">
        <v>175</v>
      </c>
      <c r="D155" s="47"/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5">
        <f t="shared" si="30"/>
        <v>0</v>
      </c>
    </row>
    <row r="156" spans="1:22" x14ac:dyDescent="0.4">
      <c r="A156" s="7"/>
      <c r="B156" s="46"/>
      <c r="C156" s="24" t="s">
        <v>176</v>
      </c>
      <c r="D156" s="47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5">
        <f t="shared" si="30"/>
        <v>0</v>
      </c>
    </row>
    <row r="157" spans="1:22" ht="13.15" customHeight="1" x14ac:dyDescent="0.4">
      <c r="A157" s="7"/>
      <c r="B157" s="46"/>
      <c r="C157" s="24" t="s">
        <v>177</v>
      </c>
      <c r="D157" s="47"/>
      <c r="E157" s="6">
        <v>9</v>
      </c>
      <c r="F157" s="6">
        <v>1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5">
        <f t="shared" si="30"/>
        <v>10</v>
      </c>
    </row>
    <row r="158" spans="1:22" x14ac:dyDescent="0.4">
      <c r="A158" s="6" t="s">
        <v>26</v>
      </c>
      <c r="B158" s="53" t="s">
        <v>51</v>
      </c>
      <c r="C158" s="54"/>
      <c r="D158" s="55"/>
      <c r="E158" s="5">
        <f>SUM(E151:E157)</f>
        <v>30</v>
      </c>
      <c r="F158" s="5">
        <f>SUM(F151:F157)</f>
        <v>5</v>
      </c>
      <c r="G158" s="5">
        <f>SUM(G151:G157)</f>
        <v>11</v>
      </c>
      <c r="H158" s="5">
        <f>SUM(H151:H157)</f>
        <v>32</v>
      </c>
      <c r="I158" s="5">
        <f>SUM(I151:I157)</f>
        <v>33</v>
      </c>
      <c r="J158" s="5">
        <f>SUM(J151:J157)</f>
        <v>19</v>
      </c>
      <c r="K158" s="5">
        <f>SUM(K151:K157)</f>
        <v>26</v>
      </c>
      <c r="L158" s="5">
        <f>SUM(L151:L157)</f>
        <v>13</v>
      </c>
      <c r="M158" s="5">
        <f>SUM(M151:M157)</f>
        <v>37</v>
      </c>
      <c r="N158" s="5">
        <f>SUM(N151:N157)</f>
        <v>24</v>
      </c>
      <c r="O158" s="5">
        <f>SUM(O151:O157)</f>
        <v>17</v>
      </c>
      <c r="P158" s="5">
        <f>SUM(P151:P157)</f>
        <v>8</v>
      </c>
      <c r="Q158" s="5">
        <f>SUM(Q151:Q157)</f>
        <v>9</v>
      </c>
      <c r="R158" s="5">
        <f>SUM(R151:R157)</f>
        <v>5</v>
      </c>
      <c r="S158" s="5">
        <f>SUM(S151:S157)</f>
        <v>3</v>
      </c>
      <c r="T158" s="5">
        <f>SUM(T151:T157)</f>
        <v>7</v>
      </c>
      <c r="U158" s="5">
        <f>SUM(U151:U157)</f>
        <v>14</v>
      </c>
      <c r="V158" s="5">
        <f>SUM(V151:V157)</f>
        <v>293</v>
      </c>
    </row>
    <row r="159" spans="1:22" x14ac:dyDescent="0.4">
      <c r="A159" s="61"/>
      <c r="B159" s="62"/>
      <c r="C159" s="62"/>
      <c r="D159" s="62"/>
      <c r="E159" s="63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 spans="1:22" x14ac:dyDescent="0.4">
      <c r="A160" s="11" t="s">
        <v>48</v>
      </c>
      <c r="B160" s="17" t="s">
        <v>75</v>
      </c>
      <c r="C160" s="59" t="s">
        <v>76</v>
      </c>
      <c r="D160" s="60"/>
      <c r="E160" s="6">
        <v>0</v>
      </c>
      <c r="F160" s="6">
        <v>1</v>
      </c>
      <c r="G160" s="6">
        <v>0</v>
      </c>
      <c r="H160" s="6">
        <v>0</v>
      </c>
      <c r="I160" s="6">
        <v>2</v>
      </c>
      <c r="J160" s="6">
        <v>0</v>
      </c>
      <c r="K160" s="6">
        <v>0</v>
      </c>
      <c r="L160" s="6">
        <v>1</v>
      </c>
      <c r="M160" s="6">
        <v>1</v>
      </c>
      <c r="N160" s="6">
        <v>0</v>
      </c>
      <c r="O160" s="6">
        <v>0</v>
      </c>
      <c r="P160" s="6">
        <v>0</v>
      </c>
      <c r="Q160" s="6">
        <v>1</v>
      </c>
      <c r="R160" s="6">
        <v>1</v>
      </c>
      <c r="S160" s="6">
        <v>0</v>
      </c>
      <c r="T160" s="6">
        <v>0</v>
      </c>
      <c r="U160" s="6">
        <v>0</v>
      </c>
      <c r="V160" s="5">
        <f t="shared" ref="V160:V162" si="31">SUM(E160:U160)</f>
        <v>7</v>
      </c>
    </row>
    <row r="161" spans="1:22" x14ac:dyDescent="0.4">
      <c r="A161" s="11" t="s">
        <v>50</v>
      </c>
      <c r="B161" s="46"/>
      <c r="C161" s="24" t="s">
        <v>178</v>
      </c>
      <c r="D161" s="47"/>
      <c r="E161" s="6">
        <v>0</v>
      </c>
      <c r="F161" s="6">
        <v>0</v>
      </c>
      <c r="G161" s="6">
        <v>0</v>
      </c>
      <c r="H161" s="6">
        <v>0</v>
      </c>
      <c r="I161" s="6">
        <v>1</v>
      </c>
      <c r="J161" s="6">
        <v>0</v>
      </c>
      <c r="K161" s="6">
        <v>3</v>
      </c>
      <c r="L161" s="6">
        <v>0</v>
      </c>
      <c r="M161" s="6">
        <v>2</v>
      </c>
      <c r="N161" s="6">
        <v>1</v>
      </c>
      <c r="O161" s="6">
        <v>0</v>
      </c>
      <c r="P161" s="6">
        <v>0</v>
      </c>
      <c r="Q161" s="6">
        <v>0</v>
      </c>
      <c r="R161" s="6">
        <v>2</v>
      </c>
      <c r="S161" s="6">
        <v>3</v>
      </c>
      <c r="T161" s="6">
        <v>0</v>
      </c>
      <c r="U161" s="6">
        <v>2</v>
      </c>
      <c r="V161" s="5">
        <f t="shared" si="31"/>
        <v>14</v>
      </c>
    </row>
    <row r="162" spans="1:22" x14ac:dyDescent="0.4">
      <c r="A162" s="7"/>
      <c r="B162" s="46"/>
      <c r="C162" s="24" t="s">
        <v>179</v>
      </c>
      <c r="D162" s="47"/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1</v>
      </c>
      <c r="O162" s="6">
        <v>0</v>
      </c>
      <c r="P162" s="6">
        <v>0</v>
      </c>
      <c r="Q162" s="6">
        <v>0</v>
      </c>
      <c r="R162" s="6">
        <v>0</v>
      </c>
      <c r="S162" s="6">
        <v>1</v>
      </c>
      <c r="T162" s="6">
        <v>0</v>
      </c>
      <c r="U162" s="6">
        <v>0</v>
      </c>
      <c r="V162" s="5">
        <f t="shared" si="31"/>
        <v>2</v>
      </c>
    </row>
    <row r="163" spans="1:22" x14ac:dyDescent="0.4">
      <c r="A163" s="6" t="s">
        <v>26</v>
      </c>
      <c r="B163" s="53" t="s">
        <v>51</v>
      </c>
      <c r="C163" s="54"/>
      <c r="D163" s="55"/>
      <c r="E163" s="5">
        <f>SUM(E160:E162)</f>
        <v>0</v>
      </c>
      <c r="F163" s="5">
        <f>SUM(F160:F162)</f>
        <v>1</v>
      </c>
      <c r="G163" s="5">
        <f>SUM(G160:G162)</f>
        <v>0</v>
      </c>
      <c r="H163" s="5">
        <f>SUM(H160:H162)</f>
        <v>0</v>
      </c>
      <c r="I163" s="5">
        <f>SUM(I160:I162)</f>
        <v>3</v>
      </c>
      <c r="J163" s="5">
        <f>SUM(J160:J162)</f>
        <v>0</v>
      </c>
      <c r="K163" s="5">
        <f>SUM(K160:K162)</f>
        <v>3</v>
      </c>
      <c r="L163" s="5">
        <f>SUM(L160:L162)</f>
        <v>1</v>
      </c>
      <c r="M163" s="5">
        <f>SUM(M160:M162)</f>
        <v>3</v>
      </c>
      <c r="N163" s="5">
        <f>SUM(N160:N162)</f>
        <v>2</v>
      </c>
      <c r="O163" s="5">
        <f>SUM(O160:O162)</f>
        <v>0</v>
      </c>
      <c r="P163" s="5">
        <f>SUM(P160:P162)</f>
        <v>0</v>
      </c>
      <c r="Q163" s="5">
        <f>SUM(Q160:Q162)</f>
        <v>1</v>
      </c>
      <c r="R163" s="5">
        <f>SUM(R160:R162)</f>
        <v>3</v>
      </c>
      <c r="S163" s="5">
        <f>SUM(S160:S162)</f>
        <v>4</v>
      </c>
      <c r="T163" s="5">
        <f>SUM(T160:T162)</f>
        <v>0</v>
      </c>
      <c r="U163" s="5">
        <f>SUM(U160:U162)</f>
        <v>2</v>
      </c>
      <c r="V163" s="5">
        <f>SUM(V160:V162)</f>
        <v>23</v>
      </c>
    </row>
    <row r="164" spans="1:22" x14ac:dyDescent="0.4">
      <c r="A164" s="61"/>
      <c r="B164" s="62"/>
      <c r="C164" s="62"/>
      <c r="D164" s="62"/>
      <c r="E164" s="6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 spans="1:22" x14ac:dyDescent="0.4">
      <c r="A165" s="11" t="s">
        <v>48</v>
      </c>
      <c r="B165" s="17" t="s">
        <v>77</v>
      </c>
      <c r="C165" s="59" t="s">
        <v>78</v>
      </c>
      <c r="D165" s="60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5">
        <f t="shared" ref="V165:V171" si="32">SUM(E165:U165)</f>
        <v>0</v>
      </c>
    </row>
    <row r="166" spans="1:22" x14ac:dyDescent="0.4">
      <c r="A166" s="11" t="s">
        <v>50</v>
      </c>
      <c r="B166" s="17"/>
      <c r="C166" s="24" t="s">
        <v>180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5">
        <f t="shared" si="32"/>
        <v>0</v>
      </c>
    </row>
    <row r="167" spans="1:22" x14ac:dyDescent="0.4">
      <c r="A167" s="7"/>
      <c r="B167" s="17"/>
      <c r="C167" s="24" t="s">
        <v>181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5">
        <f t="shared" si="32"/>
        <v>0</v>
      </c>
    </row>
    <row r="168" spans="1:22" x14ac:dyDescent="0.4">
      <c r="A168" s="7"/>
      <c r="B168" s="17"/>
      <c r="C168" s="24" t="s">
        <v>182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5">
        <f t="shared" si="32"/>
        <v>0</v>
      </c>
    </row>
    <row r="169" spans="1:22" ht="13.15" customHeight="1" x14ac:dyDescent="0.4">
      <c r="A169" s="7"/>
      <c r="B169" s="46"/>
      <c r="C169" s="24" t="s">
        <v>183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5">
        <f t="shared" si="32"/>
        <v>0</v>
      </c>
    </row>
    <row r="170" spans="1:22" x14ac:dyDescent="0.4">
      <c r="A170" s="7"/>
      <c r="B170" s="46"/>
      <c r="C170" s="24" t="s">
        <v>184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5">
        <f t="shared" si="32"/>
        <v>0</v>
      </c>
    </row>
    <row r="171" spans="1:22" x14ac:dyDescent="0.4">
      <c r="A171" s="7"/>
      <c r="B171" s="46"/>
      <c r="C171" s="24" t="s">
        <v>185</v>
      </c>
      <c r="D171" s="47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1</v>
      </c>
      <c r="R171" s="6">
        <v>0</v>
      </c>
      <c r="S171" s="6">
        <v>0</v>
      </c>
      <c r="T171" s="6">
        <v>0</v>
      </c>
      <c r="U171" s="6">
        <v>0</v>
      </c>
      <c r="V171" s="5">
        <f t="shared" si="32"/>
        <v>1</v>
      </c>
    </row>
    <row r="172" spans="1:22" x14ac:dyDescent="0.4">
      <c r="A172" s="6" t="s">
        <v>26</v>
      </c>
      <c r="B172" s="53" t="s">
        <v>51</v>
      </c>
      <c r="C172" s="54"/>
      <c r="D172" s="55"/>
      <c r="E172" s="5">
        <f>SUM(E165:E171)</f>
        <v>0</v>
      </c>
      <c r="F172" s="5">
        <f>SUM(F165:F171)</f>
        <v>0</v>
      </c>
      <c r="G172" s="5">
        <f>SUM(G165:G171)</f>
        <v>0</v>
      </c>
      <c r="H172" s="5">
        <f>SUM(H165:H171)</f>
        <v>0</v>
      </c>
      <c r="I172" s="5">
        <f>SUM(I165:I171)</f>
        <v>0</v>
      </c>
      <c r="J172" s="5">
        <f>SUM(J165:J171)</f>
        <v>0</v>
      </c>
      <c r="K172" s="5">
        <f>SUM(K165:K171)</f>
        <v>0</v>
      </c>
      <c r="L172" s="5">
        <f>SUM(L165:L171)</f>
        <v>0</v>
      </c>
      <c r="M172" s="5">
        <f>SUM(M165:M171)</f>
        <v>0</v>
      </c>
      <c r="N172" s="5">
        <f>SUM(N165:N171)</f>
        <v>0</v>
      </c>
      <c r="O172" s="5">
        <f>SUM(O165:O171)</f>
        <v>0</v>
      </c>
      <c r="P172" s="5">
        <f>SUM(P165:P171)</f>
        <v>0</v>
      </c>
      <c r="Q172" s="5">
        <f>SUM(Q165:Q171)</f>
        <v>1</v>
      </c>
      <c r="R172" s="5">
        <f>SUM(R165:R171)</f>
        <v>0</v>
      </c>
      <c r="S172" s="5">
        <f>SUM(S165:S171)</f>
        <v>0</v>
      </c>
      <c r="T172" s="5">
        <f>SUM(T165:T171)</f>
        <v>0</v>
      </c>
      <c r="U172" s="5">
        <f>SUM(U165:U171)</f>
        <v>0</v>
      </c>
      <c r="V172" s="5">
        <f>SUM(V165:V171)</f>
        <v>1</v>
      </c>
    </row>
    <row r="173" spans="1:22" x14ac:dyDescent="0.4">
      <c r="A173" s="61"/>
      <c r="B173" s="62"/>
      <c r="C173" s="62"/>
      <c r="D173" s="62"/>
      <c r="E173" s="63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 spans="1:22" x14ac:dyDescent="0.4">
      <c r="A174" s="11" t="s">
        <v>48</v>
      </c>
      <c r="B174" s="17" t="s">
        <v>79</v>
      </c>
      <c r="C174" s="59" t="s">
        <v>80</v>
      </c>
      <c r="D174" s="60"/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1</v>
      </c>
      <c r="R174" s="6">
        <v>1</v>
      </c>
      <c r="S174" s="6">
        <v>1</v>
      </c>
      <c r="T174" s="6">
        <v>1</v>
      </c>
      <c r="U174" s="6">
        <v>1</v>
      </c>
      <c r="V174" s="5">
        <f t="shared" ref="V174:V180" si="33">SUM(E174:U174)</f>
        <v>5</v>
      </c>
    </row>
    <row r="175" spans="1:22" x14ac:dyDescent="0.4">
      <c r="A175" s="11" t="s">
        <v>50</v>
      </c>
      <c r="B175" s="46"/>
      <c r="C175" s="24" t="s">
        <v>186</v>
      </c>
      <c r="D175" s="47"/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3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1</v>
      </c>
      <c r="R175" s="6">
        <v>2</v>
      </c>
      <c r="S175" s="6">
        <v>0</v>
      </c>
      <c r="T175" s="6"/>
      <c r="U175" s="6"/>
      <c r="V175" s="5">
        <f t="shared" si="33"/>
        <v>6</v>
      </c>
    </row>
    <row r="176" spans="1:22" x14ac:dyDescent="0.4">
      <c r="A176" s="7"/>
      <c r="B176" s="46"/>
      <c r="C176" s="24" t="s">
        <v>187</v>
      </c>
      <c r="D176" s="47"/>
      <c r="E176" s="6">
        <v>0</v>
      </c>
      <c r="F176" s="6">
        <v>0</v>
      </c>
      <c r="G176" s="6">
        <v>2</v>
      </c>
      <c r="H176" s="6">
        <v>0</v>
      </c>
      <c r="I176" s="6">
        <v>0</v>
      </c>
      <c r="J176" s="6">
        <v>0</v>
      </c>
      <c r="K176" s="6">
        <v>0</v>
      </c>
      <c r="L176" s="6">
        <v>7</v>
      </c>
      <c r="M176" s="6">
        <v>0</v>
      </c>
      <c r="N176" s="6">
        <v>0</v>
      </c>
      <c r="O176" s="6">
        <v>6</v>
      </c>
      <c r="P176" s="6">
        <v>12</v>
      </c>
      <c r="Q176" s="6">
        <v>2</v>
      </c>
      <c r="R176" s="6">
        <v>1</v>
      </c>
      <c r="S176" s="6">
        <v>5</v>
      </c>
      <c r="T176" s="6">
        <v>1</v>
      </c>
      <c r="U176" s="6">
        <v>10</v>
      </c>
      <c r="V176" s="5">
        <f t="shared" si="33"/>
        <v>46</v>
      </c>
    </row>
    <row r="177" spans="1:22" ht="13.15" customHeight="1" x14ac:dyDescent="0.4">
      <c r="A177" s="7"/>
      <c r="B177" s="46"/>
      <c r="C177" s="24" t="s">
        <v>188</v>
      </c>
      <c r="D177" s="47"/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1</v>
      </c>
      <c r="R177" s="6">
        <v>0</v>
      </c>
      <c r="S177" s="6">
        <v>0</v>
      </c>
      <c r="T177" s="6"/>
      <c r="U177" s="6"/>
      <c r="V177" s="5">
        <f t="shared" si="33"/>
        <v>1</v>
      </c>
    </row>
    <row r="178" spans="1:22" x14ac:dyDescent="0.4">
      <c r="A178" s="7"/>
      <c r="B178" s="46"/>
      <c r="C178" s="24" t="s">
        <v>189</v>
      </c>
      <c r="D178" s="47"/>
      <c r="E178" s="6">
        <v>1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9</v>
      </c>
      <c r="R178" s="6">
        <v>1</v>
      </c>
      <c r="S178" s="6">
        <v>0</v>
      </c>
      <c r="T178" s="6"/>
      <c r="U178" s="6"/>
      <c r="V178" s="5">
        <f t="shared" si="33"/>
        <v>11</v>
      </c>
    </row>
    <row r="179" spans="1:22" ht="12.75" customHeight="1" x14ac:dyDescent="0.4">
      <c r="A179" s="7"/>
      <c r="B179" s="46"/>
      <c r="C179" s="24" t="s">
        <v>190</v>
      </c>
      <c r="D179" s="47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1</v>
      </c>
      <c r="R179" s="6">
        <v>0</v>
      </c>
      <c r="S179" s="6">
        <v>0</v>
      </c>
      <c r="T179" s="6"/>
      <c r="U179" s="6"/>
      <c r="V179" s="5">
        <f t="shared" si="33"/>
        <v>1</v>
      </c>
    </row>
    <row r="180" spans="1:22" x14ac:dyDescent="0.4">
      <c r="A180" s="7"/>
      <c r="B180" s="46"/>
      <c r="C180" s="24" t="s">
        <v>191</v>
      </c>
      <c r="D180" s="47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1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/>
      <c r="U180" s="6"/>
      <c r="V180" s="5">
        <f t="shared" si="33"/>
        <v>1</v>
      </c>
    </row>
    <row r="181" spans="1:22" ht="12.75" customHeight="1" x14ac:dyDescent="0.4">
      <c r="A181" s="6" t="s">
        <v>26</v>
      </c>
      <c r="B181" s="53" t="s">
        <v>51</v>
      </c>
      <c r="C181" s="54"/>
      <c r="D181" s="55"/>
      <c r="E181" s="5">
        <f>SUM(E174:E180)</f>
        <v>1</v>
      </c>
      <c r="F181" s="5">
        <f>SUM(F174:F180)</f>
        <v>0</v>
      </c>
      <c r="G181" s="5">
        <f>SUM(G174:G180)</f>
        <v>2</v>
      </c>
      <c r="H181" s="5">
        <f>SUM(H174:H180)</f>
        <v>0</v>
      </c>
      <c r="I181" s="5">
        <f>SUM(I174:I180)</f>
        <v>0</v>
      </c>
      <c r="J181" s="5">
        <f>SUM(J174:J180)</f>
        <v>3</v>
      </c>
      <c r="K181" s="5">
        <f>SUM(K174:K180)</f>
        <v>1</v>
      </c>
      <c r="L181" s="5">
        <f>SUM(L174:L180)</f>
        <v>7</v>
      </c>
      <c r="M181" s="5">
        <f>SUM(M174:M180)</f>
        <v>0</v>
      </c>
      <c r="N181" s="5">
        <f>SUM(N174:N180)</f>
        <v>0</v>
      </c>
      <c r="O181" s="5">
        <f>SUM(O174:O180)</f>
        <v>6</v>
      </c>
      <c r="P181" s="5">
        <f>SUM(P174:P180)</f>
        <v>12</v>
      </c>
      <c r="Q181" s="5">
        <f>SUM(Q174:Q180)</f>
        <v>15</v>
      </c>
      <c r="R181" s="5">
        <f>SUM(R174:R180)</f>
        <v>5</v>
      </c>
      <c r="S181" s="5">
        <f>SUM(S174:S180)</f>
        <v>6</v>
      </c>
      <c r="T181" s="5">
        <f>SUM(T174:T180)</f>
        <v>2</v>
      </c>
      <c r="U181" s="5">
        <f>SUM(U174:U180)</f>
        <v>11</v>
      </c>
      <c r="V181" s="5">
        <f>SUM(V174:V180)</f>
        <v>71</v>
      </c>
    </row>
    <row r="182" spans="1:22" x14ac:dyDescent="0.4">
      <c r="A182" s="61"/>
      <c r="B182" s="62"/>
      <c r="C182" s="62"/>
      <c r="D182" s="62"/>
      <c r="E182" s="63"/>
    </row>
    <row r="183" spans="1:22" x14ac:dyDescent="0.4">
      <c r="A183" s="11" t="s">
        <v>48</v>
      </c>
      <c r="B183" s="17" t="s">
        <v>81</v>
      </c>
      <c r="C183" s="59" t="s">
        <v>82</v>
      </c>
      <c r="D183" s="60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1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5">
        <f t="shared" ref="V183:V184" si="34">SUM(E183:U183)</f>
        <v>1</v>
      </c>
    </row>
    <row r="184" spans="1:22" x14ac:dyDescent="0.4">
      <c r="A184" s="11" t="s">
        <v>50</v>
      </c>
      <c r="B184" s="46"/>
      <c r="C184" s="24" t="s">
        <v>192</v>
      </c>
      <c r="D184" s="47"/>
      <c r="E184" s="6">
        <v>0</v>
      </c>
      <c r="F184" s="6">
        <v>0</v>
      </c>
      <c r="G184" s="6">
        <v>0</v>
      </c>
      <c r="H184" s="6">
        <v>0</v>
      </c>
      <c r="I184" s="6">
        <v>1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5">
        <f t="shared" si="34"/>
        <v>1</v>
      </c>
    </row>
    <row r="185" spans="1:22" x14ac:dyDescent="0.4">
      <c r="A185" s="6" t="s">
        <v>26</v>
      </c>
      <c r="B185" s="53" t="s">
        <v>51</v>
      </c>
      <c r="C185" s="54"/>
      <c r="D185" s="55"/>
      <c r="E185" s="5">
        <f>SUM(E183:E184)</f>
        <v>0</v>
      </c>
      <c r="F185" s="5">
        <f>SUM(F183:F184)</f>
        <v>0</v>
      </c>
      <c r="G185" s="5">
        <f>SUM(G183:G184)</f>
        <v>0</v>
      </c>
      <c r="H185" s="5">
        <f>SUM(H183:H184)</f>
        <v>0</v>
      </c>
      <c r="I185" s="5">
        <f>SUM(I183:I184)</f>
        <v>1</v>
      </c>
      <c r="J185" s="5">
        <f>SUM(J183:J184)</f>
        <v>0</v>
      </c>
      <c r="K185" s="5">
        <f>SUM(K183:K184)</f>
        <v>1</v>
      </c>
      <c r="L185" s="5">
        <f>SUM(L183:L184)</f>
        <v>0</v>
      </c>
      <c r="M185" s="5">
        <f>SUM(M183:M184)</f>
        <v>0</v>
      </c>
      <c r="N185" s="5">
        <f>SUM(N183:N184)</f>
        <v>0</v>
      </c>
      <c r="O185" s="5">
        <f>SUM(O183:O184)</f>
        <v>0</v>
      </c>
      <c r="P185" s="5">
        <f>SUM(P183:P184)</f>
        <v>0</v>
      </c>
      <c r="Q185" s="5">
        <f>SUM(Q183:Q184)</f>
        <v>0</v>
      </c>
      <c r="R185" s="5">
        <f>SUM(R183:R184)</f>
        <v>0</v>
      </c>
      <c r="S185" s="5">
        <f>SUM(S183:S184)</f>
        <v>0</v>
      </c>
      <c r="T185" s="5">
        <f>SUM(T183:T184)</f>
        <v>0</v>
      </c>
      <c r="U185" s="5">
        <f>SUM(U183:U184)</f>
        <v>0</v>
      </c>
      <c r="V185" s="5">
        <f>SUM(V183:V184)</f>
        <v>2</v>
      </c>
    </row>
    <row r="187" spans="1:22" x14ac:dyDescent="0.4">
      <c r="A187" s="16" t="s">
        <v>83</v>
      </c>
      <c r="B187" s="56" t="s">
        <v>84</v>
      </c>
      <c r="C187" s="57"/>
      <c r="D187" s="58"/>
      <c r="E187" s="5"/>
      <c r="F187" s="5"/>
      <c r="G187" s="5"/>
      <c r="H187" s="5"/>
      <c r="I187" s="5"/>
      <c r="J187" s="5"/>
      <c r="K187" s="5"/>
      <c r="L187" s="5"/>
      <c r="M187" s="5"/>
      <c r="N187" s="15"/>
      <c r="O187" s="5"/>
      <c r="P187" s="5"/>
      <c r="Q187" s="5"/>
      <c r="R187" s="5"/>
      <c r="S187" s="5"/>
      <c r="T187" s="5"/>
      <c r="U187" s="5"/>
      <c r="V187" s="5"/>
    </row>
    <row r="188" spans="1:22" x14ac:dyDescent="0.4">
      <c r="A188" s="16"/>
      <c r="B188" s="19" t="s">
        <v>85</v>
      </c>
      <c r="C188" s="51" t="s">
        <v>86</v>
      </c>
      <c r="D188" s="52"/>
      <c r="E188" s="6">
        <f>E52+E61+E70+E79+E88+E92+E101+E110+E119+E128+E131+E140+E149+E158+E163+E172+E181+E185</f>
        <v>114</v>
      </c>
      <c r="F188" s="6">
        <f>F52+F61+F70+F79+F88+F92+F101+F110+F119+F128+F131+F140+F149+F158+F163+F172+F181+F185</f>
        <v>164</v>
      </c>
      <c r="G188" s="6">
        <f>G52+G61+G70+G79+G88+G92+G101+G110+G119+G128+G131+G140+G149+G158+G163+G172+G181+G185</f>
        <v>115</v>
      </c>
      <c r="H188" s="6">
        <f>H52+H61+H70+H79+H88+H92+H101+H110+H119+H128+H131+H140+H149+H158+H163+H172+H181+H185</f>
        <v>219</v>
      </c>
      <c r="I188" s="6">
        <f>I52+I61+I70+I79+I88+I92+I101+I110+I119+I128+I131+I140+I149+I158+I163+I172+I181+I185</f>
        <v>200</v>
      </c>
      <c r="J188" s="6">
        <f>J52+J61+J70+J79+J88+J92+J101+J110+J119+J128+J131+J140+J149+J158+J163+J172+J181+J185</f>
        <v>174</v>
      </c>
      <c r="K188" s="6">
        <f>K52+K61+K70+K79+K88+K92+K101+K110+K119+K128+K131+K140+K149+K158+K163+K172+K181+K185</f>
        <v>243</v>
      </c>
      <c r="L188" s="6">
        <f>L52+L61+L70+L79+L88+L92+L101+L110+L119+L128+L131+L140+L149+L158+L163+L172+L181+L185</f>
        <v>179</v>
      </c>
      <c r="M188" s="6">
        <f>M52+M61+M70+M79+M88+M92+M101+M110+M119+M128+M131+M140+M149+M158+M163+M172+M181+M185</f>
        <v>181</v>
      </c>
      <c r="N188" s="6">
        <f>N52+N61+N70+N79+N88+N92+N101+N110+N119+N128+N131+N140+N149+N158+N163+N172+N181+N185</f>
        <v>190</v>
      </c>
      <c r="O188" s="6">
        <f>O52+O61+O70+O79+O88+O92+O101+O110+O119+O128+O131+O140+O149+O158+O163+O172+O181+O185</f>
        <v>229</v>
      </c>
      <c r="P188" s="6">
        <f>P52+P61+P70+P79+P88+P92+P101+P110+P119+P128+P131+P140+P149+P158+P163+P172+P181+P185</f>
        <v>178</v>
      </c>
      <c r="Q188" s="6">
        <f>Q52+Q61+Q70+Q79+Q88+Q92+Q101+Q110+Q119+Q128+Q131+Q140+Q149+Q158+Q163+Q172+Q181+Q185</f>
        <v>212</v>
      </c>
      <c r="R188" s="6">
        <f>R52+R61+R70+R79+R88+R92+R101+R110+R119+R128+R131+R140+R149+R158+R163+R172+R181+R185</f>
        <v>209</v>
      </c>
      <c r="S188" s="6">
        <f>S52+S61+S70+S79+S88+S92+S101+S110+S119+S128+S131+S140+S149+S158+S163+S172+S181+S185</f>
        <v>193</v>
      </c>
      <c r="T188" s="6">
        <f>T52+T61+T70+T79+T88+T92+T101+T110+T119+T128+T131+T140+T149+T158+T163+T172+T181+T185</f>
        <v>195</v>
      </c>
      <c r="U188" s="6">
        <f>U52+U61+U70+U79+U88+U92+U101+U110+U119+U128+U131+U140+U149+U158+U163+U172+U181+U185</f>
        <v>216</v>
      </c>
      <c r="V188" s="5">
        <f>SUM(E188:U188)</f>
        <v>3211</v>
      </c>
    </row>
    <row r="189" spans="1:22" x14ac:dyDescent="0.4">
      <c r="A189" s="13"/>
      <c r="B189" s="19" t="s">
        <v>87</v>
      </c>
      <c r="C189" s="51" t="s">
        <v>88</v>
      </c>
      <c r="D189" s="52"/>
      <c r="E189" s="6">
        <v>16</v>
      </c>
      <c r="F189" s="6">
        <v>10</v>
      </c>
      <c r="G189" s="6">
        <v>1</v>
      </c>
      <c r="H189" s="6">
        <v>11</v>
      </c>
      <c r="I189" s="6">
        <v>10</v>
      </c>
      <c r="J189" s="6">
        <v>12</v>
      </c>
      <c r="K189" s="6">
        <v>12</v>
      </c>
      <c r="L189" s="6">
        <v>6</v>
      </c>
      <c r="M189" s="6">
        <v>14</v>
      </c>
      <c r="N189" s="6">
        <v>15</v>
      </c>
      <c r="O189" s="6">
        <v>9</v>
      </c>
      <c r="P189" s="6">
        <v>27</v>
      </c>
      <c r="Q189" s="6">
        <v>14</v>
      </c>
      <c r="R189" s="6">
        <v>16</v>
      </c>
      <c r="S189" s="6">
        <v>10</v>
      </c>
      <c r="T189" s="6">
        <v>16</v>
      </c>
      <c r="U189" s="6">
        <v>6</v>
      </c>
      <c r="V189" s="5">
        <f>SUM(E189:U189)</f>
        <v>205</v>
      </c>
    </row>
    <row r="190" spans="1:22" x14ac:dyDescent="0.4">
      <c r="A190" s="14"/>
      <c r="B190" s="19" t="s">
        <v>89</v>
      </c>
      <c r="C190" s="51" t="s">
        <v>90</v>
      </c>
      <c r="D190" s="52"/>
      <c r="E190" s="5">
        <f>SUM(E188:E189)</f>
        <v>130</v>
      </c>
      <c r="F190" s="5">
        <f t="shared" ref="F190:N190" si="35">SUM(F188:F189)</f>
        <v>174</v>
      </c>
      <c r="G190" s="5">
        <f t="shared" si="35"/>
        <v>116</v>
      </c>
      <c r="H190" s="5">
        <f t="shared" si="35"/>
        <v>230</v>
      </c>
      <c r="I190" s="5">
        <f t="shared" si="35"/>
        <v>210</v>
      </c>
      <c r="J190" s="5">
        <f t="shared" si="35"/>
        <v>186</v>
      </c>
      <c r="K190" s="5">
        <f t="shared" si="35"/>
        <v>255</v>
      </c>
      <c r="L190" s="5">
        <f t="shared" si="35"/>
        <v>185</v>
      </c>
      <c r="M190" s="5">
        <f t="shared" si="35"/>
        <v>195</v>
      </c>
      <c r="N190" s="5">
        <f t="shared" si="35"/>
        <v>205</v>
      </c>
      <c r="O190" s="5">
        <f t="shared" ref="O190:U190" si="36">SUM(O188:O189)</f>
        <v>238</v>
      </c>
      <c r="P190" s="5">
        <f t="shared" si="36"/>
        <v>205</v>
      </c>
      <c r="Q190" s="5">
        <f t="shared" si="36"/>
        <v>226</v>
      </c>
      <c r="R190" s="5">
        <f t="shared" si="36"/>
        <v>225</v>
      </c>
      <c r="S190" s="5">
        <f t="shared" si="36"/>
        <v>203</v>
      </c>
      <c r="T190" s="5">
        <f t="shared" si="36"/>
        <v>211</v>
      </c>
      <c r="U190" s="5">
        <f t="shared" si="36"/>
        <v>222</v>
      </c>
      <c r="V190" s="5">
        <f>SUM(E190:U190)</f>
        <v>3416</v>
      </c>
    </row>
  </sheetData>
  <mergeCells count="87">
    <mergeCell ref="A17:D17"/>
    <mergeCell ref="B18:D18"/>
    <mergeCell ref="B19:B21"/>
    <mergeCell ref="C19:C21"/>
    <mergeCell ref="B22:B24"/>
    <mergeCell ref="C22:C24"/>
    <mergeCell ref="B12:D12"/>
    <mergeCell ref="E12:U12"/>
    <mergeCell ref="V12:V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U37"/>
    <mergeCell ref="B38:D38"/>
    <mergeCell ref="A42:D42"/>
    <mergeCell ref="E42:U42"/>
    <mergeCell ref="B43:D43"/>
    <mergeCell ref="B39:C41"/>
    <mergeCell ref="A44:D44"/>
    <mergeCell ref="C45:D45"/>
    <mergeCell ref="C81:D81"/>
    <mergeCell ref="B52:D52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112:D112"/>
    <mergeCell ref="B88:D88"/>
    <mergeCell ref="A89:E89"/>
    <mergeCell ref="C90:D90"/>
    <mergeCell ref="B92:D92"/>
    <mergeCell ref="A93:E93"/>
    <mergeCell ref="C94:D94"/>
    <mergeCell ref="B101:D101"/>
    <mergeCell ref="A102:E102"/>
    <mergeCell ref="C103:D103"/>
    <mergeCell ref="B110:D110"/>
    <mergeCell ref="A111:E111"/>
    <mergeCell ref="C91:D91"/>
    <mergeCell ref="C142:D142"/>
    <mergeCell ref="B119:D119"/>
    <mergeCell ref="A120:E120"/>
    <mergeCell ref="C121:D121"/>
    <mergeCell ref="B128:D128"/>
    <mergeCell ref="A129:E129"/>
    <mergeCell ref="C130:D130"/>
    <mergeCell ref="B131:D131"/>
    <mergeCell ref="A132:E132"/>
    <mergeCell ref="C133:D133"/>
    <mergeCell ref="B140:D140"/>
    <mergeCell ref="A141:E141"/>
    <mergeCell ref="C189:D189"/>
    <mergeCell ref="C190:D190"/>
    <mergeCell ref="B181:D181"/>
    <mergeCell ref="A182:E182"/>
    <mergeCell ref="C183:D183"/>
    <mergeCell ref="B185:D185"/>
    <mergeCell ref="B187:D187"/>
    <mergeCell ref="C188:D188"/>
    <mergeCell ref="C174:D174"/>
    <mergeCell ref="B149:D149"/>
    <mergeCell ref="A150:E150"/>
    <mergeCell ref="C151:D151"/>
    <mergeCell ref="B158:D158"/>
    <mergeCell ref="A159:E159"/>
    <mergeCell ref="C160:D160"/>
    <mergeCell ref="B163:D163"/>
    <mergeCell ref="A164:E164"/>
    <mergeCell ref="C165:D165"/>
    <mergeCell ref="B172:D172"/>
    <mergeCell ref="A173:E173"/>
  </mergeCells>
  <phoneticPr fontId="8" type="noConversion"/>
  <conditionalFormatting sqref="E14:U15 E19:U20 E22:U23 E25:U26 E33:U33 E35:U35 E45:U51 E54:U60 E63:U69 E72:U78 E81:U87 E90:U91 E112:U118 E121:U127 E133:U139 E151:U157 E160:U162 E174:U180 E188:U189 E39:U40 E94:U100 E103:U109 E130:U130 E142:U148 E165:U171 E183:U184">
    <cfRule type="containsBlanks" dxfId="264" priority="21">
      <formula>LEN(TRIM(E14))=0</formula>
    </cfRule>
  </conditionalFormatting>
  <conditionalFormatting sqref="E30:U30">
    <cfRule type="expression" dxfId="263" priority="26">
      <formula>E30&lt;&gt;E47</formula>
    </cfRule>
    <cfRule type="expression" dxfId="262" priority="27">
      <formula>E30&lt;&gt;E34</formula>
    </cfRule>
  </conditionalFormatting>
  <conditionalFormatting sqref="E34:U34">
    <cfRule type="expression" dxfId="261" priority="149">
      <formula>E30&lt;&gt;E34</formula>
    </cfRule>
    <cfRule type="expression" dxfId="260" priority="150">
      <formula>E30=E34</formula>
    </cfRule>
    <cfRule type="expression" dxfId="259" priority="151">
      <formula>E34&lt;&gt;E30</formula>
    </cfRule>
    <cfRule type="expression" dxfId="258" priority="152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FD6-8239-4E01-9C1D-06A4A085E946}">
  <sheetPr>
    <tabColor rgb="FF92D050"/>
  </sheetPr>
  <dimension ref="A2:T190"/>
  <sheetViews>
    <sheetView topLeftCell="B13" zoomScale="85" zoomScaleNormal="85" workbookViewId="0">
      <pane ySplit="1" topLeftCell="A179" activePane="bottomLeft" state="frozen"/>
      <selection activeCell="E14" sqref="E14"/>
      <selection pane="bottomLeft" activeCell="F189" sqref="F189"/>
    </sheetView>
  </sheetViews>
  <sheetFormatPr defaultRowHeight="13.15" x14ac:dyDescent="0.4"/>
  <cols>
    <col min="3" max="3" width="67.140625" bestFit="1" customWidth="1"/>
    <col min="4" max="4" width="5.85546875" bestFit="1" customWidth="1"/>
    <col min="20" max="20" width="13.28515625" customWidth="1"/>
  </cols>
  <sheetData>
    <row r="2" spans="1:20" x14ac:dyDescent="0.4">
      <c r="C2" s="43" t="s">
        <v>98</v>
      </c>
      <c r="D2" s="43" t="s">
        <v>105</v>
      </c>
    </row>
    <row r="3" spans="1:20" x14ac:dyDescent="0.4">
      <c r="C3" s="43" t="s">
        <v>99</v>
      </c>
      <c r="D3" s="43" t="s">
        <v>100</v>
      </c>
    </row>
    <row r="4" spans="1:20" x14ac:dyDescent="0.4">
      <c r="C4" s="43" t="s">
        <v>101</v>
      </c>
      <c r="D4" s="43" t="s">
        <v>102</v>
      </c>
    </row>
    <row r="5" spans="1:20" x14ac:dyDescent="0.4">
      <c r="C5" s="43"/>
      <c r="D5" s="43"/>
    </row>
    <row r="6" spans="1:20" x14ac:dyDescent="0.4">
      <c r="C6" s="43"/>
      <c r="D6" s="43"/>
    </row>
    <row r="7" spans="1:20" x14ac:dyDescent="0.4">
      <c r="C7" s="43"/>
      <c r="D7" s="43"/>
    </row>
    <row r="8" spans="1:20" x14ac:dyDescent="0.4">
      <c r="C8" s="43"/>
      <c r="D8" s="43"/>
    </row>
    <row r="9" spans="1:20" x14ac:dyDescent="0.4">
      <c r="C9" s="43" t="s">
        <v>103</v>
      </c>
      <c r="D9" s="43" t="s">
        <v>194</v>
      </c>
    </row>
    <row r="11" spans="1:20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0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2" t="s">
        <v>97</v>
      </c>
    </row>
    <row r="13" spans="1:20" x14ac:dyDescent="0.4">
      <c r="A13" s="6" t="s">
        <v>2</v>
      </c>
      <c r="B13" s="78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93"/>
    </row>
    <row r="14" spans="1:20" x14ac:dyDescent="0.4">
      <c r="A14" s="7"/>
      <c r="B14" s="81" t="s">
        <v>22</v>
      </c>
      <c r="C14" s="68"/>
      <c r="D14" s="6" t="s">
        <v>23</v>
      </c>
      <c r="E14" s="6">
        <v>133</v>
      </c>
      <c r="F14" s="6">
        <v>134</v>
      </c>
      <c r="G14" s="6">
        <v>113</v>
      </c>
      <c r="H14" s="6">
        <v>131</v>
      </c>
      <c r="I14" s="6">
        <v>63</v>
      </c>
      <c r="J14" s="6">
        <v>107</v>
      </c>
      <c r="K14" s="6">
        <v>122</v>
      </c>
      <c r="L14" s="6">
        <v>112</v>
      </c>
      <c r="M14" s="6">
        <v>141</v>
      </c>
      <c r="N14" s="6">
        <v>149</v>
      </c>
      <c r="O14" s="6">
        <v>127</v>
      </c>
      <c r="P14" s="6">
        <v>137</v>
      </c>
      <c r="Q14" s="6">
        <v>137</v>
      </c>
      <c r="R14" s="6">
        <v>107</v>
      </c>
      <c r="S14" s="6">
        <v>144</v>
      </c>
      <c r="T14" s="5">
        <f>SUM(E14:S14)</f>
        <v>1857</v>
      </c>
    </row>
    <row r="15" spans="1:20" x14ac:dyDescent="0.4">
      <c r="A15" s="7"/>
      <c r="B15" s="82"/>
      <c r="C15" s="75"/>
      <c r="D15" s="6" t="s">
        <v>24</v>
      </c>
      <c r="E15" s="6">
        <v>139</v>
      </c>
      <c r="F15" s="6">
        <v>128</v>
      </c>
      <c r="G15" s="6">
        <v>111</v>
      </c>
      <c r="H15" s="6">
        <v>134</v>
      </c>
      <c r="I15" s="6">
        <v>75</v>
      </c>
      <c r="J15" s="6">
        <v>130</v>
      </c>
      <c r="K15" s="6">
        <v>117</v>
      </c>
      <c r="L15" s="6">
        <v>115</v>
      </c>
      <c r="M15" s="6">
        <v>117</v>
      </c>
      <c r="N15" s="6">
        <v>138</v>
      </c>
      <c r="O15" s="6">
        <v>141</v>
      </c>
      <c r="P15" s="6">
        <v>130</v>
      </c>
      <c r="Q15" s="6">
        <v>130</v>
      </c>
      <c r="R15" s="6">
        <v>99</v>
      </c>
      <c r="S15" s="6">
        <v>129</v>
      </c>
      <c r="T15" s="5">
        <f>SUM(E15:S15)</f>
        <v>1833</v>
      </c>
    </row>
    <row r="16" spans="1:20" x14ac:dyDescent="0.4">
      <c r="A16" s="8"/>
      <c r="B16" s="80"/>
      <c r="C16" s="76"/>
      <c r="D16" s="5" t="s">
        <v>25</v>
      </c>
      <c r="E16" s="5">
        <f t="shared" ref="E16:S16" si="0">SUM(E14:E15)</f>
        <v>272</v>
      </c>
      <c r="F16" s="5">
        <f t="shared" ref="F16:K16" si="1">SUM(F14:F15)</f>
        <v>262</v>
      </c>
      <c r="G16" s="5">
        <f t="shared" si="1"/>
        <v>224</v>
      </c>
      <c r="H16" s="5">
        <f t="shared" si="1"/>
        <v>265</v>
      </c>
      <c r="I16" s="5">
        <f t="shared" si="1"/>
        <v>138</v>
      </c>
      <c r="J16" s="5">
        <f t="shared" si="1"/>
        <v>237</v>
      </c>
      <c r="K16" s="5">
        <f t="shared" si="1"/>
        <v>239</v>
      </c>
      <c r="L16" s="5">
        <f t="shared" si="0"/>
        <v>227</v>
      </c>
      <c r="M16" s="5">
        <f t="shared" si="0"/>
        <v>258</v>
      </c>
      <c r="N16" s="5">
        <f t="shared" si="0"/>
        <v>287</v>
      </c>
      <c r="O16" s="5">
        <f t="shared" si="0"/>
        <v>268</v>
      </c>
      <c r="P16" s="5">
        <f t="shared" ref="P16:R16" si="2">SUM(P14:P15)</f>
        <v>267</v>
      </c>
      <c r="Q16" s="5">
        <f t="shared" ref="Q16" si="3">SUM(Q14:Q15)</f>
        <v>267</v>
      </c>
      <c r="R16" s="5">
        <f t="shared" si="2"/>
        <v>206</v>
      </c>
      <c r="S16" s="5">
        <f t="shared" si="0"/>
        <v>273</v>
      </c>
      <c r="T16" s="5">
        <f>SUM(E16:S16)</f>
        <v>3690</v>
      </c>
    </row>
    <row r="17" spans="1:20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28"/>
    </row>
    <row r="18" spans="1:20" x14ac:dyDescent="0.4">
      <c r="A18" s="11" t="s">
        <v>26</v>
      </c>
      <c r="B18" s="78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28"/>
    </row>
    <row r="19" spans="1:20" x14ac:dyDescent="0.4">
      <c r="A19" s="11"/>
      <c r="B19" s="83" t="s">
        <v>28</v>
      </c>
      <c r="C19" s="84" t="s">
        <v>29</v>
      </c>
      <c r="D19" s="6" t="s">
        <v>23</v>
      </c>
      <c r="E19" s="6">
        <v>108</v>
      </c>
      <c r="F19" s="6">
        <v>88</v>
      </c>
      <c r="G19" s="6">
        <v>82</v>
      </c>
      <c r="H19" s="6">
        <v>102</v>
      </c>
      <c r="I19" s="6">
        <v>46</v>
      </c>
      <c r="J19" s="6">
        <v>90</v>
      </c>
      <c r="K19" s="6">
        <v>94</v>
      </c>
      <c r="L19" s="6">
        <v>78</v>
      </c>
      <c r="M19" s="6">
        <v>87</v>
      </c>
      <c r="N19" s="6">
        <v>113</v>
      </c>
      <c r="O19" s="6">
        <v>101</v>
      </c>
      <c r="P19" s="6">
        <v>103</v>
      </c>
      <c r="Q19" s="6">
        <v>103</v>
      </c>
      <c r="R19" s="6">
        <v>94</v>
      </c>
      <c r="S19" s="6">
        <v>122</v>
      </c>
      <c r="T19" s="5">
        <f t="shared" ref="T19:T30" si="4">SUM(E19:S19)</f>
        <v>1411</v>
      </c>
    </row>
    <row r="20" spans="1:20" x14ac:dyDescent="0.4">
      <c r="A20" s="12"/>
      <c r="B20" s="75"/>
      <c r="C20" s="85"/>
      <c r="D20" s="6" t="s">
        <v>24</v>
      </c>
      <c r="E20" s="6">
        <v>119</v>
      </c>
      <c r="F20" s="6">
        <v>92</v>
      </c>
      <c r="G20" s="6">
        <v>77</v>
      </c>
      <c r="H20" s="6">
        <v>111</v>
      </c>
      <c r="I20" s="6">
        <v>58</v>
      </c>
      <c r="J20" s="6">
        <v>113</v>
      </c>
      <c r="K20" s="6">
        <v>105</v>
      </c>
      <c r="L20" s="6">
        <v>93</v>
      </c>
      <c r="M20" s="6">
        <v>86</v>
      </c>
      <c r="N20" s="6">
        <v>117</v>
      </c>
      <c r="O20" s="6">
        <v>120</v>
      </c>
      <c r="P20" s="6">
        <v>115</v>
      </c>
      <c r="Q20" s="6">
        <v>115</v>
      </c>
      <c r="R20" s="6">
        <v>91</v>
      </c>
      <c r="S20" s="6">
        <v>113</v>
      </c>
      <c r="T20" s="5">
        <f t="shared" si="4"/>
        <v>1525</v>
      </c>
    </row>
    <row r="21" spans="1:20" x14ac:dyDescent="0.4">
      <c r="A21" s="13"/>
      <c r="B21" s="76"/>
      <c r="C21" s="86"/>
      <c r="D21" s="5" t="s">
        <v>25</v>
      </c>
      <c r="E21" s="5">
        <f t="shared" ref="E21:S21" si="5">SUM(E19:E20)</f>
        <v>227</v>
      </c>
      <c r="F21" s="5">
        <f t="shared" ref="F21:K21" si="6">SUM(F19:F20)</f>
        <v>180</v>
      </c>
      <c r="G21" s="5">
        <f t="shared" si="6"/>
        <v>159</v>
      </c>
      <c r="H21" s="5">
        <f t="shared" si="6"/>
        <v>213</v>
      </c>
      <c r="I21" s="5">
        <f t="shared" si="6"/>
        <v>104</v>
      </c>
      <c r="J21" s="5">
        <f t="shared" si="6"/>
        <v>203</v>
      </c>
      <c r="K21" s="5">
        <f t="shared" si="6"/>
        <v>199</v>
      </c>
      <c r="L21" s="5">
        <f t="shared" si="5"/>
        <v>171</v>
      </c>
      <c r="M21" s="5">
        <f t="shared" si="5"/>
        <v>173</v>
      </c>
      <c r="N21" s="5">
        <f t="shared" si="5"/>
        <v>230</v>
      </c>
      <c r="O21" s="5">
        <f t="shared" si="5"/>
        <v>221</v>
      </c>
      <c r="P21" s="5">
        <f t="shared" ref="P21:R21" si="7">SUM(P19:P20)</f>
        <v>218</v>
      </c>
      <c r="Q21" s="5">
        <f t="shared" ref="Q21" si="8">SUM(Q19:Q20)</f>
        <v>218</v>
      </c>
      <c r="R21" s="5">
        <f t="shared" si="7"/>
        <v>185</v>
      </c>
      <c r="S21" s="5">
        <f t="shared" si="5"/>
        <v>235</v>
      </c>
      <c r="T21" s="5">
        <f t="shared" si="4"/>
        <v>2936</v>
      </c>
    </row>
    <row r="22" spans="1:20" x14ac:dyDescent="0.4">
      <c r="A22" s="12"/>
      <c r="B22" s="83" t="s">
        <v>30</v>
      </c>
      <c r="C22" s="84" t="s">
        <v>31</v>
      </c>
      <c r="D22" s="6" t="s">
        <v>23</v>
      </c>
      <c r="E22" s="6">
        <v>1</v>
      </c>
      <c r="F22" s="6">
        <v>2</v>
      </c>
      <c r="G22" s="6">
        <v>0</v>
      </c>
      <c r="H22" s="6">
        <v>0</v>
      </c>
      <c r="I22" s="6">
        <v>0</v>
      </c>
      <c r="J22" s="6">
        <v>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1</v>
      </c>
      <c r="S22" s="6">
        <v>0</v>
      </c>
      <c r="T22" s="5">
        <f t="shared" si="4"/>
        <v>5</v>
      </c>
    </row>
    <row r="23" spans="1:20" x14ac:dyDescent="0.4">
      <c r="A23" s="12"/>
      <c r="B23" s="75"/>
      <c r="C23" s="85"/>
      <c r="D23" s="6" t="s">
        <v>24</v>
      </c>
      <c r="E23" s="6">
        <v>1</v>
      </c>
      <c r="F23" s="6">
        <v>3</v>
      </c>
      <c r="G23" s="6">
        <v>0</v>
      </c>
      <c r="H23" s="6">
        <v>1</v>
      </c>
      <c r="I23" s="6">
        <v>0</v>
      </c>
      <c r="J23" s="6">
        <v>1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1</v>
      </c>
      <c r="S23" s="6">
        <v>0</v>
      </c>
      <c r="T23" s="5">
        <f t="shared" si="4"/>
        <v>7</v>
      </c>
    </row>
    <row r="24" spans="1:20" x14ac:dyDescent="0.4">
      <c r="A24" s="13"/>
      <c r="B24" s="76"/>
      <c r="C24" s="86"/>
      <c r="D24" s="5" t="s">
        <v>25</v>
      </c>
      <c r="E24" s="5">
        <f t="shared" ref="E24:S24" si="9">SUM(E22:E23)</f>
        <v>2</v>
      </c>
      <c r="F24" s="5">
        <f t="shared" ref="F24:K24" si="10">SUM(F22:F23)</f>
        <v>5</v>
      </c>
      <c r="G24" s="5">
        <f t="shared" si="10"/>
        <v>0</v>
      </c>
      <c r="H24" s="5">
        <f t="shared" si="10"/>
        <v>1</v>
      </c>
      <c r="I24" s="5">
        <f t="shared" si="10"/>
        <v>0</v>
      </c>
      <c r="J24" s="5">
        <f t="shared" si="10"/>
        <v>2</v>
      </c>
      <c r="K24" s="5">
        <f t="shared" si="10"/>
        <v>0</v>
      </c>
      <c r="L24" s="5">
        <f t="shared" si="9"/>
        <v>0</v>
      </c>
      <c r="M24" s="5">
        <f t="shared" si="9"/>
        <v>0</v>
      </c>
      <c r="N24" s="5">
        <f t="shared" si="9"/>
        <v>0</v>
      </c>
      <c r="O24" s="5">
        <f t="shared" si="9"/>
        <v>0</v>
      </c>
      <c r="P24" s="5">
        <f t="shared" ref="P24:R24" si="11">SUM(P22:P23)</f>
        <v>0</v>
      </c>
      <c r="Q24" s="5">
        <f t="shared" ref="Q24" si="12">SUM(Q22:Q23)</f>
        <v>0</v>
      </c>
      <c r="R24" s="5">
        <f t="shared" si="11"/>
        <v>2</v>
      </c>
      <c r="S24" s="5">
        <f t="shared" si="9"/>
        <v>0</v>
      </c>
      <c r="T24" s="5">
        <f t="shared" si="4"/>
        <v>12</v>
      </c>
    </row>
    <row r="25" spans="1:20" x14ac:dyDescent="0.4">
      <c r="A25" s="12"/>
      <c r="B25" s="83" t="s">
        <v>32</v>
      </c>
      <c r="C25" s="84" t="s">
        <v>33</v>
      </c>
      <c r="D25" s="6" t="s">
        <v>23</v>
      </c>
      <c r="E25" s="6">
        <v>1</v>
      </c>
      <c r="F25" s="6">
        <v>0</v>
      </c>
      <c r="G25" s="6">
        <v>1</v>
      </c>
      <c r="H25" s="6">
        <v>0</v>
      </c>
      <c r="I25" s="6">
        <v>0</v>
      </c>
      <c r="J25" s="6">
        <v>2</v>
      </c>
      <c r="K25" s="6">
        <v>0</v>
      </c>
      <c r="L25" s="6">
        <v>1</v>
      </c>
      <c r="M25" s="6">
        <v>1</v>
      </c>
      <c r="N25" s="6">
        <v>0</v>
      </c>
      <c r="O25" s="6">
        <v>1</v>
      </c>
      <c r="P25" s="6">
        <v>0</v>
      </c>
      <c r="Q25" s="6">
        <v>0</v>
      </c>
      <c r="R25" s="6">
        <v>1</v>
      </c>
      <c r="S25" s="6">
        <v>2</v>
      </c>
      <c r="T25" s="5">
        <f t="shared" si="4"/>
        <v>10</v>
      </c>
    </row>
    <row r="26" spans="1:20" x14ac:dyDescent="0.4">
      <c r="A26" s="12"/>
      <c r="B26" s="75"/>
      <c r="C26" s="85"/>
      <c r="D26" s="6" t="s">
        <v>24</v>
      </c>
      <c r="E26" s="6">
        <v>0</v>
      </c>
      <c r="F26" s="6">
        <v>1</v>
      </c>
      <c r="G26" s="6">
        <v>0</v>
      </c>
      <c r="H26" s="6">
        <v>0</v>
      </c>
      <c r="I26" s="6">
        <v>0</v>
      </c>
      <c r="J26" s="6">
        <v>2</v>
      </c>
      <c r="K26" s="6">
        <v>0</v>
      </c>
      <c r="L26" s="6">
        <v>2</v>
      </c>
      <c r="M26" s="6">
        <v>0</v>
      </c>
      <c r="N26" s="6">
        <v>0</v>
      </c>
      <c r="O26" s="6">
        <v>3</v>
      </c>
      <c r="P26" s="6">
        <v>0</v>
      </c>
      <c r="Q26" s="6">
        <v>0</v>
      </c>
      <c r="R26" s="6">
        <v>2</v>
      </c>
      <c r="S26" s="6">
        <v>5</v>
      </c>
      <c r="T26" s="5">
        <f t="shared" si="4"/>
        <v>15</v>
      </c>
    </row>
    <row r="27" spans="1:20" x14ac:dyDescent="0.4">
      <c r="A27" s="13"/>
      <c r="B27" s="76"/>
      <c r="C27" s="86"/>
      <c r="D27" s="5" t="s">
        <v>25</v>
      </c>
      <c r="E27" s="5">
        <f t="shared" ref="E27:S27" si="13">SUM(E25:E26)</f>
        <v>1</v>
      </c>
      <c r="F27" s="5">
        <f t="shared" ref="F27:K27" si="14">SUM(F25:F26)</f>
        <v>1</v>
      </c>
      <c r="G27" s="5">
        <f t="shared" si="14"/>
        <v>1</v>
      </c>
      <c r="H27" s="5">
        <f t="shared" si="14"/>
        <v>0</v>
      </c>
      <c r="I27" s="5">
        <f t="shared" si="14"/>
        <v>0</v>
      </c>
      <c r="J27" s="5">
        <f t="shared" si="14"/>
        <v>4</v>
      </c>
      <c r="K27" s="5">
        <f t="shared" si="14"/>
        <v>0</v>
      </c>
      <c r="L27" s="5">
        <f t="shared" si="13"/>
        <v>3</v>
      </c>
      <c r="M27" s="5">
        <f t="shared" si="13"/>
        <v>1</v>
      </c>
      <c r="N27" s="5">
        <f t="shared" si="13"/>
        <v>0</v>
      </c>
      <c r="O27" s="5">
        <f t="shared" si="13"/>
        <v>4</v>
      </c>
      <c r="P27" s="5">
        <f t="shared" ref="P27:R27" si="15">SUM(P25:P26)</f>
        <v>0</v>
      </c>
      <c r="Q27" s="5">
        <f t="shared" ref="Q27" si="16">SUM(Q25:Q26)</f>
        <v>0</v>
      </c>
      <c r="R27" s="5">
        <f t="shared" si="15"/>
        <v>3</v>
      </c>
      <c r="S27" s="5">
        <f t="shared" si="13"/>
        <v>7</v>
      </c>
      <c r="T27" s="5">
        <f t="shared" si="4"/>
        <v>25</v>
      </c>
    </row>
    <row r="28" spans="1:20" x14ac:dyDescent="0.4">
      <c r="A28" s="13"/>
      <c r="B28" s="87" t="s">
        <v>34</v>
      </c>
      <c r="C28" s="88" t="s">
        <v>35</v>
      </c>
      <c r="D28" s="5" t="s">
        <v>23</v>
      </c>
      <c r="E28" s="5">
        <f>SUM(E19,E22,E25)</f>
        <v>110</v>
      </c>
      <c r="F28" s="5">
        <f t="shared" ref="F28:K28" si="17">SUM(F19,F22,F25)</f>
        <v>90</v>
      </c>
      <c r="G28" s="5">
        <f t="shared" si="17"/>
        <v>83</v>
      </c>
      <c r="H28" s="5">
        <f t="shared" si="17"/>
        <v>102</v>
      </c>
      <c r="I28" s="5">
        <f t="shared" si="17"/>
        <v>46</v>
      </c>
      <c r="J28" s="5">
        <f t="shared" si="17"/>
        <v>93</v>
      </c>
      <c r="K28" s="5">
        <f t="shared" si="17"/>
        <v>94</v>
      </c>
      <c r="L28" s="5">
        <f t="shared" ref="L28:S29" si="18">SUM(L19,L22,L25)</f>
        <v>79</v>
      </c>
      <c r="M28" s="5">
        <f t="shared" si="18"/>
        <v>88</v>
      </c>
      <c r="N28" s="5">
        <f t="shared" si="18"/>
        <v>113</v>
      </c>
      <c r="O28" s="5">
        <f t="shared" si="18"/>
        <v>102</v>
      </c>
      <c r="P28" s="5">
        <f t="shared" ref="P28:R28" si="19">SUM(P19,P22,P25)</f>
        <v>103</v>
      </c>
      <c r="Q28" s="5">
        <f t="shared" ref="Q28" si="20">SUM(Q19,Q22,Q25)</f>
        <v>103</v>
      </c>
      <c r="R28" s="5">
        <f t="shared" si="19"/>
        <v>96</v>
      </c>
      <c r="S28" s="5">
        <f t="shared" si="18"/>
        <v>124</v>
      </c>
      <c r="T28" s="5">
        <f t="shared" si="4"/>
        <v>1426</v>
      </c>
    </row>
    <row r="29" spans="1:20" x14ac:dyDescent="0.4">
      <c r="A29" s="13"/>
      <c r="B29" s="75"/>
      <c r="C29" s="85"/>
      <c r="D29" s="5" t="s">
        <v>24</v>
      </c>
      <c r="E29" s="5">
        <f>SUM(E20,E23,E26)</f>
        <v>120</v>
      </c>
      <c r="F29" s="5">
        <f t="shared" ref="F29:K29" si="21">SUM(F20,F23,F26)</f>
        <v>96</v>
      </c>
      <c r="G29" s="5">
        <f t="shared" si="21"/>
        <v>77</v>
      </c>
      <c r="H29" s="5">
        <f t="shared" si="21"/>
        <v>112</v>
      </c>
      <c r="I29" s="5">
        <f t="shared" si="21"/>
        <v>58</v>
      </c>
      <c r="J29" s="5">
        <f t="shared" si="21"/>
        <v>116</v>
      </c>
      <c r="K29" s="5">
        <f t="shared" si="21"/>
        <v>105</v>
      </c>
      <c r="L29" s="5">
        <f t="shared" si="18"/>
        <v>95</v>
      </c>
      <c r="M29" s="5">
        <f t="shared" si="18"/>
        <v>86</v>
      </c>
      <c r="N29" s="5">
        <f t="shared" si="18"/>
        <v>117</v>
      </c>
      <c r="O29" s="5">
        <f t="shared" si="18"/>
        <v>123</v>
      </c>
      <c r="P29" s="5">
        <f t="shared" ref="P29:R29" si="22">SUM(P20,P23,P26)</f>
        <v>115</v>
      </c>
      <c r="Q29" s="5">
        <f t="shared" ref="Q29" si="23">SUM(Q20,Q23,Q26)</f>
        <v>115</v>
      </c>
      <c r="R29" s="5">
        <f t="shared" si="22"/>
        <v>94</v>
      </c>
      <c r="S29" s="5">
        <f t="shared" si="18"/>
        <v>118</v>
      </c>
      <c r="T29" s="5">
        <f t="shared" si="4"/>
        <v>1547</v>
      </c>
    </row>
    <row r="30" spans="1:20" x14ac:dyDescent="0.4">
      <c r="A30" s="13"/>
      <c r="B30" s="76"/>
      <c r="C30" s="86"/>
      <c r="D30" s="5" t="s">
        <v>25</v>
      </c>
      <c r="E30" s="5">
        <f t="shared" ref="E30:S30" si="24">SUM(E28:E29)</f>
        <v>230</v>
      </c>
      <c r="F30" s="5">
        <f t="shared" ref="F30:K30" si="25">SUM(F28:F29)</f>
        <v>186</v>
      </c>
      <c r="G30" s="5">
        <f t="shared" si="25"/>
        <v>160</v>
      </c>
      <c r="H30" s="5">
        <f t="shared" si="25"/>
        <v>214</v>
      </c>
      <c r="I30" s="5">
        <f t="shared" si="25"/>
        <v>104</v>
      </c>
      <c r="J30" s="5">
        <f t="shared" si="25"/>
        <v>209</v>
      </c>
      <c r="K30" s="5">
        <f t="shared" si="25"/>
        <v>199</v>
      </c>
      <c r="L30" s="5">
        <f t="shared" si="24"/>
        <v>174</v>
      </c>
      <c r="M30" s="5">
        <f t="shared" si="24"/>
        <v>174</v>
      </c>
      <c r="N30" s="5">
        <f t="shared" si="24"/>
        <v>230</v>
      </c>
      <c r="O30" s="5">
        <f t="shared" si="24"/>
        <v>225</v>
      </c>
      <c r="P30" s="5">
        <f t="shared" ref="P30:R30" si="26">SUM(P28:P29)</f>
        <v>218</v>
      </c>
      <c r="Q30" s="5">
        <f t="shared" ref="Q30" si="27">SUM(Q28:Q29)</f>
        <v>218</v>
      </c>
      <c r="R30" s="5">
        <f t="shared" si="26"/>
        <v>190</v>
      </c>
      <c r="S30" s="5">
        <f t="shared" si="24"/>
        <v>242</v>
      </c>
      <c r="T30" s="5">
        <f t="shared" si="4"/>
        <v>2973</v>
      </c>
    </row>
    <row r="31" spans="1:20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28"/>
    </row>
    <row r="32" spans="1:20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28"/>
    </row>
    <row r="33" spans="1:20" x14ac:dyDescent="0.4">
      <c r="A33" s="6">
        <v>1</v>
      </c>
      <c r="B33" s="78" t="s">
        <v>38</v>
      </c>
      <c r="C33" s="69"/>
      <c r="D33" s="60"/>
      <c r="E33" s="6">
        <v>279</v>
      </c>
      <c r="F33" s="6">
        <v>268</v>
      </c>
      <c r="G33" s="6">
        <v>229</v>
      </c>
      <c r="H33" s="6">
        <v>271</v>
      </c>
      <c r="I33" s="6">
        <v>141</v>
      </c>
      <c r="J33" s="6">
        <v>242</v>
      </c>
      <c r="K33" s="6">
        <v>245</v>
      </c>
      <c r="L33" s="6">
        <v>232</v>
      </c>
      <c r="M33" s="6">
        <v>264</v>
      </c>
      <c r="N33" s="6">
        <v>293</v>
      </c>
      <c r="O33" s="6">
        <v>274</v>
      </c>
      <c r="P33" s="6">
        <v>273</v>
      </c>
      <c r="Q33" s="6">
        <v>273</v>
      </c>
      <c r="R33" s="6">
        <v>211</v>
      </c>
      <c r="S33" s="6">
        <v>279</v>
      </c>
      <c r="T33" s="5">
        <f>SUM(E33:S33)</f>
        <v>3774</v>
      </c>
    </row>
    <row r="34" spans="1:20" x14ac:dyDescent="0.4">
      <c r="A34" s="6">
        <v>2</v>
      </c>
      <c r="B34" s="78" t="s">
        <v>39</v>
      </c>
      <c r="C34" s="69"/>
      <c r="D34" s="60"/>
      <c r="E34" s="5">
        <v>230</v>
      </c>
      <c r="F34" s="5">
        <v>186</v>
      </c>
      <c r="G34" s="5">
        <v>160</v>
      </c>
      <c r="H34" s="5">
        <v>214</v>
      </c>
      <c r="I34" s="5">
        <v>104</v>
      </c>
      <c r="J34" s="5">
        <v>209</v>
      </c>
      <c r="K34" s="5">
        <v>199</v>
      </c>
      <c r="L34" s="5">
        <v>174</v>
      </c>
      <c r="M34" s="5">
        <v>174</v>
      </c>
      <c r="N34" s="5">
        <v>230</v>
      </c>
      <c r="O34" s="5">
        <v>225</v>
      </c>
      <c r="P34" s="5">
        <v>218</v>
      </c>
      <c r="Q34" s="5">
        <v>218</v>
      </c>
      <c r="R34" s="5">
        <v>190</v>
      </c>
      <c r="S34" s="5">
        <v>242</v>
      </c>
      <c r="T34" s="5">
        <f>SUM(E34:S34)</f>
        <v>2973</v>
      </c>
    </row>
    <row r="35" spans="1:20" x14ac:dyDescent="0.4">
      <c r="A35" s="6">
        <v>3</v>
      </c>
      <c r="B35" s="78" t="s">
        <v>40</v>
      </c>
      <c r="C35" s="69"/>
      <c r="D35" s="60"/>
      <c r="E35" s="6">
        <v>0</v>
      </c>
      <c r="F35" s="6">
        <v>0</v>
      </c>
      <c r="G35" s="6">
        <v>0</v>
      </c>
      <c r="H35" s="6">
        <v>1</v>
      </c>
      <c r="I35" s="6">
        <v>0</v>
      </c>
      <c r="J35" s="6">
        <v>1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1</v>
      </c>
      <c r="Q35" s="6">
        <v>1</v>
      </c>
      <c r="R35" s="6">
        <v>0</v>
      </c>
      <c r="S35" s="6">
        <v>1</v>
      </c>
      <c r="T35" s="5">
        <f>SUM(E35:S35)</f>
        <v>5</v>
      </c>
    </row>
    <row r="36" spans="1:20" x14ac:dyDescent="0.4">
      <c r="A36" s="6">
        <v>4</v>
      </c>
      <c r="B36" s="78" t="s">
        <v>41</v>
      </c>
      <c r="C36" s="69"/>
      <c r="D36" s="60"/>
      <c r="E36" s="5">
        <f t="shared" ref="E36:S36" si="28">E33-(E34+E35)</f>
        <v>49</v>
      </c>
      <c r="F36" s="5">
        <f t="shared" ref="F36:K36" si="29">F33-(F34+F35)</f>
        <v>82</v>
      </c>
      <c r="G36" s="5">
        <f t="shared" si="29"/>
        <v>69</v>
      </c>
      <c r="H36" s="5">
        <f t="shared" si="29"/>
        <v>56</v>
      </c>
      <c r="I36" s="5">
        <f t="shared" si="29"/>
        <v>37</v>
      </c>
      <c r="J36" s="5">
        <f t="shared" si="29"/>
        <v>32</v>
      </c>
      <c r="K36" s="5">
        <f t="shared" si="29"/>
        <v>46</v>
      </c>
      <c r="L36" s="5">
        <f t="shared" si="28"/>
        <v>58</v>
      </c>
      <c r="M36" s="5">
        <f t="shared" si="28"/>
        <v>90</v>
      </c>
      <c r="N36" s="5">
        <f t="shared" si="28"/>
        <v>63</v>
      </c>
      <c r="O36" s="5">
        <f t="shared" si="28"/>
        <v>49</v>
      </c>
      <c r="P36" s="5">
        <f t="shared" ref="P36:R36" si="30">P33-(P34+P35)</f>
        <v>54</v>
      </c>
      <c r="Q36" s="5">
        <f t="shared" ref="Q36" si="31">Q33-(Q34+Q35)</f>
        <v>54</v>
      </c>
      <c r="R36" s="5">
        <f t="shared" si="30"/>
        <v>21</v>
      </c>
      <c r="S36" s="5">
        <f t="shared" si="28"/>
        <v>36</v>
      </c>
      <c r="T36" s="5">
        <f>SUM(E36:S36)</f>
        <v>796</v>
      </c>
    </row>
    <row r="37" spans="1:20" x14ac:dyDescent="0.4">
      <c r="A37" s="61"/>
      <c r="B37" s="69"/>
      <c r="C37" s="69"/>
      <c r="D37" s="69"/>
      <c r="E37" s="61"/>
      <c r="F37" s="62"/>
      <c r="G37" s="62"/>
      <c r="H37" s="62"/>
      <c r="I37" s="62"/>
      <c r="J37" s="62"/>
      <c r="K37" s="62"/>
      <c r="L37" s="89"/>
      <c r="M37" s="89"/>
      <c r="N37" s="89"/>
      <c r="O37" s="94"/>
      <c r="P37" s="6"/>
      <c r="Q37" s="6"/>
      <c r="R37" s="6"/>
      <c r="S37" s="6"/>
      <c r="T37" s="28"/>
    </row>
    <row r="38" spans="1:20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28"/>
    </row>
    <row r="39" spans="1:20" x14ac:dyDescent="0.4">
      <c r="A39" s="11"/>
      <c r="B39" s="73" t="s">
        <v>44</v>
      </c>
      <c r="C39" s="68"/>
      <c r="D39" s="6" t="s">
        <v>23</v>
      </c>
      <c r="E39" s="6">
        <v>0</v>
      </c>
      <c r="F39" s="6">
        <v>0</v>
      </c>
      <c r="G39" s="6">
        <v>2</v>
      </c>
      <c r="H39" s="6">
        <v>1</v>
      </c>
      <c r="I39" s="6">
        <v>0</v>
      </c>
      <c r="J39" s="6">
        <v>1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5">
        <f>SUM(E39:S39)</f>
        <v>4</v>
      </c>
    </row>
    <row r="40" spans="1:20" x14ac:dyDescent="0.4">
      <c r="A40" s="12"/>
      <c r="B40" s="74"/>
      <c r="C40" s="75"/>
      <c r="D40" s="6" t="s">
        <v>24</v>
      </c>
      <c r="E40" s="6">
        <v>0</v>
      </c>
      <c r="F40" s="6">
        <v>0</v>
      </c>
      <c r="G40" s="6">
        <v>1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1</v>
      </c>
      <c r="T40" s="5">
        <f>SUM(E40:S40)</f>
        <v>2</v>
      </c>
    </row>
    <row r="41" spans="1:20" x14ac:dyDescent="0.4">
      <c r="A41" s="14"/>
      <c r="B41" s="71"/>
      <c r="C41" s="76"/>
      <c r="D41" s="5" t="s">
        <v>25</v>
      </c>
      <c r="E41" s="5">
        <f t="shared" ref="E41:S41" si="32">SUM(E39:E40)</f>
        <v>0</v>
      </c>
      <c r="F41" s="5">
        <f t="shared" ref="F41:K41" si="33">SUM(F39:F40)</f>
        <v>0</v>
      </c>
      <c r="G41" s="5">
        <f t="shared" si="33"/>
        <v>3</v>
      </c>
      <c r="H41" s="5">
        <f t="shared" si="33"/>
        <v>1</v>
      </c>
      <c r="I41" s="5">
        <f t="shared" si="33"/>
        <v>0</v>
      </c>
      <c r="J41" s="5">
        <f t="shared" si="33"/>
        <v>1</v>
      </c>
      <c r="K41" s="5">
        <f t="shared" si="33"/>
        <v>0</v>
      </c>
      <c r="L41" s="5">
        <f t="shared" si="32"/>
        <v>0</v>
      </c>
      <c r="M41" s="5">
        <f t="shared" si="32"/>
        <v>0</v>
      </c>
      <c r="N41" s="5">
        <f t="shared" si="32"/>
        <v>0</v>
      </c>
      <c r="O41" s="5">
        <f t="shared" si="32"/>
        <v>0</v>
      </c>
      <c r="P41" s="5">
        <f t="shared" ref="P41:R41" si="34">SUM(P39:P40)</f>
        <v>0</v>
      </c>
      <c r="Q41" s="5">
        <f t="shared" ref="Q41" si="35">SUM(Q39:Q40)</f>
        <v>0</v>
      </c>
      <c r="R41" s="5">
        <f t="shared" si="34"/>
        <v>0</v>
      </c>
      <c r="S41" s="5">
        <f t="shared" si="32"/>
        <v>1</v>
      </c>
      <c r="T41" s="5">
        <f>SUM(E41:S41)</f>
        <v>6</v>
      </c>
    </row>
    <row r="42" spans="1:20" x14ac:dyDescent="0.4">
      <c r="A42" s="70"/>
      <c r="B42" s="71"/>
      <c r="C42" s="71"/>
      <c r="D42" s="76"/>
      <c r="E42" s="61"/>
      <c r="F42" s="62"/>
      <c r="G42" s="62"/>
      <c r="H42" s="62"/>
      <c r="I42" s="62"/>
      <c r="J42" s="62"/>
      <c r="K42" s="62"/>
      <c r="L42" s="69"/>
      <c r="M42" s="69"/>
      <c r="N42" s="69"/>
      <c r="O42" s="60"/>
      <c r="P42" s="6"/>
      <c r="Q42" s="6"/>
      <c r="R42" s="6"/>
      <c r="S42" s="6"/>
      <c r="T42" s="5"/>
    </row>
    <row r="43" spans="1:20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3.15" customHeight="1" x14ac:dyDescent="0.4">
      <c r="A44" s="73" t="s">
        <v>47</v>
      </c>
      <c r="B44" s="77"/>
      <c r="C44" s="77"/>
      <c r="D44" s="68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5"/>
    </row>
    <row r="45" spans="1:20" x14ac:dyDescent="0.4">
      <c r="A45" s="11" t="s">
        <v>48</v>
      </c>
      <c r="B45" s="17" t="s">
        <v>28</v>
      </c>
      <c r="C45" s="59" t="s">
        <v>49</v>
      </c>
      <c r="D45" s="60"/>
      <c r="E45" s="6">
        <v>3</v>
      </c>
      <c r="F45" s="6">
        <v>5</v>
      </c>
      <c r="G45" s="6">
        <v>1</v>
      </c>
      <c r="H45" s="6">
        <v>3</v>
      </c>
      <c r="I45" s="6">
        <v>1</v>
      </c>
      <c r="J45" s="6">
        <v>3</v>
      </c>
      <c r="K45" s="6">
        <v>2</v>
      </c>
      <c r="L45" s="6">
        <v>5</v>
      </c>
      <c r="M45" s="6">
        <v>3</v>
      </c>
      <c r="N45" s="6">
        <v>13</v>
      </c>
      <c r="O45" s="6">
        <v>6</v>
      </c>
      <c r="P45" s="6">
        <v>7</v>
      </c>
      <c r="Q45" s="6">
        <v>7</v>
      </c>
      <c r="R45" s="6">
        <v>6</v>
      </c>
      <c r="S45" s="6">
        <v>8</v>
      </c>
      <c r="T45" s="5">
        <f t="shared" ref="T45:T51" si="36">SUM(E45:S45)</f>
        <v>73</v>
      </c>
    </row>
    <row r="46" spans="1:20" x14ac:dyDescent="0.4">
      <c r="A46" s="11" t="s">
        <v>50</v>
      </c>
      <c r="B46" s="46"/>
      <c r="C46" s="24" t="s">
        <v>106</v>
      </c>
      <c r="D46" s="47"/>
      <c r="E46" s="6">
        <v>48</v>
      </c>
      <c r="F46" s="6">
        <v>18</v>
      </c>
      <c r="G46" s="6">
        <v>6</v>
      </c>
      <c r="H46" s="6">
        <v>9</v>
      </c>
      <c r="I46" s="6">
        <v>0</v>
      </c>
      <c r="J46" s="6">
        <v>27</v>
      </c>
      <c r="K46" s="6">
        <v>24</v>
      </c>
      <c r="L46" s="6">
        <v>70</v>
      </c>
      <c r="M46" s="6">
        <v>29</v>
      </c>
      <c r="N46" s="6">
        <v>48</v>
      </c>
      <c r="O46" s="6">
        <v>34</v>
      </c>
      <c r="P46" s="6">
        <v>32</v>
      </c>
      <c r="Q46" s="6">
        <v>32</v>
      </c>
      <c r="R46" s="6">
        <v>61</v>
      </c>
      <c r="S46" s="6">
        <v>15</v>
      </c>
      <c r="T46" s="5">
        <f t="shared" si="36"/>
        <v>453</v>
      </c>
    </row>
    <row r="47" spans="1:20" x14ac:dyDescent="0.4">
      <c r="A47" s="7"/>
      <c r="B47" s="46"/>
      <c r="C47" s="24" t="s">
        <v>107</v>
      </c>
      <c r="D47" s="47"/>
      <c r="E47" s="6">
        <v>1</v>
      </c>
      <c r="F47" s="6">
        <v>0</v>
      </c>
      <c r="G47" s="6">
        <v>0</v>
      </c>
      <c r="H47" s="6">
        <v>0</v>
      </c>
      <c r="I47" s="6">
        <v>0</v>
      </c>
      <c r="J47" s="6">
        <v>4</v>
      </c>
      <c r="K47" s="6">
        <v>3</v>
      </c>
      <c r="L47" s="6">
        <v>1</v>
      </c>
      <c r="M47" s="6">
        <v>3</v>
      </c>
      <c r="N47" s="6">
        <v>0</v>
      </c>
      <c r="O47" s="6">
        <v>1</v>
      </c>
      <c r="P47" s="6">
        <v>1</v>
      </c>
      <c r="Q47" s="6">
        <v>1</v>
      </c>
      <c r="R47" s="6">
        <v>2</v>
      </c>
      <c r="S47" s="6">
        <v>2</v>
      </c>
      <c r="T47" s="5">
        <f t="shared" si="36"/>
        <v>19</v>
      </c>
    </row>
    <row r="48" spans="1:20" x14ac:dyDescent="0.4">
      <c r="A48" s="7"/>
      <c r="B48" s="46"/>
      <c r="C48" s="24" t="s">
        <v>108</v>
      </c>
      <c r="D48" s="47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5">
        <f t="shared" si="36"/>
        <v>0</v>
      </c>
    </row>
    <row r="49" spans="1:20" x14ac:dyDescent="0.4">
      <c r="A49" s="7"/>
      <c r="B49" s="46"/>
      <c r="C49" s="24" t="s">
        <v>109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1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5">
        <f t="shared" si="36"/>
        <v>1</v>
      </c>
    </row>
    <row r="50" spans="1:20" x14ac:dyDescent="0.4">
      <c r="A50" s="7"/>
      <c r="B50" s="46"/>
      <c r="C50" s="24" t="s">
        <v>110</v>
      </c>
      <c r="D50" s="47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3</v>
      </c>
      <c r="P50" s="6">
        <v>0</v>
      </c>
      <c r="Q50" s="6">
        <v>0</v>
      </c>
      <c r="R50" s="6">
        <v>0</v>
      </c>
      <c r="S50" s="6">
        <v>0</v>
      </c>
      <c r="T50" s="5">
        <f t="shared" si="36"/>
        <v>3</v>
      </c>
    </row>
    <row r="51" spans="1:20" x14ac:dyDescent="0.4">
      <c r="A51" s="7"/>
      <c r="B51" s="46"/>
      <c r="C51" s="24" t="s">
        <v>111</v>
      </c>
      <c r="D51" s="47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5">
        <f t="shared" si="36"/>
        <v>2</v>
      </c>
    </row>
    <row r="52" spans="1:20" x14ac:dyDescent="0.4">
      <c r="A52" s="6" t="s">
        <v>26</v>
      </c>
      <c r="B52" s="53" t="s">
        <v>51</v>
      </c>
      <c r="C52" s="69"/>
      <c r="D52" s="60"/>
      <c r="E52" s="5">
        <f>SUM(E45:E51)</f>
        <v>52</v>
      </c>
      <c r="F52" s="5">
        <f>SUM(F45:F51)</f>
        <v>23</v>
      </c>
      <c r="G52" s="5">
        <f>SUM(G45:G51)</f>
        <v>7</v>
      </c>
      <c r="H52" s="5">
        <f>SUM(H45:H51)</f>
        <v>12</v>
      </c>
      <c r="I52" s="5">
        <f>SUM(I45:I51)</f>
        <v>1</v>
      </c>
      <c r="J52" s="5">
        <f>SUM(J45:J51)</f>
        <v>34</v>
      </c>
      <c r="K52" s="5">
        <f>SUM(K45:K51)</f>
        <v>30</v>
      </c>
      <c r="L52" s="5">
        <f>SUM(L45:L51)</f>
        <v>76</v>
      </c>
      <c r="M52" s="5">
        <f>SUM(M45:M51)</f>
        <v>36</v>
      </c>
      <c r="N52" s="5">
        <f>SUM(N45:N51)</f>
        <v>62</v>
      </c>
      <c r="O52" s="5">
        <f>SUM(O45:O51)</f>
        <v>44</v>
      </c>
      <c r="P52" s="5">
        <f>SUM(P45:P51)</f>
        <v>40</v>
      </c>
      <c r="Q52" s="5">
        <f>SUM(Q45:Q51)</f>
        <v>40</v>
      </c>
      <c r="R52" s="5">
        <f>SUM(R45:R51)</f>
        <v>69</v>
      </c>
      <c r="S52" s="5">
        <f>SUM(S45:S51)</f>
        <v>25</v>
      </c>
      <c r="T52" s="5">
        <f>SUM(T45:T51)</f>
        <v>551</v>
      </c>
    </row>
    <row r="53" spans="1:20" x14ac:dyDescent="0.4">
      <c r="A53" s="70"/>
      <c r="B53" s="71"/>
      <c r="C53" s="71"/>
      <c r="D53" s="71"/>
      <c r="E53" s="71"/>
      <c r="T53" s="5"/>
    </row>
    <row r="54" spans="1:20" x14ac:dyDescent="0.4">
      <c r="A54" s="11" t="s">
        <v>48</v>
      </c>
      <c r="B54" s="17" t="s">
        <v>30</v>
      </c>
      <c r="C54" s="59" t="s">
        <v>52</v>
      </c>
      <c r="D54" s="60"/>
      <c r="E54" s="6">
        <v>1</v>
      </c>
      <c r="F54" s="6">
        <v>2</v>
      </c>
      <c r="G54" s="6">
        <v>0</v>
      </c>
      <c r="H54" s="6">
        <v>1</v>
      </c>
      <c r="I54" s="6">
        <v>1</v>
      </c>
      <c r="J54" s="6">
        <v>1</v>
      </c>
      <c r="K54" s="6">
        <v>9</v>
      </c>
      <c r="L54" s="6">
        <v>0</v>
      </c>
      <c r="M54" s="6">
        <v>2</v>
      </c>
      <c r="N54" s="6">
        <v>5</v>
      </c>
      <c r="O54" s="6">
        <v>5</v>
      </c>
      <c r="P54" s="6">
        <v>3</v>
      </c>
      <c r="Q54" s="6">
        <v>3</v>
      </c>
      <c r="R54" s="6">
        <v>4</v>
      </c>
      <c r="S54" s="6">
        <v>10</v>
      </c>
      <c r="T54" s="5">
        <f t="shared" ref="T54:T60" si="37">SUM(E54:S54)</f>
        <v>47</v>
      </c>
    </row>
    <row r="55" spans="1:20" x14ac:dyDescent="0.4">
      <c r="A55" s="11" t="s">
        <v>50</v>
      </c>
      <c r="B55" s="46"/>
      <c r="C55" s="24" t="s">
        <v>112</v>
      </c>
      <c r="D55" s="47"/>
      <c r="E55" s="6">
        <v>2</v>
      </c>
      <c r="F55" s="6">
        <v>1</v>
      </c>
      <c r="G55" s="6">
        <v>0</v>
      </c>
      <c r="H55" s="6">
        <v>3</v>
      </c>
      <c r="I55" s="6">
        <v>1</v>
      </c>
      <c r="J55" s="6">
        <v>4</v>
      </c>
      <c r="K55" s="6">
        <v>1</v>
      </c>
      <c r="L55" s="6">
        <v>0</v>
      </c>
      <c r="M55" s="6">
        <v>4</v>
      </c>
      <c r="N55" s="6">
        <v>4</v>
      </c>
      <c r="O55" s="6">
        <v>1</v>
      </c>
      <c r="P55" s="6">
        <v>0</v>
      </c>
      <c r="Q55" s="6">
        <v>0</v>
      </c>
      <c r="R55" s="6">
        <v>0</v>
      </c>
      <c r="S55" s="6">
        <v>1</v>
      </c>
      <c r="T55" s="5">
        <f t="shared" si="37"/>
        <v>22</v>
      </c>
    </row>
    <row r="56" spans="1:20" x14ac:dyDescent="0.4">
      <c r="A56" s="7"/>
      <c r="B56" s="46"/>
      <c r="C56" s="24" t="s">
        <v>113</v>
      </c>
      <c r="D56" s="47"/>
      <c r="E56" s="6">
        <v>0</v>
      </c>
      <c r="F56" s="6">
        <v>2</v>
      </c>
      <c r="G56" s="6">
        <v>1</v>
      </c>
      <c r="H56" s="6">
        <v>0</v>
      </c>
      <c r="I56" s="6">
        <v>0</v>
      </c>
      <c r="J56" s="6">
        <v>1</v>
      </c>
      <c r="K56" s="6">
        <v>0</v>
      </c>
      <c r="L56" s="6">
        <v>0</v>
      </c>
      <c r="M56" s="6">
        <v>0</v>
      </c>
      <c r="N56" s="6">
        <v>0</v>
      </c>
      <c r="O56" s="6">
        <v>1</v>
      </c>
      <c r="P56" s="6">
        <v>0</v>
      </c>
      <c r="Q56" s="6">
        <v>0</v>
      </c>
      <c r="R56" s="6">
        <v>0</v>
      </c>
      <c r="S56" s="6">
        <v>1</v>
      </c>
      <c r="T56" s="5">
        <f t="shared" si="37"/>
        <v>6</v>
      </c>
    </row>
    <row r="57" spans="1:20" x14ac:dyDescent="0.4">
      <c r="A57" s="7"/>
      <c r="B57" s="46"/>
      <c r="C57" s="24" t="s">
        <v>114</v>
      </c>
      <c r="D57" s="47"/>
      <c r="E57" s="6">
        <v>1</v>
      </c>
      <c r="F57" s="6">
        <v>0</v>
      </c>
      <c r="G57" s="6">
        <v>0</v>
      </c>
      <c r="H57" s="6">
        <v>1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1</v>
      </c>
      <c r="S57" s="6">
        <v>0</v>
      </c>
      <c r="T57" s="5">
        <f t="shared" si="37"/>
        <v>3</v>
      </c>
    </row>
    <row r="58" spans="1:20" x14ac:dyDescent="0.4">
      <c r="A58" s="7"/>
      <c r="B58" s="46"/>
      <c r="C58" s="24" t="s">
        <v>115</v>
      </c>
      <c r="D58" s="47"/>
      <c r="E58" s="6">
        <v>0</v>
      </c>
      <c r="F58" s="6">
        <v>1</v>
      </c>
      <c r="G58" s="6">
        <v>0</v>
      </c>
      <c r="H58" s="6">
        <v>1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5">
        <f t="shared" si="37"/>
        <v>2</v>
      </c>
    </row>
    <row r="59" spans="1:20" x14ac:dyDescent="0.4">
      <c r="A59" s="7"/>
      <c r="B59" s="46"/>
      <c r="C59" s="24" t="s">
        <v>116</v>
      </c>
      <c r="D59" s="47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5">
        <f t="shared" si="37"/>
        <v>0</v>
      </c>
    </row>
    <row r="60" spans="1:20" ht="13.15" customHeight="1" x14ac:dyDescent="0.4">
      <c r="A60" s="7"/>
      <c r="B60" s="46"/>
      <c r="C60" s="24" t="s">
        <v>117</v>
      </c>
      <c r="D60" s="47"/>
      <c r="E60" s="6">
        <v>1</v>
      </c>
      <c r="F60" s="6">
        <v>0</v>
      </c>
      <c r="G60" s="6">
        <v>2</v>
      </c>
      <c r="H60" s="6">
        <v>2</v>
      </c>
      <c r="I60" s="6">
        <v>1</v>
      </c>
      <c r="J60" s="6">
        <v>8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1</v>
      </c>
      <c r="S60" s="6">
        <v>0</v>
      </c>
      <c r="T60" s="5">
        <f t="shared" si="37"/>
        <v>15</v>
      </c>
    </row>
    <row r="61" spans="1:20" x14ac:dyDescent="0.4">
      <c r="A61" s="6" t="s">
        <v>26</v>
      </c>
      <c r="B61" s="53" t="s">
        <v>51</v>
      </c>
      <c r="C61" s="69"/>
      <c r="D61" s="60"/>
      <c r="E61" s="5">
        <f>SUM(E54:E60)</f>
        <v>5</v>
      </c>
      <c r="F61" s="5">
        <f>SUM(F54:F60)</f>
        <v>6</v>
      </c>
      <c r="G61" s="5">
        <f>SUM(G54:G60)</f>
        <v>3</v>
      </c>
      <c r="H61" s="5">
        <f>SUM(H54:H60)</f>
        <v>8</v>
      </c>
      <c r="I61" s="5">
        <f>SUM(I54:I60)</f>
        <v>3</v>
      </c>
      <c r="J61" s="5">
        <f>SUM(J54:J60)</f>
        <v>14</v>
      </c>
      <c r="K61" s="5">
        <f>SUM(K54:K60)</f>
        <v>10</v>
      </c>
      <c r="L61" s="5">
        <f>SUM(L54:L60)</f>
        <v>0</v>
      </c>
      <c r="M61" s="5">
        <f>SUM(M54:M60)</f>
        <v>6</v>
      </c>
      <c r="N61" s="5">
        <f>SUM(N54:N60)</f>
        <v>9</v>
      </c>
      <c r="O61" s="5">
        <f>SUM(O54:O60)</f>
        <v>7</v>
      </c>
      <c r="P61" s="5">
        <f>SUM(P54:P60)</f>
        <v>3</v>
      </c>
      <c r="Q61" s="5">
        <f>SUM(Q54:Q60)</f>
        <v>3</v>
      </c>
      <c r="R61" s="5">
        <f>SUM(R54:R60)</f>
        <v>6</v>
      </c>
      <c r="S61" s="5">
        <f>SUM(S54:S60)</f>
        <v>12</v>
      </c>
      <c r="T61" s="5">
        <f>SUM(T54:T60)</f>
        <v>95</v>
      </c>
    </row>
    <row r="62" spans="1:20" x14ac:dyDescent="0.4">
      <c r="A62" s="70"/>
      <c r="B62" s="71"/>
      <c r="C62" s="71"/>
      <c r="D62" s="71"/>
      <c r="E62" s="71"/>
    </row>
    <row r="63" spans="1:20" x14ac:dyDescent="0.4">
      <c r="A63" s="11" t="s">
        <v>48</v>
      </c>
      <c r="B63" s="17" t="s">
        <v>32</v>
      </c>
      <c r="C63" s="59" t="s">
        <v>53</v>
      </c>
      <c r="D63" s="60"/>
      <c r="E63" s="6">
        <v>4</v>
      </c>
      <c r="F63" s="6">
        <v>2</v>
      </c>
      <c r="G63" s="6">
        <v>5</v>
      </c>
      <c r="H63" s="6">
        <v>11</v>
      </c>
      <c r="I63" s="6">
        <v>3</v>
      </c>
      <c r="J63" s="6">
        <v>4</v>
      </c>
      <c r="K63" s="6">
        <v>2</v>
      </c>
      <c r="L63" s="6">
        <v>2</v>
      </c>
      <c r="M63" s="6">
        <v>6</v>
      </c>
      <c r="N63" s="6">
        <v>10</v>
      </c>
      <c r="O63" s="6">
        <v>2</v>
      </c>
      <c r="P63" s="6">
        <v>4</v>
      </c>
      <c r="Q63" s="6">
        <v>4</v>
      </c>
      <c r="R63" s="6">
        <v>4</v>
      </c>
      <c r="S63" s="6">
        <v>3</v>
      </c>
      <c r="T63" s="5">
        <f t="shared" ref="T63:T69" si="38">SUM(E63:S63)</f>
        <v>66</v>
      </c>
    </row>
    <row r="64" spans="1:20" x14ac:dyDescent="0.4">
      <c r="A64" s="11" t="s">
        <v>50</v>
      </c>
      <c r="B64" s="46"/>
      <c r="C64" s="24" t="s">
        <v>118</v>
      </c>
      <c r="D64" s="47"/>
      <c r="E64" s="6">
        <v>32</v>
      </c>
      <c r="F64" s="6">
        <v>37</v>
      </c>
      <c r="G64" s="6">
        <v>41</v>
      </c>
      <c r="H64" s="6">
        <v>54</v>
      </c>
      <c r="I64" s="6">
        <v>34</v>
      </c>
      <c r="J64" s="6">
        <v>13</v>
      </c>
      <c r="K64" s="6">
        <v>4</v>
      </c>
      <c r="L64" s="6">
        <v>7</v>
      </c>
      <c r="M64" s="6">
        <v>27</v>
      </c>
      <c r="N64" s="6">
        <v>55</v>
      </c>
      <c r="O64" s="6">
        <v>11</v>
      </c>
      <c r="P64" s="6">
        <v>11</v>
      </c>
      <c r="Q64" s="6">
        <v>11</v>
      </c>
      <c r="R64" s="6">
        <v>14</v>
      </c>
      <c r="S64" s="6">
        <v>17</v>
      </c>
      <c r="T64" s="5">
        <f t="shared" si="38"/>
        <v>368</v>
      </c>
    </row>
    <row r="65" spans="1:20" x14ac:dyDescent="0.4">
      <c r="A65" s="7"/>
      <c r="B65" s="46"/>
      <c r="C65" s="24" t="s">
        <v>119</v>
      </c>
      <c r="D65" s="47"/>
      <c r="E65" s="6">
        <v>0</v>
      </c>
      <c r="F65" s="6">
        <v>0</v>
      </c>
      <c r="G65" s="6">
        <v>0</v>
      </c>
      <c r="H65" s="6">
        <v>0</v>
      </c>
      <c r="I65" s="6">
        <v>1</v>
      </c>
      <c r="J65" s="6">
        <v>0</v>
      </c>
      <c r="K65" s="6">
        <v>0</v>
      </c>
      <c r="L65" s="6">
        <v>0</v>
      </c>
      <c r="M65" s="6">
        <v>0</v>
      </c>
      <c r="N65" s="6">
        <v>2</v>
      </c>
      <c r="O65" s="6">
        <v>1</v>
      </c>
      <c r="P65" s="6">
        <v>1</v>
      </c>
      <c r="Q65" s="6">
        <v>1</v>
      </c>
      <c r="R65" s="6">
        <v>0</v>
      </c>
      <c r="S65" s="6">
        <v>0</v>
      </c>
      <c r="T65" s="5">
        <f t="shared" si="38"/>
        <v>6</v>
      </c>
    </row>
    <row r="66" spans="1:20" x14ac:dyDescent="0.4">
      <c r="A66" s="7"/>
      <c r="B66" s="46"/>
      <c r="C66" s="24" t="s">
        <v>120</v>
      </c>
      <c r="D66" s="47"/>
      <c r="E66" s="6">
        <v>0</v>
      </c>
      <c r="F66" s="6">
        <v>0</v>
      </c>
      <c r="G66" s="6">
        <v>3</v>
      </c>
      <c r="H66" s="6">
        <v>0</v>
      </c>
      <c r="I66" s="6">
        <v>0</v>
      </c>
      <c r="J66" s="6">
        <v>1</v>
      </c>
      <c r="K66" s="6">
        <v>0</v>
      </c>
      <c r="L66" s="6">
        <v>0</v>
      </c>
      <c r="M66" s="6">
        <v>1</v>
      </c>
      <c r="N66" s="6">
        <v>0</v>
      </c>
      <c r="O66" s="6">
        <v>1</v>
      </c>
      <c r="P66" s="6">
        <v>5</v>
      </c>
      <c r="Q66" s="6">
        <v>5</v>
      </c>
      <c r="R66" s="6">
        <v>0</v>
      </c>
      <c r="S66" s="6">
        <v>6</v>
      </c>
      <c r="T66" s="5">
        <f t="shared" si="38"/>
        <v>22</v>
      </c>
    </row>
    <row r="67" spans="1:20" x14ac:dyDescent="0.4">
      <c r="A67" s="7"/>
      <c r="B67" s="46"/>
      <c r="C67" s="24" t="s">
        <v>121</v>
      </c>
      <c r="D67" s="47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1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5</v>
      </c>
      <c r="S67" s="6">
        <v>0</v>
      </c>
      <c r="T67" s="5">
        <f t="shared" si="38"/>
        <v>6</v>
      </c>
    </row>
    <row r="68" spans="1:20" ht="13.15" customHeight="1" x14ac:dyDescent="0.4">
      <c r="A68" s="7"/>
      <c r="B68" s="46"/>
      <c r="C68" s="24" t="s">
        <v>122</v>
      </c>
      <c r="D68" s="47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1</v>
      </c>
      <c r="Q68" s="6">
        <v>1</v>
      </c>
      <c r="R68" s="6">
        <v>2</v>
      </c>
      <c r="S68" s="6">
        <v>1</v>
      </c>
      <c r="T68" s="5">
        <f t="shared" si="38"/>
        <v>5</v>
      </c>
    </row>
    <row r="69" spans="1:20" x14ac:dyDescent="0.4">
      <c r="A69" s="7"/>
      <c r="B69" s="46"/>
      <c r="C69" s="24" t="s">
        <v>123</v>
      </c>
      <c r="D69" s="47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5">
        <f t="shared" si="38"/>
        <v>0</v>
      </c>
    </row>
    <row r="70" spans="1:20" x14ac:dyDescent="0.4">
      <c r="A70" s="6" t="s">
        <v>26</v>
      </c>
      <c r="B70" s="53" t="s">
        <v>51</v>
      </c>
      <c r="C70" s="69"/>
      <c r="D70" s="60"/>
      <c r="E70" s="5">
        <f>SUM(E63:E69)</f>
        <v>36</v>
      </c>
      <c r="F70" s="5">
        <f>SUM(F63:F69)</f>
        <v>39</v>
      </c>
      <c r="G70" s="5">
        <f>SUM(G63:G69)</f>
        <v>49</v>
      </c>
      <c r="H70" s="5">
        <f>SUM(H63:H69)</f>
        <v>65</v>
      </c>
      <c r="I70" s="5">
        <f>SUM(I63:I69)</f>
        <v>38</v>
      </c>
      <c r="J70" s="5">
        <f>SUM(J63:J69)</f>
        <v>18</v>
      </c>
      <c r="K70" s="5">
        <f>SUM(K63:K69)</f>
        <v>6</v>
      </c>
      <c r="L70" s="5">
        <f>SUM(L63:L69)</f>
        <v>10</v>
      </c>
      <c r="M70" s="5">
        <f>SUM(M63:M69)</f>
        <v>34</v>
      </c>
      <c r="N70" s="5">
        <f>SUM(N63:N69)</f>
        <v>67</v>
      </c>
      <c r="O70" s="5">
        <f>SUM(O63:O69)</f>
        <v>15</v>
      </c>
      <c r="P70" s="5">
        <f>SUM(P63:P69)</f>
        <v>22</v>
      </c>
      <c r="Q70" s="5">
        <f>SUM(Q63:Q69)</f>
        <v>22</v>
      </c>
      <c r="R70" s="5">
        <f>SUM(R63:R69)</f>
        <v>25</v>
      </c>
      <c r="S70" s="5">
        <f>SUM(S63:S69)</f>
        <v>27</v>
      </c>
      <c r="T70" s="5">
        <f>SUM(T63:T69)</f>
        <v>473</v>
      </c>
    </row>
    <row r="71" spans="1:20" x14ac:dyDescent="0.4">
      <c r="A71" s="70"/>
      <c r="B71" s="71"/>
      <c r="C71" s="71"/>
      <c r="D71" s="71"/>
      <c r="E71" s="71"/>
    </row>
    <row r="72" spans="1:20" x14ac:dyDescent="0.4">
      <c r="A72" s="11" t="s">
        <v>48</v>
      </c>
      <c r="B72" s="17" t="s">
        <v>34</v>
      </c>
      <c r="C72" s="59" t="s">
        <v>54</v>
      </c>
      <c r="D72" s="60"/>
      <c r="E72" s="6">
        <v>1</v>
      </c>
      <c r="F72" s="6">
        <v>2</v>
      </c>
      <c r="G72" s="6">
        <v>0</v>
      </c>
      <c r="H72" s="6">
        <v>1</v>
      </c>
      <c r="I72" s="6">
        <v>0</v>
      </c>
      <c r="J72" s="6">
        <v>0</v>
      </c>
      <c r="K72" s="6">
        <v>1</v>
      </c>
      <c r="L72" s="6">
        <v>0</v>
      </c>
      <c r="M72" s="6">
        <v>1</v>
      </c>
      <c r="N72" s="6">
        <v>0</v>
      </c>
      <c r="O72" s="6">
        <v>0</v>
      </c>
      <c r="P72" s="6">
        <v>1</v>
      </c>
      <c r="Q72" s="6">
        <v>1</v>
      </c>
      <c r="R72" s="6">
        <v>1</v>
      </c>
      <c r="S72" s="6">
        <v>1</v>
      </c>
      <c r="T72" s="5">
        <f t="shared" ref="T72:T78" si="39">SUM(E72:S72)</f>
        <v>10</v>
      </c>
    </row>
    <row r="73" spans="1:20" x14ac:dyDescent="0.4">
      <c r="A73" s="11" t="s">
        <v>50</v>
      </c>
      <c r="B73" s="46"/>
      <c r="C73" s="24" t="s">
        <v>124</v>
      </c>
      <c r="D73" s="47"/>
      <c r="E73" s="6">
        <v>1</v>
      </c>
      <c r="F73" s="6">
        <v>2</v>
      </c>
      <c r="G73" s="6">
        <v>1</v>
      </c>
      <c r="H73" s="6">
        <v>1</v>
      </c>
      <c r="I73" s="6">
        <v>0</v>
      </c>
      <c r="J73" s="6">
        <v>2</v>
      </c>
      <c r="K73" s="6">
        <v>0</v>
      </c>
      <c r="L73" s="6">
        <v>1</v>
      </c>
      <c r="M73" s="6">
        <v>1</v>
      </c>
      <c r="N73" s="6">
        <v>0</v>
      </c>
      <c r="O73" s="6">
        <v>1</v>
      </c>
      <c r="P73" s="6">
        <v>1</v>
      </c>
      <c r="Q73" s="6">
        <v>1</v>
      </c>
      <c r="R73" s="6">
        <v>0</v>
      </c>
      <c r="S73" s="6">
        <v>0</v>
      </c>
      <c r="T73" s="5">
        <f t="shared" si="39"/>
        <v>12</v>
      </c>
    </row>
    <row r="74" spans="1:20" x14ac:dyDescent="0.4">
      <c r="A74" s="7"/>
      <c r="B74" s="46"/>
      <c r="C74" s="24" t="s">
        <v>125</v>
      </c>
      <c r="D74" s="47"/>
      <c r="E74" s="6">
        <v>1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5">
        <f t="shared" si="39"/>
        <v>1</v>
      </c>
    </row>
    <row r="75" spans="1:20" x14ac:dyDescent="0.4">
      <c r="A75" s="7"/>
      <c r="B75" s="46"/>
      <c r="C75" s="24" t="s">
        <v>126</v>
      </c>
      <c r="D75" s="47"/>
      <c r="E75" s="6">
        <v>2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5">
        <f t="shared" si="39"/>
        <v>2</v>
      </c>
    </row>
    <row r="76" spans="1:20" ht="13.15" customHeight="1" x14ac:dyDescent="0.4">
      <c r="A76" s="7"/>
      <c r="B76" s="46"/>
      <c r="C76" s="24" t="s">
        <v>127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5">
        <f t="shared" si="39"/>
        <v>0</v>
      </c>
    </row>
    <row r="77" spans="1:20" x14ac:dyDescent="0.4">
      <c r="A77" s="7"/>
      <c r="B77" s="46"/>
      <c r="C77" s="24" t="s">
        <v>128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5">
        <f t="shared" si="39"/>
        <v>0</v>
      </c>
    </row>
    <row r="78" spans="1:20" x14ac:dyDescent="0.4">
      <c r="A78" s="7"/>
      <c r="B78" s="46"/>
      <c r="C78" s="24" t="s">
        <v>129</v>
      </c>
      <c r="D78" s="47"/>
      <c r="E78" s="6">
        <v>10</v>
      </c>
      <c r="F78" s="6">
        <v>8</v>
      </c>
      <c r="G78" s="6">
        <v>2</v>
      </c>
      <c r="H78" s="6">
        <v>2</v>
      </c>
      <c r="I78" s="6">
        <v>1</v>
      </c>
      <c r="J78" s="6">
        <v>0</v>
      </c>
      <c r="K78" s="6">
        <v>0</v>
      </c>
      <c r="L78" s="6">
        <v>0</v>
      </c>
      <c r="M78" s="6">
        <v>1</v>
      </c>
      <c r="N78" s="6">
        <v>2</v>
      </c>
      <c r="O78" s="6">
        <v>0</v>
      </c>
      <c r="P78" s="6">
        <v>1</v>
      </c>
      <c r="Q78" s="6">
        <v>1</v>
      </c>
      <c r="R78" s="6">
        <v>0</v>
      </c>
      <c r="S78" s="6">
        <v>0</v>
      </c>
      <c r="T78" s="5">
        <f t="shared" si="39"/>
        <v>28</v>
      </c>
    </row>
    <row r="79" spans="1:20" x14ac:dyDescent="0.4">
      <c r="A79" s="6" t="s">
        <v>26</v>
      </c>
      <c r="B79" s="53" t="s">
        <v>51</v>
      </c>
      <c r="C79" s="69"/>
      <c r="D79" s="60"/>
      <c r="E79" s="5">
        <f>SUM(E72:E78)</f>
        <v>15</v>
      </c>
      <c r="F79" s="5">
        <f>SUM(F72:F78)</f>
        <v>12</v>
      </c>
      <c r="G79" s="5">
        <f>SUM(G72:G78)</f>
        <v>3</v>
      </c>
      <c r="H79" s="5">
        <f>SUM(H72:H78)</f>
        <v>4</v>
      </c>
      <c r="I79" s="5">
        <f>SUM(I72:I78)</f>
        <v>1</v>
      </c>
      <c r="J79" s="5">
        <f>SUM(J72:J78)</f>
        <v>2</v>
      </c>
      <c r="K79" s="5">
        <f>SUM(K72:K78)</f>
        <v>1</v>
      </c>
      <c r="L79" s="5">
        <f>SUM(L72:L78)</f>
        <v>1</v>
      </c>
      <c r="M79" s="5">
        <f>SUM(M72:M78)</f>
        <v>3</v>
      </c>
      <c r="N79" s="5">
        <f>SUM(N72:N78)</f>
        <v>2</v>
      </c>
      <c r="O79" s="5">
        <f>SUM(O72:O78)</f>
        <v>1</v>
      </c>
      <c r="P79" s="5">
        <f>SUM(P72:P78)</f>
        <v>3</v>
      </c>
      <c r="Q79" s="5">
        <f>SUM(Q72:Q78)</f>
        <v>3</v>
      </c>
      <c r="R79" s="5">
        <f>SUM(R72:R78)</f>
        <v>1</v>
      </c>
      <c r="S79" s="5">
        <f>SUM(S72:S78)</f>
        <v>1</v>
      </c>
      <c r="T79" s="5">
        <f>SUM(T72:T78)</f>
        <v>53</v>
      </c>
    </row>
    <row r="80" spans="1:20" x14ac:dyDescent="0.4">
      <c r="A80" s="70"/>
      <c r="B80" s="71"/>
      <c r="C80" s="71"/>
      <c r="D80" s="71"/>
      <c r="E80" s="71"/>
    </row>
    <row r="81" spans="1:20" x14ac:dyDescent="0.4">
      <c r="A81" s="11" t="s">
        <v>48</v>
      </c>
      <c r="B81" s="17" t="s">
        <v>55</v>
      </c>
      <c r="C81" s="59" t="s">
        <v>56</v>
      </c>
      <c r="D81" s="60"/>
      <c r="E81" s="6">
        <v>3</v>
      </c>
      <c r="F81" s="6">
        <v>3</v>
      </c>
      <c r="G81" s="6">
        <v>4</v>
      </c>
      <c r="H81" s="6">
        <v>6</v>
      </c>
      <c r="I81" s="6">
        <v>0</v>
      </c>
      <c r="J81" s="6">
        <v>1</v>
      </c>
      <c r="K81" s="6">
        <v>4</v>
      </c>
      <c r="L81" s="6">
        <v>2</v>
      </c>
      <c r="M81" s="6">
        <v>1</v>
      </c>
      <c r="N81" s="6">
        <v>0</v>
      </c>
      <c r="O81" s="6">
        <v>2</v>
      </c>
      <c r="P81" s="6">
        <v>4</v>
      </c>
      <c r="Q81" s="6">
        <v>4</v>
      </c>
      <c r="R81" s="6">
        <v>2</v>
      </c>
      <c r="S81" s="6">
        <v>0</v>
      </c>
      <c r="T81" s="5">
        <f t="shared" ref="T81:T87" si="40">SUM(E81:S81)</f>
        <v>36</v>
      </c>
    </row>
    <row r="82" spans="1:20" x14ac:dyDescent="0.4">
      <c r="A82" s="11" t="s">
        <v>50</v>
      </c>
      <c r="B82" s="46"/>
      <c r="C82" s="24" t="s">
        <v>130</v>
      </c>
      <c r="D82" s="47"/>
      <c r="E82" s="6">
        <v>22</v>
      </c>
      <c r="F82" s="6">
        <v>18</v>
      </c>
      <c r="G82" s="6">
        <v>53</v>
      </c>
      <c r="H82" s="6">
        <v>72</v>
      </c>
      <c r="I82" s="6">
        <v>40</v>
      </c>
      <c r="J82" s="6">
        <v>13</v>
      </c>
      <c r="K82" s="6">
        <v>5</v>
      </c>
      <c r="L82" s="6">
        <v>0</v>
      </c>
      <c r="M82" s="6">
        <v>0</v>
      </c>
      <c r="N82" s="6">
        <v>1</v>
      </c>
      <c r="O82" s="6">
        <v>21</v>
      </c>
      <c r="P82" s="6">
        <v>36</v>
      </c>
      <c r="Q82" s="6">
        <v>36</v>
      </c>
      <c r="R82" s="6">
        <v>9</v>
      </c>
      <c r="S82" s="6">
        <v>29</v>
      </c>
      <c r="T82" s="5">
        <f t="shared" si="40"/>
        <v>355</v>
      </c>
    </row>
    <row r="83" spans="1:20" x14ac:dyDescent="0.4">
      <c r="A83" s="7"/>
      <c r="B83" s="46"/>
      <c r="C83" s="24" t="s">
        <v>131</v>
      </c>
      <c r="D83" s="47"/>
      <c r="E83" s="6">
        <v>1</v>
      </c>
      <c r="F83" s="6">
        <v>0</v>
      </c>
      <c r="G83" s="6">
        <v>2</v>
      </c>
      <c r="H83" s="6">
        <v>1</v>
      </c>
      <c r="I83" s="6">
        <v>1</v>
      </c>
      <c r="J83" s="6">
        <v>41</v>
      </c>
      <c r="K83" s="6">
        <v>30</v>
      </c>
      <c r="L83" s="6">
        <v>7</v>
      </c>
      <c r="M83" s="6">
        <v>3</v>
      </c>
      <c r="N83" s="6">
        <v>11</v>
      </c>
      <c r="O83" s="6">
        <v>0</v>
      </c>
      <c r="P83" s="6">
        <v>1</v>
      </c>
      <c r="Q83" s="6">
        <v>1</v>
      </c>
      <c r="R83" s="6">
        <v>0</v>
      </c>
      <c r="S83" s="6">
        <v>0</v>
      </c>
      <c r="T83" s="5">
        <f t="shared" si="40"/>
        <v>99</v>
      </c>
    </row>
    <row r="84" spans="1:20" ht="13.15" customHeight="1" x14ac:dyDescent="0.4">
      <c r="A84" s="7"/>
      <c r="B84" s="46"/>
      <c r="C84" s="24" t="s">
        <v>132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2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1</v>
      </c>
      <c r="Q84" s="6">
        <v>1</v>
      </c>
      <c r="R84" s="6">
        <v>0</v>
      </c>
      <c r="S84" s="6">
        <v>0</v>
      </c>
      <c r="T84" s="5">
        <f t="shared" si="40"/>
        <v>4</v>
      </c>
    </row>
    <row r="85" spans="1:20" x14ac:dyDescent="0.4">
      <c r="A85" s="7"/>
      <c r="B85" s="46"/>
      <c r="C85" s="24" t="s">
        <v>133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5">
        <f t="shared" si="40"/>
        <v>0</v>
      </c>
    </row>
    <row r="86" spans="1:20" x14ac:dyDescent="0.4">
      <c r="A86" s="7"/>
      <c r="B86" s="46"/>
      <c r="C86" s="24" t="s">
        <v>134</v>
      </c>
      <c r="D86" s="47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1</v>
      </c>
      <c r="P86" s="6">
        <v>0</v>
      </c>
      <c r="Q86" s="6">
        <v>0</v>
      </c>
      <c r="R86" s="6">
        <v>0</v>
      </c>
      <c r="S86" s="6">
        <v>0</v>
      </c>
      <c r="T86" s="5">
        <f t="shared" si="40"/>
        <v>1</v>
      </c>
    </row>
    <row r="87" spans="1:20" x14ac:dyDescent="0.4">
      <c r="A87" s="7"/>
      <c r="B87" s="46"/>
      <c r="C87" s="24" t="s">
        <v>135</v>
      </c>
      <c r="D87" s="47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5">
        <f t="shared" si="40"/>
        <v>0</v>
      </c>
    </row>
    <row r="88" spans="1:20" x14ac:dyDescent="0.4">
      <c r="A88" s="6" t="s">
        <v>26</v>
      </c>
      <c r="B88" s="53" t="s">
        <v>51</v>
      </c>
      <c r="C88" s="69"/>
      <c r="D88" s="60"/>
      <c r="E88" s="5">
        <f>SUM(E81:E87)</f>
        <v>26</v>
      </c>
      <c r="F88" s="5">
        <f>SUM(F81:F87)</f>
        <v>21</v>
      </c>
      <c r="G88" s="5">
        <f>SUM(G81:G87)</f>
        <v>59</v>
      </c>
      <c r="H88" s="5">
        <f>SUM(H81:H87)</f>
        <v>79</v>
      </c>
      <c r="I88" s="5">
        <f>SUM(I81:I87)</f>
        <v>41</v>
      </c>
      <c r="J88" s="5">
        <f>SUM(J81:J87)</f>
        <v>57</v>
      </c>
      <c r="K88" s="5">
        <f>SUM(K81:K87)</f>
        <v>39</v>
      </c>
      <c r="L88" s="5">
        <f>SUM(L81:L87)</f>
        <v>9</v>
      </c>
      <c r="M88" s="5">
        <f>SUM(M81:M87)</f>
        <v>4</v>
      </c>
      <c r="N88" s="5">
        <f>SUM(N81:N87)</f>
        <v>12</v>
      </c>
      <c r="O88" s="5">
        <f>SUM(O81:O87)</f>
        <v>24</v>
      </c>
      <c r="P88" s="5">
        <f>SUM(P81:P87)</f>
        <v>42</v>
      </c>
      <c r="Q88" s="5">
        <f>SUM(Q81:Q87)</f>
        <v>42</v>
      </c>
      <c r="R88" s="5">
        <f>SUM(R81:R87)</f>
        <v>11</v>
      </c>
      <c r="S88" s="5">
        <f>SUM(S81:S87)</f>
        <v>29</v>
      </c>
      <c r="T88" s="5">
        <f>SUM(T81:T87)</f>
        <v>495</v>
      </c>
    </row>
    <row r="89" spans="1:20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spans="1:20" x14ac:dyDescent="0.4">
      <c r="A90" s="11" t="s">
        <v>48</v>
      </c>
      <c r="B90" s="17" t="s">
        <v>57</v>
      </c>
      <c r="C90" s="59" t="s">
        <v>58</v>
      </c>
      <c r="D90" s="60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5">
        <f t="shared" ref="T90:T91" si="41">SUM(E90:S90)</f>
        <v>0</v>
      </c>
    </row>
    <row r="91" spans="1:20" x14ac:dyDescent="0.4">
      <c r="A91" s="11" t="s">
        <v>50</v>
      </c>
      <c r="B91" s="46"/>
      <c r="C91" s="72" t="s">
        <v>136</v>
      </c>
      <c r="D91" s="60"/>
      <c r="E91" s="6">
        <v>0</v>
      </c>
      <c r="F91" s="6">
        <v>1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5">
        <f t="shared" si="41"/>
        <v>1</v>
      </c>
    </row>
    <row r="92" spans="1:20" ht="13.15" customHeight="1" x14ac:dyDescent="0.4">
      <c r="A92" s="6" t="s">
        <v>26</v>
      </c>
      <c r="B92" s="53" t="s">
        <v>51</v>
      </c>
      <c r="C92" s="54"/>
      <c r="D92" s="55"/>
      <c r="E92" s="5">
        <f>SUM(E90:E91)</f>
        <v>0</v>
      </c>
      <c r="F92" s="5">
        <f>SUM(F90:F91)</f>
        <v>1</v>
      </c>
      <c r="G92" s="5">
        <f>SUM(G90:G91)</f>
        <v>0</v>
      </c>
      <c r="H92" s="5">
        <f>SUM(H90:H91)</f>
        <v>0</v>
      </c>
      <c r="I92" s="5">
        <f>SUM(I90:I91)</f>
        <v>0</v>
      </c>
      <c r="J92" s="5">
        <f>SUM(J90:J91)</f>
        <v>0</v>
      </c>
      <c r="K92" s="5">
        <f>SUM(K90:K91)</f>
        <v>0</v>
      </c>
      <c r="L92" s="5">
        <f>SUM(L90:L91)</f>
        <v>0</v>
      </c>
      <c r="M92" s="5">
        <f>SUM(M90:M91)</f>
        <v>0</v>
      </c>
      <c r="N92" s="5">
        <f>SUM(N90:N91)</f>
        <v>0</v>
      </c>
      <c r="O92" s="5">
        <f>SUM(O90:O91)</f>
        <v>0</v>
      </c>
      <c r="P92" s="5">
        <f>SUM(P90:P91)</f>
        <v>0</v>
      </c>
      <c r="Q92" s="5">
        <f>SUM(Q90:Q91)</f>
        <v>0</v>
      </c>
      <c r="R92" s="5">
        <f>SUM(R90:R91)</f>
        <v>0</v>
      </c>
      <c r="S92" s="5">
        <f>SUM(S90:S91)</f>
        <v>0</v>
      </c>
      <c r="T92" s="5">
        <f>SUM(T90:T91)</f>
        <v>1</v>
      </c>
    </row>
    <row r="93" spans="1:20" x14ac:dyDescent="0.4">
      <c r="A93" s="61"/>
      <c r="B93" s="62"/>
      <c r="C93" s="62"/>
      <c r="D93" s="62"/>
      <c r="E93" s="63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5"/>
    </row>
    <row r="94" spans="1:20" x14ac:dyDescent="0.4">
      <c r="A94" s="11" t="s">
        <v>48</v>
      </c>
      <c r="B94" s="17" t="s">
        <v>59</v>
      </c>
      <c r="C94" s="59" t="s">
        <v>60</v>
      </c>
      <c r="D94" s="60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3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5">
        <f t="shared" ref="T94:T100" si="42">SUM(E94:S94)</f>
        <v>3</v>
      </c>
    </row>
    <row r="95" spans="1:20" x14ac:dyDescent="0.4">
      <c r="A95" s="11" t="s">
        <v>50</v>
      </c>
      <c r="B95" s="46"/>
      <c r="C95" s="24" t="s">
        <v>137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5">
        <f t="shared" si="42"/>
        <v>0</v>
      </c>
    </row>
    <row r="96" spans="1:20" x14ac:dyDescent="0.4">
      <c r="A96" s="7"/>
      <c r="B96" s="46"/>
      <c r="C96" s="24" t="s">
        <v>138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1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5">
        <f t="shared" si="42"/>
        <v>1</v>
      </c>
    </row>
    <row r="97" spans="1:20" x14ac:dyDescent="0.4">
      <c r="A97" s="7"/>
      <c r="B97" s="46"/>
      <c r="C97" s="24" t="s">
        <v>139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5">
        <f t="shared" si="42"/>
        <v>0</v>
      </c>
    </row>
    <row r="98" spans="1:20" x14ac:dyDescent="0.4">
      <c r="A98" s="7"/>
      <c r="B98" s="46"/>
      <c r="C98" s="24" t="s">
        <v>140</v>
      </c>
      <c r="D98" s="47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5">
        <f t="shared" si="42"/>
        <v>0</v>
      </c>
    </row>
    <row r="99" spans="1:20" x14ac:dyDescent="0.4">
      <c r="A99" s="7"/>
      <c r="B99" s="46"/>
      <c r="C99" s="24" t="s">
        <v>141</v>
      </c>
      <c r="D99" s="47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5">
        <f t="shared" si="42"/>
        <v>0</v>
      </c>
    </row>
    <row r="100" spans="1:20" x14ac:dyDescent="0.4">
      <c r="A100" s="7"/>
      <c r="B100" s="46"/>
      <c r="C100" s="24" t="s">
        <v>142</v>
      </c>
      <c r="D100" s="47"/>
      <c r="E100" s="50">
        <v>0</v>
      </c>
      <c r="F100" s="29">
        <v>0</v>
      </c>
      <c r="G100" s="29">
        <v>0</v>
      </c>
      <c r="H100" s="29">
        <v>0</v>
      </c>
      <c r="I100" s="29">
        <v>0</v>
      </c>
      <c r="J100" s="29">
        <v>0</v>
      </c>
      <c r="K100" s="29">
        <v>0</v>
      </c>
      <c r="L100" s="29">
        <v>0</v>
      </c>
      <c r="M100" s="29">
        <v>2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5">
        <f t="shared" si="42"/>
        <v>2</v>
      </c>
    </row>
    <row r="101" spans="1:20" x14ac:dyDescent="0.4">
      <c r="A101" s="6" t="s">
        <v>26</v>
      </c>
      <c r="B101" s="53" t="s">
        <v>51</v>
      </c>
      <c r="C101" s="54"/>
      <c r="D101" s="55"/>
      <c r="E101" s="5">
        <f>SUM(E94:E100)</f>
        <v>0</v>
      </c>
      <c r="F101" s="5">
        <f>SUM(F94:F100)</f>
        <v>0</v>
      </c>
      <c r="G101" s="5">
        <f>SUM(G94:G100)</f>
        <v>0</v>
      </c>
      <c r="H101" s="5">
        <f>SUM(H94:H100)</f>
        <v>0</v>
      </c>
      <c r="I101" s="5">
        <f>SUM(I94:I100)</f>
        <v>0</v>
      </c>
      <c r="J101" s="5">
        <f>SUM(J94:J100)</f>
        <v>1</v>
      </c>
      <c r="K101" s="5">
        <f>SUM(K94:K100)</f>
        <v>3</v>
      </c>
      <c r="L101" s="5">
        <f>SUM(L94:L100)</f>
        <v>0</v>
      </c>
      <c r="M101" s="5">
        <f>SUM(M94:M100)</f>
        <v>2</v>
      </c>
      <c r="N101" s="5">
        <f>SUM(N94:N100)</f>
        <v>0</v>
      </c>
      <c r="O101" s="5">
        <f>SUM(O94:O100)</f>
        <v>0</v>
      </c>
      <c r="P101" s="5">
        <f>SUM(P94:P100)</f>
        <v>0</v>
      </c>
      <c r="Q101" s="5">
        <f>SUM(Q94:Q100)</f>
        <v>0</v>
      </c>
      <c r="R101" s="5">
        <f>SUM(R94:R100)</f>
        <v>0</v>
      </c>
      <c r="S101" s="5">
        <f>SUM(S94:S100)</f>
        <v>0</v>
      </c>
      <c r="T101" s="5">
        <f>SUM(T94:T100)</f>
        <v>6</v>
      </c>
    </row>
    <row r="102" spans="1:20" x14ac:dyDescent="0.4">
      <c r="A102" s="61"/>
      <c r="B102" s="62"/>
      <c r="C102" s="62"/>
      <c r="D102" s="62"/>
      <c r="E102" s="63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</row>
    <row r="103" spans="1:20" x14ac:dyDescent="0.4">
      <c r="A103" s="11" t="s">
        <v>48</v>
      </c>
      <c r="B103" s="17" t="s">
        <v>61</v>
      </c>
      <c r="C103" s="59" t="s">
        <v>62</v>
      </c>
      <c r="D103" s="60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2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5">
        <f t="shared" ref="T103:T109" si="43">SUM(E103:S103)</f>
        <v>2</v>
      </c>
    </row>
    <row r="104" spans="1:20" ht="13.15" customHeight="1" x14ac:dyDescent="0.4">
      <c r="A104" s="11" t="s">
        <v>50</v>
      </c>
      <c r="B104" s="46"/>
      <c r="C104" s="24" t="s">
        <v>143</v>
      </c>
      <c r="D104" s="47"/>
      <c r="E104" s="6">
        <v>1</v>
      </c>
      <c r="F104" s="6">
        <v>0</v>
      </c>
      <c r="G104" s="6">
        <v>0</v>
      </c>
      <c r="H104" s="6">
        <v>0</v>
      </c>
      <c r="I104" s="6">
        <v>0</v>
      </c>
      <c r="J104" s="6">
        <v>1</v>
      </c>
      <c r="K104" s="6">
        <v>1</v>
      </c>
      <c r="L104" s="6">
        <v>0</v>
      </c>
      <c r="M104" s="6">
        <v>0</v>
      </c>
      <c r="N104" s="6">
        <v>0</v>
      </c>
      <c r="O104" s="6">
        <v>2</v>
      </c>
      <c r="P104" s="6">
        <v>0</v>
      </c>
      <c r="Q104" s="6">
        <v>0</v>
      </c>
      <c r="R104" s="6">
        <v>0</v>
      </c>
      <c r="S104" s="6">
        <v>0</v>
      </c>
      <c r="T104" s="5">
        <f t="shared" si="43"/>
        <v>5</v>
      </c>
    </row>
    <row r="105" spans="1:20" x14ac:dyDescent="0.4">
      <c r="A105" s="7"/>
      <c r="B105" s="46"/>
      <c r="C105" s="24" t="s">
        <v>144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5">
        <f t="shared" si="43"/>
        <v>0</v>
      </c>
    </row>
    <row r="106" spans="1:20" x14ac:dyDescent="0.4">
      <c r="A106" s="7"/>
      <c r="B106" s="46"/>
      <c r="C106" s="24" t="s">
        <v>145</v>
      </c>
      <c r="D106" s="47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1</v>
      </c>
      <c r="N106" s="6">
        <v>0</v>
      </c>
      <c r="O106" s="6">
        <v>0</v>
      </c>
      <c r="P106" s="6">
        <v>1</v>
      </c>
      <c r="Q106" s="6">
        <v>1</v>
      </c>
      <c r="R106" s="6">
        <v>0</v>
      </c>
      <c r="S106" s="6">
        <v>0</v>
      </c>
      <c r="T106" s="5">
        <f t="shared" si="43"/>
        <v>3</v>
      </c>
    </row>
    <row r="107" spans="1:20" x14ac:dyDescent="0.4">
      <c r="A107" s="7"/>
      <c r="B107" s="46"/>
      <c r="C107" s="24" t="s">
        <v>146</v>
      </c>
      <c r="D107" s="47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5">
        <f t="shared" si="43"/>
        <v>0</v>
      </c>
    </row>
    <row r="108" spans="1:20" x14ac:dyDescent="0.4">
      <c r="A108" s="7"/>
      <c r="B108" s="46"/>
      <c r="C108" s="24" t="s">
        <v>147</v>
      </c>
      <c r="D108" s="47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5">
        <f t="shared" si="43"/>
        <v>0</v>
      </c>
    </row>
    <row r="109" spans="1:20" x14ac:dyDescent="0.4">
      <c r="A109" s="7"/>
      <c r="B109" s="46"/>
      <c r="C109" s="24" t="s">
        <v>148</v>
      </c>
      <c r="D109" s="47"/>
      <c r="E109" s="6">
        <v>0</v>
      </c>
      <c r="F109" s="6">
        <v>3</v>
      </c>
      <c r="G109" s="6">
        <v>0</v>
      </c>
      <c r="H109" s="6">
        <v>0</v>
      </c>
      <c r="I109" s="6">
        <v>0</v>
      </c>
      <c r="J109" s="6">
        <v>1</v>
      </c>
      <c r="K109" s="6">
        <v>1</v>
      </c>
      <c r="L109" s="6">
        <v>0</v>
      </c>
      <c r="M109" s="6">
        <v>1</v>
      </c>
      <c r="N109" s="6">
        <v>0</v>
      </c>
      <c r="O109" s="6">
        <v>0</v>
      </c>
      <c r="P109" s="6">
        <v>1</v>
      </c>
      <c r="Q109" s="6">
        <v>1</v>
      </c>
      <c r="R109" s="6">
        <v>2</v>
      </c>
      <c r="S109" s="6">
        <v>3</v>
      </c>
      <c r="T109" s="5">
        <f t="shared" si="43"/>
        <v>13</v>
      </c>
    </row>
    <row r="110" spans="1:20" x14ac:dyDescent="0.4">
      <c r="A110" s="6" t="s">
        <v>26</v>
      </c>
      <c r="B110" s="53" t="s">
        <v>51</v>
      </c>
      <c r="C110" s="54"/>
      <c r="D110" s="55"/>
      <c r="E110" s="5">
        <f>SUM(E103:E109)</f>
        <v>1</v>
      </c>
      <c r="F110" s="5">
        <f>SUM(F103:F109)</f>
        <v>3</v>
      </c>
      <c r="G110" s="5">
        <f>SUM(G103:G109)</f>
        <v>0</v>
      </c>
      <c r="H110" s="5">
        <f>SUM(H103:H109)</f>
        <v>0</v>
      </c>
      <c r="I110" s="5">
        <f>SUM(I103:I109)</f>
        <v>0</v>
      </c>
      <c r="J110" s="5">
        <f>SUM(J103:J109)</f>
        <v>2</v>
      </c>
      <c r="K110" s="5">
        <f>SUM(K103:K109)</f>
        <v>2</v>
      </c>
      <c r="L110" s="5">
        <f>SUM(L103:L109)</f>
        <v>0</v>
      </c>
      <c r="M110" s="5">
        <f>SUM(M103:M109)</f>
        <v>4</v>
      </c>
      <c r="N110" s="5">
        <f>SUM(N103:N109)</f>
        <v>0</v>
      </c>
      <c r="O110" s="5">
        <f>SUM(O103:O109)</f>
        <v>2</v>
      </c>
      <c r="P110" s="5">
        <f>SUM(P103:P109)</f>
        <v>2</v>
      </c>
      <c r="Q110" s="5">
        <f>SUM(Q103:Q109)</f>
        <v>2</v>
      </c>
      <c r="R110" s="5">
        <f>SUM(R103:R109)</f>
        <v>2</v>
      </c>
      <c r="S110" s="5">
        <f>SUM(S103:S109)</f>
        <v>3</v>
      </c>
      <c r="T110" s="5">
        <f>SUM(T103:T109)</f>
        <v>23</v>
      </c>
    </row>
    <row r="111" spans="1:20" x14ac:dyDescent="0.4">
      <c r="A111" s="61"/>
      <c r="B111" s="62"/>
      <c r="C111" s="62"/>
      <c r="D111" s="62"/>
      <c r="E111" s="6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</row>
    <row r="112" spans="1:20" ht="13.15" customHeight="1" x14ac:dyDescent="0.4">
      <c r="A112" s="11" t="s">
        <v>48</v>
      </c>
      <c r="B112" s="17" t="s">
        <v>63</v>
      </c>
      <c r="C112" s="59" t="s">
        <v>64</v>
      </c>
      <c r="D112" s="60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5">
        <f t="shared" ref="T112:T118" si="44">SUM(E112:S112)</f>
        <v>0</v>
      </c>
    </row>
    <row r="113" spans="1:20" x14ac:dyDescent="0.4">
      <c r="A113" s="11" t="s">
        <v>50</v>
      </c>
      <c r="B113" s="17"/>
      <c r="C113" s="24" t="s">
        <v>104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5">
        <f t="shared" si="44"/>
        <v>0</v>
      </c>
    </row>
    <row r="114" spans="1:20" x14ac:dyDescent="0.4">
      <c r="A114" s="7"/>
      <c r="B114" s="17"/>
      <c r="C114" s="24" t="s">
        <v>149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5">
        <f t="shared" si="44"/>
        <v>0</v>
      </c>
    </row>
    <row r="115" spans="1:20" x14ac:dyDescent="0.4">
      <c r="A115" s="7"/>
      <c r="B115" s="17"/>
      <c r="C115" s="24" t="s">
        <v>150</v>
      </c>
      <c r="D115" s="45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5">
        <f t="shared" si="44"/>
        <v>0</v>
      </c>
    </row>
    <row r="116" spans="1:20" x14ac:dyDescent="0.4">
      <c r="A116" s="7"/>
      <c r="B116" s="46"/>
      <c r="C116" s="24" t="s">
        <v>151</v>
      </c>
      <c r="D116" s="47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5">
        <f t="shared" si="44"/>
        <v>0</v>
      </c>
    </row>
    <row r="117" spans="1:20" x14ac:dyDescent="0.4">
      <c r="A117" s="7"/>
      <c r="B117" s="46"/>
      <c r="C117" s="24" t="s">
        <v>152</v>
      </c>
      <c r="D117" s="47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5">
        <f t="shared" si="44"/>
        <v>0</v>
      </c>
    </row>
    <row r="118" spans="1:20" x14ac:dyDescent="0.4">
      <c r="A118" s="7"/>
      <c r="B118" s="46"/>
      <c r="C118" s="24" t="s">
        <v>153</v>
      </c>
      <c r="D118" s="47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5">
        <f t="shared" si="44"/>
        <v>0</v>
      </c>
    </row>
    <row r="119" spans="1:20" ht="13.15" customHeight="1" x14ac:dyDescent="0.4">
      <c r="A119" s="6" t="s">
        <v>26</v>
      </c>
      <c r="B119" s="53" t="s">
        <v>51</v>
      </c>
      <c r="C119" s="54"/>
      <c r="D119" s="55"/>
      <c r="E119" s="5">
        <f>SUM(E112:E118)</f>
        <v>0</v>
      </c>
      <c r="F119" s="5">
        <f>SUM(F112:F118)</f>
        <v>0</v>
      </c>
      <c r="G119" s="5">
        <f>SUM(G112:G118)</f>
        <v>0</v>
      </c>
      <c r="H119" s="5">
        <f>SUM(H112:H118)</f>
        <v>0</v>
      </c>
      <c r="I119" s="5">
        <f>SUM(I112:I118)</f>
        <v>0</v>
      </c>
      <c r="J119" s="5">
        <f>SUM(J112:J118)</f>
        <v>0</v>
      </c>
      <c r="K119" s="5">
        <f>SUM(K112:K118)</f>
        <v>0</v>
      </c>
      <c r="L119" s="5">
        <f>SUM(L112:L118)</f>
        <v>0</v>
      </c>
      <c r="M119" s="5">
        <f>SUM(M112:M118)</f>
        <v>0</v>
      </c>
      <c r="N119" s="5">
        <f>SUM(N112:N118)</f>
        <v>0</v>
      </c>
      <c r="O119" s="5">
        <f>SUM(O112:O118)</f>
        <v>0</v>
      </c>
      <c r="P119" s="5">
        <f>SUM(P112:P118)</f>
        <v>0</v>
      </c>
      <c r="Q119" s="5">
        <f>SUM(Q112:Q118)</f>
        <v>0</v>
      </c>
      <c r="R119" s="5">
        <f>SUM(R112:R118)</f>
        <v>0</v>
      </c>
      <c r="S119" s="5">
        <f>SUM(S112:S118)</f>
        <v>0</v>
      </c>
      <c r="T119" s="5">
        <f>SUM(T112:T118)</f>
        <v>0</v>
      </c>
    </row>
    <row r="120" spans="1:20" x14ac:dyDescent="0.4">
      <c r="A120" s="61"/>
      <c r="B120" s="62"/>
      <c r="C120" s="62"/>
      <c r="D120" s="62"/>
      <c r="E120" s="6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5"/>
    </row>
    <row r="121" spans="1:20" x14ac:dyDescent="0.4">
      <c r="A121" s="11" t="s">
        <v>48</v>
      </c>
      <c r="B121" s="44" t="s">
        <v>65</v>
      </c>
      <c r="C121" s="67" t="s">
        <v>66</v>
      </c>
      <c r="D121" s="68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5">
        <f>SUM(E122:S122)</f>
        <v>0</v>
      </c>
    </row>
    <row r="122" spans="1:20" x14ac:dyDescent="0.4">
      <c r="A122" s="48" t="s">
        <v>50</v>
      </c>
      <c r="B122" s="46"/>
      <c r="C122" s="24" t="s">
        <v>154</v>
      </c>
      <c r="D122" s="47"/>
      <c r="E122" s="49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5">
        <f>SUM(E123:S123)</f>
        <v>12</v>
      </c>
    </row>
    <row r="123" spans="1:20" x14ac:dyDescent="0.4">
      <c r="A123" s="7"/>
      <c r="B123" s="46"/>
      <c r="C123" s="24" t="s">
        <v>155</v>
      </c>
      <c r="D123" s="47"/>
      <c r="E123" s="49">
        <v>1</v>
      </c>
      <c r="F123" s="6">
        <v>2</v>
      </c>
      <c r="G123" s="6">
        <v>0</v>
      </c>
      <c r="H123" s="6">
        <v>1</v>
      </c>
      <c r="I123" s="6">
        <v>0</v>
      </c>
      <c r="J123" s="6">
        <v>0</v>
      </c>
      <c r="K123" s="6">
        <v>0</v>
      </c>
      <c r="L123" s="6">
        <v>1</v>
      </c>
      <c r="M123" s="6">
        <v>0</v>
      </c>
      <c r="N123" s="6">
        <v>1</v>
      </c>
      <c r="O123" s="6">
        <v>0</v>
      </c>
      <c r="P123" s="6">
        <v>1</v>
      </c>
      <c r="Q123" s="6">
        <v>1</v>
      </c>
      <c r="R123" s="6">
        <v>2</v>
      </c>
      <c r="S123" s="6">
        <v>2</v>
      </c>
      <c r="T123" s="5">
        <f>SUM(E124:S124)</f>
        <v>2</v>
      </c>
    </row>
    <row r="124" spans="1:20" x14ac:dyDescent="0.4">
      <c r="A124" s="7"/>
      <c r="B124" s="46"/>
      <c r="C124" s="24" t="s">
        <v>156</v>
      </c>
      <c r="D124" s="47"/>
      <c r="E124" s="49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1</v>
      </c>
      <c r="P124" s="6">
        <v>0</v>
      </c>
      <c r="Q124" s="6">
        <v>0</v>
      </c>
      <c r="R124" s="6">
        <v>1</v>
      </c>
      <c r="S124" s="6">
        <v>0</v>
      </c>
      <c r="T124" s="5">
        <f>SUM(E125:S125)</f>
        <v>0</v>
      </c>
    </row>
    <row r="125" spans="1:20" x14ac:dyDescent="0.4">
      <c r="A125" s="7"/>
      <c r="B125" s="46"/>
      <c r="C125" s="24" t="s">
        <v>157</v>
      </c>
      <c r="D125" s="47"/>
      <c r="E125" s="49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5">
        <f>SUM(E128:S128)</f>
        <v>14</v>
      </c>
    </row>
    <row r="126" spans="1:20" x14ac:dyDescent="0.4">
      <c r="A126" s="7"/>
      <c r="B126" s="46"/>
      <c r="C126" s="24" t="s">
        <v>158</v>
      </c>
      <c r="D126" s="47"/>
      <c r="E126" s="49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5">
        <f>SUM(E129:S129)</f>
        <v>0</v>
      </c>
    </row>
    <row r="127" spans="1:20" x14ac:dyDescent="0.4">
      <c r="A127" s="7"/>
      <c r="B127" s="46"/>
      <c r="C127" s="24" t="s">
        <v>159</v>
      </c>
      <c r="D127" s="47"/>
      <c r="E127" s="49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5">
        <f>SUM(E130:S130)</f>
        <v>0</v>
      </c>
    </row>
    <row r="128" spans="1:20" x14ac:dyDescent="0.4">
      <c r="A128" s="6" t="s">
        <v>26</v>
      </c>
      <c r="B128" s="64" t="s">
        <v>51</v>
      </c>
      <c r="C128" s="65"/>
      <c r="D128" s="66"/>
      <c r="E128" s="5">
        <f>SUM(E121:E127)</f>
        <v>1</v>
      </c>
      <c r="F128" s="5">
        <f>SUM(F121:F127)</f>
        <v>2</v>
      </c>
      <c r="G128" s="5">
        <f>SUM(G121:G127)</f>
        <v>0</v>
      </c>
      <c r="H128" s="5">
        <f>SUM(H121:H127)</f>
        <v>1</v>
      </c>
      <c r="I128" s="5">
        <f>SUM(I121:I127)</f>
        <v>0</v>
      </c>
      <c r="J128" s="5">
        <f>SUM(J121:J127)</f>
        <v>0</v>
      </c>
      <c r="K128" s="5">
        <f>SUM(K121:K127)</f>
        <v>0</v>
      </c>
      <c r="L128" s="5">
        <f>SUM(L121:L127)</f>
        <v>1</v>
      </c>
      <c r="M128" s="5">
        <f>SUM(M121:M127)</f>
        <v>0</v>
      </c>
      <c r="N128" s="5">
        <f>SUM(N121:N127)</f>
        <v>1</v>
      </c>
      <c r="O128" s="5">
        <f>SUM(O121:O127)</f>
        <v>1</v>
      </c>
      <c r="P128" s="5">
        <f>SUM(P121:P127)</f>
        <v>1</v>
      </c>
      <c r="Q128" s="5">
        <f>SUM(Q121:Q127)</f>
        <v>1</v>
      </c>
      <c r="R128" s="5">
        <f>SUM(R121:R127)</f>
        <v>3</v>
      </c>
      <c r="S128" s="5">
        <f>SUM(S121:S127)</f>
        <v>2</v>
      </c>
      <c r="T128" s="5">
        <f>SUM(T121:T127)</f>
        <v>28</v>
      </c>
    </row>
    <row r="129" spans="1:20" x14ac:dyDescent="0.4">
      <c r="A129" s="61"/>
      <c r="B129" s="62"/>
      <c r="C129" s="62"/>
      <c r="D129" s="62"/>
      <c r="E129" s="63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</row>
    <row r="130" spans="1:20" ht="13.15" customHeight="1" x14ac:dyDescent="0.4">
      <c r="A130" s="11" t="s">
        <v>48</v>
      </c>
      <c r="B130" s="17" t="s">
        <v>67</v>
      </c>
      <c r="C130" s="59" t="s">
        <v>68</v>
      </c>
      <c r="D130" s="60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5">
        <f t="shared" ref="T130" si="45">SUM(E130:S130)</f>
        <v>0</v>
      </c>
    </row>
    <row r="131" spans="1:20" x14ac:dyDescent="0.4">
      <c r="A131" s="6" t="s">
        <v>26</v>
      </c>
      <c r="B131" s="53" t="s">
        <v>51</v>
      </c>
      <c r="C131" s="54"/>
      <c r="D131" s="55"/>
      <c r="E131" s="5">
        <f>SUM(E130:E130)</f>
        <v>0</v>
      </c>
      <c r="F131" s="5">
        <f>SUM(F130:F130)</f>
        <v>0</v>
      </c>
      <c r="G131" s="5">
        <f>SUM(G130:G130)</f>
        <v>0</v>
      </c>
      <c r="H131" s="5">
        <f>SUM(H130:H130)</f>
        <v>0</v>
      </c>
      <c r="I131" s="5">
        <f>SUM(I130:I130)</f>
        <v>0</v>
      </c>
      <c r="J131" s="5">
        <f>SUM(J130:J130)</f>
        <v>0</v>
      </c>
      <c r="K131" s="5">
        <f>SUM(K130:K130)</f>
        <v>0</v>
      </c>
      <c r="L131" s="5">
        <f>SUM(L130:L130)</f>
        <v>0</v>
      </c>
      <c r="M131" s="5">
        <f>SUM(M130:M130)</f>
        <v>0</v>
      </c>
      <c r="N131" s="5">
        <f>SUM(N130:N130)</f>
        <v>0</v>
      </c>
      <c r="O131" s="5">
        <f>SUM(O130:O130)</f>
        <v>0</v>
      </c>
      <c r="P131" s="5">
        <f>SUM(P130:P130)</f>
        <v>0</v>
      </c>
      <c r="Q131" s="5">
        <f>SUM(Q130:Q130)</f>
        <v>0</v>
      </c>
      <c r="R131" s="5">
        <f>SUM(R130:R130)</f>
        <v>0</v>
      </c>
      <c r="S131" s="5">
        <f>SUM(S130:S130)</f>
        <v>0</v>
      </c>
      <c r="T131" s="5">
        <f>SUM(T130:T130)</f>
        <v>0</v>
      </c>
    </row>
    <row r="132" spans="1:20" ht="13.15" customHeight="1" x14ac:dyDescent="0.4">
      <c r="A132" s="61"/>
      <c r="B132" s="62"/>
      <c r="C132" s="62"/>
      <c r="D132" s="62"/>
      <c r="E132" s="63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</row>
    <row r="133" spans="1:20" x14ac:dyDescent="0.4">
      <c r="A133" s="11" t="s">
        <v>48</v>
      </c>
      <c r="B133" s="17" t="s">
        <v>69</v>
      </c>
      <c r="C133" s="59" t="s">
        <v>70</v>
      </c>
      <c r="D133" s="60"/>
      <c r="E133" s="6">
        <v>2</v>
      </c>
      <c r="F133" s="6">
        <v>1</v>
      </c>
      <c r="G133" s="6">
        <v>0</v>
      </c>
      <c r="H133" s="6">
        <v>1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1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5">
        <f t="shared" ref="T133:T139" si="46">SUM(E133:S133)</f>
        <v>5</v>
      </c>
    </row>
    <row r="134" spans="1:20" x14ac:dyDescent="0.4">
      <c r="A134" s="11" t="s">
        <v>50</v>
      </c>
      <c r="B134" s="46"/>
      <c r="C134" s="24" t="s">
        <v>160</v>
      </c>
      <c r="D134" s="47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5">
        <f t="shared" si="46"/>
        <v>0</v>
      </c>
    </row>
    <row r="135" spans="1:20" x14ac:dyDescent="0.4">
      <c r="A135" s="7"/>
      <c r="B135" s="46"/>
      <c r="C135" s="24" t="s">
        <v>161</v>
      </c>
      <c r="D135" s="47"/>
      <c r="E135" s="6">
        <v>9</v>
      </c>
      <c r="F135" s="6">
        <v>4</v>
      </c>
      <c r="G135" s="6">
        <v>1</v>
      </c>
      <c r="H135" s="6">
        <v>3</v>
      </c>
      <c r="I135" s="6">
        <v>0</v>
      </c>
      <c r="J135" s="6">
        <v>0</v>
      </c>
      <c r="K135" s="6">
        <v>0</v>
      </c>
      <c r="L135" s="6">
        <v>1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5">
        <f t="shared" si="46"/>
        <v>18</v>
      </c>
    </row>
    <row r="136" spans="1:20" x14ac:dyDescent="0.4">
      <c r="A136" s="7"/>
      <c r="B136" s="46"/>
      <c r="C136" s="24" t="s">
        <v>162</v>
      </c>
      <c r="D136" s="47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5">
        <f t="shared" si="46"/>
        <v>0</v>
      </c>
    </row>
    <row r="137" spans="1:20" x14ac:dyDescent="0.4">
      <c r="A137" s="7"/>
      <c r="B137" s="46"/>
      <c r="C137" s="24" t="s">
        <v>163</v>
      </c>
      <c r="D137" s="47"/>
      <c r="E137" s="6">
        <v>0</v>
      </c>
      <c r="F137" s="6">
        <v>1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5">
        <f t="shared" si="46"/>
        <v>1</v>
      </c>
    </row>
    <row r="138" spans="1:20" x14ac:dyDescent="0.4">
      <c r="A138" s="7"/>
      <c r="B138" s="46"/>
      <c r="C138" s="24" t="s">
        <v>164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5">
        <f t="shared" si="46"/>
        <v>0</v>
      </c>
    </row>
    <row r="139" spans="1:20" x14ac:dyDescent="0.4">
      <c r="A139" s="7"/>
      <c r="B139" s="46"/>
      <c r="C139" s="24" t="s">
        <v>165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1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5">
        <f t="shared" si="46"/>
        <v>1</v>
      </c>
    </row>
    <row r="140" spans="1:20" ht="13.15" customHeight="1" x14ac:dyDescent="0.4">
      <c r="A140" s="6" t="s">
        <v>26</v>
      </c>
      <c r="B140" s="53" t="s">
        <v>51</v>
      </c>
      <c r="C140" s="54"/>
      <c r="D140" s="55"/>
      <c r="E140" s="5">
        <f>SUM(E133:E139)</f>
        <v>11</v>
      </c>
      <c r="F140" s="5">
        <f>SUM(F133:F139)</f>
        <v>6</v>
      </c>
      <c r="G140" s="5">
        <f>SUM(G133:G139)</f>
        <v>1</v>
      </c>
      <c r="H140" s="5">
        <f>SUM(H133:H139)</f>
        <v>4</v>
      </c>
      <c r="I140" s="5">
        <f>SUM(I133:I139)</f>
        <v>0</v>
      </c>
      <c r="J140" s="5">
        <f>SUM(J133:J139)</f>
        <v>0</v>
      </c>
      <c r="K140" s="5">
        <f>SUM(K133:K139)</f>
        <v>1</v>
      </c>
      <c r="L140" s="5">
        <f>SUM(L133:L139)</f>
        <v>1</v>
      </c>
      <c r="M140" s="5">
        <f>SUM(M133:M139)</f>
        <v>0</v>
      </c>
      <c r="N140" s="5">
        <f>SUM(N133:N139)</f>
        <v>1</v>
      </c>
      <c r="O140" s="5">
        <f>SUM(O133:O139)</f>
        <v>0</v>
      </c>
      <c r="P140" s="5">
        <f>SUM(P133:P139)</f>
        <v>0</v>
      </c>
      <c r="Q140" s="5">
        <f>SUM(Q133:Q139)</f>
        <v>0</v>
      </c>
      <c r="R140" s="5">
        <f>SUM(R133:R139)</f>
        <v>0</v>
      </c>
      <c r="S140" s="5">
        <f>SUM(S133:S139)</f>
        <v>0</v>
      </c>
      <c r="T140" s="5">
        <f>SUM(T133:T139)</f>
        <v>25</v>
      </c>
    </row>
    <row r="141" spans="1:20" x14ac:dyDescent="0.4">
      <c r="A141" s="61"/>
      <c r="B141" s="62"/>
      <c r="C141" s="62"/>
      <c r="D141" s="62"/>
      <c r="E141" s="63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5"/>
    </row>
    <row r="142" spans="1:20" x14ac:dyDescent="0.4">
      <c r="A142" s="11" t="s">
        <v>48</v>
      </c>
      <c r="B142" s="17" t="s">
        <v>71</v>
      </c>
      <c r="C142" s="59" t="s">
        <v>72</v>
      </c>
      <c r="D142" s="6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5">
        <f t="shared" ref="T142:T148" si="47">SUM(E142:S142)</f>
        <v>0</v>
      </c>
    </row>
    <row r="143" spans="1:20" x14ac:dyDescent="0.4">
      <c r="A143" s="11" t="s">
        <v>50</v>
      </c>
      <c r="B143" s="46"/>
      <c r="C143" s="24" t="s">
        <v>166</v>
      </c>
      <c r="D143" s="47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1</v>
      </c>
      <c r="T143" s="5">
        <f t="shared" si="47"/>
        <v>1</v>
      </c>
    </row>
    <row r="144" spans="1:20" x14ac:dyDescent="0.4">
      <c r="A144" s="7"/>
      <c r="B144" s="46"/>
      <c r="C144" s="24" t="s">
        <v>167</v>
      </c>
      <c r="D144" s="47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5">
        <f t="shared" si="47"/>
        <v>0</v>
      </c>
    </row>
    <row r="145" spans="1:20" x14ac:dyDescent="0.4">
      <c r="A145" s="7"/>
      <c r="B145" s="46"/>
      <c r="C145" s="24" t="s">
        <v>168</v>
      </c>
      <c r="D145" s="47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5">
        <f t="shared" si="47"/>
        <v>0</v>
      </c>
    </row>
    <row r="146" spans="1:20" x14ac:dyDescent="0.4">
      <c r="A146" s="7"/>
      <c r="B146" s="46"/>
      <c r="C146" s="24" t="s">
        <v>169</v>
      </c>
      <c r="D146" s="47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5">
        <f t="shared" si="47"/>
        <v>0</v>
      </c>
    </row>
    <row r="147" spans="1:20" x14ac:dyDescent="0.4">
      <c r="A147" s="7"/>
      <c r="B147" s="46"/>
      <c r="C147" s="24" t="s">
        <v>170</v>
      </c>
      <c r="D147" s="47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5">
        <f t="shared" si="47"/>
        <v>0</v>
      </c>
    </row>
    <row r="148" spans="1:20" x14ac:dyDescent="0.4">
      <c r="A148" s="7"/>
      <c r="B148" s="46"/>
      <c r="C148" s="24" t="s">
        <v>171</v>
      </c>
      <c r="D148" s="47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2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5">
        <f t="shared" si="47"/>
        <v>2</v>
      </c>
    </row>
    <row r="149" spans="1:20" x14ac:dyDescent="0.4">
      <c r="A149" s="6" t="s">
        <v>26</v>
      </c>
      <c r="B149" s="53" t="s">
        <v>51</v>
      </c>
      <c r="C149" s="54"/>
      <c r="D149" s="55"/>
      <c r="E149" s="5">
        <f>SUM(E142:E148)</f>
        <v>0</v>
      </c>
      <c r="F149" s="5">
        <f>SUM(F142:F148)</f>
        <v>0</v>
      </c>
      <c r="G149" s="5">
        <f>SUM(G142:G148)</f>
        <v>0</v>
      </c>
      <c r="H149" s="5">
        <f>SUM(H142:H148)</f>
        <v>0</v>
      </c>
      <c r="I149" s="5">
        <f>SUM(I142:I148)</f>
        <v>0</v>
      </c>
      <c r="J149" s="5">
        <f>SUM(J142:J148)</f>
        <v>0</v>
      </c>
      <c r="K149" s="5">
        <f>SUM(K142:K148)</f>
        <v>2</v>
      </c>
      <c r="L149" s="5">
        <f>SUM(L142:L148)</f>
        <v>0</v>
      </c>
      <c r="M149" s="5">
        <f>SUM(M142:M148)</f>
        <v>0</v>
      </c>
      <c r="N149" s="5">
        <f>SUM(N142:N148)</f>
        <v>0</v>
      </c>
      <c r="O149" s="5">
        <f>SUM(O142:O148)</f>
        <v>0</v>
      </c>
      <c r="P149" s="5">
        <f>SUM(P142:P148)</f>
        <v>0</v>
      </c>
      <c r="Q149" s="5">
        <f>SUM(Q142:Q148)</f>
        <v>0</v>
      </c>
      <c r="R149" s="5">
        <f>SUM(R142:R148)</f>
        <v>0</v>
      </c>
      <c r="S149" s="5">
        <f>SUM(S142:S148)</f>
        <v>1</v>
      </c>
      <c r="T149" s="5">
        <f>SUM(T142:T148)</f>
        <v>3</v>
      </c>
    </row>
    <row r="150" spans="1:20" x14ac:dyDescent="0.4">
      <c r="A150" s="61"/>
      <c r="B150" s="62"/>
      <c r="C150" s="62"/>
      <c r="D150" s="62"/>
      <c r="E150" s="63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</row>
    <row r="151" spans="1:20" x14ac:dyDescent="0.4">
      <c r="A151" s="11" t="s">
        <v>48</v>
      </c>
      <c r="B151" s="17" t="s">
        <v>73</v>
      </c>
      <c r="C151" s="59" t="s">
        <v>74</v>
      </c>
      <c r="D151" s="60"/>
      <c r="E151" s="6">
        <v>4</v>
      </c>
      <c r="F151" s="6">
        <v>7</v>
      </c>
      <c r="G151" s="6">
        <v>0</v>
      </c>
      <c r="H151" s="6">
        <v>3</v>
      </c>
      <c r="I151" s="6">
        <v>4</v>
      </c>
      <c r="J151" s="6">
        <v>5</v>
      </c>
      <c r="K151" s="6">
        <v>6</v>
      </c>
      <c r="L151" s="6">
        <v>3</v>
      </c>
      <c r="M151" s="6">
        <v>10</v>
      </c>
      <c r="N151" s="6">
        <v>7</v>
      </c>
      <c r="O151" s="6">
        <v>4</v>
      </c>
      <c r="P151" s="6">
        <v>8</v>
      </c>
      <c r="Q151" s="6">
        <v>8</v>
      </c>
      <c r="R151" s="6">
        <v>6</v>
      </c>
      <c r="S151" s="6">
        <v>13</v>
      </c>
      <c r="T151" s="5">
        <f t="shared" ref="T151:T157" si="48">SUM(E151:S151)</f>
        <v>88</v>
      </c>
    </row>
    <row r="152" spans="1:20" x14ac:dyDescent="0.4">
      <c r="A152" s="11" t="s">
        <v>50</v>
      </c>
      <c r="B152" s="46"/>
      <c r="C152" s="24" t="s">
        <v>172</v>
      </c>
      <c r="D152" s="47"/>
      <c r="E152" s="6">
        <v>1</v>
      </c>
      <c r="F152" s="6">
        <v>3</v>
      </c>
      <c r="G152" s="6">
        <v>0</v>
      </c>
      <c r="H152" s="6">
        <v>0</v>
      </c>
      <c r="I152" s="6">
        <v>0</v>
      </c>
      <c r="J152" s="6">
        <v>3</v>
      </c>
      <c r="K152" s="6">
        <v>5</v>
      </c>
      <c r="L152" s="6">
        <v>1</v>
      </c>
      <c r="M152" s="6">
        <v>2</v>
      </c>
      <c r="N152" s="6">
        <v>1</v>
      </c>
      <c r="O152" s="6">
        <v>3</v>
      </c>
      <c r="P152" s="6">
        <v>0</v>
      </c>
      <c r="Q152" s="6">
        <v>0</v>
      </c>
      <c r="R152" s="6">
        <v>0</v>
      </c>
      <c r="S152" s="6">
        <v>4</v>
      </c>
      <c r="T152" s="5">
        <f t="shared" si="48"/>
        <v>23</v>
      </c>
    </row>
    <row r="153" spans="1:20" x14ac:dyDescent="0.4">
      <c r="A153" s="7"/>
      <c r="B153" s="46"/>
      <c r="C153" s="24" t="s">
        <v>173</v>
      </c>
      <c r="D153" s="47"/>
      <c r="E153" s="6">
        <v>70</v>
      </c>
      <c r="F153" s="6">
        <v>48</v>
      </c>
      <c r="G153" s="6">
        <v>24</v>
      </c>
      <c r="H153" s="6">
        <v>19</v>
      </c>
      <c r="I153" s="6">
        <v>9</v>
      </c>
      <c r="J153" s="6">
        <v>47</v>
      </c>
      <c r="K153" s="6">
        <v>64</v>
      </c>
      <c r="L153" s="6">
        <v>66</v>
      </c>
      <c r="M153" s="6">
        <v>61</v>
      </c>
      <c r="N153" s="6">
        <v>51</v>
      </c>
      <c r="O153" s="6">
        <v>106</v>
      </c>
      <c r="P153" s="6">
        <v>76</v>
      </c>
      <c r="Q153" s="6">
        <v>76</v>
      </c>
      <c r="R153" s="6">
        <v>61</v>
      </c>
      <c r="S153" s="6">
        <v>114</v>
      </c>
      <c r="T153" s="5">
        <f t="shared" si="48"/>
        <v>892</v>
      </c>
    </row>
    <row r="154" spans="1:20" x14ac:dyDescent="0.4">
      <c r="A154" s="7"/>
      <c r="B154" s="46"/>
      <c r="C154" s="24" t="s">
        <v>174</v>
      </c>
      <c r="D154" s="47"/>
      <c r="E154" s="6">
        <v>0</v>
      </c>
      <c r="F154" s="6">
        <v>1</v>
      </c>
      <c r="G154" s="6">
        <v>0</v>
      </c>
      <c r="H154" s="6">
        <v>1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5">
        <f t="shared" si="48"/>
        <v>2</v>
      </c>
    </row>
    <row r="155" spans="1:20" x14ac:dyDescent="0.4">
      <c r="A155" s="7"/>
      <c r="B155" s="46"/>
      <c r="C155" s="24" t="s">
        <v>175</v>
      </c>
      <c r="D155" s="47"/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1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5">
        <f t="shared" si="48"/>
        <v>1</v>
      </c>
    </row>
    <row r="156" spans="1:20" x14ac:dyDescent="0.4">
      <c r="A156" s="7"/>
      <c r="B156" s="46"/>
      <c r="C156" s="24" t="s">
        <v>176</v>
      </c>
      <c r="D156" s="47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5">
        <f t="shared" si="48"/>
        <v>0</v>
      </c>
    </row>
    <row r="157" spans="1:20" ht="13.15" customHeight="1" x14ac:dyDescent="0.4">
      <c r="A157" s="7"/>
      <c r="B157" s="46"/>
      <c r="C157" s="24" t="s">
        <v>177</v>
      </c>
      <c r="D157" s="47"/>
      <c r="E157" s="6">
        <v>0</v>
      </c>
      <c r="F157" s="6">
        <v>1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1</v>
      </c>
      <c r="Q157" s="6">
        <v>1</v>
      </c>
      <c r="R157" s="6">
        <v>0</v>
      </c>
      <c r="S157" s="6">
        <v>0</v>
      </c>
      <c r="T157" s="5">
        <f t="shared" si="48"/>
        <v>3</v>
      </c>
    </row>
    <row r="158" spans="1:20" x14ac:dyDescent="0.4">
      <c r="A158" s="6" t="s">
        <v>26</v>
      </c>
      <c r="B158" s="53" t="s">
        <v>51</v>
      </c>
      <c r="C158" s="54"/>
      <c r="D158" s="55"/>
      <c r="E158" s="5">
        <f>SUM(E151:E157)</f>
        <v>75</v>
      </c>
      <c r="F158" s="5">
        <f>SUM(F151:F157)</f>
        <v>60</v>
      </c>
      <c r="G158" s="5">
        <f>SUM(G151:G157)</f>
        <v>24</v>
      </c>
      <c r="H158" s="5">
        <f>SUM(H151:H157)</f>
        <v>23</v>
      </c>
      <c r="I158" s="5">
        <f>SUM(I151:I157)</f>
        <v>13</v>
      </c>
      <c r="J158" s="5">
        <f>SUM(J151:J157)</f>
        <v>55</v>
      </c>
      <c r="K158" s="5">
        <f>SUM(K151:K157)</f>
        <v>76</v>
      </c>
      <c r="L158" s="5">
        <f>SUM(L151:L157)</f>
        <v>70</v>
      </c>
      <c r="M158" s="5">
        <f>SUM(M151:M157)</f>
        <v>73</v>
      </c>
      <c r="N158" s="5">
        <f>SUM(N151:N157)</f>
        <v>59</v>
      </c>
      <c r="O158" s="5">
        <f>SUM(O151:O157)</f>
        <v>113</v>
      </c>
      <c r="P158" s="5">
        <f>SUM(P151:P157)</f>
        <v>85</v>
      </c>
      <c r="Q158" s="5">
        <f>SUM(Q151:Q157)</f>
        <v>85</v>
      </c>
      <c r="R158" s="5">
        <f>SUM(R151:R157)</f>
        <v>67</v>
      </c>
      <c r="S158" s="5">
        <f>SUM(S151:S157)</f>
        <v>131</v>
      </c>
      <c r="T158" s="5">
        <f>SUM(T151:T157)</f>
        <v>1009</v>
      </c>
    </row>
    <row r="159" spans="1:20" x14ac:dyDescent="0.4">
      <c r="A159" s="61"/>
      <c r="B159" s="62"/>
      <c r="C159" s="62"/>
      <c r="D159" s="62"/>
      <c r="E159" s="63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</row>
    <row r="160" spans="1:20" x14ac:dyDescent="0.4">
      <c r="A160" s="11" t="s">
        <v>48</v>
      </c>
      <c r="B160" s="17" t="s">
        <v>75</v>
      </c>
      <c r="C160" s="59" t="s">
        <v>76</v>
      </c>
      <c r="D160" s="60"/>
      <c r="E160" s="6">
        <v>0</v>
      </c>
      <c r="F160" s="6">
        <v>1</v>
      </c>
      <c r="G160" s="6">
        <v>0</v>
      </c>
      <c r="H160" s="6">
        <v>1</v>
      </c>
      <c r="I160" s="6">
        <v>0</v>
      </c>
      <c r="J160" s="6">
        <v>0</v>
      </c>
      <c r="K160" s="6">
        <v>2</v>
      </c>
      <c r="L160" s="6">
        <v>0</v>
      </c>
      <c r="M160" s="6">
        <v>0</v>
      </c>
      <c r="N160" s="6">
        <v>0</v>
      </c>
      <c r="O160" s="6">
        <v>0</v>
      </c>
      <c r="P160" s="6">
        <v>1</v>
      </c>
      <c r="Q160" s="6">
        <v>1</v>
      </c>
      <c r="R160" s="6">
        <v>0</v>
      </c>
      <c r="S160" s="6">
        <v>1</v>
      </c>
      <c r="T160" s="5">
        <f t="shared" ref="T160:T162" si="49">SUM(E160:S160)</f>
        <v>7</v>
      </c>
    </row>
    <row r="161" spans="1:20" x14ac:dyDescent="0.4">
      <c r="A161" s="11" t="s">
        <v>50</v>
      </c>
      <c r="B161" s="46"/>
      <c r="C161" s="24" t="s">
        <v>178</v>
      </c>
      <c r="D161" s="47"/>
      <c r="E161" s="6">
        <v>1</v>
      </c>
      <c r="F161" s="6">
        <v>0</v>
      </c>
      <c r="G161" s="6">
        <v>1</v>
      </c>
      <c r="H161" s="6">
        <v>2</v>
      </c>
      <c r="I161" s="6">
        <v>0</v>
      </c>
      <c r="J161" s="6">
        <v>1</v>
      </c>
      <c r="K161" s="6">
        <v>1</v>
      </c>
      <c r="L161" s="6">
        <v>0</v>
      </c>
      <c r="M161" s="6">
        <v>0</v>
      </c>
      <c r="N161" s="6">
        <v>0</v>
      </c>
      <c r="O161" s="6">
        <v>0</v>
      </c>
      <c r="P161" s="6">
        <v>1</v>
      </c>
      <c r="Q161" s="6">
        <v>1</v>
      </c>
      <c r="R161" s="6">
        <v>0</v>
      </c>
      <c r="S161" s="6">
        <v>0</v>
      </c>
      <c r="T161" s="5">
        <f t="shared" si="49"/>
        <v>8</v>
      </c>
    </row>
    <row r="162" spans="1:20" x14ac:dyDescent="0.4">
      <c r="A162" s="7"/>
      <c r="B162" s="46"/>
      <c r="C162" s="24" t="s">
        <v>179</v>
      </c>
      <c r="D162" s="47"/>
      <c r="E162" s="6">
        <v>0</v>
      </c>
      <c r="F162" s="6">
        <v>1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5">
        <f t="shared" si="49"/>
        <v>1</v>
      </c>
    </row>
    <row r="163" spans="1:20" x14ac:dyDescent="0.4">
      <c r="A163" s="6" t="s">
        <v>26</v>
      </c>
      <c r="B163" s="53" t="s">
        <v>51</v>
      </c>
      <c r="C163" s="54"/>
      <c r="D163" s="55"/>
      <c r="E163" s="5">
        <f>SUM(E160:E162)</f>
        <v>1</v>
      </c>
      <c r="F163" s="5">
        <f>SUM(F160:F162)</f>
        <v>2</v>
      </c>
      <c r="G163" s="5">
        <f>SUM(G160:G162)</f>
        <v>1</v>
      </c>
      <c r="H163" s="5">
        <f>SUM(H160:H162)</f>
        <v>3</v>
      </c>
      <c r="I163" s="5">
        <f>SUM(I160:I162)</f>
        <v>0</v>
      </c>
      <c r="J163" s="5">
        <f>SUM(J160:J162)</f>
        <v>1</v>
      </c>
      <c r="K163" s="5">
        <f>SUM(K160:K162)</f>
        <v>3</v>
      </c>
      <c r="L163" s="5">
        <f>SUM(L160:L162)</f>
        <v>0</v>
      </c>
      <c r="M163" s="5">
        <f>SUM(M160:M162)</f>
        <v>0</v>
      </c>
      <c r="N163" s="5">
        <f>SUM(N160:N162)</f>
        <v>0</v>
      </c>
      <c r="O163" s="5">
        <f>SUM(O160:O162)</f>
        <v>0</v>
      </c>
      <c r="P163" s="5">
        <f>SUM(P160:P162)</f>
        <v>2</v>
      </c>
      <c r="Q163" s="5">
        <f>SUM(Q160:Q162)</f>
        <v>2</v>
      </c>
      <c r="R163" s="5">
        <f>SUM(R160:R162)</f>
        <v>0</v>
      </c>
      <c r="S163" s="5">
        <f>SUM(S160:S162)</f>
        <v>1</v>
      </c>
      <c r="T163" s="5">
        <f>SUM(T160:T162)</f>
        <v>16</v>
      </c>
    </row>
    <row r="164" spans="1:20" x14ac:dyDescent="0.4">
      <c r="A164" s="61"/>
      <c r="B164" s="62"/>
      <c r="C164" s="62"/>
      <c r="D164" s="62"/>
      <c r="E164" s="6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</row>
    <row r="165" spans="1:20" x14ac:dyDescent="0.4">
      <c r="A165" s="11" t="s">
        <v>48</v>
      </c>
      <c r="B165" s="17" t="s">
        <v>77</v>
      </c>
      <c r="C165" s="59" t="s">
        <v>78</v>
      </c>
      <c r="D165" s="60"/>
      <c r="E165" s="6">
        <v>0</v>
      </c>
      <c r="F165" s="6">
        <v>1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5">
        <f t="shared" ref="T165:T171" si="50">SUM(E165:S165)</f>
        <v>1</v>
      </c>
    </row>
    <row r="166" spans="1:20" x14ac:dyDescent="0.4">
      <c r="A166" s="11" t="s">
        <v>50</v>
      </c>
      <c r="B166" s="17"/>
      <c r="C166" s="24" t="s">
        <v>180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5">
        <f t="shared" si="50"/>
        <v>0</v>
      </c>
    </row>
    <row r="167" spans="1:20" x14ac:dyDescent="0.4">
      <c r="A167" s="7"/>
      <c r="B167" s="17"/>
      <c r="C167" s="24" t="s">
        <v>181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5">
        <f t="shared" si="50"/>
        <v>0</v>
      </c>
    </row>
    <row r="168" spans="1:20" x14ac:dyDescent="0.4">
      <c r="A168" s="7"/>
      <c r="B168" s="17"/>
      <c r="C168" s="24" t="s">
        <v>182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1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5">
        <f t="shared" si="50"/>
        <v>1</v>
      </c>
    </row>
    <row r="169" spans="1:20" ht="13.15" customHeight="1" x14ac:dyDescent="0.4">
      <c r="A169" s="7"/>
      <c r="B169" s="46"/>
      <c r="C169" s="24" t="s">
        <v>183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5">
        <f t="shared" si="50"/>
        <v>0</v>
      </c>
    </row>
    <row r="170" spans="1:20" x14ac:dyDescent="0.4">
      <c r="A170" s="7"/>
      <c r="B170" s="46"/>
      <c r="C170" s="24" t="s">
        <v>184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3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5">
        <f t="shared" si="50"/>
        <v>3</v>
      </c>
    </row>
    <row r="171" spans="1:20" x14ac:dyDescent="0.4">
      <c r="A171" s="7"/>
      <c r="B171" s="46"/>
      <c r="C171" s="24" t="s">
        <v>185</v>
      </c>
      <c r="D171" s="47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5">
        <f t="shared" si="50"/>
        <v>0</v>
      </c>
    </row>
    <row r="172" spans="1:20" x14ac:dyDescent="0.4">
      <c r="A172" s="6" t="s">
        <v>26</v>
      </c>
      <c r="B172" s="53" t="s">
        <v>51</v>
      </c>
      <c r="C172" s="54"/>
      <c r="D172" s="55"/>
      <c r="E172" s="5">
        <f>SUM(E165:E171)</f>
        <v>0</v>
      </c>
      <c r="F172" s="5">
        <f>SUM(F165:F171)</f>
        <v>1</v>
      </c>
      <c r="G172" s="5">
        <f>SUM(G165:G171)</f>
        <v>0</v>
      </c>
      <c r="H172" s="5">
        <f>SUM(H165:H171)</f>
        <v>0</v>
      </c>
      <c r="I172" s="5">
        <f>SUM(I165:I171)</f>
        <v>1</v>
      </c>
      <c r="J172" s="5">
        <f>SUM(J165:J171)</f>
        <v>3</v>
      </c>
      <c r="K172" s="5">
        <f>SUM(K165:K171)</f>
        <v>0</v>
      </c>
      <c r="L172" s="5">
        <f>SUM(L165:L171)</f>
        <v>0</v>
      </c>
      <c r="M172" s="5">
        <f>SUM(M165:M171)</f>
        <v>0</v>
      </c>
      <c r="N172" s="5">
        <f>SUM(N165:N171)</f>
        <v>0</v>
      </c>
      <c r="O172" s="5">
        <f>SUM(O165:O171)</f>
        <v>0</v>
      </c>
      <c r="P172" s="5">
        <f>SUM(P165:P171)</f>
        <v>0</v>
      </c>
      <c r="Q172" s="5">
        <f>SUM(Q165:Q171)</f>
        <v>0</v>
      </c>
      <c r="R172" s="5">
        <f>SUM(R165:R171)</f>
        <v>0</v>
      </c>
      <c r="S172" s="5">
        <f>SUM(S165:S171)</f>
        <v>0</v>
      </c>
      <c r="T172" s="5">
        <f>SUM(T165:T171)</f>
        <v>5</v>
      </c>
    </row>
    <row r="173" spans="1:20" x14ac:dyDescent="0.4">
      <c r="A173" s="61"/>
      <c r="B173" s="62"/>
      <c r="C173" s="62"/>
      <c r="D173" s="62"/>
      <c r="E173" s="63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</row>
    <row r="174" spans="1:20" x14ac:dyDescent="0.4">
      <c r="A174" s="11" t="s">
        <v>48</v>
      </c>
      <c r="B174" s="17" t="s">
        <v>79</v>
      </c>
      <c r="C174" s="59" t="s">
        <v>80</v>
      </c>
      <c r="D174" s="60"/>
      <c r="E174" s="6">
        <v>0</v>
      </c>
      <c r="F174" s="6">
        <v>2</v>
      </c>
      <c r="G174" s="6">
        <v>0</v>
      </c>
      <c r="H174" s="6">
        <v>1</v>
      </c>
      <c r="I174" s="6">
        <v>0</v>
      </c>
      <c r="J174" s="6">
        <v>1</v>
      </c>
      <c r="K174" s="6">
        <v>1</v>
      </c>
      <c r="L174" s="6">
        <v>0</v>
      </c>
      <c r="M174" s="6">
        <v>0</v>
      </c>
      <c r="N174" s="6">
        <v>1</v>
      </c>
      <c r="O174" s="6">
        <v>4</v>
      </c>
      <c r="P174" s="6">
        <v>0</v>
      </c>
      <c r="Q174" s="6">
        <v>0</v>
      </c>
      <c r="R174" s="6">
        <v>0</v>
      </c>
      <c r="S174" s="6">
        <v>0</v>
      </c>
      <c r="T174" s="5">
        <f t="shared" ref="T174:T180" si="51">SUM(E174:S174)</f>
        <v>10</v>
      </c>
    </row>
    <row r="175" spans="1:20" x14ac:dyDescent="0.4">
      <c r="A175" s="11" t="s">
        <v>50</v>
      </c>
      <c r="B175" s="46"/>
      <c r="C175" s="24" t="s">
        <v>186</v>
      </c>
      <c r="D175" s="47"/>
      <c r="E175" s="6">
        <v>0</v>
      </c>
      <c r="F175" s="6">
        <v>1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5">
        <f t="shared" si="51"/>
        <v>1</v>
      </c>
    </row>
    <row r="176" spans="1:20" x14ac:dyDescent="0.4">
      <c r="A176" s="7"/>
      <c r="B176" s="46"/>
      <c r="C176" s="24" t="s">
        <v>187</v>
      </c>
      <c r="D176" s="47"/>
      <c r="E176" s="6">
        <v>3</v>
      </c>
      <c r="F176" s="6">
        <v>3</v>
      </c>
      <c r="G176" s="6">
        <v>7</v>
      </c>
      <c r="H176" s="6">
        <v>2</v>
      </c>
      <c r="I176" s="6">
        <v>2</v>
      </c>
      <c r="J176" s="6">
        <v>11</v>
      </c>
      <c r="K176" s="6">
        <v>15</v>
      </c>
      <c r="L176" s="6">
        <v>0</v>
      </c>
      <c r="M176" s="6">
        <v>2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5">
        <f t="shared" si="51"/>
        <v>45</v>
      </c>
    </row>
    <row r="177" spans="1:20" ht="13.15" customHeight="1" x14ac:dyDescent="0.4">
      <c r="A177" s="7"/>
      <c r="B177" s="46"/>
      <c r="C177" s="24" t="s">
        <v>188</v>
      </c>
      <c r="D177" s="47"/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5">
        <f t="shared" si="51"/>
        <v>0</v>
      </c>
    </row>
    <row r="178" spans="1:20" x14ac:dyDescent="0.4">
      <c r="A178" s="7"/>
      <c r="B178" s="46"/>
      <c r="C178" s="24" t="s">
        <v>189</v>
      </c>
      <c r="D178" s="47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5">
        <f t="shared" si="51"/>
        <v>0</v>
      </c>
    </row>
    <row r="179" spans="1:20" ht="12.75" customHeight="1" x14ac:dyDescent="0.4">
      <c r="A179" s="7"/>
      <c r="B179" s="46"/>
      <c r="C179" s="24" t="s">
        <v>190</v>
      </c>
      <c r="D179" s="47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1</v>
      </c>
      <c r="S179" s="6">
        <v>0</v>
      </c>
      <c r="T179" s="5">
        <f t="shared" si="51"/>
        <v>1</v>
      </c>
    </row>
    <row r="180" spans="1:20" x14ac:dyDescent="0.4">
      <c r="A180" s="7"/>
      <c r="B180" s="46"/>
      <c r="C180" s="24" t="s">
        <v>191</v>
      </c>
      <c r="D180" s="47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1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5">
        <f t="shared" si="51"/>
        <v>1</v>
      </c>
    </row>
    <row r="181" spans="1:20" ht="12.75" customHeight="1" x14ac:dyDescent="0.4">
      <c r="A181" s="6" t="s">
        <v>26</v>
      </c>
      <c r="B181" s="53" t="s">
        <v>51</v>
      </c>
      <c r="C181" s="54"/>
      <c r="D181" s="55"/>
      <c r="E181" s="5">
        <f>SUM(E174:E180)</f>
        <v>3</v>
      </c>
      <c r="F181" s="5">
        <f>SUM(F174:F180)</f>
        <v>6</v>
      </c>
      <c r="G181" s="5">
        <f>SUM(G174:G180)</f>
        <v>7</v>
      </c>
      <c r="H181" s="5">
        <f>SUM(H174:H180)</f>
        <v>3</v>
      </c>
      <c r="I181" s="5">
        <f>SUM(I174:I180)</f>
        <v>2</v>
      </c>
      <c r="J181" s="5">
        <f>SUM(J174:J180)</f>
        <v>12</v>
      </c>
      <c r="K181" s="5">
        <f>SUM(K174:K180)</f>
        <v>16</v>
      </c>
      <c r="L181" s="5">
        <f>SUM(L174:L180)</f>
        <v>0</v>
      </c>
      <c r="M181" s="5">
        <f>SUM(M174:M180)</f>
        <v>2</v>
      </c>
      <c r="N181" s="5">
        <f>SUM(N174:N180)</f>
        <v>2</v>
      </c>
      <c r="O181" s="5">
        <f>SUM(O174:O180)</f>
        <v>4</v>
      </c>
      <c r="P181" s="5">
        <f>SUM(P174:P180)</f>
        <v>0</v>
      </c>
      <c r="Q181" s="5">
        <f>SUM(Q174:Q180)</f>
        <v>0</v>
      </c>
      <c r="R181" s="5">
        <f>SUM(R174:R180)</f>
        <v>1</v>
      </c>
      <c r="S181" s="5">
        <f>SUM(S174:S180)</f>
        <v>0</v>
      </c>
      <c r="T181" s="5">
        <f>SUM(T174:T180)</f>
        <v>58</v>
      </c>
    </row>
    <row r="182" spans="1:20" x14ac:dyDescent="0.4">
      <c r="A182" s="61"/>
      <c r="B182" s="62"/>
      <c r="C182" s="62"/>
      <c r="D182" s="62"/>
      <c r="E182" s="63"/>
    </row>
    <row r="183" spans="1:20" x14ac:dyDescent="0.4">
      <c r="A183" s="11" t="s">
        <v>48</v>
      </c>
      <c r="B183" s="17" t="s">
        <v>81</v>
      </c>
      <c r="C183" s="59" t="s">
        <v>82</v>
      </c>
      <c r="D183" s="60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5">
        <f t="shared" ref="T183:T184" si="52">SUM(E183:S183)</f>
        <v>0</v>
      </c>
    </row>
    <row r="184" spans="1:20" x14ac:dyDescent="0.4">
      <c r="A184" s="11" t="s">
        <v>50</v>
      </c>
      <c r="B184" s="46"/>
      <c r="C184" s="24" t="s">
        <v>192</v>
      </c>
      <c r="D184" s="47"/>
      <c r="E184" s="6">
        <v>0</v>
      </c>
      <c r="F184" s="6">
        <v>1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1</v>
      </c>
      <c r="M184" s="6">
        <v>0</v>
      </c>
      <c r="N184" s="6">
        <v>0</v>
      </c>
      <c r="O184" s="6">
        <v>6</v>
      </c>
      <c r="P184" s="6">
        <v>0</v>
      </c>
      <c r="Q184" s="6">
        <v>0</v>
      </c>
      <c r="R184" s="6">
        <v>0</v>
      </c>
      <c r="S184" s="6">
        <v>0</v>
      </c>
      <c r="T184" s="5">
        <f t="shared" si="52"/>
        <v>8</v>
      </c>
    </row>
    <row r="185" spans="1:20" x14ac:dyDescent="0.4">
      <c r="A185" s="6" t="s">
        <v>26</v>
      </c>
      <c r="B185" s="53" t="s">
        <v>51</v>
      </c>
      <c r="C185" s="54"/>
      <c r="D185" s="55"/>
      <c r="E185" s="5">
        <f>SUM(E183:E184)</f>
        <v>0</v>
      </c>
      <c r="F185" s="5">
        <f>SUM(F183:F184)</f>
        <v>1</v>
      </c>
      <c r="G185" s="5">
        <f>SUM(G183:G184)</f>
        <v>0</v>
      </c>
      <c r="H185" s="5">
        <f>SUM(H183:H184)</f>
        <v>0</v>
      </c>
      <c r="I185" s="5">
        <f>SUM(I183:I184)</f>
        <v>0</v>
      </c>
      <c r="J185" s="5">
        <f>SUM(J183:J184)</f>
        <v>0</v>
      </c>
      <c r="K185" s="5">
        <f>SUM(K183:K184)</f>
        <v>0</v>
      </c>
      <c r="L185" s="5">
        <f>SUM(L183:L184)</f>
        <v>1</v>
      </c>
      <c r="M185" s="5">
        <f>SUM(M183:M184)</f>
        <v>0</v>
      </c>
      <c r="N185" s="5">
        <f>SUM(N183:N184)</f>
        <v>0</v>
      </c>
      <c r="O185" s="5">
        <f>SUM(O183:O184)</f>
        <v>6</v>
      </c>
      <c r="P185" s="5">
        <f>SUM(P183:P184)</f>
        <v>0</v>
      </c>
      <c r="Q185" s="5">
        <f>SUM(Q183:Q184)</f>
        <v>0</v>
      </c>
      <c r="R185" s="5">
        <f>SUM(R183:R184)</f>
        <v>0</v>
      </c>
      <c r="S185" s="5">
        <f>SUM(S183:S184)</f>
        <v>0</v>
      </c>
      <c r="T185" s="5">
        <f>SUM(T183:T184)</f>
        <v>8</v>
      </c>
    </row>
    <row r="187" spans="1:20" x14ac:dyDescent="0.4">
      <c r="A187" s="16" t="s">
        <v>83</v>
      </c>
      <c r="B187" s="56" t="s">
        <v>84</v>
      </c>
      <c r="C187" s="57"/>
      <c r="D187" s="58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spans="1:20" x14ac:dyDescent="0.4">
      <c r="A188" s="16"/>
      <c r="B188" s="19" t="s">
        <v>85</v>
      </c>
      <c r="C188" s="51" t="s">
        <v>86</v>
      </c>
      <c r="D188" s="52"/>
      <c r="E188" s="6">
        <f>E52+E61+E70+E79+E88+E92+E101+E110+E119+E128+E131+E140+E149+E158+E163+E172+E181+E185</f>
        <v>226</v>
      </c>
      <c r="F188" s="6">
        <f>F52+F61+F70+F79+F88+F92+F101+F110+F119+F128+F131+F140+F149+F158+F163+F172+F181+F185</f>
        <v>183</v>
      </c>
      <c r="G188" s="6">
        <f>G52+G61+G70+G79+G88+G92+G101+G110+G119+G128+G131+G140+G149+G158+G163+G172+G181+G185</f>
        <v>154</v>
      </c>
      <c r="H188" s="6">
        <f>H52+H61+H70+H79+H88+H92+H101+H110+H119+H128+H131+H140+H149+H158+H163+H172+H181+H185</f>
        <v>202</v>
      </c>
      <c r="I188" s="6">
        <f>I52+I61+I70+I79+I88+I92+I101+I110+I119+I128+I131+I140+I149+I158+I163+I172+I181+I185</f>
        <v>100</v>
      </c>
      <c r="J188" s="6">
        <f>J52+J61+J70+J79+J88+J92+J101+J110+J119+J128+J131+J140+J149+J158+J163+J172+J181+J185</f>
        <v>199</v>
      </c>
      <c r="K188" s="6">
        <f>K52+K61+K70+K79+K88+K92+K101+K110+K119+K128+K131+K140+K149+K158+K163+K172+K181+K185</f>
        <v>189</v>
      </c>
      <c r="L188" s="6">
        <f>L52+L61+L70+L79+L88+L92+L101+L110+L119+L128+L131+L140+L149+L158+L163+L172+L181+L185</f>
        <v>169</v>
      </c>
      <c r="M188" s="6">
        <f>M52+M61+M70+M79+M88+M92+M101+M110+M119+M128+M131+M140+M149+M158+M163+M172+M181+M185</f>
        <v>164</v>
      </c>
      <c r="N188" s="6">
        <f>N52+N61+N70+N79+N88+N92+N101+N110+N119+N128+N131+N140+N149+N158+N163+N172+N181+N185</f>
        <v>215</v>
      </c>
      <c r="O188" s="6">
        <f>O52+O61+O70+O79+O88+O92+O101+O110+O119+O128+O131+O140+O149+O158+O163+O172+O181+O185</f>
        <v>217</v>
      </c>
      <c r="P188" s="6">
        <f>P52+P61+P70+P79+P88+P92+P101+P110+P119+P128+P131+P140+P149+P158+P163+P172+P181+P185</f>
        <v>200</v>
      </c>
      <c r="Q188" s="6">
        <f>Q52+Q61+Q70+Q79+Q88+Q92+Q101+Q110+Q119+Q128+Q131+Q140+Q149+Q158+Q163+Q172+Q181+Q185</f>
        <v>200</v>
      </c>
      <c r="R188" s="6">
        <f>R52+R61+R70+R79+R88+R92+R101+R110+R119+R128+R131+R140+R149+R158+R163+R172+R181+R185</f>
        <v>185</v>
      </c>
      <c r="S188" s="6">
        <f>S52+S61+S70+S79+S88+S92+S101+S110+S119+S128+S131+S140+S149+S158+S163+S172+S181+S185</f>
        <v>232</v>
      </c>
      <c r="T188" s="5">
        <f>SUM(E188:S188)</f>
        <v>2835</v>
      </c>
    </row>
    <row r="189" spans="1:20" x14ac:dyDescent="0.4">
      <c r="A189" s="13"/>
      <c r="B189" s="19" t="s">
        <v>87</v>
      </c>
      <c r="C189" s="51" t="s">
        <v>88</v>
      </c>
      <c r="D189" s="52"/>
      <c r="E189" s="6">
        <v>4</v>
      </c>
      <c r="F189" s="6">
        <v>3</v>
      </c>
      <c r="G189" s="6">
        <v>6</v>
      </c>
      <c r="H189" s="6">
        <v>12</v>
      </c>
      <c r="I189" s="6">
        <v>4</v>
      </c>
      <c r="J189" s="6">
        <v>10</v>
      </c>
      <c r="K189" s="6">
        <v>10</v>
      </c>
      <c r="L189" s="6">
        <v>5</v>
      </c>
      <c r="M189" s="6">
        <v>10</v>
      </c>
      <c r="N189" s="6">
        <v>15</v>
      </c>
      <c r="O189" s="6">
        <v>8</v>
      </c>
      <c r="P189" s="6">
        <v>18</v>
      </c>
      <c r="Q189" s="6">
        <v>18</v>
      </c>
      <c r="R189" s="6">
        <v>5</v>
      </c>
      <c r="S189" s="6">
        <v>10</v>
      </c>
      <c r="T189" s="5">
        <f>SUM(E189:S189)</f>
        <v>138</v>
      </c>
    </row>
    <row r="190" spans="1:20" x14ac:dyDescent="0.4">
      <c r="A190" s="14"/>
      <c r="B190" s="19" t="s">
        <v>89</v>
      </c>
      <c r="C190" s="51" t="s">
        <v>90</v>
      </c>
      <c r="D190" s="52"/>
      <c r="E190" s="5">
        <f>SUM(E188:E189)</f>
        <v>230</v>
      </c>
      <c r="F190" s="5">
        <f t="shared" ref="F190:K190" si="53">SUM(F188:F189)</f>
        <v>186</v>
      </c>
      <c r="G190" s="5">
        <f t="shared" si="53"/>
        <v>160</v>
      </c>
      <c r="H190" s="5">
        <f t="shared" si="53"/>
        <v>214</v>
      </c>
      <c r="I190" s="5">
        <f t="shared" si="53"/>
        <v>104</v>
      </c>
      <c r="J190" s="5">
        <f t="shared" si="53"/>
        <v>209</v>
      </c>
      <c r="K190" s="5">
        <f t="shared" si="53"/>
        <v>199</v>
      </c>
      <c r="L190" s="5">
        <f t="shared" ref="L190:S190" si="54">SUM(L188:L189)</f>
        <v>174</v>
      </c>
      <c r="M190" s="5">
        <f t="shared" si="54"/>
        <v>174</v>
      </c>
      <c r="N190" s="5">
        <f t="shared" si="54"/>
        <v>230</v>
      </c>
      <c r="O190" s="5">
        <f t="shared" si="54"/>
        <v>225</v>
      </c>
      <c r="P190" s="5">
        <f t="shared" ref="P190:R190" si="55">SUM(P188:P189)</f>
        <v>218</v>
      </c>
      <c r="Q190" s="5">
        <f t="shared" ref="Q190" si="56">SUM(Q188:Q189)</f>
        <v>218</v>
      </c>
      <c r="R190" s="5">
        <f t="shared" si="55"/>
        <v>190</v>
      </c>
      <c r="S190" s="5">
        <f t="shared" si="54"/>
        <v>242</v>
      </c>
      <c r="T190" s="5">
        <f>SUM(E190:S190)</f>
        <v>2973</v>
      </c>
    </row>
  </sheetData>
  <mergeCells count="87">
    <mergeCell ref="A17:D17"/>
    <mergeCell ref="B18:D18"/>
    <mergeCell ref="B19:B21"/>
    <mergeCell ref="C19:C21"/>
    <mergeCell ref="B22:B24"/>
    <mergeCell ref="C22:C24"/>
    <mergeCell ref="B12:D12"/>
    <mergeCell ref="E12:S12"/>
    <mergeCell ref="T12:T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O37"/>
    <mergeCell ref="B38:D38"/>
    <mergeCell ref="A42:D42"/>
    <mergeCell ref="E42:O42"/>
    <mergeCell ref="B43:D43"/>
    <mergeCell ref="B39:C41"/>
    <mergeCell ref="A44:D44"/>
    <mergeCell ref="C45:D45"/>
    <mergeCell ref="C81:D81"/>
    <mergeCell ref="B52:D52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112:D112"/>
    <mergeCell ref="B88:D88"/>
    <mergeCell ref="A89:E89"/>
    <mergeCell ref="C90:D90"/>
    <mergeCell ref="B92:D92"/>
    <mergeCell ref="A93:E93"/>
    <mergeCell ref="C94:D94"/>
    <mergeCell ref="B101:D101"/>
    <mergeCell ref="A102:E102"/>
    <mergeCell ref="C103:D103"/>
    <mergeCell ref="B110:D110"/>
    <mergeCell ref="A111:E111"/>
    <mergeCell ref="C91:D91"/>
    <mergeCell ref="C142:D142"/>
    <mergeCell ref="B119:D119"/>
    <mergeCell ref="A120:E120"/>
    <mergeCell ref="C121:D121"/>
    <mergeCell ref="B128:D128"/>
    <mergeCell ref="A129:E129"/>
    <mergeCell ref="C130:D130"/>
    <mergeCell ref="B131:D131"/>
    <mergeCell ref="A132:E132"/>
    <mergeCell ref="C133:D133"/>
    <mergeCell ref="B140:D140"/>
    <mergeCell ref="A141:E141"/>
    <mergeCell ref="C189:D189"/>
    <mergeCell ref="C190:D190"/>
    <mergeCell ref="B181:D181"/>
    <mergeCell ref="A182:E182"/>
    <mergeCell ref="C183:D183"/>
    <mergeCell ref="B185:D185"/>
    <mergeCell ref="B187:D187"/>
    <mergeCell ref="C188:D188"/>
    <mergeCell ref="C174:D174"/>
    <mergeCell ref="B149:D149"/>
    <mergeCell ref="A150:E150"/>
    <mergeCell ref="C151:D151"/>
    <mergeCell ref="B158:D158"/>
    <mergeCell ref="A159:E159"/>
    <mergeCell ref="C160:D160"/>
    <mergeCell ref="B163:D163"/>
    <mergeCell ref="A164:E164"/>
    <mergeCell ref="C165:D165"/>
    <mergeCell ref="B172:D172"/>
    <mergeCell ref="A173:E173"/>
  </mergeCells>
  <phoneticPr fontId="8" type="noConversion"/>
  <conditionalFormatting sqref="E14:S15">
    <cfRule type="containsBlanks" dxfId="257" priority="23">
      <formula>LEN(TRIM(E14))=0</formula>
    </cfRule>
  </conditionalFormatting>
  <conditionalFormatting sqref="E19:S20">
    <cfRule type="containsBlanks" dxfId="256" priority="26">
      <formula>LEN(TRIM(E19))=0</formula>
    </cfRule>
  </conditionalFormatting>
  <conditionalFormatting sqref="E22:S23 E25:S26 E33:S33 E35:S35 E39:S40">
    <cfRule type="containsBlanks" dxfId="255" priority="27">
      <formula>LEN(TRIM(E22))=0</formula>
    </cfRule>
  </conditionalFormatting>
  <conditionalFormatting sqref="E30:S30">
    <cfRule type="expression" dxfId="254" priority="28">
      <formula>E30&lt;&gt;E47</formula>
    </cfRule>
    <cfRule type="expression" dxfId="253" priority="29">
      <formula>E30&lt;&gt;E34</formula>
    </cfRule>
  </conditionalFormatting>
  <conditionalFormatting sqref="E45:S51">
    <cfRule type="containsBlanks" dxfId="252" priority="22">
      <formula>LEN(TRIM(E45))=0</formula>
    </cfRule>
  </conditionalFormatting>
  <conditionalFormatting sqref="E54:S60">
    <cfRule type="containsBlanks" dxfId="251" priority="21">
      <formula>LEN(TRIM(E54))=0</formula>
    </cfRule>
  </conditionalFormatting>
  <conditionalFormatting sqref="E63:S69">
    <cfRule type="containsBlanks" dxfId="250" priority="20">
      <formula>LEN(TRIM(E63))=0</formula>
    </cfRule>
  </conditionalFormatting>
  <conditionalFormatting sqref="E72:S78">
    <cfRule type="containsBlanks" dxfId="249" priority="19">
      <formula>LEN(TRIM(E72))=0</formula>
    </cfRule>
  </conditionalFormatting>
  <conditionalFormatting sqref="E81:S87">
    <cfRule type="containsBlanks" dxfId="248" priority="18">
      <formula>LEN(TRIM(E81))=0</formula>
    </cfRule>
  </conditionalFormatting>
  <conditionalFormatting sqref="E90:S91">
    <cfRule type="containsBlanks" dxfId="247" priority="17">
      <formula>LEN(TRIM(E90))=0</formula>
    </cfRule>
  </conditionalFormatting>
  <conditionalFormatting sqref="E94:S100">
    <cfRule type="containsBlanks" dxfId="246" priority="3">
      <formula>LEN(TRIM(E94))=0</formula>
    </cfRule>
  </conditionalFormatting>
  <conditionalFormatting sqref="E103:S109">
    <cfRule type="containsBlanks" dxfId="245" priority="16">
      <formula>LEN(TRIM(E103))=0</formula>
    </cfRule>
  </conditionalFormatting>
  <conditionalFormatting sqref="E121:S127">
    <cfRule type="containsBlanks" dxfId="243" priority="5">
      <formula>LEN(TRIM(E121))=0</formula>
    </cfRule>
  </conditionalFormatting>
  <conditionalFormatting sqref="E133:S139">
    <cfRule type="containsBlanks" dxfId="241" priority="13">
      <formula>LEN(TRIM(E133))=0</formula>
    </cfRule>
  </conditionalFormatting>
  <conditionalFormatting sqref="E142:S148">
    <cfRule type="containsBlanks" dxfId="240" priority="12">
      <formula>LEN(TRIM(E142))=0</formula>
    </cfRule>
  </conditionalFormatting>
  <conditionalFormatting sqref="E151:S157">
    <cfRule type="containsBlanks" dxfId="239" priority="11">
      <formula>LEN(TRIM(E151))=0</formula>
    </cfRule>
  </conditionalFormatting>
  <conditionalFormatting sqref="E160:S162">
    <cfRule type="containsBlanks" dxfId="238" priority="10">
      <formula>LEN(TRIM(E160))=0</formula>
    </cfRule>
  </conditionalFormatting>
  <conditionalFormatting sqref="E165:S171">
    <cfRule type="containsBlanks" dxfId="237" priority="9">
      <formula>LEN(TRIM(E165))=0</formula>
    </cfRule>
  </conditionalFormatting>
  <conditionalFormatting sqref="E174:S180">
    <cfRule type="containsBlanks" dxfId="236" priority="8">
      <formula>LEN(TRIM(E174))=0</formula>
    </cfRule>
  </conditionalFormatting>
  <conditionalFormatting sqref="E183:S184">
    <cfRule type="containsBlanks" dxfId="235" priority="6">
      <formula>LEN(TRIM(E183))=0</formula>
    </cfRule>
  </conditionalFormatting>
  <conditionalFormatting sqref="E188:S189">
    <cfRule type="containsBlanks" dxfId="234" priority="4">
      <formula>LEN(TRIM(E188))=0</formula>
    </cfRule>
  </conditionalFormatting>
  <conditionalFormatting sqref="E34:S34">
    <cfRule type="expression" dxfId="233" priority="147">
      <formula>E30&lt;&gt;E34</formula>
    </cfRule>
    <cfRule type="expression" dxfId="232" priority="148">
      <formula>E30=E34</formula>
    </cfRule>
    <cfRule type="expression" dxfId="231" priority="149">
      <formula>E34&lt;&gt;E30</formula>
    </cfRule>
    <cfRule type="expression" dxfId="230" priority="150">
      <formula>E34&lt;&gt;#REF!</formula>
    </cfRule>
  </conditionalFormatting>
  <conditionalFormatting sqref="E112:S118">
    <cfRule type="containsBlanks" dxfId="5" priority="2">
      <formula>LEN(TRIM(E112))=0</formula>
    </cfRule>
  </conditionalFormatting>
  <conditionalFormatting sqref="E130:S130">
    <cfRule type="containsBlanks" dxfId="4" priority="1">
      <formula>LEN(TRIM(E130))=0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125-44C6-45E0-9BD0-378297BA2350}">
  <sheetPr>
    <tabColor rgb="FF92D050"/>
  </sheetPr>
  <dimension ref="A2:N190"/>
  <sheetViews>
    <sheetView topLeftCell="A13" zoomScale="85" zoomScaleNormal="85" workbookViewId="0">
      <pane ySplit="1" topLeftCell="A179" activePane="bottomLeft" state="frozen"/>
      <selection activeCell="E14" sqref="E14"/>
      <selection pane="bottomLeft" activeCell="N190" sqref="N190"/>
    </sheetView>
  </sheetViews>
  <sheetFormatPr defaultRowHeight="13.15" x14ac:dyDescent="0.4"/>
  <cols>
    <col min="3" max="3" width="67.140625" bestFit="1" customWidth="1"/>
    <col min="4" max="4" width="5.85546875" bestFit="1" customWidth="1"/>
    <col min="14" max="14" width="13.28515625" customWidth="1"/>
  </cols>
  <sheetData>
    <row r="2" spans="1:14" x14ac:dyDescent="0.4">
      <c r="C2" s="43" t="s">
        <v>98</v>
      </c>
      <c r="D2" s="43" t="s">
        <v>105</v>
      </c>
    </row>
    <row r="3" spans="1:14" x14ac:dyDescent="0.4">
      <c r="C3" s="43" t="s">
        <v>99</v>
      </c>
      <c r="D3" s="43" t="s">
        <v>100</v>
      </c>
    </row>
    <row r="4" spans="1:14" x14ac:dyDescent="0.4">
      <c r="C4" s="43" t="s">
        <v>101</v>
      </c>
      <c r="D4" s="43" t="s">
        <v>102</v>
      </c>
    </row>
    <row r="5" spans="1:14" x14ac:dyDescent="0.4">
      <c r="C5" s="43"/>
      <c r="D5" s="43"/>
    </row>
    <row r="6" spans="1:14" x14ac:dyDescent="0.4">
      <c r="C6" s="43"/>
      <c r="D6" s="43"/>
    </row>
    <row r="7" spans="1:14" x14ac:dyDescent="0.4">
      <c r="C7" s="43"/>
      <c r="D7" s="43"/>
    </row>
    <row r="8" spans="1:14" x14ac:dyDescent="0.4">
      <c r="C8" s="43"/>
      <c r="D8" s="43"/>
    </row>
    <row r="9" spans="1:14" x14ac:dyDescent="0.4">
      <c r="C9" s="43" t="s">
        <v>103</v>
      </c>
      <c r="D9" s="43" t="s">
        <v>195</v>
      </c>
    </row>
    <row r="11" spans="1:14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</row>
    <row r="12" spans="1:14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2" t="s">
        <v>97</v>
      </c>
    </row>
    <row r="13" spans="1:14" x14ac:dyDescent="0.4">
      <c r="A13" s="6" t="s">
        <v>2</v>
      </c>
      <c r="B13" s="78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93"/>
    </row>
    <row r="14" spans="1:14" x14ac:dyDescent="0.4">
      <c r="A14" s="7"/>
      <c r="B14" s="81" t="s">
        <v>22</v>
      </c>
      <c r="C14" s="68"/>
      <c r="D14" s="6" t="s">
        <v>23</v>
      </c>
      <c r="E14" s="6">
        <v>125</v>
      </c>
      <c r="F14" s="6">
        <v>119</v>
      </c>
      <c r="G14" s="6">
        <v>113</v>
      </c>
      <c r="H14" s="6">
        <v>136</v>
      </c>
      <c r="I14" s="6">
        <v>139</v>
      </c>
      <c r="J14" s="6">
        <v>128</v>
      </c>
      <c r="K14" s="6">
        <v>139</v>
      </c>
      <c r="L14" s="6">
        <v>138</v>
      </c>
      <c r="M14" s="6">
        <v>91</v>
      </c>
      <c r="N14" s="5">
        <f>SUM(E14:M14)</f>
        <v>1128</v>
      </c>
    </row>
    <row r="15" spans="1:14" x14ac:dyDescent="0.4">
      <c r="A15" s="7"/>
      <c r="B15" s="82"/>
      <c r="C15" s="75"/>
      <c r="D15" s="6" t="s">
        <v>24</v>
      </c>
      <c r="E15" s="6">
        <v>115</v>
      </c>
      <c r="F15" s="6">
        <v>118</v>
      </c>
      <c r="G15" s="6">
        <v>131</v>
      </c>
      <c r="H15" s="6">
        <v>138</v>
      </c>
      <c r="I15" s="6">
        <v>149</v>
      </c>
      <c r="J15" s="6">
        <v>144</v>
      </c>
      <c r="K15" s="6">
        <v>143</v>
      </c>
      <c r="L15" s="6">
        <v>140</v>
      </c>
      <c r="M15" s="6">
        <v>92</v>
      </c>
      <c r="N15" s="5">
        <f>SUM(E15:M15)</f>
        <v>1170</v>
      </c>
    </row>
    <row r="16" spans="1:14" x14ac:dyDescent="0.4">
      <c r="A16" s="8"/>
      <c r="B16" s="80"/>
      <c r="C16" s="76"/>
      <c r="D16" s="5" t="s">
        <v>25</v>
      </c>
      <c r="E16" s="5">
        <f t="shared" ref="E16:M16" si="0">SUM(E14:E15)</f>
        <v>240</v>
      </c>
      <c r="F16" s="5">
        <f t="shared" si="0"/>
        <v>237</v>
      </c>
      <c r="G16" s="5">
        <f t="shared" si="0"/>
        <v>244</v>
      </c>
      <c r="H16" s="5">
        <f t="shared" si="0"/>
        <v>274</v>
      </c>
      <c r="I16" s="5">
        <f t="shared" si="0"/>
        <v>288</v>
      </c>
      <c r="J16" s="5">
        <f t="shared" si="0"/>
        <v>272</v>
      </c>
      <c r="K16" s="5">
        <f t="shared" si="0"/>
        <v>282</v>
      </c>
      <c r="L16" s="5">
        <f t="shared" si="0"/>
        <v>278</v>
      </c>
      <c r="M16" s="5">
        <f t="shared" si="0"/>
        <v>183</v>
      </c>
      <c r="N16" s="5">
        <f>SUM(E16:M16)</f>
        <v>2298</v>
      </c>
    </row>
    <row r="17" spans="1:14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28"/>
    </row>
    <row r="18" spans="1:14" x14ac:dyDescent="0.4">
      <c r="A18" s="11" t="s">
        <v>26</v>
      </c>
      <c r="B18" s="78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28"/>
    </row>
    <row r="19" spans="1:14" x14ac:dyDescent="0.4">
      <c r="A19" s="11"/>
      <c r="B19" s="83" t="s">
        <v>28</v>
      </c>
      <c r="C19" s="84" t="s">
        <v>29</v>
      </c>
      <c r="D19" s="6" t="s">
        <v>23</v>
      </c>
      <c r="E19" s="6">
        <v>104</v>
      </c>
      <c r="F19" s="6">
        <v>93</v>
      </c>
      <c r="G19" s="6">
        <v>88</v>
      </c>
      <c r="H19" s="6">
        <v>109</v>
      </c>
      <c r="I19" s="6">
        <v>103</v>
      </c>
      <c r="J19" s="6">
        <v>107</v>
      </c>
      <c r="K19" s="6">
        <v>103</v>
      </c>
      <c r="L19" s="6">
        <v>93</v>
      </c>
      <c r="M19" s="6">
        <v>65</v>
      </c>
      <c r="N19" s="5">
        <f t="shared" ref="N19:N30" si="1">SUM(E19:M19)</f>
        <v>865</v>
      </c>
    </row>
    <row r="20" spans="1:14" x14ac:dyDescent="0.4">
      <c r="A20" s="12"/>
      <c r="B20" s="75"/>
      <c r="C20" s="85"/>
      <c r="D20" s="6" t="s">
        <v>24</v>
      </c>
      <c r="E20" s="6">
        <v>103</v>
      </c>
      <c r="F20" s="6">
        <v>96</v>
      </c>
      <c r="G20" s="6">
        <v>109</v>
      </c>
      <c r="H20" s="6">
        <v>117</v>
      </c>
      <c r="I20" s="6">
        <v>114</v>
      </c>
      <c r="J20" s="6">
        <v>119</v>
      </c>
      <c r="K20" s="6">
        <v>111</v>
      </c>
      <c r="L20" s="6">
        <v>101</v>
      </c>
      <c r="M20" s="6">
        <v>74</v>
      </c>
      <c r="N20" s="5">
        <f t="shared" si="1"/>
        <v>944</v>
      </c>
    </row>
    <row r="21" spans="1:14" x14ac:dyDescent="0.4">
      <c r="A21" s="13"/>
      <c r="B21" s="76"/>
      <c r="C21" s="86"/>
      <c r="D21" s="5" t="s">
        <v>25</v>
      </c>
      <c r="E21" s="5">
        <f t="shared" ref="E21:M21" si="2">SUM(E19:E20)</f>
        <v>207</v>
      </c>
      <c r="F21" s="5">
        <f t="shared" si="2"/>
        <v>189</v>
      </c>
      <c r="G21" s="5">
        <f t="shared" si="2"/>
        <v>197</v>
      </c>
      <c r="H21" s="5">
        <f t="shared" si="2"/>
        <v>226</v>
      </c>
      <c r="I21" s="5">
        <f t="shared" si="2"/>
        <v>217</v>
      </c>
      <c r="J21" s="5">
        <f t="shared" si="2"/>
        <v>226</v>
      </c>
      <c r="K21" s="5">
        <f t="shared" si="2"/>
        <v>214</v>
      </c>
      <c r="L21" s="5">
        <f t="shared" si="2"/>
        <v>194</v>
      </c>
      <c r="M21" s="5">
        <f t="shared" si="2"/>
        <v>139</v>
      </c>
      <c r="N21" s="5">
        <f t="shared" si="1"/>
        <v>1809</v>
      </c>
    </row>
    <row r="22" spans="1:14" x14ac:dyDescent="0.4">
      <c r="A22" s="12"/>
      <c r="B22" s="83" t="s">
        <v>30</v>
      </c>
      <c r="C22" s="84" t="s">
        <v>31</v>
      </c>
      <c r="D22" s="6" t="s">
        <v>23</v>
      </c>
      <c r="E22" s="6">
        <v>0</v>
      </c>
      <c r="F22" s="6">
        <v>0</v>
      </c>
      <c r="G22" s="6">
        <v>1</v>
      </c>
      <c r="H22" s="6">
        <v>0</v>
      </c>
      <c r="I22" s="6">
        <v>0</v>
      </c>
      <c r="J22" s="6">
        <v>1</v>
      </c>
      <c r="K22" s="6">
        <v>0</v>
      </c>
      <c r="L22" s="6">
        <v>0</v>
      </c>
      <c r="M22" s="6">
        <v>0</v>
      </c>
      <c r="N22" s="5">
        <f t="shared" si="1"/>
        <v>2</v>
      </c>
    </row>
    <row r="23" spans="1:14" x14ac:dyDescent="0.4">
      <c r="A23" s="12"/>
      <c r="B23" s="75"/>
      <c r="C23" s="85"/>
      <c r="D23" s="6" t="s">
        <v>24</v>
      </c>
      <c r="E23" s="6">
        <v>0</v>
      </c>
      <c r="F23" s="6">
        <v>0</v>
      </c>
      <c r="G23" s="6">
        <v>1</v>
      </c>
      <c r="H23" s="6">
        <v>0</v>
      </c>
      <c r="I23" s="6">
        <v>0</v>
      </c>
      <c r="J23" s="6">
        <v>1</v>
      </c>
      <c r="K23" s="6">
        <v>0</v>
      </c>
      <c r="L23" s="6">
        <v>2</v>
      </c>
      <c r="M23" s="6">
        <v>0</v>
      </c>
      <c r="N23" s="5">
        <f t="shared" si="1"/>
        <v>4</v>
      </c>
    </row>
    <row r="24" spans="1:14" x14ac:dyDescent="0.4">
      <c r="A24" s="13"/>
      <c r="B24" s="76"/>
      <c r="C24" s="86"/>
      <c r="D24" s="5" t="s">
        <v>25</v>
      </c>
      <c r="E24" s="5">
        <f t="shared" ref="E24:M24" si="3">SUM(E22:E23)</f>
        <v>0</v>
      </c>
      <c r="F24" s="5">
        <f t="shared" si="3"/>
        <v>0</v>
      </c>
      <c r="G24" s="5">
        <f t="shared" si="3"/>
        <v>2</v>
      </c>
      <c r="H24" s="5">
        <f t="shared" si="3"/>
        <v>0</v>
      </c>
      <c r="I24" s="5">
        <f t="shared" si="3"/>
        <v>0</v>
      </c>
      <c r="J24" s="5">
        <f t="shared" si="3"/>
        <v>2</v>
      </c>
      <c r="K24" s="5">
        <f t="shared" si="3"/>
        <v>0</v>
      </c>
      <c r="L24" s="5">
        <f t="shared" si="3"/>
        <v>2</v>
      </c>
      <c r="M24" s="5">
        <f t="shared" si="3"/>
        <v>0</v>
      </c>
      <c r="N24" s="5">
        <f t="shared" si="1"/>
        <v>6</v>
      </c>
    </row>
    <row r="25" spans="1:14" x14ac:dyDescent="0.4">
      <c r="A25" s="12"/>
      <c r="B25" s="83" t="s">
        <v>32</v>
      </c>
      <c r="C25" s="84" t="s">
        <v>33</v>
      </c>
      <c r="D25" s="6" t="s">
        <v>23</v>
      </c>
      <c r="E25" s="6">
        <v>3</v>
      </c>
      <c r="F25" s="6">
        <v>3</v>
      </c>
      <c r="G25" s="6">
        <v>0</v>
      </c>
      <c r="H25" s="6">
        <v>0</v>
      </c>
      <c r="I25" s="6">
        <v>1</v>
      </c>
      <c r="J25" s="6">
        <v>1</v>
      </c>
      <c r="K25" s="6">
        <v>0</v>
      </c>
      <c r="L25" s="6">
        <v>2</v>
      </c>
      <c r="M25" s="6">
        <v>1</v>
      </c>
      <c r="N25" s="5">
        <f t="shared" si="1"/>
        <v>11</v>
      </c>
    </row>
    <row r="26" spans="1:14" x14ac:dyDescent="0.4">
      <c r="A26" s="12"/>
      <c r="B26" s="75"/>
      <c r="C26" s="85"/>
      <c r="D26" s="6" t="s">
        <v>24</v>
      </c>
      <c r="E26" s="6">
        <v>0</v>
      </c>
      <c r="F26" s="6">
        <v>4</v>
      </c>
      <c r="G26" s="6">
        <v>0</v>
      </c>
      <c r="H26" s="6">
        <v>0</v>
      </c>
      <c r="I26" s="6">
        <v>1</v>
      </c>
      <c r="J26" s="6">
        <v>4</v>
      </c>
      <c r="K26" s="6">
        <v>0</v>
      </c>
      <c r="L26" s="6">
        <v>0</v>
      </c>
      <c r="M26" s="6">
        <v>1</v>
      </c>
      <c r="N26" s="5">
        <f t="shared" si="1"/>
        <v>10</v>
      </c>
    </row>
    <row r="27" spans="1:14" x14ac:dyDescent="0.4">
      <c r="A27" s="13"/>
      <c r="B27" s="76"/>
      <c r="C27" s="86"/>
      <c r="D27" s="5" t="s">
        <v>25</v>
      </c>
      <c r="E27" s="5">
        <f t="shared" ref="E27:M27" si="4">SUM(E25:E26)</f>
        <v>3</v>
      </c>
      <c r="F27" s="5">
        <f t="shared" si="4"/>
        <v>7</v>
      </c>
      <c r="G27" s="5">
        <f t="shared" si="4"/>
        <v>0</v>
      </c>
      <c r="H27" s="5">
        <f t="shared" si="4"/>
        <v>0</v>
      </c>
      <c r="I27" s="5">
        <f t="shared" si="4"/>
        <v>2</v>
      </c>
      <c r="J27" s="5">
        <f t="shared" si="4"/>
        <v>5</v>
      </c>
      <c r="K27" s="5">
        <f t="shared" si="4"/>
        <v>0</v>
      </c>
      <c r="L27" s="5">
        <f t="shared" si="4"/>
        <v>2</v>
      </c>
      <c r="M27" s="5">
        <f t="shared" si="4"/>
        <v>2</v>
      </c>
      <c r="N27" s="5">
        <f t="shared" si="1"/>
        <v>21</v>
      </c>
    </row>
    <row r="28" spans="1:14" x14ac:dyDescent="0.4">
      <c r="A28" s="13"/>
      <c r="B28" s="87" t="s">
        <v>34</v>
      </c>
      <c r="C28" s="88" t="s">
        <v>35</v>
      </c>
      <c r="D28" s="5" t="s">
        <v>23</v>
      </c>
      <c r="E28" s="5">
        <f>SUM(E19,E22,E25)</f>
        <v>107</v>
      </c>
      <c r="F28" s="5">
        <f t="shared" ref="F28:M29" si="5">SUM(F19,F22,F25)</f>
        <v>96</v>
      </c>
      <c r="G28" s="5">
        <f t="shared" si="5"/>
        <v>89</v>
      </c>
      <c r="H28" s="5">
        <f t="shared" si="5"/>
        <v>109</v>
      </c>
      <c r="I28" s="5">
        <f t="shared" si="5"/>
        <v>104</v>
      </c>
      <c r="J28" s="5">
        <f t="shared" si="5"/>
        <v>109</v>
      </c>
      <c r="K28" s="5">
        <f t="shared" si="5"/>
        <v>103</v>
      </c>
      <c r="L28" s="5">
        <f t="shared" si="5"/>
        <v>95</v>
      </c>
      <c r="M28" s="5">
        <f t="shared" si="5"/>
        <v>66</v>
      </c>
      <c r="N28" s="5">
        <f t="shared" si="1"/>
        <v>878</v>
      </c>
    </row>
    <row r="29" spans="1:14" x14ac:dyDescent="0.4">
      <c r="A29" s="13"/>
      <c r="B29" s="75"/>
      <c r="C29" s="85"/>
      <c r="D29" s="5" t="s">
        <v>24</v>
      </c>
      <c r="E29" s="5">
        <f>SUM(E20,E23,E26)</f>
        <v>103</v>
      </c>
      <c r="F29" s="5">
        <f t="shared" si="5"/>
        <v>100</v>
      </c>
      <c r="G29" s="5">
        <f t="shared" si="5"/>
        <v>110</v>
      </c>
      <c r="H29" s="5">
        <f t="shared" si="5"/>
        <v>117</v>
      </c>
      <c r="I29" s="5">
        <f t="shared" si="5"/>
        <v>115</v>
      </c>
      <c r="J29" s="5">
        <f t="shared" si="5"/>
        <v>124</v>
      </c>
      <c r="K29" s="5">
        <f t="shared" si="5"/>
        <v>111</v>
      </c>
      <c r="L29" s="5">
        <f t="shared" si="5"/>
        <v>103</v>
      </c>
      <c r="M29" s="5">
        <f t="shared" si="5"/>
        <v>75</v>
      </c>
      <c r="N29" s="5">
        <f t="shared" si="1"/>
        <v>958</v>
      </c>
    </row>
    <row r="30" spans="1:14" x14ac:dyDescent="0.4">
      <c r="A30" s="13"/>
      <c r="B30" s="76"/>
      <c r="C30" s="86"/>
      <c r="D30" s="5" t="s">
        <v>25</v>
      </c>
      <c r="E30" s="5">
        <f t="shared" ref="E30:M30" si="6">SUM(E28:E29)</f>
        <v>210</v>
      </c>
      <c r="F30" s="5">
        <f t="shared" si="6"/>
        <v>196</v>
      </c>
      <c r="G30" s="5">
        <f t="shared" si="6"/>
        <v>199</v>
      </c>
      <c r="H30" s="5">
        <f t="shared" si="6"/>
        <v>226</v>
      </c>
      <c r="I30" s="5">
        <f t="shared" si="6"/>
        <v>219</v>
      </c>
      <c r="J30" s="5">
        <f t="shared" si="6"/>
        <v>233</v>
      </c>
      <c r="K30" s="5">
        <f t="shared" si="6"/>
        <v>214</v>
      </c>
      <c r="L30" s="5">
        <f t="shared" si="6"/>
        <v>198</v>
      </c>
      <c r="M30" s="5">
        <f t="shared" si="6"/>
        <v>141</v>
      </c>
      <c r="N30" s="5">
        <f t="shared" si="1"/>
        <v>1836</v>
      </c>
    </row>
    <row r="31" spans="1:14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28"/>
    </row>
    <row r="32" spans="1:14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28"/>
    </row>
    <row r="33" spans="1:14" x14ac:dyDescent="0.4">
      <c r="A33" s="6">
        <v>1</v>
      </c>
      <c r="B33" s="78" t="s">
        <v>38</v>
      </c>
      <c r="C33" s="69"/>
      <c r="D33" s="60"/>
      <c r="E33" s="6">
        <v>245</v>
      </c>
      <c r="F33" s="6">
        <v>242</v>
      </c>
      <c r="G33" s="6">
        <v>249</v>
      </c>
      <c r="H33" s="6">
        <v>280</v>
      </c>
      <c r="I33" s="6">
        <v>294</v>
      </c>
      <c r="J33" s="6">
        <v>278</v>
      </c>
      <c r="K33" s="6">
        <v>288</v>
      </c>
      <c r="L33" s="6">
        <v>284</v>
      </c>
      <c r="M33" s="6">
        <v>187</v>
      </c>
      <c r="N33" s="5">
        <f>SUM(E33:M33)</f>
        <v>2347</v>
      </c>
    </row>
    <row r="34" spans="1:14" x14ac:dyDescent="0.4">
      <c r="A34" s="6">
        <v>2</v>
      </c>
      <c r="B34" s="78" t="s">
        <v>39</v>
      </c>
      <c r="C34" s="69"/>
      <c r="D34" s="60"/>
      <c r="E34" s="5">
        <v>210</v>
      </c>
      <c r="F34" s="5">
        <v>196</v>
      </c>
      <c r="G34" s="5">
        <v>199</v>
      </c>
      <c r="H34" s="5">
        <v>226</v>
      </c>
      <c r="I34" s="5">
        <v>219</v>
      </c>
      <c r="J34" s="5">
        <v>233</v>
      </c>
      <c r="K34" s="5">
        <v>214</v>
      </c>
      <c r="L34" s="5">
        <v>198</v>
      </c>
      <c r="M34" s="5">
        <v>141</v>
      </c>
      <c r="N34" s="5">
        <f>SUM(E34:M34)</f>
        <v>1836</v>
      </c>
    </row>
    <row r="35" spans="1:14" x14ac:dyDescent="0.4">
      <c r="A35" s="6">
        <v>3</v>
      </c>
      <c r="B35" s="78" t="s">
        <v>40</v>
      </c>
      <c r="C35" s="69"/>
      <c r="D35" s="60"/>
      <c r="E35" s="6">
        <v>3</v>
      </c>
      <c r="F35" s="6">
        <v>0</v>
      </c>
      <c r="G35" s="6">
        <v>1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  <c r="M35" s="6">
        <v>0</v>
      </c>
      <c r="N35" s="5">
        <f>SUM(E35:M35)</f>
        <v>5</v>
      </c>
    </row>
    <row r="36" spans="1:14" x14ac:dyDescent="0.4">
      <c r="A36" s="6">
        <v>4</v>
      </c>
      <c r="B36" s="78" t="s">
        <v>41</v>
      </c>
      <c r="C36" s="69"/>
      <c r="D36" s="60"/>
      <c r="E36" s="5">
        <f t="shared" ref="E36:M36" si="7">E33-(E34+E35)</f>
        <v>32</v>
      </c>
      <c r="F36" s="5">
        <f t="shared" si="7"/>
        <v>46</v>
      </c>
      <c r="G36" s="5">
        <f t="shared" si="7"/>
        <v>49</v>
      </c>
      <c r="H36" s="5">
        <f t="shared" si="7"/>
        <v>54</v>
      </c>
      <c r="I36" s="5">
        <f t="shared" si="7"/>
        <v>75</v>
      </c>
      <c r="J36" s="5">
        <f t="shared" si="7"/>
        <v>45</v>
      </c>
      <c r="K36" s="5">
        <f t="shared" si="7"/>
        <v>73</v>
      </c>
      <c r="L36" s="5">
        <f t="shared" si="7"/>
        <v>86</v>
      </c>
      <c r="M36" s="5">
        <f t="shared" si="7"/>
        <v>46</v>
      </c>
      <c r="N36" s="5">
        <f>SUM(E36:M36)</f>
        <v>506</v>
      </c>
    </row>
    <row r="37" spans="1:14" x14ac:dyDescent="0.4">
      <c r="A37" s="61"/>
      <c r="B37" s="69"/>
      <c r="C37" s="69"/>
      <c r="D37" s="69"/>
      <c r="E37" s="61"/>
      <c r="F37" s="89"/>
      <c r="G37" s="89"/>
      <c r="H37" s="89"/>
      <c r="I37" s="94"/>
      <c r="J37" s="6"/>
      <c r="K37" s="6"/>
      <c r="L37" s="6"/>
      <c r="M37" s="6"/>
      <c r="N37" s="28"/>
    </row>
    <row r="38" spans="1:14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28"/>
    </row>
    <row r="39" spans="1:14" x14ac:dyDescent="0.4">
      <c r="A39" s="11"/>
      <c r="B39" s="73" t="s">
        <v>44</v>
      </c>
      <c r="C39" s="68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5">
        <f>SUM(E39:M39)</f>
        <v>0</v>
      </c>
    </row>
    <row r="40" spans="1:14" x14ac:dyDescent="0.4">
      <c r="A40" s="12"/>
      <c r="B40" s="74"/>
      <c r="C40" s="75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5">
        <f>SUM(E40:M40)</f>
        <v>0</v>
      </c>
    </row>
    <row r="41" spans="1:14" x14ac:dyDescent="0.4">
      <c r="A41" s="14"/>
      <c r="B41" s="71"/>
      <c r="C41" s="76"/>
      <c r="D41" s="5" t="s">
        <v>25</v>
      </c>
      <c r="E41" s="5">
        <f t="shared" ref="E41:M41" si="8">SUM(E39:E40)</f>
        <v>0</v>
      </c>
      <c r="F41" s="5">
        <f t="shared" si="8"/>
        <v>0</v>
      </c>
      <c r="G41" s="5">
        <f t="shared" si="8"/>
        <v>0</v>
      </c>
      <c r="H41" s="5">
        <f t="shared" si="8"/>
        <v>0</v>
      </c>
      <c r="I41" s="5">
        <f t="shared" si="8"/>
        <v>0</v>
      </c>
      <c r="J41" s="5">
        <f t="shared" si="8"/>
        <v>0</v>
      </c>
      <c r="K41" s="5">
        <f t="shared" si="8"/>
        <v>0</v>
      </c>
      <c r="L41" s="5">
        <f t="shared" si="8"/>
        <v>0</v>
      </c>
      <c r="M41" s="5">
        <f t="shared" si="8"/>
        <v>0</v>
      </c>
      <c r="N41" s="5">
        <f>SUM(E41:M41)</f>
        <v>0</v>
      </c>
    </row>
    <row r="42" spans="1:14" x14ac:dyDescent="0.4">
      <c r="A42" s="70"/>
      <c r="B42" s="71"/>
      <c r="C42" s="71"/>
      <c r="D42" s="76"/>
      <c r="E42" s="61"/>
      <c r="F42" s="69"/>
      <c r="G42" s="69"/>
      <c r="H42" s="69"/>
      <c r="I42" s="60"/>
      <c r="J42" s="6"/>
      <c r="K42" s="6"/>
      <c r="L42" s="6"/>
      <c r="M42" s="6"/>
      <c r="N42" s="5"/>
    </row>
    <row r="43" spans="1:14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5"/>
    </row>
    <row r="44" spans="1:14" ht="13.15" customHeight="1" x14ac:dyDescent="0.4">
      <c r="A44" s="73" t="s">
        <v>47</v>
      </c>
      <c r="B44" s="77"/>
      <c r="C44" s="77"/>
      <c r="D44" s="68"/>
      <c r="E44" s="9"/>
      <c r="F44" s="6"/>
      <c r="G44" s="6"/>
      <c r="H44" s="6"/>
      <c r="I44" s="6"/>
      <c r="J44" s="6"/>
      <c r="K44" s="6"/>
      <c r="L44" s="6"/>
      <c r="M44" s="6"/>
      <c r="N44" s="5"/>
    </row>
    <row r="45" spans="1:14" x14ac:dyDescent="0.4">
      <c r="A45" s="11" t="s">
        <v>48</v>
      </c>
      <c r="B45" s="17" t="s">
        <v>28</v>
      </c>
      <c r="C45" s="59" t="s">
        <v>49</v>
      </c>
      <c r="D45" s="60"/>
      <c r="E45" s="6">
        <v>12</v>
      </c>
      <c r="F45" s="6">
        <v>14</v>
      </c>
      <c r="G45" s="6">
        <v>3</v>
      </c>
      <c r="H45" s="6">
        <v>9</v>
      </c>
      <c r="I45" s="6">
        <v>11</v>
      </c>
      <c r="J45" s="6">
        <v>7</v>
      </c>
      <c r="K45" s="6">
        <v>5</v>
      </c>
      <c r="L45" s="6">
        <v>7</v>
      </c>
      <c r="M45" s="6">
        <v>8</v>
      </c>
      <c r="N45" s="5">
        <f t="shared" ref="N45:N51" si="9">SUM(E45:M45)</f>
        <v>76</v>
      </c>
    </row>
    <row r="46" spans="1:14" x14ac:dyDescent="0.4">
      <c r="A46" s="11" t="s">
        <v>50</v>
      </c>
      <c r="B46" s="46"/>
      <c r="C46" s="24" t="s">
        <v>106</v>
      </c>
      <c r="D46" s="47"/>
      <c r="E46" s="6">
        <v>40</v>
      </c>
      <c r="F46" s="6">
        <v>57</v>
      </c>
      <c r="G46" s="6">
        <v>15</v>
      </c>
      <c r="H46" s="6">
        <v>38</v>
      </c>
      <c r="I46" s="6">
        <v>32</v>
      </c>
      <c r="J46" s="6">
        <v>57</v>
      </c>
      <c r="K46" s="6">
        <v>13</v>
      </c>
      <c r="L46" s="6">
        <v>55</v>
      </c>
      <c r="M46" s="6">
        <v>90</v>
      </c>
      <c r="N46" s="5">
        <f t="shared" si="9"/>
        <v>397</v>
      </c>
    </row>
    <row r="47" spans="1:14" x14ac:dyDescent="0.4">
      <c r="A47" s="7"/>
      <c r="B47" s="46"/>
      <c r="C47" s="24" t="s">
        <v>107</v>
      </c>
      <c r="D47" s="47"/>
      <c r="E47" s="6">
        <v>3</v>
      </c>
      <c r="F47" s="6">
        <v>5</v>
      </c>
      <c r="G47" s="6">
        <v>1</v>
      </c>
      <c r="H47" s="6">
        <v>3</v>
      </c>
      <c r="I47" s="6">
        <v>2</v>
      </c>
      <c r="J47" s="6">
        <v>0</v>
      </c>
      <c r="K47" s="6">
        <v>6</v>
      </c>
      <c r="L47" s="6">
        <v>6</v>
      </c>
      <c r="M47" s="6">
        <v>3</v>
      </c>
      <c r="N47" s="5">
        <f t="shared" si="9"/>
        <v>29</v>
      </c>
    </row>
    <row r="48" spans="1:14" x14ac:dyDescent="0.4">
      <c r="A48" s="7"/>
      <c r="B48" s="46"/>
      <c r="C48" s="24" t="s">
        <v>108</v>
      </c>
      <c r="D48" s="47"/>
      <c r="E48" s="6">
        <v>1</v>
      </c>
      <c r="F48" s="6">
        <v>0</v>
      </c>
      <c r="G48" s="6">
        <v>0</v>
      </c>
      <c r="H48" s="6">
        <v>1</v>
      </c>
      <c r="I48" s="6">
        <v>0</v>
      </c>
      <c r="J48" s="6">
        <v>0</v>
      </c>
      <c r="K48" s="6">
        <v>1</v>
      </c>
      <c r="L48" s="6">
        <v>0</v>
      </c>
      <c r="M48" s="6">
        <v>0</v>
      </c>
      <c r="N48" s="5">
        <f t="shared" si="9"/>
        <v>3</v>
      </c>
    </row>
    <row r="49" spans="1:14" x14ac:dyDescent="0.4">
      <c r="A49" s="7"/>
      <c r="B49" s="46"/>
      <c r="C49" s="24" t="s">
        <v>109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5">
        <f t="shared" si="9"/>
        <v>0</v>
      </c>
    </row>
    <row r="50" spans="1:14" x14ac:dyDescent="0.4">
      <c r="A50" s="7"/>
      <c r="B50" s="46"/>
      <c r="C50" s="24" t="s">
        <v>110</v>
      </c>
      <c r="D50" s="47"/>
      <c r="E50" s="6">
        <v>0</v>
      </c>
      <c r="F50" s="6">
        <v>0</v>
      </c>
      <c r="G50" s="6">
        <v>0</v>
      </c>
      <c r="H50" s="6">
        <v>1</v>
      </c>
      <c r="I50" s="6">
        <v>0</v>
      </c>
      <c r="J50" s="6">
        <v>0</v>
      </c>
      <c r="K50" s="6">
        <v>2</v>
      </c>
      <c r="L50" s="6">
        <v>0</v>
      </c>
      <c r="M50" s="6">
        <v>0</v>
      </c>
      <c r="N50" s="5">
        <f t="shared" si="9"/>
        <v>3</v>
      </c>
    </row>
    <row r="51" spans="1:14" x14ac:dyDescent="0.4">
      <c r="A51" s="7"/>
      <c r="B51" s="46"/>
      <c r="C51" s="24" t="s">
        <v>111</v>
      </c>
      <c r="D51" s="47"/>
      <c r="E51" s="6">
        <v>0</v>
      </c>
      <c r="F51" s="6">
        <v>1</v>
      </c>
      <c r="G51" s="6">
        <v>0</v>
      </c>
      <c r="H51" s="6">
        <v>0</v>
      </c>
      <c r="I51" s="6">
        <v>0</v>
      </c>
      <c r="J51" s="6">
        <v>1</v>
      </c>
      <c r="K51" s="6">
        <v>0</v>
      </c>
      <c r="L51" s="6">
        <v>0</v>
      </c>
      <c r="M51" s="6">
        <v>0</v>
      </c>
      <c r="N51" s="5">
        <f t="shared" si="9"/>
        <v>2</v>
      </c>
    </row>
    <row r="52" spans="1:14" x14ac:dyDescent="0.4">
      <c r="A52" s="6" t="s">
        <v>26</v>
      </c>
      <c r="B52" s="53" t="s">
        <v>51</v>
      </c>
      <c r="C52" s="69"/>
      <c r="D52" s="60"/>
      <c r="E52" s="5">
        <f>SUM(E45:E51)</f>
        <v>56</v>
      </c>
      <c r="F52" s="5">
        <f>SUM(F45:F51)</f>
        <v>77</v>
      </c>
      <c r="G52" s="5">
        <f>SUM(G45:G51)</f>
        <v>19</v>
      </c>
      <c r="H52" s="5">
        <f>SUM(H45:H51)</f>
        <v>52</v>
      </c>
      <c r="I52" s="5">
        <f>SUM(I45:I51)</f>
        <v>45</v>
      </c>
      <c r="J52" s="5">
        <f>SUM(J45:J51)</f>
        <v>65</v>
      </c>
      <c r="K52" s="5">
        <f>SUM(K45:K51)</f>
        <v>27</v>
      </c>
      <c r="L52" s="5">
        <f>SUM(L45:L51)</f>
        <v>68</v>
      </c>
      <c r="M52" s="5">
        <f>SUM(M45:M51)</f>
        <v>101</v>
      </c>
      <c r="N52" s="5">
        <f>SUM(N45:N51)</f>
        <v>510</v>
      </c>
    </row>
    <row r="53" spans="1:14" x14ac:dyDescent="0.4">
      <c r="A53" s="70"/>
      <c r="B53" s="71"/>
      <c r="C53" s="71"/>
      <c r="D53" s="71"/>
      <c r="E53" s="71"/>
      <c r="N53" s="5"/>
    </row>
    <row r="54" spans="1:14" x14ac:dyDescent="0.4">
      <c r="A54" s="11" t="s">
        <v>48</v>
      </c>
      <c r="B54" s="17" t="s">
        <v>30</v>
      </c>
      <c r="C54" s="59" t="s">
        <v>52</v>
      </c>
      <c r="D54" s="60"/>
      <c r="E54" s="6">
        <v>5</v>
      </c>
      <c r="F54" s="6">
        <v>7</v>
      </c>
      <c r="G54" s="6">
        <v>4</v>
      </c>
      <c r="H54" s="6">
        <v>7</v>
      </c>
      <c r="I54" s="6">
        <v>4</v>
      </c>
      <c r="J54" s="6">
        <v>8</v>
      </c>
      <c r="K54" s="6">
        <v>13</v>
      </c>
      <c r="L54" s="6">
        <v>7</v>
      </c>
      <c r="M54" s="6">
        <v>3</v>
      </c>
      <c r="N54" s="5">
        <f t="shared" ref="N54:N60" si="10">SUM(E54:M54)</f>
        <v>58</v>
      </c>
    </row>
    <row r="55" spans="1:14" x14ac:dyDescent="0.4">
      <c r="A55" s="11" t="s">
        <v>50</v>
      </c>
      <c r="B55" s="46"/>
      <c r="C55" s="24" t="s">
        <v>112</v>
      </c>
      <c r="D55" s="47"/>
      <c r="E55" s="6">
        <v>1</v>
      </c>
      <c r="F55" s="6">
        <v>4</v>
      </c>
      <c r="G55" s="6">
        <v>1</v>
      </c>
      <c r="H55" s="6">
        <v>1</v>
      </c>
      <c r="I55" s="6">
        <v>1</v>
      </c>
      <c r="J55" s="6">
        <v>4</v>
      </c>
      <c r="K55" s="6">
        <v>3</v>
      </c>
      <c r="L55" s="6">
        <v>0</v>
      </c>
      <c r="M55" s="6">
        <v>0</v>
      </c>
      <c r="N55" s="5">
        <f t="shared" si="10"/>
        <v>15</v>
      </c>
    </row>
    <row r="56" spans="1:14" x14ac:dyDescent="0.4">
      <c r="A56" s="7"/>
      <c r="B56" s="46"/>
      <c r="C56" s="24" t="s">
        <v>113</v>
      </c>
      <c r="D56" s="47"/>
      <c r="E56" s="6">
        <v>1</v>
      </c>
      <c r="F56" s="6">
        <v>2</v>
      </c>
      <c r="G56" s="6">
        <v>2</v>
      </c>
      <c r="H56" s="6">
        <v>4</v>
      </c>
      <c r="I56" s="6">
        <v>0</v>
      </c>
      <c r="J56" s="6">
        <v>2</v>
      </c>
      <c r="K56" s="6">
        <v>2</v>
      </c>
      <c r="L56" s="6">
        <v>2</v>
      </c>
      <c r="M56" s="6">
        <v>1</v>
      </c>
      <c r="N56" s="5">
        <f t="shared" si="10"/>
        <v>16</v>
      </c>
    </row>
    <row r="57" spans="1:14" x14ac:dyDescent="0.4">
      <c r="A57" s="7"/>
      <c r="B57" s="46"/>
      <c r="C57" s="24" t="s">
        <v>114</v>
      </c>
      <c r="D57" s="47"/>
      <c r="E57" s="6">
        <v>0</v>
      </c>
      <c r="F57" s="6">
        <v>0</v>
      </c>
      <c r="G57" s="6">
        <v>0</v>
      </c>
      <c r="H57" s="6">
        <v>0</v>
      </c>
      <c r="I57" s="6">
        <v>2</v>
      </c>
      <c r="J57" s="6">
        <v>0</v>
      </c>
      <c r="K57" s="6">
        <v>1</v>
      </c>
      <c r="L57" s="6">
        <v>1</v>
      </c>
      <c r="M57" s="6">
        <v>0</v>
      </c>
      <c r="N57" s="5">
        <f t="shared" si="10"/>
        <v>4</v>
      </c>
    </row>
    <row r="58" spans="1:14" x14ac:dyDescent="0.4">
      <c r="A58" s="7"/>
      <c r="B58" s="46"/>
      <c r="C58" s="24" t="s">
        <v>115</v>
      </c>
      <c r="D58" s="47"/>
      <c r="E58" s="6">
        <v>1</v>
      </c>
      <c r="F58" s="6">
        <v>1</v>
      </c>
      <c r="G58" s="6">
        <v>1</v>
      </c>
      <c r="H58" s="6">
        <v>0</v>
      </c>
      <c r="I58" s="6">
        <v>1</v>
      </c>
      <c r="J58" s="6">
        <v>0</v>
      </c>
      <c r="K58" s="6">
        <v>0</v>
      </c>
      <c r="L58" s="6">
        <v>0</v>
      </c>
      <c r="M58" s="6">
        <v>0</v>
      </c>
      <c r="N58" s="5">
        <f t="shared" si="10"/>
        <v>4</v>
      </c>
    </row>
    <row r="59" spans="1:14" x14ac:dyDescent="0.4">
      <c r="A59" s="7"/>
      <c r="B59" s="46"/>
      <c r="C59" s="24" t="s">
        <v>116</v>
      </c>
      <c r="D59" s="47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5">
        <f t="shared" si="10"/>
        <v>0</v>
      </c>
    </row>
    <row r="60" spans="1:14" ht="13.15" customHeight="1" x14ac:dyDescent="0.4">
      <c r="A60" s="7"/>
      <c r="B60" s="46"/>
      <c r="C60" s="24" t="s">
        <v>117</v>
      </c>
      <c r="D60" s="47"/>
      <c r="E60" s="6">
        <v>2</v>
      </c>
      <c r="F60" s="6">
        <v>0</v>
      </c>
      <c r="G60" s="6">
        <v>13</v>
      </c>
      <c r="H60" s="6">
        <v>10</v>
      </c>
      <c r="I60" s="6">
        <v>2</v>
      </c>
      <c r="J60" s="6">
        <v>0</v>
      </c>
      <c r="K60" s="6">
        <v>1</v>
      </c>
      <c r="L60" s="6">
        <v>1</v>
      </c>
      <c r="M60" s="6">
        <v>2</v>
      </c>
      <c r="N60" s="5">
        <f t="shared" si="10"/>
        <v>31</v>
      </c>
    </row>
    <row r="61" spans="1:14" x14ac:dyDescent="0.4">
      <c r="A61" s="6" t="s">
        <v>26</v>
      </c>
      <c r="B61" s="53" t="s">
        <v>51</v>
      </c>
      <c r="C61" s="69"/>
      <c r="D61" s="60"/>
      <c r="E61" s="5">
        <f>SUM(E54:E60)</f>
        <v>10</v>
      </c>
      <c r="F61" s="5">
        <f>SUM(F54:F60)</f>
        <v>14</v>
      </c>
      <c r="G61" s="5">
        <f>SUM(G54:G60)</f>
        <v>21</v>
      </c>
      <c r="H61" s="5">
        <f>SUM(H54:H60)</f>
        <v>22</v>
      </c>
      <c r="I61" s="5">
        <f>SUM(I54:I60)</f>
        <v>10</v>
      </c>
      <c r="J61" s="5">
        <f>SUM(J54:J60)</f>
        <v>14</v>
      </c>
      <c r="K61" s="5">
        <f>SUM(K54:K60)</f>
        <v>20</v>
      </c>
      <c r="L61" s="5">
        <f>SUM(L54:L60)</f>
        <v>11</v>
      </c>
      <c r="M61" s="5">
        <f>SUM(M54:M60)</f>
        <v>6</v>
      </c>
      <c r="N61" s="5">
        <f>SUM(N54:N60)</f>
        <v>128</v>
      </c>
    </row>
    <row r="62" spans="1:14" x14ac:dyDescent="0.4">
      <c r="A62" s="70"/>
      <c r="B62" s="71"/>
      <c r="C62" s="71"/>
      <c r="D62" s="71"/>
      <c r="E62" s="71"/>
    </row>
    <row r="63" spans="1:14" x14ac:dyDescent="0.4">
      <c r="A63" s="11" t="s">
        <v>48</v>
      </c>
      <c r="B63" s="17" t="s">
        <v>32</v>
      </c>
      <c r="C63" s="59" t="s">
        <v>53</v>
      </c>
      <c r="D63" s="60"/>
      <c r="E63" s="6">
        <v>5</v>
      </c>
      <c r="F63" s="6">
        <v>3</v>
      </c>
      <c r="G63" s="6">
        <v>7</v>
      </c>
      <c r="H63" s="6">
        <v>5</v>
      </c>
      <c r="I63" s="6">
        <v>6</v>
      </c>
      <c r="J63" s="6">
        <v>3</v>
      </c>
      <c r="K63" s="6">
        <v>5</v>
      </c>
      <c r="L63" s="6">
        <v>3</v>
      </c>
      <c r="M63" s="6">
        <v>3</v>
      </c>
      <c r="N63" s="5">
        <f t="shared" ref="N63:N69" si="11">SUM(E63:M63)</f>
        <v>40</v>
      </c>
    </row>
    <row r="64" spans="1:14" x14ac:dyDescent="0.4">
      <c r="A64" s="11" t="s">
        <v>50</v>
      </c>
      <c r="B64" s="46"/>
      <c r="C64" s="24" t="s">
        <v>118</v>
      </c>
      <c r="D64" s="47"/>
      <c r="E64" s="6">
        <v>2</v>
      </c>
      <c r="F64" s="6">
        <v>1</v>
      </c>
      <c r="G64" s="6">
        <v>1</v>
      </c>
      <c r="H64" s="6">
        <v>0</v>
      </c>
      <c r="I64" s="6">
        <v>2</v>
      </c>
      <c r="J64" s="6">
        <v>4</v>
      </c>
      <c r="K64" s="6">
        <v>0</v>
      </c>
      <c r="L64" s="6">
        <v>0</v>
      </c>
      <c r="M64" s="6">
        <v>1</v>
      </c>
      <c r="N64" s="5">
        <f t="shared" si="11"/>
        <v>11</v>
      </c>
    </row>
    <row r="65" spans="1:14" x14ac:dyDescent="0.4">
      <c r="A65" s="7"/>
      <c r="B65" s="46"/>
      <c r="C65" s="24" t="s">
        <v>119</v>
      </c>
      <c r="D65" s="47"/>
      <c r="E65" s="6">
        <v>30</v>
      </c>
      <c r="F65" s="6">
        <v>26</v>
      </c>
      <c r="G65" s="6">
        <v>15</v>
      </c>
      <c r="H65" s="6">
        <v>8</v>
      </c>
      <c r="I65" s="6">
        <v>88</v>
      </c>
      <c r="J65" s="6">
        <v>85</v>
      </c>
      <c r="K65" s="6">
        <v>8</v>
      </c>
      <c r="L65" s="6">
        <v>6</v>
      </c>
      <c r="M65" s="6">
        <v>1</v>
      </c>
      <c r="N65" s="5">
        <f t="shared" si="11"/>
        <v>267</v>
      </c>
    </row>
    <row r="66" spans="1:14" x14ac:dyDescent="0.4">
      <c r="A66" s="7"/>
      <c r="B66" s="46"/>
      <c r="C66" s="24" t="s">
        <v>120</v>
      </c>
      <c r="D66" s="47"/>
      <c r="E66" s="6">
        <v>9</v>
      </c>
      <c r="F66" s="6">
        <v>11</v>
      </c>
      <c r="G66" s="6">
        <v>4</v>
      </c>
      <c r="H66" s="6">
        <v>10</v>
      </c>
      <c r="I66" s="6">
        <v>2</v>
      </c>
      <c r="J66" s="6">
        <v>1</v>
      </c>
      <c r="K66" s="6">
        <v>1</v>
      </c>
      <c r="L66" s="6">
        <v>2</v>
      </c>
      <c r="M66" s="6">
        <v>2</v>
      </c>
      <c r="N66" s="5">
        <f t="shared" si="11"/>
        <v>42</v>
      </c>
    </row>
    <row r="67" spans="1:14" x14ac:dyDescent="0.4">
      <c r="A67" s="7"/>
      <c r="B67" s="46"/>
      <c r="C67" s="24" t="s">
        <v>121</v>
      </c>
      <c r="D67" s="47"/>
      <c r="E67" s="6">
        <v>1</v>
      </c>
      <c r="F67" s="6">
        <v>0</v>
      </c>
      <c r="G67" s="6">
        <v>1</v>
      </c>
      <c r="H67" s="6">
        <v>0</v>
      </c>
      <c r="I67" s="6">
        <v>7</v>
      </c>
      <c r="J67" s="6">
        <v>1</v>
      </c>
      <c r="K67" s="6">
        <v>0</v>
      </c>
      <c r="L67" s="6">
        <v>0</v>
      </c>
      <c r="M67" s="6">
        <v>3</v>
      </c>
      <c r="N67" s="5">
        <f t="shared" si="11"/>
        <v>13</v>
      </c>
    </row>
    <row r="68" spans="1:14" ht="13.15" customHeight="1" x14ac:dyDescent="0.4">
      <c r="A68" s="7"/>
      <c r="B68" s="46"/>
      <c r="C68" s="24" t="s">
        <v>122</v>
      </c>
      <c r="D68" s="47"/>
      <c r="E68" s="6">
        <v>1</v>
      </c>
      <c r="F68" s="6">
        <v>1</v>
      </c>
      <c r="G68" s="6">
        <v>0</v>
      </c>
      <c r="H68" s="6">
        <v>1</v>
      </c>
      <c r="I68" s="6">
        <v>0</v>
      </c>
      <c r="J68" s="6">
        <v>0</v>
      </c>
      <c r="K68" s="6">
        <v>1</v>
      </c>
      <c r="L68" s="6">
        <v>0</v>
      </c>
      <c r="M68" s="6">
        <v>0</v>
      </c>
      <c r="N68" s="5">
        <f t="shared" si="11"/>
        <v>4</v>
      </c>
    </row>
    <row r="69" spans="1:14" x14ac:dyDescent="0.4">
      <c r="A69" s="7"/>
      <c r="B69" s="46"/>
      <c r="C69" s="24" t="s">
        <v>123</v>
      </c>
      <c r="D69" s="47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2</v>
      </c>
      <c r="L69" s="6">
        <v>0</v>
      </c>
      <c r="M69" s="6">
        <v>0</v>
      </c>
      <c r="N69" s="5">
        <f t="shared" si="11"/>
        <v>2</v>
      </c>
    </row>
    <row r="70" spans="1:14" x14ac:dyDescent="0.4">
      <c r="A70" s="6" t="s">
        <v>26</v>
      </c>
      <c r="B70" s="53" t="s">
        <v>51</v>
      </c>
      <c r="C70" s="69"/>
      <c r="D70" s="60"/>
      <c r="E70" s="5">
        <f>SUM(E63:E69)</f>
        <v>48</v>
      </c>
      <c r="F70" s="5">
        <f>SUM(F63:F69)</f>
        <v>42</v>
      </c>
      <c r="G70" s="5">
        <f>SUM(G63:G69)</f>
        <v>28</v>
      </c>
      <c r="H70" s="5">
        <f>SUM(H63:H69)</f>
        <v>24</v>
      </c>
      <c r="I70" s="5">
        <f>SUM(I63:I69)</f>
        <v>105</v>
      </c>
      <c r="J70" s="5">
        <f>SUM(J63:J69)</f>
        <v>94</v>
      </c>
      <c r="K70" s="5">
        <f>SUM(K63:K69)</f>
        <v>17</v>
      </c>
      <c r="L70" s="5">
        <f>SUM(L63:L69)</f>
        <v>11</v>
      </c>
      <c r="M70" s="5">
        <f>SUM(M63:M69)</f>
        <v>10</v>
      </c>
      <c r="N70" s="5">
        <f>SUM(N63:N69)</f>
        <v>379</v>
      </c>
    </row>
    <row r="71" spans="1:14" x14ac:dyDescent="0.4">
      <c r="A71" s="70"/>
      <c r="B71" s="71"/>
      <c r="C71" s="71"/>
      <c r="D71" s="71"/>
      <c r="E71" s="71"/>
    </row>
    <row r="72" spans="1:14" x14ac:dyDescent="0.4">
      <c r="A72" s="11" t="s">
        <v>48</v>
      </c>
      <c r="B72" s="17" t="s">
        <v>34</v>
      </c>
      <c r="C72" s="59" t="s">
        <v>54</v>
      </c>
      <c r="D72" s="60"/>
      <c r="E72" s="6">
        <v>1</v>
      </c>
      <c r="F72" s="6">
        <v>1</v>
      </c>
      <c r="G72" s="6">
        <v>0</v>
      </c>
      <c r="H72" s="6">
        <v>6</v>
      </c>
      <c r="I72" s="6">
        <v>3</v>
      </c>
      <c r="J72" s="6">
        <v>1</v>
      </c>
      <c r="K72" s="6">
        <v>3</v>
      </c>
      <c r="L72" s="6">
        <v>0</v>
      </c>
      <c r="M72" s="6">
        <v>2</v>
      </c>
      <c r="N72" s="5">
        <f t="shared" ref="N72:N78" si="12">SUM(E72:M72)</f>
        <v>17</v>
      </c>
    </row>
    <row r="73" spans="1:14" x14ac:dyDescent="0.4">
      <c r="A73" s="11" t="s">
        <v>50</v>
      </c>
      <c r="B73" s="46"/>
      <c r="C73" s="24" t="s">
        <v>124</v>
      </c>
      <c r="D73" s="47"/>
      <c r="E73" s="6">
        <v>5</v>
      </c>
      <c r="F73" s="6">
        <v>1</v>
      </c>
      <c r="G73" s="6">
        <v>0</v>
      </c>
      <c r="H73" s="6">
        <v>1</v>
      </c>
      <c r="I73" s="6">
        <v>0</v>
      </c>
      <c r="J73" s="6">
        <v>3</v>
      </c>
      <c r="K73" s="6">
        <v>3</v>
      </c>
      <c r="L73" s="6">
        <v>1</v>
      </c>
      <c r="M73" s="6">
        <v>0</v>
      </c>
      <c r="N73" s="5">
        <f t="shared" si="12"/>
        <v>14</v>
      </c>
    </row>
    <row r="74" spans="1:14" x14ac:dyDescent="0.4">
      <c r="A74" s="7"/>
      <c r="B74" s="46"/>
      <c r="C74" s="24" t="s">
        <v>125</v>
      </c>
      <c r="D74" s="47"/>
      <c r="E74" s="6">
        <v>0</v>
      </c>
      <c r="F74" s="6">
        <v>1</v>
      </c>
      <c r="G74" s="6">
        <v>1</v>
      </c>
      <c r="H74" s="6">
        <v>0</v>
      </c>
      <c r="I74" s="6">
        <v>0</v>
      </c>
      <c r="J74" s="6">
        <v>0</v>
      </c>
      <c r="K74" s="6">
        <v>1</v>
      </c>
      <c r="L74" s="6">
        <v>0</v>
      </c>
      <c r="M74" s="6">
        <v>0</v>
      </c>
      <c r="N74" s="5">
        <f t="shared" si="12"/>
        <v>3</v>
      </c>
    </row>
    <row r="75" spans="1:14" x14ac:dyDescent="0.4">
      <c r="A75" s="7"/>
      <c r="B75" s="46"/>
      <c r="C75" s="24" t="s">
        <v>126</v>
      </c>
      <c r="D75" s="47"/>
      <c r="E75" s="6">
        <v>0</v>
      </c>
      <c r="F75" s="6">
        <v>1</v>
      </c>
      <c r="G75" s="6">
        <v>0</v>
      </c>
      <c r="H75" s="6">
        <v>0</v>
      </c>
      <c r="I75" s="6">
        <v>0</v>
      </c>
      <c r="J75" s="6">
        <v>0</v>
      </c>
      <c r="K75" s="6">
        <v>1</v>
      </c>
      <c r="L75" s="6">
        <v>0</v>
      </c>
      <c r="M75" s="6">
        <v>0</v>
      </c>
      <c r="N75" s="5">
        <f t="shared" si="12"/>
        <v>2</v>
      </c>
    </row>
    <row r="76" spans="1:14" ht="13.15" customHeight="1" x14ac:dyDescent="0.4">
      <c r="A76" s="7"/>
      <c r="B76" s="46"/>
      <c r="C76" s="24" t="s">
        <v>127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1</v>
      </c>
      <c r="K76" s="6">
        <v>0</v>
      </c>
      <c r="L76" s="6">
        <v>0</v>
      </c>
      <c r="M76" s="6">
        <v>0</v>
      </c>
      <c r="N76" s="5">
        <f t="shared" si="12"/>
        <v>1</v>
      </c>
    </row>
    <row r="77" spans="1:14" x14ac:dyDescent="0.4">
      <c r="A77" s="7"/>
      <c r="B77" s="46"/>
      <c r="C77" s="24" t="s">
        <v>128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5">
        <f t="shared" si="12"/>
        <v>0</v>
      </c>
    </row>
    <row r="78" spans="1:14" x14ac:dyDescent="0.4">
      <c r="A78" s="7"/>
      <c r="B78" s="46"/>
      <c r="C78" s="24" t="s">
        <v>129</v>
      </c>
      <c r="D78" s="47"/>
      <c r="E78" s="6">
        <v>0</v>
      </c>
      <c r="F78" s="6">
        <v>0</v>
      </c>
      <c r="G78" s="6">
        <v>0</v>
      </c>
      <c r="H78" s="6">
        <v>11</v>
      </c>
      <c r="I78" s="6">
        <v>3</v>
      </c>
      <c r="J78" s="6">
        <v>0</v>
      </c>
      <c r="K78" s="6">
        <v>2</v>
      </c>
      <c r="L78" s="6">
        <v>0</v>
      </c>
      <c r="M78" s="6">
        <v>0</v>
      </c>
      <c r="N78" s="5">
        <f t="shared" si="12"/>
        <v>16</v>
      </c>
    </row>
    <row r="79" spans="1:14" x14ac:dyDescent="0.4">
      <c r="A79" s="6" t="s">
        <v>26</v>
      </c>
      <c r="B79" s="53" t="s">
        <v>51</v>
      </c>
      <c r="C79" s="69"/>
      <c r="D79" s="60"/>
      <c r="E79" s="5">
        <f>SUM(E72:E78)</f>
        <v>6</v>
      </c>
      <c r="F79" s="5">
        <f>SUM(F72:F78)</f>
        <v>4</v>
      </c>
      <c r="G79" s="5">
        <f>SUM(G72:G78)</f>
        <v>1</v>
      </c>
      <c r="H79" s="5">
        <f>SUM(H72:H78)</f>
        <v>18</v>
      </c>
      <c r="I79" s="5">
        <f>SUM(I72:I78)</f>
        <v>6</v>
      </c>
      <c r="J79" s="5">
        <f>SUM(J72:J78)</f>
        <v>5</v>
      </c>
      <c r="K79" s="5">
        <f>SUM(K72:K78)</f>
        <v>10</v>
      </c>
      <c r="L79" s="5">
        <f>SUM(L72:L78)</f>
        <v>1</v>
      </c>
      <c r="M79" s="5">
        <f>SUM(M72:M78)</f>
        <v>2</v>
      </c>
      <c r="N79" s="5">
        <f>SUM(N72:N78)</f>
        <v>53</v>
      </c>
    </row>
    <row r="80" spans="1:14" x14ac:dyDescent="0.4">
      <c r="A80" s="70"/>
      <c r="B80" s="71"/>
      <c r="C80" s="71"/>
      <c r="D80" s="71"/>
      <c r="E80" s="71"/>
    </row>
    <row r="81" spans="1:14" x14ac:dyDescent="0.4">
      <c r="A81" s="11" t="s">
        <v>48</v>
      </c>
      <c r="B81" s="17" t="s">
        <v>55</v>
      </c>
      <c r="C81" s="59" t="s">
        <v>56</v>
      </c>
      <c r="D81" s="60"/>
      <c r="E81" s="6">
        <v>1</v>
      </c>
      <c r="F81" s="6">
        <v>0</v>
      </c>
      <c r="G81" s="6">
        <v>0</v>
      </c>
      <c r="H81" s="6">
        <v>0</v>
      </c>
      <c r="I81" s="6">
        <v>2</v>
      </c>
      <c r="J81" s="6">
        <v>0</v>
      </c>
      <c r="K81" s="6">
        <v>1</v>
      </c>
      <c r="L81" s="6">
        <v>0</v>
      </c>
      <c r="M81" s="6">
        <v>0</v>
      </c>
      <c r="N81" s="5">
        <f t="shared" ref="N81:N87" si="13">SUM(E81:M81)</f>
        <v>4</v>
      </c>
    </row>
    <row r="82" spans="1:14" x14ac:dyDescent="0.4">
      <c r="A82" s="11" t="s">
        <v>50</v>
      </c>
      <c r="B82" s="46"/>
      <c r="C82" s="24" t="s">
        <v>130</v>
      </c>
      <c r="D82" s="47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4</v>
      </c>
      <c r="K82" s="6">
        <v>0</v>
      </c>
      <c r="L82" s="6">
        <v>0</v>
      </c>
      <c r="M82" s="6">
        <v>0</v>
      </c>
      <c r="N82" s="5">
        <f t="shared" si="13"/>
        <v>4</v>
      </c>
    </row>
    <row r="83" spans="1:14" x14ac:dyDescent="0.4">
      <c r="A83" s="7"/>
      <c r="B83" s="46"/>
      <c r="C83" s="24" t="s">
        <v>131</v>
      </c>
      <c r="D83" s="47"/>
      <c r="E83" s="6">
        <v>4</v>
      </c>
      <c r="F83" s="6">
        <v>1</v>
      </c>
      <c r="G83" s="6">
        <v>0</v>
      </c>
      <c r="H83" s="6">
        <v>0</v>
      </c>
      <c r="I83" s="6">
        <v>1</v>
      </c>
      <c r="J83" s="6">
        <v>0</v>
      </c>
      <c r="K83" s="6">
        <v>1</v>
      </c>
      <c r="L83" s="6">
        <v>0</v>
      </c>
      <c r="M83" s="6">
        <v>2</v>
      </c>
      <c r="N83" s="5">
        <f t="shared" si="13"/>
        <v>9</v>
      </c>
    </row>
    <row r="84" spans="1:14" ht="13.15" customHeight="1" x14ac:dyDescent="0.4">
      <c r="A84" s="7"/>
      <c r="B84" s="46"/>
      <c r="C84" s="24" t="s">
        <v>132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5">
        <f t="shared" si="13"/>
        <v>0</v>
      </c>
    </row>
    <row r="85" spans="1:14" x14ac:dyDescent="0.4">
      <c r="A85" s="7"/>
      <c r="B85" s="46"/>
      <c r="C85" s="24" t="s">
        <v>133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5">
        <f t="shared" si="13"/>
        <v>0</v>
      </c>
    </row>
    <row r="86" spans="1:14" x14ac:dyDescent="0.4">
      <c r="A86" s="7"/>
      <c r="B86" s="46"/>
      <c r="C86" s="24" t="s">
        <v>134</v>
      </c>
      <c r="D86" s="47"/>
      <c r="E86" s="6">
        <v>2</v>
      </c>
      <c r="F86" s="6">
        <v>1</v>
      </c>
      <c r="G86" s="6">
        <v>0</v>
      </c>
      <c r="H86" s="6">
        <v>0</v>
      </c>
      <c r="I86" s="6">
        <v>0</v>
      </c>
      <c r="J86" s="6">
        <v>1</v>
      </c>
      <c r="K86" s="6">
        <v>2</v>
      </c>
      <c r="L86" s="6">
        <v>1</v>
      </c>
      <c r="M86" s="6">
        <v>0</v>
      </c>
      <c r="N86" s="5">
        <f t="shared" si="13"/>
        <v>7</v>
      </c>
    </row>
    <row r="87" spans="1:14" x14ac:dyDescent="0.4">
      <c r="A87" s="7"/>
      <c r="B87" s="46"/>
      <c r="C87" s="24" t="s">
        <v>135</v>
      </c>
      <c r="D87" s="47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5">
        <f t="shared" si="13"/>
        <v>0</v>
      </c>
    </row>
    <row r="88" spans="1:14" x14ac:dyDescent="0.4">
      <c r="A88" s="6" t="s">
        <v>26</v>
      </c>
      <c r="B88" s="53" t="s">
        <v>51</v>
      </c>
      <c r="C88" s="69"/>
      <c r="D88" s="60"/>
      <c r="E88" s="5">
        <f>SUM(E81:E87)</f>
        <v>7</v>
      </c>
      <c r="F88" s="5">
        <f>SUM(F81:F87)</f>
        <v>2</v>
      </c>
      <c r="G88" s="5">
        <f>SUM(G81:G87)</f>
        <v>0</v>
      </c>
      <c r="H88" s="5">
        <f>SUM(H81:H87)</f>
        <v>0</v>
      </c>
      <c r="I88" s="5">
        <f>SUM(I81:I87)</f>
        <v>3</v>
      </c>
      <c r="J88" s="5">
        <f>SUM(J81:J87)</f>
        <v>5</v>
      </c>
      <c r="K88" s="5">
        <f>SUM(K81:K87)</f>
        <v>4</v>
      </c>
      <c r="L88" s="5">
        <f>SUM(L81:L87)</f>
        <v>1</v>
      </c>
      <c r="M88" s="5">
        <f>SUM(M81:M87)</f>
        <v>2</v>
      </c>
      <c r="N88" s="5">
        <f>SUM(N81:N87)</f>
        <v>24</v>
      </c>
    </row>
    <row r="89" spans="1:14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</row>
    <row r="90" spans="1:14" x14ac:dyDescent="0.4">
      <c r="A90" s="11" t="s">
        <v>48</v>
      </c>
      <c r="B90" s="17" t="s">
        <v>57</v>
      </c>
      <c r="C90" s="59" t="s">
        <v>58</v>
      </c>
      <c r="D90" s="60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5">
        <f t="shared" ref="N90:N91" si="14">SUM(E90:M90)</f>
        <v>0</v>
      </c>
    </row>
    <row r="91" spans="1:14" x14ac:dyDescent="0.4">
      <c r="A91" s="11" t="s">
        <v>50</v>
      </c>
      <c r="B91" s="46"/>
      <c r="C91" s="72" t="s">
        <v>136</v>
      </c>
      <c r="D91" s="60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5">
        <f t="shared" si="14"/>
        <v>0</v>
      </c>
    </row>
    <row r="92" spans="1:14" ht="13.15" customHeight="1" x14ac:dyDescent="0.4">
      <c r="A92" s="6" t="s">
        <v>26</v>
      </c>
      <c r="B92" s="53" t="s">
        <v>51</v>
      </c>
      <c r="C92" s="54"/>
      <c r="D92" s="55"/>
      <c r="E92" s="5">
        <f>SUM(E90:E91)</f>
        <v>0</v>
      </c>
      <c r="F92" s="5">
        <f>SUM(F90:F91)</f>
        <v>0</v>
      </c>
      <c r="G92" s="5">
        <f>SUM(G90:G91)</f>
        <v>0</v>
      </c>
      <c r="H92" s="5">
        <f>SUM(H90:H91)</f>
        <v>0</v>
      </c>
      <c r="I92" s="5">
        <f>SUM(I90:I91)</f>
        <v>0</v>
      </c>
      <c r="J92" s="5">
        <f>SUM(J90:J91)</f>
        <v>0</v>
      </c>
      <c r="K92" s="5">
        <f>SUM(K90:K91)</f>
        <v>0</v>
      </c>
      <c r="L92" s="5">
        <f>SUM(L90:L91)</f>
        <v>0</v>
      </c>
      <c r="M92" s="5">
        <f>SUM(M90:M91)</f>
        <v>0</v>
      </c>
      <c r="N92" s="5">
        <f>SUM(N90:N91)</f>
        <v>0</v>
      </c>
    </row>
    <row r="93" spans="1:14" x14ac:dyDescent="0.4">
      <c r="A93" s="61"/>
      <c r="B93" s="62"/>
      <c r="C93" s="62"/>
      <c r="D93" s="62"/>
      <c r="E93" s="63"/>
      <c r="F93" s="18"/>
      <c r="G93" s="18"/>
      <c r="H93" s="18"/>
      <c r="I93" s="18"/>
      <c r="J93" s="18"/>
      <c r="K93" s="18"/>
      <c r="L93" s="18"/>
      <c r="M93" s="18"/>
      <c r="N93" s="5"/>
    </row>
    <row r="94" spans="1:14" x14ac:dyDescent="0.4">
      <c r="A94" s="11" t="s">
        <v>48</v>
      </c>
      <c r="B94" s="17" t="s">
        <v>59</v>
      </c>
      <c r="C94" s="59" t="s">
        <v>60</v>
      </c>
      <c r="D94" s="60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5">
        <f t="shared" ref="N94:N100" si="15">SUM(E94:M94)</f>
        <v>0</v>
      </c>
    </row>
    <row r="95" spans="1:14" x14ac:dyDescent="0.4">
      <c r="A95" s="11" t="s">
        <v>50</v>
      </c>
      <c r="B95" s="46"/>
      <c r="C95" s="24" t="s">
        <v>137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1</v>
      </c>
      <c r="M95" s="6">
        <v>0</v>
      </c>
      <c r="N95" s="5">
        <f t="shared" si="15"/>
        <v>1</v>
      </c>
    </row>
    <row r="96" spans="1:14" x14ac:dyDescent="0.4">
      <c r="A96" s="7"/>
      <c r="B96" s="46"/>
      <c r="C96" s="24" t="s">
        <v>138</v>
      </c>
      <c r="D96" s="47"/>
      <c r="E96" s="6">
        <v>1</v>
      </c>
      <c r="F96" s="6">
        <v>3</v>
      </c>
      <c r="G96" s="6">
        <v>0</v>
      </c>
      <c r="H96" s="6">
        <v>0</v>
      </c>
      <c r="I96" s="6">
        <v>0</v>
      </c>
      <c r="J96" s="6">
        <v>1</v>
      </c>
      <c r="K96" s="6">
        <v>2</v>
      </c>
      <c r="L96" s="6">
        <v>0</v>
      </c>
      <c r="M96" s="6">
        <v>0</v>
      </c>
      <c r="N96" s="5">
        <f t="shared" si="15"/>
        <v>7</v>
      </c>
    </row>
    <row r="97" spans="1:14" x14ac:dyDescent="0.4">
      <c r="A97" s="7"/>
      <c r="B97" s="46"/>
      <c r="C97" s="24" t="s">
        <v>139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5">
        <f t="shared" si="15"/>
        <v>0</v>
      </c>
    </row>
    <row r="98" spans="1:14" x14ac:dyDescent="0.4">
      <c r="A98" s="7"/>
      <c r="B98" s="46"/>
      <c r="C98" s="24" t="s">
        <v>140</v>
      </c>
      <c r="D98" s="47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5">
        <f t="shared" si="15"/>
        <v>0</v>
      </c>
    </row>
    <row r="99" spans="1:14" x14ac:dyDescent="0.4">
      <c r="A99" s="7"/>
      <c r="B99" s="46"/>
      <c r="C99" s="24" t="s">
        <v>141</v>
      </c>
      <c r="D99" s="47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5">
        <f t="shared" si="15"/>
        <v>0</v>
      </c>
    </row>
    <row r="100" spans="1:14" x14ac:dyDescent="0.4">
      <c r="A100" s="7"/>
      <c r="B100" s="46"/>
      <c r="C100" s="24" t="s">
        <v>142</v>
      </c>
      <c r="D100" s="47"/>
      <c r="E100" s="50">
        <v>0</v>
      </c>
      <c r="F100" s="29">
        <v>0</v>
      </c>
      <c r="G100" s="29">
        <v>0</v>
      </c>
      <c r="H100" s="29">
        <v>0</v>
      </c>
      <c r="I100" s="29">
        <v>0</v>
      </c>
      <c r="J100" s="29">
        <v>0</v>
      </c>
      <c r="K100" s="29">
        <v>0</v>
      </c>
      <c r="L100" s="29">
        <v>0</v>
      </c>
      <c r="M100" s="29">
        <v>0</v>
      </c>
      <c r="N100" s="5">
        <f t="shared" si="15"/>
        <v>0</v>
      </c>
    </row>
    <row r="101" spans="1:14" x14ac:dyDescent="0.4">
      <c r="A101" s="6" t="s">
        <v>26</v>
      </c>
      <c r="B101" s="53" t="s">
        <v>51</v>
      </c>
      <c r="C101" s="54"/>
      <c r="D101" s="55"/>
      <c r="E101" s="5">
        <f>SUM(E94:E100)</f>
        <v>1</v>
      </c>
      <c r="F101" s="5">
        <f>SUM(F94:F100)</f>
        <v>3</v>
      </c>
      <c r="G101" s="5">
        <f>SUM(G94:G100)</f>
        <v>0</v>
      </c>
      <c r="H101" s="5">
        <f>SUM(H94:H100)</f>
        <v>0</v>
      </c>
      <c r="I101" s="5">
        <f>SUM(I94:I100)</f>
        <v>0</v>
      </c>
      <c r="J101" s="5">
        <f>SUM(J94:J100)</f>
        <v>1</v>
      </c>
      <c r="K101" s="5">
        <f>SUM(K94:K100)</f>
        <v>2</v>
      </c>
      <c r="L101" s="5">
        <f>SUM(L94:L100)</f>
        <v>1</v>
      </c>
      <c r="M101" s="5">
        <f>SUM(M94:M100)</f>
        <v>0</v>
      </c>
      <c r="N101" s="5">
        <f>SUM(N94:N100)</f>
        <v>8</v>
      </c>
    </row>
    <row r="102" spans="1:14" x14ac:dyDescent="0.4">
      <c r="A102" s="61"/>
      <c r="B102" s="62"/>
      <c r="C102" s="62"/>
      <c r="D102" s="62"/>
      <c r="E102" s="63"/>
      <c r="F102" s="18"/>
      <c r="G102" s="18"/>
      <c r="H102" s="18"/>
      <c r="I102" s="18"/>
      <c r="J102" s="18"/>
      <c r="K102" s="18"/>
      <c r="L102" s="18"/>
      <c r="M102" s="18"/>
      <c r="N102" s="18"/>
    </row>
    <row r="103" spans="1:14" x14ac:dyDescent="0.4">
      <c r="A103" s="11" t="s">
        <v>48</v>
      </c>
      <c r="B103" s="17" t="s">
        <v>61</v>
      </c>
      <c r="C103" s="59" t="s">
        <v>62</v>
      </c>
      <c r="D103" s="60"/>
      <c r="E103" s="6">
        <v>0</v>
      </c>
      <c r="F103" s="6">
        <v>0</v>
      </c>
      <c r="G103" s="6">
        <v>2</v>
      </c>
      <c r="H103" s="6">
        <v>1</v>
      </c>
      <c r="I103" s="6">
        <v>0</v>
      </c>
      <c r="J103" s="6">
        <v>2</v>
      </c>
      <c r="K103" s="6">
        <v>5</v>
      </c>
      <c r="L103" s="6">
        <v>0</v>
      </c>
      <c r="M103" s="6">
        <v>0</v>
      </c>
      <c r="N103" s="5">
        <f t="shared" ref="N103:N109" si="16">SUM(E103:M103)</f>
        <v>10</v>
      </c>
    </row>
    <row r="104" spans="1:14" ht="13.15" customHeight="1" x14ac:dyDescent="0.4">
      <c r="A104" s="11" t="s">
        <v>50</v>
      </c>
      <c r="B104" s="46"/>
      <c r="C104" s="24" t="s">
        <v>143</v>
      </c>
      <c r="D104" s="47"/>
      <c r="E104" s="6">
        <v>0</v>
      </c>
      <c r="F104" s="6">
        <v>0</v>
      </c>
      <c r="G104" s="6">
        <v>0</v>
      </c>
      <c r="H104" s="6">
        <v>1</v>
      </c>
      <c r="I104" s="6">
        <v>1</v>
      </c>
      <c r="J104" s="6">
        <v>0</v>
      </c>
      <c r="K104" s="6">
        <v>1</v>
      </c>
      <c r="L104" s="6">
        <v>0</v>
      </c>
      <c r="M104" s="6">
        <v>0</v>
      </c>
      <c r="N104" s="5">
        <f t="shared" si="16"/>
        <v>3</v>
      </c>
    </row>
    <row r="105" spans="1:14" x14ac:dyDescent="0.4">
      <c r="A105" s="7"/>
      <c r="B105" s="46"/>
      <c r="C105" s="24" t="s">
        <v>144</v>
      </c>
      <c r="D105" s="47"/>
      <c r="E105" s="6">
        <v>1</v>
      </c>
      <c r="F105" s="6">
        <v>0</v>
      </c>
      <c r="G105" s="6">
        <v>0</v>
      </c>
      <c r="H105" s="6">
        <v>0</v>
      </c>
      <c r="I105" s="6">
        <v>1</v>
      </c>
      <c r="J105" s="6">
        <v>0</v>
      </c>
      <c r="K105" s="6">
        <v>0</v>
      </c>
      <c r="L105" s="6">
        <v>0</v>
      </c>
      <c r="M105" s="6">
        <v>0</v>
      </c>
      <c r="N105" s="5">
        <f t="shared" si="16"/>
        <v>2</v>
      </c>
    </row>
    <row r="106" spans="1:14" x14ac:dyDescent="0.4">
      <c r="A106" s="7"/>
      <c r="B106" s="46"/>
      <c r="C106" s="24" t="s">
        <v>145</v>
      </c>
      <c r="D106" s="47"/>
      <c r="E106" s="6">
        <v>0</v>
      </c>
      <c r="F106" s="6">
        <v>0</v>
      </c>
      <c r="G106" s="6">
        <v>0</v>
      </c>
      <c r="H106" s="6">
        <v>0</v>
      </c>
      <c r="I106" s="6">
        <v>1</v>
      </c>
      <c r="J106" s="6">
        <v>0</v>
      </c>
      <c r="K106" s="6">
        <v>0</v>
      </c>
      <c r="L106" s="6">
        <v>0</v>
      </c>
      <c r="M106" s="6">
        <v>0</v>
      </c>
      <c r="N106" s="5">
        <f t="shared" si="16"/>
        <v>1</v>
      </c>
    </row>
    <row r="107" spans="1:14" x14ac:dyDescent="0.4">
      <c r="A107" s="7"/>
      <c r="B107" s="46"/>
      <c r="C107" s="24" t="s">
        <v>146</v>
      </c>
      <c r="D107" s="47"/>
      <c r="E107" s="6">
        <v>0</v>
      </c>
      <c r="F107" s="6">
        <v>1</v>
      </c>
      <c r="G107" s="6">
        <v>0</v>
      </c>
      <c r="H107" s="6">
        <v>2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5">
        <f t="shared" si="16"/>
        <v>3</v>
      </c>
    </row>
    <row r="108" spans="1:14" x14ac:dyDescent="0.4">
      <c r="A108" s="7"/>
      <c r="B108" s="46"/>
      <c r="C108" s="24" t="s">
        <v>147</v>
      </c>
      <c r="D108" s="47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1</v>
      </c>
      <c r="M108" s="6">
        <v>0</v>
      </c>
      <c r="N108" s="5">
        <f t="shared" si="16"/>
        <v>1</v>
      </c>
    </row>
    <row r="109" spans="1:14" x14ac:dyDescent="0.4">
      <c r="A109" s="7"/>
      <c r="B109" s="46"/>
      <c r="C109" s="24" t="s">
        <v>148</v>
      </c>
      <c r="D109" s="47"/>
      <c r="E109" s="6">
        <v>0</v>
      </c>
      <c r="F109" s="6">
        <v>0</v>
      </c>
      <c r="G109" s="6">
        <v>1</v>
      </c>
      <c r="H109" s="6">
        <v>0</v>
      </c>
      <c r="I109" s="6">
        <v>0</v>
      </c>
      <c r="J109" s="6">
        <v>0</v>
      </c>
      <c r="K109" s="6">
        <v>2</v>
      </c>
      <c r="L109" s="6">
        <v>1</v>
      </c>
      <c r="M109" s="6">
        <v>0</v>
      </c>
      <c r="N109" s="5">
        <f t="shared" si="16"/>
        <v>4</v>
      </c>
    </row>
    <row r="110" spans="1:14" x14ac:dyDescent="0.4">
      <c r="A110" s="6" t="s">
        <v>26</v>
      </c>
      <c r="B110" s="53" t="s">
        <v>51</v>
      </c>
      <c r="C110" s="54"/>
      <c r="D110" s="55"/>
      <c r="E110" s="5">
        <f>SUM(E103:E109)</f>
        <v>1</v>
      </c>
      <c r="F110" s="5">
        <f>SUM(F103:F109)</f>
        <v>1</v>
      </c>
      <c r="G110" s="5">
        <f>SUM(G103:G109)</f>
        <v>3</v>
      </c>
      <c r="H110" s="5">
        <f>SUM(H103:H109)</f>
        <v>4</v>
      </c>
      <c r="I110" s="5">
        <f>SUM(I103:I109)</f>
        <v>3</v>
      </c>
      <c r="J110" s="5">
        <f>SUM(J103:J109)</f>
        <v>2</v>
      </c>
      <c r="K110" s="5">
        <f>SUM(K103:K109)</f>
        <v>8</v>
      </c>
      <c r="L110" s="5">
        <f>SUM(L103:L109)</f>
        <v>2</v>
      </c>
      <c r="M110" s="5">
        <f>SUM(M103:M109)</f>
        <v>0</v>
      </c>
      <c r="N110" s="5">
        <f>SUM(N103:N109)</f>
        <v>24</v>
      </c>
    </row>
    <row r="111" spans="1:14" x14ac:dyDescent="0.4">
      <c r="A111" s="61"/>
      <c r="B111" s="62"/>
      <c r="C111" s="62"/>
      <c r="D111" s="62"/>
      <c r="E111" s="63"/>
      <c r="F111" s="18"/>
      <c r="G111" s="18"/>
      <c r="H111" s="18"/>
      <c r="I111" s="18"/>
      <c r="J111" s="18"/>
      <c r="K111" s="18"/>
      <c r="L111" s="18"/>
      <c r="M111" s="18"/>
      <c r="N111" s="18"/>
    </row>
    <row r="112" spans="1:14" ht="13.15" customHeight="1" x14ac:dyDescent="0.4">
      <c r="A112" s="11" t="s">
        <v>48</v>
      </c>
      <c r="B112" s="17" t="s">
        <v>63</v>
      </c>
      <c r="C112" s="59" t="s">
        <v>64</v>
      </c>
      <c r="D112" s="60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5">
        <f t="shared" ref="N112:N118" si="17">SUM(E112:M112)</f>
        <v>0</v>
      </c>
    </row>
    <row r="113" spans="1:14" x14ac:dyDescent="0.4">
      <c r="A113" s="11" t="s">
        <v>50</v>
      </c>
      <c r="B113" s="17"/>
      <c r="C113" s="24" t="s">
        <v>104</v>
      </c>
      <c r="D113" s="45"/>
      <c r="E113" s="6">
        <v>0</v>
      </c>
      <c r="F113" s="6">
        <v>0</v>
      </c>
      <c r="G113" s="6">
        <v>1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5">
        <f t="shared" si="17"/>
        <v>1</v>
      </c>
    </row>
    <row r="114" spans="1:14" x14ac:dyDescent="0.4">
      <c r="A114" s="7"/>
      <c r="B114" s="17"/>
      <c r="C114" s="24" t="s">
        <v>149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5">
        <f t="shared" si="17"/>
        <v>0</v>
      </c>
    </row>
    <row r="115" spans="1:14" x14ac:dyDescent="0.4">
      <c r="A115" s="7"/>
      <c r="B115" s="17"/>
      <c r="C115" s="24" t="s">
        <v>150</v>
      </c>
      <c r="D115" s="45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5">
        <f t="shared" si="17"/>
        <v>0</v>
      </c>
    </row>
    <row r="116" spans="1:14" x14ac:dyDescent="0.4">
      <c r="A116" s="7"/>
      <c r="B116" s="46"/>
      <c r="C116" s="24" t="s">
        <v>151</v>
      </c>
      <c r="D116" s="47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5">
        <f t="shared" si="17"/>
        <v>0</v>
      </c>
    </row>
    <row r="117" spans="1:14" x14ac:dyDescent="0.4">
      <c r="A117" s="7"/>
      <c r="B117" s="46"/>
      <c r="C117" s="24" t="s">
        <v>152</v>
      </c>
      <c r="D117" s="47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1</v>
      </c>
      <c r="N117" s="5">
        <f t="shared" si="17"/>
        <v>1</v>
      </c>
    </row>
    <row r="118" spans="1:14" x14ac:dyDescent="0.4">
      <c r="A118" s="7"/>
      <c r="B118" s="46"/>
      <c r="C118" s="24" t="s">
        <v>153</v>
      </c>
      <c r="D118" s="47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5">
        <f t="shared" si="17"/>
        <v>0</v>
      </c>
    </row>
    <row r="119" spans="1:14" ht="13.15" customHeight="1" x14ac:dyDescent="0.4">
      <c r="A119" s="6" t="s">
        <v>26</v>
      </c>
      <c r="B119" s="53" t="s">
        <v>51</v>
      </c>
      <c r="C119" s="54"/>
      <c r="D119" s="55"/>
      <c r="E119" s="5">
        <f>SUM(E112:E118)</f>
        <v>0</v>
      </c>
      <c r="F119" s="5">
        <f>SUM(F112:F118)</f>
        <v>0</v>
      </c>
      <c r="G119" s="5">
        <f>SUM(G112:G118)</f>
        <v>1</v>
      </c>
      <c r="H119" s="5">
        <f>SUM(H112:H118)</f>
        <v>0</v>
      </c>
      <c r="I119" s="5">
        <f>SUM(I112:I118)</f>
        <v>0</v>
      </c>
      <c r="J119" s="5">
        <f>SUM(J112:J118)</f>
        <v>0</v>
      </c>
      <c r="K119" s="5">
        <f>SUM(K112:K118)</f>
        <v>0</v>
      </c>
      <c r="L119" s="5">
        <f>SUM(L112:L118)</f>
        <v>0</v>
      </c>
      <c r="M119" s="5">
        <f>SUM(M112:M118)</f>
        <v>1</v>
      </c>
      <c r="N119" s="5">
        <f>SUM(N112:N118)</f>
        <v>2</v>
      </c>
    </row>
    <row r="120" spans="1:14" x14ac:dyDescent="0.4">
      <c r="A120" s="61"/>
      <c r="B120" s="62"/>
      <c r="C120" s="62"/>
      <c r="D120" s="62"/>
      <c r="E120" s="63"/>
      <c r="F120" s="18"/>
      <c r="G120" s="18"/>
      <c r="H120" s="18"/>
      <c r="I120" s="18"/>
      <c r="J120" s="18"/>
      <c r="K120" s="18"/>
      <c r="L120" s="18"/>
      <c r="M120" s="18"/>
      <c r="N120" s="5"/>
    </row>
    <row r="121" spans="1:14" x14ac:dyDescent="0.4">
      <c r="A121" s="11" t="s">
        <v>48</v>
      </c>
      <c r="B121" s="44" t="s">
        <v>65</v>
      </c>
      <c r="C121" s="67" t="s">
        <v>66</v>
      </c>
      <c r="D121" s="68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5">
        <f>SUM(E122:M122)</f>
        <v>0</v>
      </c>
    </row>
    <row r="122" spans="1:14" x14ac:dyDescent="0.4">
      <c r="A122" s="48" t="s">
        <v>50</v>
      </c>
      <c r="B122" s="46"/>
      <c r="C122" s="24" t="s">
        <v>154</v>
      </c>
      <c r="D122" s="47"/>
      <c r="E122" s="49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5">
        <f>SUM(E123:M123)</f>
        <v>14</v>
      </c>
    </row>
    <row r="123" spans="1:14" x14ac:dyDescent="0.4">
      <c r="A123" s="7"/>
      <c r="B123" s="46"/>
      <c r="C123" s="24" t="s">
        <v>155</v>
      </c>
      <c r="D123" s="47"/>
      <c r="E123" s="49">
        <v>4</v>
      </c>
      <c r="F123" s="6">
        <v>0</v>
      </c>
      <c r="G123" s="6">
        <v>1</v>
      </c>
      <c r="H123" s="6">
        <v>1</v>
      </c>
      <c r="I123" s="6">
        <v>0</v>
      </c>
      <c r="J123" s="6">
        <v>0</v>
      </c>
      <c r="K123" s="6">
        <v>5</v>
      </c>
      <c r="L123" s="6">
        <v>2</v>
      </c>
      <c r="M123" s="6">
        <v>1</v>
      </c>
      <c r="N123" s="5">
        <f>SUM(E124:M124)</f>
        <v>0</v>
      </c>
    </row>
    <row r="124" spans="1:14" x14ac:dyDescent="0.4">
      <c r="A124" s="7"/>
      <c r="B124" s="46"/>
      <c r="C124" s="24" t="s">
        <v>156</v>
      </c>
      <c r="D124" s="47"/>
      <c r="E124" s="49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5">
        <f>SUM(E125:M125)</f>
        <v>0</v>
      </c>
    </row>
    <row r="125" spans="1:14" x14ac:dyDescent="0.4">
      <c r="A125" s="7"/>
      <c r="B125" s="46"/>
      <c r="C125" s="24" t="s">
        <v>157</v>
      </c>
      <c r="D125" s="47"/>
      <c r="E125" s="49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5">
        <f>SUM(E128:M128)</f>
        <v>15</v>
      </c>
    </row>
    <row r="126" spans="1:14" x14ac:dyDescent="0.4">
      <c r="A126" s="7"/>
      <c r="B126" s="46"/>
      <c r="C126" s="24" t="s">
        <v>158</v>
      </c>
      <c r="D126" s="47"/>
      <c r="E126" s="49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1</v>
      </c>
      <c r="L126" s="6">
        <v>0</v>
      </c>
      <c r="M126" s="6">
        <v>0</v>
      </c>
      <c r="N126" s="5">
        <f>SUM(E129:M129)</f>
        <v>0</v>
      </c>
    </row>
    <row r="127" spans="1:14" x14ac:dyDescent="0.4">
      <c r="A127" s="7"/>
      <c r="B127" s="46"/>
      <c r="C127" s="24" t="s">
        <v>159</v>
      </c>
      <c r="D127" s="47"/>
      <c r="E127" s="49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5">
        <f>SUM(E130:M130)</f>
        <v>1</v>
      </c>
    </row>
    <row r="128" spans="1:14" x14ac:dyDescent="0.4">
      <c r="A128" s="6" t="s">
        <v>26</v>
      </c>
      <c r="B128" s="64" t="s">
        <v>51</v>
      </c>
      <c r="C128" s="65"/>
      <c r="D128" s="66"/>
      <c r="E128" s="5">
        <f>SUM(E121:E127)</f>
        <v>4</v>
      </c>
      <c r="F128" s="5">
        <f>SUM(F121:F127)</f>
        <v>0</v>
      </c>
      <c r="G128" s="5">
        <f>SUM(G121:G127)</f>
        <v>1</v>
      </c>
      <c r="H128" s="5">
        <f>SUM(H121:H127)</f>
        <v>1</v>
      </c>
      <c r="I128" s="5">
        <f>SUM(I121:I127)</f>
        <v>0</v>
      </c>
      <c r="J128" s="5">
        <f>SUM(J121:J127)</f>
        <v>0</v>
      </c>
      <c r="K128" s="5">
        <f>SUM(K121:K127)</f>
        <v>6</v>
      </c>
      <c r="L128" s="5">
        <f>SUM(L121:L127)</f>
        <v>2</v>
      </c>
      <c r="M128" s="5">
        <f>SUM(M121:M127)</f>
        <v>1</v>
      </c>
      <c r="N128" s="5">
        <f>SUM(N121:N127)</f>
        <v>30</v>
      </c>
    </row>
    <row r="129" spans="1:14" x14ac:dyDescent="0.4">
      <c r="A129" s="61"/>
      <c r="B129" s="62"/>
      <c r="C129" s="62"/>
      <c r="D129" s="62"/>
      <c r="E129" s="63"/>
      <c r="F129" s="18"/>
      <c r="G129" s="18"/>
      <c r="H129" s="18"/>
      <c r="I129" s="18"/>
      <c r="J129" s="18"/>
      <c r="K129" s="18"/>
      <c r="L129" s="18"/>
      <c r="M129" s="18"/>
      <c r="N129" s="18"/>
    </row>
    <row r="130" spans="1:14" ht="13.15" customHeight="1" x14ac:dyDescent="0.4">
      <c r="A130" s="11" t="s">
        <v>48</v>
      </c>
      <c r="B130" s="17" t="s">
        <v>67</v>
      </c>
      <c r="C130" s="59" t="s">
        <v>68</v>
      </c>
      <c r="D130" s="60"/>
      <c r="E130" s="6">
        <v>0</v>
      </c>
      <c r="F130" s="6">
        <v>1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5">
        <f t="shared" ref="N130" si="18">SUM(E130:M130)</f>
        <v>1</v>
      </c>
    </row>
    <row r="131" spans="1:14" x14ac:dyDescent="0.4">
      <c r="A131" s="6" t="s">
        <v>26</v>
      </c>
      <c r="B131" s="53" t="s">
        <v>51</v>
      </c>
      <c r="C131" s="54"/>
      <c r="D131" s="55"/>
      <c r="E131" s="5">
        <f>SUM(E130:E130)</f>
        <v>0</v>
      </c>
      <c r="F131" s="5">
        <f>SUM(F130:F130)</f>
        <v>1</v>
      </c>
      <c r="G131" s="5">
        <f>SUM(G130:G130)</f>
        <v>0</v>
      </c>
      <c r="H131" s="5">
        <f>SUM(H130:H130)</f>
        <v>0</v>
      </c>
      <c r="I131" s="5">
        <f>SUM(I130:I130)</f>
        <v>0</v>
      </c>
      <c r="J131" s="5">
        <f>SUM(J130:J130)</f>
        <v>0</v>
      </c>
      <c r="K131" s="5">
        <f>SUM(K130:K130)</f>
        <v>0</v>
      </c>
      <c r="L131" s="5">
        <f>SUM(L130:L130)</f>
        <v>0</v>
      </c>
      <c r="M131" s="5">
        <f>SUM(M130:M130)</f>
        <v>0</v>
      </c>
      <c r="N131" s="5">
        <f>SUM(N130:N130)</f>
        <v>1</v>
      </c>
    </row>
    <row r="132" spans="1:14" ht="13.15" customHeight="1" x14ac:dyDescent="0.4">
      <c r="A132" s="61"/>
      <c r="B132" s="62"/>
      <c r="C132" s="62"/>
      <c r="D132" s="62"/>
      <c r="E132" s="63"/>
      <c r="F132" s="18"/>
      <c r="G132" s="18"/>
      <c r="H132" s="18"/>
      <c r="I132" s="18"/>
      <c r="J132" s="18"/>
      <c r="K132" s="18"/>
      <c r="L132" s="18"/>
      <c r="M132" s="18"/>
      <c r="N132" s="18"/>
    </row>
    <row r="133" spans="1:14" x14ac:dyDescent="0.4">
      <c r="A133" s="11" t="s">
        <v>48</v>
      </c>
      <c r="B133" s="17" t="s">
        <v>69</v>
      </c>
      <c r="C133" s="59" t="s">
        <v>70</v>
      </c>
      <c r="D133" s="60"/>
      <c r="E133" s="6">
        <v>0</v>
      </c>
      <c r="F133" s="6">
        <v>0</v>
      </c>
      <c r="G133" s="6">
        <v>0</v>
      </c>
      <c r="H133" s="6">
        <v>1</v>
      </c>
      <c r="I133" s="6">
        <v>0</v>
      </c>
      <c r="J133" s="6">
        <v>1</v>
      </c>
      <c r="K133" s="6">
        <v>0</v>
      </c>
      <c r="L133" s="6">
        <v>0</v>
      </c>
      <c r="M133" s="6">
        <v>0</v>
      </c>
      <c r="N133" s="5">
        <f t="shared" ref="N133:N139" si="19">SUM(E133:M133)</f>
        <v>2</v>
      </c>
    </row>
    <row r="134" spans="1:14" x14ac:dyDescent="0.4">
      <c r="A134" s="11" t="s">
        <v>50</v>
      </c>
      <c r="B134" s="46"/>
      <c r="C134" s="24" t="s">
        <v>160</v>
      </c>
      <c r="D134" s="47"/>
      <c r="E134" s="6">
        <v>1</v>
      </c>
      <c r="F134" s="6">
        <v>0</v>
      </c>
      <c r="G134" s="6">
        <v>0</v>
      </c>
      <c r="H134" s="6">
        <v>0</v>
      </c>
      <c r="I134" s="6">
        <v>0</v>
      </c>
      <c r="J134" s="6">
        <v>1</v>
      </c>
      <c r="K134" s="6">
        <v>1</v>
      </c>
      <c r="L134" s="6">
        <v>0</v>
      </c>
      <c r="M134" s="6">
        <v>0</v>
      </c>
      <c r="N134" s="5">
        <f t="shared" si="19"/>
        <v>3</v>
      </c>
    </row>
    <row r="135" spans="1:14" x14ac:dyDescent="0.4">
      <c r="A135" s="7"/>
      <c r="B135" s="46"/>
      <c r="C135" s="24" t="s">
        <v>161</v>
      </c>
      <c r="D135" s="47"/>
      <c r="E135" s="6">
        <v>0</v>
      </c>
      <c r="F135" s="6">
        <v>0</v>
      </c>
      <c r="G135" s="6">
        <v>0</v>
      </c>
      <c r="H135" s="6">
        <v>2</v>
      </c>
      <c r="I135" s="6">
        <v>0</v>
      </c>
      <c r="J135" s="6">
        <v>0</v>
      </c>
      <c r="K135" s="6">
        <v>1</v>
      </c>
      <c r="L135" s="6">
        <v>0</v>
      </c>
      <c r="M135" s="6">
        <v>0</v>
      </c>
      <c r="N135" s="5">
        <f t="shared" si="19"/>
        <v>3</v>
      </c>
    </row>
    <row r="136" spans="1:14" x14ac:dyDescent="0.4">
      <c r="A136" s="7"/>
      <c r="B136" s="46"/>
      <c r="C136" s="24" t="s">
        <v>162</v>
      </c>
      <c r="D136" s="47"/>
      <c r="E136" s="6">
        <v>1</v>
      </c>
      <c r="F136" s="6">
        <v>0</v>
      </c>
      <c r="G136" s="6">
        <v>0</v>
      </c>
      <c r="H136" s="6">
        <v>0</v>
      </c>
      <c r="I136" s="6">
        <v>0</v>
      </c>
      <c r="J136" s="6">
        <v>2</v>
      </c>
      <c r="K136" s="6">
        <v>0</v>
      </c>
      <c r="L136" s="6">
        <v>0</v>
      </c>
      <c r="M136" s="6">
        <v>0</v>
      </c>
      <c r="N136" s="5">
        <f t="shared" si="19"/>
        <v>3</v>
      </c>
    </row>
    <row r="137" spans="1:14" x14ac:dyDescent="0.4">
      <c r="A137" s="7"/>
      <c r="B137" s="46"/>
      <c r="C137" s="24" t="s">
        <v>163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5">
        <f t="shared" si="19"/>
        <v>0</v>
      </c>
    </row>
    <row r="138" spans="1:14" x14ac:dyDescent="0.4">
      <c r="A138" s="7"/>
      <c r="B138" s="46"/>
      <c r="C138" s="24" t="s">
        <v>164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5">
        <f t="shared" si="19"/>
        <v>0</v>
      </c>
    </row>
    <row r="139" spans="1:14" x14ac:dyDescent="0.4">
      <c r="A139" s="7"/>
      <c r="B139" s="46"/>
      <c r="C139" s="24" t="s">
        <v>165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2</v>
      </c>
      <c r="K139" s="6">
        <v>2</v>
      </c>
      <c r="L139" s="6">
        <v>3</v>
      </c>
      <c r="M139" s="6">
        <v>0</v>
      </c>
      <c r="N139" s="5">
        <f t="shared" si="19"/>
        <v>7</v>
      </c>
    </row>
    <row r="140" spans="1:14" ht="13.15" customHeight="1" x14ac:dyDescent="0.4">
      <c r="A140" s="6" t="s">
        <v>26</v>
      </c>
      <c r="B140" s="53" t="s">
        <v>51</v>
      </c>
      <c r="C140" s="54"/>
      <c r="D140" s="55"/>
      <c r="E140" s="5">
        <f>SUM(E133:E139)</f>
        <v>2</v>
      </c>
      <c r="F140" s="5">
        <f>SUM(F133:F139)</f>
        <v>0</v>
      </c>
      <c r="G140" s="5">
        <f>SUM(G133:G139)</f>
        <v>0</v>
      </c>
      <c r="H140" s="5">
        <f>SUM(H133:H139)</f>
        <v>3</v>
      </c>
      <c r="I140" s="5">
        <f>SUM(I133:I139)</f>
        <v>0</v>
      </c>
      <c r="J140" s="5">
        <f>SUM(J133:J139)</f>
        <v>6</v>
      </c>
      <c r="K140" s="5">
        <f>SUM(K133:K139)</f>
        <v>4</v>
      </c>
      <c r="L140" s="5">
        <f>SUM(L133:L139)</f>
        <v>3</v>
      </c>
      <c r="M140" s="5">
        <f>SUM(M133:M139)</f>
        <v>0</v>
      </c>
      <c r="N140" s="5">
        <f>SUM(N133:N139)</f>
        <v>18</v>
      </c>
    </row>
    <row r="141" spans="1:14" x14ac:dyDescent="0.4">
      <c r="A141" s="61"/>
      <c r="B141" s="62"/>
      <c r="C141" s="62"/>
      <c r="D141" s="62"/>
      <c r="E141" s="63"/>
      <c r="F141" s="18"/>
      <c r="G141" s="18"/>
      <c r="H141" s="18"/>
      <c r="I141" s="18"/>
      <c r="J141" s="18"/>
      <c r="K141" s="18"/>
      <c r="L141" s="18"/>
      <c r="M141" s="18"/>
      <c r="N141" s="5"/>
    </row>
    <row r="142" spans="1:14" x14ac:dyDescent="0.4">
      <c r="A142" s="11" t="s">
        <v>48</v>
      </c>
      <c r="B142" s="17" t="s">
        <v>71</v>
      </c>
      <c r="C142" s="59" t="s">
        <v>72</v>
      </c>
      <c r="D142" s="6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5">
        <f t="shared" ref="N142:N148" si="20">SUM(E142:M142)</f>
        <v>0</v>
      </c>
    </row>
    <row r="143" spans="1:14" x14ac:dyDescent="0.4">
      <c r="A143" s="11" t="s">
        <v>50</v>
      </c>
      <c r="B143" s="46"/>
      <c r="C143" s="24" t="s">
        <v>166</v>
      </c>
      <c r="D143" s="47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5">
        <f t="shared" si="20"/>
        <v>0</v>
      </c>
    </row>
    <row r="144" spans="1:14" x14ac:dyDescent="0.4">
      <c r="A144" s="7"/>
      <c r="B144" s="46"/>
      <c r="C144" s="24" t="s">
        <v>167</v>
      </c>
      <c r="D144" s="47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5">
        <f t="shared" si="20"/>
        <v>0</v>
      </c>
    </row>
    <row r="145" spans="1:14" x14ac:dyDescent="0.4">
      <c r="A145" s="7"/>
      <c r="B145" s="46"/>
      <c r="C145" s="24" t="s">
        <v>168</v>
      </c>
      <c r="D145" s="47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5">
        <f t="shared" si="20"/>
        <v>0</v>
      </c>
    </row>
    <row r="146" spans="1:14" x14ac:dyDescent="0.4">
      <c r="A146" s="7"/>
      <c r="B146" s="46"/>
      <c r="C146" s="24" t="s">
        <v>169</v>
      </c>
      <c r="D146" s="47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5">
        <f t="shared" si="20"/>
        <v>0</v>
      </c>
    </row>
    <row r="147" spans="1:14" x14ac:dyDescent="0.4">
      <c r="A147" s="7"/>
      <c r="B147" s="46"/>
      <c r="C147" s="24" t="s">
        <v>170</v>
      </c>
      <c r="D147" s="47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5">
        <f t="shared" si="20"/>
        <v>0</v>
      </c>
    </row>
    <row r="148" spans="1:14" x14ac:dyDescent="0.4">
      <c r="A148" s="7"/>
      <c r="B148" s="46"/>
      <c r="C148" s="24" t="s">
        <v>171</v>
      </c>
      <c r="D148" s="47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5">
        <f t="shared" si="20"/>
        <v>0</v>
      </c>
    </row>
    <row r="149" spans="1:14" x14ac:dyDescent="0.4">
      <c r="A149" s="6" t="s">
        <v>26</v>
      </c>
      <c r="B149" s="53" t="s">
        <v>51</v>
      </c>
      <c r="C149" s="54"/>
      <c r="D149" s="55"/>
      <c r="E149" s="5">
        <f>SUM(E142:E148)</f>
        <v>0</v>
      </c>
      <c r="F149" s="5">
        <f>SUM(F142:F148)</f>
        <v>0</v>
      </c>
      <c r="G149" s="5">
        <f>SUM(G142:G148)</f>
        <v>0</v>
      </c>
      <c r="H149" s="5">
        <f>SUM(H142:H148)</f>
        <v>0</v>
      </c>
      <c r="I149" s="5">
        <f>SUM(I142:I148)</f>
        <v>0</v>
      </c>
      <c r="J149" s="5">
        <f>SUM(J142:J148)</f>
        <v>0</v>
      </c>
      <c r="K149" s="5">
        <f>SUM(K142:K148)</f>
        <v>0</v>
      </c>
      <c r="L149" s="5">
        <f>SUM(L142:L148)</f>
        <v>0</v>
      </c>
      <c r="M149" s="5">
        <f>SUM(M142:M148)</f>
        <v>0</v>
      </c>
      <c r="N149" s="5">
        <f>SUM(N142:N148)</f>
        <v>0</v>
      </c>
    </row>
    <row r="150" spans="1:14" x14ac:dyDescent="0.4">
      <c r="A150" s="61"/>
      <c r="B150" s="62"/>
      <c r="C150" s="62"/>
      <c r="D150" s="62"/>
      <c r="E150" s="63"/>
      <c r="F150" s="18"/>
      <c r="G150" s="18"/>
      <c r="H150" s="18"/>
      <c r="I150" s="18"/>
      <c r="J150" s="18"/>
      <c r="K150" s="18"/>
      <c r="L150" s="18"/>
      <c r="M150" s="18"/>
      <c r="N150" s="18"/>
    </row>
    <row r="151" spans="1:14" x14ac:dyDescent="0.4">
      <c r="A151" s="11" t="s">
        <v>48</v>
      </c>
      <c r="B151" s="17" t="s">
        <v>73</v>
      </c>
      <c r="C151" s="59" t="s">
        <v>74</v>
      </c>
      <c r="D151" s="60"/>
      <c r="E151" s="6">
        <v>4</v>
      </c>
      <c r="F151" s="6">
        <v>2</v>
      </c>
      <c r="G151" s="6">
        <v>7</v>
      </c>
      <c r="H151" s="6">
        <v>12</v>
      </c>
      <c r="I151" s="6">
        <v>2</v>
      </c>
      <c r="J151" s="6">
        <v>1</v>
      </c>
      <c r="K151" s="6">
        <v>6</v>
      </c>
      <c r="L151" s="6">
        <v>6</v>
      </c>
      <c r="M151" s="6">
        <v>0</v>
      </c>
      <c r="N151" s="5">
        <f t="shared" ref="N151:N157" si="21">SUM(E151:M151)</f>
        <v>40</v>
      </c>
    </row>
    <row r="152" spans="1:14" x14ac:dyDescent="0.4">
      <c r="A152" s="11" t="s">
        <v>50</v>
      </c>
      <c r="B152" s="46"/>
      <c r="C152" s="24" t="s">
        <v>172</v>
      </c>
      <c r="D152" s="47"/>
      <c r="E152" s="6">
        <v>2</v>
      </c>
      <c r="F152" s="6">
        <v>0</v>
      </c>
      <c r="G152" s="6">
        <v>0</v>
      </c>
      <c r="H152" s="6">
        <v>3</v>
      </c>
      <c r="I152" s="6">
        <v>2</v>
      </c>
      <c r="J152" s="6">
        <v>0</v>
      </c>
      <c r="K152" s="6">
        <v>2</v>
      </c>
      <c r="L152" s="6">
        <v>7</v>
      </c>
      <c r="M152" s="6">
        <v>1</v>
      </c>
      <c r="N152" s="5">
        <f t="shared" si="21"/>
        <v>17</v>
      </c>
    </row>
    <row r="153" spans="1:14" x14ac:dyDescent="0.4">
      <c r="A153" s="7"/>
      <c r="B153" s="46"/>
      <c r="C153" s="24" t="s">
        <v>173</v>
      </c>
      <c r="D153" s="47"/>
      <c r="E153" s="6">
        <v>30</v>
      </c>
      <c r="F153" s="6">
        <v>33</v>
      </c>
      <c r="G153" s="6">
        <v>81</v>
      </c>
      <c r="H153" s="6">
        <v>35</v>
      </c>
      <c r="I153" s="6">
        <v>20</v>
      </c>
      <c r="J153" s="6">
        <v>11</v>
      </c>
      <c r="K153" s="6">
        <v>51</v>
      </c>
      <c r="L153" s="6">
        <v>39</v>
      </c>
      <c r="M153" s="6">
        <v>3</v>
      </c>
      <c r="N153" s="5">
        <f t="shared" si="21"/>
        <v>303</v>
      </c>
    </row>
    <row r="154" spans="1:14" x14ac:dyDescent="0.4">
      <c r="A154" s="7"/>
      <c r="B154" s="46"/>
      <c r="C154" s="24" t="s">
        <v>174</v>
      </c>
      <c r="D154" s="47"/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5">
        <f t="shared" si="21"/>
        <v>0</v>
      </c>
    </row>
    <row r="155" spans="1:14" x14ac:dyDescent="0.4">
      <c r="A155" s="7"/>
      <c r="B155" s="46"/>
      <c r="C155" s="24" t="s">
        <v>175</v>
      </c>
      <c r="D155" s="47"/>
      <c r="E155" s="6">
        <v>1</v>
      </c>
      <c r="F155" s="6">
        <v>0</v>
      </c>
      <c r="G155" s="6">
        <v>0</v>
      </c>
      <c r="H155" s="6">
        <v>0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5">
        <f t="shared" si="21"/>
        <v>2</v>
      </c>
    </row>
    <row r="156" spans="1:14" x14ac:dyDescent="0.4">
      <c r="A156" s="7"/>
      <c r="B156" s="46"/>
      <c r="C156" s="24" t="s">
        <v>176</v>
      </c>
      <c r="D156" s="47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5">
        <f t="shared" si="21"/>
        <v>0</v>
      </c>
    </row>
    <row r="157" spans="1:14" ht="13.15" customHeight="1" x14ac:dyDescent="0.4">
      <c r="A157" s="7"/>
      <c r="B157" s="46"/>
      <c r="C157" s="24" t="s">
        <v>177</v>
      </c>
      <c r="D157" s="47"/>
      <c r="E157" s="6">
        <v>1</v>
      </c>
      <c r="F157" s="6">
        <v>0</v>
      </c>
      <c r="G157" s="6">
        <v>0</v>
      </c>
      <c r="H157" s="6">
        <v>2</v>
      </c>
      <c r="I157" s="6">
        <v>0</v>
      </c>
      <c r="J157" s="6">
        <v>0</v>
      </c>
      <c r="K157" s="6">
        <v>0</v>
      </c>
      <c r="L157" s="6">
        <v>0</v>
      </c>
      <c r="M157" s="6">
        <v>1</v>
      </c>
      <c r="N157" s="5">
        <f t="shared" si="21"/>
        <v>4</v>
      </c>
    </row>
    <row r="158" spans="1:14" x14ac:dyDescent="0.4">
      <c r="A158" s="6" t="s">
        <v>26</v>
      </c>
      <c r="B158" s="53" t="s">
        <v>51</v>
      </c>
      <c r="C158" s="54"/>
      <c r="D158" s="55"/>
      <c r="E158" s="5">
        <f>SUM(E151:E157)</f>
        <v>38</v>
      </c>
      <c r="F158" s="5">
        <f>SUM(F151:F157)</f>
        <v>35</v>
      </c>
      <c r="G158" s="5">
        <f>SUM(G151:G157)</f>
        <v>88</v>
      </c>
      <c r="H158" s="5">
        <f>SUM(H151:H157)</f>
        <v>52</v>
      </c>
      <c r="I158" s="5">
        <f>SUM(I151:I157)</f>
        <v>25</v>
      </c>
      <c r="J158" s="5">
        <f>SUM(J151:J157)</f>
        <v>12</v>
      </c>
      <c r="K158" s="5">
        <f>SUM(K151:K157)</f>
        <v>59</v>
      </c>
      <c r="L158" s="5">
        <f>SUM(L151:L157)</f>
        <v>52</v>
      </c>
      <c r="M158" s="5">
        <f>SUM(M151:M157)</f>
        <v>5</v>
      </c>
      <c r="N158" s="5">
        <f>SUM(N151:N157)</f>
        <v>366</v>
      </c>
    </row>
    <row r="159" spans="1:14" x14ac:dyDescent="0.4">
      <c r="A159" s="61"/>
      <c r="B159" s="62"/>
      <c r="C159" s="62"/>
      <c r="D159" s="62"/>
      <c r="E159" s="63"/>
      <c r="F159" s="18"/>
      <c r="G159" s="18"/>
      <c r="H159" s="18"/>
      <c r="I159" s="18"/>
      <c r="J159" s="18"/>
      <c r="K159" s="18"/>
      <c r="L159" s="18"/>
      <c r="M159" s="18"/>
      <c r="N159" s="18"/>
    </row>
    <row r="160" spans="1:14" x14ac:dyDescent="0.4">
      <c r="A160" s="11" t="s">
        <v>48</v>
      </c>
      <c r="B160" s="17" t="s">
        <v>75</v>
      </c>
      <c r="C160" s="59" t="s">
        <v>76</v>
      </c>
      <c r="D160" s="60"/>
      <c r="E160" s="6">
        <v>1</v>
      </c>
      <c r="F160" s="6">
        <v>0</v>
      </c>
      <c r="G160" s="6">
        <v>0</v>
      </c>
      <c r="H160" s="6">
        <v>1</v>
      </c>
      <c r="I160" s="6">
        <v>3</v>
      </c>
      <c r="J160" s="6">
        <v>0</v>
      </c>
      <c r="K160" s="6">
        <v>3</v>
      </c>
      <c r="L160" s="6">
        <v>1</v>
      </c>
      <c r="M160" s="6">
        <v>1</v>
      </c>
      <c r="N160" s="5">
        <f t="shared" ref="N160:N162" si="22">SUM(E160:M160)</f>
        <v>10</v>
      </c>
    </row>
    <row r="161" spans="1:14" x14ac:dyDescent="0.4">
      <c r="A161" s="11" t="s">
        <v>50</v>
      </c>
      <c r="B161" s="46"/>
      <c r="C161" s="24" t="s">
        <v>178</v>
      </c>
      <c r="D161" s="47"/>
      <c r="E161" s="6">
        <v>2</v>
      </c>
      <c r="F161" s="6">
        <v>0</v>
      </c>
      <c r="G161" s="6">
        <v>1</v>
      </c>
      <c r="H161" s="6">
        <v>2</v>
      </c>
      <c r="I161" s="6">
        <v>1</v>
      </c>
      <c r="J161" s="6">
        <v>0</v>
      </c>
      <c r="K161" s="6">
        <v>2</v>
      </c>
      <c r="L161" s="6">
        <v>0</v>
      </c>
      <c r="M161" s="6">
        <v>0</v>
      </c>
      <c r="N161" s="5">
        <f t="shared" si="22"/>
        <v>8</v>
      </c>
    </row>
    <row r="162" spans="1:14" x14ac:dyDescent="0.4">
      <c r="A162" s="7"/>
      <c r="B162" s="46"/>
      <c r="C162" s="24" t="s">
        <v>179</v>
      </c>
      <c r="D162" s="47"/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1</v>
      </c>
      <c r="L162" s="6">
        <v>0</v>
      </c>
      <c r="M162" s="6">
        <v>0</v>
      </c>
      <c r="N162" s="5">
        <f t="shared" si="22"/>
        <v>1</v>
      </c>
    </row>
    <row r="163" spans="1:14" x14ac:dyDescent="0.4">
      <c r="A163" s="6" t="s">
        <v>26</v>
      </c>
      <c r="B163" s="53" t="s">
        <v>51</v>
      </c>
      <c r="C163" s="54"/>
      <c r="D163" s="55"/>
      <c r="E163" s="5">
        <f>SUM(E160:E162)</f>
        <v>3</v>
      </c>
      <c r="F163" s="5">
        <f>SUM(F160:F162)</f>
        <v>0</v>
      </c>
      <c r="G163" s="5">
        <f>SUM(G160:G162)</f>
        <v>1</v>
      </c>
      <c r="H163" s="5">
        <f>SUM(H160:H162)</f>
        <v>3</v>
      </c>
      <c r="I163" s="5">
        <f>SUM(I160:I162)</f>
        <v>4</v>
      </c>
      <c r="J163" s="5">
        <f>SUM(J160:J162)</f>
        <v>0</v>
      </c>
      <c r="K163" s="5">
        <f>SUM(K160:K162)</f>
        <v>6</v>
      </c>
      <c r="L163" s="5">
        <f>SUM(L160:L162)</f>
        <v>1</v>
      </c>
      <c r="M163" s="5">
        <f>SUM(M160:M162)</f>
        <v>1</v>
      </c>
      <c r="N163" s="5">
        <f>SUM(N160:N162)</f>
        <v>19</v>
      </c>
    </row>
    <row r="164" spans="1:14" x14ac:dyDescent="0.4">
      <c r="A164" s="61"/>
      <c r="B164" s="62"/>
      <c r="C164" s="62"/>
      <c r="D164" s="62"/>
      <c r="E164" s="63"/>
      <c r="F164" s="18"/>
      <c r="G164" s="18"/>
      <c r="H164" s="18"/>
      <c r="I164" s="18"/>
      <c r="J164" s="18"/>
      <c r="K164" s="18"/>
      <c r="L164" s="18"/>
      <c r="M164" s="18"/>
      <c r="N164" s="18"/>
    </row>
    <row r="165" spans="1:14" x14ac:dyDescent="0.4">
      <c r="A165" s="11" t="s">
        <v>48</v>
      </c>
      <c r="B165" s="17" t="s">
        <v>77</v>
      </c>
      <c r="C165" s="59" t="s">
        <v>78</v>
      </c>
      <c r="D165" s="60"/>
      <c r="E165" s="6">
        <v>1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1</v>
      </c>
      <c r="L165" s="6">
        <v>0</v>
      </c>
      <c r="M165" s="6">
        <v>0</v>
      </c>
      <c r="N165" s="5">
        <f t="shared" ref="N165:N171" si="23">SUM(E165:M165)</f>
        <v>2</v>
      </c>
    </row>
    <row r="166" spans="1:14" x14ac:dyDescent="0.4">
      <c r="A166" s="11" t="s">
        <v>50</v>
      </c>
      <c r="B166" s="17"/>
      <c r="C166" s="24" t="s">
        <v>180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5">
        <f t="shared" si="23"/>
        <v>0</v>
      </c>
    </row>
    <row r="167" spans="1:14" x14ac:dyDescent="0.4">
      <c r="A167" s="7"/>
      <c r="B167" s="17"/>
      <c r="C167" s="24" t="s">
        <v>181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5">
        <f t="shared" si="23"/>
        <v>0</v>
      </c>
    </row>
    <row r="168" spans="1:14" x14ac:dyDescent="0.4">
      <c r="A168" s="7"/>
      <c r="B168" s="17"/>
      <c r="C168" s="24" t="s">
        <v>182</v>
      </c>
      <c r="D168" s="45"/>
      <c r="E168" s="6">
        <v>0</v>
      </c>
      <c r="F168" s="6">
        <v>0</v>
      </c>
      <c r="G168" s="6">
        <v>1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5">
        <f t="shared" si="23"/>
        <v>1</v>
      </c>
    </row>
    <row r="169" spans="1:14" ht="13.15" customHeight="1" x14ac:dyDescent="0.4">
      <c r="A169" s="7"/>
      <c r="B169" s="46"/>
      <c r="C169" s="24" t="s">
        <v>183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5">
        <f t="shared" si="23"/>
        <v>0</v>
      </c>
    </row>
    <row r="170" spans="1:14" x14ac:dyDescent="0.4">
      <c r="A170" s="7"/>
      <c r="B170" s="46"/>
      <c r="C170" s="24" t="s">
        <v>184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5">
        <f t="shared" si="23"/>
        <v>0</v>
      </c>
    </row>
    <row r="171" spans="1:14" x14ac:dyDescent="0.4">
      <c r="A171" s="7"/>
      <c r="B171" s="46"/>
      <c r="C171" s="24" t="s">
        <v>185</v>
      </c>
      <c r="D171" s="47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5">
        <f t="shared" si="23"/>
        <v>0</v>
      </c>
    </row>
    <row r="172" spans="1:14" x14ac:dyDescent="0.4">
      <c r="A172" s="6" t="s">
        <v>26</v>
      </c>
      <c r="B172" s="53" t="s">
        <v>51</v>
      </c>
      <c r="C172" s="54"/>
      <c r="D172" s="55"/>
      <c r="E172" s="5">
        <f>SUM(E165:E171)</f>
        <v>1</v>
      </c>
      <c r="F172" s="5">
        <f>SUM(F165:F171)</f>
        <v>0</v>
      </c>
      <c r="G172" s="5">
        <f>SUM(G165:G171)</f>
        <v>1</v>
      </c>
      <c r="H172" s="5">
        <f>SUM(H165:H171)</f>
        <v>0</v>
      </c>
      <c r="I172" s="5">
        <f>SUM(I165:I171)</f>
        <v>0</v>
      </c>
      <c r="J172" s="5">
        <f>SUM(J165:J171)</f>
        <v>0</v>
      </c>
      <c r="K172" s="5">
        <f>SUM(K165:K171)</f>
        <v>1</v>
      </c>
      <c r="L172" s="5">
        <f>SUM(L165:L171)</f>
        <v>0</v>
      </c>
      <c r="M172" s="5">
        <f>SUM(M165:M171)</f>
        <v>0</v>
      </c>
      <c r="N172" s="5">
        <f>SUM(N165:N171)</f>
        <v>3</v>
      </c>
    </row>
    <row r="173" spans="1:14" x14ac:dyDescent="0.4">
      <c r="A173" s="61"/>
      <c r="B173" s="62"/>
      <c r="C173" s="62"/>
      <c r="D173" s="62"/>
      <c r="E173" s="63"/>
      <c r="F173" s="18"/>
      <c r="G173" s="18"/>
      <c r="H173" s="18"/>
      <c r="I173" s="18"/>
      <c r="J173" s="18"/>
      <c r="K173" s="18"/>
      <c r="L173" s="18"/>
      <c r="M173" s="18"/>
      <c r="N173" s="18"/>
    </row>
    <row r="174" spans="1:14" x14ac:dyDescent="0.4">
      <c r="A174" s="11" t="s">
        <v>48</v>
      </c>
      <c r="B174" s="17" t="s">
        <v>79</v>
      </c>
      <c r="C174" s="59" t="s">
        <v>80</v>
      </c>
      <c r="D174" s="60"/>
      <c r="E174" s="6">
        <v>1</v>
      </c>
      <c r="F174" s="6">
        <v>0</v>
      </c>
      <c r="G174" s="6">
        <v>3</v>
      </c>
      <c r="H174" s="6">
        <v>1</v>
      </c>
      <c r="I174" s="6">
        <v>0</v>
      </c>
      <c r="J174" s="6">
        <v>0</v>
      </c>
      <c r="K174" s="6">
        <v>2</v>
      </c>
      <c r="L174" s="6">
        <v>3</v>
      </c>
      <c r="M174" s="6">
        <v>3</v>
      </c>
      <c r="N174" s="5">
        <f t="shared" ref="N174:N180" si="24">SUM(E174:M174)</f>
        <v>13</v>
      </c>
    </row>
    <row r="175" spans="1:14" x14ac:dyDescent="0.4">
      <c r="A175" s="11" t="s">
        <v>50</v>
      </c>
      <c r="B175" s="46"/>
      <c r="C175" s="24" t="s">
        <v>186</v>
      </c>
      <c r="D175" s="47"/>
      <c r="E175" s="6">
        <v>1</v>
      </c>
      <c r="F175" s="6">
        <v>3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1</v>
      </c>
      <c r="M175" s="6">
        <v>0</v>
      </c>
      <c r="N175" s="5">
        <f t="shared" si="24"/>
        <v>5</v>
      </c>
    </row>
    <row r="176" spans="1:14" x14ac:dyDescent="0.4">
      <c r="A176" s="7"/>
      <c r="B176" s="46"/>
      <c r="C176" s="24" t="s">
        <v>187</v>
      </c>
      <c r="D176" s="47"/>
      <c r="E176" s="6">
        <v>16</v>
      </c>
      <c r="F176" s="6">
        <v>0</v>
      </c>
      <c r="G176" s="6">
        <v>16</v>
      </c>
      <c r="H176" s="6">
        <v>15</v>
      </c>
      <c r="I176" s="6">
        <v>4</v>
      </c>
      <c r="J176" s="6">
        <v>12</v>
      </c>
      <c r="K176" s="6">
        <v>26</v>
      </c>
      <c r="L176" s="6">
        <v>35</v>
      </c>
      <c r="M176" s="6">
        <v>1</v>
      </c>
      <c r="N176" s="5">
        <f t="shared" si="24"/>
        <v>125</v>
      </c>
    </row>
    <row r="177" spans="1:14" ht="13.15" customHeight="1" x14ac:dyDescent="0.4">
      <c r="A177" s="7"/>
      <c r="B177" s="46"/>
      <c r="C177" s="24" t="s">
        <v>188</v>
      </c>
      <c r="D177" s="47"/>
      <c r="E177" s="6">
        <v>1</v>
      </c>
      <c r="F177" s="6">
        <v>1</v>
      </c>
      <c r="G177" s="6">
        <v>0</v>
      </c>
      <c r="H177" s="6">
        <v>1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5">
        <f t="shared" si="24"/>
        <v>3</v>
      </c>
    </row>
    <row r="178" spans="1:14" x14ac:dyDescent="0.4">
      <c r="A178" s="7"/>
      <c r="B178" s="46"/>
      <c r="C178" s="24" t="s">
        <v>189</v>
      </c>
      <c r="D178" s="47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1</v>
      </c>
      <c r="L178" s="6">
        <v>0</v>
      </c>
      <c r="M178" s="6">
        <v>0</v>
      </c>
      <c r="N178" s="5">
        <f t="shared" si="24"/>
        <v>1</v>
      </c>
    </row>
    <row r="179" spans="1:14" ht="12.75" customHeight="1" x14ac:dyDescent="0.4">
      <c r="A179" s="7"/>
      <c r="B179" s="46"/>
      <c r="C179" s="24" t="s">
        <v>190</v>
      </c>
      <c r="D179" s="47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5">
        <f t="shared" si="24"/>
        <v>0</v>
      </c>
    </row>
    <row r="180" spans="1:14" x14ac:dyDescent="0.4">
      <c r="A180" s="7"/>
      <c r="B180" s="46"/>
      <c r="C180" s="24" t="s">
        <v>191</v>
      </c>
      <c r="D180" s="47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5">
        <f t="shared" si="24"/>
        <v>0</v>
      </c>
    </row>
    <row r="181" spans="1:14" ht="12.75" customHeight="1" x14ac:dyDescent="0.4">
      <c r="A181" s="6" t="s">
        <v>26</v>
      </c>
      <c r="B181" s="53" t="s">
        <v>51</v>
      </c>
      <c r="C181" s="54"/>
      <c r="D181" s="55"/>
      <c r="E181" s="5">
        <f>SUM(E174:E180)</f>
        <v>19</v>
      </c>
      <c r="F181" s="5">
        <f>SUM(F174:F180)</f>
        <v>4</v>
      </c>
      <c r="G181" s="5">
        <f>SUM(G174:G180)</f>
        <v>19</v>
      </c>
      <c r="H181" s="5">
        <f>SUM(H174:H180)</f>
        <v>17</v>
      </c>
      <c r="I181" s="5">
        <f>SUM(I174:I180)</f>
        <v>4</v>
      </c>
      <c r="J181" s="5">
        <f>SUM(J174:J180)</f>
        <v>12</v>
      </c>
      <c r="K181" s="5">
        <f>SUM(K174:K180)</f>
        <v>29</v>
      </c>
      <c r="L181" s="5">
        <f>SUM(L174:L180)</f>
        <v>39</v>
      </c>
      <c r="M181" s="5">
        <f>SUM(M174:M180)</f>
        <v>4</v>
      </c>
      <c r="N181" s="5">
        <f>SUM(N174:N180)</f>
        <v>147</v>
      </c>
    </row>
    <row r="182" spans="1:14" x14ac:dyDescent="0.4">
      <c r="A182" s="61"/>
      <c r="B182" s="62"/>
      <c r="C182" s="62"/>
      <c r="D182" s="62"/>
      <c r="E182" s="63"/>
    </row>
    <row r="183" spans="1:14" x14ac:dyDescent="0.4">
      <c r="A183" s="11" t="s">
        <v>48</v>
      </c>
      <c r="B183" s="17" t="s">
        <v>81</v>
      </c>
      <c r="C183" s="59" t="s">
        <v>82</v>
      </c>
      <c r="D183" s="60"/>
      <c r="E183" s="6">
        <v>0</v>
      </c>
      <c r="F183" s="6">
        <v>0</v>
      </c>
      <c r="G183" s="6">
        <v>1</v>
      </c>
      <c r="H183" s="6">
        <v>0</v>
      </c>
      <c r="I183" s="6">
        <v>0</v>
      </c>
      <c r="J183" s="6">
        <v>0</v>
      </c>
      <c r="K183" s="6">
        <v>1</v>
      </c>
      <c r="L183" s="6">
        <v>0</v>
      </c>
      <c r="M183" s="6">
        <v>0</v>
      </c>
      <c r="N183" s="5">
        <f t="shared" ref="N183:N184" si="25">SUM(E183:M183)</f>
        <v>2</v>
      </c>
    </row>
    <row r="184" spans="1:14" x14ac:dyDescent="0.4">
      <c r="A184" s="11" t="s">
        <v>50</v>
      </c>
      <c r="B184" s="46"/>
      <c r="C184" s="24" t="s">
        <v>192</v>
      </c>
      <c r="D184" s="47"/>
      <c r="E184" s="6">
        <v>0</v>
      </c>
      <c r="F184" s="6">
        <v>0</v>
      </c>
      <c r="G184" s="6">
        <v>0</v>
      </c>
      <c r="H184" s="6">
        <v>1</v>
      </c>
      <c r="I184" s="6">
        <v>1</v>
      </c>
      <c r="J184" s="6">
        <v>1</v>
      </c>
      <c r="K184" s="6">
        <v>0</v>
      </c>
      <c r="L184" s="6">
        <v>0</v>
      </c>
      <c r="M184" s="6">
        <v>0</v>
      </c>
      <c r="N184" s="5">
        <f t="shared" si="25"/>
        <v>3</v>
      </c>
    </row>
    <row r="185" spans="1:14" x14ac:dyDescent="0.4">
      <c r="A185" s="6" t="s">
        <v>26</v>
      </c>
      <c r="B185" s="53" t="s">
        <v>51</v>
      </c>
      <c r="C185" s="54"/>
      <c r="D185" s="55"/>
      <c r="E185" s="5">
        <f>SUM(E183:E184)</f>
        <v>0</v>
      </c>
      <c r="F185" s="5">
        <f>SUM(F183:F184)</f>
        <v>0</v>
      </c>
      <c r="G185" s="5">
        <f>SUM(G183:G184)</f>
        <v>1</v>
      </c>
      <c r="H185" s="5">
        <f>SUM(H183:H184)</f>
        <v>1</v>
      </c>
      <c r="I185" s="5">
        <f>SUM(I183:I184)</f>
        <v>1</v>
      </c>
      <c r="J185" s="5">
        <f>SUM(J183:J184)</f>
        <v>1</v>
      </c>
      <c r="K185" s="5">
        <f>SUM(K183:K184)</f>
        <v>1</v>
      </c>
      <c r="L185" s="5">
        <f>SUM(L183:L184)</f>
        <v>0</v>
      </c>
      <c r="M185" s="5">
        <f>SUM(M183:M184)</f>
        <v>0</v>
      </c>
      <c r="N185" s="5">
        <f>SUM(N183:N184)</f>
        <v>5</v>
      </c>
    </row>
    <row r="187" spans="1:14" x14ac:dyDescent="0.4">
      <c r="A187" s="16" t="s">
        <v>83</v>
      </c>
      <c r="B187" s="56" t="s">
        <v>84</v>
      </c>
      <c r="C187" s="57"/>
      <c r="D187" s="58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 x14ac:dyDescent="0.4">
      <c r="A188" s="16"/>
      <c r="B188" s="19" t="s">
        <v>85</v>
      </c>
      <c r="C188" s="51" t="s">
        <v>86</v>
      </c>
      <c r="D188" s="52"/>
      <c r="E188" s="6">
        <f>E52+E61+E70+E79+E88+E92+E101+E110+E119+E128+E131+E140+E149+E158+E163+E172+E181+E185</f>
        <v>196</v>
      </c>
      <c r="F188" s="6">
        <f>F52+F61+F70+F79+F88+F92+F101+F110+F119+F128+F131+F140+F149+F158+F163+F172+F181+F185</f>
        <v>183</v>
      </c>
      <c r="G188" s="6">
        <f>G52+G61+G70+G79+G88+G92+G101+G110+G119+G128+G131+G140+G149+G158+G163+G172+G181+G185</f>
        <v>184</v>
      </c>
      <c r="H188" s="6">
        <f>H52+H61+H70+H79+H88+H92+H101+H110+H119+H128+H131+H140+H149+H158+H163+H172+H181+H185</f>
        <v>197</v>
      </c>
      <c r="I188" s="6">
        <f>I52+I61+I70+I79+I88+I92+I101+I110+I119+I128+I131+I140+I149+I158+I163+I172+I181+I185</f>
        <v>206</v>
      </c>
      <c r="J188" s="6">
        <f>J52+J61+J70+J79+J88+J92+J101+J110+J119+J128+J131+J140+J149+J158+J163+J172+J181+J185</f>
        <v>217</v>
      </c>
      <c r="K188" s="6">
        <f>K52+K61+K70+K79+K88+K92+K101+K110+K119+K128+K131+K140+K149+K158+K163+K172+K181+K185</f>
        <v>194</v>
      </c>
      <c r="L188" s="6">
        <f>L52+L61+L70+L79+L88+L92+L101+L110+L119+L128+L131+L140+L149+L158+L163+L172+L181+L185</f>
        <v>192</v>
      </c>
      <c r="M188" s="6">
        <f>M52+M61+M70+M79+M88+M92+M101+M110+M119+M128+M131+M140+M149+M158+M163+M172+M181+M185</f>
        <v>133</v>
      </c>
      <c r="N188" s="5">
        <f>SUM(E188:M188)</f>
        <v>1702</v>
      </c>
    </row>
    <row r="189" spans="1:14" x14ac:dyDescent="0.4">
      <c r="A189" s="13"/>
      <c r="B189" s="19" t="s">
        <v>87</v>
      </c>
      <c r="C189" s="51" t="s">
        <v>88</v>
      </c>
      <c r="D189" s="52"/>
      <c r="E189" s="6">
        <v>14</v>
      </c>
      <c r="F189" s="6">
        <v>13</v>
      </c>
      <c r="G189" s="6">
        <v>15</v>
      </c>
      <c r="H189" s="6">
        <v>29</v>
      </c>
      <c r="I189" s="6">
        <v>13</v>
      </c>
      <c r="J189" s="6">
        <v>16</v>
      </c>
      <c r="K189" s="6">
        <v>20</v>
      </c>
      <c r="L189" s="6">
        <v>6</v>
      </c>
      <c r="M189" s="6">
        <v>8</v>
      </c>
      <c r="N189" s="5">
        <f>SUM(E189:M189)</f>
        <v>134</v>
      </c>
    </row>
    <row r="190" spans="1:14" x14ac:dyDescent="0.4">
      <c r="A190" s="14"/>
      <c r="B190" s="19" t="s">
        <v>89</v>
      </c>
      <c r="C190" s="51" t="s">
        <v>90</v>
      </c>
      <c r="D190" s="52"/>
      <c r="E190" s="5">
        <f>SUM(E188:E189)</f>
        <v>210</v>
      </c>
      <c r="F190" s="5">
        <f t="shared" ref="F190:M190" si="26">SUM(F188:F189)</f>
        <v>196</v>
      </c>
      <c r="G190" s="5">
        <f t="shared" si="26"/>
        <v>199</v>
      </c>
      <c r="H190" s="5">
        <f t="shared" si="26"/>
        <v>226</v>
      </c>
      <c r="I190" s="5">
        <f t="shared" si="26"/>
        <v>219</v>
      </c>
      <c r="J190" s="5">
        <f t="shared" si="26"/>
        <v>233</v>
      </c>
      <c r="K190" s="5">
        <f t="shared" si="26"/>
        <v>214</v>
      </c>
      <c r="L190" s="5">
        <f t="shared" si="26"/>
        <v>198</v>
      </c>
      <c r="M190" s="5">
        <f t="shared" si="26"/>
        <v>141</v>
      </c>
      <c r="N190" s="5">
        <f>SUM(E190:M190)</f>
        <v>1836</v>
      </c>
    </row>
  </sheetData>
  <mergeCells count="87">
    <mergeCell ref="A17:D17"/>
    <mergeCell ref="B18:D18"/>
    <mergeCell ref="B19:B21"/>
    <mergeCell ref="C19:C21"/>
    <mergeCell ref="B22:B24"/>
    <mergeCell ref="C22:C24"/>
    <mergeCell ref="B12:D12"/>
    <mergeCell ref="E12:M12"/>
    <mergeCell ref="N12:N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I37"/>
    <mergeCell ref="B38:D38"/>
    <mergeCell ref="A42:D42"/>
    <mergeCell ref="E42:I42"/>
    <mergeCell ref="B43:D43"/>
    <mergeCell ref="B39:C41"/>
    <mergeCell ref="A44:D44"/>
    <mergeCell ref="C45:D45"/>
    <mergeCell ref="C81:D81"/>
    <mergeCell ref="B52:D52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112:D112"/>
    <mergeCell ref="B88:D88"/>
    <mergeCell ref="A89:E89"/>
    <mergeCell ref="C90:D90"/>
    <mergeCell ref="B92:D92"/>
    <mergeCell ref="A93:E93"/>
    <mergeCell ref="C94:D94"/>
    <mergeCell ref="B101:D101"/>
    <mergeCell ref="A102:E102"/>
    <mergeCell ref="C103:D103"/>
    <mergeCell ref="B110:D110"/>
    <mergeCell ref="A111:E111"/>
    <mergeCell ref="C91:D91"/>
    <mergeCell ref="C142:D142"/>
    <mergeCell ref="B119:D119"/>
    <mergeCell ref="A120:E120"/>
    <mergeCell ref="C121:D121"/>
    <mergeCell ref="B128:D128"/>
    <mergeCell ref="A129:E129"/>
    <mergeCell ref="C130:D130"/>
    <mergeCell ref="B131:D131"/>
    <mergeCell ref="A132:E132"/>
    <mergeCell ref="C133:D133"/>
    <mergeCell ref="B140:D140"/>
    <mergeCell ref="A141:E141"/>
    <mergeCell ref="C189:D189"/>
    <mergeCell ref="C190:D190"/>
    <mergeCell ref="B181:D181"/>
    <mergeCell ref="A182:E182"/>
    <mergeCell ref="C183:D183"/>
    <mergeCell ref="B185:D185"/>
    <mergeCell ref="B187:D187"/>
    <mergeCell ref="C188:D188"/>
    <mergeCell ref="C174:D174"/>
    <mergeCell ref="B149:D149"/>
    <mergeCell ref="A150:E150"/>
    <mergeCell ref="C151:D151"/>
    <mergeCell ref="B158:D158"/>
    <mergeCell ref="A159:E159"/>
    <mergeCell ref="C160:D160"/>
    <mergeCell ref="B163:D163"/>
    <mergeCell ref="A164:E164"/>
    <mergeCell ref="C165:D165"/>
    <mergeCell ref="B172:D172"/>
    <mergeCell ref="A173:E173"/>
  </mergeCells>
  <phoneticPr fontId="8" type="noConversion"/>
  <conditionalFormatting sqref="E14:M15">
    <cfRule type="containsBlanks" dxfId="229" priority="24">
      <formula>LEN(TRIM(E14))=0</formula>
    </cfRule>
  </conditionalFormatting>
  <conditionalFormatting sqref="E19:M20">
    <cfRule type="containsBlanks" dxfId="228" priority="27">
      <formula>LEN(TRIM(E19))=0</formula>
    </cfRule>
  </conditionalFormatting>
  <conditionalFormatting sqref="E22:M23 E25:M26 E33:M33 E35:M35 E39:M40">
    <cfRule type="containsBlanks" dxfId="227" priority="28">
      <formula>LEN(TRIM(E22))=0</formula>
    </cfRule>
  </conditionalFormatting>
  <conditionalFormatting sqref="E30:M30">
    <cfRule type="expression" dxfId="226" priority="29">
      <formula>E30&lt;&gt;E47</formula>
    </cfRule>
    <cfRule type="expression" dxfId="225" priority="30">
      <formula>E30&lt;&gt;E34</formula>
    </cfRule>
  </conditionalFormatting>
  <conditionalFormatting sqref="E45:M51">
    <cfRule type="containsBlanks" dxfId="224" priority="23">
      <formula>LEN(TRIM(E45))=0</formula>
    </cfRule>
  </conditionalFormatting>
  <conditionalFormatting sqref="E54:M60">
    <cfRule type="containsBlanks" dxfId="223" priority="22">
      <formula>LEN(TRIM(E54))=0</formula>
    </cfRule>
  </conditionalFormatting>
  <conditionalFormatting sqref="E63:M69">
    <cfRule type="containsBlanks" dxfId="222" priority="21">
      <formula>LEN(TRIM(E63))=0</formula>
    </cfRule>
  </conditionalFormatting>
  <conditionalFormatting sqref="E72:M78">
    <cfRule type="containsBlanks" dxfId="221" priority="20">
      <formula>LEN(TRIM(E72))=0</formula>
    </cfRule>
  </conditionalFormatting>
  <conditionalFormatting sqref="E81:M87">
    <cfRule type="containsBlanks" dxfId="220" priority="19">
      <formula>LEN(TRIM(E81))=0</formula>
    </cfRule>
  </conditionalFormatting>
  <conditionalFormatting sqref="E94:M100">
    <cfRule type="containsBlanks" dxfId="218" priority="4">
      <formula>LEN(TRIM(E94))=0</formula>
    </cfRule>
  </conditionalFormatting>
  <conditionalFormatting sqref="E103:M109">
    <cfRule type="containsBlanks" dxfId="217" priority="17">
      <formula>LEN(TRIM(E103))=0</formula>
    </cfRule>
  </conditionalFormatting>
  <conditionalFormatting sqref="E112:M118">
    <cfRule type="containsBlanks" dxfId="216" priority="16">
      <formula>LEN(TRIM(E112))=0</formula>
    </cfRule>
  </conditionalFormatting>
  <conditionalFormatting sqref="E121:M127">
    <cfRule type="containsBlanks" dxfId="215" priority="6">
      <formula>LEN(TRIM(E121))=0</formula>
    </cfRule>
  </conditionalFormatting>
  <conditionalFormatting sqref="E130:M130">
    <cfRule type="containsBlanks" dxfId="214" priority="15">
      <formula>LEN(TRIM(E130))=0</formula>
    </cfRule>
  </conditionalFormatting>
  <conditionalFormatting sqref="E133:M139">
    <cfRule type="containsBlanks" dxfId="213" priority="14">
      <formula>LEN(TRIM(E133))=0</formula>
    </cfRule>
  </conditionalFormatting>
  <conditionalFormatting sqref="E151:M157">
    <cfRule type="containsBlanks" dxfId="211" priority="12">
      <formula>LEN(TRIM(E151))=0</formula>
    </cfRule>
  </conditionalFormatting>
  <conditionalFormatting sqref="E160:M162">
    <cfRule type="containsBlanks" dxfId="210" priority="11">
      <formula>LEN(TRIM(E160))=0</formula>
    </cfRule>
  </conditionalFormatting>
  <conditionalFormatting sqref="E165:M171">
    <cfRule type="containsBlanks" dxfId="209" priority="10">
      <formula>LEN(TRIM(E165))=0</formula>
    </cfRule>
  </conditionalFormatting>
  <conditionalFormatting sqref="E174:M180">
    <cfRule type="containsBlanks" dxfId="208" priority="9">
      <formula>LEN(TRIM(E174))=0</formula>
    </cfRule>
  </conditionalFormatting>
  <conditionalFormatting sqref="E183:M184">
    <cfRule type="containsBlanks" dxfId="207" priority="7">
      <formula>LEN(TRIM(E183))=0</formula>
    </cfRule>
  </conditionalFormatting>
  <conditionalFormatting sqref="E188:M189">
    <cfRule type="containsBlanks" dxfId="206" priority="5">
      <formula>LEN(TRIM(E188))=0</formula>
    </cfRule>
  </conditionalFormatting>
  <conditionalFormatting sqref="E34:M34">
    <cfRule type="expression" dxfId="205" priority="143">
      <formula>E30&lt;&gt;E34</formula>
    </cfRule>
    <cfRule type="expression" dxfId="204" priority="144">
      <formula>E30=E34</formula>
    </cfRule>
    <cfRule type="expression" dxfId="203" priority="145">
      <formula>E34&lt;&gt;E30</formula>
    </cfRule>
    <cfRule type="expression" dxfId="202" priority="146">
      <formula>E34&lt;&gt;#REF!</formula>
    </cfRule>
  </conditionalFormatting>
  <conditionalFormatting sqref="E142:M148">
    <cfRule type="containsBlanks" dxfId="1" priority="2">
      <formula>LEN(TRIM(E142))=0</formula>
    </cfRule>
  </conditionalFormatting>
  <conditionalFormatting sqref="E90:M91">
    <cfRule type="containsBlanks" dxfId="0" priority="1">
      <formula>LEN(TRIM(E90))=0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4FAF-A591-4A91-A3ED-69D48DD14997}">
  <sheetPr>
    <tabColor rgb="FF92D050"/>
  </sheetPr>
  <dimension ref="A2:W190"/>
  <sheetViews>
    <sheetView topLeftCell="D13" zoomScale="85" zoomScaleNormal="85" workbookViewId="0">
      <pane ySplit="1" topLeftCell="A176" activePane="bottomLeft" state="frozen"/>
      <selection activeCell="E14" sqref="E14"/>
      <selection pane="bottomLeft" activeCell="T185" sqref="T185"/>
    </sheetView>
  </sheetViews>
  <sheetFormatPr defaultRowHeight="13.15" x14ac:dyDescent="0.4"/>
  <cols>
    <col min="3" max="3" width="67.140625" bestFit="1" customWidth="1"/>
    <col min="4" max="4" width="5.85546875" bestFit="1" customWidth="1"/>
    <col min="23" max="23" width="13.28515625" customWidth="1"/>
  </cols>
  <sheetData>
    <row r="2" spans="1:23" x14ac:dyDescent="0.4">
      <c r="C2" s="43" t="s">
        <v>98</v>
      </c>
      <c r="D2" s="43" t="s">
        <v>105</v>
      </c>
    </row>
    <row r="3" spans="1:23" x14ac:dyDescent="0.4">
      <c r="C3" s="43" t="s">
        <v>99</v>
      </c>
      <c r="D3" s="43" t="s">
        <v>100</v>
      </c>
    </row>
    <row r="4" spans="1:23" x14ac:dyDescent="0.4">
      <c r="C4" s="43" t="s">
        <v>101</v>
      </c>
      <c r="D4" s="43" t="s">
        <v>102</v>
      </c>
    </row>
    <row r="5" spans="1:23" x14ac:dyDescent="0.4">
      <c r="C5" s="43"/>
      <c r="D5" s="43"/>
    </row>
    <row r="6" spans="1:23" x14ac:dyDescent="0.4">
      <c r="C6" s="43"/>
      <c r="D6" s="43"/>
    </row>
    <row r="7" spans="1:23" x14ac:dyDescent="0.4">
      <c r="C7" s="43"/>
      <c r="D7" s="43"/>
    </row>
    <row r="8" spans="1:23" x14ac:dyDescent="0.4">
      <c r="C8" s="43"/>
      <c r="D8" s="43"/>
    </row>
    <row r="9" spans="1:23" x14ac:dyDescent="0.4">
      <c r="C9" s="43" t="s">
        <v>103</v>
      </c>
      <c r="D9" s="43" t="s">
        <v>196</v>
      </c>
    </row>
    <row r="11" spans="1:23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3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2" t="s">
        <v>97</v>
      </c>
    </row>
    <row r="13" spans="1:23" x14ac:dyDescent="0.4">
      <c r="A13" s="6" t="s">
        <v>2</v>
      </c>
      <c r="B13" s="78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93"/>
    </row>
    <row r="14" spans="1:23" x14ac:dyDescent="0.4">
      <c r="A14" s="7"/>
      <c r="B14" s="81" t="s">
        <v>22</v>
      </c>
      <c r="C14" s="68"/>
      <c r="D14" s="6" t="s">
        <v>23</v>
      </c>
      <c r="E14" s="6">
        <v>96</v>
      </c>
      <c r="F14" s="6">
        <v>116</v>
      </c>
      <c r="G14" s="6">
        <v>127</v>
      </c>
      <c r="H14" s="6">
        <v>102</v>
      </c>
      <c r="I14" s="6">
        <v>112</v>
      </c>
      <c r="J14" s="6">
        <v>126</v>
      </c>
      <c r="K14" s="6">
        <v>127</v>
      </c>
      <c r="L14" s="6">
        <v>140</v>
      </c>
      <c r="M14" s="6">
        <v>133</v>
      </c>
      <c r="N14" s="6">
        <v>124</v>
      </c>
      <c r="O14" s="6">
        <v>132</v>
      </c>
      <c r="P14" s="6">
        <v>136</v>
      </c>
      <c r="Q14" s="6">
        <v>131</v>
      </c>
      <c r="R14" s="6">
        <v>133</v>
      </c>
      <c r="S14" s="6">
        <v>140</v>
      </c>
      <c r="T14" s="6">
        <v>84</v>
      </c>
      <c r="U14" s="6">
        <v>110</v>
      </c>
      <c r="V14" s="6">
        <v>69</v>
      </c>
      <c r="W14" s="5">
        <f>SUM(E14:V14)</f>
        <v>2138</v>
      </c>
    </row>
    <row r="15" spans="1:23" x14ac:dyDescent="0.4">
      <c r="A15" s="7"/>
      <c r="B15" s="82"/>
      <c r="C15" s="75"/>
      <c r="D15" s="6" t="s">
        <v>24</v>
      </c>
      <c r="E15" s="6">
        <v>123</v>
      </c>
      <c r="F15" s="6">
        <v>132</v>
      </c>
      <c r="G15" s="6">
        <v>127</v>
      </c>
      <c r="H15" s="6">
        <v>130</v>
      </c>
      <c r="I15" s="6">
        <v>125</v>
      </c>
      <c r="J15" s="6">
        <v>146</v>
      </c>
      <c r="K15" s="6">
        <v>131</v>
      </c>
      <c r="L15" s="6">
        <v>139</v>
      </c>
      <c r="M15" s="6">
        <v>137</v>
      </c>
      <c r="N15" s="6">
        <v>131</v>
      </c>
      <c r="O15" s="6">
        <v>130</v>
      </c>
      <c r="P15" s="6">
        <v>133</v>
      </c>
      <c r="Q15" s="6">
        <v>128</v>
      </c>
      <c r="R15" s="6">
        <v>140</v>
      </c>
      <c r="S15" s="6">
        <v>136</v>
      </c>
      <c r="T15" s="6">
        <v>80</v>
      </c>
      <c r="U15" s="6">
        <v>116</v>
      </c>
      <c r="V15" s="6">
        <v>74</v>
      </c>
      <c r="W15" s="5">
        <f>SUM(E15:V15)</f>
        <v>2258</v>
      </c>
    </row>
    <row r="16" spans="1:23" x14ac:dyDescent="0.4">
      <c r="A16" s="8"/>
      <c r="B16" s="80"/>
      <c r="C16" s="76"/>
      <c r="D16" s="5" t="s">
        <v>25</v>
      </c>
      <c r="E16" s="5">
        <f t="shared" ref="E16:V16" si="0">SUM(E14:E15)</f>
        <v>219</v>
      </c>
      <c r="F16" s="5">
        <f t="shared" si="0"/>
        <v>248</v>
      </c>
      <c r="G16" s="5">
        <f t="shared" ref="G16:M16" si="1">SUM(G14:G15)</f>
        <v>254</v>
      </c>
      <c r="H16" s="5">
        <f t="shared" si="1"/>
        <v>232</v>
      </c>
      <c r="I16" s="5">
        <f t="shared" si="1"/>
        <v>237</v>
      </c>
      <c r="J16" s="5">
        <f t="shared" si="1"/>
        <v>272</v>
      </c>
      <c r="K16" s="5">
        <f t="shared" si="1"/>
        <v>258</v>
      </c>
      <c r="L16" s="5">
        <f t="shared" si="1"/>
        <v>279</v>
      </c>
      <c r="M16" s="5">
        <f t="shared" si="1"/>
        <v>270</v>
      </c>
      <c r="N16" s="5">
        <f t="shared" si="0"/>
        <v>255</v>
      </c>
      <c r="O16" s="5">
        <f t="shared" si="0"/>
        <v>262</v>
      </c>
      <c r="P16" s="5">
        <f t="shared" si="0"/>
        <v>269</v>
      </c>
      <c r="Q16" s="5">
        <f t="shared" si="0"/>
        <v>259</v>
      </c>
      <c r="R16" s="5">
        <f t="shared" si="0"/>
        <v>273</v>
      </c>
      <c r="S16" s="5">
        <f t="shared" si="0"/>
        <v>276</v>
      </c>
      <c r="T16" s="5">
        <f t="shared" ref="T16" si="2">SUM(T14:T15)</f>
        <v>164</v>
      </c>
      <c r="U16" s="5">
        <f t="shared" si="0"/>
        <v>226</v>
      </c>
      <c r="V16" s="5">
        <f t="shared" si="0"/>
        <v>143</v>
      </c>
      <c r="W16" s="5">
        <f>SUM(E16:V16)</f>
        <v>4396</v>
      </c>
    </row>
    <row r="17" spans="1:23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8"/>
    </row>
    <row r="18" spans="1:23" x14ac:dyDescent="0.4">
      <c r="A18" s="11" t="s">
        <v>26</v>
      </c>
      <c r="B18" s="78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8"/>
    </row>
    <row r="19" spans="1:23" x14ac:dyDescent="0.4">
      <c r="A19" s="11"/>
      <c r="B19" s="83" t="s">
        <v>28</v>
      </c>
      <c r="C19" s="84" t="s">
        <v>29</v>
      </c>
      <c r="D19" s="6" t="s">
        <v>23</v>
      </c>
      <c r="E19" s="6">
        <v>75</v>
      </c>
      <c r="F19" s="6">
        <v>91</v>
      </c>
      <c r="G19" s="6">
        <v>90</v>
      </c>
      <c r="H19" s="6">
        <v>87</v>
      </c>
      <c r="I19" s="6">
        <v>89</v>
      </c>
      <c r="J19" s="6">
        <v>93</v>
      </c>
      <c r="K19" s="6">
        <v>92</v>
      </c>
      <c r="L19" s="6">
        <v>111</v>
      </c>
      <c r="M19" s="6">
        <v>102</v>
      </c>
      <c r="N19" s="6">
        <v>83</v>
      </c>
      <c r="O19" s="6">
        <v>89</v>
      </c>
      <c r="P19" s="6">
        <v>94</v>
      </c>
      <c r="Q19" s="6">
        <v>86</v>
      </c>
      <c r="R19" s="6">
        <v>103</v>
      </c>
      <c r="S19" s="6">
        <v>108</v>
      </c>
      <c r="T19" s="6">
        <v>56</v>
      </c>
      <c r="U19" s="6">
        <v>88</v>
      </c>
      <c r="V19" s="6">
        <v>60</v>
      </c>
      <c r="W19" s="5">
        <f t="shared" ref="W19:W30" si="3">SUM(E19:V19)</f>
        <v>1597</v>
      </c>
    </row>
    <row r="20" spans="1:23" x14ac:dyDescent="0.4">
      <c r="A20" s="12"/>
      <c r="B20" s="75"/>
      <c r="C20" s="85"/>
      <c r="D20" s="6" t="s">
        <v>24</v>
      </c>
      <c r="E20" s="6">
        <v>104</v>
      </c>
      <c r="F20" s="6">
        <v>115</v>
      </c>
      <c r="G20" s="6">
        <v>107</v>
      </c>
      <c r="H20" s="6">
        <v>115</v>
      </c>
      <c r="I20" s="6">
        <v>108</v>
      </c>
      <c r="J20" s="6">
        <v>127</v>
      </c>
      <c r="K20" s="6">
        <v>105</v>
      </c>
      <c r="L20" s="6">
        <v>120</v>
      </c>
      <c r="M20" s="6">
        <v>111</v>
      </c>
      <c r="N20" s="6">
        <v>104</v>
      </c>
      <c r="O20" s="6">
        <v>113</v>
      </c>
      <c r="P20" s="6">
        <v>114</v>
      </c>
      <c r="Q20" s="6">
        <v>105</v>
      </c>
      <c r="R20" s="6">
        <v>119</v>
      </c>
      <c r="S20" s="6">
        <v>106</v>
      </c>
      <c r="T20" s="6">
        <v>67</v>
      </c>
      <c r="U20" s="6">
        <v>100</v>
      </c>
      <c r="V20" s="6">
        <v>68</v>
      </c>
      <c r="W20" s="5">
        <f t="shared" si="3"/>
        <v>1908</v>
      </c>
    </row>
    <row r="21" spans="1:23" x14ac:dyDescent="0.4">
      <c r="A21" s="13"/>
      <c r="B21" s="76"/>
      <c r="C21" s="86"/>
      <c r="D21" s="5" t="s">
        <v>25</v>
      </c>
      <c r="E21" s="5">
        <f t="shared" ref="E21:V21" si="4">SUM(E19:E20)</f>
        <v>179</v>
      </c>
      <c r="F21" s="5">
        <f t="shared" si="4"/>
        <v>206</v>
      </c>
      <c r="G21" s="5">
        <f t="shared" ref="G21:M21" si="5">SUM(G19:G20)</f>
        <v>197</v>
      </c>
      <c r="H21" s="5">
        <f t="shared" si="5"/>
        <v>202</v>
      </c>
      <c r="I21" s="5">
        <f t="shared" si="5"/>
        <v>197</v>
      </c>
      <c r="J21" s="5">
        <f t="shared" si="5"/>
        <v>220</v>
      </c>
      <c r="K21" s="5">
        <f t="shared" si="5"/>
        <v>197</v>
      </c>
      <c r="L21" s="5">
        <f t="shared" si="5"/>
        <v>231</v>
      </c>
      <c r="M21" s="5">
        <f t="shared" si="5"/>
        <v>213</v>
      </c>
      <c r="N21" s="5">
        <f t="shared" si="4"/>
        <v>187</v>
      </c>
      <c r="O21" s="5">
        <f t="shared" si="4"/>
        <v>202</v>
      </c>
      <c r="P21" s="5">
        <f t="shared" si="4"/>
        <v>208</v>
      </c>
      <c r="Q21" s="5">
        <f t="shared" si="4"/>
        <v>191</v>
      </c>
      <c r="R21" s="5">
        <f t="shared" si="4"/>
        <v>222</v>
      </c>
      <c r="S21" s="5">
        <f t="shared" si="4"/>
        <v>214</v>
      </c>
      <c r="T21" s="5">
        <f t="shared" ref="T21" si="6">SUM(T19:T20)</f>
        <v>123</v>
      </c>
      <c r="U21" s="5">
        <f t="shared" si="4"/>
        <v>188</v>
      </c>
      <c r="V21" s="5">
        <f t="shared" si="4"/>
        <v>128</v>
      </c>
      <c r="W21" s="5">
        <f t="shared" si="3"/>
        <v>3505</v>
      </c>
    </row>
    <row r="22" spans="1:23" x14ac:dyDescent="0.4">
      <c r="A22" s="12"/>
      <c r="B22" s="83" t="s">
        <v>30</v>
      </c>
      <c r="C22" s="84" t="s">
        <v>31</v>
      </c>
      <c r="D22" s="6" t="s">
        <v>23</v>
      </c>
      <c r="E22" s="6">
        <v>3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0</v>
      </c>
      <c r="L22" s="6">
        <v>0</v>
      </c>
      <c r="M22" s="6">
        <v>1</v>
      </c>
      <c r="N22" s="6">
        <v>0</v>
      </c>
      <c r="O22" s="6">
        <v>0</v>
      </c>
      <c r="P22" s="6">
        <v>1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5">
        <f t="shared" si="3"/>
        <v>6</v>
      </c>
    </row>
    <row r="23" spans="1:23" x14ac:dyDescent="0.4">
      <c r="A23" s="12"/>
      <c r="B23" s="75"/>
      <c r="C23" s="85"/>
      <c r="D23" s="6" t="s">
        <v>24</v>
      </c>
      <c r="E23" s="6">
        <v>2</v>
      </c>
      <c r="F23" s="6">
        <v>0</v>
      </c>
      <c r="G23" s="6">
        <v>0</v>
      </c>
      <c r="H23" s="6">
        <v>0</v>
      </c>
      <c r="I23" s="6">
        <v>0</v>
      </c>
      <c r="J23" s="6">
        <v>2</v>
      </c>
      <c r="K23" s="6">
        <v>1</v>
      </c>
      <c r="L23" s="6">
        <v>1</v>
      </c>
      <c r="M23" s="6">
        <v>0</v>
      </c>
      <c r="N23" s="6">
        <v>1</v>
      </c>
      <c r="O23" s="6">
        <v>0</v>
      </c>
      <c r="P23" s="6">
        <v>0</v>
      </c>
      <c r="Q23" s="6">
        <v>1</v>
      </c>
      <c r="R23" s="6">
        <v>0</v>
      </c>
      <c r="S23" s="6">
        <v>0</v>
      </c>
      <c r="T23" s="6">
        <v>0</v>
      </c>
      <c r="U23" s="6">
        <v>2</v>
      </c>
      <c r="V23" s="6">
        <v>0</v>
      </c>
      <c r="W23" s="5">
        <f t="shared" si="3"/>
        <v>10</v>
      </c>
    </row>
    <row r="24" spans="1:23" x14ac:dyDescent="0.4">
      <c r="A24" s="13"/>
      <c r="B24" s="76"/>
      <c r="C24" s="86"/>
      <c r="D24" s="5" t="s">
        <v>25</v>
      </c>
      <c r="E24" s="5">
        <f t="shared" ref="E24:V24" si="7">SUM(E22:E23)</f>
        <v>5</v>
      </c>
      <c r="F24" s="5">
        <f t="shared" si="7"/>
        <v>0</v>
      </c>
      <c r="G24" s="5">
        <f t="shared" ref="G24:M24" si="8">SUM(G22:G23)</f>
        <v>0</v>
      </c>
      <c r="H24" s="5">
        <f t="shared" si="8"/>
        <v>0</v>
      </c>
      <c r="I24" s="5">
        <f t="shared" si="8"/>
        <v>0</v>
      </c>
      <c r="J24" s="5">
        <f t="shared" si="8"/>
        <v>3</v>
      </c>
      <c r="K24" s="5">
        <f t="shared" si="8"/>
        <v>1</v>
      </c>
      <c r="L24" s="5">
        <f t="shared" si="8"/>
        <v>1</v>
      </c>
      <c r="M24" s="5">
        <f t="shared" si="8"/>
        <v>1</v>
      </c>
      <c r="N24" s="5">
        <f t="shared" si="7"/>
        <v>1</v>
      </c>
      <c r="O24" s="5">
        <f t="shared" si="7"/>
        <v>0</v>
      </c>
      <c r="P24" s="5">
        <f t="shared" si="7"/>
        <v>1</v>
      </c>
      <c r="Q24" s="5">
        <f t="shared" si="7"/>
        <v>1</v>
      </c>
      <c r="R24" s="5">
        <f t="shared" si="7"/>
        <v>0</v>
      </c>
      <c r="S24" s="5">
        <f t="shared" si="7"/>
        <v>0</v>
      </c>
      <c r="T24" s="5">
        <f t="shared" ref="T24" si="9">SUM(T22:T23)</f>
        <v>0</v>
      </c>
      <c r="U24" s="5">
        <f t="shared" si="7"/>
        <v>2</v>
      </c>
      <c r="V24" s="5">
        <f t="shared" si="7"/>
        <v>0</v>
      </c>
      <c r="W24" s="5">
        <f t="shared" si="3"/>
        <v>16</v>
      </c>
    </row>
    <row r="25" spans="1:23" x14ac:dyDescent="0.4">
      <c r="A25" s="12"/>
      <c r="B25" s="83" t="s">
        <v>32</v>
      </c>
      <c r="C25" s="84" t="s">
        <v>33</v>
      </c>
      <c r="D25" s="6" t="s">
        <v>23</v>
      </c>
      <c r="E25" s="6">
        <v>4</v>
      </c>
      <c r="F25" s="6">
        <v>2</v>
      </c>
      <c r="G25" s="6">
        <v>0</v>
      </c>
      <c r="H25" s="6">
        <v>1</v>
      </c>
      <c r="I25" s="6">
        <v>2</v>
      </c>
      <c r="J25" s="6">
        <v>2</v>
      </c>
      <c r="K25" s="6">
        <v>1</v>
      </c>
      <c r="L25" s="6">
        <v>1</v>
      </c>
      <c r="M25" s="6">
        <v>0</v>
      </c>
      <c r="N25" s="6">
        <v>0</v>
      </c>
      <c r="O25" s="6">
        <v>0</v>
      </c>
      <c r="P25" s="6">
        <v>2</v>
      </c>
      <c r="Q25" s="6">
        <v>1</v>
      </c>
      <c r="R25" s="6">
        <v>0</v>
      </c>
      <c r="S25" s="6">
        <v>0</v>
      </c>
      <c r="T25" s="6">
        <v>1</v>
      </c>
      <c r="U25" s="6">
        <v>2</v>
      </c>
      <c r="V25" s="6">
        <v>1</v>
      </c>
      <c r="W25" s="5">
        <f t="shared" si="3"/>
        <v>20</v>
      </c>
    </row>
    <row r="26" spans="1:23" x14ac:dyDescent="0.4">
      <c r="A26" s="12"/>
      <c r="B26" s="75"/>
      <c r="C26" s="85"/>
      <c r="D26" s="6" t="s">
        <v>24</v>
      </c>
      <c r="E26" s="6">
        <v>0</v>
      </c>
      <c r="F26" s="6">
        <v>0</v>
      </c>
      <c r="G26" s="6">
        <v>1</v>
      </c>
      <c r="H26" s="6">
        <v>1</v>
      </c>
      <c r="I26" s="6">
        <v>0</v>
      </c>
      <c r="J26" s="6">
        <v>0</v>
      </c>
      <c r="K26" s="6">
        <v>2</v>
      </c>
      <c r="L26" s="6">
        <v>2</v>
      </c>
      <c r="M26" s="6">
        <v>0</v>
      </c>
      <c r="N26" s="6">
        <v>3</v>
      </c>
      <c r="O26" s="6">
        <v>0</v>
      </c>
      <c r="P26" s="6">
        <v>1</v>
      </c>
      <c r="Q26" s="6">
        <v>2</v>
      </c>
      <c r="R26" s="6">
        <v>0</v>
      </c>
      <c r="S26" s="6">
        <v>0</v>
      </c>
      <c r="T26" s="6">
        <v>0</v>
      </c>
      <c r="U26" s="6">
        <v>2</v>
      </c>
      <c r="V26" s="6">
        <v>1</v>
      </c>
      <c r="W26" s="5">
        <f t="shared" si="3"/>
        <v>15</v>
      </c>
    </row>
    <row r="27" spans="1:23" x14ac:dyDescent="0.4">
      <c r="A27" s="13"/>
      <c r="B27" s="76"/>
      <c r="C27" s="86"/>
      <c r="D27" s="5" t="s">
        <v>25</v>
      </c>
      <c r="E27" s="5">
        <f t="shared" ref="E27:V27" si="10">SUM(E25:E26)</f>
        <v>4</v>
      </c>
      <c r="F27" s="5">
        <f t="shared" si="10"/>
        <v>2</v>
      </c>
      <c r="G27" s="5">
        <f t="shared" ref="G27:M27" si="11">SUM(G25:G26)</f>
        <v>1</v>
      </c>
      <c r="H27" s="5">
        <f t="shared" si="11"/>
        <v>2</v>
      </c>
      <c r="I27" s="5">
        <f t="shared" si="11"/>
        <v>2</v>
      </c>
      <c r="J27" s="5">
        <f t="shared" si="11"/>
        <v>2</v>
      </c>
      <c r="K27" s="5">
        <f t="shared" si="11"/>
        <v>3</v>
      </c>
      <c r="L27" s="5">
        <f t="shared" si="11"/>
        <v>3</v>
      </c>
      <c r="M27" s="5">
        <f t="shared" si="11"/>
        <v>0</v>
      </c>
      <c r="N27" s="5">
        <f t="shared" si="10"/>
        <v>3</v>
      </c>
      <c r="O27" s="5">
        <f t="shared" si="10"/>
        <v>0</v>
      </c>
      <c r="P27" s="5">
        <f t="shared" si="10"/>
        <v>3</v>
      </c>
      <c r="Q27" s="5">
        <f t="shared" si="10"/>
        <v>3</v>
      </c>
      <c r="R27" s="5">
        <f t="shared" si="10"/>
        <v>0</v>
      </c>
      <c r="S27" s="5">
        <f t="shared" si="10"/>
        <v>0</v>
      </c>
      <c r="T27" s="5">
        <f t="shared" ref="T27" si="12">SUM(T25:T26)</f>
        <v>1</v>
      </c>
      <c r="U27" s="5">
        <f t="shared" si="10"/>
        <v>4</v>
      </c>
      <c r="V27" s="5">
        <f t="shared" si="10"/>
        <v>2</v>
      </c>
      <c r="W27" s="5">
        <f t="shared" si="3"/>
        <v>35</v>
      </c>
    </row>
    <row r="28" spans="1:23" x14ac:dyDescent="0.4">
      <c r="A28" s="13"/>
      <c r="B28" s="87" t="s">
        <v>34</v>
      </c>
      <c r="C28" s="88" t="s">
        <v>35</v>
      </c>
      <c r="D28" s="5" t="s">
        <v>23</v>
      </c>
      <c r="E28" s="5">
        <f>SUM(E19,E22,E25)</f>
        <v>82</v>
      </c>
      <c r="F28" s="5">
        <f t="shared" ref="F28" si="13">SUM(F19,F22,F25)</f>
        <v>93</v>
      </c>
      <c r="G28" s="5">
        <f t="shared" ref="G28:M28" si="14">SUM(G19,G22,G25)</f>
        <v>90</v>
      </c>
      <c r="H28" s="5">
        <f t="shared" si="14"/>
        <v>88</v>
      </c>
      <c r="I28" s="5">
        <f t="shared" si="14"/>
        <v>91</v>
      </c>
      <c r="J28" s="5">
        <f t="shared" si="14"/>
        <v>96</v>
      </c>
      <c r="K28" s="5">
        <f t="shared" si="14"/>
        <v>93</v>
      </c>
      <c r="L28" s="5">
        <f t="shared" si="14"/>
        <v>112</v>
      </c>
      <c r="M28" s="5">
        <f t="shared" si="14"/>
        <v>103</v>
      </c>
      <c r="N28" s="5">
        <f t="shared" ref="N28:V29" si="15">SUM(N19,N22,N25)</f>
        <v>83</v>
      </c>
      <c r="O28" s="5">
        <f t="shared" si="15"/>
        <v>89</v>
      </c>
      <c r="P28" s="5">
        <f t="shared" si="15"/>
        <v>97</v>
      </c>
      <c r="Q28" s="5">
        <f t="shared" si="15"/>
        <v>87</v>
      </c>
      <c r="R28" s="5">
        <f t="shared" si="15"/>
        <v>103</v>
      </c>
      <c r="S28" s="5">
        <f t="shared" si="15"/>
        <v>108</v>
      </c>
      <c r="T28" s="5">
        <f t="shared" ref="T28" si="16">SUM(T19,T22,T25)</f>
        <v>57</v>
      </c>
      <c r="U28" s="5">
        <f t="shared" si="15"/>
        <v>90</v>
      </c>
      <c r="V28" s="5">
        <f t="shared" si="15"/>
        <v>61</v>
      </c>
      <c r="W28" s="5">
        <f t="shared" si="3"/>
        <v>1623</v>
      </c>
    </row>
    <row r="29" spans="1:23" x14ac:dyDescent="0.4">
      <c r="A29" s="13"/>
      <c r="B29" s="75"/>
      <c r="C29" s="85"/>
      <c r="D29" s="5" t="s">
        <v>24</v>
      </c>
      <c r="E29" s="5">
        <f>SUM(E20,E23,E26)</f>
        <v>106</v>
      </c>
      <c r="F29" s="5">
        <f t="shared" ref="F29" si="17">SUM(F20,F23,F26)</f>
        <v>115</v>
      </c>
      <c r="G29" s="5">
        <f t="shared" ref="G29:M29" si="18">SUM(G20,G23,G26)</f>
        <v>108</v>
      </c>
      <c r="H29" s="5">
        <f t="shared" si="18"/>
        <v>116</v>
      </c>
      <c r="I29" s="5">
        <f t="shared" si="18"/>
        <v>108</v>
      </c>
      <c r="J29" s="5">
        <f t="shared" si="18"/>
        <v>129</v>
      </c>
      <c r="K29" s="5">
        <f t="shared" si="18"/>
        <v>108</v>
      </c>
      <c r="L29" s="5">
        <f t="shared" si="18"/>
        <v>123</v>
      </c>
      <c r="M29" s="5">
        <f t="shared" si="18"/>
        <v>111</v>
      </c>
      <c r="N29" s="5">
        <f t="shared" si="15"/>
        <v>108</v>
      </c>
      <c r="O29" s="5">
        <f t="shared" si="15"/>
        <v>113</v>
      </c>
      <c r="P29" s="5">
        <f t="shared" si="15"/>
        <v>115</v>
      </c>
      <c r="Q29" s="5">
        <f t="shared" si="15"/>
        <v>108</v>
      </c>
      <c r="R29" s="5">
        <f t="shared" si="15"/>
        <v>119</v>
      </c>
      <c r="S29" s="5">
        <f t="shared" si="15"/>
        <v>106</v>
      </c>
      <c r="T29" s="5">
        <f t="shared" ref="T29" si="19">SUM(T20,T23,T26)</f>
        <v>67</v>
      </c>
      <c r="U29" s="5">
        <f t="shared" si="15"/>
        <v>104</v>
      </c>
      <c r="V29" s="5">
        <f t="shared" si="15"/>
        <v>69</v>
      </c>
      <c r="W29" s="5">
        <f t="shared" si="3"/>
        <v>1933</v>
      </c>
    </row>
    <row r="30" spans="1:23" x14ac:dyDescent="0.4">
      <c r="A30" s="13"/>
      <c r="B30" s="76"/>
      <c r="C30" s="86"/>
      <c r="D30" s="5" t="s">
        <v>25</v>
      </c>
      <c r="E30" s="5">
        <f t="shared" ref="E30:M30" si="20">SUM(E28:E29)</f>
        <v>188</v>
      </c>
      <c r="F30" s="5">
        <f t="shared" ref="F30" si="21">SUM(F28:F29)</f>
        <v>208</v>
      </c>
      <c r="G30" s="5">
        <f t="shared" si="20"/>
        <v>198</v>
      </c>
      <c r="H30" s="5">
        <f t="shared" si="20"/>
        <v>204</v>
      </c>
      <c r="I30" s="5">
        <f t="shared" si="20"/>
        <v>199</v>
      </c>
      <c r="J30" s="5">
        <f t="shared" si="20"/>
        <v>225</v>
      </c>
      <c r="K30" s="5">
        <f t="shared" si="20"/>
        <v>201</v>
      </c>
      <c r="L30" s="5">
        <f t="shared" si="20"/>
        <v>235</v>
      </c>
      <c r="M30" s="5">
        <f t="shared" si="20"/>
        <v>214</v>
      </c>
      <c r="N30" s="5">
        <f t="shared" ref="N30:V30" si="22">SUM(N28:N29)</f>
        <v>191</v>
      </c>
      <c r="O30" s="5">
        <f t="shared" si="22"/>
        <v>202</v>
      </c>
      <c r="P30" s="5">
        <f t="shared" si="22"/>
        <v>212</v>
      </c>
      <c r="Q30" s="5">
        <f t="shared" si="22"/>
        <v>195</v>
      </c>
      <c r="R30" s="5">
        <f t="shared" si="22"/>
        <v>222</v>
      </c>
      <c r="S30" s="5">
        <f t="shared" si="22"/>
        <v>214</v>
      </c>
      <c r="T30" s="5">
        <f t="shared" ref="T30" si="23">SUM(T28:T29)</f>
        <v>124</v>
      </c>
      <c r="U30" s="5">
        <f t="shared" si="22"/>
        <v>194</v>
      </c>
      <c r="V30" s="5">
        <f t="shared" si="22"/>
        <v>130</v>
      </c>
      <c r="W30" s="5">
        <f t="shared" si="3"/>
        <v>3556</v>
      </c>
    </row>
    <row r="31" spans="1:23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8"/>
    </row>
    <row r="32" spans="1:23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28"/>
    </row>
    <row r="33" spans="1:23" x14ac:dyDescent="0.4">
      <c r="A33" s="6">
        <v>1</v>
      </c>
      <c r="B33" s="78" t="s">
        <v>38</v>
      </c>
      <c r="C33" s="69"/>
      <c r="D33" s="60"/>
      <c r="E33" s="6">
        <v>224</v>
      </c>
      <c r="F33" s="6">
        <v>253</v>
      </c>
      <c r="G33" s="6">
        <v>260</v>
      </c>
      <c r="H33" s="6">
        <v>237</v>
      </c>
      <c r="I33" s="6">
        <v>242</v>
      </c>
      <c r="J33" s="6">
        <v>279</v>
      </c>
      <c r="K33" s="6">
        <v>264</v>
      </c>
      <c r="L33" s="6">
        <v>285</v>
      </c>
      <c r="M33" s="6">
        <v>276</v>
      </c>
      <c r="N33" s="6">
        <v>261</v>
      </c>
      <c r="O33" s="6">
        <v>268</v>
      </c>
      <c r="P33" s="6">
        <v>275</v>
      </c>
      <c r="Q33" s="6">
        <v>265</v>
      </c>
      <c r="R33" s="6">
        <v>279</v>
      </c>
      <c r="S33" s="6">
        <v>282</v>
      </c>
      <c r="T33" s="6">
        <v>168</v>
      </c>
      <c r="U33" s="6">
        <v>231</v>
      </c>
      <c r="V33" s="6">
        <v>146</v>
      </c>
      <c r="W33" s="5">
        <f>SUM(E33:V33)</f>
        <v>4495</v>
      </c>
    </row>
    <row r="34" spans="1:23" x14ac:dyDescent="0.4">
      <c r="A34" s="6">
        <v>2</v>
      </c>
      <c r="B34" s="78" t="s">
        <v>39</v>
      </c>
      <c r="C34" s="69"/>
      <c r="D34" s="60"/>
      <c r="E34" s="5">
        <v>188</v>
      </c>
      <c r="F34" s="5">
        <v>208</v>
      </c>
      <c r="G34" s="5">
        <v>198</v>
      </c>
      <c r="H34" s="5">
        <v>204</v>
      </c>
      <c r="I34" s="5">
        <v>199</v>
      </c>
      <c r="J34" s="5">
        <v>225</v>
      </c>
      <c r="K34" s="5">
        <v>201</v>
      </c>
      <c r="L34" s="5">
        <v>235</v>
      </c>
      <c r="M34" s="5">
        <v>214</v>
      </c>
      <c r="N34" s="5">
        <v>191</v>
      </c>
      <c r="O34" s="5">
        <v>202</v>
      </c>
      <c r="P34" s="5">
        <v>212</v>
      </c>
      <c r="Q34" s="5">
        <v>195</v>
      </c>
      <c r="R34" s="5">
        <v>222</v>
      </c>
      <c r="S34" s="5">
        <v>214</v>
      </c>
      <c r="T34" s="5">
        <v>124</v>
      </c>
      <c r="U34" s="5">
        <v>194</v>
      </c>
      <c r="V34" s="5">
        <v>130</v>
      </c>
      <c r="W34" s="5">
        <f>SUM(E34:V34)</f>
        <v>3556</v>
      </c>
    </row>
    <row r="35" spans="1:23" x14ac:dyDescent="0.4">
      <c r="A35" s="6">
        <v>3</v>
      </c>
      <c r="B35" s="78" t="s">
        <v>40</v>
      </c>
      <c r="C35" s="69"/>
      <c r="D35" s="60"/>
      <c r="E35" s="6">
        <v>0</v>
      </c>
      <c r="F35" s="6">
        <v>0</v>
      </c>
      <c r="G35" s="6">
        <v>1</v>
      </c>
      <c r="H35" s="6">
        <v>1</v>
      </c>
      <c r="I35" s="6">
        <v>1</v>
      </c>
      <c r="J35" s="6">
        <v>0</v>
      </c>
      <c r="K35" s="6">
        <v>1</v>
      </c>
      <c r="L35" s="6">
        <v>0</v>
      </c>
      <c r="M35" s="6">
        <v>0</v>
      </c>
      <c r="N35" s="6">
        <v>1</v>
      </c>
      <c r="O35" s="6">
        <v>1</v>
      </c>
      <c r="P35" s="6">
        <v>1</v>
      </c>
      <c r="Q35" s="6">
        <v>1</v>
      </c>
      <c r="R35" s="6">
        <v>0</v>
      </c>
      <c r="S35" s="6">
        <v>4</v>
      </c>
      <c r="T35" s="6">
        <v>0</v>
      </c>
      <c r="U35" s="6">
        <v>0</v>
      </c>
      <c r="V35" s="6">
        <v>0</v>
      </c>
      <c r="W35" s="5">
        <f>SUM(E35:V35)</f>
        <v>12</v>
      </c>
    </row>
    <row r="36" spans="1:23" x14ac:dyDescent="0.4">
      <c r="A36" s="6">
        <v>4</v>
      </c>
      <c r="B36" s="78" t="s">
        <v>41</v>
      </c>
      <c r="C36" s="69"/>
      <c r="D36" s="60"/>
      <c r="E36" s="5">
        <f t="shared" ref="E36:V36" si="24">E33-(E34+E35)</f>
        <v>36</v>
      </c>
      <c r="F36" s="5">
        <f t="shared" si="24"/>
        <v>45</v>
      </c>
      <c r="G36" s="5">
        <f t="shared" ref="G36:M36" si="25">G33-(G34+G35)</f>
        <v>61</v>
      </c>
      <c r="H36" s="5">
        <f t="shared" si="25"/>
        <v>32</v>
      </c>
      <c r="I36" s="5">
        <f t="shared" si="25"/>
        <v>42</v>
      </c>
      <c r="J36" s="5">
        <f t="shared" si="25"/>
        <v>54</v>
      </c>
      <c r="K36" s="5">
        <f t="shared" si="25"/>
        <v>62</v>
      </c>
      <c r="L36" s="5">
        <f t="shared" si="25"/>
        <v>50</v>
      </c>
      <c r="M36" s="5">
        <f t="shared" si="25"/>
        <v>62</v>
      </c>
      <c r="N36" s="5">
        <f t="shared" si="24"/>
        <v>69</v>
      </c>
      <c r="O36" s="5">
        <f t="shared" si="24"/>
        <v>65</v>
      </c>
      <c r="P36" s="5">
        <f t="shared" si="24"/>
        <v>62</v>
      </c>
      <c r="Q36" s="5">
        <f t="shared" si="24"/>
        <v>69</v>
      </c>
      <c r="R36" s="5">
        <f t="shared" si="24"/>
        <v>57</v>
      </c>
      <c r="S36" s="5">
        <f t="shared" si="24"/>
        <v>64</v>
      </c>
      <c r="T36" s="5">
        <f t="shared" ref="T36" si="26">T33-(T34+T35)</f>
        <v>44</v>
      </c>
      <c r="U36" s="5">
        <f t="shared" si="24"/>
        <v>37</v>
      </c>
      <c r="V36" s="5">
        <f t="shared" si="24"/>
        <v>16</v>
      </c>
      <c r="W36" s="5">
        <f>SUM(E36:V36)</f>
        <v>927</v>
      </c>
    </row>
    <row r="37" spans="1:23" x14ac:dyDescent="0.4">
      <c r="A37" s="61"/>
      <c r="B37" s="69"/>
      <c r="C37" s="69"/>
      <c r="D37" s="69"/>
      <c r="E37" s="61"/>
      <c r="F37" s="62"/>
      <c r="G37" s="62"/>
      <c r="H37" s="62"/>
      <c r="I37" s="62"/>
      <c r="J37" s="62"/>
      <c r="K37" s="62"/>
      <c r="L37" s="62"/>
      <c r="M37" s="62"/>
      <c r="N37" s="89"/>
      <c r="O37" s="89"/>
      <c r="P37" s="89"/>
      <c r="Q37" s="94"/>
      <c r="R37" s="6"/>
      <c r="S37" s="6"/>
      <c r="T37" s="6"/>
      <c r="U37" s="6"/>
      <c r="V37" s="6"/>
      <c r="W37" s="28"/>
    </row>
    <row r="38" spans="1:23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28"/>
    </row>
    <row r="39" spans="1:23" x14ac:dyDescent="0.4">
      <c r="A39" s="11"/>
      <c r="B39" s="73" t="s">
        <v>44</v>
      </c>
      <c r="C39" s="68"/>
      <c r="D39" s="6" t="s">
        <v>23</v>
      </c>
      <c r="E39" s="6">
        <v>0</v>
      </c>
      <c r="F39" s="6">
        <v>1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3</v>
      </c>
      <c r="M39" s="6">
        <v>0</v>
      </c>
      <c r="N39" s="6">
        <v>3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5">
        <f>SUM(E39:V39)</f>
        <v>7</v>
      </c>
    </row>
    <row r="40" spans="1:23" x14ac:dyDescent="0.4">
      <c r="A40" s="12"/>
      <c r="B40" s="74"/>
      <c r="C40" s="75"/>
      <c r="D40" s="6" t="s">
        <v>24</v>
      </c>
      <c r="E40" s="6">
        <v>0</v>
      </c>
      <c r="F40" s="6">
        <v>1</v>
      </c>
      <c r="G40" s="6">
        <v>0</v>
      </c>
      <c r="H40" s="6">
        <v>0</v>
      </c>
      <c r="I40" s="6">
        <v>0</v>
      </c>
      <c r="J40" s="6">
        <v>5</v>
      </c>
      <c r="K40" s="6">
        <v>1</v>
      </c>
      <c r="L40" s="6">
        <v>1</v>
      </c>
      <c r="M40" s="6">
        <v>0</v>
      </c>
      <c r="N40" s="6">
        <v>4</v>
      </c>
      <c r="O40" s="6">
        <v>3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5">
        <f>SUM(E40:V40)</f>
        <v>15</v>
      </c>
    </row>
    <row r="41" spans="1:23" x14ac:dyDescent="0.4">
      <c r="A41" s="14"/>
      <c r="B41" s="71"/>
      <c r="C41" s="76"/>
      <c r="D41" s="5" t="s">
        <v>25</v>
      </c>
      <c r="E41" s="5">
        <f t="shared" ref="E41:V41" si="27">SUM(E39:E40)</f>
        <v>0</v>
      </c>
      <c r="F41" s="5">
        <f t="shared" si="27"/>
        <v>2</v>
      </c>
      <c r="G41" s="5">
        <f t="shared" ref="G41:M41" si="28">SUM(G39:G40)</f>
        <v>0</v>
      </c>
      <c r="H41" s="5">
        <f t="shared" si="28"/>
        <v>0</v>
      </c>
      <c r="I41" s="5">
        <f t="shared" si="28"/>
        <v>0</v>
      </c>
      <c r="J41" s="5">
        <f t="shared" si="28"/>
        <v>5</v>
      </c>
      <c r="K41" s="5">
        <f t="shared" si="28"/>
        <v>1</v>
      </c>
      <c r="L41" s="5">
        <f t="shared" si="28"/>
        <v>4</v>
      </c>
      <c r="M41" s="5">
        <f t="shared" si="28"/>
        <v>0</v>
      </c>
      <c r="N41" s="5">
        <f t="shared" si="27"/>
        <v>7</v>
      </c>
      <c r="O41" s="5">
        <f t="shared" si="27"/>
        <v>3</v>
      </c>
      <c r="P41" s="5">
        <f t="shared" si="27"/>
        <v>0</v>
      </c>
      <c r="Q41" s="5">
        <f t="shared" si="27"/>
        <v>0</v>
      </c>
      <c r="R41" s="5">
        <f t="shared" si="27"/>
        <v>0</v>
      </c>
      <c r="S41" s="5">
        <f t="shared" si="27"/>
        <v>0</v>
      </c>
      <c r="T41" s="5">
        <f t="shared" ref="T41" si="29">SUM(T39:T40)</f>
        <v>0</v>
      </c>
      <c r="U41" s="5">
        <f t="shared" si="27"/>
        <v>0</v>
      </c>
      <c r="V41" s="5">
        <f t="shared" si="27"/>
        <v>0</v>
      </c>
      <c r="W41" s="5">
        <f>SUM(E41:V41)</f>
        <v>22</v>
      </c>
    </row>
    <row r="42" spans="1:23" x14ac:dyDescent="0.4">
      <c r="A42" s="70"/>
      <c r="B42" s="71"/>
      <c r="C42" s="71"/>
      <c r="D42" s="76"/>
      <c r="E42" s="61"/>
      <c r="F42" s="62"/>
      <c r="G42" s="62"/>
      <c r="H42" s="62"/>
      <c r="I42" s="62"/>
      <c r="J42" s="62"/>
      <c r="K42" s="62"/>
      <c r="L42" s="62"/>
      <c r="M42" s="62"/>
      <c r="N42" s="69"/>
      <c r="O42" s="69"/>
      <c r="P42" s="69"/>
      <c r="Q42" s="60"/>
      <c r="R42" s="6"/>
      <c r="S42" s="6"/>
      <c r="T42" s="6"/>
      <c r="U42" s="6"/>
      <c r="V42" s="6"/>
      <c r="W42" s="5"/>
    </row>
    <row r="43" spans="1:23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3.15" customHeight="1" x14ac:dyDescent="0.4">
      <c r="A44" s="73" t="s">
        <v>47</v>
      </c>
      <c r="B44" s="77"/>
      <c r="C44" s="77"/>
      <c r="D44" s="68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5"/>
    </row>
    <row r="45" spans="1:23" x14ac:dyDescent="0.4">
      <c r="A45" s="11" t="s">
        <v>48</v>
      </c>
      <c r="B45" s="17" t="s">
        <v>28</v>
      </c>
      <c r="C45" s="59" t="s">
        <v>49</v>
      </c>
      <c r="D45" s="60"/>
      <c r="E45" s="6">
        <v>2</v>
      </c>
      <c r="F45" s="6">
        <v>3</v>
      </c>
      <c r="G45" s="6">
        <v>0</v>
      </c>
      <c r="H45" s="6">
        <v>5</v>
      </c>
      <c r="I45" s="6">
        <v>4</v>
      </c>
      <c r="J45" s="6">
        <v>7</v>
      </c>
      <c r="K45" s="6">
        <v>2</v>
      </c>
      <c r="L45" s="6">
        <v>3</v>
      </c>
      <c r="M45" s="6">
        <v>6</v>
      </c>
      <c r="N45" s="6">
        <v>3</v>
      </c>
      <c r="O45" s="6">
        <v>5</v>
      </c>
      <c r="P45" s="6">
        <v>3</v>
      </c>
      <c r="Q45" s="6">
        <v>3</v>
      </c>
      <c r="R45" s="6">
        <v>1</v>
      </c>
      <c r="S45" s="6">
        <v>10</v>
      </c>
      <c r="T45" s="6">
        <v>4</v>
      </c>
      <c r="U45" s="6">
        <v>0</v>
      </c>
      <c r="V45" s="6">
        <v>1</v>
      </c>
      <c r="W45" s="5">
        <f t="shared" ref="W45:W51" si="30">SUM(E45:V45)</f>
        <v>62</v>
      </c>
    </row>
    <row r="46" spans="1:23" x14ac:dyDescent="0.4">
      <c r="A46" s="11" t="s">
        <v>50</v>
      </c>
      <c r="B46" s="46"/>
      <c r="C46" s="24" t="s">
        <v>106</v>
      </c>
      <c r="D46" s="47"/>
      <c r="E46" s="6">
        <v>32</v>
      </c>
      <c r="F46" s="6">
        <v>7</v>
      </c>
      <c r="G46" s="6">
        <v>4</v>
      </c>
      <c r="H46" s="6">
        <v>14</v>
      </c>
      <c r="I46" s="6">
        <v>47</v>
      </c>
      <c r="J46" s="6">
        <v>16</v>
      </c>
      <c r="K46" s="6">
        <v>22</v>
      </c>
      <c r="L46" s="6">
        <v>14</v>
      </c>
      <c r="M46" s="6">
        <v>30</v>
      </c>
      <c r="N46" s="6">
        <v>14</v>
      </c>
      <c r="O46" s="6">
        <v>9</v>
      </c>
      <c r="P46" s="6">
        <v>7</v>
      </c>
      <c r="Q46" s="6">
        <v>4</v>
      </c>
      <c r="R46" s="6">
        <v>0</v>
      </c>
      <c r="S46" s="6">
        <v>4</v>
      </c>
      <c r="T46" s="6">
        <v>3</v>
      </c>
      <c r="U46" s="6">
        <v>0</v>
      </c>
      <c r="V46" s="6">
        <v>5</v>
      </c>
      <c r="W46" s="5">
        <f t="shared" si="30"/>
        <v>232</v>
      </c>
    </row>
    <row r="47" spans="1:23" x14ac:dyDescent="0.4">
      <c r="A47" s="7"/>
      <c r="B47" s="46"/>
      <c r="C47" s="24" t="s">
        <v>107</v>
      </c>
      <c r="D47" s="47"/>
      <c r="E47" s="6">
        <v>3</v>
      </c>
      <c r="F47" s="6">
        <v>2</v>
      </c>
      <c r="G47" s="6">
        <v>0</v>
      </c>
      <c r="H47" s="6">
        <v>0</v>
      </c>
      <c r="I47" s="6">
        <v>1</v>
      </c>
      <c r="J47" s="6">
        <v>1</v>
      </c>
      <c r="K47" s="6">
        <v>0</v>
      </c>
      <c r="L47" s="6">
        <v>0</v>
      </c>
      <c r="M47" s="6">
        <v>1</v>
      </c>
      <c r="N47" s="6">
        <v>3</v>
      </c>
      <c r="O47" s="6">
        <v>1</v>
      </c>
      <c r="P47" s="6">
        <v>10</v>
      </c>
      <c r="Q47" s="6">
        <v>0</v>
      </c>
      <c r="R47" s="6">
        <v>0</v>
      </c>
      <c r="S47" s="6">
        <v>1</v>
      </c>
      <c r="T47" s="6">
        <v>2</v>
      </c>
      <c r="U47" s="6">
        <v>0</v>
      </c>
      <c r="V47" s="6">
        <v>0</v>
      </c>
      <c r="W47" s="5">
        <f t="shared" si="30"/>
        <v>25</v>
      </c>
    </row>
    <row r="48" spans="1:23" x14ac:dyDescent="0.4">
      <c r="A48" s="7"/>
      <c r="B48" s="46"/>
      <c r="C48" s="24" t="s">
        <v>108</v>
      </c>
      <c r="D48" s="47"/>
      <c r="E48" s="6">
        <v>4</v>
      </c>
      <c r="F48" s="6">
        <v>1</v>
      </c>
      <c r="G48" s="6">
        <v>2</v>
      </c>
      <c r="H48" s="6">
        <v>0</v>
      </c>
      <c r="I48" s="6">
        <v>0</v>
      </c>
      <c r="J48" s="6">
        <v>0</v>
      </c>
      <c r="K48" s="6">
        <v>2</v>
      </c>
      <c r="L48" s="6">
        <v>0</v>
      </c>
      <c r="M48" s="6">
        <v>4</v>
      </c>
      <c r="N48" s="6">
        <v>0</v>
      </c>
      <c r="O48" s="6">
        <v>0</v>
      </c>
      <c r="P48" s="6">
        <v>1</v>
      </c>
      <c r="Q48" s="6">
        <v>0</v>
      </c>
      <c r="R48" s="6">
        <v>0</v>
      </c>
      <c r="S48" s="6">
        <v>1</v>
      </c>
      <c r="T48" s="6">
        <v>0</v>
      </c>
      <c r="U48" s="6">
        <v>0</v>
      </c>
      <c r="V48" s="6">
        <v>0</v>
      </c>
      <c r="W48" s="5">
        <f t="shared" si="30"/>
        <v>15</v>
      </c>
    </row>
    <row r="49" spans="1:23" x14ac:dyDescent="0.4">
      <c r="A49" s="7"/>
      <c r="B49" s="46"/>
      <c r="C49" s="24" t="s">
        <v>109</v>
      </c>
      <c r="D49" s="47"/>
      <c r="E49" s="6">
        <v>0</v>
      </c>
      <c r="F49" s="6">
        <v>0</v>
      </c>
      <c r="G49" s="6">
        <v>2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2</v>
      </c>
      <c r="O49" s="6">
        <v>0</v>
      </c>
      <c r="P49" s="6">
        <v>1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5">
        <f t="shared" si="30"/>
        <v>5</v>
      </c>
    </row>
    <row r="50" spans="1:23" x14ac:dyDescent="0.4">
      <c r="A50" s="7"/>
      <c r="B50" s="46"/>
      <c r="C50" s="24" t="s">
        <v>110</v>
      </c>
      <c r="D50" s="47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2</v>
      </c>
      <c r="N50" s="6">
        <v>0</v>
      </c>
      <c r="O50" s="6">
        <v>0</v>
      </c>
      <c r="P50" s="6">
        <v>1</v>
      </c>
      <c r="Q50" s="6">
        <v>1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5">
        <f t="shared" si="30"/>
        <v>4</v>
      </c>
    </row>
    <row r="51" spans="1:23" x14ac:dyDescent="0.4">
      <c r="A51" s="7"/>
      <c r="B51" s="46"/>
      <c r="C51" s="24" t="s">
        <v>111</v>
      </c>
      <c r="D51" s="47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5">
        <f t="shared" si="30"/>
        <v>0</v>
      </c>
    </row>
    <row r="52" spans="1:23" x14ac:dyDescent="0.4">
      <c r="A52" s="6" t="s">
        <v>26</v>
      </c>
      <c r="B52" s="53" t="s">
        <v>51</v>
      </c>
      <c r="C52" s="69"/>
      <c r="D52" s="60"/>
      <c r="E52" s="5">
        <f>SUM(E45:E51)</f>
        <v>41</v>
      </c>
      <c r="F52" s="5">
        <f>SUM(F45:F51)</f>
        <v>13</v>
      </c>
      <c r="G52" s="5">
        <f>SUM(G45:G51)</f>
        <v>8</v>
      </c>
      <c r="H52" s="5">
        <f>SUM(H45:H51)</f>
        <v>19</v>
      </c>
      <c r="I52" s="5">
        <f>SUM(I45:I51)</f>
        <v>52</v>
      </c>
      <c r="J52" s="5">
        <f>SUM(J45:J51)</f>
        <v>24</v>
      </c>
      <c r="K52" s="5">
        <f>SUM(K45:K51)</f>
        <v>26</v>
      </c>
      <c r="L52" s="5">
        <f>SUM(L45:L51)</f>
        <v>17</v>
      </c>
      <c r="M52" s="5">
        <f>SUM(M45:M51)</f>
        <v>43</v>
      </c>
      <c r="N52" s="5">
        <f>SUM(N45:N51)</f>
        <v>22</v>
      </c>
      <c r="O52" s="5">
        <f>SUM(O45:O51)</f>
        <v>15</v>
      </c>
      <c r="P52" s="5">
        <f>SUM(P45:P51)</f>
        <v>23</v>
      </c>
      <c r="Q52" s="5">
        <f>SUM(Q45:Q51)</f>
        <v>8</v>
      </c>
      <c r="R52" s="5">
        <f>SUM(R45:R51)</f>
        <v>1</v>
      </c>
      <c r="S52" s="5">
        <f>SUM(S45:S51)</f>
        <v>16</v>
      </c>
      <c r="T52" s="5">
        <f>SUM(T45:T51)</f>
        <v>9</v>
      </c>
      <c r="U52" s="5">
        <f>SUM(U45:U51)</f>
        <v>0</v>
      </c>
      <c r="V52" s="5">
        <f>SUM(V45:V51)</f>
        <v>6</v>
      </c>
      <c r="W52" s="5">
        <f>SUM(W45:W51)</f>
        <v>343</v>
      </c>
    </row>
    <row r="53" spans="1:23" x14ac:dyDescent="0.4">
      <c r="A53" s="70"/>
      <c r="B53" s="71"/>
      <c r="C53" s="71"/>
      <c r="D53" s="71"/>
      <c r="E53" s="71"/>
      <c r="W53" s="5"/>
    </row>
    <row r="54" spans="1:23" x14ac:dyDescent="0.4">
      <c r="A54" s="11" t="s">
        <v>48</v>
      </c>
      <c r="B54" s="17" t="s">
        <v>30</v>
      </c>
      <c r="C54" s="59" t="s">
        <v>52</v>
      </c>
      <c r="D54" s="60"/>
      <c r="E54" s="6">
        <v>4</v>
      </c>
      <c r="F54" s="6">
        <v>0</v>
      </c>
      <c r="G54" s="6">
        <v>7</v>
      </c>
      <c r="H54" s="6">
        <v>1</v>
      </c>
      <c r="I54" s="6">
        <v>3</v>
      </c>
      <c r="J54" s="6">
        <v>0</v>
      </c>
      <c r="K54" s="6">
        <v>4</v>
      </c>
      <c r="L54" s="6">
        <v>1</v>
      </c>
      <c r="M54" s="6">
        <v>8</v>
      </c>
      <c r="N54" s="6">
        <v>6</v>
      </c>
      <c r="O54" s="6">
        <v>10</v>
      </c>
      <c r="P54" s="6">
        <v>7</v>
      </c>
      <c r="Q54" s="6">
        <v>5</v>
      </c>
      <c r="R54" s="6">
        <v>2</v>
      </c>
      <c r="S54" s="6">
        <v>4</v>
      </c>
      <c r="T54" s="6">
        <v>6</v>
      </c>
      <c r="U54" s="6">
        <v>6</v>
      </c>
      <c r="V54" s="6">
        <v>0</v>
      </c>
      <c r="W54" s="5">
        <f t="shared" ref="W54:W60" si="31">SUM(E54:V54)</f>
        <v>74</v>
      </c>
    </row>
    <row r="55" spans="1:23" x14ac:dyDescent="0.4">
      <c r="A55" s="11" t="s">
        <v>50</v>
      </c>
      <c r="B55" s="46"/>
      <c r="C55" s="24" t="s">
        <v>112</v>
      </c>
      <c r="D55" s="47"/>
      <c r="E55" s="6">
        <v>0</v>
      </c>
      <c r="F55" s="6">
        <v>2</v>
      </c>
      <c r="G55" s="6">
        <v>1</v>
      </c>
      <c r="H55" s="6">
        <v>0</v>
      </c>
      <c r="I55" s="6">
        <v>1</v>
      </c>
      <c r="J55" s="6">
        <v>2</v>
      </c>
      <c r="K55" s="6">
        <v>4</v>
      </c>
      <c r="L55" s="6">
        <v>3</v>
      </c>
      <c r="M55" s="6">
        <v>0</v>
      </c>
      <c r="N55" s="6">
        <v>0</v>
      </c>
      <c r="O55" s="6">
        <v>2</v>
      </c>
      <c r="P55" s="6">
        <v>1</v>
      </c>
      <c r="Q55" s="6">
        <v>0</v>
      </c>
      <c r="R55" s="6">
        <v>0</v>
      </c>
      <c r="S55" s="6">
        <v>1</v>
      </c>
      <c r="T55" s="6">
        <v>0</v>
      </c>
      <c r="U55" s="6">
        <v>2</v>
      </c>
      <c r="V55" s="6">
        <v>0</v>
      </c>
      <c r="W55" s="5">
        <f t="shared" si="31"/>
        <v>19</v>
      </c>
    </row>
    <row r="56" spans="1:23" x14ac:dyDescent="0.4">
      <c r="A56" s="7"/>
      <c r="B56" s="46"/>
      <c r="C56" s="24" t="s">
        <v>113</v>
      </c>
      <c r="D56" s="47"/>
      <c r="E56" s="6">
        <v>1</v>
      </c>
      <c r="F56" s="6">
        <v>2</v>
      </c>
      <c r="G56" s="6">
        <v>1</v>
      </c>
      <c r="H56" s="6">
        <v>2</v>
      </c>
      <c r="I56" s="6">
        <v>0</v>
      </c>
      <c r="J56" s="6">
        <v>1</v>
      </c>
      <c r="K56" s="6">
        <v>7</v>
      </c>
      <c r="L56" s="6">
        <v>5</v>
      </c>
      <c r="M56" s="6">
        <v>0</v>
      </c>
      <c r="N56" s="6">
        <v>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1</v>
      </c>
      <c r="U56" s="6">
        <v>0</v>
      </c>
      <c r="V56" s="6">
        <v>1</v>
      </c>
      <c r="W56" s="5">
        <f t="shared" si="31"/>
        <v>22</v>
      </c>
    </row>
    <row r="57" spans="1:23" x14ac:dyDescent="0.4">
      <c r="A57" s="7"/>
      <c r="B57" s="46"/>
      <c r="C57" s="24" t="s">
        <v>114</v>
      </c>
      <c r="D57" s="47"/>
      <c r="E57" s="6">
        <v>0</v>
      </c>
      <c r="F57" s="6">
        <v>0</v>
      </c>
      <c r="G57" s="6">
        <v>1</v>
      </c>
      <c r="H57" s="6">
        <v>0</v>
      </c>
      <c r="I57" s="6">
        <v>0</v>
      </c>
      <c r="J57" s="6">
        <v>0</v>
      </c>
      <c r="K57" s="6">
        <v>1</v>
      </c>
      <c r="L57" s="6">
        <v>0</v>
      </c>
      <c r="M57" s="6">
        <v>1</v>
      </c>
      <c r="N57" s="6">
        <v>2</v>
      </c>
      <c r="O57" s="6">
        <v>1</v>
      </c>
      <c r="P57" s="6">
        <v>0</v>
      </c>
      <c r="Q57" s="6">
        <v>0</v>
      </c>
      <c r="R57" s="6">
        <v>1</v>
      </c>
      <c r="S57" s="6">
        <v>0</v>
      </c>
      <c r="T57" s="6">
        <v>0</v>
      </c>
      <c r="U57" s="6">
        <v>0</v>
      </c>
      <c r="V57" s="6">
        <v>2</v>
      </c>
      <c r="W57" s="5">
        <f t="shared" si="31"/>
        <v>9</v>
      </c>
    </row>
    <row r="58" spans="1:23" x14ac:dyDescent="0.4">
      <c r="A58" s="7"/>
      <c r="B58" s="46"/>
      <c r="C58" s="24" t="s">
        <v>115</v>
      </c>
      <c r="D58" s="47"/>
      <c r="E58" s="6">
        <v>3</v>
      </c>
      <c r="F58" s="6">
        <v>0</v>
      </c>
      <c r="G58" s="6">
        <v>1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2</v>
      </c>
      <c r="N58" s="6">
        <v>0</v>
      </c>
      <c r="O58" s="6">
        <v>1</v>
      </c>
      <c r="P58" s="6">
        <v>1</v>
      </c>
      <c r="Q58" s="6">
        <v>0</v>
      </c>
      <c r="R58" s="6">
        <v>0</v>
      </c>
      <c r="S58" s="6">
        <v>0</v>
      </c>
      <c r="T58" s="6">
        <v>2</v>
      </c>
      <c r="U58" s="6">
        <v>0</v>
      </c>
      <c r="V58" s="6">
        <v>0</v>
      </c>
      <c r="W58" s="5">
        <f t="shared" si="31"/>
        <v>10</v>
      </c>
    </row>
    <row r="59" spans="1:23" x14ac:dyDescent="0.4">
      <c r="A59" s="7"/>
      <c r="B59" s="46"/>
      <c r="C59" s="24" t="s">
        <v>116</v>
      </c>
      <c r="D59" s="47"/>
      <c r="E59" s="6">
        <v>0</v>
      </c>
      <c r="F59" s="6">
        <v>0</v>
      </c>
      <c r="G59" s="6">
        <v>1</v>
      </c>
      <c r="H59" s="6">
        <v>0</v>
      </c>
      <c r="I59" s="6">
        <v>1</v>
      </c>
      <c r="J59" s="6">
        <v>1</v>
      </c>
      <c r="K59" s="6">
        <v>0</v>
      </c>
      <c r="L59" s="6">
        <v>0</v>
      </c>
      <c r="M59" s="6">
        <v>0</v>
      </c>
      <c r="N59" s="6">
        <v>0</v>
      </c>
      <c r="O59" s="6">
        <v>1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5">
        <f t="shared" si="31"/>
        <v>4</v>
      </c>
    </row>
    <row r="60" spans="1:23" ht="13.15" customHeight="1" x14ac:dyDescent="0.4">
      <c r="A60" s="7"/>
      <c r="B60" s="46"/>
      <c r="C60" s="24" t="s">
        <v>117</v>
      </c>
      <c r="D60" s="47"/>
      <c r="E60" s="6">
        <v>4</v>
      </c>
      <c r="F60" s="6">
        <v>2</v>
      </c>
      <c r="G60" s="6">
        <v>6</v>
      </c>
      <c r="H60" s="6">
        <v>7</v>
      </c>
      <c r="I60" s="6">
        <v>0</v>
      </c>
      <c r="J60" s="6">
        <v>6</v>
      </c>
      <c r="K60" s="6">
        <v>3</v>
      </c>
      <c r="L60" s="6">
        <v>1</v>
      </c>
      <c r="M60" s="6">
        <v>7</v>
      </c>
      <c r="N60" s="6">
        <v>3</v>
      </c>
      <c r="O60" s="6">
        <v>3</v>
      </c>
      <c r="P60" s="6">
        <v>5</v>
      </c>
      <c r="Q60" s="6">
        <v>0</v>
      </c>
      <c r="R60" s="6">
        <v>1</v>
      </c>
      <c r="S60" s="6">
        <v>2</v>
      </c>
      <c r="T60" s="6">
        <v>8</v>
      </c>
      <c r="U60" s="6">
        <v>0</v>
      </c>
      <c r="V60" s="6">
        <v>1</v>
      </c>
      <c r="W60" s="5">
        <f t="shared" si="31"/>
        <v>59</v>
      </c>
    </row>
    <row r="61" spans="1:23" x14ac:dyDescent="0.4">
      <c r="A61" s="6" t="s">
        <v>26</v>
      </c>
      <c r="B61" s="53" t="s">
        <v>51</v>
      </c>
      <c r="C61" s="69"/>
      <c r="D61" s="60"/>
      <c r="E61" s="5">
        <f>SUM(E54:E60)</f>
        <v>12</v>
      </c>
      <c r="F61" s="5">
        <f>SUM(F54:F60)</f>
        <v>6</v>
      </c>
      <c r="G61" s="5">
        <f>SUM(G54:G60)</f>
        <v>18</v>
      </c>
      <c r="H61" s="5">
        <f>SUM(H54:H60)</f>
        <v>10</v>
      </c>
      <c r="I61" s="5">
        <f>SUM(I54:I60)</f>
        <v>5</v>
      </c>
      <c r="J61" s="5">
        <f>SUM(J54:J60)</f>
        <v>10</v>
      </c>
      <c r="K61" s="5">
        <f>SUM(K54:K60)</f>
        <v>19</v>
      </c>
      <c r="L61" s="5">
        <f>SUM(L54:L60)</f>
        <v>10</v>
      </c>
      <c r="M61" s="5">
        <f>SUM(M54:M60)</f>
        <v>18</v>
      </c>
      <c r="N61" s="5">
        <f>SUM(N54:N60)</f>
        <v>12</v>
      </c>
      <c r="O61" s="5">
        <f>SUM(O54:O60)</f>
        <v>18</v>
      </c>
      <c r="P61" s="5">
        <f>SUM(P54:P60)</f>
        <v>14</v>
      </c>
      <c r="Q61" s="5">
        <f>SUM(Q54:Q60)</f>
        <v>5</v>
      </c>
      <c r="R61" s="5">
        <f>SUM(R54:R60)</f>
        <v>4</v>
      </c>
      <c r="S61" s="5">
        <f>SUM(S54:S60)</f>
        <v>7</v>
      </c>
      <c r="T61" s="5">
        <f>SUM(T54:T60)</f>
        <v>17</v>
      </c>
      <c r="U61" s="5">
        <f>SUM(U54:U60)</f>
        <v>8</v>
      </c>
      <c r="V61" s="5">
        <f>SUM(V54:V60)</f>
        <v>4</v>
      </c>
      <c r="W61" s="5">
        <f>SUM(W54:W60)</f>
        <v>197</v>
      </c>
    </row>
    <row r="62" spans="1:23" x14ac:dyDescent="0.4">
      <c r="A62" s="70"/>
      <c r="B62" s="71"/>
      <c r="C62" s="71"/>
      <c r="D62" s="71"/>
      <c r="E62" s="71"/>
    </row>
    <row r="63" spans="1:23" x14ac:dyDescent="0.4">
      <c r="A63" s="11" t="s">
        <v>48</v>
      </c>
      <c r="B63" s="17" t="s">
        <v>32</v>
      </c>
      <c r="C63" s="59" t="s">
        <v>53</v>
      </c>
      <c r="D63" s="60"/>
      <c r="E63" s="6">
        <v>4</v>
      </c>
      <c r="F63" s="6">
        <v>8</v>
      </c>
      <c r="G63" s="6">
        <v>11</v>
      </c>
      <c r="H63" s="6">
        <v>7</v>
      </c>
      <c r="I63" s="6">
        <v>3</v>
      </c>
      <c r="J63" s="6">
        <v>13</v>
      </c>
      <c r="K63" s="6">
        <v>2</v>
      </c>
      <c r="L63" s="6">
        <v>19</v>
      </c>
      <c r="M63" s="6">
        <v>3</v>
      </c>
      <c r="N63" s="6">
        <v>5</v>
      </c>
      <c r="O63" s="6">
        <v>6</v>
      </c>
      <c r="P63" s="6">
        <v>2</v>
      </c>
      <c r="Q63" s="6">
        <v>0</v>
      </c>
      <c r="R63" s="6">
        <v>3</v>
      </c>
      <c r="S63" s="6">
        <v>14</v>
      </c>
      <c r="T63" s="6">
        <v>2</v>
      </c>
      <c r="U63" s="6">
        <v>3</v>
      </c>
      <c r="V63" s="6">
        <v>0</v>
      </c>
      <c r="W63" s="5">
        <f t="shared" ref="W63:W69" si="32">SUM(E63:V63)</f>
        <v>105</v>
      </c>
    </row>
    <row r="64" spans="1:23" x14ac:dyDescent="0.4">
      <c r="A64" s="11" t="s">
        <v>50</v>
      </c>
      <c r="B64" s="46"/>
      <c r="C64" s="24" t="s">
        <v>118</v>
      </c>
      <c r="D64" s="47"/>
      <c r="E64" s="6">
        <v>23</v>
      </c>
      <c r="F64" s="6">
        <v>21</v>
      </c>
      <c r="G64" s="6">
        <v>10</v>
      </c>
      <c r="H64" s="6">
        <v>36</v>
      </c>
      <c r="I64" s="6">
        <v>15</v>
      </c>
      <c r="J64" s="6">
        <v>38</v>
      </c>
      <c r="K64" s="6">
        <v>22</v>
      </c>
      <c r="L64" s="6">
        <v>33</v>
      </c>
      <c r="M64" s="6">
        <v>18</v>
      </c>
      <c r="N64" s="6">
        <v>1</v>
      </c>
      <c r="O64" s="6">
        <v>4</v>
      </c>
      <c r="P64" s="6">
        <v>0</v>
      </c>
      <c r="Q64" s="6">
        <v>1</v>
      </c>
      <c r="R64" s="6">
        <v>4</v>
      </c>
      <c r="S64" s="6">
        <v>22</v>
      </c>
      <c r="T64" s="6">
        <v>6</v>
      </c>
      <c r="U64" s="6">
        <v>14</v>
      </c>
      <c r="V64" s="6">
        <v>4</v>
      </c>
      <c r="W64" s="5">
        <f t="shared" si="32"/>
        <v>272</v>
      </c>
    </row>
    <row r="65" spans="1:23" x14ac:dyDescent="0.4">
      <c r="A65" s="7"/>
      <c r="B65" s="46"/>
      <c r="C65" s="24" t="s">
        <v>119</v>
      </c>
      <c r="D65" s="47"/>
      <c r="E65" s="6">
        <v>1</v>
      </c>
      <c r="F65" s="6">
        <v>2</v>
      </c>
      <c r="G65" s="6">
        <v>1</v>
      </c>
      <c r="H65" s="6">
        <v>0</v>
      </c>
      <c r="I65" s="6">
        <v>0</v>
      </c>
      <c r="J65" s="6">
        <v>1</v>
      </c>
      <c r="K65" s="6">
        <v>1</v>
      </c>
      <c r="L65" s="6">
        <v>1</v>
      </c>
      <c r="M65" s="6">
        <v>3</v>
      </c>
      <c r="N65" s="6">
        <v>0</v>
      </c>
      <c r="O65" s="6">
        <v>2</v>
      </c>
      <c r="P65" s="6">
        <v>1</v>
      </c>
      <c r="Q65" s="6">
        <v>2</v>
      </c>
      <c r="R65" s="6">
        <v>0</v>
      </c>
      <c r="S65" s="6">
        <v>3</v>
      </c>
      <c r="T65" s="6">
        <v>0</v>
      </c>
      <c r="U65" s="6">
        <v>0</v>
      </c>
      <c r="V65" s="6">
        <v>1</v>
      </c>
      <c r="W65" s="5">
        <f t="shared" si="32"/>
        <v>19</v>
      </c>
    </row>
    <row r="66" spans="1:23" x14ac:dyDescent="0.4">
      <c r="A66" s="7"/>
      <c r="B66" s="46"/>
      <c r="C66" s="24" t="s">
        <v>120</v>
      </c>
      <c r="D66" s="47"/>
      <c r="E66" s="6">
        <v>23</v>
      </c>
      <c r="F66" s="6">
        <v>36</v>
      </c>
      <c r="G66" s="6">
        <v>33</v>
      </c>
      <c r="H66" s="6">
        <v>17</v>
      </c>
      <c r="I66" s="6">
        <v>4</v>
      </c>
      <c r="J66" s="6">
        <v>10</v>
      </c>
      <c r="K66" s="6">
        <v>7</v>
      </c>
      <c r="L66" s="6">
        <v>9</v>
      </c>
      <c r="M66" s="6">
        <v>5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2</v>
      </c>
      <c r="T66" s="6">
        <v>0</v>
      </c>
      <c r="U66" s="6">
        <v>0</v>
      </c>
      <c r="V66" s="6">
        <v>1</v>
      </c>
      <c r="W66" s="5">
        <f t="shared" si="32"/>
        <v>147</v>
      </c>
    </row>
    <row r="67" spans="1:23" x14ac:dyDescent="0.4">
      <c r="A67" s="7"/>
      <c r="B67" s="46"/>
      <c r="C67" s="24" t="s">
        <v>121</v>
      </c>
      <c r="D67" s="47"/>
      <c r="E67" s="6">
        <v>0</v>
      </c>
      <c r="F67" s="6">
        <v>1</v>
      </c>
      <c r="G67" s="6">
        <v>1</v>
      </c>
      <c r="H67" s="6">
        <v>1</v>
      </c>
      <c r="I67" s="6">
        <v>2</v>
      </c>
      <c r="J67" s="6">
        <v>6</v>
      </c>
      <c r="K67" s="6">
        <v>4</v>
      </c>
      <c r="L67" s="6">
        <v>0</v>
      </c>
      <c r="M67" s="6">
        <v>1</v>
      </c>
      <c r="N67" s="6">
        <v>0</v>
      </c>
      <c r="O67" s="6">
        <v>3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1</v>
      </c>
      <c r="W67" s="5">
        <f t="shared" si="32"/>
        <v>20</v>
      </c>
    </row>
    <row r="68" spans="1:23" ht="13.15" customHeight="1" x14ac:dyDescent="0.4">
      <c r="A68" s="7"/>
      <c r="B68" s="46"/>
      <c r="C68" s="24" t="s">
        <v>122</v>
      </c>
      <c r="D68" s="47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5">
        <f t="shared" si="32"/>
        <v>0</v>
      </c>
    </row>
    <row r="69" spans="1:23" x14ac:dyDescent="0.4">
      <c r="A69" s="7"/>
      <c r="B69" s="46"/>
      <c r="C69" s="24" t="s">
        <v>123</v>
      </c>
      <c r="D69" s="47"/>
      <c r="E69" s="6">
        <v>3</v>
      </c>
      <c r="F69" s="6">
        <v>0</v>
      </c>
      <c r="G69" s="6">
        <v>0</v>
      </c>
      <c r="H69" s="6">
        <v>0</v>
      </c>
      <c r="I69" s="6">
        <v>0</v>
      </c>
      <c r="J69" s="6">
        <v>1</v>
      </c>
      <c r="K69" s="6">
        <v>2</v>
      </c>
      <c r="L69" s="6">
        <v>6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22</v>
      </c>
      <c r="T69" s="6">
        <v>1</v>
      </c>
      <c r="U69" s="6">
        <v>2</v>
      </c>
      <c r="V69" s="6">
        <v>0</v>
      </c>
      <c r="W69" s="5">
        <f t="shared" si="32"/>
        <v>37</v>
      </c>
    </row>
    <row r="70" spans="1:23" x14ac:dyDescent="0.4">
      <c r="A70" s="6" t="s">
        <v>26</v>
      </c>
      <c r="B70" s="53" t="s">
        <v>51</v>
      </c>
      <c r="C70" s="69"/>
      <c r="D70" s="60"/>
      <c r="E70" s="5">
        <f>SUM(E63:E69)</f>
        <v>54</v>
      </c>
      <c r="F70" s="5">
        <f>SUM(F63:F69)</f>
        <v>68</v>
      </c>
      <c r="G70" s="5">
        <f>SUM(G63:G69)</f>
        <v>56</v>
      </c>
      <c r="H70" s="5">
        <f>SUM(H63:H69)</f>
        <v>61</v>
      </c>
      <c r="I70" s="5">
        <f>SUM(I63:I69)</f>
        <v>24</v>
      </c>
      <c r="J70" s="5">
        <f>SUM(J63:J69)</f>
        <v>69</v>
      </c>
      <c r="K70" s="5">
        <f>SUM(K63:K69)</f>
        <v>38</v>
      </c>
      <c r="L70" s="5">
        <f>SUM(L63:L69)</f>
        <v>68</v>
      </c>
      <c r="M70" s="5">
        <f>SUM(M63:M69)</f>
        <v>30</v>
      </c>
      <c r="N70" s="5">
        <f>SUM(N63:N69)</f>
        <v>6</v>
      </c>
      <c r="O70" s="5">
        <f>SUM(O63:O69)</f>
        <v>15</v>
      </c>
      <c r="P70" s="5">
        <f>SUM(P63:P69)</f>
        <v>3</v>
      </c>
      <c r="Q70" s="5">
        <f>SUM(Q63:Q69)</f>
        <v>3</v>
      </c>
      <c r="R70" s="5">
        <f>SUM(R63:R69)</f>
        <v>7</v>
      </c>
      <c r="S70" s="5">
        <f>SUM(S63:S69)</f>
        <v>63</v>
      </c>
      <c r="T70" s="5">
        <f>SUM(T63:T69)</f>
        <v>9</v>
      </c>
      <c r="U70" s="5">
        <f>SUM(U63:U69)</f>
        <v>19</v>
      </c>
      <c r="V70" s="5">
        <f>SUM(V63:V69)</f>
        <v>7</v>
      </c>
      <c r="W70" s="5">
        <f>SUM(W63:W69)</f>
        <v>600</v>
      </c>
    </row>
    <row r="71" spans="1:23" x14ac:dyDescent="0.4">
      <c r="A71" s="70"/>
      <c r="B71" s="71"/>
      <c r="C71" s="71"/>
      <c r="D71" s="71"/>
      <c r="E71" s="71"/>
    </row>
    <row r="72" spans="1:23" x14ac:dyDescent="0.4">
      <c r="A72" s="11" t="s">
        <v>48</v>
      </c>
      <c r="B72" s="17" t="s">
        <v>34</v>
      </c>
      <c r="C72" s="59" t="s">
        <v>54</v>
      </c>
      <c r="D72" s="60"/>
      <c r="E72" s="6">
        <v>4</v>
      </c>
      <c r="F72" s="6">
        <v>2</v>
      </c>
      <c r="G72" s="6">
        <v>8</v>
      </c>
      <c r="H72" s="6">
        <v>8</v>
      </c>
      <c r="I72" s="6">
        <v>4</v>
      </c>
      <c r="J72" s="6">
        <v>3</v>
      </c>
      <c r="K72" s="6">
        <v>2</v>
      </c>
      <c r="L72" s="6">
        <v>6</v>
      </c>
      <c r="M72" s="6">
        <v>2</v>
      </c>
      <c r="N72" s="6">
        <v>1</v>
      </c>
      <c r="O72" s="6">
        <v>0</v>
      </c>
      <c r="P72" s="6">
        <v>0</v>
      </c>
      <c r="Q72" s="6">
        <v>7</v>
      </c>
      <c r="R72" s="6">
        <v>7</v>
      </c>
      <c r="S72" s="6">
        <v>9</v>
      </c>
      <c r="T72" s="6">
        <v>3</v>
      </c>
      <c r="U72" s="6">
        <v>2</v>
      </c>
      <c r="V72" s="6">
        <v>1</v>
      </c>
      <c r="W72" s="5">
        <f t="shared" ref="W72:W78" si="33">SUM(E72:V72)</f>
        <v>69</v>
      </c>
    </row>
    <row r="73" spans="1:23" x14ac:dyDescent="0.4">
      <c r="A73" s="11" t="s">
        <v>50</v>
      </c>
      <c r="B73" s="46"/>
      <c r="C73" s="24" t="s">
        <v>124</v>
      </c>
      <c r="D73" s="47"/>
      <c r="E73" s="6">
        <v>16</v>
      </c>
      <c r="F73" s="6">
        <v>60</v>
      </c>
      <c r="G73" s="6">
        <v>37</v>
      </c>
      <c r="H73" s="6">
        <v>68</v>
      </c>
      <c r="I73" s="6">
        <v>72</v>
      </c>
      <c r="J73" s="6">
        <v>41</v>
      </c>
      <c r="K73" s="6">
        <v>32</v>
      </c>
      <c r="L73" s="6">
        <v>51</v>
      </c>
      <c r="M73" s="6">
        <v>2</v>
      </c>
      <c r="N73" s="6">
        <v>4</v>
      </c>
      <c r="O73" s="6">
        <v>2</v>
      </c>
      <c r="P73" s="6">
        <v>3</v>
      </c>
      <c r="Q73" s="6">
        <v>77</v>
      </c>
      <c r="R73" s="6">
        <v>109</v>
      </c>
      <c r="S73" s="6">
        <v>39</v>
      </c>
      <c r="T73" s="6">
        <v>37</v>
      </c>
      <c r="U73" s="6">
        <v>94</v>
      </c>
      <c r="V73" s="6">
        <v>3</v>
      </c>
      <c r="W73" s="5">
        <f t="shared" si="33"/>
        <v>747</v>
      </c>
    </row>
    <row r="74" spans="1:23" x14ac:dyDescent="0.4">
      <c r="A74" s="7"/>
      <c r="B74" s="46"/>
      <c r="C74" s="24" t="s">
        <v>125</v>
      </c>
      <c r="D74" s="47"/>
      <c r="E74" s="6">
        <v>1</v>
      </c>
      <c r="F74" s="6">
        <v>2</v>
      </c>
      <c r="G74" s="6">
        <v>1</v>
      </c>
      <c r="H74" s="6">
        <v>1</v>
      </c>
      <c r="I74" s="6">
        <v>2</v>
      </c>
      <c r="J74" s="6">
        <v>1</v>
      </c>
      <c r="K74" s="6">
        <v>1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1</v>
      </c>
      <c r="R74" s="6">
        <v>1</v>
      </c>
      <c r="S74" s="6">
        <v>1</v>
      </c>
      <c r="T74" s="6">
        <v>0</v>
      </c>
      <c r="U74" s="6">
        <v>0</v>
      </c>
      <c r="V74" s="6">
        <v>0</v>
      </c>
      <c r="W74" s="5">
        <f t="shared" si="33"/>
        <v>12</v>
      </c>
    </row>
    <row r="75" spans="1:23" x14ac:dyDescent="0.4">
      <c r="A75" s="7"/>
      <c r="B75" s="46"/>
      <c r="C75" s="24" t="s">
        <v>126</v>
      </c>
      <c r="D75" s="47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1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0</v>
      </c>
      <c r="T75" s="6">
        <v>0</v>
      </c>
      <c r="U75" s="6">
        <v>1</v>
      </c>
      <c r="V75" s="6">
        <v>0</v>
      </c>
      <c r="W75" s="5">
        <f t="shared" si="33"/>
        <v>3</v>
      </c>
    </row>
    <row r="76" spans="1:23" ht="13.15" customHeight="1" x14ac:dyDescent="0.4">
      <c r="A76" s="7"/>
      <c r="B76" s="46"/>
      <c r="C76" s="24" t="s">
        <v>127</v>
      </c>
      <c r="D76" s="47"/>
      <c r="E76" s="6">
        <v>0</v>
      </c>
      <c r="F76" s="6">
        <v>0</v>
      </c>
      <c r="G76" s="6">
        <v>0</v>
      </c>
      <c r="H76" s="6">
        <v>1</v>
      </c>
      <c r="I76" s="6">
        <v>0</v>
      </c>
      <c r="J76" s="6">
        <v>1</v>
      </c>
      <c r="K76" s="6">
        <v>1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1</v>
      </c>
      <c r="T76" s="6">
        <v>0</v>
      </c>
      <c r="U76" s="6">
        <v>0</v>
      </c>
      <c r="V76" s="6">
        <v>0</v>
      </c>
      <c r="W76" s="5">
        <f t="shared" si="33"/>
        <v>4</v>
      </c>
    </row>
    <row r="77" spans="1:23" x14ac:dyDescent="0.4">
      <c r="A77" s="7"/>
      <c r="B77" s="46"/>
      <c r="C77" s="24" t="s">
        <v>128</v>
      </c>
      <c r="D77" s="47"/>
      <c r="E77" s="6">
        <v>0</v>
      </c>
      <c r="F77" s="6">
        <v>0</v>
      </c>
      <c r="G77" s="6">
        <v>0</v>
      </c>
      <c r="H77" s="6">
        <v>1</v>
      </c>
      <c r="I77" s="6">
        <v>1</v>
      </c>
      <c r="J77" s="6">
        <v>0</v>
      </c>
      <c r="K77" s="6">
        <v>1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1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5">
        <f t="shared" si="33"/>
        <v>4</v>
      </c>
    </row>
    <row r="78" spans="1:23" x14ac:dyDescent="0.4">
      <c r="A78" s="7"/>
      <c r="B78" s="46"/>
      <c r="C78" s="24" t="s">
        <v>129</v>
      </c>
      <c r="D78" s="47"/>
      <c r="E78" s="6">
        <v>5</v>
      </c>
      <c r="F78" s="6">
        <v>3</v>
      </c>
      <c r="G78" s="6">
        <v>2</v>
      </c>
      <c r="H78" s="6">
        <v>0</v>
      </c>
      <c r="I78" s="6">
        <v>1</v>
      </c>
      <c r="J78" s="6">
        <v>3</v>
      </c>
      <c r="K78" s="6">
        <v>6</v>
      </c>
      <c r="L78" s="6">
        <v>10</v>
      </c>
      <c r="M78" s="6">
        <v>2</v>
      </c>
      <c r="N78" s="6">
        <v>1</v>
      </c>
      <c r="O78" s="6">
        <v>0</v>
      </c>
      <c r="P78" s="6">
        <v>0</v>
      </c>
      <c r="Q78" s="6">
        <v>7</v>
      </c>
      <c r="R78" s="6">
        <v>41</v>
      </c>
      <c r="S78" s="6">
        <v>24</v>
      </c>
      <c r="T78" s="6">
        <v>14</v>
      </c>
      <c r="U78" s="6">
        <v>28</v>
      </c>
      <c r="V78" s="6">
        <v>98</v>
      </c>
      <c r="W78" s="5">
        <f t="shared" si="33"/>
        <v>245</v>
      </c>
    </row>
    <row r="79" spans="1:23" x14ac:dyDescent="0.4">
      <c r="A79" s="6" t="s">
        <v>26</v>
      </c>
      <c r="B79" s="53" t="s">
        <v>51</v>
      </c>
      <c r="C79" s="69"/>
      <c r="D79" s="60"/>
      <c r="E79" s="5">
        <f>SUM(E72:E78)</f>
        <v>26</v>
      </c>
      <c r="F79" s="5">
        <f>SUM(F72:F78)</f>
        <v>67</v>
      </c>
      <c r="G79" s="5">
        <f>SUM(G72:G78)</f>
        <v>48</v>
      </c>
      <c r="H79" s="5">
        <f>SUM(H72:H78)</f>
        <v>79</v>
      </c>
      <c r="I79" s="5">
        <f>SUM(I72:I78)</f>
        <v>80</v>
      </c>
      <c r="J79" s="5">
        <f>SUM(J72:J78)</f>
        <v>49</v>
      </c>
      <c r="K79" s="5">
        <f>SUM(K72:K78)</f>
        <v>43</v>
      </c>
      <c r="L79" s="5">
        <f>SUM(L72:L78)</f>
        <v>68</v>
      </c>
      <c r="M79" s="5">
        <f>SUM(M72:M78)</f>
        <v>6</v>
      </c>
      <c r="N79" s="5">
        <f>SUM(N72:N78)</f>
        <v>6</v>
      </c>
      <c r="O79" s="5">
        <f>SUM(O72:O78)</f>
        <v>2</v>
      </c>
      <c r="P79" s="5">
        <f>SUM(P72:P78)</f>
        <v>3</v>
      </c>
      <c r="Q79" s="5">
        <f>SUM(Q72:Q78)</f>
        <v>94</v>
      </c>
      <c r="R79" s="5">
        <f>SUM(R72:R78)</f>
        <v>158</v>
      </c>
      <c r="S79" s="5">
        <f>SUM(S72:S78)</f>
        <v>74</v>
      </c>
      <c r="T79" s="5">
        <f>SUM(T72:T78)</f>
        <v>54</v>
      </c>
      <c r="U79" s="5">
        <f>SUM(U72:U78)</f>
        <v>125</v>
      </c>
      <c r="V79" s="5">
        <f>SUM(V72:V78)</f>
        <v>102</v>
      </c>
      <c r="W79" s="5">
        <f>SUM(W72:W78)</f>
        <v>1084</v>
      </c>
    </row>
    <row r="80" spans="1:23" x14ac:dyDescent="0.4">
      <c r="A80" s="70"/>
      <c r="B80" s="71"/>
      <c r="C80" s="71"/>
      <c r="D80" s="71"/>
      <c r="E80" s="71"/>
    </row>
    <row r="81" spans="1:23" x14ac:dyDescent="0.4">
      <c r="A81" s="11" t="s">
        <v>48</v>
      </c>
      <c r="B81" s="17" t="s">
        <v>55</v>
      </c>
      <c r="C81" s="59" t="s">
        <v>56</v>
      </c>
      <c r="D81" s="60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1</v>
      </c>
      <c r="L81" s="6">
        <v>0</v>
      </c>
      <c r="M81" s="6">
        <v>2</v>
      </c>
      <c r="N81" s="6">
        <v>4</v>
      </c>
      <c r="O81" s="6">
        <v>9</v>
      </c>
      <c r="P81" s="6">
        <v>2</v>
      </c>
      <c r="Q81" s="6">
        <v>0</v>
      </c>
      <c r="R81" s="6">
        <v>0</v>
      </c>
      <c r="S81" s="6">
        <v>7</v>
      </c>
      <c r="T81" s="6">
        <v>0</v>
      </c>
      <c r="U81" s="6">
        <v>0</v>
      </c>
      <c r="V81" s="6">
        <v>1</v>
      </c>
      <c r="W81" s="5">
        <f t="shared" ref="W81:W87" si="34">SUM(E81:V81)</f>
        <v>26</v>
      </c>
    </row>
    <row r="82" spans="1:23" x14ac:dyDescent="0.4">
      <c r="A82" s="11" t="s">
        <v>50</v>
      </c>
      <c r="B82" s="46"/>
      <c r="C82" s="24" t="s">
        <v>130</v>
      </c>
      <c r="D82" s="47"/>
      <c r="E82" s="6">
        <v>0</v>
      </c>
      <c r="F82" s="6">
        <v>0</v>
      </c>
      <c r="G82" s="6">
        <v>0</v>
      </c>
      <c r="H82" s="6">
        <v>1</v>
      </c>
      <c r="I82" s="6">
        <v>0</v>
      </c>
      <c r="J82" s="6">
        <v>2</v>
      </c>
      <c r="K82" s="6">
        <v>0</v>
      </c>
      <c r="L82" s="6">
        <v>0</v>
      </c>
      <c r="M82" s="6">
        <v>6</v>
      </c>
      <c r="N82" s="6">
        <v>25</v>
      </c>
      <c r="O82" s="6">
        <v>34</v>
      </c>
      <c r="P82" s="6">
        <v>7</v>
      </c>
      <c r="Q82" s="6">
        <v>2</v>
      </c>
      <c r="R82" s="6">
        <v>0</v>
      </c>
      <c r="S82" s="6">
        <v>12</v>
      </c>
      <c r="T82" s="6">
        <v>2</v>
      </c>
      <c r="U82" s="6">
        <v>1</v>
      </c>
      <c r="V82" s="6">
        <v>0</v>
      </c>
      <c r="W82" s="5">
        <f t="shared" si="34"/>
        <v>92</v>
      </c>
    </row>
    <row r="83" spans="1:23" x14ac:dyDescent="0.4">
      <c r="A83" s="7"/>
      <c r="B83" s="46"/>
      <c r="C83" s="24" t="s">
        <v>131</v>
      </c>
      <c r="D83" s="47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1</v>
      </c>
      <c r="L83" s="6">
        <v>6</v>
      </c>
      <c r="M83" s="6">
        <v>34</v>
      </c>
      <c r="N83" s="6">
        <v>23</v>
      </c>
      <c r="O83" s="6">
        <v>43</v>
      </c>
      <c r="P83" s="6">
        <v>12</v>
      </c>
      <c r="Q83" s="6">
        <v>7</v>
      </c>
      <c r="R83" s="6">
        <v>2</v>
      </c>
      <c r="S83" s="6">
        <v>0</v>
      </c>
      <c r="T83" s="6">
        <v>0</v>
      </c>
      <c r="U83" s="6">
        <v>0</v>
      </c>
      <c r="V83" s="6">
        <v>0</v>
      </c>
      <c r="W83" s="5">
        <f t="shared" si="34"/>
        <v>128</v>
      </c>
    </row>
    <row r="84" spans="1:23" ht="13.15" customHeight="1" x14ac:dyDescent="0.4">
      <c r="A84" s="7"/>
      <c r="B84" s="46"/>
      <c r="C84" s="24" t="s">
        <v>132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1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5">
        <f t="shared" si="34"/>
        <v>2</v>
      </c>
    </row>
    <row r="85" spans="1:23" x14ac:dyDescent="0.4">
      <c r="A85" s="7"/>
      <c r="B85" s="46"/>
      <c r="C85" s="24" t="s">
        <v>133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5">
        <f t="shared" si="34"/>
        <v>0</v>
      </c>
    </row>
    <row r="86" spans="1:23" x14ac:dyDescent="0.4">
      <c r="A86" s="7"/>
      <c r="B86" s="46"/>
      <c r="C86" s="24" t="s">
        <v>134</v>
      </c>
      <c r="D86" s="47"/>
      <c r="E86" s="6">
        <v>0</v>
      </c>
      <c r="F86" s="6">
        <v>0</v>
      </c>
      <c r="G86" s="6">
        <v>1</v>
      </c>
      <c r="H86" s="6">
        <v>0</v>
      </c>
      <c r="I86" s="6">
        <v>1</v>
      </c>
      <c r="J86" s="6">
        <v>1</v>
      </c>
      <c r="K86" s="6">
        <v>0</v>
      </c>
      <c r="L86" s="6">
        <v>5</v>
      </c>
      <c r="M86" s="6">
        <v>1</v>
      </c>
      <c r="N86" s="6">
        <v>0</v>
      </c>
      <c r="O86" s="6">
        <v>0</v>
      </c>
      <c r="P86" s="6">
        <v>1</v>
      </c>
      <c r="Q86" s="6">
        <v>1</v>
      </c>
      <c r="R86" s="6">
        <v>0</v>
      </c>
      <c r="S86" s="6">
        <v>0</v>
      </c>
      <c r="T86" s="6">
        <v>1</v>
      </c>
      <c r="U86" s="6">
        <v>0</v>
      </c>
      <c r="V86" s="6">
        <v>0</v>
      </c>
      <c r="W86" s="5">
        <f t="shared" si="34"/>
        <v>12</v>
      </c>
    </row>
    <row r="87" spans="1:23" x14ac:dyDescent="0.4">
      <c r="A87" s="7"/>
      <c r="B87" s="46"/>
      <c r="C87" s="24" t="s">
        <v>135</v>
      </c>
      <c r="D87" s="47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5">
        <f t="shared" si="34"/>
        <v>0</v>
      </c>
    </row>
    <row r="88" spans="1:23" x14ac:dyDescent="0.4">
      <c r="A88" s="6" t="s">
        <v>26</v>
      </c>
      <c r="B88" s="53" t="s">
        <v>51</v>
      </c>
      <c r="C88" s="69"/>
      <c r="D88" s="60"/>
      <c r="E88" s="5">
        <f>SUM(E81:E87)</f>
        <v>0</v>
      </c>
      <c r="F88" s="5">
        <f>SUM(F81:F87)</f>
        <v>0</v>
      </c>
      <c r="G88" s="5">
        <f>SUM(G81:G87)</f>
        <v>1</v>
      </c>
      <c r="H88" s="5">
        <f>SUM(H81:H87)</f>
        <v>1</v>
      </c>
      <c r="I88" s="5">
        <f>SUM(I81:I87)</f>
        <v>1</v>
      </c>
      <c r="J88" s="5">
        <f>SUM(J81:J87)</f>
        <v>3</v>
      </c>
      <c r="K88" s="5">
        <f>SUM(K81:K87)</f>
        <v>2</v>
      </c>
      <c r="L88" s="5">
        <f>SUM(L81:L87)</f>
        <v>11</v>
      </c>
      <c r="M88" s="5">
        <f>SUM(M81:M87)</f>
        <v>44</v>
      </c>
      <c r="N88" s="5">
        <f>SUM(N81:N87)</f>
        <v>53</v>
      </c>
      <c r="O88" s="5">
        <f>SUM(O81:O87)</f>
        <v>86</v>
      </c>
      <c r="P88" s="5">
        <f>SUM(P81:P87)</f>
        <v>22</v>
      </c>
      <c r="Q88" s="5">
        <f>SUM(Q81:Q87)</f>
        <v>10</v>
      </c>
      <c r="R88" s="5">
        <f>SUM(R81:R87)</f>
        <v>2</v>
      </c>
      <c r="S88" s="5">
        <f>SUM(S81:S87)</f>
        <v>19</v>
      </c>
      <c r="T88" s="5">
        <f>SUM(T81:T87)</f>
        <v>3</v>
      </c>
      <c r="U88" s="5">
        <f>SUM(U81:U87)</f>
        <v>1</v>
      </c>
      <c r="V88" s="5">
        <f>SUM(V81:V87)</f>
        <v>1</v>
      </c>
      <c r="W88" s="5">
        <f>SUM(W81:W87)</f>
        <v>260</v>
      </c>
    </row>
    <row r="89" spans="1:23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spans="1:23" x14ac:dyDescent="0.4">
      <c r="A90" s="11" t="s">
        <v>48</v>
      </c>
      <c r="B90" s="17" t="s">
        <v>57</v>
      </c>
      <c r="C90" s="59" t="s">
        <v>58</v>
      </c>
      <c r="D90" s="60"/>
      <c r="E90" s="6">
        <v>0</v>
      </c>
      <c r="F90" s="6">
        <v>0</v>
      </c>
      <c r="G90" s="6">
        <v>1</v>
      </c>
      <c r="H90" s="6">
        <v>0</v>
      </c>
      <c r="I90" s="6">
        <v>0</v>
      </c>
      <c r="J90" s="6">
        <v>0</v>
      </c>
      <c r="K90" s="6">
        <v>1</v>
      </c>
      <c r="L90" s="6">
        <v>0</v>
      </c>
      <c r="M90" s="6">
        <v>1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2</v>
      </c>
      <c r="T90" s="6">
        <v>1</v>
      </c>
      <c r="U90" s="6">
        <v>0</v>
      </c>
      <c r="V90" s="6">
        <v>1</v>
      </c>
      <c r="W90" s="5">
        <f t="shared" ref="W90:W91" si="35">SUM(E90:V90)</f>
        <v>7</v>
      </c>
    </row>
    <row r="91" spans="1:23" x14ac:dyDescent="0.4">
      <c r="A91" s="11" t="s">
        <v>50</v>
      </c>
      <c r="B91" s="46"/>
      <c r="C91" s="72" t="s">
        <v>136</v>
      </c>
      <c r="D91" s="60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1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1</v>
      </c>
      <c r="U91" s="6">
        <v>0</v>
      </c>
      <c r="V91" s="6">
        <v>0</v>
      </c>
      <c r="W91" s="5">
        <f t="shared" si="35"/>
        <v>2</v>
      </c>
    </row>
    <row r="92" spans="1:23" ht="13.15" customHeight="1" x14ac:dyDescent="0.4">
      <c r="A92" s="6" t="s">
        <v>26</v>
      </c>
      <c r="B92" s="53" t="s">
        <v>51</v>
      </c>
      <c r="C92" s="54"/>
      <c r="D92" s="55"/>
      <c r="E92" s="5">
        <f>SUM(E90:E91)</f>
        <v>0</v>
      </c>
      <c r="F92" s="5">
        <f>SUM(F90:F91)</f>
        <v>0</v>
      </c>
      <c r="G92" s="5">
        <f>SUM(G90:G91)</f>
        <v>1</v>
      </c>
      <c r="H92" s="5">
        <f>SUM(H90:H91)</f>
        <v>0</v>
      </c>
      <c r="I92" s="5">
        <f>SUM(I90:I91)</f>
        <v>0</v>
      </c>
      <c r="J92" s="5">
        <f>SUM(J90:J91)</f>
        <v>0</v>
      </c>
      <c r="K92" s="5">
        <f>SUM(K90:K91)</f>
        <v>2</v>
      </c>
      <c r="L92" s="5">
        <f>SUM(L90:L91)</f>
        <v>0</v>
      </c>
      <c r="M92" s="5">
        <f>SUM(M90:M91)</f>
        <v>1</v>
      </c>
      <c r="N92" s="5">
        <f>SUM(N90:N91)</f>
        <v>0</v>
      </c>
      <c r="O92" s="5">
        <f>SUM(O90:O91)</f>
        <v>0</v>
      </c>
      <c r="P92" s="5">
        <f>SUM(P90:P91)</f>
        <v>0</v>
      </c>
      <c r="Q92" s="5">
        <f>SUM(Q90:Q91)</f>
        <v>0</v>
      </c>
      <c r="R92" s="5">
        <f>SUM(R90:R91)</f>
        <v>0</v>
      </c>
      <c r="S92" s="5">
        <f>SUM(S90:S91)</f>
        <v>2</v>
      </c>
      <c r="T92" s="5">
        <f>SUM(T90:T91)</f>
        <v>2</v>
      </c>
      <c r="U92" s="5">
        <f>SUM(U90:U91)</f>
        <v>0</v>
      </c>
      <c r="V92" s="5">
        <f>SUM(V90:V91)</f>
        <v>1</v>
      </c>
      <c r="W92" s="5">
        <f>SUM(W90:W91)</f>
        <v>9</v>
      </c>
    </row>
    <row r="93" spans="1:23" x14ac:dyDescent="0.4">
      <c r="A93" s="61"/>
      <c r="B93" s="62"/>
      <c r="C93" s="62"/>
      <c r="D93" s="62"/>
      <c r="E93" s="63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5"/>
    </row>
    <row r="94" spans="1:23" x14ac:dyDescent="0.4">
      <c r="A94" s="11" t="s">
        <v>48</v>
      </c>
      <c r="B94" s="17" t="s">
        <v>59</v>
      </c>
      <c r="C94" s="59" t="s">
        <v>60</v>
      </c>
      <c r="D94" s="60"/>
      <c r="E94" s="6">
        <v>0</v>
      </c>
      <c r="F94" s="6">
        <v>0</v>
      </c>
      <c r="G94" s="6">
        <v>1</v>
      </c>
      <c r="H94" s="6">
        <v>1</v>
      </c>
      <c r="I94" s="6">
        <v>0</v>
      </c>
      <c r="J94" s="6">
        <v>0</v>
      </c>
      <c r="K94" s="6">
        <v>0</v>
      </c>
      <c r="L94" s="6">
        <v>0</v>
      </c>
      <c r="M94" s="6">
        <v>2</v>
      </c>
      <c r="N94" s="6">
        <v>1</v>
      </c>
      <c r="O94" s="6">
        <v>0</v>
      </c>
      <c r="P94" s="6">
        <v>0</v>
      </c>
      <c r="Q94" s="6">
        <v>0</v>
      </c>
      <c r="R94" s="6">
        <v>0</v>
      </c>
      <c r="S94" s="6">
        <v>1</v>
      </c>
      <c r="T94" s="6">
        <v>0</v>
      </c>
      <c r="U94" s="6">
        <v>0</v>
      </c>
      <c r="V94" s="6">
        <v>0</v>
      </c>
      <c r="W94" s="5">
        <f t="shared" ref="W94:W100" si="36">SUM(E94:V94)</f>
        <v>6</v>
      </c>
    </row>
    <row r="95" spans="1:23" x14ac:dyDescent="0.4">
      <c r="A95" s="11" t="s">
        <v>50</v>
      </c>
      <c r="B95" s="46"/>
      <c r="C95" s="24" t="s">
        <v>137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1</v>
      </c>
      <c r="U95" s="6">
        <v>0</v>
      </c>
      <c r="V95" s="6">
        <v>0</v>
      </c>
      <c r="W95" s="5">
        <f t="shared" si="36"/>
        <v>1</v>
      </c>
    </row>
    <row r="96" spans="1:23" x14ac:dyDescent="0.4">
      <c r="A96" s="7"/>
      <c r="B96" s="46"/>
      <c r="C96" s="24" t="s">
        <v>138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1</v>
      </c>
      <c r="S96" s="6">
        <v>0</v>
      </c>
      <c r="T96" s="6">
        <v>0</v>
      </c>
      <c r="U96" s="6">
        <v>0</v>
      </c>
      <c r="V96" s="6">
        <v>0</v>
      </c>
      <c r="W96" s="5">
        <f t="shared" si="36"/>
        <v>1</v>
      </c>
    </row>
    <row r="97" spans="1:23" x14ac:dyDescent="0.4">
      <c r="A97" s="7"/>
      <c r="B97" s="46"/>
      <c r="C97" s="24" t="s">
        <v>139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5">
        <f t="shared" si="36"/>
        <v>0</v>
      </c>
    </row>
    <row r="98" spans="1:23" x14ac:dyDescent="0.4">
      <c r="A98" s="7"/>
      <c r="B98" s="46"/>
      <c r="C98" s="24" t="s">
        <v>140</v>
      </c>
      <c r="D98" s="47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5">
        <f t="shared" si="36"/>
        <v>0</v>
      </c>
    </row>
    <row r="99" spans="1:23" x14ac:dyDescent="0.4">
      <c r="A99" s="7"/>
      <c r="B99" s="46"/>
      <c r="C99" s="24" t="s">
        <v>141</v>
      </c>
      <c r="D99" s="47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5">
        <f t="shared" si="36"/>
        <v>0</v>
      </c>
    </row>
    <row r="100" spans="1:23" x14ac:dyDescent="0.4">
      <c r="A100" s="7"/>
      <c r="B100" s="46"/>
      <c r="C100" s="24" t="s">
        <v>142</v>
      </c>
      <c r="D100" s="47"/>
      <c r="E100" s="50">
        <v>0</v>
      </c>
      <c r="F100" s="29">
        <v>0</v>
      </c>
      <c r="G100" s="29">
        <v>0</v>
      </c>
      <c r="H100" s="29">
        <v>0</v>
      </c>
      <c r="I100" s="29">
        <v>0</v>
      </c>
      <c r="J100" s="29">
        <v>0</v>
      </c>
      <c r="K100" s="29">
        <v>0</v>
      </c>
      <c r="L100" s="29">
        <v>0</v>
      </c>
      <c r="M100" s="29">
        <v>0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29">
        <v>0</v>
      </c>
      <c r="W100" s="5">
        <f t="shared" si="36"/>
        <v>0</v>
      </c>
    </row>
    <row r="101" spans="1:23" x14ac:dyDescent="0.4">
      <c r="A101" s="6" t="s">
        <v>26</v>
      </c>
      <c r="B101" s="53" t="s">
        <v>51</v>
      </c>
      <c r="C101" s="54"/>
      <c r="D101" s="55"/>
      <c r="E101" s="5">
        <f>SUM(E94:E100)</f>
        <v>0</v>
      </c>
      <c r="F101" s="5">
        <f>SUM(F94:F100)</f>
        <v>0</v>
      </c>
      <c r="G101" s="5">
        <f>SUM(G94:G100)</f>
        <v>1</v>
      </c>
      <c r="H101" s="5">
        <f>SUM(H94:H100)</f>
        <v>1</v>
      </c>
      <c r="I101" s="5">
        <f>SUM(I94:I100)</f>
        <v>0</v>
      </c>
      <c r="J101" s="5">
        <f>SUM(J94:J100)</f>
        <v>0</v>
      </c>
      <c r="K101" s="5">
        <f>SUM(K94:K100)</f>
        <v>0</v>
      </c>
      <c r="L101" s="5">
        <f>SUM(L94:L100)</f>
        <v>0</v>
      </c>
      <c r="M101" s="5">
        <f>SUM(M94:M100)</f>
        <v>2</v>
      </c>
      <c r="N101" s="5">
        <f>SUM(N94:N100)</f>
        <v>1</v>
      </c>
      <c r="O101" s="5">
        <f>SUM(O94:O100)</f>
        <v>0</v>
      </c>
      <c r="P101" s="5">
        <f>SUM(P94:P100)</f>
        <v>0</v>
      </c>
      <c r="Q101" s="5">
        <f>SUM(Q94:Q100)</f>
        <v>0</v>
      </c>
      <c r="R101" s="5">
        <f>SUM(R94:R100)</f>
        <v>1</v>
      </c>
      <c r="S101" s="5">
        <f>SUM(S94:S100)</f>
        <v>1</v>
      </c>
      <c r="T101" s="5">
        <f>SUM(T94:T100)</f>
        <v>1</v>
      </c>
      <c r="U101" s="5">
        <f>SUM(U94:U100)</f>
        <v>0</v>
      </c>
      <c r="V101" s="5">
        <f>SUM(V94:V100)</f>
        <v>0</v>
      </c>
      <c r="W101" s="5">
        <f>SUM(W94:W100)</f>
        <v>8</v>
      </c>
    </row>
    <row r="102" spans="1:23" x14ac:dyDescent="0.4">
      <c r="A102" s="61"/>
      <c r="B102" s="62"/>
      <c r="C102" s="62"/>
      <c r="D102" s="62"/>
      <c r="E102" s="63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spans="1:23" x14ac:dyDescent="0.4">
      <c r="A103" s="11" t="s">
        <v>48</v>
      </c>
      <c r="B103" s="17" t="s">
        <v>61</v>
      </c>
      <c r="C103" s="59" t="s">
        <v>62</v>
      </c>
      <c r="D103" s="60"/>
      <c r="E103" s="6">
        <v>0</v>
      </c>
      <c r="F103" s="6">
        <v>1</v>
      </c>
      <c r="G103" s="6">
        <v>1</v>
      </c>
      <c r="H103" s="6">
        <v>0</v>
      </c>
      <c r="I103" s="6">
        <v>0</v>
      </c>
      <c r="J103" s="6">
        <v>0</v>
      </c>
      <c r="K103" s="6">
        <v>0</v>
      </c>
      <c r="L103" s="6">
        <v>1</v>
      </c>
      <c r="M103" s="6">
        <v>2</v>
      </c>
      <c r="N103" s="6">
        <v>1</v>
      </c>
      <c r="O103" s="6">
        <v>0</v>
      </c>
      <c r="P103" s="6">
        <v>0</v>
      </c>
      <c r="Q103" s="6">
        <v>3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5">
        <f t="shared" ref="W103:W109" si="37">SUM(E103:V103)</f>
        <v>9</v>
      </c>
    </row>
    <row r="104" spans="1:23" ht="13.15" customHeight="1" x14ac:dyDescent="0.4">
      <c r="A104" s="11" t="s">
        <v>50</v>
      </c>
      <c r="B104" s="46"/>
      <c r="C104" s="24" t="s">
        <v>143</v>
      </c>
      <c r="D104" s="47"/>
      <c r="E104" s="6">
        <v>3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1</v>
      </c>
      <c r="L104" s="6">
        <v>0</v>
      </c>
      <c r="M104" s="6">
        <v>1</v>
      </c>
      <c r="N104" s="6">
        <v>2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5">
        <f t="shared" si="37"/>
        <v>7</v>
      </c>
    </row>
    <row r="105" spans="1:23" x14ac:dyDescent="0.4">
      <c r="A105" s="7"/>
      <c r="B105" s="46"/>
      <c r="C105" s="24" t="s">
        <v>144</v>
      </c>
      <c r="D105" s="47"/>
      <c r="E105" s="6">
        <v>1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1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5">
        <f t="shared" si="37"/>
        <v>2</v>
      </c>
    </row>
    <row r="106" spans="1:23" x14ac:dyDescent="0.4">
      <c r="A106" s="7"/>
      <c r="B106" s="46"/>
      <c r="C106" s="24" t="s">
        <v>145</v>
      </c>
      <c r="D106" s="47"/>
      <c r="E106" s="6">
        <v>0</v>
      </c>
      <c r="F106" s="6">
        <v>1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4</v>
      </c>
      <c r="O106" s="6">
        <v>1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2</v>
      </c>
      <c r="W106" s="5">
        <f t="shared" si="37"/>
        <v>8</v>
      </c>
    </row>
    <row r="107" spans="1:23" x14ac:dyDescent="0.4">
      <c r="A107" s="7"/>
      <c r="B107" s="46"/>
      <c r="C107" s="24" t="s">
        <v>146</v>
      </c>
      <c r="D107" s="47"/>
      <c r="E107" s="6">
        <v>0</v>
      </c>
      <c r="F107" s="6">
        <v>2</v>
      </c>
      <c r="G107" s="6">
        <v>4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5">
        <f t="shared" si="37"/>
        <v>6</v>
      </c>
    </row>
    <row r="108" spans="1:23" x14ac:dyDescent="0.4">
      <c r="A108" s="7"/>
      <c r="B108" s="46"/>
      <c r="C108" s="24" t="s">
        <v>147</v>
      </c>
      <c r="D108" s="47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1</v>
      </c>
      <c r="U108" s="6">
        <v>0</v>
      </c>
      <c r="V108" s="6">
        <v>0</v>
      </c>
      <c r="W108" s="5">
        <f t="shared" si="37"/>
        <v>1</v>
      </c>
    </row>
    <row r="109" spans="1:23" x14ac:dyDescent="0.4">
      <c r="A109" s="7"/>
      <c r="B109" s="46"/>
      <c r="C109" s="24" t="s">
        <v>148</v>
      </c>
      <c r="D109" s="47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4</v>
      </c>
      <c r="N109" s="6">
        <v>3</v>
      </c>
      <c r="O109" s="6">
        <v>0</v>
      </c>
      <c r="P109" s="6">
        <v>2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5">
        <f t="shared" si="37"/>
        <v>9</v>
      </c>
    </row>
    <row r="110" spans="1:23" x14ac:dyDescent="0.4">
      <c r="A110" s="6" t="s">
        <v>26</v>
      </c>
      <c r="B110" s="53" t="s">
        <v>51</v>
      </c>
      <c r="C110" s="54"/>
      <c r="D110" s="55"/>
      <c r="E110" s="5">
        <f>SUM(E103:E109)</f>
        <v>4</v>
      </c>
      <c r="F110" s="5">
        <f>SUM(F103:F109)</f>
        <v>4</v>
      </c>
      <c r="G110" s="5">
        <f>SUM(G103:G109)</f>
        <v>5</v>
      </c>
      <c r="H110" s="5">
        <f>SUM(H103:H109)</f>
        <v>0</v>
      </c>
      <c r="I110" s="5">
        <f>SUM(I103:I109)</f>
        <v>0</v>
      </c>
      <c r="J110" s="5">
        <f>SUM(J103:J109)</f>
        <v>0</v>
      </c>
      <c r="K110" s="5">
        <f>SUM(K103:K109)</f>
        <v>1</v>
      </c>
      <c r="L110" s="5">
        <f>SUM(L103:L109)</f>
        <v>1</v>
      </c>
      <c r="M110" s="5">
        <f>SUM(M103:M109)</f>
        <v>7</v>
      </c>
      <c r="N110" s="5">
        <f>SUM(N103:N109)</f>
        <v>10</v>
      </c>
      <c r="O110" s="5">
        <f>SUM(O103:O109)</f>
        <v>1</v>
      </c>
      <c r="P110" s="5">
        <f>SUM(P103:P109)</f>
        <v>3</v>
      </c>
      <c r="Q110" s="5">
        <f>SUM(Q103:Q109)</f>
        <v>3</v>
      </c>
      <c r="R110" s="5">
        <f>SUM(R103:R109)</f>
        <v>0</v>
      </c>
      <c r="S110" s="5">
        <f>SUM(S103:S109)</f>
        <v>0</v>
      </c>
      <c r="T110" s="5">
        <f>SUM(T103:T109)</f>
        <v>1</v>
      </c>
      <c r="U110" s="5">
        <f>SUM(U103:U109)</f>
        <v>0</v>
      </c>
      <c r="V110" s="5">
        <f>SUM(V103:V109)</f>
        <v>2</v>
      </c>
      <c r="W110" s="5">
        <f>SUM(W103:W109)</f>
        <v>42</v>
      </c>
    </row>
    <row r="111" spans="1:23" x14ac:dyDescent="0.4">
      <c r="A111" s="61"/>
      <c r="B111" s="62"/>
      <c r="C111" s="62"/>
      <c r="D111" s="62"/>
      <c r="E111" s="6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spans="1:23" ht="13.15" customHeight="1" x14ac:dyDescent="0.4">
      <c r="A112" s="11" t="s">
        <v>48</v>
      </c>
      <c r="B112" s="17" t="s">
        <v>63</v>
      </c>
      <c r="C112" s="59" t="s">
        <v>64</v>
      </c>
      <c r="D112" s="60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2</v>
      </c>
      <c r="T112" s="6">
        <v>0</v>
      </c>
      <c r="U112" s="6">
        <v>0</v>
      </c>
      <c r="V112" s="6">
        <v>0</v>
      </c>
      <c r="W112" s="5">
        <f t="shared" ref="W112:W118" si="38">SUM(E112:V112)</f>
        <v>2</v>
      </c>
    </row>
    <row r="113" spans="1:23" x14ac:dyDescent="0.4">
      <c r="A113" s="11" t="s">
        <v>50</v>
      </c>
      <c r="B113" s="17"/>
      <c r="C113" s="24" t="s">
        <v>104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1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5">
        <f t="shared" si="38"/>
        <v>1</v>
      </c>
    </row>
    <row r="114" spans="1:23" x14ac:dyDescent="0.4">
      <c r="A114" s="7"/>
      <c r="B114" s="17"/>
      <c r="C114" s="24" t="s">
        <v>149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1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5">
        <f t="shared" si="38"/>
        <v>1</v>
      </c>
    </row>
    <row r="115" spans="1:23" x14ac:dyDescent="0.4">
      <c r="A115" s="7"/>
      <c r="B115" s="17"/>
      <c r="C115" s="24" t="s">
        <v>150</v>
      </c>
      <c r="D115" s="45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5">
        <f t="shared" si="38"/>
        <v>0</v>
      </c>
    </row>
    <row r="116" spans="1:23" x14ac:dyDescent="0.4">
      <c r="A116" s="7"/>
      <c r="B116" s="46"/>
      <c r="C116" s="24" t="s">
        <v>151</v>
      </c>
      <c r="D116" s="47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5">
        <f t="shared" si="38"/>
        <v>0</v>
      </c>
    </row>
    <row r="117" spans="1:23" x14ac:dyDescent="0.4">
      <c r="A117" s="7"/>
      <c r="B117" s="46"/>
      <c r="C117" s="24" t="s">
        <v>152</v>
      </c>
      <c r="D117" s="47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1</v>
      </c>
      <c r="T117" s="6">
        <v>0</v>
      </c>
      <c r="U117" s="6">
        <v>0</v>
      </c>
      <c r="V117" s="6">
        <v>0</v>
      </c>
      <c r="W117" s="5">
        <f t="shared" si="38"/>
        <v>1</v>
      </c>
    </row>
    <row r="118" spans="1:23" x14ac:dyDescent="0.4">
      <c r="A118" s="7"/>
      <c r="B118" s="46"/>
      <c r="C118" s="24" t="s">
        <v>153</v>
      </c>
      <c r="D118" s="47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5">
        <f t="shared" si="38"/>
        <v>0</v>
      </c>
    </row>
    <row r="119" spans="1:23" ht="13.15" customHeight="1" x14ac:dyDescent="0.4">
      <c r="A119" s="6" t="s">
        <v>26</v>
      </c>
      <c r="B119" s="53" t="s">
        <v>51</v>
      </c>
      <c r="C119" s="54"/>
      <c r="D119" s="55"/>
      <c r="E119" s="5">
        <f>SUM(E112:E118)</f>
        <v>0</v>
      </c>
      <c r="F119" s="5">
        <f>SUM(F112:F118)</f>
        <v>0</v>
      </c>
      <c r="G119" s="5">
        <f>SUM(G112:G118)</f>
        <v>0</v>
      </c>
      <c r="H119" s="5">
        <f>SUM(H112:H118)</f>
        <v>0</v>
      </c>
      <c r="I119" s="5">
        <f>SUM(I112:I118)</f>
        <v>0</v>
      </c>
      <c r="J119" s="5">
        <f>SUM(J112:J118)</f>
        <v>0</v>
      </c>
      <c r="K119" s="5">
        <f>SUM(K112:K118)</f>
        <v>0</v>
      </c>
      <c r="L119" s="5">
        <f>SUM(L112:L118)</f>
        <v>0</v>
      </c>
      <c r="M119" s="5">
        <f>SUM(M112:M118)</f>
        <v>1</v>
      </c>
      <c r="N119" s="5">
        <f>SUM(N112:N118)</f>
        <v>1</v>
      </c>
      <c r="O119" s="5">
        <f>SUM(O112:O118)</f>
        <v>0</v>
      </c>
      <c r="P119" s="5">
        <f>SUM(P112:P118)</f>
        <v>0</v>
      </c>
      <c r="Q119" s="5">
        <f>SUM(Q112:Q118)</f>
        <v>0</v>
      </c>
      <c r="R119" s="5">
        <f>SUM(R112:R118)</f>
        <v>0</v>
      </c>
      <c r="S119" s="5">
        <f>SUM(S112:S118)</f>
        <v>3</v>
      </c>
      <c r="T119" s="5">
        <f>SUM(T112:T118)</f>
        <v>0</v>
      </c>
      <c r="U119" s="5">
        <f>SUM(U112:U118)</f>
        <v>0</v>
      </c>
      <c r="V119" s="5">
        <f>SUM(V112:V118)</f>
        <v>0</v>
      </c>
      <c r="W119" s="5">
        <f>SUM(W112:W118)</f>
        <v>5</v>
      </c>
    </row>
    <row r="120" spans="1:23" x14ac:dyDescent="0.4">
      <c r="A120" s="61"/>
      <c r="B120" s="62"/>
      <c r="C120" s="62"/>
      <c r="D120" s="62"/>
      <c r="E120" s="6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5"/>
    </row>
    <row r="121" spans="1:23" x14ac:dyDescent="0.4">
      <c r="A121" s="11" t="s">
        <v>48</v>
      </c>
      <c r="B121" s="44" t="s">
        <v>65</v>
      </c>
      <c r="C121" s="67" t="s">
        <v>66</v>
      </c>
      <c r="D121" s="68"/>
      <c r="E121" s="6">
        <v>0</v>
      </c>
      <c r="F121" s="6">
        <v>1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1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5">
        <f>SUM(E122:V122)</f>
        <v>5</v>
      </c>
    </row>
    <row r="122" spans="1:23" x14ac:dyDescent="0.4">
      <c r="A122" s="48" t="s">
        <v>50</v>
      </c>
      <c r="B122" s="46"/>
      <c r="C122" s="24" t="s">
        <v>154</v>
      </c>
      <c r="D122" s="47"/>
      <c r="E122" s="49">
        <v>0</v>
      </c>
      <c r="F122" s="6">
        <v>4</v>
      </c>
      <c r="G122" s="6">
        <v>0</v>
      </c>
      <c r="H122" s="6">
        <v>0</v>
      </c>
      <c r="I122" s="6">
        <v>1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5">
        <f>SUM(E123:V123)</f>
        <v>57</v>
      </c>
    </row>
    <row r="123" spans="1:23" x14ac:dyDescent="0.4">
      <c r="A123" s="7"/>
      <c r="B123" s="46"/>
      <c r="C123" s="24" t="s">
        <v>155</v>
      </c>
      <c r="D123" s="47"/>
      <c r="E123" s="49">
        <v>2</v>
      </c>
      <c r="F123" s="6">
        <v>12</v>
      </c>
      <c r="G123" s="6">
        <v>2</v>
      </c>
      <c r="H123" s="6">
        <v>0</v>
      </c>
      <c r="I123" s="6">
        <v>6</v>
      </c>
      <c r="J123" s="6">
        <v>7</v>
      </c>
      <c r="K123" s="6">
        <v>20</v>
      </c>
      <c r="L123" s="6">
        <v>6</v>
      </c>
      <c r="M123" s="6">
        <v>0</v>
      </c>
      <c r="N123" s="6">
        <v>0</v>
      </c>
      <c r="O123" s="6">
        <v>1</v>
      </c>
      <c r="P123" s="6">
        <v>0</v>
      </c>
      <c r="Q123" s="6">
        <v>1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5">
        <f>SUM(E124:V124)</f>
        <v>0</v>
      </c>
    </row>
    <row r="124" spans="1:23" x14ac:dyDescent="0.4">
      <c r="A124" s="7"/>
      <c r="B124" s="46"/>
      <c r="C124" s="24" t="s">
        <v>156</v>
      </c>
      <c r="D124" s="47"/>
      <c r="E124" s="49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5">
        <f>SUM(E125:V125)</f>
        <v>1</v>
      </c>
    </row>
    <row r="125" spans="1:23" x14ac:dyDescent="0.4">
      <c r="A125" s="7"/>
      <c r="B125" s="46"/>
      <c r="C125" s="24" t="s">
        <v>157</v>
      </c>
      <c r="D125" s="47"/>
      <c r="E125" s="49">
        <v>0</v>
      </c>
      <c r="F125" s="6">
        <v>0</v>
      </c>
      <c r="G125" s="6">
        <v>1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5">
        <f>SUM(E128:V128)</f>
        <v>69</v>
      </c>
    </row>
    <row r="126" spans="1:23" x14ac:dyDescent="0.4">
      <c r="A126" s="7"/>
      <c r="B126" s="46"/>
      <c r="C126" s="24" t="s">
        <v>158</v>
      </c>
      <c r="D126" s="47"/>
      <c r="E126" s="49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1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3</v>
      </c>
      <c r="U126" s="6">
        <v>0</v>
      </c>
      <c r="V126" s="6">
        <v>0</v>
      </c>
      <c r="W126" s="5">
        <f>SUM(E129:V129)</f>
        <v>0</v>
      </c>
    </row>
    <row r="127" spans="1:23" x14ac:dyDescent="0.4">
      <c r="A127" s="7"/>
      <c r="B127" s="46"/>
      <c r="C127" s="24" t="s">
        <v>159</v>
      </c>
      <c r="D127" s="47"/>
      <c r="E127" s="49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5">
        <f>SUM(E130:V130)</f>
        <v>4</v>
      </c>
    </row>
    <row r="128" spans="1:23" x14ac:dyDescent="0.4">
      <c r="A128" s="6" t="s">
        <v>26</v>
      </c>
      <c r="B128" s="64" t="s">
        <v>51</v>
      </c>
      <c r="C128" s="65"/>
      <c r="D128" s="66"/>
      <c r="E128" s="5">
        <f>SUM(E121:E127)</f>
        <v>2</v>
      </c>
      <c r="F128" s="5">
        <f>SUM(F121:F127)</f>
        <v>17</v>
      </c>
      <c r="G128" s="5">
        <f>SUM(G121:G127)</f>
        <v>3</v>
      </c>
      <c r="H128" s="5">
        <f>SUM(H121:H127)</f>
        <v>0</v>
      </c>
      <c r="I128" s="5">
        <f>SUM(I121:I127)</f>
        <v>7</v>
      </c>
      <c r="J128" s="5">
        <f>SUM(J121:J127)</f>
        <v>7</v>
      </c>
      <c r="K128" s="5">
        <f>SUM(K121:K127)</f>
        <v>21</v>
      </c>
      <c r="L128" s="5">
        <f>SUM(L121:L127)</f>
        <v>6</v>
      </c>
      <c r="M128" s="5">
        <f>SUM(M121:M127)</f>
        <v>0</v>
      </c>
      <c r="N128" s="5">
        <f>SUM(N121:N127)</f>
        <v>1</v>
      </c>
      <c r="O128" s="5">
        <f>SUM(O121:O127)</f>
        <v>1</v>
      </c>
      <c r="P128" s="5">
        <f>SUM(P121:P127)</f>
        <v>0</v>
      </c>
      <c r="Q128" s="5">
        <f>SUM(Q121:Q127)</f>
        <v>1</v>
      </c>
      <c r="R128" s="5">
        <f>SUM(R121:R127)</f>
        <v>0</v>
      </c>
      <c r="S128" s="5">
        <f>SUM(S121:S127)</f>
        <v>0</v>
      </c>
      <c r="T128" s="5">
        <f>SUM(T121:T127)</f>
        <v>3</v>
      </c>
      <c r="U128" s="5">
        <f>SUM(U121:U127)</f>
        <v>0</v>
      </c>
      <c r="V128" s="5">
        <f>SUM(V121:V127)</f>
        <v>0</v>
      </c>
      <c r="W128" s="5">
        <f>SUM(W121:W127)</f>
        <v>136</v>
      </c>
    </row>
    <row r="129" spans="1:23" x14ac:dyDescent="0.4">
      <c r="A129" s="61"/>
      <c r="B129" s="62"/>
      <c r="C129" s="62"/>
      <c r="D129" s="62"/>
      <c r="E129" s="63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spans="1:23" ht="13.15" customHeight="1" x14ac:dyDescent="0.4">
      <c r="A130" s="11" t="s">
        <v>48</v>
      </c>
      <c r="B130" s="17" t="s">
        <v>67</v>
      </c>
      <c r="C130" s="59" t="s">
        <v>68</v>
      </c>
      <c r="D130" s="60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1</v>
      </c>
      <c r="K130" s="6">
        <v>1</v>
      </c>
      <c r="L130" s="6">
        <v>2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5">
        <f t="shared" ref="W130" si="39">SUM(E130:V130)</f>
        <v>4</v>
      </c>
    </row>
    <row r="131" spans="1:23" x14ac:dyDescent="0.4">
      <c r="A131" s="6" t="s">
        <v>26</v>
      </c>
      <c r="B131" s="53" t="s">
        <v>51</v>
      </c>
      <c r="C131" s="54"/>
      <c r="D131" s="55"/>
      <c r="E131" s="5">
        <f>SUM(E130:E130)</f>
        <v>0</v>
      </c>
      <c r="F131" s="5">
        <f>SUM(F130:F130)</f>
        <v>0</v>
      </c>
      <c r="G131" s="5">
        <f>SUM(G130:G130)</f>
        <v>0</v>
      </c>
      <c r="H131" s="5">
        <f>SUM(H130:H130)</f>
        <v>0</v>
      </c>
      <c r="I131" s="5">
        <f>SUM(I130:I130)</f>
        <v>0</v>
      </c>
      <c r="J131" s="5">
        <f>SUM(J130:J130)</f>
        <v>1</v>
      </c>
      <c r="K131" s="5">
        <f>SUM(K130:K130)</f>
        <v>1</v>
      </c>
      <c r="L131" s="5">
        <f>SUM(L130:L130)</f>
        <v>2</v>
      </c>
      <c r="M131" s="5">
        <f>SUM(M130:M130)</f>
        <v>0</v>
      </c>
      <c r="N131" s="5">
        <f>SUM(N130:N130)</f>
        <v>0</v>
      </c>
      <c r="O131" s="5">
        <f>SUM(O130:O130)</f>
        <v>0</v>
      </c>
      <c r="P131" s="5">
        <f>SUM(P130:P130)</f>
        <v>0</v>
      </c>
      <c r="Q131" s="5">
        <f>SUM(Q130:Q130)</f>
        <v>0</v>
      </c>
      <c r="R131" s="5">
        <f>SUM(R130:R130)</f>
        <v>0</v>
      </c>
      <c r="S131" s="5">
        <f>SUM(S130:S130)</f>
        <v>0</v>
      </c>
      <c r="T131" s="5">
        <f>SUM(T130:T130)</f>
        <v>0</v>
      </c>
      <c r="U131" s="5">
        <f>SUM(U130:U130)</f>
        <v>0</v>
      </c>
      <c r="V131" s="5">
        <f>SUM(V130:V130)</f>
        <v>0</v>
      </c>
      <c r="W131" s="5">
        <f>SUM(W130:W130)</f>
        <v>4</v>
      </c>
    </row>
    <row r="132" spans="1:23" ht="13.15" customHeight="1" x14ac:dyDescent="0.4">
      <c r="A132" s="61"/>
      <c r="B132" s="62"/>
      <c r="C132" s="62"/>
      <c r="D132" s="62"/>
      <c r="E132" s="63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 spans="1:23" x14ac:dyDescent="0.4">
      <c r="A133" s="11" t="s">
        <v>48</v>
      </c>
      <c r="B133" s="17" t="s">
        <v>69</v>
      </c>
      <c r="C133" s="59" t="s">
        <v>70</v>
      </c>
      <c r="D133" s="60"/>
      <c r="E133" s="6">
        <v>0</v>
      </c>
      <c r="F133" s="6">
        <v>1</v>
      </c>
      <c r="G133" s="6">
        <v>0</v>
      </c>
      <c r="H133" s="6">
        <v>0</v>
      </c>
      <c r="I133" s="6">
        <v>0</v>
      </c>
      <c r="J133" s="6">
        <v>0</v>
      </c>
      <c r="K133" s="6">
        <v>1</v>
      </c>
      <c r="L133" s="6">
        <v>0</v>
      </c>
      <c r="M133" s="6">
        <v>1</v>
      </c>
      <c r="N133" s="6">
        <v>2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5">
        <f t="shared" ref="W133:W139" si="40">SUM(E133:V133)</f>
        <v>5</v>
      </c>
    </row>
    <row r="134" spans="1:23" x14ac:dyDescent="0.4">
      <c r="A134" s="11" t="s">
        <v>50</v>
      </c>
      <c r="B134" s="46"/>
      <c r="C134" s="24" t="s">
        <v>160</v>
      </c>
      <c r="D134" s="47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1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5">
        <f t="shared" si="40"/>
        <v>1</v>
      </c>
    </row>
    <row r="135" spans="1:23" x14ac:dyDescent="0.4">
      <c r="A135" s="7"/>
      <c r="B135" s="46"/>
      <c r="C135" s="24" t="s">
        <v>161</v>
      </c>
      <c r="D135" s="47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12</v>
      </c>
      <c r="L135" s="6">
        <v>0</v>
      </c>
      <c r="M135" s="6">
        <v>0</v>
      </c>
      <c r="N135" s="6">
        <v>0</v>
      </c>
      <c r="O135" s="6">
        <v>0</v>
      </c>
      <c r="P135" s="6">
        <v>1</v>
      </c>
      <c r="Q135" s="6">
        <v>1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5">
        <f t="shared" si="40"/>
        <v>14</v>
      </c>
    </row>
    <row r="136" spans="1:23" x14ac:dyDescent="0.4">
      <c r="A136" s="7"/>
      <c r="B136" s="46"/>
      <c r="C136" s="24" t="s">
        <v>162</v>
      </c>
      <c r="D136" s="47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1</v>
      </c>
      <c r="K136" s="6">
        <v>0</v>
      </c>
      <c r="L136" s="6">
        <v>1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5">
        <f t="shared" si="40"/>
        <v>2</v>
      </c>
    </row>
    <row r="137" spans="1:23" x14ac:dyDescent="0.4">
      <c r="A137" s="7"/>
      <c r="B137" s="46"/>
      <c r="C137" s="24" t="s">
        <v>163</v>
      </c>
      <c r="D137" s="47"/>
      <c r="E137" s="6">
        <v>0</v>
      </c>
      <c r="F137" s="6">
        <v>0</v>
      </c>
      <c r="G137" s="6">
        <v>0</v>
      </c>
      <c r="H137" s="6">
        <v>1</v>
      </c>
      <c r="I137" s="6">
        <v>0</v>
      </c>
      <c r="J137" s="6">
        <v>0</v>
      </c>
      <c r="K137" s="6">
        <v>1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5">
        <f t="shared" si="40"/>
        <v>2</v>
      </c>
    </row>
    <row r="138" spans="1:23" x14ac:dyDescent="0.4">
      <c r="A138" s="7"/>
      <c r="B138" s="46"/>
      <c r="C138" s="24" t="s">
        <v>164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1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5">
        <f t="shared" si="40"/>
        <v>1</v>
      </c>
    </row>
    <row r="139" spans="1:23" x14ac:dyDescent="0.4">
      <c r="A139" s="7"/>
      <c r="B139" s="46"/>
      <c r="C139" s="24" t="s">
        <v>165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5">
        <f t="shared" si="40"/>
        <v>0</v>
      </c>
    </row>
    <row r="140" spans="1:23" ht="13.15" customHeight="1" x14ac:dyDescent="0.4">
      <c r="A140" s="6" t="s">
        <v>26</v>
      </c>
      <c r="B140" s="53" t="s">
        <v>51</v>
      </c>
      <c r="C140" s="54"/>
      <c r="D140" s="55"/>
      <c r="E140" s="5">
        <f>SUM(E133:E139)</f>
        <v>0</v>
      </c>
      <c r="F140" s="5">
        <f>SUM(F133:F139)</f>
        <v>1</v>
      </c>
      <c r="G140" s="5">
        <f>SUM(G133:G139)</f>
        <v>0</v>
      </c>
      <c r="H140" s="5">
        <f>SUM(H133:H139)</f>
        <v>1</v>
      </c>
      <c r="I140" s="5">
        <f>SUM(I133:I139)</f>
        <v>0</v>
      </c>
      <c r="J140" s="5">
        <f>SUM(J133:J139)</f>
        <v>1</v>
      </c>
      <c r="K140" s="5">
        <f>SUM(K133:K139)</f>
        <v>15</v>
      </c>
      <c r="L140" s="5">
        <f>SUM(L133:L139)</f>
        <v>1</v>
      </c>
      <c r="M140" s="5">
        <f>SUM(M133:M139)</f>
        <v>2</v>
      </c>
      <c r="N140" s="5">
        <f>SUM(N133:N139)</f>
        <v>2</v>
      </c>
      <c r="O140" s="5">
        <f>SUM(O133:O139)</f>
        <v>0</v>
      </c>
      <c r="P140" s="5">
        <f>SUM(P133:P139)</f>
        <v>1</v>
      </c>
      <c r="Q140" s="5">
        <f>SUM(Q133:Q139)</f>
        <v>1</v>
      </c>
      <c r="R140" s="5">
        <f>SUM(R133:R139)</f>
        <v>0</v>
      </c>
      <c r="S140" s="5">
        <f>SUM(S133:S139)</f>
        <v>0</v>
      </c>
      <c r="T140" s="5">
        <f>SUM(T133:T139)</f>
        <v>0</v>
      </c>
      <c r="U140" s="5">
        <f>SUM(U133:U139)</f>
        <v>0</v>
      </c>
      <c r="V140" s="5">
        <f>SUM(V133:V139)</f>
        <v>0</v>
      </c>
      <c r="W140" s="5">
        <f>SUM(W133:W139)</f>
        <v>25</v>
      </c>
    </row>
    <row r="141" spans="1:23" x14ac:dyDescent="0.4">
      <c r="A141" s="61"/>
      <c r="B141" s="62"/>
      <c r="C141" s="62"/>
      <c r="D141" s="62"/>
      <c r="E141" s="63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5"/>
    </row>
    <row r="142" spans="1:23" x14ac:dyDescent="0.4">
      <c r="A142" s="11" t="s">
        <v>48</v>
      </c>
      <c r="B142" s="17" t="s">
        <v>71</v>
      </c>
      <c r="C142" s="59" t="s">
        <v>72</v>
      </c>
      <c r="D142" s="6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5">
        <f t="shared" ref="W142:W148" si="41">SUM(E142:V142)</f>
        <v>0</v>
      </c>
    </row>
    <row r="143" spans="1:23" x14ac:dyDescent="0.4">
      <c r="A143" s="11" t="s">
        <v>50</v>
      </c>
      <c r="B143" s="46"/>
      <c r="C143" s="24" t="s">
        <v>166</v>
      </c>
      <c r="D143" s="47"/>
      <c r="E143" s="6">
        <v>0</v>
      </c>
      <c r="F143" s="6">
        <v>1</v>
      </c>
      <c r="G143" s="6">
        <v>0</v>
      </c>
      <c r="H143" s="6">
        <v>0</v>
      </c>
      <c r="I143" s="6">
        <v>0</v>
      </c>
      <c r="J143" s="6">
        <v>1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1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5">
        <f t="shared" si="41"/>
        <v>3</v>
      </c>
    </row>
    <row r="144" spans="1:23" x14ac:dyDescent="0.4">
      <c r="A144" s="7"/>
      <c r="B144" s="46"/>
      <c r="C144" s="24" t="s">
        <v>167</v>
      </c>
      <c r="D144" s="47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1</v>
      </c>
      <c r="K144" s="6">
        <v>0</v>
      </c>
      <c r="L144" s="6">
        <v>0</v>
      </c>
      <c r="M144" s="6">
        <v>0</v>
      </c>
      <c r="N144" s="6">
        <v>0</v>
      </c>
      <c r="O144" s="6">
        <v>1</v>
      </c>
      <c r="P144" s="6">
        <v>1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5">
        <f t="shared" si="41"/>
        <v>3</v>
      </c>
    </row>
    <row r="145" spans="1:23" x14ac:dyDescent="0.4">
      <c r="A145" s="7"/>
      <c r="B145" s="46"/>
      <c r="C145" s="24" t="s">
        <v>168</v>
      </c>
      <c r="D145" s="47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5">
        <f t="shared" si="41"/>
        <v>0</v>
      </c>
    </row>
    <row r="146" spans="1:23" x14ac:dyDescent="0.4">
      <c r="A146" s="7"/>
      <c r="B146" s="46"/>
      <c r="C146" s="24" t="s">
        <v>169</v>
      </c>
      <c r="D146" s="47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5">
        <f t="shared" si="41"/>
        <v>0</v>
      </c>
    </row>
    <row r="147" spans="1:23" x14ac:dyDescent="0.4">
      <c r="A147" s="7"/>
      <c r="B147" s="46"/>
      <c r="C147" s="24" t="s">
        <v>170</v>
      </c>
      <c r="D147" s="47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5">
        <f t="shared" si="41"/>
        <v>0</v>
      </c>
    </row>
    <row r="148" spans="1:23" x14ac:dyDescent="0.4">
      <c r="A148" s="7"/>
      <c r="B148" s="46"/>
      <c r="C148" s="24" t="s">
        <v>171</v>
      </c>
      <c r="D148" s="47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5">
        <f t="shared" si="41"/>
        <v>0</v>
      </c>
    </row>
    <row r="149" spans="1:23" x14ac:dyDescent="0.4">
      <c r="A149" s="6" t="s">
        <v>26</v>
      </c>
      <c r="B149" s="53" t="s">
        <v>51</v>
      </c>
      <c r="C149" s="54"/>
      <c r="D149" s="55"/>
      <c r="E149" s="5">
        <f>SUM(E142:E148)</f>
        <v>0</v>
      </c>
      <c r="F149" s="5">
        <f>SUM(F142:F148)</f>
        <v>1</v>
      </c>
      <c r="G149" s="5">
        <f>SUM(G142:G148)</f>
        <v>0</v>
      </c>
      <c r="H149" s="5">
        <f>SUM(H142:H148)</f>
        <v>0</v>
      </c>
      <c r="I149" s="5">
        <f>SUM(I142:I148)</f>
        <v>0</v>
      </c>
      <c r="J149" s="5">
        <f>SUM(J142:J148)</f>
        <v>2</v>
      </c>
      <c r="K149" s="5">
        <f>SUM(K142:K148)</f>
        <v>0</v>
      </c>
      <c r="L149" s="5">
        <f>SUM(L142:L148)</f>
        <v>0</v>
      </c>
      <c r="M149" s="5">
        <f>SUM(M142:M148)</f>
        <v>0</v>
      </c>
      <c r="N149" s="5">
        <f>SUM(N142:N148)</f>
        <v>0</v>
      </c>
      <c r="O149" s="5">
        <f>SUM(O142:O148)</f>
        <v>1</v>
      </c>
      <c r="P149" s="5">
        <f>SUM(P142:P148)</f>
        <v>2</v>
      </c>
      <c r="Q149" s="5">
        <f>SUM(Q142:Q148)</f>
        <v>0</v>
      </c>
      <c r="R149" s="5">
        <f>SUM(R142:R148)</f>
        <v>0</v>
      </c>
      <c r="S149" s="5">
        <f>SUM(S142:S148)</f>
        <v>0</v>
      </c>
      <c r="T149" s="5">
        <f>SUM(T142:T148)</f>
        <v>0</v>
      </c>
      <c r="U149" s="5">
        <f>SUM(U142:U148)</f>
        <v>0</v>
      </c>
      <c r="V149" s="5">
        <f>SUM(V142:V148)</f>
        <v>0</v>
      </c>
      <c r="W149" s="5">
        <f>SUM(W142:W148)</f>
        <v>6</v>
      </c>
    </row>
    <row r="150" spans="1:23" x14ac:dyDescent="0.4">
      <c r="A150" s="61"/>
      <c r="B150" s="62"/>
      <c r="C150" s="62"/>
      <c r="D150" s="62"/>
      <c r="E150" s="63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</row>
    <row r="151" spans="1:23" x14ac:dyDescent="0.4">
      <c r="A151" s="11" t="s">
        <v>48</v>
      </c>
      <c r="B151" s="17" t="s">
        <v>73</v>
      </c>
      <c r="C151" s="59" t="s">
        <v>74</v>
      </c>
      <c r="D151" s="60"/>
      <c r="E151" s="6">
        <v>0</v>
      </c>
      <c r="F151" s="6">
        <v>3</v>
      </c>
      <c r="G151" s="6">
        <v>3</v>
      </c>
      <c r="H151" s="6">
        <v>0</v>
      </c>
      <c r="I151" s="6">
        <v>1</v>
      </c>
      <c r="J151" s="6">
        <v>3</v>
      </c>
      <c r="K151" s="6">
        <v>1</v>
      </c>
      <c r="L151" s="6">
        <v>2</v>
      </c>
      <c r="M151" s="6">
        <v>1</v>
      </c>
      <c r="N151" s="6">
        <v>7</v>
      </c>
      <c r="O151" s="6">
        <v>4</v>
      </c>
      <c r="P151" s="6">
        <v>8</v>
      </c>
      <c r="Q151" s="6">
        <v>2</v>
      </c>
      <c r="R151" s="6">
        <v>3</v>
      </c>
      <c r="S151" s="6">
        <v>3</v>
      </c>
      <c r="T151" s="6">
        <v>2</v>
      </c>
      <c r="U151" s="6">
        <v>2</v>
      </c>
      <c r="V151" s="6">
        <v>0</v>
      </c>
      <c r="W151" s="5">
        <f t="shared" ref="W151:W157" si="42">SUM(E151:V151)</f>
        <v>45</v>
      </c>
    </row>
    <row r="152" spans="1:23" x14ac:dyDescent="0.4">
      <c r="A152" s="11" t="s">
        <v>50</v>
      </c>
      <c r="B152" s="46"/>
      <c r="C152" s="24" t="s">
        <v>172</v>
      </c>
      <c r="D152" s="47"/>
      <c r="E152" s="6">
        <v>2</v>
      </c>
      <c r="F152" s="6">
        <v>1</v>
      </c>
      <c r="G152" s="6">
        <v>1</v>
      </c>
      <c r="H152" s="6">
        <v>1</v>
      </c>
      <c r="I152" s="6">
        <v>0</v>
      </c>
      <c r="J152" s="6">
        <v>1</v>
      </c>
      <c r="K152" s="6">
        <v>1</v>
      </c>
      <c r="L152" s="6">
        <v>0</v>
      </c>
      <c r="M152" s="6">
        <v>0</v>
      </c>
      <c r="N152" s="6">
        <v>2</v>
      </c>
      <c r="O152" s="6">
        <v>2</v>
      </c>
      <c r="P152" s="6">
        <v>5</v>
      </c>
      <c r="Q152" s="6">
        <v>1</v>
      </c>
      <c r="R152" s="6">
        <v>2</v>
      </c>
      <c r="S152" s="6">
        <v>1</v>
      </c>
      <c r="T152" s="6">
        <v>2</v>
      </c>
      <c r="U152" s="6">
        <v>0</v>
      </c>
      <c r="V152" s="6">
        <v>0</v>
      </c>
      <c r="W152" s="5">
        <f t="shared" si="42"/>
        <v>22</v>
      </c>
    </row>
    <row r="153" spans="1:23" x14ac:dyDescent="0.4">
      <c r="A153" s="7"/>
      <c r="B153" s="46"/>
      <c r="C153" s="24" t="s">
        <v>173</v>
      </c>
      <c r="D153" s="47"/>
      <c r="E153" s="6">
        <v>13</v>
      </c>
      <c r="F153" s="6">
        <v>12</v>
      </c>
      <c r="G153" s="6">
        <v>37</v>
      </c>
      <c r="H153" s="6">
        <v>14</v>
      </c>
      <c r="I153" s="6">
        <v>8</v>
      </c>
      <c r="J153" s="6">
        <v>30</v>
      </c>
      <c r="K153" s="6">
        <v>10</v>
      </c>
      <c r="L153" s="6">
        <v>20</v>
      </c>
      <c r="M153" s="6">
        <v>39</v>
      </c>
      <c r="N153" s="6">
        <v>45</v>
      </c>
      <c r="O153" s="6">
        <v>37</v>
      </c>
      <c r="P153" s="6">
        <v>106</v>
      </c>
      <c r="Q153" s="6">
        <v>33</v>
      </c>
      <c r="R153" s="6">
        <v>37</v>
      </c>
      <c r="S153" s="6">
        <v>6</v>
      </c>
      <c r="T153" s="6">
        <v>10</v>
      </c>
      <c r="U153" s="6">
        <v>21</v>
      </c>
      <c r="V153" s="6">
        <v>4</v>
      </c>
      <c r="W153" s="5">
        <f t="shared" si="42"/>
        <v>482</v>
      </c>
    </row>
    <row r="154" spans="1:23" x14ac:dyDescent="0.4">
      <c r="A154" s="7"/>
      <c r="B154" s="46"/>
      <c r="C154" s="24" t="s">
        <v>174</v>
      </c>
      <c r="D154" s="47"/>
      <c r="E154" s="6">
        <v>1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1</v>
      </c>
      <c r="T154" s="6">
        <v>0</v>
      </c>
      <c r="U154" s="6">
        <v>0</v>
      </c>
      <c r="V154" s="6">
        <v>0</v>
      </c>
      <c r="W154" s="5">
        <f t="shared" si="42"/>
        <v>2</v>
      </c>
    </row>
    <row r="155" spans="1:23" x14ac:dyDescent="0.4">
      <c r="A155" s="7"/>
      <c r="B155" s="46"/>
      <c r="C155" s="24" t="s">
        <v>175</v>
      </c>
      <c r="D155" s="47"/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1</v>
      </c>
      <c r="K155" s="6">
        <v>0</v>
      </c>
      <c r="L155" s="6">
        <v>0</v>
      </c>
      <c r="M155" s="6">
        <v>0</v>
      </c>
      <c r="N155" s="6">
        <v>1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5">
        <f t="shared" si="42"/>
        <v>2</v>
      </c>
    </row>
    <row r="156" spans="1:23" x14ac:dyDescent="0.4">
      <c r="A156" s="7"/>
      <c r="B156" s="46"/>
      <c r="C156" s="24" t="s">
        <v>176</v>
      </c>
      <c r="D156" s="47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1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5">
        <f t="shared" si="42"/>
        <v>1</v>
      </c>
    </row>
    <row r="157" spans="1:23" ht="13.15" customHeight="1" x14ac:dyDescent="0.4">
      <c r="A157" s="7"/>
      <c r="B157" s="46"/>
      <c r="C157" s="24" t="s">
        <v>177</v>
      </c>
      <c r="D157" s="47"/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1</v>
      </c>
      <c r="K157" s="6">
        <v>1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5">
        <f t="shared" si="42"/>
        <v>2</v>
      </c>
    </row>
    <row r="158" spans="1:23" x14ac:dyDescent="0.4">
      <c r="A158" s="6" t="s">
        <v>26</v>
      </c>
      <c r="B158" s="53" t="s">
        <v>51</v>
      </c>
      <c r="C158" s="54"/>
      <c r="D158" s="55"/>
      <c r="E158" s="5">
        <f>SUM(E151:E157)</f>
        <v>16</v>
      </c>
      <c r="F158" s="5">
        <f>SUM(F151:F157)</f>
        <v>16</v>
      </c>
      <c r="G158" s="5">
        <f>SUM(G151:G157)</f>
        <v>41</v>
      </c>
      <c r="H158" s="5">
        <f>SUM(H151:H157)</f>
        <v>15</v>
      </c>
      <c r="I158" s="5">
        <f>SUM(I151:I157)</f>
        <v>9</v>
      </c>
      <c r="J158" s="5">
        <f>SUM(J151:J157)</f>
        <v>36</v>
      </c>
      <c r="K158" s="5">
        <f>SUM(K151:K157)</f>
        <v>13</v>
      </c>
      <c r="L158" s="5">
        <f>SUM(L151:L157)</f>
        <v>22</v>
      </c>
      <c r="M158" s="5">
        <f>SUM(M151:M157)</f>
        <v>40</v>
      </c>
      <c r="N158" s="5">
        <f>SUM(N151:N157)</f>
        <v>56</v>
      </c>
      <c r="O158" s="5">
        <f>SUM(O151:O157)</f>
        <v>43</v>
      </c>
      <c r="P158" s="5">
        <f>SUM(P151:P157)</f>
        <v>119</v>
      </c>
      <c r="Q158" s="5">
        <f>SUM(Q151:Q157)</f>
        <v>36</v>
      </c>
      <c r="R158" s="5">
        <f>SUM(R151:R157)</f>
        <v>42</v>
      </c>
      <c r="S158" s="5">
        <f>SUM(S151:S157)</f>
        <v>11</v>
      </c>
      <c r="T158" s="5">
        <f>SUM(T151:T157)</f>
        <v>14</v>
      </c>
      <c r="U158" s="5">
        <f>SUM(U151:U157)</f>
        <v>23</v>
      </c>
      <c r="V158" s="5">
        <f>SUM(V151:V157)</f>
        <v>4</v>
      </c>
      <c r="W158" s="5">
        <f>SUM(W151:W157)</f>
        <v>556</v>
      </c>
    </row>
    <row r="159" spans="1:23" x14ac:dyDescent="0.4">
      <c r="A159" s="61"/>
      <c r="B159" s="62"/>
      <c r="C159" s="62"/>
      <c r="D159" s="62"/>
      <c r="E159" s="63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</row>
    <row r="160" spans="1:23" x14ac:dyDescent="0.4">
      <c r="A160" s="11" t="s">
        <v>48</v>
      </c>
      <c r="B160" s="17" t="s">
        <v>75</v>
      </c>
      <c r="C160" s="59" t="s">
        <v>76</v>
      </c>
      <c r="D160" s="60"/>
      <c r="E160" s="6">
        <v>3</v>
      </c>
      <c r="F160" s="6">
        <v>0</v>
      </c>
      <c r="G160" s="6">
        <v>1</v>
      </c>
      <c r="H160" s="6">
        <v>0</v>
      </c>
      <c r="I160" s="6">
        <v>0</v>
      </c>
      <c r="J160" s="6">
        <v>0</v>
      </c>
      <c r="K160" s="6">
        <v>1</v>
      </c>
      <c r="L160" s="6">
        <v>1</v>
      </c>
      <c r="M160" s="6">
        <v>2</v>
      </c>
      <c r="N160" s="6">
        <v>1</v>
      </c>
      <c r="O160" s="6">
        <v>1</v>
      </c>
      <c r="P160" s="6">
        <v>1</v>
      </c>
      <c r="Q160" s="6">
        <v>1</v>
      </c>
      <c r="R160" s="6">
        <v>0</v>
      </c>
      <c r="S160" s="6">
        <v>3</v>
      </c>
      <c r="T160" s="6">
        <v>1</v>
      </c>
      <c r="U160" s="6">
        <v>1</v>
      </c>
      <c r="V160" s="6">
        <v>0</v>
      </c>
      <c r="W160" s="5">
        <f t="shared" ref="W160:W162" si="43">SUM(E160:V160)</f>
        <v>17</v>
      </c>
    </row>
    <row r="161" spans="1:23" x14ac:dyDescent="0.4">
      <c r="A161" s="11" t="s">
        <v>50</v>
      </c>
      <c r="B161" s="46"/>
      <c r="C161" s="24" t="s">
        <v>178</v>
      </c>
      <c r="D161" s="47"/>
      <c r="E161" s="6">
        <v>1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5</v>
      </c>
      <c r="N161" s="6">
        <v>0</v>
      </c>
      <c r="O161" s="6">
        <v>1</v>
      </c>
      <c r="P161" s="6">
        <v>1</v>
      </c>
      <c r="Q161" s="6">
        <v>3</v>
      </c>
      <c r="R161" s="6">
        <v>0</v>
      </c>
      <c r="S161" s="6">
        <v>0</v>
      </c>
      <c r="T161" s="6">
        <v>0</v>
      </c>
      <c r="U161" s="6">
        <v>3</v>
      </c>
      <c r="V161" s="6">
        <v>0</v>
      </c>
      <c r="W161" s="5">
        <f t="shared" si="43"/>
        <v>14</v>
      </c>
    </row>
    <row r="162" spans="1:23" x14ac:dyDescent="0.4">
      <c r="A162" s="7"/>
      <c r="B162" s="46"/>
      <c r="C162" s="24" t="s">
        <v>179</v>
      </c>
      <c r="D162" s="47"/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1</v>
      </c>
      <c r="L162" s="6">
        <v>0</v>
      </c>
      <c r="M162" s="6">
        <v>1</v>
      </c>
      <c r="N162" s="6">
        <v>2</v>
      </c>
      <c r="O162" s="6">
        <v>1</v>
      </c>
      <c r="P162" s="6">
        <v>2</v>
      </c>
      <c r="Q162" s="6">
        <v>1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5">
        <f t="shared" si="43"/>
        <v>8</v>
      </c>
    </row>
    <row r="163" spans="1:23" x14ac:dyDescent="0.4">
      <c r="A163" s="6" t="s">
        <v>26</v>
      </c>
      <c r="B163" s="53" t="s">
        <v>51</v>
      </c>
      <c r="C163" s="54"/>
      <c r="D163" s="55"/>
      <c r="E163" s="5">
        <f>SUM(E160:E162)</f>
        <v>4</v>
      </c>
      <c r="F163" s="5">
        <f>SUM(F160:F162)</f>
        <v>0</v>
      </c>
      <c r="G163" s="5">
        <f>SUM(G160:G162)</f>
        <v>1</v>
      </c>
      <c r="H163" s="5">
        <f>SUM(H160:H162)</f>
        <v>0</v>
      </c>
      <c r="I163" s="5">
        <f>SUM(I160:I162)</f>
        <v>0</v>
      </c>
      <c r="J163" s="5">
        <f>SUM(J160:J162)</f>
        <v>0</v>
      </c>
      <c r="K163" s="5">
        <f>SUM(K160:K162)</f>
        <v>2</v>
      </c>
      <c r="L163" s="5">
        <f>SUM(L160:L162)</f>
        <v>1</v>
      </c>
      <c r="M163" s="5">
        <f>SUM(M160:M162)</f>
        <v>8</v>
      </c>
      <c r="N163" s="5">
        <f>SUM(N160:N162)</f>
        <v>3</v>
      </c>
      <c r="O163" s="5">
        <f>SUM(O160:O162)</f>
        <v>3</v>
      </c>
      <c r="P163" s="5">
        <f>SUM(P160:P162)</f>
        <v>4</v>
      </c>
      <c r="Q163" s="5">
        <f>SUM(Q160:Q162)</f>
        <v>5</v>
      </c>
      <c r="R163" s="5">
        <f>SUM(R160:R162)</f>
        <v>0</v>
      </c>
      <c r="S163" s="5">
        <f>SUM(S160:S162)</f>
        <v>3</v>
      </c>
      <c r="T163" s="5">
        <f>SUM(T160:T162)</f>
        <v>1</v>
      </c>
      <c r="U163" s="5">
        <f>SUM(U160:U162)</f>
        <v>4</v>
      </c>
      <c r="V163" s="5">
        <f>SUM(V160:V162)</f>
        <v>0</v>
      </c>
      <c r="W163" s="5">
        <f>SUM(W160:W162)</f>
        <v>39</v>
      </c>
    </row>
    <row r="164" spans="1:23" x14ac:dyDescent="0.4">
      <c r="A164" s="61"/>
      <c r="B164" s="62"/>
      <c r="C164" s="62"/>
      <c r="D164" s="62"/>
      <c r="E164" s="6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</row>
    <row r="165" spans="1:23" x14ac:dyDescent="0.4">
      <c r="A165" s="11" t="s">
        <v>48</v>
      </c>
      <c r="B165" s="17" t="s">
        <v>77</v>
      </c>
      <c r="C165" s="59" t="s">
        <v>78</v>
      </c>
      <c r="D165" s="60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1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5">
        <f t="shared" ref="W165:W171" si="44">SUM(E165:V165)</f>
        <v>1</v>
      </c>
    </row>
    <row r="166" spans="1:23" x14ac:dyDescent="0.4">
      <c r="A166" s="11" t="s">
        <v>50</v>
      </c>
      <c r="B166" s="17"/>
      <c r="C166" s="24" t="s">
        <v>180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1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5">
        <f t="shared" si="44"/>
        <v>1</v>
      </c>
    </row>
    <row r="167" spans="1:23" x14ac:dyDescent="0.4">
      <c r="A167" s="7"/>
      <c r="B167" s="17"/>
      <c r="C167" s="24" t="s">
        <v>181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5">
        <f t="shared" si="44"/>
        <v>0</v>
      </c>
    </row>
    <row r="168" spans="1:23" x14ac:dyDescent="0.4">
      <c r="A168" s="7"/>
      <c r="B168" s="17"/>
      <c r="C168" s="24" t="s">
        <v>182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5">
        <f t="shared" si="44"/>
        <v>0</v>
      </c>
    </row>
    <row r="169" spans="1:23" ht="13.15" customHeight="1" x14ac:dyDescent="0.4">
      <c r="A169" s="7"/>
      <c r="B169" s="46"/>
      <c r="C169" s="24" t="s">
        <v>183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5">
        <f t="shared" si="44"/>
        <v>0</v>
      </c>
    </row>
    <row r="170" spans="1:23" x14ac:dyDescent="0.4">
      <c r="A170" s="7"/>
      <c r="B170" s="46"/>
      <c r="C170" s="24" t="s">
        <v>184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2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5">
        <f t="shared" si="44"/>
        <v>2</v>
      </c>
    </row>
    <row r="171" spans="1:23" x14ac:dyDescent="0.4">
      <c r="A171" s="7"/>
      <c r="B171" s="46"/>
      <c r="C171" s="24" t="s">
        <v>185</v>
      </c>
      <c r="D171" s="47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5">
        <f t="shared" si="44"/>
        <v>0</v>
      </c>
    </row>
    <row r="172" spans="1:23" x14ac:dyDescent="0.4">
      <c r="A172" s="6" t="s">
        <v>26</v>
      </c>
      <c r="B172" s="53" t="s">
        <v>51</v>
      </c>
      <c r="C172" s="54"/>
      <c r="D172" s="55"/>
      <c r="E172" s="5">
        <f>SUM(E165:E171)</f>
        <v>0</v>
      </c>
      <c r="F172" s="5">
        <f>SUM(F165:F171)</f>
        <v>0</v>
      </c>
      <c r="G172" s="5">
        <f>SUM(G165:G171)</f>
        <v>0</v>
      </c>
      <c r="H172" s="5">
        <f>SUM(H165:H171)</f>
        <v>0</v>
      </c>
      <c r="I172" s="5">
        <f>SUM(I165:I171)</f>
        <v>0</v>
      </c>
      <c r="J172" s="5">
        <f>SUM(J165:J171)</f>
        <v>0</v>
      </c>
      <c r="K172" s="5">
        <f>SUM(K165:K171)</f>
        <v>2</v>
      </c>
      <c r="L172" s="5">
        <f>SUM(L165:L171)</f>
        <v>2</v>
      </c>
      <c r="M172" s="5">
        <f>SUM(M165:M171)</f>
        <v>0</v>
      </c>
      <c r="N172" s="5">
        <f>SUM(N165:N171)</f>
        <v>0</v>
      </c>
      <c r="O172" s="5">
        <f>SUM(O165:O171)</f>
        <v>0</v>
      </c>
      <c r="P172" s="5">
        <f>SUM(P165:P171)</f>
        <v>0</v>
      </c>
      <c r="Q172" s="5">
        <f>SUM(Q165:Q171)</f>
        <v>0</v>
      </c>
      <c r="R172" s="5">
        <f>SUM(R165:R171)</f>
        <v>0</v>
      </c>
      <c r="S172" s="5">
        <f>SUM(S165:S171)</f>
        <v>0</v>
      </c>
      <c r="T172" s="5">
        <f>SUM(T165:T171)</f>
        <v>0</v>
      </c>
      <c r="U172" s="5">
        <f>SUM(U165:U171)</f>
        <v>0</v>
      </c>
      <c r="V172" s="5">
        <f>SUM(V165:V171)</f>
        <v>0</v>
      </c>
      <c r="W172" s="5">
        <f>SUM(W165:W171)</f>
        <v>4</v>
      </c>
    </row>
    <row r="173" spans="1:23" x14ac:dyDescent="0.4">
      <c r="A173" s="61"/>
      <c r="B173" s="62"/>
      <c r="C173" s="62"/>
      <c r="D173" s="62"/>
      <c r="E173" s="63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</row>
    <row r="174" spans="1:23" x14ac:dyDescent="0.4">
      <c r="A174" s="11" t="s">
        <v>48</v>
      </c>
      <c r="B174" s="17" t="s">
        <v>79</v>
      </c>
      <c r="C174" s="59" t="s">
        <v>80</v>
      </c>
      <c r="D174" s="60"/>
      <c r="E174" s="6">
        <v>3</v>
      </c>
      <c r="F174" s="6">
        <v>0</v>
      </c>
      <c r="G174" s="6">
        <v>1</v>
      </c>
      <c r="H174" s="6">
        <v>0</v>
      </c>
      <c r="I174" s="6">
        <v>1</v>
      </c>
      <c r="J174" s="6">
        <v>0</v>
      </c>
      <c r="K174" s="6">
        <v>0</v>
      </c>
      <c r="L174" s="6">
        <v>1</v>
      </c>
      <c r="M174" s="6">
        <v>1</v>
      </c>
      <c r="N174" s="6">
        <v>2</v>
      </c>
      <c r="O174" s="6">
        <v>2</v>
      </c>
      <c r="P174" s="6">
        <v>0</v>
      </c>
      <c r="Q174" s="6">
        <v>2</v>
      </c>
      <c r="R174" s="6">
        <v>0</v>
      </c>
      <c r="S174" s="6">
        <v>0</v>
      </c>
      <c r="T174" s="6">
        <v>0</v>
      </c>
      <c r="U174" s="6">
        <v>1</v>
      </c>
      <c r="V174" s="6">
        <v>0</v>
      </c>
      <c r="W174" s="5">
        <f t="shared" ref="W174:W180" si="45">SUM(E174:V174)</f>
        <v>14</v>
      </c>
    </row>
    <row r="175" spans="1:23" x14ac:dyDescent="0.4">
      <c r="A175" s="11" t="s">
        <v>50</v>
      </c>
      <c r="B175" s="46"/>
      <c r="C175" s="24" t="s">
        <v>186</v>
      </c>
      <c r="D175" s="47"/>
      <c r="E175" s="6">
        <v>7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1</v>
      </c>
      <c r="M175" s="6">
        <v>0</v>
      </c>
      <c r="N175" s="6">
        <v>0</v>
      </c>
      <c r="O175" s="6">
        <v>1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5">
        <f t="shared" si="45"/>
        <v>9</v>
      </c>
    </row>
    <row r="176" spans="1:23" x14ac:dyDescent="0.4">
      <c r="A176" s="7"/>
      <c r="B176" s="46"/>
      <c r="C176" s="24" t="s">
        <v>187</v>
      </c>
      <c r="D176" s="47"/>
      <c r="E176" s="6">
        <v>3</v>
      </c>
      <c r="F176" s="6">
        <v>2</v>
      </c>
      <c r="G176" s="6">
        <v>0</v>
      </c>
      <c r="H176" s="6">
        <v>4</v>
      </c>
      <c r="I176" s="6">
        <v>2</v>
      </c>
      <c r="J176" s="6">
        <v>4</v>
      </c>
      <c r="K176" s="6">
        <v>3</v>
      </c>
      <c r="L176" s="6">
        <v>0</v>
      </c>
      <c r="M176" s="6">
        <v>2</v>
      </c>
      <c r="N176" s="6">
        <v>1</v>
      </c>
      <c r="O176" s="6">
        <v>1</v>
      </c>
      <c r="P176" s="6">
        <v>4</v>
      </c>
      <c r="Q176" s="6">
        <v>11</v>
      </c>
      <c r="R176" s="6">
        <v>0</v>
      </c>
      <c r="S176" s="6">
        <v>0</v>
      </c>
      <c r="T176" s="6">
        <v>1</v>
      </c>
      <c r="U176" s="6">
        <v>0</v>
      </c>
      <c r="V176" s="6">
        <v>0</v>
      </c>
      <c r="W176" s="5">
        <f t="shared" si="45"/>
        <v>38</v>
      </c>
    </row>
    <row r="177" spans="1:23" ht="13.15" customHeight="1" x14ac:dyDescent="0.4">
      <c r="A177" s="7"/>
      <c r="B177" s="46"/>
      <c r="C177" s="24" t="s">
        <v>188</v>
      </c>
      <c r="D177" s="47"/>
      <c r="E177" s="6">
        <v>0</v>
      </c>
      <c r="F177" s="6">
        <v>2</v>
      </c>
      <c r="G177" s="6">
        <v>0</v>
      </c>
      <c r="H177" s="6">
        <v>0</v>
      </c>
      <c r="I177" s="6">
        <v>1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5">
        <f t="shared" si="45"/>
        <v>3</v>
      </c>
    </row>
    <row r="178" spans="1:23" x14ac:dyDescent="0.4">
      <c r="A178" s="7"/>
      <c r="B178" s="46"/>
      <c r="C178" s="24" t="s">
        <v>189</v>
      </c>
      <c r="D178" s="47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5">
        <f t="shared" si="45"/>
        <v>0</v>
      </c>
    </row>
    <row r="179" spans="1:23" ht="12.75" customHeight="1" x14ac:dyDescent="0.4">
      <c r="A179" s="7"/>
      <c r="B179" s="46"/>
      <c r="C179" s="24" t="s">
        <v>190</v>
      </c>
      <c r="D179" s="47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5">
        <f t="shared" si="45"/>
        <v>0</v>
      </c>
    </row>
    <row r="180" spans="1:23" x14ac:dyDescent="0.4">
      <c r="A180" s="7"/>
      <c r="B180" s="46"/>
      <c r="C180" s="24" t="s">
        <v>191</v>
      </c>
      <c r="D180" s="47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5">
        <f t="shared" si="45"/>
        <v>0</v>
      </c>
    </row>
    <row r="181" spans="1:23" ht="12.75" customHeight="1" x14ac:dyDescent="0.4">
      <c r="A181" s="6" t="s">
        <v>26</v>
      </c>
      <c r="B181" s="53" t="s">
        <v>51</v>
      </c>
      <c r="C181" s="54"/>
      <c r="D181" s="55"/>
      <c r="E181" s="5">
        <f>SUM(E174:E180)</f>
        <v>13</v>
      </c>
      <c r="F181" s="5">
        <f>SUM(F174:F180)</f>
        <v>4</v>
      </c>
      <c r="G181" s="5">
        <f>SUM(G174:G180)</f>
        <v>1</v>
      </c>
      <c r="H181" s="5">
        <f>SUM(H174:H180)</f>
        <v>4</v>
      </c>
      <c r="I181" s="5">
        <f>SUM(I174:I180)</f>
        <v>4</v>
      </c>
      <c r="J181" s="5">
        <f>SUM(J174:J180)</f>
        <v>4</v>
      </c>
      <c r="K181" s="5">
        <f>SUM(K174:K180)</f>
        <v>3</v>
      </c>
      <c r="L181" s="5">
        <f>SUM(L174:L180)</f>
        <v>2</v>
      </c>
      <c r="M181" s="5">
        <f>SUM(M174:M180)</f>
        <v>3</v>
      </c>
      <c r="N181" s="5">
        <f>SUM(N174:N180)</f>
        <v>3</v>
      </c>
      <c r="O181" s="5">
        <f>SUM(O174:O180)</f>
        <v>4</v>
      </c>
      <c r="P181" s="5">
        <f>SUM(P174:P180)</f>
        <v>4</v>
      </c>
      <c r="Q181" s="5">
        <f>SUM(Q174:Q180)</f>
        <v>13</v>
      </c>
      <c r="R181" s="5">
        <f>SUM(R174:R180)</f>
        <v>0</v>
      </c>
      <c r="S181" s="5">
        <f>SUM(S174:S180)</f>
        <v>0</v>
      </c>
      <c r="T181" s="5">
        <f>SUM(T174:T180)</f>
        <v>1</v>
      </c>
      <c r="U181" s="5">
        <f>SUM(U174:U180)</f>
        <v>1</v>
      </c>
      <c r="V181" s="5">
        <f>SUM(V174:V180)</f>
        <v>0</v>
      </c>
      <c r="W181" s="5">
        <f>SUM(W174:W180)</f>
        <v>64</v>
      </c>
    </row>
    <row r="182" spans="1:23" x14ac:dyDescent="0.4">
      <c r="A182" s="61"/>
      <c r="B182" s="62"/>
      <c r="C182" s="62"/>
      <c r="D182" s="62"/>
      <c r="E182" s="63"/>
    </row>
    <row r="183" spans="1:23" x14ac:dyDescent="0.4">
      <c r="A183" s="11" t="s">
        <v>48</v>
      </c>
      <c r="B183" s="17" t="s">
        <v>81</v>
      </c>
      <c r="C183" s="59" t="s">
        <v>82</v>
      </c>
      <c r="D183" s="60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1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/>
      <c r="U183" s="6"/>
      <c r="V183" s="6">
        <v>1</v>
      </c>
      <c r="W183" s="5">
        <f t="shared" ref="W183:W184" si="46">SUM(E183:V183)</f>
        <v>2</v>
      </c>
    </row>
    <row r="184" spans="1:23" x14ac:dyDescent="0.4">
      <c r="A184" s="11" t="s">
        <v>50</v>
      </c>
      <c r="B184" s="46"/>
      <c r="C184" s="24" t="s">
        <v>192</v>
      </c>
      <c r="D184" s="47"/>
      <c r="E184" s="6">
        <v>2</v>
      </c>
      <c r="F184" s="6">
        <v>0</v>
      </c>
      <c r="G184" s="6">
        <v>1</v>
      </c>
      <c r="H184" s="6">
        <v>0</v>
      </c>
      <c r="I184" s="6">
        <v>0</v>
      </c>
      <c r="J184" s="6">
        <v>0</v>
      </c>
      <c r="K184" s="6">
        <v>2</v>
      </c>
      <c r="L184" s="6">
        <v>0</v>
      </c>
      <c r="M184" s="6">
        <v>0</v>
      </c>
      <c r="N184" s="6">
        <v>1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/>
      <c r="U184" s="6"/>
      <c r="V184" s="6"/>
      <c r="W184" s="5">
        <f t="shared" si="46"/>
        <v>6</v>
      </c>
    </row>
    <row r="185" spans="1:23" x14ac:dyDescent="0.4">
      <c r="A185" s="6" t="s">
        <v>26</v>
      </c>
      <c r="B185" s="53" t="s">
        <v>51</v>
      </c>
      <c r="C185" s="54"/>
      <c r="D185" s="55"/>
      <c r="E185" s="5">
        <f>SUM(E183:E184)</f>
        <v>2</v>
      </c>
      <c r="F185" s="5">
        <f>SUM(F183:F184)</f>
        <v>0</v>
      </c>
      <c r="G185" s="5">
        <f>SUM(G183:G184)</f>
        <v>1</v>
      </c>
      <c r="H185" s="5">
        <f>SUM(H183:H184)</f>
        <v>0</v>
      </c>
      <c r="I185" s="5">
        <f>SUM(I183:I184)</f>
        <v>0</v>
      </c>
      <c r="J185" s="5">
        <f>SUM(J183:J184)</f>
        <v>0</v>
      </c>
      <c r="K185" s="5">
        <f>SUM(K183:K184)</f>
        <v>2</v>
      </c>
      <c r="L185" s="5">
        <f>SUM(L183:L184)</f>
        <v>0</v>
      </c>
      <c r="M185" s="5">
        <f>SUM(M183:M184)</f>
        <v>1</v>
      </c>
      <c r="N185" s="5">
        <f>SUM(N183:N184)</f>
        <v>1</v>
      </c>
      <c r="O185" s="5">
        <f>SUM(O183:O184)</f>
        <v>0</v>
      </c>
      <c r="P185" s="5">
        <f>SUM(P183:P184)</f>
        <v>0</v>
      </c>
      <c r="Q185" s="5">
        <f>SUM(Q183:Q184)</f>
        <v>0</v>
      </c>
      <c r="R185" s="5">
        <f>SUM(R183:R184)</f>
        <v>0</v>
      </c>
      <c r="S185" s="5">
        <f>SUM(S183:S184)</f>
        <v>0</v>
      </c>
      <c r="T185" s="5">
        <f>SUM(T183:T184)</f>
        <v>0</v>
      </c>
      <c r="U185" s="5">
        <f>SUM(U183:U184)</f>
        <v>0</v>
      </c>
      <c r="V185" s="5">
        <f>SUM(V183:V184)</f>
        <v>1</v>
      </c>
      <c r="W185" s="5">
        <f>SUM(W183:W184)</f>
        <v>8</v>
      </c>
    </row>
    <row r="187" spans="1:23" x14ac:dyDescent="0.4">
      <c r="A187" s="16" t="s">
        <v>83</v>
      </c>
      <c r="B187" s="56" t="s">
        <v>84</v>
      </c>
      <c r="C187" s="57"/>
      <c r="D187" s="58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x14ac:dyDescent="0.4">
      <c r="A188" s="16"/>
      <c r="B188" s="19" t="s">
        <v>85</v>
      </c>
      <c r="C188" s="51" t="s">
        <v>86</v>
      </c>
      <c r="D188" s="52"/>
      <c r="E188" s="6">
        <f>E52+E61+E70+E79+E88+E92+E101+E110+E119+E128+E131+E140+E149+E158+E163+E172+E181+E185</f>
        <v>174</v>
      </c>
      <c r="F188" s="6">
        <f>F52+F61+F70+F79+F88+F92+F101+F110+F119+F128+F131+F140+F149+F158+F163+F172+F181+F185</f>
        <v>197</v>
      </c>
      <c r="G188" s="6">
        <f>G52+G61+G70+G79+G88+G92+G101+G110+G119+G128+G131+G140+G149+G158+G163+G172+G181+G185</f>
        <v>185</v>
      </c>
      <c r="H188" s="6">
        <f>H52+H61+H70+H79+H88+H92+H101+H110+H119+H128+H131+H140+H149+H158+H163+H172+H181+H185</f>
        <v>191</v>
      </c>
      <c r="I188" s="6">
        <f>I52+I61+I70+I79+I88+I92+I101+I110+I119+I128+I131+I140+I149+I158+I163+I172+I181+I185</f>
        <v>182</v>
      </c>
      <c r="J188" s="6">
        <f>J52+J61+J70+J79+J88+J92+J101+J110+J119+J128+J131+J140+J149+J158+J163+J172+J181+J185</f>
        <v>206</v>
      </c>
      <c r="K188" s="6">
        <f>K52+K61+K70+K79+K88+K92+K101+K110+K119+K128+K131+K140+K149+K158+K163+K172+K181+K185</f>
        <v>190</v>
      </c>
      <c r="L188" s="6">
        <f>L52+L61+L70+L79+L88+L92+L101+L110+L119+L128+L131+L140+L149+L158+L163+L172+L181+L185</f>
        <v>211</v>
      </c>
      <c r="M188" s="6">
        <f>M52+M61+M70+M79+M88+M92+M101+M110+M119+M128+M131+M140+M149+M158+M163+M172+M181+M185</f>
        <v>206</v>
      </c>
      <c r="N188" s="6">
        <f>N52+N61+N70+N79+N88+N92+N101+N110+N119+N128+N131+N140+N149+N158+N163+N172+N181+N185</f>
        <v>177</v>
      </c>
      <c r="O188" s="6">
        <f>O52+O61+O70+O79+O88+O92+O101+O110+O119+O128+O131+O140+O149+O158+O163+O172+O181+O185</f>
        <v>189</v>
      </c>
      <c r="P188" s="6">
        <f>P52+P61+P70+P79+P88+P92+P101+P110+P119+P128+P131+P140+P149+P158+P163+P172+P181+P185</f>
        <v>198</v>
      </c>
      <c r="Q188" s="6">
        <f>Q52+Q61+Q70+Q79+Q88+Q92+Q101+Q110+Q119+Q128+Q131+Q140+Q149+Q158+Q163+Q172+Q181+Q185</f>
        <v>179</v>
      </c>
      <c r="R188" s="6">
        <f>R52+R61+R70+R79+R88+R92+R101+R110+R119+R128+R131+R140+R149+R158+R163+R172+R181+R185</f>
        <v>215</v>
      </c>
      <c r="S188" s="6">
        <f>S52+S61+S70+S79+S88+S92+S101+S110+S119+S128+S131+S140+S149+S158+S163+S172+S181+S185</f>
        <v>199</v>
      </c>
      <c r="T188" s="6">
        <f>T52+T61+T70+T79+T88+T92+T101+T110+T119+T128+T131+T140+T149+T158+T163+T172+T181+T185</f>
        <v>115</v>
      </c>
      <c r="U188" s="6">
        <f>U52+U61+U70+U79+U88+U92+U101+U110+U119+U128+U131+U140+U149+U158+U163+U172+U181+U185</f>
        <v>181</v>
      </c>
      <c r="V188" s="6">
        <f>V52+V61+V70+V79+V88+V92+V101+V110+V119+V128+V131+V140+V149+V158+V163+V172+V181+V185</f>
        <v>128</v>
      </c>
      <c r="W188" s="5">
        <f>SUM(E188:V188)</f>
        <v>3323</v>
      </c>
    </row>
    <row r="189" spans="1:23" x14ac:dyDescent="0.4">
      <c r="A189" s="13"/>
      <c r="B189" s="19" t="s">
        <v>87</v>
      </c>
      <c r="C189" s="51" t="s">
        <v>88</v>
      </c>
      <c r="D189" s="52"/>
      <c r="E189" s="6">
        <v>14</v>
      </c>
      <c r="F189" s="6">
        <v>11</v>
      </c>
      <c r="G189" s="6">
        <v>13</v>
      </c>
      <c r="H189" s="6">
        <v>13</v>
      </c>
      <c r="I189" s="6">
        <v>17</v>
      </c>
      <c r="J189" s="6">
        <v>19</v>
      </c>
      <c r="K189" s="6">
        <v>11</v>
      </c>
      <c r="L189" s="6">
        <v>24</v>
      </c>
      <c r="M189" s="6">
        <v>8</v>
      </c>
      <c r="N189" s="6">
        <v>14</v>
      </c>
      <c r="O189" s="6">
        <v>13</v>
      </c>
      <c r="P189" s="6">
        <v>14</v>
      </c>
      <c r="Q189" s="6">
        <v>16</v>
      </c>
      <c r="R189" s="6">
        <v>7</v>
      </c>
      <c r="S189" s="6">
        <v>15</v>
      </c>
      <c r="T189" s="6">
        <v>9</v>
      </c>
      <c r="U189" s="6">
        <v>13</v>
      </c>
      <c r="V189" s="6">
        <v>2</v>
      </c>
      <c r="W189" s="5">
        <f>SUM(E189:V189)</f>
        <v>233</v>
      </c>
    </row>
    <row r="190" spans="1:23" x14ac:dyDescent="0.4">
      <c r="A190" s="14"/>
      <c r="B190" s="19" t="s">
        <v>89</v>
      </c>
      <c r="C190" s="51" t="s">
        <v>90</v>
      </c>
      <c r="D190" s="52"/>
      <c r="E190" s="5">
        <f>SUM(E188:E189)</f>
        <v>188</v>
      </c>
      <c r="F190" s="5">
        <f t="shared" ref="F190" si="47">SUM(F188:F189)</f>
        <v>208</v>
      </c>
      <c r="G190" s="5">
        <f t="shared" ref="G190:M190" si="48">SUM(G188:G189)</f>
        <v>198</v>
      </c>
      <c r="H190" s="5">
        <f t="shared" si="48"/>
        <v>204</v>
      </c>
      <c r="I190" s="5">
        <f t="shared" si="48"/>
        <v>199</v>
      </c>
      <c r="J190" s="5">
        <f t="shared" si="48"/>
        <v>225</v>
      </c>
      <c r="K190" s="5">
        <f t="shared" si="48"/>
        <v>201</v>
      </c>
      <c r="L190" s="5">
        <f t="shared" si="48"/>
        <v>235</v>
      </c>
      <c r="M190" s="5">
        <f t="shared" si="48"/>
        <v>214</v>
      </c>
      <c r="N190" s="5">
        <f t="shared" ref="N190:V190" si="49">SUM(N188:N189)</f>
        <v>191</v>
      </c>
      <c r="O190" s="5">
        <f t="shared" si="49"/>
        <v>202</v>
      </c>
      <c r="P190" s="5">
        <f t="shared" si="49"/>
        <v>212</v>
      </c>
      <c r="Q190" s="5">
        <f t="shared" si="49"/>
        <v>195</v>
      </c>
      <c r="R190" s="5">
        <f t="shared" si="49"/>
        <v>222</v>
      </c>
      <c r="S190" s="5">
        <f t="shared" si="49"/>
        <v>214</v>
      </c>
      <c r="T190" s="5">
        <f t="shared" ref="T190" si="50">SUM(T188:T189)</f>
        <v>124</v>
      </c>
      <c r="U190" s="5">
        <f t="shared" si="49"/>
        <v>194</v>
      </c>
      <c r="V190" s="5">
        <f t="shared" si="49"/>
        <v>130</v>
      </c>
      <c r="W190" s="5">
        <f>SUM(E190:V190)</f>
        <v>3556</v>
      </c>
    </row>
  </sheetData>
  <mergeCells count="87">
    <mergeCell ref="C190:D190"/>
    <mergeCell ref="A182:E182"/>
    <mergeCell ref="C183:D183"/>
    <mergeCell ref="B185:D185"/>
    <mergeCell ref="B187:D187"/>
    <mergeCell ref="C188:D188"/>
    <mergeCell ref="C189:D189"/>
    <mergeCell ref="B181:D181"/>
    <mergeCell ref="A150:E150"/>
    <mergeCell ref="C151:D151"/>
    <mergeCell ref="B158:D158"/>
    <mergeCell ref="A159:E159"/>
    <mergeCell ref="C160:D160"/>
    <mergeCell ref="B163:D163"/>
    <mergeCell ref="A164:E164"/>
    <mergeCell ref="C165:D165"/>
    <mergeCell ref="B172:D172"/>
    <mergeCell ref="A173:E173"/>
    <mergeCell ref="C174:D174"/>
    <mergeCell ref="B149:D149"/>
    <mergeCell ref="A120:E120"/>
    <mergeCell ref="C121:D121"/>
    <mergeCell ref="B128:D128"/>
    <mergeCell ref="A129:E129"/>
    <mergeCell ref="C130:D130"/>
    <mergeCell ref="B131:D131"/>
    <mergeCell ref="A132:E132"/>
    <mergeCell ref="C133:D133"/>
    <mergeCell ref="B140:D140"/>
    <mergeCell ref="A141:E141"/>
    <mergeCell ref="C142:D142"/>
    <mergeCell ref="B119:D119"/>
    <mergeCell ref="A89:E89"/>
    <mergeCell ref="C90:D90"/>
    <mergeCell ref="B92:D92"/>
    <mergeCell ref="A93:E93"/>
    <mergeCell ref="C94:D94"/>
    <mergeCell ref="B101:D101"/>
    <mergeCell ref="A102:E102"/>
    <mergeCell ref="C103:D103"/>
    <mergeCell ref="B110:D110"/>
    <mergeCell ref="A111:E111"/>
    <mergeCell ref="C112:D112"/>
    <mergeCell ref="C91:D91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E37:Q37"/>
    <mergeCell ref="B38:D38"/>
    <mergeCell ref="B39:C41"/>
    <mergeCell ref="A42:D42"/>
    <mergeCell ref="E42:Q42"/>
    <mergeCell ref="A31:D31"/>
    <mergeCell ref="B32:D32"/>
    <mergeCell ref="B33:D33"/>
    <mergeCell ref="B52:D52"/>
    <mergeCell ref="B35:D35"/>
    <mergeCell ref="B36:D36"/>
    <mergeCell ref="A37:D37"/>
    <mergeCell ref="B43:D43"/>
    <mergeCell ref="A44:D44"/>
    <mergeCell ref="C45:D45"/>
    <mergeCell ref="B34:D34"/>
    <mergeCell ref="A17:D17"/>
    <mergeCell ref="B12:D12"/>
    <mergeCell ref="E12:V12"/>
    <mergeCell ref="W12:W13"/>
    <mergeCell ref="B13:D13"/>
    <mergeCell ref="B14:C16"/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</mergeCells>
  <phoneticPr fontId="8" type="noConversion"/>
  <conditionalFormatting sqref="E14:V15">
    <cfRule type="containsBlanks" dxfId="201" priority="20">
      <formula>LEN(TRIM(E14))=0</formula>
    </cfRule>
  </conditionalFormatting>
  <conditionalFormatting sqref="E19:V20">
    <cfRule type="containsBlanks" dxfId="200" priority="23">
      <formula>LEN(TRIM(E19))=0</formula>
    </cfRule>
  </conditionalFormatting>
  <conditionalFormatting sqref="E22:V23 E25:V26 E33:V33 E35:V35 E39:V40">
    <cfRule type="containsBlanks" dxfId="199" priority="24">
      <formula>LEN(TRIM(E22))=0</formula>
    </cfRule>
  </conditionalFormatting>
  <conditionalFormatting sqref="E30:V30">
    <cfRule type="expression" dxfId="198" priority="25">
      <formula>E30&lt;&gt;E47</formula>
    </cfRule>
    <cfRule type="expression" dxfId="197" priority="26">
      <formula>E30&lt;&gt;E34</formula>
    </cfRule>
  </conditionalFormatting>
  <conditionalFormatting sqref="E45:V51">
    <cfRule type="containsBlanks" dxfId="196" priority="19">
      <formula>LEN(TRIM(E45))=0</formula>
    </cfRule>
  </conditionalFormatting>
  <conditionalFormatting sqref="E54:V60">
    <cfRule type="containsBlanks" dxfId="195" priority="18">
      <formula>LEN(TRIM(E54))=0</formula>
    </cfRule>
  </conditionalFormatting>
  <conditionalFormatting sqref="E63:V69">
    <cfRule type="containsBlanks" dxfId="194" priority="17">
      <formula>LEN(TRIM(E63))=0</formula>
    </cfRule>
  </conditionalFormatting>
  <conditionalFormatting sqref="E72:V78">
    <cfRule type="containsBlanks" dxfId="193" priority="16">
      <formula>LEN(TRIM(E72))=0</formula>
    </cfRule>
  </conditionalFormatting>
  <conditionalFormatting sqref="E81:V87">
    <cfRule type="containsBlanks" dxfId="192" priority="15">
      <formula>LEN(TRIM(E81))=0</formula>
    </cfRule>
  </conditionalFormatting>
  <conditionalFormatting sqref="E90:V91">
    <cfRule type="containsBlanks" dxfId="191" priority="14">
      <formula>LEN(TRIM(E90))=0</formula>
    </cfRule>
  </conditionalFormatting>
  <conditionalFormatting sqref="E94:V100">
    <cfRule type="containsBlanks" dxfId="190" priority="1">
      <formula>LEN(TRIM(E94))=0</formula>
    </cfRule>
  </conditionalFormatting>
  <conditionalFormatting sqref="E103:V109">
    <cfRule type="containsBlanks" dxfId="189" priority="13">
      <formula>LEN(TRIM(E103))=0</formula>
    </cfRule>
  </conditionalFormatting>
  <conditionalFormatting sqref="E112:V118">
    <cfRule type="containsBlanks" dxfId="188" priority="12">
      <formula>LEN(TRIM(E112))=0</formula>
    </cfRule>
  </conditionalFormatting>
  <conditionalFormatting sqref="E121:V127">
    <cfRule type="containsBlanks" dxfId="187" priority="3">
      <formula>LEN(TRIM(E121))=0</formula>
    </cfRule>
  </conditionalFormatting>
  <conditionalFormatting sqref="E130:V130">
    <cfRule type="containsBlanks" dxfId="186" priority="11">
      <formula>LEN(TRIM(E130))=0</formula>
    </cfRule>
  </conditionalFormatting>
  <conditionalFormatting sqref="E133:V139">
    <cfRule type="containsBlanks" dxfId="185" priority="10">
      <formula>LEN(TRIM(E133))=0</formula>
    </cfRule>
  </conditionalFormatting>
  <conditionalFormatting sqref="E142:V148">
    <cfRule type="containsBlanks" dxfId="184" priority="9">
      <formula>LEN(TRIM(E142))=0</formula>
    </cfRule>
  </conditionalFormatting>
  <conditionalFormatting sqref="E151:V157">
    <cfRule type="containsBlanks" dxfId="183" priority="8">
      <formula>LEN(TRIM(E151))=0</formula>
    </cfRule>
  </conditionalFormatting>
  <conditionalFormatting sqref="E160:V162">
    <cfRule type="containsBlanks" dxfId="182" priority="7">
      <formula>LEN(TRIM(E160))=0</formula>
    </cfRule>
  </conditionalFormatting>
  <conditionalFormatting sqref="E165:V171">
    <cfRule type="containsBlanks" dxfId="181" priority="6">
      <formula>LEN(TRIM(E165))=0</formula>
    </cfRule>
  </conditionalFormatting>
  <conditionalFormatting sqref="E174:V180">
    <cfRule type="containsBlanks" dxfId="180" priority="5">
      <formula>LEN(TRIM(E174))=0</formula>
    </cfRule>
  </conditionalFormatting>
  <conditionalFormatting sqref="E183:V184">
    <cfRule type="containsBlanks" dxfId="179" priority="4">
      <formula>LEN(TRIM(E183))=0</formula>
    </cfRule>
  </conditionalFormatting>
  <conditionalFormatting sqref="E188:V189">
    <cfRule type="containsBlanks" dxfId="178" priority="2">
      <formula>LEN(TRIM(E188))=0</formula>
    </cfRule>
  </conditionalFormatting>
  <conditionalFormatting sqref="E34:V34">
    <cfRule type="expression" dxfId="177" priority="137">
      <formula>E30&lt;&gt;E34</formula>
    </cfRule>
    <cfRule type="expression" dxfId="176" priority="138">
      <formula>E30=E34</formula>
    </cfRule>
    <cfRule type="expression" dxfId="175" priority="139">
      <formula>E34&lt;&gt;E30</formula>
    </cfRule>
    <cfRule type="expression" dxfId="174" priority="140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722-C187-41FF-B0C7-8E67ED7B078D}">
  <sheetPr>
    <tabColor rgb="FF92D050"/>
  </sheetPr>
  <dimension ref="A2:Z190"/>
  <sheetViews>
    <sheetView topLeftCell="D13" zoomScale="70" zoomScaleNormal="70" workbookViewId="0">
      <pane ySplit="1" topLeftCell="A179" activePane="bottomLeft" state="frozen"/>
      <selection activeCell="E14" sqref="E14"/>
      <selection pane="bottomLeft" activeCell="T189" sqref="T189:Y189"/>
    </sheetView>
  </sheetViews>
  <sheetFormatPr defaultRowHeight="13.15" x14ac:dyDescent="0.4"/>
  <cols>
    <col min="3" max="3" width="67.140625" bestFit="1" customWidth="1"/>
    <col min="4" max="4" width="5.85546875" bestFit="1" customWidth="1"/>
    <col min="26" max="26" width="13.28515625" customWidth="1"/>
  </cols>
  <sheetData>
    <row r="2" spans="1:26" x14ac:dyDescent="0.4">
      <c r="C2" s="43" t="s">
        <v>98</v>
      </c>
      <c r="D2" s="43" t="s">
        <v>105</v>
      </c>
    </row>
    <row r="3" spans="1:26" x14ac:dyDescent="0.4">
      <c r="C3" s="43" t="s">
        <v>99</v>
      </c>
      <c r="D3" s="43" t="s">
        <v>100</v>
      </c>
    </row>
    <row r="4" spans="1:26" x14ac:dyDescent="0.4">
      <c r="C4" s="43" t="s">
        <v>101</v>
      </c>
      <c r="D4" s="43" t="s">
        <v>102</v>
      </c>
    </row>
    <row r="5" spans="1:26" x14ac:dyDescent="0.4">
      <c r="C5" s="43"/>
      <c r="D5" s="43"/>
    </row>
    <row r="6" spans="1:26" x14ac:dyDescent="0.4">
      <c r="C6" s="43"/>
      <c r="D6" s="43"/>
    </row>
    <row r="7" spans="1:26" x14ac:dyDescent="0.4">
      <c r="C7" s="43"/>
      <c r="D7" s="43"/>
    </row>
    <row r="8" spans="1:26" x14ac:dyDescent="0.4">
      <c r="C8" s="43"/>
      <c r="D8" s="43"/>
    </row>
    <row r="9" spans="1:26" x14ac:dyDescent="0.4">
      <c r="C9" s="43" t="s">
        <v>103</v>
      </c>
      <c r="D9" s="43" t="s">
        <v>197</v>
      </c>
    </row>
    <row r="11" spans="1:26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R11" s="1"/>
      <c r="S11" s="1"/>
      <c r="T11" s="1"/>
      <c r="U11" s="3"/>
      <c r="Y11" s="1"/>
    </row>
    <row r="12" spans="1:26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2" t="s">
        <v>97</v>
      </c>
    </row>
    <row r="13" spans="1:26" x14ac:dyDescent="0.4">
      <c r="A13" s="6" t="s">
        <v>2</v>
      </c>
      <c r="B13" s="78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93"/>
    </row>
    <row r="14" spans="1:26" x14ac:dyDescent="0.4">
      <c r="A14" s="7"/>
      <c r="B14" s="81" t="s">
        <v>22</v>
      </c>
      <c r="C14" s="68"/>
      <c r="D14" s="6" t="s">
        <v>23</v>
      </c>
      <c r="E14" s="6">
        <v>127</v>
      </c>
      <c r="F14" s="6">
        <v>132</v>
      </c>
      <c r="G14" s="6">
        <v>138</v>
      </c>
      <c r="H14" s="6">
        <v>128</v>
      </c>
      <c r="I14" s="6">
        <v>130</v>
      </c>
      <c r="J14" s="6">
        <v>122</v>
      </c>
      <c r="K14" s="6">
        <v>140</v>
      </c>
      <c r="L14" s="6">
        <v>124</v>
      </c>
      <c r="M14" s="6">
        <v>135</v>
      </c>
      <c r="N14" s="6">
        <v>118</v>
      </c>
      <c r="O14" s="6">
        <v>144</v>
      </c>
      <c r="P14" s="6">
        <v>109</v>
      </c>
      <c r="Q14" s="6">
        <v>145</v>
      </c>
      <c r="R14" s="6">
        <v>127</v>
      </c>
      <c r="S14" s="6">
        <v>135</v>
      </c>
      <c r="T14" s="6">
        <v>138</v>
      </c>
      <c r="U14" s="6">
        <v>140</v>
      </c>
      <c r="V14" s="6">
        <v>138</v>
      </c>
      <c r="W14" s="6">
        <v>135</v>
      </c>
      <c r="X14" s="6">
        <v>132</v>
      </c>
      <c r="Y14" s="6">
        <v>115</v>
      </c>
      <c r="Z14" s="5">
        <f>SUM(E14:Y14)</f>
        <v>2752</v>
      </c>
    </row>
    <row r="15" spans="1:26" x14ac:dyDescent="0.4">
      <c r="A15" s="7"/>
      <c r="B15" s="82"/>
      <c r="C15" s="75"/>
      <c r="D15" s="6" t="s">
        <v>24</v>
      </c>
      <c r="E15" s="6">
        <v>142</v>
      </c>
      <c r="F15" s="6">
        <v>136</v>
      </c>
      <c r="G15" s="6">
        <v>150</v>
      </c>
      <c r="H15" s="6">
        <v>149</v>
      </c>
      <c r="I15" s="6">
        <v>140</v>
      </c>
      <c r="J15" s="6">
        <v>117</v>
      </c>
      <c r="K15" s="6">
        <v>150</v>
      </c>
      <c r="L15" s="6">
        <v>129</v>
      </c>
      <c r="M15" s="6">
        <v>152</v>
      </c>
      <c r="N15" s="6">
        <v>125</v>
      </c>
      <c r="O15" s="6">
        <v>143</v>
      </c>
      <c r="P15" s="6">
        <v>118</v>
      </c>
      <c r="Q15" s="6">
        <v>140</v>
      </c>
      <c r="R15" s="6">
        <v>121</v>
      </c>
      <c r="S15" s="6">
        <v>135</v>
      </c>
      <c r="T15" s="6">
        <v>145</v>
      </c>
      <c r="U15" s="6">
        <v>147</v>
      </c>
      <c r="V15" s="6">
        <v>137</v>
      </c>
      <c r="W15" s="6">
        <v>129</v>
      </c>
      <c r="X15" s="6">
        <v>149</v>
      </c>
      <c r="Y15" s="6">
        <v>101</v>
      </c>
      <c r="Z15" s="5">
        <f>SUM(E15:Y15)</f>
        <v>2855</v>
      </c>
    </row>
    <row r="16" spans="1:26" x14ac:dyDescent="0.4">
      <c r="A16" s="8"/>
      <c r="B16" s="80"/>
      <c r="C16" s="76"/>
      <c r="D16" s="5" t="s">
        <v>25</v>
      </c>
      <c r="E16" s="5">
        <f t="shared" ref="E16:Y16" si="0">SUM(E14:E15)</f>
        <v>269</v>
      </c>
      <c r="F16" s="5">
        <f t="shared" si="0"/>
        <v>268</v>
      </c>
      <c r="G16" s="5">
        <f t="shared" si="0"/>
        <v>288</v>
      </c>
      <c r="H16" s="5">
        <f t="shared" si="0"/>
        <v>277</v>
      </c>
      <c r="I16" s="5">
        <f t="shared" si="0"/>
        <v>270</v>
      </c>
      <c r="J16" s="5">
        <f t="shared" si="0"/>
        <v>239</v>
      </c>
      <c r="K16" s="5">
        <f t="shared" ref="K16:Q16" si="1">SUM(K14:K15)</f>
        <v>290</v>
      </c>
      <c r="L16" s="5">
        <f t="shared" si="1"/>
        <v>253</v>
      </c>
      <c r="M16" s="5">
        <f t="shared" si="1"/>
        <v>287</v>
      </c>
      <c r="N16" s="5">
        <f t="shared" si="1"/>
        <v>243</v>
      </c>
      <c r="O16" s="5">
        <f t="shared" si="1"/>
        <v>287</v>
      </c>
      <c r="P16" s="5">
        <f t="shared" si="1"/>
        <v>227</v>
      </c>
      <c r="Q16" s="5">
        <f t="shared" si="1"/>
        <v>285</v>
      </c>
      <c r="R16" s="5">
        <f t="shared" si="0"/>
        <v>248</v>
      </c>
      <c r="S16" s="5">
        <f t="shared" ref="S16:X16" si="2">SUM(S14:S15)</f>
        <v>270</v>
      </c>
      <c r="T16" s="5">
        <f t="shared" si="2"/>
        <v>283</v>
      </c>
      <c r="U16" s="5">
        <f t="shared" si="2"/>
        <v>287</v>
      </c>
      <c r="V16" s="5">
        <f t="shared" si="2"/>
        <v>275</v>
      </c>
      <c r="W16" s="5">
        <f t="shared" si="2"/>
        <v>264</v>
      </c>
      <c r="X16" s="5">
        <f t="shared" si="2"/>
        <v>281</v>
      </c>
      <c r="Y16" s="5">
        <f t="shared" si="0"/>
        <v>216</v>
      </c>
      <c r="Z16" s="5">
        <f>SUM(E16:Y16)</f>
        <v>5607</v>
      </c>
    </row>
    <row r="17" spans="1:26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6"/>
      <c r="S17" s="6"/>
      <c r="T17" s="6"/>
      <c r="U17" s="10"/>
      <c r="V17" s="10"/>
      <c r="W17" s="10"/>
      <c r="X17" s="10"/>
      <c r="Y17" s="6"/>
      <c r="Z17" s="28"/>
    </row>
    <row r="18" spans="1:26" x14ac:dyDescent="0.4">
      <c r="A18" s="11" t="s">
        <v>26</v>
      </c>
      <c r="B18" s="78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6"/>
      <c r="S18" s="6"/>
      <c r="T18" s="6"/>
      <c r="U18" s="10"/>
      <c r="V18" s="10"/>
      <c r="W18" s="10"/>
      <c r="X18" s="10"/>
      <c r="Y18" s="6"/>
      <c r="Z18" s="28"/>
    </row>
    <row r="19" spans="1:26" x14ac:dyDescent="0.4">
      <c r="A19" s="11"/>
      <c r="B19" s="83" t="s">
        <v>28</v>
      </c>
      <c r="C19" s="84" t="s">
        <v>29</v>
      </c>
      <c r="D19" s="6" t="s">
        <v>23</v>
      </c>
      <c r="E19" s="6">
        <v>103</v>
      </c>
      <c r="F19" s="6">
        <v>98</v>
      </c>
      <c r="G19" s="6">
        <v>122</v>
      </c>
      <c r="H19" s="6">
        <v>105</v>
      </c>
      <c r="I19" s="6">
        <v>96</v>
      </c>
      <c r="J19" s="6">
        <v>101</v>
      </c>
      <c r="K19" s="6">
        <v>118</v>
      </c>
      <c r="L19" s="6">
        <v>101</v>
      </c>
      <c r="M19" s="6">
        <v>105</v>
      </c>
      <c r="N19" s="6">
        <v>96</v>
      </c>
      <c r="O19" s="6">
        <v>119</v>
      </c>
      <c r="P19" s="6">
        <v>85</v>
      </c>
      <c r="Q19" s="6">
        <v>107</v>
      </c>
      <c r="R19" s="6">
        <v>102</v>
      </c>
      <c r="S19" s="6">
        <v>101</v>
      </c>
      <c r="T19" s="6">
        <v>111</v>
      </c>
      <c r="U19" s="6">
        <v>108</v>
      </c>
      <c r="V19" s="6">
        <v>103</v>
      </c>
      <c r="W19" s="6">
        <v>102</v>
      </c>
      <c r="X19" s="6">
        <v>109</v>
      </c>
      <c r="Y19" s="6">
        <v>91</v>
      </c>
      <c r="Z19" s="5">
        <f t="shared" ref="Z19:Z30" si="3">SUM(E19:Y19)</f>
        <v>2183</v>
      </c>
    </row>
    <row r="20" spans="1:26" x14ac:dyDescent="0.4">
      <c r="A20" s="12"/>
      <c r="B20" s="75"/>
      <c r="C20" s="85"/>
      <c r="D20" s="6" t="s">
        <v>24</v>
      </c>
      <c r="E20" s="6">
        <v>111</v>
      </c>
      <c r="F20" s="6">
        <v>108</v>
      </c>
      <c r="G20" s="6">
        <v>104</v>
      </c>
      <c r="H20" s="6">
        <v>119</v>
      </c>
      <c r="I20" s="6">
        <v>121</v>
      </c>
      <c r="J20" s="6">
        <v>87</v>
      </c>
      <c r="K20" s="6">
        <v>133</v>
      </c>
      <c r="L20" s="6">
        <v>110</v>
      </c>
      <c r="M20" s="6">
        <v>123</v>
      </c>
      <c r="N20" s="6">
        <v>106</v>
      </c>
      <c r="O20" s="6">
        <v>117</v>
      </c>
      <c r="P20" s="6">
        <v>98</v>
      </c>
      <c r="Q20" s="6">
        <v>116</v>
      </c>
      <c r="R20" s="6">
        <v>106</v>
      </c>
      <c r="S20" s="6">
        <v>114</v>
      </c>
      <c r="T20" s="6">
        <v>120</v>
      </c>
      <c r="U20" s="6">
        <v>112</v>
      </c>
      <c r="V20" s="6">
        <v>104</v>
      </c>
      <c r="W20" s="6">
        <v>92</v>
      </c>
      <c r="X20" s="6">
        <v>128</v>
      </c>
      <c r="Y20" s="6">
        <v>85</v>
      </c>
      <c r="Z20" s="5">
        <f t="shared" si="3"/>
        <v>2314</v>
      </c>
    </row>
    <row r="21" spans="1:26" x14ac:dyDescent="0.4">
      <c r="A21" s="13"/>
      <c r="B21" s="76"/>
      <c r="C21" s="86"/>
      <c r="D21" s="5" t="s">
        <v>25</v>
      </c>
      <c r="E21" s="5">
        <f t="shared" ref="E21:Y21" si="4">SUM(E19:E20)</f>
        <v>214</v>
      </c>
      <c r="F21" s="5">
        <f t="shared" si="4"/>
        <v>206</v>
      </c>
      <c r="G21" s="5">
        <f t="shared" si="4"/>
        <v>226</v>
      </c>
      <c r="H21" s="5">
        <f t="shared" si="4"/>
        <v>224</v>
      </c>
      <c r="I21" s="5">
        <f t="shared" si="4"/>
        <v>217</v>
      </c>
      <c r="J21" s="5">
        <f t="shared" si="4"/>
        <v>188</v>
      </c>
      <c r="K21" s="5">
        <f t="shared" ref="K21:Q21" si="5">SUM(K19:K20)</f>
        <v>251</v>
      </c>
      <c r="L21" s="5">
        <f t="shared" si="5"/>
        <v>211</v>
      </c>
      <c r="M21" s="5">
        <f t="shared" si="5"/>
        <v>228</v>
      </c>
      <c r="N21" s="5">
        <f t="shared" si="5"/>
        <v>202</v>
      </c>
      <c r="O21" s="5">
        <f t="shared" si="5"/>
        <v>236</v>
      </c>
      <c r="P21" s="5">
        <f t="shared" si="5"/>
        <v>183</v>
      </c>
      <c r="Q21" s="5">
        <f t="shared" si="5"/>
        <v>223</v>
      </c>
      <c r="R21" s="5">
        <f t="shared" si="4"/>
        <v>208</v>
      </c>
      <c r="S21" s="5">
        <f t="shared" ref="S21:X21" si="6">SUM(S19:S20)</f>
        <v>215</v>
      </c>
      <c r="T21" s="5">
        <f t="shared" si="6"/>
        <v>231</v>
      </c>
      <c r="U21" s="5">
        <f t="shared" si="6"/>
        <v>220</v>
      </c>
      <c r="V21" s="5">
        <f t="shared" si="6"/>
        <v>207</v>
      </c>
      <c r="W21" s="5">
        <f t="shared" si="6"/>
        <v>194</v>
      </c>
      <c r="X21" s="5">
        <f t="shared" si="6"/>
        <v>237</v>
      </c>
      <c r="Y21" s="5">
        <f t="shared" si="4"/>
        <v>176</v>
      </c>
      <c r="Z21" s="5">
        <f t="shared" si="3"/>
        <v>4497</v>
      </c>
    </row>
    <row r="22" spans="1:26" x14ac:dyDescent="0.4">
      <c r="A22" s="12"/>
      <c r="B22" s="83" t="s">
        <v>30</v>
      </c>
      <c r="C22" s="84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1</v>
      </c>
      <c r="Q22" s="6">
        <v>0</v>
      </c>
      <c r="R22" s="6">
        <v>1</v>
      </c>
      <c r="S22" s="6">
        <v>3</v>
      </c>
      <c r="T22" s="6">
        <v>0</v>
      </c>
      <c r="U22" s="6">
        <v>0</v>
      </c>
      <c r="V22" s="6">
        <v>0</v>
      </c>
      <c r="W22" s="6">
        <v>1</v>
      </c>
      <c r="X22" s="6">
        <v>0</v>
      </c>
      <c r="Y22" s="6">
        <v>1</v>
      </c>
      <c r="Z22" s="5">
        <f t="shared" si="3"/>
        <v>7</v>
      </c>
    </row>
    <row r="23" spans="1:26" x14ac:dyDescent="0.4">
      <c r="A23" s="12"/>
      <c r="B23" s="75"/>
      <c r="C23" s="85"/>
      <c r="D23" s="6" t="s">
        <v>24</v>
      </c>
      <c r="E23" s="6">
        <v>0</v>
      </c>
      <c r="F23" s="6">
        <v>0</v>
      </c>
      <c r="G23" s="6">
        <v>0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3</v>
      </c>
      <c r="T23" s="6">
        <v>0</v>
      </c>
      <c r="U23" s="6">
        <v>0</v>
      </c>
      <c r="V23" s="6">
        <v>0</v>
      </c>
      <c r="W23" s="6">
        <v>1</v>
      </c>
      <c r="X23" s="6">
        <v>0</v>
      </c>
      <c r="Y23" s="6">
        <v>0</v>
      </c>
      <c r="Z23" s="5">
        <f t="shared" si="3"/>
        <v>5</v>
      </c>
    </row>
    <row r="24" spans="1:26" x14ac:dyDescent="0.4">
      <c r="A24" s="13"/>
      <c r="B24" s="76"/>
      <c r="C24" s="86"/>
      <c r="D24" s="5" t="s">
        <v>25</v>
      </c>
      <c r="E24" s="5">
        <f t="shared" ref="E24:Y24" si="7">SUM(E22:E23)</f>
        <v>0</v>
      </c>
      <c r="F24" s="5">
        <f t="shared" si="7"/>
        <v>0</v>
      </c>
      <c r="G24" s="5">
        <f t="shared" si="7"/>
        <v>0</v>
      </c>
      <c r="H24" s="5">
        <f t="shared" si="7"/>
        <v>1</v>
      </c>
      <c r="I24" s="5">
        <f t="shared" si="7"/>
        <v>0</v>
      </c>
      <c r="J24" s="5">
        <f t="shared" si="7"/>
        <v>0</v>
      </c>
      <c r="K24" s="5">
        <f t="shared" ref="K24:Q24" si="8">SUM(K22:K23)</f>
        <v>0</v>
      </c>
      <c r="L24" s="5">
        <f t="shared" si="8"/>
        <v>0</v>
      </c>
      <c r="M24" s="5">
        <f t="shared" si="8"/>
        <v>0</v>
      </c>
      <c r="N24" s="5">
        <f t="shared" si="8"/>
        <v>0</v>
      </c>
      <c r="O24" s="5">
        <f t="shared" si="8"/>
        <v>0</v>
      </c>
      <c r="P24" s="5">
        <f t="shared" si="8"/>
        <v>1</v>
      </c>
      <c r="Q24" s="5">
        <f t="shared" si="8"/>
        <v>0</v>
      </c>
      <c r="R24" s="5">
        <f t="shared" si="7"/>
        <v>1</v>
      </c>
      <c r="S24" s="5">
        <f t="shared" ref="S24:X24" si="9">SUM(S22:S23)</f>
        <v>6</v>
      </c>
      <c r="T24" s="5">
        <f t="shared" si="9"/>
        <v>0</v>
      </c>
      <c r="U24" s="5">
        <f t="shared" si="9"/>
        <v>0</v>
      </c>
      <c r="V24" s="5">
        <f t="shared" si="9"/>
        <v>0</v>
      </c>
      <c r="W24" s="5">
        <f t="shared" si="9"/>
        <v>2</v>
      </c>
      <c r="X24" s="5">
        <f t="shared" si="9"/>
        <v>0</v>
      </c>
      <c r="Y24" s="5">
        <f t="shared" si="7"/>
        <v>1</v>
      </c>
      <c r="Z24" s="5">
        <f t="shared" si="3"/>
        <v>12</v>
      </c>
    </row>
    <row r="25" spans="1:26" x14ac:dyDescent="0.4">
      <c r="A25" s="12"/>
      <c r="B25" s="83" t="s">
        <v>32</v>
      </c>
      <c r="C25" s="84" t="s">
        <v>33</v>
      </c>
      <c r="D25" s="6" t="s">
        <v>23</v>
      </c>
      <c r="E25" s="6">
        <v>1</v>
      </c>
      <c r="F25" s="6">
        <v>0</v>
      </c>
      <c r="G25" s="6">
        <v>0</v>
      </c>
      <c r="H25" s="6">
        <v>0</v>
      </c>
      <c r="I25" s="6">
        <v>1</v>
      </c>
      <c r="J25" s="6">
        <v>2</v>
      </c>
      <c r="K25" s="6">
        <v>1</v>
      </c>
      <c r="L25" s="6">
        <v>0</v>
      </c>
      <c r="M25" s="6">
        <v>1</v>
      </c>
      <c r="N25" s="6">
        <v>3</v>
      </c>
      <c r="O25" s="6">
        <v>1</v>
      </c>
      <c r="P25" s="6">
        <v>1</v>
      </c>
      <c r="Q25" s="6">
        <v>0</v>
      </c>
      <c r="R25" s="6">
        <v>1</v>
      </c>
      <c r="S25" s="6">
        <v>4</v>
      </c>
      <c r="T25" s="6">
        <v>4</v>
      </c>
      <c r="U25" s="6">
        <v>0</v>
      </c>
      <c r="V25" s="6">
        <v>1</v>
      </c>
      <c r="W25" s="6">
        <v>1</v>
      </c>
      <c r="X25" s="6">
        <v>1</v>
      </c>
      <c r="Y25" s="6">
        <v>2</v>
      </c>
      <c r="Z25" s="5">
        <f t="shared" si="3"/>
        <v>25</v>
      </c>
    </row>
    <row r="26" spans="1:26" x14ac:dyDescent="0.4">
      <c r="A26" s="12"/>
      <c r="B26" s="75"/>
      <c r="C26" s="85"/>
      <c r="D26" s="6" t="s">
        <v>24</v>
      </c>
      <c r="E26" s="6">
        <v>1</v>
      </c>
      <c r="F26" s="6">
        <v>0</v>
      </c>
      <c r="G26" s="6">
        <v>1</v>
      </c>
      <c r="H26" s="6">
        <v>0</v>
      </c>
      <c r="I26" s="6">
        <v>2</v>
      </c>
      <c r="J26" s="6">
        <v>1</v>
      </c>
      <c r="K26" s="6">
        <v>1</v>
      </c>
      <c r="L26" s="6">
        <v>0</v>
      </c>
      <c r="M26" s="6">
        <v>4</v>
      </c>
      <c r="N26" s="6">
        <v>4</v>
      </c>
      <c r="O26" s="6">
        <v>3</v>
      </c>
      <c r="P26" s="6">
        <v>2</v>
      </c>
      <c r="Q26" s="6">
        <v>0</v>
      </c>
      <c r="R26" s="6">
        <v>3</v>
      </c>
      <c r="S26" s="6">
        <v>7</v>
      </c>
      <c r="T26" s="6">
        <v>6</v>
      </c>
      <c r="U26" s="6">
        <v>3</v>
      </c>
      <c r="V26" s="6">
        <v>0</v>
      </c>
      <c r="W26" s="6">
        <v>1</v>
      </c>
      <c r="X26" s="6">
        <v>1</v>
      </c>
      <c r="Y26" s="6">
        <v>0</v>
      </c>
      <c r="Z26" s="5">
        <f t="shared" si="3"/>
        <v>40</v>
      </c>
    </row>
    <row r="27" spans="1:26" x14ac:dyDescent="0.4">
      <c r="A27" s="13"/>
      <c r="B27" s="76"/>
      <c r="C27" s="86"/>
      <c r="D27" s="5" t="s">
        <v>25</v>
      </c>
      <c r="E27" s="5">
        <f t="shared" ref="E27:Y27" si="10">SUM(E25:E26)</f>
        <v>2</v>
      </c>
      <c r="F27" s="5">
        <f t="shared" si="10"/>
        <v>0</v>
      </c>
      <c r="G27" s="5">
        <f t="shared" si="10"/>
        <v>1</v>
      </c>
      <c r="H27" s="5">
        <f t="shared" si="10"/>
        <v>0</v>
      </c>
      <c r="I27" s="5">
        <f t="shared" si="10"/>
        <v>3</v>
      </c>
      <c r="J27" s="5">
        <f t="shared" si="10"/>
        <v>3</v>
      </c>
      <c r="K27" s="5">
        <f t="shared" ref="K27:Q27" si="11">SUM(K25:K26)</f>
        <v>2</v>
      </c>
      <c r="L27" s="5">
        <f t="shared" si="11"/>
        <v>0</v>
      </c>
      <c r="M27" s="5">
        <f t="shared" si="11"/>
        <v>5</v>
      </c>
      <c r="N27" s="5">
        <f t="shared" si="11"/>
        <v>7</v>
      </c>
      <c r="O27" s="5">
        <f t="shared" si="11"/>
        <v>4</v>
      </c>
      <c r="P27" s="5">
        <f t="shared" si="11"/>
        <v>3</v>
      </c>
      <c r="Q27" s="5">
        <f t="shared" si="11"/>
        <v>0</v>
      </c>
      <c r="R27" s="5">
        <f t="shared" si="10"/>
        <v>4</v>
      </c>
      <c r="S27" s="5">
        <f t="shared" ref="S27:X27" si="12">SUM(S25:S26)</f>
        <v>11</v>
      </c>
      <c r="T27" s="5">
        <f t="shared" si="12"/>
        <v>10</v>
      </c>
      <c r="U27" s="5">
        <f t="shared" si="12"/>
        <v>3</v>
      </c>
      <c r="V27" s="5">
        <f t="shared" si="12"/>
        <v>1</v>
      </c>
      <c r="W27" s="5">
        <f t="shared" si="12"/>
        <v>2</v>
      </c>
      <c r="X27" s="5">
        <f t="shared" si="12"/>
        <v>2</v>
      </c>
      <c r="Y27" s="5">
        <f t="shared" si="10"/>
        <v>2</v>
      </c>
      <c r="Z27" s="5">
        <f t="shared" si="3"/>
        <v>65</v>
      </c>
    </row>
    <row r="28" spans="1:26" x14ac:dyDescent="0.4">
      <c r="A28" s="13"/>
      <c r="B28" s="87" t="s">
        <v>34</v>
      </c>
      <c r="C28" s="88" t="s">
        <v>35</v>
      </c>
      <c r="D28" s="5" t="s">
        <v>23</v>
      </c>
      <c r="E28" s="5">
        <f>SUM(E19,E22,E25)</f>
        <v>104</v>
      </c>
      <c r="F28" s="5">
        <f t="shared" ref="F28:Y29" si="13">SUM(F19,F22,F25)</f>
        <v>98</v>
      </c>
      <c r="G28" s="5">
        <f t="shared" si="13"/>
        <v>122</v>
      </c>
      <c r="H28" s="5">
        <f t="shared" si="13"/>
        <v>105</v>
      </c>
      <c r="I28" s="5">
        <f t="shared" si="13"/>
        <v>97</v>
      </c>
      <c r="J28" s="5">
        <f t="shared" si="13"/>
        <v>103</v>
      </c>
      <c r="K28" s="5">
        <f t="shared" ref="K28:Q28" si="14">SUM(K19,K22,K25)</f>
        <v>119</v>
      </c>
      <c r="L28" s="5">
        <f t="shared" si="14"/>
        <v>101</v>
      </c>
      <c r="M28" s="5">
        <f t="shared" si="14"/>
        <v>106</v>
      </c>
      <c r="N28" s="5">
        <f t="shared" si="14"/>
        <v>99</v>
      </c>
      <c r="O28" s="5">
        <f t="shared" si="14"/>
        <v>120</v>
      </c>
      <c r="P28" s="5">
        <f t="shared" si="14"/>
        <v>87</v>
      </c>
      <c r="Q28" s="5">
        <f t="shared" si="14"/>
        <v>107</v>
      </c>
      <c r="R28" s="5">
        <f t="shared" si="13"/>
        <v>104</v>
      </c>
      <c r="S28" s="5">
        <f t="shared" ref="S28:X28" si="15">SUM(S19,S22,S25)</f>
        <v>108</v>
      </c>
      <c r="T28" s="5">
        <f t="shared" si="15"/>
        <v>115</v>
      </c>
      <c r="U28" s="5">
        <f t="shared" si="15"/>
        <v>108</v>
      </c>
      <c r="V28" s="5">
        <f t="shared" si="15"/>
        <v>104</v>
      </c>
      <c r="W28" s="5">
        <f t="shared" si="15"/>
        <v>104</v>
      </c>
      <c r="X28" s="5">
        <f t="shared" si="15"/>
        <v>110</v>
      </c>
      <c r="Y28" s="5">
        <f t="shared" si="13"/>
        <v>94</v>
      </c>
      <c r="Z28" s="5">
        <f t="shared" si="3"/>
        <v>2215</v>
      </c>
    </row>
    <row r="29" spans="1:26" x14ac:dyDescent="0.4">
      <c r="A29" s="13"/>
      <c r="B29" s="75"/>
      <c r="C29" s="85"/>
      <c r="D29" s="5" t="s">
        <v>24</v>
      </c>
      <c r="E29" s="5">
        <f>SUM(E20,E23,E26)</f>
        <v>112</v>
      </c>
      <c r="F29" s="5">
        <f t="shared" si="13"/>
        <v>108</v>
      </c>
      <c r="G29" s="5">
        <f t="shared" si="13"/>
        <v>105</v>
      </c>
      <c r="H29" s="5">
        <f t="shared" si="13"/>
        <v>120</v>
      </c>
      <c r="I29" s="5">
        <f t="shared" si="13"/>
        <v>123</v>
      </c>
      <c r="J29" s="5">
        <f t="shared" si="13"/>
        <v>88</v>
      </c>
      <c r="K29" s="5">
        <f t="shared" ref="K29:Q29" si="16">SUM(K20,K23,K26)</f>
        <v>134</v>
      </c>
      <c r="L29" s="5">
        <f t="shared" si="16"/>
        <v>110</v>
      </c>
      <c r="M29" s="5">
        <f t="shared" si="16"/>
        <v>127</v>
      </c>
      <c r="N29" s="5">
        <f t="shared" si="16"/>
        <v>110</v>
      </c>
      <c r="O29" s="5">
        <f t="shared" si="16"/>
        <v>120</v>
      </c>
      <c r="P29" s="5">
        <f t="shared" si="16"/>
        <v>100</v>
      </c>
      <c r="Q29" s="5">
        <f t="shared" si="16"/>
        <v>116</v>
      </c>
      <c r="R29" s="5">
        <f t="shared" si="13"/>
        <v>109</v>
      </c>
      <c r="S29" s="5">
        <f t="shared" ref="S29:X29" si="17">SUM(S20,S23,S26)</f>
        <v>124</v>
      </c>
      <c r="T29" s="5">
        <f t="shared" si="17"/>
        <v>126</v>
      </c>
      <c r="U29" s="5">
        <f t="shared" si="17"/>
        <v>115</v>
      </c>
      <c r="V29" s="5">
        <f t="shared" si="17"/>
        <v>104</v>
      </c>
      <c r="W29" s="5">
        <f t="shared" si="17"/>
        <v>94</v>
      </c>
      <c r="X29" s="5">
        <f t="shared" si="17"/>
        <v>129</v>
      </c>
      <c r="Y29" s="5">
        <f t="shared" si="13"/>
        <v>85</v>
      </c>
      <c r="Z29" s="5">
        <f t="shared" si="3"/>
        <v>2359</v>
      </c>
    </row>
    <row r="30" spans="1:26" x14ac:dyDescent="0.4">
      <c r="A30" s="13"/>
      <c r="B30" s="76"/>
      <c r="C30" s="86"/>
      <c r="D30" s="5" t="s">
        <v>25</v>
      </c>
      <c r="E30" s="5">
        <f t="shared" ref="E30" si="18">SUM(E28:E29)</f>
        <v>216</v>
      </c>
      <c r="F30" s="5">
        <f t="shared" ref="F30:Y30" si="19">SUM(F28:F29)</f>
        <v>206</v>
      </c>
      <c r="G30" s="5">
        <f t="shared" si="19"/>
        <v>227</v>
      </c>
      <c r="H30" s="5">
        <f t="shared" si="19"/>
        <v>225</v>
      </c>
      <c r="I30" s="5">
        <f t="shared" si="19"/>
        <v>220</v>
      </c>
      <c r="J30" s="5">
        <f t="shared" si="19"/>
        <v>191</v>
      </c>
      <c r="K30" s="5">
        <f t="shared" ref="K30:Q30" si="20">SUM(K28:K29)</f>
        <v>253</v>
      </c>
      <c r="L30" s="5">
        <f t="shared" si="20"/>
        <v>211</v>
      </c>
      <c r="M30" s="5">
        <f t="shared" si="20"/>
        <v>233</v>
      </c>
      <c r="N30" s="5">
        <f t="shared" si="20"/>
        <v>209</v>
      </c>
      <c r="O30" s="5">
        <f t="shared" si="20"/>
        <v>240</v>
      </c>
      <c r="P30" s="5">
        <f t="shared" si="20"/>
        <v>187</v>
      </c>
      <c r="Q30" s="5">
        <f t="shared" si="20"/>
        <v>223</v>
      </c>
      <c r="R30" s="5">
        <f t="shared" si="19"/>
        <v>213</v>
      </c>
      <c r="S30" s="5">
        <f t="shared" ref="S30:X30" si="21">SUM(S28:S29)</f>
        <v>232</v>
      </c>
      <c r="T30" s="5">
        <f t="shared" si="21"/>
        <v>241</v>
      </c>
      <c r="U30" s="5">
        <f t="shared" si="21"/>
        <v>223</v>
      </c>
      <c r="V30" s="5">
        <f t="shared" si="21"/>
        <v>208</v>
      </c>
      <c r="W30" s="5">
        <f t="shared" si="21"/>
        <v>198</v>
      </c>
      <c r="X30" s="5">
        <f t="shared" si="21"/>
        <v>239</v>
      </c>
      <c r="Y30" s="5">
        <f t="shared" si="19"/>
        <v>179</v>
      </c>
      <c r="Z30" s="5">
        <f t="shared" si="3"/>
        <v>4574</v>
      </c>
    </row>
    <row r="31" spans="1:26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6"/>
      <c r="S31" s="6"/>
      <c r="T31" s="6"/>
      <c r="U31" s="10"/>
      <c r="V31" s="10"/>
      <c r="W31" s="10"/>
      <c r="X31" s="10"/>
      <c r="Y31" s="6"/>
      <c r="Z31" s="28"/>
    </row>
    <row r="32" spans="1:26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5"/>
      <c r="S32" s="5"/>
      <c r="T32" s="5"/>
      <c r="U32" s="15"/>
      <c r="V32" s="15"/>
      <c r="W32" s="15"/>
      <c r="X32" s="15"/>
      <c r="Y32" s="5"/>
      <c r="Z32" s="28"/>
    </row>
    <row r="33" spans="1:26" x14ac:dyDescent="0.4">
      <c r="A33" s="6">
        <v>1</v>
      </c>
      <c r="B33" s="78" t="s">
        <v>38</v>
      </c>
      <c r="C33" s="69"/>
      <c r="D33" s="60"/>
      <c r="E33" s="6">
        <v>275</v>
      </c>
      <c r="F33" s="6">
        <v>274</v>
      </c>
      <c r="G33" s="6">
        <v>294</v>
      </c>
      <c r="H33" s="6">
        <v>283</v>
      </c>
      <c r="I33" s="6">
        <v>276</v>
      </c>
      <c r="J33" s="6">
        <v>244</v>
      </c>
      <c r="K33" s="6">
        <v>297</v>
      </c>
      <c r="L33" s="6">
        <v>259</v>
      </c>
      <c r="M33" s="6">
        <v>303</v>
      </c>
      <c r="N33" s="6">
        <v>248</v>
      </c>
      <c r="O33" s="6">
        <v>293</v>
      </c>
      <c r="P33" s="6">
        <v>232</v>
      </c>
      <c r="Q33" s="6">
        <v>291</v>
      </c>
      <c r="R33" s="6">
        <v>253</v>
      </c>
      <c r="S33" s="6">
        <v>276</v>
      </c>
      <c r="T33" s="6">
        <v>290</v>
      </c>
      <c r="U33" s="6">
        <v>293</v>
      </c>
      <c r="V33" s="6">
        <v>281</v>
      </c>
      <c r="W33" s="6">
        <v>270</v>
      </c>
      <c r="X33" s="6">
        <v>287</v>
      </c>
      <c r="Y33" s="6">
        <v>221</v>
      </c>
      <c r="Z33" s="5">
        <f>SUM(E33:Y33)</f>
        <v>5740</v>
      </c>
    </row>
    <row r="34" spans="1:26" x14ac:dyDescent="0.4">
      <c r="A34" s="6">
        <v>2</v>
      </c>
      <c r="B34" s="78" t="s">
        <v>39</v>
      </c>
      <c r="C34" s="69"/>
      <c r="D34" s="60"/>
      <c r="E34" s="5">
        <v>216</v>
      </c>
      <c r="F34" s="5">
        <v>206</v>
      </c>
      <c r="G34" s="5">
        <v>227</v>
      </c>
      <c r="H34" s="5">
        <v>225</v>
      </c>
      <c r="I34" s="5">
        <v>220</v>
      </c>
      <c r="J34" s="5">
        <v>191</v>
      </c>
      <c r="K34" s="5">
        <v>253</v>
      </c>
      <c r="L34" s="5">
        <v>211</v>
      </c>
      <c r="M34" s="5">
        <v>233</v>
      </c>
      <c r="N34" s="5">
        <v>209</v>
      </c>
      <c r="O34" s="5">
        <v>240</v>
      </c>
      <c r="P34" s="5">
        <v>187</v>
      </c>
      <c r="Q34" s="5">
        <v>223</v>
      </c>
      <c r="R34" s="5">
        <v>213</v>
      </c>
      <c r="S34" s="5">
        <v>232</v>
      </c>
      <c r="T34" s="5">
        <v>241</v>
      </c>
      <c r="U34" s="5">
        <v>223</v>
      </c>
      <c r="V34" s="5">
        <v>208</v>
      </c>
      <c r="W34" s="5">
        <v>198</v>
      </c>
      <c r="X34" s="5">
        <v>239</v>
      </c>
      <c r="Y34" s="5">
        <v>179</v>
      </c>
      <c r="Z34" s="5">
        <f>SUM(E34:Y34)</f>
        <v>4574</v>
      </c>
    </row>
    <row r="35" spans="1:26" x14ac:dyDescent="0.4">
      <c r="A35" s="6">
        <v>3</v>
      </c>
      <c r="B35" s="78" t="s">
        <v>40</v>
      </c>
      <c r="C35" s="69"/>
      <c r="D35" s="60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7</v>
      </c>
      <c r="L35" s="6">
        <v>2</v>
      </c>
      <c r="M35" s="6">
        <v>0</v>
      </c>
      <c r="N35" s="6">
        <v>0</v>
      </c>
      <c r="O35" s="6">
        <v>0</v>
      </c>
      <c r="P35" s="6">
        <v>0</v>
      </c>
      <c r="Q35" s="6">
        <v>1</v>
      </c>
      <c r="R35" s="6">
        <v>0</v>
      </c>
      <c r="S35" s="6">
        <v>0</v>
      </c>
      <c r="T35" s="6">
        <v>0</v>
      </c>
      <c r="U35" s="6">
        <v>1</v>
      </c>
      <c r="V35" s="6">
        <v>11</v>
      </c>
      <c r="W35" s="6">
        <v>1</v>
      </c>
      <c r="X35" s="6">
        <v>0</v>
      </c>
      <c r="Y35" s="6">
        <v>0</v>
      </c>
      <c r="Z35" s="5">
        <f>SUM(E35:Y35)</f>
        <v>23</v>
      </c>
    </row>
    <row r="36" spans="1:26" x14ac:dyDescent="0.4">
      <c r="A36" s="6">
        <v>4</v>
      </c>
      <c r="B36" s="78" t="s">
        <v>41</v>
      </c>
      <c r="C36" s="69"/>
      <c r="D36" s="60"/>
      <c r="E36" s="5">
        <f t="shared" ref="E36:Y36" si="22">E33-(E34+E35)</f>
        <v>59</v>
      </c>
      <c r="F36" s="5">
        <f t="shared" si="22"/>
        <v>68</v>
      </c>
      <c r="G36" s="5">
        <f t="shared" si="22"/>
        <v>67</v>
      </c>
      <c r="H36" s="5">
        <f t="shared" si="22"/>
        <v>58</v>
      </c>
      <c r="I36" s="5">
        <f t="shared" si="22"/>
        <v>56</v>
      </c>
      <c r="J36" s="5">
        <f t="shared" si="22"/>
        <v>53</v>
      </c>
      <c r="K36" s="5">
        <f t="shared" ref="K36:Q36" si="23">K33-(K34+K35)</f>
        <v>37</v>
      </c>
      <c r="L36" s="5">
        <f t="shared" si="23"/>
        <v>46</v>
      </c>
      <c r="M36" s="5">
        <f t="shared" si="23"/>
        <v>70</v>
      </c>
      <c r="N36" s="5">
        <f t="shared" si="23"/>
        <v>39</v>
      </c>
      <c r="O36" s="5">
        <f t="shared" si="23"/>
        <v>53</v>
      </c>
      <c r="P36" s="5">
        <f t="shared" si="23"/>
        <v>45</v>
      </c>
      <c r="Q36" s="5">
        <f t="shared" si="23"/>
        <v>67</v>
      </c>
      <c r="R36" s="5">
        <f t="shared" si="22"/>
        <v>40</v>
      </c>
      <c r="S36" s="5">
        <f t="shared" ref="S36:X36" si="24">S33-(S34+S35)</f>
        <v>44</v>
      </c>
      <c r="T36" s="5">
        <f t="shared" si="24"/>
        <v>49</v>
      </c>
      <c r="U36" s="5">
        <f t="shared" si="24"/>
        <v>69</v>
      </c>
      <c r="V36" s="5">
        <f t="shared" si="24"/>
        <v>62</v>
      </c>
      <c r="W36" s="5">
        <f t="shared" si="24"/>
        <v>71</v>
      </c>
      <c r="X36" s="5">
        <f t="shared" si="24"/>
        <v>48</v>
      </c>
      <c r="Y36" s="5">
        <f t="shared" si="22"/>
        <v>42</v>
      </c>
      <c r="Z36" s="5">
        <f>SUM(E36:Y36)</f>
        <v>1143</v>
      </c>
    </row>
    <row r="37" spans="1:26" x14ac:dyDescent="0.4">
      <c r="A37" s="61"/>
      <c r="B37" s="69"/>
      <c r="C37" s="69"/>
      <c r="D37" s="69"/>
      <c r="E37" s="61"/>
      <c r="F37" s="89"/>
      <c r="G37" s="89"/>
      <c r="H37" s="89"/>
      <c r="I37" s="94"/>
      <c r="J37" s="6"/>
      <c r="K37" s="6"/>
      <c r="L37" s="6"/>
      <c r="M37" s="6"/>
      <c r="N37" s="10"/>
      <c r="O37" s="26"/>
      <c r="P37" s="26"/>
      <c r="Q37" s="26"/>
      <c r="R37" s="6"/>
      <c r="S37" s="6"/>
      <c r="T37" s="6"/>
      <c r="U37" s="10"/>
      <c r="V37" s="26"/>
      <c r="W37" s="26"/>
      <c r="X37" s="26"/>
      <c r="Y37" s="6"/>
      <c r="Z37" s="28"/>
    </row>
    <row r="38" spans="1:26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5"/>
      <c r="S38" s="5"/>
      <c r="T38" s="5"/>
      <c r="U38" s="15"/>
      <c r="V38" s="15"/>
      <c r="W38" s="15"/>
      <c r="X38" s="15"/>
      <c r="Y38" s="5"/>
      <c r="Z38" s="28"/>
    </row>
    <row r="39" spans="1:26" x14ac:dyDescent="0.4">
      <c r="A39" s="11"/>
      <c r="B39" s="73" t="s">
        <v>44</v>
      </c>
      <c r="C39" s="68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0</v>
      </c>
      <c r="R39" s="6">
        <v>1</v>
      </c>
      <c r="S39" s="6">
        <v>0</v>
      </c>
      <c r="T39" s="6">
        <v>0</v>
      </c>
      <c r="U39" s="6">
        <v>1</v>
      </c>
      <c r="V39" s="6">
        <v>0</v>
      </c>
      <c r="W39" s="6">
        <v>1</v>
      </c>
      <c r="X39" s="6">
        <v>0</v>
      </c>
      <c r="Y39" s="6">
        <v>0</v>
      </c>
      <c r="Z39" s="5">
        <f>SUM(E39:Y39)</f>
        <v>4</v>
      </c>
    </row>
    <row r="40" spans="1:26" x14ac:dyDescent="0.4">
      <c r="A40" s="12"/>
      <c r="B40" s="74"/>
      <c r="C40" s="75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2</v>
      </c>
      <c r="Q40" s="6">
        <v>0</v>
      </c>
      <c r="R40" s="6">
        <v>2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5">
        <f>SUM(E40:Y40)</f>
        <v>4</v>
      </c>
    </row>
    <row r="41" spans="1:26" x14ac:dyDescent="0.4">
      <c r="A41" s="14"/>
      <c r="B41" s="71"/>
      <c r="C41" s="76"/>
      <c r="D41" s="5" t="s">
        <v>25</v>
      </c>
      <c r="E41" s="5">
        <f t="shared" ref="E41:Y41" si="25">SUM(E39:E40)</f>
        <v>0</v>
      </c>
      <c r="F41" s="5">
        <f t="shared" si="25"/>
        <v>0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0</v>
      </c>
      <c r="K41" s="5">
        <f t="shared" ref="K41:Q41" si="26">SUM(K39:K40)</f>
        <v>0</v>
      </c>
      <c r="L41" s="5">
        <f t="shared" si="26"/>
        <v>0</v>
      </c>
      <c r="M41" s="5">
        <f t="shared" si="26"/>
        <v>0</v>
      </c>
      <c r="N41" s="5">
        <f t="shared" si="26"/>
        <v>0</v>
      </c>
      <c r="O41" s="5">
        <f t="shared" si="26"/>
        <v>0</v>
      </c>
      <c r="P41" s="5">
        <f t="shared" si="26"/>
        <v>3</v>
      </c>
      <c r="Q41" s="5">
        <f t="shared" si="26"/>
        <v>0</v>
      </c>
      <c r="R41" s="5">
        <f t="shared" si="25"/>
        <v>3</v>
      </c>
      <c r="S41" s="5">
        <f t="shared" ref="S41:X41" si="27">SUM(S39:S40)</f>
        <v>0</v>
      </c>
      <c r="T41" s="5">
        <f t="shared" si="27"/>
        <v>0</v>
      </c>
      <c r="U41" s="5">
        <f t="shared" si="27"/>
        <v>1</v>
      </c>
      <c r="V41" s="5">
        <f t="shared" si="27"/>
        <v>0</v>
      </c>
      <c r="W41" s="5">
        <f t="shared" si="27"/>
        <v>1</v>
      </c>
      <c r="X41" s="5">
        <f t="shared" si="27"/>
        <v>0</v>
      </c>
      <c r="Y41" s="5">
        <f t="shared" si="25"/>
        <v>0</v>
      </c>
      <c r="Z41" s="5">
        <f>SUM(E41:Y41)</f>
        <v>8</v>
      </c>
    </row>
    <row r="42" spans="1:26" x14ac:dyDescent="0.4">
      <c r="A42" s="70"/>
      <c r="B42" s="71"/>
      <c r="C42" s="71"/>
      <c r="D42" s="76"/>
      <c r="E42" s="61"/>
      <c r="F42" s="69"/>
      <c r="G42" s="69"/>
      <c r="H42" s="69"/>
      <c r="I42" s="60"/>
      <c r="J42" s="6"/>
      <c r="K42" s="6"/>
      <c r="L42" s="6"/>
      <c r="M42" s="6"/>
      <c r="N42" s="10"/>
      <c r="O42" s="6"/>
      <c r="P42" s="10"/>
      <c r="Q42" s="6"/>
      <c r="R42" s="6"/>
      <c r="S42" s="6"/>
      <c r="T42" s="6"/>
      <c r="U42" s="10"/>
      <c r="V42" s="6"/>
      <c r="W42" s="10"/>
      <c r="X42" s="6"/>
      <c r="Y42" s="6"/>
      <c r="Z42" s="5"/>
    </row>
    <row r="43" spans="1:26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  <c r="S43" s="5"/>
      <c r="T43" s="5"/>
      <c r="U43" s="15"/>
      <c r="V43" s="5"/>
      <c r="W43" s="15"/>
      <c r="X43" s="5"/>
      <c r="Y43" s="5"/>
      <c r="Z43" s="5"/>
    </row>
    <row r="44" spans="1:26" ht="13.15" customHeight="1" x14ac:dyDescent="0.4">
      <c r="A44" s="73" t="s">
        <v>47</v>
      </c>
      <c r="B44" s="77"/>
      <c r="C44" s="77"/>
      <c r="D44" s="6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6"/>
      <c r="S44" s="6"/>
      <c r="T44" s="6"/>
      <c r="U44" s="10"/>
      <c r="V44" s="6"/>
      <c r="W44" s="10"/>
      <c r="X44" s="6"/>
      <c r="Y44" s="6"/>
      <c r="Z44" s="5"/>
    </row>
    <row r="45" spans="1:26" x14ac:dyDescent="0.4">
      <c r="A45" s="11" t="s">
        <v>48</v>
      </c>
      <c r="B45" s="17" t="s">
        <v>28</v>
      </c>
      <c r="C45" s="59" t="s">
        <v>49</v>
      </c>
      <c r="D45" s="60"/>
      <c r="E45" s="6">
        <v>3</v>
      </c>
      <c r="F45" s="6">
        <v>1</v>
      </c>
      <c r="G45" s="6">
        <v>7</v>
      </c>
      <c r="H45" s="6">
        <v>4</v>
      </c>
      <c r="I45" s="6">
        <v>7</v>
      </c>
      <c r="J45" s="6">
        <v>7</v>
      </c>
      <c r="K45" s="6">
        <v>1</v>
      </c>
      <c r="L45" s="6">
        <v>1</v>
      </c>
      <c r="M45" s="6">
        <v>0</v>
      </c>
      <c r="N45" s="6">
        <v>2</v>
      </c>
      <c r="O45" s="6">
        <v>1</v>
      </c>
      <c r="P45" s="6">
        <v>2</v>
      </c>
      <c r="Q45" s="6">
        <v>3</v>
      </c>
      <c r="R45" s="6">
        <v>2</v>
      </c>
      <c r="S45" s="6">
        <v>3</v>
      </c>
      <c r="T45" s="6">
        <v>1</v>
      </c>
      <c r="U45" s="6">
        <v>4</v>
      </c>
      <c r="V45" s="6">
        <v>4</v>
      </c>
      <c r="W45" s="6">
        <v>0</v>
      </c>
      <c r="X45" s="6">
        <v>0</v>
      </c>
      <c r="Y45" s="6">
        <v>1</v>
      </c>
      <c r="Z45" s="5">
        <f t="shared" ref="Z45:Z51" si="28">SUM(E45:Y45)</f>
        <v>54</v>
      </c>
    </row>
    <row r="46" spans="1:26" x14ac:dyDescent="0.4">
      <c r="A46" s="11" t="s">
        <v>50</v>
      </c>
      <c r="B46" s="46"/>
      <c r="C46" s="24" t="s">
        <v>106</v>
      </c>
      <c r="D46" s="47"/>
      <c r="E46" s="6">
        <v>12</v>
      </c>
      <c r="F46" s="6">
        <v>12</v>
      </c>
      <c r="G46" s="6">
        <v>13</v>
      </c>
      <c r="H46" s="6">
        <v>22</v>
      </c>
      <c r="I46" s="6">
        <v>11</v>
      </c>
      <c r="J46" s="6">
        <v>3</v>
      </c>
      <c r="K46" s="6">
        <v>1</v>
      </c>
      <c r="L46" s="6">
        <v>0</v>
      </c>
      <c r="M46" s="6">
        <v>9</v>
      </c>
      <c r="N46" s="6">
        <v>12</v>
      </c>
      <c r="O46" s="6">
        <v>3</v>
      </c>
      <c r="P46" s="6">
        <v>17</v>
      </c>
      <c r="Q46" s="6">
        <v>13</v>
      </c>
      <c r="R46" s="6">
        <v>8</v>
      </c>
      <c r="S46" s="6">
        <v>1</v>
      </c>
      <c r="T46" s="6">
        <v>4</v>
      </c>
      <c r="U46" s="6">
        <v>3</v>
      </c>
      <c r="V46" s="6">
        <v>0</v>
      </c>
      <c r="W46" s="6">
        <v>3</v>
      </c>
      <c r="X46" s="6">
        <v>2</v>
      </c>
      <c r="Y46" s="6">
        <v>1</v>
      </c>
      <c r="Z46" s="5">
        <f t="shared" si="28"/>
        <v>150</v>
      </c>
    </row>
    <row r="47" spans="1:26" x14ac:dyDescent="0.4">
      <c r="A47" s="7"/>
      <c r="B47" s="46"/>
      <c r="C47" s="24" t="s">
        <v>107</v>
      </c>
      <c r="D47" s="47"/>
      <c r="E47" s="6">
        <v>0</v>
      </c>
      <c r="F47" s="6">
        <v>0</v>
      </c>
      <c r="G47" s="6">
        <v>3</v>
      </c>
      <c r="H47" s="6">
        <v>1</v>
      </c>
      <c r="I47" s="6">
        <v>0</v>
      </c>
      <c r="J47" s="6">
        <v>3</v>
      </c>
      <c r="K47" s="6">
        <v>1</v>
      </c>
      <c r="L47" s="6">
        <v>0</v>
      </c>
      <c r="M47" s="6">
        <v>2</v>
      </c>
      <c r="N47" s="6">
        <v>3</v>
      </c>
      <c r="O47" s="6">
        <v>2</v>
      </c>
      <c r="P47" s="6">
        <v>0</v>
      </c>
      <c r="Q47" s="6">
        <v>3</v>
      </c>
      <c r="R47" s="6">
        <v>7</v>
      </c>
      <c r="S47" s="6">
        <v>7</v>
      </c>
      <c r="T47" s="6">
        <v>0</v>
      </c>
      <c r="U47" s="6">
        <v>8</v>
      </c>
      <c r="V47" s="6">
        <v>5</v>
      </c>
      <c r="W47" s="6">
        <v>3</v>
      </c>
      <c r="X47" s="6">
        <v>5</v>
      </c>
      <c r="Y47" s="6">
        <v>3</v>
      </c>
      <c r="Z47" s="5">
        <f t="shared" si="28"/>
        <v>56</v>
      </c>
    </row>
    <row r="48" spans="1:26" x14ac:dyDescent="0.4">
      <c r="A48" s="7"/>
      <c r="B48" s="46"/>
      <c r="C48" s="24" t="s">
        <v>108</v>
      </c>
      <c r="D48" s="47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1</v>
      </c>
      <c r="N48" s="6">
        <v>1</v>
      </c>
      <c r="O48" s="6">
        <v>0</v>
      </c>
      <c r="P48" s="6">
        <v>3</v>
      </c>
      <c r="Q48" s="6">
        <v>0</v>
      </c>
      <c r="R48" s="6">
        <v>0</v>
      </c>
      <c r="S48" s="6">
        <v>1</v>
      </c>
      <c r="T48" s="6">
        <v>0</v>
      </c>
      <c r="U48" s="6">
        <v>0</v>
      </c>
      <c r="V48" s="6">
        <v>0</v>
      </c>
      <c r="W48" s="6">
        <v>0</v>
      </c>
      <c r="X48" s="6">
        <v>1</v>
      </c>
      <c r="Y48" s="6">
        <v>1</v>
      </c>
      <c r="Z48" s="5">
        <f t="shared" si="28"/>
        <v>8</v>
      </c>
    </row>
    <row r="49" spans="1:26" x14ac:dyDescent="0.4">
      <c r="A49" s="7"/>
      <c r="B49" s="46"/>
      <c r="C49" s="24" t="s">
        <v>109</v>
      </c>
      <c r="D49" s="47"/>
      <c r="E49" s="6">
        <v>0</v>
      </c>
      <c r="F49" s="6">
        <v>0</v>
      </c>
      <c r="G49" s="6">
        <v>1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3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1</v>
      </c>
      <c r="V49" s="6">
        <v>0</v>
      </c>
      <c r="W49" s="6">
        <v>0</v>
      </c>
      <c r="X49" s="6">
        <v>0</v>
      </c>
      <c r="Y49" s="6">
        <v>0</v>
      </c>
      <c r="Z49" s="5">
        <f t="shared" si="28"/>
        <v>5</v>
      </c>
    </row>
    <row r="50" spans="1:26" x14ac:dyDescent="0.4">
      <c r="A50" s="7"/>
      <c r="B50" s="46"/>
      <c r="C50" s="24" t="s">
        <v>110</v>
      </c>
      <c r="D50" s="47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3</v>
      </c>
      <c r="U50" s="6">
        <v>0</v>
      </c>
      <c r="V50" s="6">
        <v>1</v>
      </c>
      <c r="W50" s="6">
        <v>0</v>
      </c>
      <c r="X50" s="6">
        <v>0</v>
      </c>
      <c r="Y50" s="6">
        <v>0</v>
      </c>
      <c r="Z50" s="5">
        <f t="shared" si="28"/>
        <v>4</v>
      </c>
    </row>
    <row r="51" spans="1:26" x14ac:dyDescent="0.4">
      <c r="A51" s="7"/>
      <c r="B51" s="46"/>
      <c r="C51" s="24" t="s">
        <v>111</v>
      </c>
      <c r="D51" s="47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5">
        <f t="shared" si="28"/>
        <v>0</v>
      </c>
    </row>
    <row r="52" spans="1:26" x14ac:dyDescent="0.4">
      <c r="A52" s="6" t="s">
        <v>26</v>
      </c>
      <c r="B52" s="53" t="s">
        <v>51</v>
      </c>
      <c r="C52" s="69"/>
      <c r="D52" s="60"/>
      <c r="E52" s="5">
        <f>SUM(E45:E51)</f>
        <v>15</v>
      </c>
      <c r="F52" s="5">
        <f>SUM(F45:F51)</f>
        <v>13</v>
      </c>
      <c r="G52" s="5">
        <f>SUM(G45:G51)</f>
        <v>24</v>
      </c>
      <c r="H52" s="5">
        <f>SUM(H45:H51)</f>
        <v>27</v>
      </c>
      <c r="I52" s="5">
        <f>SUM(I45:I51)</f>
        <v>18</v>
      </c>
      <c r="J52" s="5">
        <f>SUM(J45:J51)</f>
        <v>13</v>
      </c>
      <c r="K52" s="5">
        <f>SUM(K45:K51)</f>
        <v>3</v>
      </c>
      <c r="L52" s="5">
        <f>SUM(L45:L51)</f>
        <v>1</v>
      </c>
      <c r="M52" s="5">
        <f>SUM(M45:M51)</f>
        <v>15</v>
      </c>
      <c r="N52" s="5">
        <f>SUM(N45:N51)</f>
        <v>18</v>
      </c>
      <c r="O52" s="5">
        <f>SUM(O45:O51)</f>
        <v>6</v>
      </c>
      <c r="P52" s="5">
        <f>SUM(P45:P51)</f>
        <v>22</v>
      </c>
      <c r="Q52" s="5">
        <f>SUM(Q45:Q51)</f>
        <v>19</v>
      </c>
      <c r="R52" s="5">
        <f>SUM(R45:R51)</f>
        <v>17</v>
      </c>
      <c r="S52" s="5">
        <f>SUM(S45:S51)</f>
        <v>12</v>
      </c>
      <c r="T52" s="5">
        <f>SUM(T45:T51)</f>
        <v>8</v>
      </c>
      <c r="U52" s="5">
        <f>SUM(U45:U51)</f>
        <v>16</v>
      </c>
      <c r="V52" s="5">
        <f>SUM(V45:V51)</f>
        <v>10</v>
      </c>
      <c r="W52" s="5">
        <f>SUM(W45:W51)</f>
        <v>6</v>
      </c>
      <c r="X52" s="5">
        <f>SUM(X45:X51)</f>
        <v>8</v>
      </c>
      <c r="Y52" s="5">
        <f>SUM(Y45:Y51)</f>
        <v>6</v>
      </c>
      <c r="Z52" s="5">
        <f>SUM(Z45:Z51)</f>
        <v>277</v>
      </c>
    </row>
    <row r="53" spans="1:26" x14ac:dyDescent="0.4">
      <c r="A53" s="70"/>
      <c r="B53" s="71"/>
      <c r="C53" s="71"/>
      <c r="D53" s="71"/>
      <c r="E53" s="71"/>
      <c r="Z53" s="5"/>
    </row>
    <row r="54" spans="1:26" x14ac:dyDescent="0.4">
      <c r="A54" s="11" t="s">
        <v>48</v>
      </c>
      <c r="B54" s="17" t="s">
        <v>30</v>
      </c>
      <c r="C54" s="59" t="s">
        <v>52</v>
      </c>
      <c r="D54" s="60"/>
      <c r="E54" s="6">
        <v>5</v>
      </c>
      <c r="F54" s="6">
        <v>6</v>
      </c>
      <c r="G54" s="6">
        <v>11</v>
      </c>
      <c r="H54" s="6">
        <v>7</v>
      </c>
      <c r="I54" s="6">
        <v>9</v>
      </c>
      <c r="J54" s="6">
        <v>10</v>
      </c>
      <c r="K54" s="6">
        <v>4</v>
      </c>
      <c r="L54" s="6">
        <v>0</v>
      </c>
      <c r="M54" s="6">
        <v>8</v>
      </c>
      <c r="N54" s="6">
        <v>7</v>
      </c>
      <c r="O54" s="6">
        <v>7</v>
      </c>
      <c r="P54" s="6">
        <v>6</v>
      </c>
      <c r="Q54" s="6">
        <v>9</v>
      </c>
      <c r="R54" s="6">
        <v>4</v>
      </c>
      <c r="S54" s="6">
        <v>4</v>
      </c>
      <c r="T54" s="6">
        <v>3</v>
      </c>
      <c r="U54" s="6">
        <v>3</v>
      </c>
      <c r="V54" s="6">
        <v>13</v>
      </c>
      <c r="W54" s="6">
        <v>7</v>
      </c>
      <c r="X54" s="6">
        <v>7</v>
      </c>
      <c r="Y54" s="6">
        <v>3</v>
      </c>
      <c r="Z54" s="5">
        <f t="shared" ref="Z54:Z60" si="29">SUM(E54:Y54)</f>
        <v>133</v>
      </c>
    </row>
    <row r="55" spans="1:26" x14ac:dyDescent="0.4">
      <c r="A55" s="11" t="s">
        <v>50</v>
      </c>
      <c r="B55" s="46"/>
      <c r="C55" s="24" t="s">
        <v>112</v>
      </c>
      <c r="D55" s="47"/>
      <c r="E55" s="6">
        <v>0</v>
      </c>
      <c r="F55" s="6">
        <v>2</v>
      </c>
      <c r="G55" s="6">
        <v>0</v>
      </c>
      <c r="H55" s="6">
        <v>1</v>
      </c>
      <c r="I55" s="6">
        <v>2</v>
      </c>
      <c r="J55" s="6">
        <v>1</v>
      </c>
      <c r="K55" s="6">
        <v>2</v>
      </c>
      <c r="L55" s="6">
        <v>3</v>
      </c>
      <c r="M55" s="6">
        <v>0</v>
      </c>
      <c r="N55" s="6">
        <v>3</v>
      </c>
      <c r="O55" s="6">
        <v>0</v>
      </c>
      <c r="P55" s="6">
        <v>0</v>
      </c>
      <c r="Q55" s="6">
        <v>1</v>
      </c>
      <c r="R55" s="6">
        <v>1</v>
      </c>
      <c r="S55" s="6">
        <v>1</v>
      </c>
      <c r="T55" s="6">
        <v>1</v>
      </c>
      <c r="U55" s="6">
        <v>2</v>
      </c>
      <c r="V55" s="6">
        <v>0</v>
      </c>
      <c r="W55" s="6">
        <v>1</v>
      </c>
      <c r="X55" s="6">
        <v>1</v>
      </c>
      <c r="Y55" s="6">
        <v>2</v>
      </c>
      <c r="Z55" s="5">
        <f t="shared" si="29"/>
        <v>24</v>
      </c>
    </row>
    <row r="56" spans="1:26" x14ac:dyDescent="0.4">
      <c r="A56" s="7"/>
      <c r="B56" s="46"/>
      <c r="C56" s="24" t="s">
        <v>113</v>
      </c>
      <c r="D56" s="47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1</v>
      </c>
      <c r="P56" s="6">
        <v>0</v>
      </c>
      <c r="Q56" s="6">
        <v>1</v>
      </c>
      <c r="R56" s="6">
        <v>0</v>
      </c>
      <c r="S56" s="6">
        <v>0</v>
      </c>
      <c r="T56" s="6">
        <v>0</v>
      </c>
      <c r="U56" s="6">
        <v>2</v>
      </c>
      <c r="V56" s="6">
        <v>2</v>
      </c>
      <c r="W56" s="6">
        <v>0</v>
      </c>
      <c r="X56" s="6">
        <v>0</v>
      </c>
      <c r="Y56" s="6">
        <v>0</v>
      </c>
      <c r="Z56" s="5">
        <f t="shared" si="29"/>
        <v>6</v>
      </c>
    </row>
    <row r="57" spans="1:26" x14ac:dyDescent="0.4">
      <c r="A57" s="7"/>
      <c r="B57" s="46"/>
      <c r="C57" s="24" t="s">
        <v>114</v>
      </c>
      <c r="D57" s="47"/>
      <c r="E57" s="6">
        <v>0</v>
      </c>
      <c r="F57" s="6">
        <v>0</v>
      </c>
      <c r="G57" s="6">
        <v>1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5">
        <f t="shared" si="29"/>
        <v>1</v>
      </c>
    </row>
    <row r="58" spans="1:26" x14ac:dyDescent="0.4">
      <c r="A58" s="7"/>
      <c r="B58" s="46"/>
      <c r="C58" s="24" t="s">
        <v>115</v>
      </c>
      <c r="D58" s="47"/>
      <c r="E58" s="6">
        <v>2</v>
      </c>
      <c r="F58" s="6">
        <v>1</v>
      </c>
      <c r="G58" s="6">
        <v>0</v>
      </c>
      <c r="H58" s="6">
        <v>1</v>
      </c>
      <c r="I58" s="6">
        <v>0</v>
      </c>
      <c r="J58" s="6">
        <v>3</v>
      </c>
      <c r="K58" s="6">
        <v>0</v>
      </c>
      <c r="L58" s="6">
        <v>0</v>
      </c>
      <c r="M58" s="6">
        <v>1</v>
      </c>
      <c r="N58" s="6">
        <v>1</v>
      </c>
      <c r="O58" s="6">
        <v>2</v>
      </c>
      <c r="P58" s="6">
        <v>2</v>
      </c>
      <c r="Q58" s="6">
        <v>2</v>
      </c>
      <c r="R58" s="6">
        <v>0</v>
      </c>
      <c r="S58" s="6">
        <v>3</v>
      </c>
      <c r="T58" s="6">
        <v>0</v>
      </c>
      <c r="U58" s="6">
        <v>0</v>
      </c>
      <c r="V58" s="6">
        <v>0</v>
      </c>
      <c r="W58" s="6">
        <v>0</v>
      </c>
      <c r="X58" s="6">
        <v>2</v>
      </c>
      <c r="Y58" s="6">
        <v>0</v>
      </c>
      <c r="Z58" s="5">
        <f t="shared" si="29"/>
        <v>20</v>
      </c>
    </row>
    <row r="59" spans="1:26" x14ac:dyDescent="0.4">
      <c r="A59" s="7"/>
      <c r="B59" s="46"/>
      <c r="C59" s="24" t="s">
        <v>116</v>
      </c>
      <c r="D59" s="47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1</v>
      </c>
      <c r="N59" s="6">
        <v>2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1</v>
      </c>
      <c r="V59" s="6">
        <v>0</v>
      </c>
      <c r="W59" s="6">
        <v>0</v>
      </c>
      <c r="X59" s="6">
        <v>0</v>
      </c>
      <c r="Y59" s="6">
        <v>0</v>
      </c>
      <c r="Z59" s="5">
        <f t="shared" si="29"/>
        <v>4</v>
      </c>
    </row>
    <row r="60" spans="1:26" ht="13.15" customHeight="1" x14ac:dyDescent="0.4">
      <c r="A60" s="7"/>
      <c r="B60" s="46"/>
      <c r="C60" s="24" t="s">
        <v>117</v>
      </c>
      <c r="D60" s="47"/>
      <c r="E60" s="6">
        <v>0</v>
      </c>
      <c r="F60" s="6">
        <v>4</v>
      </c>
      <c r="G60" s="6">
        <v>1</v>
      </c>
      <c r="H60" s="6">
        <v>0</v>
      </c>
      <c r="I60" s="6">
        <v>0</v>
      </c>
      <c r="J60" s="6">
        <v>0</v>
      </c>
      <c r="K60" s="6">
        <v>1</v>
      </c>
      <c r="L60" s="6">
        <v>0</v>
      </c>
      <c r="M60" s="6">
        <v>3</v>
      </c>
      <c r="N60" s="6">
        <v>2</v>
      </c>
      <c r="O60" s="6">
        <v>5</v>
      </c>
      <c r="P60" s="6">
        <v>0</v>
      </c>
      <c r="Q60" s="6">
        <v>4</v>
      </c>
      <c r="R60" s="6">
        <v>3</v>
      </c>
      <c r="S60" s="6">
        <v>1</v>
      </c>
      <c r="T60" s="6">
        <v>1</v>
      </c>
      <c r="U60" s="6">
        <v>0</v>
      </c>
      <c r="V60" s="6">
        <v>1</v>
      </c>
      <c r="W60" s="6">
        <v>0</v>
      </c>
      <c r="X60" s="6">
        <v>0</v>
      </c>
      <c r="Y60" s="6">
        <v>1</v>
      </c>
      <c r="Z60" s="5">
        <f t="shared" si="29"/>
        <v>27</v>
      </c>
    </row>
    <row r="61" spans="1:26" x14ac:dyDescent="0.4">
      <c r="A61" s="6" t="s">
        <v>26</v>
      </c>
      <c r="B61" s="53" t="s">
        <v>51</v>
      </c>
      <c r="C61" s="69"/>
      <c r="D61" s="60"/>
      <c r="E61" s="5">
        <f>SUM(E54:E60)</f>
        <v>7</v>
      </c>
      <c r="F61" s="5">
        <f>SUM(F54:F60)</f>
        <v>13</v>
      </c>
      <c r="G61" s="5">
        <f>SUM(G54:G60)</f>
        <v>13</v>
      </c>
      <c r="H61" s="5">
        <f>SUM(H54:H60)</f>
        <v>9</v>
      </c>
      <c r="I61" s="5">
        <f>SUM(I54:I60)</f>
        <v>11</v>
      </c>
      <c r="J61" s="5">
        <f>SUM(J54:J60)</f>
        <v>14</v>
      </c>
      <c r="K61" s="5">
        <f>SUM(K54:K60)</f>
        <v>7</v>
      </c>
      <c r="L61" s="5">
        <f>SUM(L54:L60)</f>
        <v>3</v>
      </c>
      <c r="M61" s="5">
        <f>SUM(M54:M60)</f>
        <v>13</v>
      </c>
      <c r="N61" s="5">
        <f>SUM(N54:N60)</f>
        <v>15</v>
      </c>
      <c r="O61" s="5">
        <f>SUM(O54:O60)</f>
        <v>15</v>
      </c>
      <c r="P61" s="5">
        <f>SUM(P54:P60)</f>
        <v>8</v>
      </c>
      <c r="Q61" s="5">
        <f>SUM(Q54:Q60)</f>
        <v>17</v>
      </c>
      <c r="R61" s="5">
        <f>SUM(R54:R60)</f>
        <v>8</v>
      </c>
      <c r="S61" s="5">
        <f>SUM(S54:S60)</f>
        <v>9</v>
      </c>
      <c r="T61" s="5">
        <f>SUM(T54:T60)</f>
        <v>5</v>
      </c>
      <c r="U61" s="5">
        <f>SUM(U54:U60)</f>
        <v>8</v>
      </c>
      <c r="V61" s="5">
        <f>SUM(V54:V60)</f>
        <v>16</v>
      </c>
      <c r="W61" s="5">
        <f>SUM(W54:W60)</f>
        <v>8</v>
      </c>
      <c r="X61" s="5">
        <f>SUM(X54:X60)</f>
        <v>10</v>
      </c>
      <c r="Y61" s="5">
        <f>SUM(Y54:Y60)</f>
        <v>6</v>
      </c>
      <c r="Z61" s="5">
        <f>SUM(Z54:Z60)</f>
        <v>215</v>
      </c>
    </row>
    <row r="62" spans="1:26" x14ac:dyDescent="0.4">
      <c r="A62" s="70"/>
      <c r="B62" s="71"/>
      <c r="C62" s="71"/>
      <c r="D62" s="71"/>
      <c r="E62" s="71"/>
    </row>
    <row r="63" spans="1:26" x14ac:dyDescent="0.4">
      <c r="A63" s="11" t="s">
        <v>48</v>
      </c>
      <c r="B63" s="17" t="s">
        <v>32</v>
      </c>
      <c r="C63" s="59" t="s">
        <v>53</v>
      </c>
      <c r="D63" s="60"/>
      <c r="E63" s="6">
        <v>1</v>
      </c>
      <c r="F63" s="6">
        <v>3</v>
      </c>
      <c r="G63" s="6">
        <v>2</v>
      </c>
      <c r="H63" s="6">
        <v>5</v>
      </c>
      <c r="I63" s="6">
        <v>3</v>
      </c>
      <c r="J63" s="6">
        <v>0</v>
      </c>
      <c r="K63" s="6">
        <v>3</v>
      </c>
      <c r="L63" s="6">
        <v>0</v>
      </c>
      <c r="M63" s="6">
        <v>0</v>
      </c>
      <c r="N63" s="6">
        <v>3</v>
      </c>
      <c r="O63" s="6">
        <v>3</v>
      </c>
      <c r="P63" s="6">
        <v>0</v>
      </c>
      <c r="Q63" s="6">
        <v>0</v>
      </c>
      <c r="R63" s="6">
        <v>1</v>
      </c>
      <c r="S63" s="6">
        <v>2</v>
      </c>
      <c r="T63" s="6">
        <v>2</v>
      </c>
      <c r="U63" s="6">
        <v>2</v>
      </c>
      <c r="V63" s="6">
        <v>6</v>
      </c>
      <c r="W63" s="6">
        <v>4</v>
      </c>
      <c r="X63" s="6">
        <v>5</v>
      </c>
      <c r="Y63" s="6">
        <v>2</v>
      </c>
      <c r="Z63" s="5">
        <f t="shared" ref="Z63:Z69" si="30">SUM(E63:Y63)</f>
        <v>47</v>
      </c>
    </row>
    <row r="64" spans="1:26" x14ac:dyDescent="0.4">
      <c r="A64" s="11" t="s">
        <v>50</v>
      </c>
      <c r="B64" s="46"/>
      <c r="C64" s="24" t="s">
        <v>118</v>
      </c>
      <c r="D64" s="47"/>
      <c r="E64" s="6">
        <v>1</v>
      </c>
      <c r="F64" s="6">
        <v>0</v>
      </c>
      <c r="G64" s="6">
        <v>1</v>
      </c>
      <c r="H64" s="6">
        <v>0</v>
      </c>
      <c r="I64" s="6">
        <v>0</v>
      </c>
      <c r="J64" s="6">
        <v>0</v>
      </c>
      <c r="K64" s="6">
        <v>7</v>
      </c>
      <c r="L64" s="6">
        <v>0</v>
      </c>
      <c r="M64" s="6">
        <v>1</v>
      </c>
      <c r="N64" s="6">
        <v>0</v>
      </c>
      <c r="O64" s="6">
        <v>3</v>
      </c>
      <c r="P64" s="6">
        <v>0</v>
      </c>
      <c r="Q64" s="6">
        <v>1</v>
      </c>
      <c r="R64" s="6">
        <v>0</v>
      </c>
      <c r="S64" s="6">
        <v>2</v>
      </c>
      <c r="T64" s="6">
        <v>1</v>
      </c>
      <c r="U64" s="6">
        <v>1</v>
      </c>
      <c r="V64" s="6">
        <v>2</v>
      </c>
      <c r="W64" s="6">
        <v>0</v>
      </c>
      <c r="X64" s="6">
        <v>0</v>
      </c>
      <c r="Y64" s="6">
        <v>1</v>
      </c>
      <c r="Z64" s="5">
        <f t="shared" si="30"/>
        <v>21</v>
      </c>
    </row>
    <row r="65" spans="1:26" x14ac:dyDescent="0.4">
      <c r="A65" s="7"/>
      <c r="B65" s="46"/>
      <c r="C65" s="24" t="s">
        <v>119</v>
      </c>
      <c r="D65" s="47"/>
      <c r="E65" s="6">
        <v>3</v>
      </c>
      <c r="F65" s="6">
        <v>2</v>
      </c>
      <c r="G65" s="6">
        <v>5</v>
      </c>
      <c r="H65" s="6">
        <v>3</v>
      </c>
      <c r="I65" s="6">
        <v>0</v>
      </c>
      <c r="J65" s="6">
        <v>0</v>
      </c>
      <c r="K65" s="6">
        <v>2</v>
      </c>
      <c r="L65" s="6">
        <v>0</v>
      </c>
      <c r="M65" s="6">
        <v>1</v>
      </c>
      <c r="N65" s="6">
        <v>0</v>
      </c>
      <c r="O65" s="6">
        <v>3</v>
      </c>
      <c r="P65" s="6">
        <v>0</v>
      </c>
      <c r="Q65" s="6">
        <v>1</v>
      </c>
      <c r="R65" s="6">
        <v>3</v>
      </c>
      <c r="S65" s="6">
        <v>1</v>
      </c>
      <c r="T65" s="6">
        <v>1</v>
      </c>
      <c r="U65" s="6">
        <v>2</v>
      </c>
      <c r="V65" s="6">
        <v>1</v>
      </c>
      <c r="W65" s="6">
        <v>7</v>
      </c>
      <c r="X65" s="6">
        <v>0</v>
      </c>
      <c r="Y65" s="6">
        <v>0</v>
      </c>
      <c r="Z65" s="5">
        <f t="shared" si="30"/>
        <v>35</v>
      </c>
    </row>
    <row r="66" spans="1:26" x14ac:dyDescent="0.4">
      <c r="A66" s="7"/>
      <c r="B66" s="46"/>
      <c r="C66" s="24" t="s">
        <v>120</v>
      </c>
      <c r="D66" s="47"/>
      <c r="E66" s="6">
        <v>0</v>
      </c>
      <c r="F66" s="6">
        <v>2</v>
      </c>
      <c r="G66" s="6">
        <v>1</v>
      </c>
      <c r="H66" s="6">
        <v>3</v>
      </c>
      <c r="I66" s="6">
        <v>0</v>
      </c>
      <c r="J66" s="6">
        <v>2</v>
      </c>
      <c r="K66" s="6">
        <v>1</v>
      </c>
      <c r="L66" s="6">
        <v>0</v>
      </c>
      <c r="M66" s="6">
        <v>3</v>
      </c>
      <c r="N66" s="6">
        <v>0</v>
      </c>
      <c r="O66" s="6">
        <v>1</v>
      </c>
      <c r="P66" s="6">
        <v>1</v>
      </c>
      <c r="Q66" s="6">
        <v>0</v>
      </c>
      <c r="R66" s="6">
        <v>0</v>
      </c>
      <c r="S66" s="6">
        <v>1</v>
      </c>
      <c r="T66" s="6">
        <v>1</v>
      </c>
      <c r="U66" s="6">
        <v>2</v>
      </c>
      <c r="V66" s="6">
        <v>25</v>
      </c>
      <c r="W66" s="6">
        <v>8</v>
      </c>
      <c r="X66" s="6">
        <v>46</v>
      </c>
      <c r="Y66" s="6">
        <v>9</v>
      </c>
      <c r="Z66" s="5">
        <f t="shared" si="30"/>
        <v>106</v>
      </c>
    </row>
    <row r="67" spans="1:26" x14ac:dyDescent="0.4">
      <c r="A67" s="7"/>
      <c r="B67" s="46"/>
      <c r="C67" s="24" t="s">
        <v>121</v>
      </c>
      <c r="D67" s="47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10</v>
      </c>
      <c r="Q67" s="6">
        <v>15</v>
      </c>
      <c r="R67" s="6">
        <v>0</v>
      </c>
      <c r="S67" s="6">
        <v>15</v>
      </c>
      <c r="T67" s="6">
        <v>10</v>
      </c>
      <c r="U67" s="6">
        <v>12</v>
      </c>
      <c r="V67" s="6">
        <v>23</v>
      </c>
      <c r="W67" s="6">
        <v>5</v>
      </c>
      <c r="X67" s="6">
        <v>3</v>
      </c>
      <c r="Y67" s="6">
        <v>0</v>
      </c>
      <c r="Z67" s="5">
        <f t="shared" si="30"/>
        <v>93</v>
      </c>
    </row>
    <row r="68" spans="1:26" ht="13.15" customHeight="1" x14ac:dyDescent="0.4">
      <c r="A68" s="7"/>
      <c r="B68" s="46"/>
      <c r="C68" s="24" t="s">
        <v>122</v>
      </c>
      <c r="D68" s="47"/>
      <c r="E68" s="6">
        <v>2</v>
      </c>
      <c r="F68" s="6">
        <v>0</v>
      </c>
      <c r="G68" s="6">
        <v>2</v>
      </c>
      <c r="H68" s="6">
        <v>6</v>
      </c>
      <c r="I68" s="6">
        <v>2</v>
      </c>
      <c r="J68" s="6">
        <v>0</v>
      </c>
      <c r="K68" s="6">
        <v>0</v>
      </c>
      <c r="L68" s="6">
        <v>0</v>
      </c>
      <c r="M68" s="6">
        <v>0</v>
      </c>
      <c r="N68" s="6">
        <v>1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3</v>
      </c>
      <c r="Y68" s="6">
        <v>2</v>
      </c>
      <c r="Z68" s="5">
        <f t="shared" si="30"/>
        <v>18</v>
      </c>
    </row>
    <row r="69" spans="1:26" x14ac:dyDescent="0.4">
      <c r="A69" s="7"/>
      <c r="B69" s="46"/>
      <c r="C69" s="24" t="s">
        <v>123</v>
      </c>
      <c r="D69" s="47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5">
        <f t="shared" si="30"/>
        <v>0</v>
      </c>
    </row>
    <row r="70" spans="1:26" x14ac:dyDescent="0.4">
      <c r="A70" s="6" t="s">
        <v>26</v>
      </c>
      <c r="B70" s="53" t="s">
        <v>51</v>
      </c>
      <c r="C70" s="69"/>
      <c r="D70" s="60"/>
      <c r="E70" s="5">
        <f>SUM(E63:E69)</f>
        <v>7</v>
      </c>
      <c r="F70" s="5">
        <f>SUM(F63:F69)</f>
        <v>7</v>
      </c>
      <c r="G70" s="5">
        <f>SUM(G63:G69)</f>
        <v>11</v>
      </c>
      <c r="H70" s="5">
        <f>SUM(H63:H69)</f>
        <v>17</v>
      </c>
      <c r="I70" s="5">
        <f>SUM(I63:I69)</f>
        <v>5</v>
      </c>
      <c r="J70" s="5">
        <f>SUM(J63:J69)</f>
        <v>2</v>
      </c>
      <c r="K70" s="5">
        <f>SUM(K63:K69)</f>
        <v>13</v>
      </c>
      <c r="L70" s="5">
        <f>SUM(L63:L69)</f>
        <v>0</v>
      </c>
      <c r="M70" s="5">
        <f>SUM(M63:M69)</f>
        <v>5</v>
      </c>
      <c r="N70" s="5">
        <f>SUM(N63:N69)</f>
        <v>4</v>
      </c>
      <c r="O70" s="5">
        <f>SUM(O63:O69)</f>
        <v>10</v>
      </c>
      <c r="P70" s="5">
        <f>SUM(P63:P69)</f>
        <v>11</v>
      </c>
      <c r="Q70" s="5">
        <f>SUM(Q63:Q69)</f>
        <v>17</v>
      </c>
      <c r="R70" s="5">
        <f>SUM(R63:R69)</f>
        <v>4</v>
      </c>
      <c r="S70" s="5">
        <f>SUM(S63:S69)</f>
        <v>21</v>
      </c>
      <c r="T70" s="5">
        <f>SUM(T63:T69)</f>
        <v>15</v>
      </c>
      <c r="U70" s="5">
        <f>SUM(U63:U69)</f>
        <v>19</v>
      </c>
      <c r="V70" s="5">
        <f>SUM(V63:V69)</f>
        <v>57</v>
      </c>
      <c r="W70" s="5">
        <f>SUM(W63:W69)</f>
        <v>24</v>
      </c>
      <c r="X70" s="5">
        <f>SUM(X63:X69)</f>
        <v>57</v>
      </c>
      <c r="Y70" s="5">
        <f>SUM(Y63:Y69)</f>
        <v>14</v>
      </c>
      <c r="Z70" s="5">
        <f>SUM(Z63:Z69)</f>
        <v>320</v>
      </c>
    </row>
    <row r="71" spans="1:26" x14ac:dyDescent="0.4">
      <c r="A71" s="70"/>
      <c r="B71" s="71"/>
      <c r="C71" s="71"/>
      <c r="D71" s="71"/>
      <c r="E71" s="71"/>
    </row>
    <row r="72" spans="1:26" x14ac:dyDescent="0.4">
      <c r="A72" s="11" t="s">
        <v>48</v>
      </c>
      <c r="B72" s="17" t="s">
        <v>34</v>
      </c>
      <c r="C72" s="59" t="s">
        <v>54</v>
      </c>
      <c r="D72" s="60"/>
      <c r="E72" s="6">
        <v>1</v>
      </c>
      <c r="F72" s="6">
        <v>5</v>
      </c>
      <c r="G72" s="6">
        <v>1</v>
      </c>
      <c r="H72" s="6">
        <v>2</v>
      </c>
      <c r="I72" s="6">
        <v>2</v>
      </c>
      <c r="J72" s="6">
        <v>0</v>
      </c>
      <c r="K72" s="6">
        <v>0</v>
      </c>
      <c r="L72" s="6">
        <v>0</v>
      </c>
      <c r="M72" s="6">
        <v>1</v>
      </c>
      <c r="N72" s="6">
        <v>0</v>
      </c>
      <c r="O72" s="6">
        <v>1</v>
      </c>
      <c r="P72" s="6">
        <v>0</v>
      </c>
      <c r="Q72" s="6">
        <v>0</v>
      </c>
      <c r="R72" s="6">
        <v>0</v>
      </c>
      <c r="S72" s="6">
        <v>1</v>
      </c>
      <c r="T72" s="6">
        <v>0</v>
      </c>
      <c r="U72" s="6">
        <v>0</v>
      </c>
      <c r="V72" s="6">
        <v>2</v>
      </c>
      <c r="W72" s="6">
        <v>1</v>
      </c>
      <c r="X72" s="6">
        <v>1</v>
      </c>
      <c r="Y72" s="6">
        <v>0</v>
      </c>
      <c r="Z72" s="5">
        <f t="shared" ref="Z72:Z78" si="31">SUM(E72:Y72)</f>
        <v>18</v>
      </c>
    </row>
    <row r="73" spans="1:26" x14ac:dyDescent="0.4">
      <c r="A73" s="11" t="s">
        <v>50</v>
      </c>
      <c r="B73" s="46"/>
      <c r="C73" s="24" t="s">
        <v>124</v>
      </c>
      <c r="D73" s="47"/>
      <c r="E73" s="6">
        <v>6</v>
      </c>
      <c r="F73" s="6">
        <v>13</v>
      </c>
      <c r="G73" s="6">
        <v>18</v>
      </c>
      <c r="H73" s="6">
        <v>6</v>
      </c>
      <c r="I73" s="6">
        <v>8</v>
      </c>
      <c r="J73" s="6">
        <v>0</v>
      </c>
      <c r="K73" s="6">
        <v>0</v>
      </c>
      <c r="L73" s="6">
        <v>0</v>
      </c>
      <c r="M73" s="6">
        <v>3</v>
      </c>
      <c r="N73" s="6">
        <v>7</v>
      </c>
      <c r="O73" s="6">
        <v>1</v>
      </c>
      <c r="P73" s="6">
        <v>0</v>
      </c>
      <c r="Q73" s="6">
        <v>0</v>
      </c>
      <c r="R73" s="6">
        <v>0</v>
      </c>
      <c r="S73" s="6">
        <v>1</v>
      </c>
      <c r="T73" s="6">
        <v>1</v>
      </c>
      <c r="U73" s="6">
        <v>0</v>
      </c>
      <c r="V73" s="6">
        <v>0</v>
      </c>
      <c r="W73" s="6">
        <v>4</v>
      </c>
      <c r="X73" s="6">
        <v>0</v>
      </c>
      <c r="Y73" s="6">
        <v>3</v>
      </c>
      <c r="Z73" s="5">
        <f t="shared" si="31"/>
        <v>71</v>
      </c>
    </row>
    <row r="74" spans="1:26" x14ac:dyDescent="0.4">
      <c r="A74" s="7"/>
      <c r="B74" s="46"/>
      <c r="C74" s="24" t="s">
        <v>125</v>
      </c>
      <c r="D74" s="47"/>
      <c r="E74" s="6">
        <v>0</v>
      </c>
      <c r="F74" s="6">
        <v>0</v>
      </c>
      <c r="G74" s="6">
        <v>0</v>
      </c>
      <c r="H74" s="6">
        <v>0</v>
      </c>
      <c r="I74" s="6">
        <v>1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5">
        <f t="shared" si="31"/>
        <v>1</v>
      </c>
    </row>
    <row r="75" spans="1:26" x14ac:dyDescent="0.4">
      <c r="A75" s="7"/>
      <c r="B75" s="46"/>
      <c r="C75" s="24" t="s">
        <v>126</v>
      </c>
      <c r="D75" s="47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5">
        <f t="shared" si="31"/>
        <v>0</v>
      </c>
    </row>
    <row r="76" spans="1:26" ht="13.15" customHeight="1" x14ac:dyDescent="0.4">
      <c r="A76" s="7"/>
      <c r="B76" s="46"/>
      <c r="C76" s="24" t="s">
        <v>127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1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1</v>
      </c>
      <c r="W76" s="6">
        <v>0</v>
      </c>
      <c r="X76" s="6">
        <v>0</v>
      </c>
      <c r="Y76" s="6">
        <v>1</v>
      </c>
      <c r="Z76" s="5">
        <f t="shared" si="31"/>
        <v>3</v>
      </c>
    </row>
    <row r="77" spans="1:26" x14ac:dyDescent="0.4">
      <c r="A77" s="7"/>
      <c r="B77" s="46"/>
      <c r="C77" s="24" t="s">
        <v>128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5">
        <f t="shared" si="31"/>
        <v>0</v>
      </c>
    </row>
    <row r="78" spans="1:26" x14ac:dyDescent="0.4">
      <c r="A78" s="7"/>
      <c r="B78" s="46"/>
      <c r="C78" s="24" t="s">
        <v>129</v>
      </c>
      <c r="D78" s="47"/>
      <c r="E78" s="6">
        <v>0</v>
      </c>
      <c r="F78" s="6">
        <v>0</v>
      </c>
      <c r="G78" s="6">
        <v>0</v>
      </c>
      <c r="H78" s="6">
        <v>0</v>
      </c>
      <c r="I78" s="6">
        <v>2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1</v>
      </c>
      <c r="R78" s="6">
        <v>1</v>
      </c>
      <c r="S78" s="6">
        <v>1</v>
      </c>
      <c r="T78" s="6">
        <v>2</v>
      </c>
      <c r="U78" s="6">
        <v>1</v>
      </c>
      <c r="V78" s="6">
        <v>2</v>
      </c>
      <c r="W78" s="6">
        <v>0</v>
      </c>
      <c r="X78" s="6">
        <v>5</v>
      </c>
      <c r="Y78" s="6">
        <v>9</v>
      </c>
      <c r="Z78" s="5">
        <f t="shared" si="31"/>
        <v>24</v>
      </c>
    </row>
    <row r="79" spans="1:26" x14ac:dyDescent="0.4">
      <c r="A79" s="6" t="s">
        <v>26</v>
      </c>
      <c r="B79" s="53" t="s">
        <v>51</v>
      </c>
      <c r="C79" s="69"/>
      <c r="D79" s="60"/>
      <c r="E79" s="5">
        <f>SUM(E72:E78)</f>
        <v>7</v>
      </c>
      <c r="F79" s="5">
        <f>SUM(F72:F78)</f>
        <v>18</v>
      </c>
      <c r="G79" s="5">
        <f>SUM(G72:G78)</f>
        <v>19</v>
      </c>
      <c r="H79" s="5">
        <f>SUM(H72:H78)</f>
        <v>8</v>
      </c>
      <c r="I79" s="5">
        <f>SUM(I72:I78)</f>
        <v>14</v>
      </c>
      <c r="J79" s="5">
        <f>SUM(J72:J78)</f>
        <v>0</v>
      </c>
      <c r="K79" s="5">
        <f>SUM(K72:K78)</f>
        <v>0</v>
      </c>
      <c r="L79" s="5">
        <f>SUM(L72:L78)</f>
        <v>0</v>
      </c>
      <c r="M79" s="5">
        <f>SUM(M72:M78)</f>
        <v>4</v>
      </c>
      <c r="N79" s="5">
        <f>SUM(N72:N78)</f>
        <v>7</v>
      </c>
      <c r="O79" s="5">
        <f>SUM(O72:O78)</f>
        <v>2</v>
      </c>
      <c r="P79" s="5">
        <f>SUM(P72:P78)</f>
        <v>0</v>
      </c>
      <c r="Q79" s="5">
        <f>SUM(Q72:Q78)</f>
        <v>1</v>
      </c>
      <c r="R79" s="5">
        <f>SUM(R72:R78)</f>
        <v>1</v>
      </c>
      <c r="S79" s="5">
        <f>SUM(S72:S78)</f>
        <v>3</v>
      </c>
      <c r="T79" s="5">
        <f>SUM(T72:T78)</f>
        <v>3</v>
      </c>
      <c r="U79" s="5">
        <f>SUM(U72:U78)</f>
        <v>1</v>
      </c>
      <c r="V79" s="5">
        <f>SUM(V72:V78)</f>
        <v>5</v>
      </c>
      <c r="W79" s="5">
        <f>SUM(W72:W78)</f>
        <v>5</v>
      </c>
      <c r="X79" s="5">
        <f>SUM(X72:X78)</f>
        <v>6</v>
      </c>
      <c r="Y79" s="5">
        <f>SUM(Y72:Y78)</f>
        <v>13</v>
      </c>
      <c r="Z79" s="5">
        <f>SUM(Z72:Z78)</f>
        <v>117</v>
      </c>
    </row>
    <row r="80" spans="1:26" x14ac:dyDescent="0.4">
      <c r="A80" s="70"/>
      <c r="B80" s="71"/>
      <c r="C80" s="71"/>
      <c r="D80" s="71"/>
      <c r="E80" s="71"/>
    </row>
    <row r="81" spans="1:26" x14ac:dyDescent="0.4">
      <c r="A81" s="11" t="s">
        <v>48</v>
      </c>
      <c r="B81" s="17" t="s">
        <v>55</v>
      </c>
      <c r="C81" s="59" t="s">
        <v>56</v>
      </c>
      <c r="D81" s="60"/>
      <c r="E81" s="6">
        <v>1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1</v>
      </c>
      <c r="R81" s="6">
        <v>2</v>
      </c>
      <c r="S81" s="6">
        <v>5</v>
      </c>
      <c r="T81" s="6">
        <v>1</v>
      </c>
      <c r="U81" s="6">
        <v>6</v>
      </c>
      <c r="V81" s="6">
        <v>1</v>
      </c>
      <c r="W81" s="6">
        <v>2</v>
      </c>
      <c r="X81" s="6">
        <v>0</v>
      </c>
      <c r="Y81" s="6">
        <v>0</v>
      </c>
      <c r="Z81" s="5">
        <f t="shared" ref="Z81:Z87" si="32">SUM(E81:Y81)</f>
        <v>19</v>
      </c>
    </row>
    <row r="82" spans="1:26" x14ac:dyDescent="0.4">
      <c r="A82" s="11" t="s">
        <v>50</v>
      </c>
      <c r="B82" s="46"/>
      <c r="C82" s="24" t="s">
        <v>130</v>
      </c>
      <c r="D82" s="47"/>
      <c r="E82" s="6">
        <v>1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2</v>
      </c>
      <c r="R82" s="6">
        <v>0</v>
      </c>
      <c r="S82" s="6">
        <v>1</v>
      </c>
      <c r="T82" s="6">
        <v>1</v>
      </c>
      <c r="U82" s="6">
        <v>0</v>
      </c>
      <c r="V82" s="6">
        <v>0</v>
      </c>
      <c r="W82" s="6">
        <v>0</v>
      </c>
      <c r="X82" s="6">
        <v>0</v>
      </c>
      <c r="Y82" s="6">
        <v>1</v>
      </c>
      <c r="Z82" s="5">
        <f t="shared" si="32"/>
        <v>6</v>
      </c>
    </row>
    <row r="83" spans="1:26" x14ac:dyDescent="0.4">
      <c r="A83" s="7"/>
      <c r="B83" s="46"/>
      <c r="C83" s="24" t="s">
        <v>131</v>
      </c>
      <c r="D83" s="47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2</v>
      </c>
      <c r="P83" s="6">
        <v>1</v>
      </c>
      <c r="Q83" s="6">
        <v>22</v>
      </c>
      <c r="R83" s="6">
        <v>8</v>
      </c>
      <c r="S83" s="6">
        <v>46</v>
      </c>
      <c r="T83" s="6">
        <v>25</v>
      </c>
      <c r="U83" s="6">
        <v>51</v>
      </c>
      <c r="V83" s="6">
        <v>9</v>
      </c>
      <c r="W83" s="6">
        <v>20</v>
      </c>
      <c r="X83" s="6">
        <v>1</v>
      </c>
      <c r="Y83" s="6">
        <v>1</v>
      </c>
      <c r="Z83" s="5">
        <f t="shared" si="32"/>
        <v>186</v>
      </c>
    </row>
    <row r="84" spans="1:26" ht="13.15" customHeight="1" x14ac:dyDescent="0.4">
      <c r="A84" s="7"/>
      <c r="B84" s="46"/>
      <c r="C84" s="24" t="s">
        <v>132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1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5">
        <f t="shared" si="32"/>
        <v>1</v>
      </c>
    </row>
    <row r="85" spans="1:26" x14ac:dyDescent="0.4">
      <c r="A85" s="7"/>
      <c r="B85" s="46"/>
      <c r="C85" s="24" t="s">
        <v>133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1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5">
        <f t="shared" si="32"/>
        <v>1</v>
      </c>
    </row>
    <row r="86" spans="1:26" x14ac:dyDescent="0.4">
      <c r="A86" s="7"/>
      <c r="B86" s="46"/>
      <c r="C86" s="24" t="s">
        <v>134</v>
      </c>
      <c r="D86" s="47"/>
      <c r="E86" s="6">
        <v>0</v>
      </c>
      <c r="F86" s="6">
        <v>0</v>
      </c>
      <c r="G86" s="6">
        <v>0</v>
      </c>
      <c r="H86" s="6">
        <v>1</v>
      </c>
      <c r="I86" s="6">
        <v>1</v>
      </c>
      <c r="J86" s="6">
        <v>0</v>
      </c>
      <c r="K86" s="6">
        <v>14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2</v>
      </c>
      <c r="S86" s="6">
        <v>1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5">
        <f t="shared" si="32"/>
        <v>19</v>
      </c>
    </row>
    <row r="87" spans="1:26" x14ac:dyDescent="0.4">
      <c r="A87" s="7"/>
      <c r="B87" s="46"/>
      <c r="C87" s="24" t="s">
        <v>135</v>
      </c>
      <c r="D87" s="47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1</v>
      </c>
      <c r="L87" s="6">
        <v>0</v>
      </c>
      <c r="M87" s="6">
        <v>0</v>
      </c>
      <c r="N87" s="6">
        <v>0</v>
      </c>
      <c r="O87" s="6">
        <v>1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1</v>
      </c>
      <c r="V87" s="6">
        <v>2</v>
      </c>
      <c r="W87" s="6">
        <v>0</v>
      </c>
      <c r="X87" s="6">
        <v>0</v>
      </c>
      <c r="Y87" s="6">
        <v>0</v>
      </c>
      <c r="Z87" s="5">
        <f t="shared" si="32"/>
        <v>5</v>
      </c>
    </row>
    <row r="88" spans="1:26" x14ac:dyDescent="0.4">
      <c r="A88" s="6" t="s">
        <v>26</v>
      </c>
      <c r="B88" s="53" t="s">
        <v>51</v>
      </c>
      <c r="C88" s="69"/>
      <c r="D88" s="60"/>
      <c r="E88" s="5">
        <f>SUM(E81:E87)</f>
        <v>2</v>
      </c>
      <c r="F88" s="5">
        <f>SUM(F81:F87)</f>
        <v>0</v>
      </c>
      <c r="G88" s="5">
        <f>SUM(G81:G87)</f>
        <v>0</v>
      </c>
      <c r="H88" s="5">
        <f>SUM(H81:H87)</f>
        <v>1</v>
      </c>
      <c r="I88" s="5">
        <f>SUM(I81:I87)</f>
        <v>1</v>
      </c>
      <c r="J88" s="5">
        <f>SUM(J81:J87)</f>
        <v>0</v>
      </c>
      <c r="K88" s="5">
        <f>SUM(K81:K87)</f>
        <v>15</v>
      </c>
      <c r="L88" s="5">
        <f>SUM(L81:L87)</f>
        <v>0</v>
      </c>
      <c r="M88" s="5">
        <f>SUM(M81:M87)</f>
        <v>0</v>
      </c>
      <c r="N88" s="5">
        <f>SUM(N81:N87)</f>
        <v>0</v>
      </c>
      <c r="O88" s="5">
        <f>SUM(O81:O87)</f>
        <v>3</v>
      </c>
      <c r="P88" s="5">
        <f>SUM(P81:P87)</f>
        <v>1</v>
      </c>
      <c r="Q88" s="5">
        <f>SUM(Q81:Q87)</f>
        <v>25</v>
      </c>
      <c r="R88" s="5">
        <f>SUM(R81:R87)</f>
        <v>14</v>
      </c>
      <c r="S88" s="5">
        <f>SUM(S81:S87)</f>
        <v>53</v>
      </c>
      <c r="T88" s="5">
        <f>SUM(T81:T87)</f>
        <v>27</v>
      </c>
      <c r="U88" s="5">
        <f>SUM(U81:U87)</f>
        <v>58</v>
      </c>
      <c r="V88" s="5">
        <f>SUM(V81:V87)</f>
        <v>12</v>
      </c>
      <c r="W88" s="5">
        <f>SUM(W81:W87)</f>
        <v>22</v>
      </c>
      <c r="X88" s="5">
        <f>SUM(X81:X87)</f>
        <v>1</v>
      </c>
      <c r="Y88" s="5">
        <f>SUM(Y81:Y87)</f>
        <v>2</v>
      </c>
      <c r="Z88" s="5">
        <f>SUM(Z81:Z87)</f>
        <v>237</v>
      </c>
    </row>
    <row r="89" spans="1:26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x14ac:dyDescent="0.4">
      <c r="A90" s="11" t="s">
        <v>48</v>
      </c>
      <c r="B90" s="17" t="s">
        <v>57</v>
      </c>
      <c r="C90" s="59" t="s">
        <v>58</v>
      </c>
      <c r="D90" s="60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2</v>
      </c>
      <c r="L90" s="6">
        <v>0</v>
      </c>
      <c r="M90" s="6">
        <v>0</v>
      </c>
      <c r="N90" s="6">
        <v>0</v>
      </c>
      <c r="O90" s="6">
        <v>0</v>
      </c>
      <c r="P90" s="6">
        <v>1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1</v>
      </c>
      <c r="X90" s="6">
        <v>0</v>
      </c>
      <c r="Y90" s="6">
        <v>1</v>
      </c>
      <c r="Z90" s="5">
        <f t="shared" ref="Z90:Z91" si="33">SUM(E90:Y90)</f>
        <v>5</v>
      </c>
    </row>
    <row r="91" spans="1:26" x14ac:dyDescent="0.4">
      <c r="A91" s="11" t="s">
        <v>50</v>
      </c>
      <c r="B91" s="46"/>
      <c r="C91" s="72" t="s">
        <v>136</v>
      </c>
      <c r="D91" s="60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5">
        <f t="shared" si="33"/>
        <v>0</v>
      </c>
    </row>
    <row r="92" spans="1:26" ht="13.15" customHeight="1" x14ac:dyDescent="0.4">
      <c r="A92" s="6" t="s">
        <v>26</v>
      </c>
      <c r="B92" s="53" t="s">
        <v>51</v>
      </c>
      <c r="C92" s="54"/>
      <c r="D92" s="55"/>
      <c r="E92" s="5">
        <f>SUM(E90:E91)</f>
        <v>0</v>
      </c>
      <c r="F92" s="5">
        <f>SUM(F90:F91)</f>
        <v>0</v>
      </c>
      <c r="G92" s="5">
        <f>SUM(G90:G91)</f>
        <v>0</v>
      </c>
      <c r="H92" s="5">
        <f>SUM(H90:H91)</f>
        <v>0</v>
      </c>
      <c r="I92" s="5">
        <f>SUM(I90:I91)</f>
        <v>0</v>
      </c>
      <c r="J92" s="5">
        <f>SUM(J90:J91)</f>
        <v>0</v>
      </c>
      <c r="K92" s="5">
        <f>SUM(K90:K91)</f>
        <v>2</v>
      </c>
      <c r="L92" s="5">
        <f>SUM(L90:L91)</f>
        <v>0</v>
      </c>
      <c r="M92" s="5">
        <f>SUM(M90:M91)</f>
        <v>0</v>
      </c>
      <c r="N92" s="5">
        <f>SUM(N90:N91)</f>
        <v>0</v>
      </c>
      <c r="O92" s="5">
        <f>SUM(O90:O91)</f>
        <v>0</v>
      </c>
      <c r="P92" s="5">
        <f>SUM(P90:P91)</f>
        <v>1</v>
      </c>
      <c r="Q92" s="5">
        <f>SUM(Q90:Q91)</f>
        <v>0</v>
      </c>
      <c r="R92" s="5">
        <f>SUM(R90:R91)</f>
        <v>0</v>
      </c>
      <c r="S92" s="5">
        <f>SUM(S90:S91)</f>
        <v>0</v>
      </c>
      <c r="T92" s="5">
        <f>SUM(T90:T91)</f>
        <v>0</v>
      </c>
      <c r="U92" s="5">
        <f>SUM(U90:U91)</f>
        <v>0</v>
      </c>
      <c r="V92" s="5">
        <f>SUM(V90:V91)</f>
        <v>0</v>
      </c>
      <c r="W92" s="5">
        <f>SUM(W90:W91)</f>
        <v>1</v>
      </c>
      <c r="X92" s="5">
        <f>SUM(X90:X91)</f>
        <v>0</v>
      </c>
      <c r="Y92" s="5">
        <f>SUM(Y90:Y91)</f>
        <v>1</v>
      </c>
      <c r="Z92" s="5">
        <f>SUM(Z90:Z91)</f>
        <v>5</v>
      </c>
    </row>
    <row r="93" spans="1:26" x14ac:dyDescent="0.4">
      <c r="A93" s="61"/>
      <c r="B93" s="62"/>
      <c r="C93" s="62"/>
      <c r="D93" s="62"/>
      <c r="E93" s="63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5"/>
    </row>
    <row r="94" spans="1:26" x14ac:dyDescent="0.4">
      <c r="A94" s="11" t="s">
        <v>48</v>
      </c>
      <c r="B94" s="17" t="s">
        <v>59</v>
      </c>
      <c r="C94" s="59" t="s">
        <v>60</v>
      </c>
      <c r="D94" s="60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1</v>
      </c>
      <c r="K94" s="6">
        <v>0</v>
      </c>
      <c r="L94" s="6">
        <v>0</v>
      </c>
      <c r="M94" s="6">
        <v>0</v>
      </c>
      <c r="N94" s="6">
        <v>1</v>
      </c>
      <c r="O94" s="6">
        <v>0</v>
      </c>
      <c r="P94" s="6">
        <v>0</v>
      </c>
      <c r="Q94" s="6">
        <v>1</v>
      </c>
      <c r="R94" s="6">
        <v>0</v>
      </c>
      <c r="S94" s="6">
        <v>1</v>
      </c>
      <c r="T94" s="6">
        <v>0</v>
      </c>
      <c r="U94" s="6">
        <v>1</v>
      </c>
      <c r="V94" s="6">
        <v>1</v>
      </c>
      <c r="W94" s="6">
        <v>0</v>
      </c>
      <c r="X94" s="6">
        <v>0</v>
      </c>
      <c r="Y94" s="6">
        <v>0</v>
      </c>
      <c r="Z94" s="5">
        <f t="shared" ref="Z94:Z100" si="34">SUM(E94:Y94)</f>
        <v>6</v>
      </c>
    </row>
    <row r="95" spans="1:26" x14ac:dyDescent="0.4">
      <c r="A95" s="11" t="s">
        <v>50</v>
      </c>
      <c r="B95" s="46"/>
      <c r="C95" s="24" t="s">
        <v>137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1</v>
      </c>
      <c r="L95" s="6">
        <v>0</v>
      </c>
      <c r="M95" s="6">
        <v>0</v>
      </c>
      <c r="N95" s="6">
        <v>0</v>
      </c>
      <c r="O95" s="6">
        <v>1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1</v>
      </c>
      <c r="Z95" s="5">
        <f t="shared" si="34"/>
        <v>3</v>
      </c>
    </row>
    <row r="96" spans="1:26" x14ac:dyDescent="0.4">
      <c r="A96" s="7"/>
      <c r="B96" s="46"/>
      <c r="C96" s="24" t="s">
        <v>138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1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1</v>
      </c>
      <c r="Z96" s="5">
        <f t="shared" si="34"/>
        <v>2</v>
      </c>
    </row>
    <row r="97" spans="1:26" x14ac:dyDescent="0.4">
      <c r="A97" s="7"/>
      <c r="B97" s="46"/>
      <c r="C97" s="24" t="s">
        <v>139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5">
        <f t="shared" si="34"/>
        <v>0</v>
      </c>
    </row>
    <row r="98" spans="1:26" x14ac:dyDescent="0.4">
      <c r="A98" s="7"/>
      <c r="B98" s="46"/>
      <c r="C98" s="24" t="s">
        <v>140</v>
      </c>
      <c r="D98" s="47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1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5">
        <f t="shared" si="34"/>
        <v>1</v>
      </c>
    </row>
    <row r="99" spans="1:26" x14ac:dyDescent="0.4">
      <c r="A99" s="7"/>
      <c r="B99" s="46"/>
      <c r="C99" s="24" t="s">
        <v>141</v>
      </c>
      <c r="D99" s="47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5">
        <f t="shared" si="34"/>
        <v>0</v>
      </c>
    </row>
    <row r="100" spans="1:26" x14ac:dyDescent="0.4">
      <c r="A100" s="7"/>
      <c r="B100" s="46"/>
      <c r="C100" s="24" t="s">
        <v>142</v>
      </c>
      <c r="D100" s="47"/>
      <c r="E100" s="50">
        <v>0</v>
      </c>
      <c r="F100" s="29">
        <v>0</v>
      </c>
      <c r="G100" s="29">
        <v>0</v>
      </c>
      <c r="H100" s="29">
        <v>0</v>
      </c>
      <c r="I100" s="29">
        <v>0</v>
      </c>
      <c r="J100" s="29">
        <v>0</v>
      </c>
      <c r="K100" s="29">
        <v>0</v>
      </c>
      <c r="L100" s="29">
        <v>0</v>
      </c>
      <c r="M100" s="29">
        <v>0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0</v>
      </c>
      <c r="Z100" s="5">
        <f t="shared" si="34"/>
        <v>0</v>
      </c>
    </row>
    <row r="101" spans="1:26" x14ac:dyDescent="0.4">
      <c r="A101" s="6" t="s">
        <v>26</v>
      </c>
      <c r="B101" s="53" t="s">
        <v>51</v>
      </c>
      <c r="C101" s="54"/>
      <c r="D101" s="55"/>
      <c r="E101" s="5">
        <f>SUM(E94:E100)</f>
        <v>0</v>
      </c>
      <c r="F101" s="5">
        <f>SUM(F94:F100)</f>
        <v>0</v>
      </c>
      <c r="G101" s="5">
        <f>SUM(G94:G100)</f>
        <v>0</v>
      </c>
      <c r="H101" s="5">
        <f>SUM(H94:H100)</f>
        <v>0</v>
      </c>
      <c r="I101" s="5">
        <f>SUM(I94:I100)</f>
        <v>0</v>
      </c>
      <c r="J101" s="5">
        <f>SUM(J94:J100)</f>
        <v>2</v>
      </c>
      <c r="K101" s="5">
        <f>SUM(K94:K100)</f>
        <v>1</v>
      </c>
      <c r="L101" s="5">
        <f>SUM(L94:L100)</f>
        <v>0</v>
      </c>
      <c r="M101" s="5">
        <f>SUM(M94:M100)</f>
        <v>0</v>
      </c>
      <c r="N101" s="5">
        <f>SUM(N94:N100)</f>
        <v>1</v>
      </c>
      <c r="O101" s="5">
        <f>SUM(O94:O100)</f>
        <v>1</v>
      </c>
      <c r="P101" s="5">
        <f>SUM(P94:P100)</f>
        <v>0</v>
      </c>
      <c r="Q101" s="5">
        <f>SUM(Q94:Q100)</f>
        <v>1</v>
      </c>
      <c r="R101" s="5">
        <f>SUM(R94:R100)</f>
        <v>1</v>
      </c>
      <c r="S101" s="5">
        <f>SUM(S94:S100)</f>
        <v>1</v>
      </c>
      <c r="T101" s="5">
        <f>SUM(T94:T100)</f>
        <v>0</v>
      </c>
      <c r="U101" s="5">
        <f>SUM(U94:U100)</f>
        <v>1</v>
      </c>
      <c r="V101" s="5">
        <f>SUM(V94:V100)</f>
        <v>1</v>
      </c>
      <c r="W101" s="5">
        <f>SUM(W94:W100)</f>
        <v>0</v>
      </c>
      <c r="X101" s="5">
        <f>SUM(X94:X100)</f>
        <v>0</v>
      </c>
      <c r="Y101" s="5">
        <f>SUM(Y94:Y100)</f>
        <v>2</v>
      </c>
      <c r="Z101" s="5">
        <f>SUM(Z94:Z100)</f>
        <v>12</v>
      </c>
    </row>
    <row r="102" spans="1:26" x14ac:dyDescent="0.4">
      <c r="A102" s="61"/>
      <c r="B102" s="62"/>
      <c r="C102" s="62"/>
      <c r="D102" s="62"/>
      <c r="E102" s="63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x14ac:dyDescent="0.4">
      <c r="A103" s="11" t="s">
        <v>48</v>
      </c>
      <c r="B103" s="17" t="s">
        <v>61</v>
      </c>
      <c r="C103" s="59" t="s">
        <v>62</v>
      </c>
      <c r="D103" s="60"/>
      <c r="E103" s="6">
        <v>0</v>
      </c>
      <c r="F103" s="6">
        <v>0</v>
      </c>
      <c r="G103" s="6">
        <v>0</v>
      </c>
      <c r="H103" s="6">
        <v>1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1</v>
      </c>
      <c r="X103" s="6">
        <v>0</v>
      </c>
      <c r="Y103" s="6">
        <v>0</v>
      </c>
      <c r="Z103" s="5">
        <f t="shared" ref="Z103:Z109" si="35">SUM(E103:Y103)</f>
        <v>2</v>
      </c>
    </row>
    <row r="104" spans="1:26" ht="13.15" customHeight="1" x14ac:dyDescent="0.4">
      <c r="A104" s="11" t="s">
        <v>50</v>
      </c>
      <c r="B104" s="46"/>
      <c r="C104" s="24" t="s">
        <v>143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1</v>
      </c>
      <c r="K104" s="6">
        <v>0</v>
      </c>
      <c r="L104" s="6">
        <v>0</v>
      </c>
      <c r="M104" s="6">
        <v>0</v>
      </c>
      <c r="N104" s="6">
        <v>0</v>
      </c>
      <c r="O104" s="6">
        <v>3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1</v>
      </c>
      <c r="X104" s="6">
        <v>0</v>
      </c>
      <c r="Y104" s="6">
        <v>0</v>
      </c>
      <c r="Z104" s="5">
        <f t="shared" si="35"/>
        <v>5</v>
      </c>
    </row>
    <row r="105" spans="1:26" x14ac:dyDescent="0.4">
      <c r="A105" s="7"/>
      <c r="B105" s="46"/>
      <c r="C105" s="24" t="s">
        <v>144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1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5">
        <f t="shared" si="35"/>
        <v>1</v>
      </c>
    </row>
    <row r="106" spans="1:26" x14ac:dyDescent="0.4">
      <c r="A106" s="7"/>
      <c r="B106" s="46"/>
      <c r="C106" s="24" t="s">
        <v>145</v>
      </c>
      <c r="D106" s="47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1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1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1</v>
      </c>
      <c r="Z106" s="5">
        <f t="shared" si="35"/>
        <v>3</v>
      </c>
    </row>
    <row r="107" spans="1:26" x14ac:dyDescent="0.4">
      <c r="A107" s="7"/>
      <c r="B107" s="46"/>
      <c r="C107" s="24" t="s">
        <v>146</v>
      </c>
      <c r="D107" s="47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1</v>
      </c>
      <c r="U107" s="6">
        <v>1</v>
      </c>
      <c r="V107" s="6">
        <v>0</v>
      </c>
      <c r="W107" s="6">
        <v>0</v>
      </c>
      <c r="X107" s="6">
        <v>0</v>
      </c>
      <c r="Y107" s="6">
        <v>0</v>
      </c>
      <c r="Z107" s="5">
        <f t="shared" si="35"/>
        <v>2</v>
      </c>
    </row>
    <row r="108" spans="1:26" x14ac:dyDescent="0.4">
      <c r="A108" s="7"/>
      <c r="B108" s="46"/>
      <c r="C108" s="24" t="s">
        <v>147</v>
      </c>
      <c r="D108" s="47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5">
        <f t="shared" si="35"/>
        <v>0</v>
      </c>
    </row>
    <row r="109" spans="1:26" x14ac:dyDescent="0.4">
      <c r="A109" s="7"/>
      <c r="B109" s="46"/>
      <c r="C109" s="24" t="s">
        <v>148</v>
      </c>
      <c r="D109" s="47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1</v>
      </c>
      <c r="L109" s="6">
        <v>0</v>
      </c>
      <c r="M109" s="6">
        <v>0</v>
      </c>
      <c r="N109" s="6">
        <v>0</v>
      </c>
      <c r="O109" s="6">
        <v>1</v>
      </c>
      <c r="P109" s="6">
        <v>0</v>
      </c>
      <c r="Q109" s="6">
        <v>1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1</v>
      </c>
      <c r="X109" s="6">
        <v>1</v>
      </c>
      <c r="Y109" s="6">
        <v>0</v>
      </c>
      <c r="Z109" s="5">
        <f t="shared" si="35"/>
        <v>5</v>
      </c>
    </row>
    <row r="110" spans="1:26" x14ac:dyDescent="0.4">
      <c r="A110" s="6" t="s">
        <v>26</v>
      </c>
      <c r="B110" s="53" t="s">
        <v>51</v>
      </c>
      <c r="C110" s="54"/>
      <c r="D110" s="55"/>
      <c r="E110" s="5">
        <f>SUM(E103:E109)</f>
        <v>0</v>
      </c>
      <c r="F110" s="5">
        <f>SUM(F103:F109)</f>
        <v>0</v>
      </c>
      <c r="G110" s="5">
        <f>SUM(G103:G109)</f>
        <v>0</v>
      </c>
      <c r="H110" s="5">
        <f>SUM(H103:H109)</f>
        <v>1</v>
      </c>
      <c r="I110" s="5">
        <f>SUM(I103:I109)</f>
        <v>0</v>
      </c>
      <c r="J110" s="5">
        <f>SUM(J103:J109)</f>
        <v>2</v>
      </c>
      <c r="K110" s="5">
        <f>SUM(K103:K109)</f>
        <v>1</v>
      </c>
      <c r="L110" s="5">
        <f>SUM(L103:L109)</f>
        <v>0</v>
      </c>
      <c r="M110" s="5">
        <f>SUM(M103:M109)</f>
        <v>0</v>
      </c>
      <c r="N110" s="5">
        <f>SUM(N103:N109)</f>
        <v>0</v>
      </c>
      <c r="O110" s="5">
        <f>SUM(O103:O109)</f>
        <v>5</v>
      </c>
      <c r="P110" s="5">
        <f>SUM(P103:P109)</f>
        <v>0</v>
      </c>
      <c r="Q110" s="5">
        <f>SUM(Q103:Q109)</f>
        <v>1</v>
      </c>
      <c r="R110" s="5">
        <f>SUM(R103:R109)</f>
        <v>0</v>
      </c>
      <c r="S110" s="5">
        <f>SUM(S103:S109)</f>
        <v>1</v>
      </c>
      <c r="T110" s="5">
        <f>SUM(T103:T109)</f>
        <v>1</v>
      </c>
      <c r="U110" s="5">
        <f>SUM(U103:U109)</f>
        <v>1</v>
      </c>
      <c r="V110" s="5">
        <f>SUM(V103:V109)</f>
        <v>0</v>
      </c>
      <c r="W110" s="5">
        <f>SUM(W103:W109)</f>
        <v>3</v>
      </c>
      <c r="X110" s="5">
        <f>SUM(X103:X109)</f>
        <v>1</v>
      </c>
      <c r="Y110" s="5">
        <f>SUM(Y103:Y109)</f>
        <v>1</v>
      </c>
      <c r="Z110" s="5">
        <f>SUM(Z103:Z109)</f>
        <v>18</v>
      </c>
    </row>
    <row r="111" spans="1:26" x14ac:dyDescent="0.4">
      <c r="A111" s="61"/>
      <c r="B111" s="62"/>
      <c r="C111" s="62"/>
      <c r="D111" s="62"/>
      <c r="E111" s="6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3.15" customHeight="1" x14ac:dyDescent="0.4">
      <c r="A112" s="11" t="s">
        <v>48</v>
      </c>
      <c r="B112" s="17" t="s">
        <v>63</v>
      </c>
      <c r="C112" s="59" t="s">
        <v>64</v>
      </c>
      <c r="D112" s="60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5">
        <f t="shared" ref="Z112:Z118" si="36">SUM(E112:Y112)</f>
        <v>0</v>
      </c>
    </row>
    <row r="113" spans="1:26" x14ac:dyDescent="0.4">
      <c r="A113" s="11" t="s">
        <v>50</v>
      </c>
      <c r="B113" s="17"/>
      <c r="C113" s="24" t="s">
        <v>104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5">
        <f t="shared" si="36"/>
        <v>0</v>
      </c>
    </row>
    <row r="114" spans="1:26" x14ac:dyDescent="0.4">
      <c r="A114" s="7"/>
      <c r="B114" s="17"/>
      <c r="C114" s="24" t="s">
        <v>149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5">
        <f t="shared" si="36"/>
        <v>0</v>
      </c>
    </row>
    <row r="115" spans="1:26" x14ac:dyDescent="0.4">
      <c r="A115" s="7"/>
      <c r="B115" s="17"/>
      <c r="C115" s="24" t="s">
        <v>150</v>
      </c>
      <c r="D115" s="45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5">
        <f t="shared" si="36"/>
        <v>0</v>
      </c>
    </row>
    <row r="116" spans="1:26" x14ac:dyDescent="0.4">
      <c r="A116" s="7"/>
      <c r="B116" s="46"/>
      <c r="C116" s="24" t="s">
        <v>151</v>
      </c>
      <c r="D116" s="47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5">
        <f t="shared" si="36"/>
        <v>0</v>
      </c>
    </row>
    <row r="117" spans="1:26" x14ac:dyDescent="0.4">
      <c r="A117" s="7"/>
      <c r="B117" s="46"/>
      <c r="C117" s="24" t="s">
        <v>152</v>
      </c>
      <c r="D117" s="47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5">
        <f t="shared" si="36"/>
        <v>0</v>
      </c>
    </row>
    <row r="118" spans="1:26" x14ac:dyDescent="0.4">
      <c r="A118" s="7"/>
      <c r="B118" s="46"/>
      <c r="C118" s="24" t="s">
        <v>153</v>
      </c>
      <c r="D118" s="47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5">
        <f t="shared" si="36"/>
        <v>0</v>
      </c>
    </row>
    <row r="119" spans="1:26" ht="13.15" customHeight="1" x14ac:dyDescent="0.4">
      <c r="A119" s="6" t="s">
        <v>26</v>
      </c>
      <c r="B119" s="53" t="s">
        <v>51</v>
      </c>
      <c r="C119" s="54"/>
      <c r="D119" s="55"/>
      <c r="E119" s="5">
        <f>SUM(E112:E118)</f>
        <v>0</v>
      </c>
      <c r="F119" s="5">
        <f>SUM(F112:F118)</f>
        <v>0</v>
      </c>
      <c r="G119" s="5">
        <f>SUM(G112:G118)</f>
        <v>0</v>
      </c>
      <c r="H119" s="5">
        <f>SUM(H112:H118)</f>
        <v>0</v>
      </c>
      <c r="I119" s="5">
        <f>SUM(I112:I118)</f>
        <v>0</v>
      </c>
      <c r="J119" s="5">
        <f>SUM(J112:J118)</f>
        <v>0</v>
      </c>
      <c r="K119" s="5">
        <f>SUM(K112:K118)</f>
        <v>0</v>
      </c>
      <c r="L119" s="5">
        <f>SUM(L112:L118)</f>
        <v>0</v>
      </c>
      <c r="M119" s="5">
        <f>SUM(M112:M118)</f>
        <v>0</v>
      </c>
      <c r="N119" s="5">
        <f>SUM(N112:N118)</f>
        <v>0</v>
      </c>
      <c r="O119" s="5">
        <f>SUM(O112:O118)</f>
        <v>0</v>
      </c>
      <c r="P119" s="5">
        <f>SUM(P112:P118)</f>
        <v>0</v>
      </c>
      <c r="Q119" s="5">
        <f>SUM(Q112:Q118)</f>
        <v>0</v>
      </c>
      <c r="R119" s="5">
        <f>SUM(R112:R118)</f>
        <v>0</v>
      </c>
      <c r="S119" s="5">
        <f>SUM(S112:S118)</f>
        <v>0</v>
      </c>
      <c r="T119" s="5">
        <f>SUM(T112:T118)</f>
        <v>0</v>
      </c>
      <c r="U119" s="5">
        <f>SUM(U112:U118)</f>
        <v>0</v>
      </c>
      <c r="V119" s="5">
        <f>SUM(V112:V118)</f>
        <v>0</v>
      </c>
      <c r="W119" s="5">
        <f>SUM(W112:W118)</f>
        <v>0</v>
      </c>
      <c r="X119" s="5">
        <f>SUM(X112:X118)</f>
        <v>0</v>
      </c>
      <c r="Y119" s="5">
        <f>SUM(Y112:Y118)</f>
        <v>0</v>
      </c>
      <c r="Z119" s="5">
        <f>SUM(Z112:Z118)</f>
        <v>0</v>
      </c>
    </row>
    <row r="120" spans="1:26" x14ac:dyDescent="0.4">
      <c r="A120" s="61"/>
      <c r="B120" s="62"/>
      <c r="C120" s="62"/>
      <c r="D120" s="62"/>
      <c r="E120" s="6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5"/>
    </row>
    <row r="121" spans="1:26" x14ac:dyDescent="0.4">
      <c r="A121" s="11" t="s">
        <v>48</v>
      </c>
      <c r="B121" s="44" t="s">
        <v>65</v>
      </c>
      <c r="C121" s="67" t="s">
        <v>66</v>
      </c>
      <c r="D121" s="68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5">
        <f>SUM(E122:Y122)</f>
        <v>1</v>
      </c>
    </row>
    <row r="122" spans="1:26" x14ac:dyDescent="0.4">
      <c r="A122" s="48" t="s">
        <v>50</v>
      </c>
      <c r="B122" s="46"/>
      <c r="C122" s="24" t="s">
        <v>154</v>
      </c>
      <c r="D122" s="47"/>
      <c r="E122" s="49">
        <v>0</v>
      </c>
      <c r="F122" s="6">
        <v>0</v>
      </c>
      <c r="G122" s="6">
        <v>0</v>
      </c>
      <c r="H122" s="6">
        <v>0</v>
      </c>
      <c r="I122" s="6">
        <v>0</v>
      </c>
      <c r="J122" s="6">
        <v>1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5">
        <f>SUM(E123:Y123)</f>
        <v>6</v>
      </c>
    </row>
    <row r="123" spans="1:26" x14ac:dyDescent="0.4">
      <c r="A123" s="7"/>
      <c r="B123" s="46"/>
      <c r="C123" s="24" t="s">
        <v>155</v>
      </c>
      <c r="D123" s="47"/>
      <c r="E123" s="49">
        <v>0</v>
      </c>
      <c r="F123" s="6">
        <v>0</v>
      </c>
      <c r="G123" s="6">
        <v>0</v>
      </c>
      <c r="H123" s="6">
        <v>0</v>
      </c>
      <c r="I123" s="6">
        <v>0</v>
      </c>
      <c r="J123" s="6">
        <v>1</v>
      </c>
      <c r="K123" s="6">
        <v>0</v>
      </c>
      <c r="L123" s="6">
        <v>0</v>
      </c>
      <c r="M123" s="6">
        <v>2</v>
      </c>
      <c r="N123" s="6">
        <v>0</v>
      </c>
      <c r="O123" s="6">
        <v>0</v>
      </c>
      <c r="P123" s="6">
        <v>1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2</v>
      </c>
      <c r="X123" s="6">
        <v>0</v>
      </c>
      <c r="Y123" s="6">
        <v>0</v>
      </c>
      <c r="Z123" s="5">
        <f>SUM(E124:Y124)</f>
        <v>0</v>
      </c>
    </row>
    <row r="124" spans="1:26" x14ac:dyDescent="0.4">
      <c r="A124" s="7"/>
      <c r="B124" s="46"/>
      <c r="C124" s="24" t="s">
        <v>156</v>
      </c>
      <c r="D124" s="47"/>
      <c r="E124" s="49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5">
        <f>SUM(E125:Y125)</f>
        <v>1</v>
      </c>
    </row>
    <row r="125" spans="1:26" x14ac:dyDescent="0.4">
      <c r="A125" s="7"/>
      <c r="B125" s="46"/>
      <c r="C125" s="24" t="s">
        <v>157</v>
      </c>
      <c r="D125" s="47"/>
      <c r="E125" s="49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1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5">
        <f>SUM(E128:Y128)</f>
        <v>19</v>
      </c>
    </row>
    <row r="126" spans="1:26" x14ac:dyDescent="0.4">
      <c r="A126" s="7"/>
      <c r="B126" s="46"/>
      <c r="C126" s="24" t="s">
        <v>158</v>
      </c>
      <c r="D126" s="47"/>
      <c r="E126" s="49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10</v>
      </c>
      <c r="V126" s="6">
        <v>0</v>
      </c>
      <c r="W126" s="6">
        <v>0</v>
      </c>
      <c r="X126" s="6">
        <v>0</v>
      </c>
      <c r="Y126" s="6">
        <v>0</v>
      </c>
      <c r="Z126" s="5">
        <f>SUM(E129:Y129)</f>
        <v>0</v>
      </c>
    </row>
    <row r="127" spans="1:26" x14ac:dyDescent="0.4">
      <c r="A127" s="7"/>
      <c r="B127" s="46"/>
      <c r="C127" s="24" t="s">
        <v>159</v>
      </c>
      <c r="D127" s="47"/>
      <c r="E127" s="49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1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5">
        <f>SUM(E130:Y130)</f>
        <v>0</v>
      </c>
    </row>
    <row r="128" spans="1:26" x14ac:dyDescent="0.4">
      <c r="A128" s="6" t="s">
        <v>26</v>
      </c>
      <c r="B128" s="64" t="s">
        <v>51</v>
      </c>
      <c r="C128" s="65"/>
      <c r="D128" s="66"/>
      <c r="E128" s="5">
        <f>SUM(E121:E127)</f>
        <v>0</v>
      </c>
      <c r="F128" s="5">
        <f>SUM(F121:F127)</f>
        <v>0</v>
      </c>
      <c r="G128" s="5">
        <f>SUM(G121:G127)</f>
        <v>0</v>
      </c>
      <c r="H128" s="5">
        <f>SUM(H121:H127)</f>
        <v>0</v>
      </c>
      <c r="I128" s="5">
        <f>SUM(I121:I127)</f>
        <v>0</v>
      </c>
      <c r="J128" s="5">
        <f>SUM(J121:J127)</f>
        <v>2</v>
      </c>
      <c r="K128" s="5">
        <f>SUM(K121:K127)</f>
        <v>0</v>
      </c>
      <c r="L128" s="5">
        <f>SUM(L121:L127)</f>
        <v>0</v>
      </c>
      <c r="M128" s="5">
        <f>SUM(M121:M127)</f>
        <v>2</v>
      </c>
      <c r="N128" s="5">
        <f>SUM(N121:N127)</f>
        <v>0</v>
      </c>
      <c r="O128" s="5">
        <f>SUM(O121:O127)</f>
        <v>1</v>
      </c>
      <c r="P128" s="5">
        <f>SUM(P121:P127)</f>
        <v>1</v>
      </c>
      <c r="Q128" s="5">
        <f>SUM(Q121:Q127)</f>
        <v>1</v>
      </c>
      <c r="R128" s="5">
        <f>SUM(R121:R127)</f>
        <v>0</v>
      </c>
      <c r="S128" s="5">
        <f>SUM(S121:S127)</f>
        <v>0</v>
      </c>
      <c r="T128" s="5">
        <f>SUM(T121:T127)</f>
        <v>0</v>
      </c>
      <c r="U128" s="5">
        <f>SUM(U121:U127)</f>
        <v>10</v>
      </c>
      <c r="V128" s="5">
        <f>SUM(V121:V127)</f>
        <v>0</v>
      </c>
      <c r="W128" s="5">
        <f>SUM(W121:W127)</f>
        <v>2</v>
      </c>
      <c r="X128" s="5">
        <f>SUM(X121:X127)</f>
        <v>0</v>
      </c>
      <c r="Y128" s="5">
        <f>SUM(Y121:Y127)</f>
        <v>0</v>
      </c>
      <c r="Z128" s="5">
        <f>SUM(Z121:Z127)</f>
        <v>27</v>
      </c>
    </row>
    <row r="129" spans="1:26" x14ac:dyDescent="0.4">
      <c r="A129" s="61"/>
      <c r="B129" s="62"/>
      <c r="C129" s="62"/>
      <c r="D129" s="62"/>
      <c r="E129" s="63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3.15" customHeight="1" x14ac:dyDescent="0.4">
      <c r="A130" s="11" t="s">
        <v>48</v>
      </c>
      <c r="B130" s="17" t="s">
        <v>67</v>
      </c>
      <c r="C130" s="59" t="s">
        <v>68</v>
      </c>
      <c r="D130" s="60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5">
        <f t="shared" ref="Z130" si="37">SUM(E130:Y130)</f>
        <v>0</v>
      </c>
    </row>
    <row r="131" spans="1:26" x14ac:dyDescent="0.4">
      <c r="A131" s="6" t="s">
        <v>26</v>
      </c>
      <c r="B131" s="53" t="s">
        <v>51</v>
      </c>
      <c r="C131" s="54"/>
      <c r="D131" s="55"/>
      <c r="E131" s="5">
        <f>SUM(E130:E130)</f>
        <v>0</v>
      </c>
      <c r="F131" s="5">
        <f>SUM(F130:F130)</f>
        <v>0</v>
      </c>
      <c r="G131" s="5">
        <f>SUM(G130:G130)</f>
        <v>0</v>
      </c>
      <c r="H131" s="5">
        <f>SUM(H130:H130)</f>
        <v>0</v>
      </c>
      <c r="I131" s="5">
        <f>SUM(I130:I130)</f>
        <v>0</v>
      </c>
      <c r="J131" s="5">
        <f>SUM(J130:J130)</f>
        <v>0</v>
      </c>
      <c r="K131" s="5">
        <f>SUM(K130:K130)</f>
        <v>0</v>
      </c>
      <c r="L131" s="5">
        <f>SUM(L130:L130)</f>
        <v>0</v>
      </c>
      <c r="M131" s="5">
        <f>SUM(M130:M130)</f>
        <v>0</v>
      </c>
      <c r="N131" s="5">
        <f>SUM(N130:N130)</f>
        <v>0</v>
      </c>
      <c r="O131" s="5">
        <f>SUM(O130:O130)</f>
        <v>0</v>
      </c>
      <c r="P131" s="5">
        <f>SUM(P130:P130)</f>
        <v>0</v>
      </c>
      <c r="Q131" s="5">
        <f>SUM(Q130:Q130)</f>
        <v>0</v>
      </c>
      <c r="R131" s="5">
        <f>SUM(R130:R130)</f>
        <v>0</v>
      </c>
      <c r="S131" s="5">
        <f>SUM(S130:S130)</f>
        <v>0</v>
      </c>
      <c r="T131" s="5">
        <f>SUM(T130:T130)</f>
        <v>0</v>
      </c>
      <c r="U131" s="5">
        <f>SUM(U130:U130)</f>
        <v>0</v>
      </c>
      <c r="V131" s="5">
        <f>SUM(V130:V130)</f>
        <v>0</v>
      </c>
      <c r="W131" s="5">
        <f>SUM(W130:W130)</f>
        <v>0</v>
      </c>
      <c r="X131" s="5">
        <f>SUM(X130:X130)</f>
        <v>0</v>
      </c>
      <c r="Y131" s="5">
        <f>SUM(Y130:Y130)</f>
        <v>0</v>
      </c>
      <c r="Z131" s="5">
        <f>SUM(Z130:Z130)</f>
        <v>0</v>
      </c>
    </row>
    <row r="132" spans="1:26" ht="13.15" customHeight="1" x14ac:dyDescent="0.4">
      <c r="A132" s="61"/>
      <c r="B132" s="62"/>
      <c r="C132" s="62"/>
      <c r="D132" s="62"/>
      <c r="E132" s="63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x14ac:dyDescent="0.4">
      <c r="A133" s="11" t="s">
        <v>48</v>
      </c>
      <c r="B133" s="17" t="s">
        <v>69</v>
      </c>
      <c r="C133" s="59" t="s">
        <v>70</v>
      </c>
      <c r="D133" s="60"/>
      <c r="E133" s="6">
        <v>0</v>
      </c>
      <c r="F133" s="6">
        <v>0</v>
      </c>
      <c r="G133" s="6">
        <v>0</v>
      </c>
      <c r="H133" s="6">
        <v>2</v>
      </c>
      <c r="I133" s="6">
        <v>0</v>
      </c>
      <c r="J133" s="6">
        <v>0</v>
      </c>
      <c r="K133" s="6">
        <v>0</v>
      </c>
      <c r="L133" s="6">
        <v>0</v>
      </c>
      <c r="M133" s="6">
        <v>1</v>
      </c>
      <c r="N133" s="6">
        <v>0</v>
      </c>
      <c r="O133" s="6">
        <v>0</v>
      </c>
      <c r="P133" s="6">
        <v>1</v>
      </c>
      <c r="Q133" s="6">
        <v>1</v>
      </c>
      <c r="R133" s="6">
        <v>0</v>
      </c>
      <c r="S133" s="6">
        <v>1</v>
      </c>
      <c r="T133" s="6">
        <v>0</v>
      </c>
      <c r="U133" s="6">
        <v>0</v>
      </c>
      <c r="V133" s="6">
        <v>2</v>
      </c>
      <c r="W133" s="6">
        <v>3</v>
      </c>
      <c r="X133" s="6">
        <v>0</v>
      </c>
      <c r="Y133" s="6">
        <v>0</v>
      </c>
      <c r="Z133" s="5">
        <f t="shared" ref="Z133:Z139" si="38">SUM(E133:Y133)</f>
        <v>11</v>
      </c>
    </row>
    <row r="134" spans="1:26" x14ac:dyDescent="0.4">
      <c r="A134" s="11" t="s">
        <v>50</v>
      </c>
      <c r="B134" s="46"/>
      <c r="C134" s="24" t="s">
        <v>160</v>
      </c>
      <c r="D134" s="47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1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5">
        <f t="shared" si="38"/>
        <v>1</v>
      </c>
    </row>
    <row r="135" spans="1:26" x14ac:dyDescent="0.4">
      <c r="A135" s="7"/>
      <c r="B135" s="46"/>
      <c r="C135" s="24" t="s">
        <v>161</v>
      </c>
      <c r="D135" s="47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1</v>
      </c>
      <c r="P135" s="6">
        <v>0</v>
      </c>
      <c r="Q135" s="6">
        <v>0</v>
      </c>
      <c r="R135" s="6">
        <v>0</v>
      </c>
      <c r="S135" s="6">
        <v>3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5">
        <f t="shared" si="38"/>
        <v>4</v>
      </c>
    </row>
    <row r="136" spans="1:26" x14ac:dyDescent="0.4">
      <c r="A136" s="7"/>
      <c r="B136" s="46"/>
      <c r="C136" s="24" t="s">
        <v>162</v>
      </c>
      <c r="D136" s="47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1</v>
      </c>
      <c r="X136" s="6">
        <v>0</v>
      </c>
      <c r="Y136" s="6">
        <v>0</v>
      </c>
      <c r="Z136" s="5">
        <f t="shared" si="38"/>
        <v>1</v>
      </c>
    </row>
    <row r="137" spans="1:26" x14ac:dyDescent="0.4">
      <c r="A137" s="7"/>
      <c r="B137" s="46"/>
      <c r="C137" s="24" t="s">
        <v>163</v>
      </c>
      <c r="D137" s="47"/>
      <c r="E137" s="6">
        <v>1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1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5">
        <f t="shared" si="38"/>
        <v>2</v>
      </c>
    </row>
    <row r="138" spans="1:26" x14ac:dyDescent="0.4">
      <c r="A138" s="7"/>
      <c r="B138" s="46"/>
      <c r="C138" s="24" t="s">
        <v>164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5">
        <f t="shared" si="38"/>
        <v>0</v>
      </c>
    </row>
    <row r="139" spans="1:26" x14ac:dyDescent="0.4">
      <c r="A139" s="7"/>
      <c r="B139" s="46"/>
      <c r="C139" s="24" t="s">
        <v>165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1</v>
      </c>
      <c r="N139" s="6">
        <v>0</v>
      </c>
      <c r="O139" s="6">
        <v>2</v>
      </c>
      <c r="P139" s="6">
        <v>3</v>
      </c>
      <c r="Q139" s="6">
        <v>0</v>
      </c>
      <c r="R139" s="6">
        <v>4</v>
      </c>
      <c r="S139" s="6">
        <v>10</v>
      </c>
      <c r="T139" s="6">
        <v>0</v>
      </c>
      <c r="U139" s="6">
        <v>1</v>
      </c>
      <c r="V139" s="6">
        <v>8</v>
      </c>
      <c r="W139" s="6">
        <v>2</v>
      </c>
      <c r="X139" s="6">
        <v>4</v>
      </c>
      <c r="Y139" s="6">
        <v>0</v>
      </c>
      <c r="Z139" s="5">
        <f t="shared" si="38"/>
        <v>35</v>
      </c>
    </row>
    <row r="140" spans="1:26" ht="13.15" customHeight="1" x14ac:dyDescent="0.4">
      <c r="A140" s="6" t="s">
        <v>26</v>
      </c>
      <c r="B140" s="53" t="s">
        <v>51</v>
      </c>
      <c r="C140" s="54"/>
      <c r="D140" s="55"/>
      <c r="E140" s="5">
        <f>SUM(E133:E139)</f>
        <v>1</v>
      </c>
      <c r="F140" s="5">
        <f>SUM(F133:F139)</f>
        <v>0</v>
      </c>
      <c r="G140" s="5">
        <f>SUM(G133:G139)</f>
        <v>0</v>
      </c>
      <c r="H140" s="5">
        <f>SUM(H133:H139)</f>
        <v>2</v>
      </c>
      <c r="I140" s="5">
        <f>SUM(I133:I139)</f>
        <v>0</v>
      </c>
      <c r="J140" s="5">
        <f>SUM(J133:J139)</f>
        <v>0</v>
      </c>
      <c r="K140" s="5">
        <f>SUM(K133:K139)</f>
        <v>0</v>
      </c>
      <c r="L140" s="5">
        <f>SUM(L133:L139)</f>
        <v>0</v>
      </c>
      <c r="M140" s="5">
        <f>SUM(M133:M139)</f>
        <v>2</v>
      </c>
      <c r="N140" s="5">
        <f>SUM(N133:N139)</f>
        <v>0</v>
      </c>
      <c r="O140" s="5">
        <f>SUM(O133:O139)</f>
        <v>4</v>
      </c>
      <c r="P140" s="5">
        <f>SUM(P133:P139)</f>
        <v>4</v>
      </c>
      <c r="Q140" s="5">
        <f>SUM(Q133:Q139)</f>
        <v>1</v>
      </c>
      <c r="R140" s="5">
        <f>SUM(R133:R139)</f>
        <v>4</v>
      </c>
      <c r="S140" s="5">
        <f>SUM(S133:S139)</f>
        <v>15</v>
      </c>
      <c r="T140" s="5">
        <f>SUM(T133:T139)</f>
        <v>0</v>
      </c>
      <c r="U140" s="5">
        <f>SUM(U133:U139)</f>
        <v>1</v>
      </c>
      <c r="V140" s="5">
        <f>SUM(V133:V139)</f>
        <v>10</v>
      </c>
      <c r="W140" s="5">
        <f>SUM(W133:W139)</f>
        <v>6</v>
      </c>
      <c r="X140" s="5">
        <f>SUM(X133:X139)</f>
        <v>4</v>
      </c>
      <c r="Y140" s="5">
        <f>SUM(Y133:Y139)</f>
        <v>0</v>
      </c>
      <c r="Z140" s="5">
        <f>SUM(Z133:Z139)</f>
        <v>54</v>
      </c>
    </row>
    <row r="141" spans="1:26" x14ac:dyDescent="0.4">
      <c r="A141" s="61"/>
      <c r="B141" s="62"/>
      <c r="C141" s="62"/>
      <c r="D141" s="62"/>
      <c r="E141" s="63"/>
      <c r="F141" s="18"/>
      <c r="G141" s="18"/>
      <c r="H141" s="18"/>
      <c r="I141" s="18"/>
      <c r="J141" s="18"/>
      <c r="K141" s="18"/>
      <c r="L141" s="18"/>
      <c r="M141" s="18"/>
      <c r="N141" s="18"/>
      <c r="R141" s="18"/>
      <c r="S141" s="18"/>
      <c r="T141" s="18"/>
      <c r="U141" s="18"/>
      <c r="Y141" s="18"/>
      <c r="Z141" s="5"/>
    </row>
    <row r="142" spans="1:26" x14ac:dyDescent="0.4">
      <c r="A142" s="11" t="s">
        <v>48</v>
      </c>
      <c r="B142" s="17" t="s">
        <v>71</v>
      </c>
      <c r="C142" s="59" t="s">
        <v>72</v>
      </c>
      <c r="D142" s="60"/>
      <c r="E142" s="6">
        <v>1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3</v>
      </c>
      <c r="T142" s="6">
        <v>0</v>
      </c>
      <c r="U142" s="6">
        <v>0</v>
      </c>
      <c r="V142" s="6">
        <v>0</v>
      </c>
      <c r="W142" s="6">
        <v>0</v>
      </c>
      <c r="X142" s="6">
        <v>1</v>
      </c>
      <c r="Y142" s="6">
        <v>0</v>
      </c>
      <c r="Z142" s="5">
        <f t="shared" ref="Z142:Z148" si="39">SUM(E142:Y142)</f>
        <v>5</v>
      </c>
    </row>
    <row r="143" spans="1:26" x14ac:dyDescent="0.4">
      <c r="A143" s="11" t="s">
        <v>50</v>
      </c>
      <c r="B143" s="46"/>
      <c r="C143" s="24" t="s">
        <v>166</v>
      </c>
      <c r="D143" s="47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1</v>
      </c>
      <c r="L143" s="6">
        <v>0</v>
      </c>
      <c r="M143" s="6">
        <v>1</v>
      </c>
      <c r="N143" s="6">
        <v>0</v>
      </c>
      <c r="O143" s="6">
        <v>0</v>
      </c>
      <c r="P143" s="6">
        <v>0</v>
      </c>
      <c r="Q143" s="6">
        <v>2</v>
      </c>
      <c r="R143" s="6">
        <v>1</v>
      </c>
      <c r="S143" s="6">
        <v>2</v>
      </c>
      <c r="T143" s="6">
        <v>0</v>
      </c>
      <c r="U143" s="6">
        <v>0</v>
      </c>
      <c r="V143" s="6">
        <v>0</v>
      </c>
      <c r="W143" s="6">
        <v>0</v>
      </c>
      <c r="X143" s="6">
        <v>1</v>
      </c>
      <c r="Y143" s="6">
        <v>0</v>
      </c>
      <c r="Z143" s="5">
        <f t="shared" si="39"/>
        <v>8</v>
      </c>
    </row>
    <row r="144" spans="1:26" x14ac:dyDescent="0.4">
      <c r="A144" s="7"/>
      <c r="B144" s="46"/>
      <c r="C144" s="24" t="s">
        <v>167</v>
      </c>
      <c r="D144" s="47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1</v>
      </c>
      <c r="X144" s="6">
        <v>0</v>
      </c>
      <c r="Y144" s="6">
        <v>0</v>
      </c>
      <c r="Z144" s="5">
        <f t="shared" si="39"/>
        <v>1</v>
      </c>
    </row>
    <row r="145" spans="1:26" x14ac:dyDescent="0.4">
      <c r="A145" s="7"/>
      <c r="B145" s="46"/>
      <c r="C145" s="24" t="s">
        <v>168</v>
      </c>
      <c r="D145" s="47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5">
        <f t="shared" si="39"/>
        <v>0</v>
      </c>
    </row>
    <row r="146" spans="1:26" x14ac:dyDescent="0.4">
      <c r="A146" s="7"/>
      <c r="B146" s="46"/>
      <c r="C146" s="24" t="s">
        <v>169</v>
      </c>
      <c r="D146" s="47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5">
        <f t="shared" si="39"/>
        <v>0</v>
      </c>
    </row>
    <row r="147" spans="1:26" x14ac:dyDescent="0.4">
      <c r="A147" s="7"/>
      <c r="B147" s="46"/>
      <c r="C147" s="24" t="s">
        <v>170</v>
      </c>
      <c r="D147" s="47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5">
        <f t="shared" si="39"/>
        <v>0</v>
      </c>
    </row>
    <row r="148" spans="1:26" x14ac:dyDescent="0.4">
      <c r="A148" s="7"/>
      <c r="B148" s="46"/>
      <c r="C148" s="24" t="s">
        <v>171</v>
      </c>
      <c r="D148" s="47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5">
        <f t="shared" si="39"/>
        <v>0</v>
      </c>
    </row>
    <row r="149" spans="1:26" x14ac:dyDescent="0.4">
      <c r="A149" s="6" t="s">
        <v>26</v>
      </c>
      <c r="B149" s="53" t="s">
        <v>51</v>
      </c>
      <c r="C149" s="54"/>
      <c r="D149" s="55"/>
      <c r="E149" s="5">
        <f>SUM(E142:E148)</f>
        <v>1</v>
      </c>
      <c r="F149" s="5">
        <f>SUM(F142:F148)</f>
        <v>0</v>
      </c>
      <c r="G149" s="5">
        <f>SUM(G142:G148)</f>
        <v>0</v>
      </c>
      <c r="H149" s="5">
        <f>SUM(H142:H148)</f>
        <v>0</v>
      </c>
      <c r="I149" s="5">
        <f>SUM(I142:I148)</f>
        <v>0</v>
      </c>
      <c r="J149" s="5">
        <f>SUM(J142:J148)</f>
        <v>0</v>
      </c>
      <c r="K149" s="5">
        <f>SUM(K142:K148)</f>
        <v>1</v>
      </c>
      <c r="L149" s="5">
        <f>SUM(L142:L148)</f>
        <v>0</v>
      </c>
      <c r="M149" s="5">
        <f>SUM(M142:M148)</f>
        <v>1</v>
      </c>
      <c r="N149" s="5">
        <f>SUM(N142:N148)</f>
        <v>0</v>
      </c>
      <c r="O149" s="5">
        <f>SUM(O142:O148)</f>
        <v>0</v>
      </c>
      <c r="P149" s="5">
        <f>SUM(P142:P148)</f>
        <v>0</v>
      </c>
      <c r="Q149" s="5">
        <f>SUM(Q142:Q148)</f>
        <v>2</v>
      </c>
      <c r="R149" s="5">
        <f>SUM(R142:R148)</f>
        <v>1</v>
      </c>
      <c r="S149" s="5">
        <f>SUM(S142:S148)</f>
        <v>5</v>
      </c>
      <c r="T149" s="5">
        <f>SUM(T142:T148)</f>
        <v>0</v>
      </c>
      <c r="U149" s="5">
        <f>SUM(U142:U148)</f>
        <v>0</v>
      </c>
      <c r="V149" s="5">
        <f>SUM(V142:V148)</f>
        <v>0</v>
      </c>
      <c r="W149" s="5">
        <f>SUM(W142:W148)</f>
        <v>1</v>
      </c>
      <c r="X149" s="5">
        <f>SUM(X142:X148)</f>
        <v>2</v>
      </c>
      <c r="Y149" s="5">
        <f>SUM(Y142:Y148)</f>
        <v>0</v>
      </c>
      <c r="Z149" s="5">
        <f>SUM(Z142:Z148)</f>
        <v>14</v>
      </c>
    </row>
    <row r="150" spans="1:26" x14ac:dyDescent="0.4">
      <c r="A150" s="61"/>
      <c r="B150" s="62"/>
      <c r="C150" s="62"/>
      <c r="D150" s="62"/>
      <c r="E150" s="63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x14ac:dyDescent="0.4">
      <c r="A151" s="11" t="s">
        <v>48</v>
      </c>
      <c r="B151" s="17" t="s">
        <v>73</v>
      </c>
      <c r="C151" s="59" t="s">
        <v>74</v>
      </c>
      <c r="D151" s="60"/>
      <c r="E151" s="6">
        <v>9</v>
      </c>
      <c r="F151" s="6">
        <v>8</v>
      </c>
      <c r="G151" s="6">
        <v>15</v>
      </c>
      <c r="H151" s="6">
        <v>18</v>
      </c>
      <c r="I151" s="6">
        <v>23</v>
      </c>
      <c r="J151" s="6">
        <v>12</v>
      </c>
      <c r="K151" s="6">
        <v>26</v>
      </c>
      <c r="L151" s="6">
        <v>0</v>
      </c>
      <c r="M151" s="6">
        <v>13</v>
      </c>
      <c r="N151" s="6">
        <v>14</v>
      </c>
      <c r="O151" s="6">
        <v>14</v>
      </c>
      <c r="P151" s="6">
        <v>14</v>
      </c>
      <c r="Q151" s="6">
        <v>13</v>
      </c>
      <c r="R151" s="6">
        <v>13</v>
      </c>
      <c r="S151" s="6">
        <v>2</v>
      </c>
      <c r="T151" s="6">
        <v>10</v>
      </c>
      <c r="U151" s="6">
        <v>8</v>
      </c>
      <c r="V151" s="6">
        <v>9</v>
      </c>
      <c r="W151" s="6">
        <v>7</v>
      </c>
      <c r="X151" s="6">
        <v>17</v>
      </c>
      <c r="Y151" s="6">
        <v>27</v>
      </c>
      <c r="Z151" s="5">
        <f t="shared" ref="Z151:Z157" si="40">SUM(E151:Y151)</f>
        <v>272</v>
      </c>
    </row>
    <row r="152" spans="1:26" x14ac:dyDescent="0.4">
      <c r="A152" s="11" t="s">
        <v>50</v>
      </c>
      <c r="B152" s="46"/>
      <c r="C152" s="24" t="s">
        <v>172</v>
      </c>
      <c r="D152" s="47"/>
      <c r="E152" s="6">
        <v>2</v>
      </c>
      <c r="F152" s="6">
        <v>1</v>
      </c>
      <c r="G152" s="6">
        <v>2</v>
      </c>
      <c r="H152" s="6">
        <v>1</v>
      </c>
      <c r="I152" s="6">
        <v>5</v>
      </c>
      <c r="J152" s="6">
        <v>4</v>
      </c>
      <c r="K152" s="6">
        <v>3</v>
      </c>
      <c r="L152" s="6">
        <v>0</v>
      </c>
      <c r="M152" s="6">
        <v>1</v>
      </c>
      <c r="N152" s="6">
        <v>4</v>
      </c>
      <c r="O152" s="6">
        <v>2</v>
      </c>
      <c r="P152" s="6">
        <v>1</v>
      </c>
      <c r="Q152" s="6">
        <v>3</v>
      </c>
      <c r="R152" s="6">
        <v>3</v>
      </c>
      <c r="S152" s="6">
        <v>1</v>
      </c>
      <c r="T152" s="6">
        <v>0</v>
      </c>
      <c r="U152" s="6">
        <v>0</v>
      </c>
      <c r="V152" s="6">
        <v>7</v>
      </c>
      <c r="W152" s="6">
        <v>7</v>
      </c>
      <c r="X152" s="6">
        <v>4</v>
      </c>
      <c r="Y152" s="6">
        <v>2</v>
      </c>
      <c r="Z152" s="5">
        <f t="shared" si="40"/>
        <v>53</v>
      </c>
    </row>
    <row r="153" spans="1:26" x14ac:dyDescent="0.4">
      <c r="A153" s="7"/>
      <c r="B153" s="46"/>
      <c r="C153" s="24" t="s">
        <v>173</v>
      </c>
      <c r="D153" s="47"/>
      <c r="E153" s="6">
        <v>143</v>
      </c>
      <c r="F153" s="6">
        <v>131</v>
      </c>
      <c r="G153" s="6">
        <v>121</v>
      </c>
      <c r="H153" s="6">
        <v>105</v>
      </c>
      <c r="I153" s="6">
        <v>126</v>
      </c>
      <c r="J153" s="6">
        <v>126</v>
      </c>
      <c r="K153" s="6">
        <v>170</v>
      </c>
      <c r="L153" s="6">
        <v>205</v>
      </c>
      <c r="M153" s="6">
        <v>151</v>
      </c>
      <c r="N153" s="6">
        <v>121</v>
      </c>
      <c r="O153" s="6">
        <v>138</v>
      </c>
      <c r="P153" s="6">
        <v>66</v>
      </c>
      <c r="Q153" s="6">
        <v>77</v>
      </c>
      <c r="R153" s="6">
        <v>124</v>
      </c>
      <c r="S153" s="6">
        <v>70</v>
      </c>
      <c r="T153" s="6">
        <v>124</v>
      </c>
      <c r="U153" s="6">
        <v>58</v>
      </c>
      <c r="V153" s="6">
        <v>66</v>
      </c>
      <c r="W153" s="6">
        <v>78</v>
      </c>
      <c r="X153" s="6">
        <v>114</v>
      </c>
      <c r="Y153" s="6">
        <v>85</v>
      </c>
      <c r="Z153" s="5">
        <f t="shared" si="40"/>
        <v>2399</v>
      </c>
    </row>
    <row r="154" spans="1:26" x14ac:dyDescent="0.4">
      <c r="A154" s="7"/>
      <c r="B154" s="46"/>
      <c r="C154" s="24" t="s">
        <v>174</v>
      </c>
      <c r="D154" s="47"/>
      <c r="E154" s="6">
        <v>0</v>
      </c>
      <c r="F154" s="6">
        <v>0</v>
      </c>
      <c r="G154" s="6">
        <v>0</v>
      </c>
      <c r="H154" s="6">
        <v>1</v>
      </c>
      <c r="I154" s="6">
        <v>0</v>
      </c>
      <c r="J154" s="6">
        <v>0</v>
      </c>
      <c r="K154" s="6">
        <v>0</v>
      </c>
      <c r="L154" s="6">
        <v>0</v>
      </c>
      <c r="M154" s="6">
        <v>2</v>
      </c>
      <c r="N154" s="6">
        <v>1</v>
      </c>
      <c r="O154" s="6">
        <v>1</v>
      </c>
      <c r="P154" s="6">
        <v>0</v>
      </c>
      <c r="Q154" s="6">
        <v>1</v>
      </c>
      <c r="R154" s="6">
        <v>1</v>
      </c>
      <c r="S154" s="6">
        <v>1</v>
      </c>
      <c r="T154" s="6">
        <v>0</v>
      </c>
      <c r="U154" s="6">
        <v>0</v>
      </c>
      <c r="V154" s="6">
        <v>0</v>
      </c>
      <c r="W154" s="6">
        <v>0</v>
      </c>
      <c r="X154" s="6">
        <v>1</v>
      </c>
      <c r="Y154" s="6">
        <v>2</v>
      </c>
      <c r="Z154" s="5">
        <f t="shared" si="40"/>
        <v>11</v>
      </c>
    </row>
    <row r="155" spans="1:26" x14ac:dyDescent="0.4">
      <c r="A155" s="7"/>
      <c r="B155" s="46"/>
      <c r="C155" s="24" t="s">
        <v>175</v>
      </c>
      <c r="D155" s="47"/>
      <c r="E155" s="6">
        <v>0</v>
      </c>
      <c r="F155" s="6">
        <v>0</v>
      </c>
      <c r="G155" s="6">
        <v>1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1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1</v>
      </c>
      <c r="U155" s="6">
        <v>1</v>
      </c>
      <c r="V155" s="6">
        <v>0</v>
      </c>
      <c r="W155" s="6">
        <v>2</v>
      </c>
      <c r="X155" s="6">
        <v>0</v>
      </c>
      <c r="Y155" s="6">
        <v>0</v>
      </c>
      <c r="Z155" s="5">
        <f t="shared" si="40"/>
        <v>6</v>
      </c>
    </row>
    <row r="156" spans="1:26" x14ac:dyDescent="0.4">
      <c r="A156" s="7"/>
      <c r="B156" s="46"/>
      <c r="C156" s="24" t="s">
        <v>176</v>
      </c>
      <c r="D156" s="47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1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5">
        <f t="shared" si="40"/>
        <v>1</v>
      </c>
    </row>
    <row r="157" spans="1:26" ht="13.15" customHeight="1" x14ac:dyDescent="0.4">
      <c r="A157" s="7"/>
      <c r="B157" s="46"/>
      <c r="C157" s="24" t="s">
        <v>177</v>
      </c>
      <c r="D157" s="47"/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5">
        <f t="shared" si="40"/>
        <v>0</v>
      </c>
    </row>
    <row r="158" spans="1:26" x14ac:dyDescent="0.4">
      <c r="A158" s="6" t="s">
        <v>26</v>
      </c>
      <c r="B158" s="53" t="s">
        <v>51</v>
      </c>
      <c r="C158" s="54"/>
      <c r="D158" s="55"/>
      <c r="E158" s="5">
        <f>SUM(E151:E157)</f>
        <v>154</v>
      </c>
      <c r="F158" s="5">
        <f>SUM(F151:F157)</f>
        <v>140</v>
      </c>
      <c r="G158" s="5">
        <f>SUM(G151:G157)</f>
        <v>139</v>
      </c>
      <c r="H158" s="5">
        <f>SUM(H151:H157)</f>
        <v>125</v>
      </c>
      <c r="I158" s="5">
        <f>SUM(I151:I157)</f>
        <v>154</v>
      </c>
      <c r="J158" s="5">
        <f>SUM(J151:J157)</f>
        <v>142</v>
      </c>
      <c r="K158" s="5">
        <f>SUM(K151:K157)</f>
        <v>199</v>
      </c>
      <c r="L158" s="5">
        <f>SUM(L151:L157)</f>
        <v>205</v>
      </c>
      <c r="M158" s="5">
        <f>SUM(M151:M157)</f>
        <v>169</v>
      </c>
      <c r="N158" s="5">
        <f>SUM(N151:N157)</f>
        <v>140</v>
      </c>
      <c r="O158" s="5">
        <f>SUM(O151:O157)</f>
        <v>155</v>
      </c>
      <c r="P158" s="5">
        <f>SUM(P151:P157)</f>
        <v>81</v>
      </c>
      <c r="Q158" s="5">
        <f>SUM(Q151:Q157)</f>
        <v>94</v>
      </c>
      <c r="R158" s="5">
        <f>SUM(R151:R157)</f>
        <v>141</v>
      </c>
      <c r="S158" s="5">
        <f>SUM(S151:S157)</f>
        <v>74</v>
      </c>
      <c r="T158" s="5">
        <f>SUM(T151:T157)</f>
        <v>135</v>
      </c>
      <c r="U158" s="5">
        <f>SUM(U151:U157)</f>
        <v>67</v>
      </c>
      <c r="V158" s="5">
        <f>SUM(V151:V157)</f>
        <v>82</v>
      </c>
      <c r="W158" s="5">
        <f>SUM(W151:W157)</f>
        <v>94</v>
      </c>
      <c r="X158" s="5">
        <f>SUM(X151:X157)</f>
        <v>136</v>
      </c>
      <c r="Y158" s="5">
        <f>SUM(Y151:Y157)</f>
        <v>116</v>
      </c>
      <c r="Z158" s="5">
        <f>SUM(Z151:Z157)</f>
        <v>2742</v>
      </c>
    </row>
    <row r="159" spans="1:26" x14ac:dyDescent="0.4">
      <c r="A159" s="61"/>
      <c r="B159" s="62"/>
      <c r="C159" s="62"/>
      <c r="D159" s="62"/>
      <c r="E159" s="63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x14ac:dyDescent="0.4">
      <c r="A160" s="11" t="s">
        <v>48</v>
      </c>
      <c r="B160" s="17" t="s">
        <v>75</v>
      </c>
      <c r="C160" s="59" t="s">
        <v>76</v>
      </c>
      <c r="D160" s="60"/>
      <c r="E160" s="6">
        <v>0</v>
      </c>
      <c r="F160" s="6">
        <v>0</v>
      </c>
      <c r="G160" s="6">
        <v>0</v>
      </c>
      <c r="H160" s="6">
        <v>1</v>
      </c>
      <c r="I160" s="6">
        <v>0</v>
      </c>
      <c r="J160" s="6">
        <v>1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1</v>
      </c>
      <c r="Q160" s="6">
        <v>0</v>
      </c>
      <c r="R160" s="6">
        <v>0</v>
      </c>
      <c r="S160" s="6">
        <v>2</v>
      </c>
      <c r="T160" s="6">
        <v>1</v>
      </c>
      <c r="U160" s="6">
        <v>1</v>
      </c>
      <c r="V160" s="6">
        <v>1</v>
      </c>
      <c r="W160" s="6">
        <v>0</v>
      </c>
      <c r="X160" s="6">
        <v>1</v>
      </c>
      <c r="Y160" s="6">
        <v>0</v>
      </c>
      <c r="Z160" s="5">
        <f t="shared" ref="Z160:Z162" si="41">SUM(E160:Y160)</f>
        <v>9</v>
      </c>
    </row>
    <row r="161" spans="1:26" x14ac:dyDescent="0.4">
      <c r="A161" s="11" t="s">
        <v>50</v>
      </c>
      <c r="B161" s="46"/>
      <c r="C161" s="24" t="s">
        <v>178</v>
      </c>
      <c r="D161" s="47"/>
      <c r="E161" s="6">
        <v>2</v>
      </c>
      <c r="F161" s="6">
        <v>0</v>
      </c>
      <c r="G161" s="6">
        <v>0</v>
      </c>
      <c r="H161" s="6">
        <v>1</v>
      </c>
      <c r="I161" s="6">
        <v>0</v>
      </c>
      <c r="J161" s="6">
        <v>0</v>
      </c>
      <c r="K161" s="6">
        <v>0</v>
      </c>
      <c r="L161" s="6">
        <v>0</v>
      </c>
      <c r="M161" s="6">
        <v>1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5">
        <f t="shared" si="41"/>
        <v>4</v>
      </c>
    </row>
    <row r="162" spans="1:26" x14ac:dyDescent="0.4">
      <c r="A162" s="7"/>
      <c r="B162" s="46"/>
      <c r="C162" s="24" t="s">
        <v>179</v>
      </c>
      <c r="D162" s="47"/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1</v>
      </c>
      <c r="R162" s="6">
        <v>0</v>
      </c>
      <c r="S162" s="6">
        <v>0</v>
      </c>
      <c r="T162" s="6">
        <v>1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5">
        <f t="shared" si="41"/>
        <v>2</v>
      </c>
    </row>
    <row r="163" spans="1:26" x14ac:dyDescent="0.4">
      <c r="A163" s="6" t="s">
        <v>26</v>
      </c>
      <c r="B163" s="53" t="s">
        <v>51</v>
      </c>
      <c r="C163" s="54"/>
      <c r="D163" s="55"/>
      <c r="E163" s="5">
        <f>SUM(E160:E162)</f>
        <v>2</v>
      </c>
      <c r="F163" s="5">
        <f>SUM(F160:F162)</f>
        <v>0</v>
      </c>
      <c r="G163" s="5">
        <f>SUM(G160:G162)</f>
        <v>0</v>
      </c>
      <c r="H163" s="5">
        <f>SUM(H160:H162)</f>
        <v>2</v>
      </c>
      <c r="I163" s="5">
        <f>SUM(I160:I162)</f>
        <v>0</v>
      </c>
      <c r="J163" s="5">
        <f>SUM(J160:J162)</f>
        <v>1</v>
      </c>
      <c r="K163" s="5">
        <f>SUM(K160:K162)</f>
        <v>0</v>
      </c>
      <c r="L163" s="5">
        <f>SUM(L160:L162)</f>
        <v>0</v>
      </c>
      <c r="M163" s="5">
        <f>SUM(M160:M162)</f>
        <v>1</v>
      </c>
      <c r="N163" s="5">
        <f>SUM(N160:N162)</f>
        <v>0</v>
      </c>
      <c r="O163" s="5">
        <f>SUM(O160:O162)</f>
        <v>0</v>
      </c>
      <c r="P163" s="5">
        <f>SUM(P160:P162)</f>
        <v>1</v>
      </c>
      <c r="Q163" s="5">
        <f>SUM(Q160:Q162)</f>
        <v>1</v>
      </c>
      <c r="R163" s="5">
        <f>SUM(R160:R162)</f>
        <v>0</v>
      </c>
      <c r="S163" s="5">
        <f>SUM(S160:S162)</f>
        <v>2</v>
      </c>
      <c r="T163" s="5">
        <f>SUM(T160:T162)</f>
        <v>2</v>
      </c>
      <c r="U163" s="5">
        <f>SUM(U160:U162)</f>
        <v>1</v>
      </c>
      <c r="V163" s="5">
        <f>SUM(V160:V162)</f>
        <v>1</v>
      </c>
      <c r="W163" s="5">
        <f>SUM(W160:W162)</f>
        <v>0</v>
      </c>
      <c r="X163" s="5">
        <f>SUM(X160:X162)</f>
        <v>1</v>
      </c>
      <c r="Y163" s="5">
        <f>SUM(Y160:Y162)</f>
        <v>0</v>
      </c>
      <c r="Z163" s="5">
        <f>SUM(Z160:Z162)</f>
        <v>15</v>
      </c>
    </row>
    <row r="164" spans="1:26" x14ac:dyDescent="0.4">
      <c r="A164" s="61"/>
      <c r="B164" s="62"/>
      <c r="C164" s="62"/>
      <c r="D164" s="62"/>
      <c r="E164" s="6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x14ac:dyDescent="0.4">
      <c r="A165" s="11" t="s">
        <v>48</v>
      </c>
      <c r="B165" s="17" t="s">
        <v>77</v>
      </c>
      <c r="C165" s="59" t="s">
        <v>78</v>
      </c>
      <c r="D165" s="60"/>
      <c r="E165" s="6">
        <v>0</v>
      </c>
      <c r="F165" s="6">
        <v>0</v>
      </c>
      <c r="G165" s="6">
        <v>0</v>
      </c>
      <c r="H165" s="6">
        <v>0</v>
      </c>
      <c r="I165" s="6">
        <v>1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2</v>
      </c>
      <c r="X165" s="6">
        <v>0</v>
      </c>
      <c r="Y165" s="6">
        <v>0</v>
      </c>
      <c r="Z165" s="5">
        <f t="shared" ref="Z165:Z171" si="42">SUM(E165:Y165)</f>
        <v>3</v>
      </c>
    </row>
    <row r="166" spans="1:26" x14ac:dyDescent="0.4">
      <c r="A166" s="11" t="s">
        <v>50</v>
      </c>
      <c r="B166" s="17"/>
      <c r="C166" s="24" t="s">
        <v>180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1</v>
      </c>
      <c r="X166" s="6">
        <v>0</v>
      </c>
      <c r="Y166" s="6">
        <v>0</v>
      </c>
      <c r="Z166" s="5">
        <f t="shared" si="42"/>
        <v>1</v>
      </c>
    </row>
    <row r="167" spans="1:26" x14ac:dyDescent="0.4">
      <c r="A167" s="7"/>
      <c r="B167" s="17"/>
      <c r="C167" s="24" t="s">
        <v>181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1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5">
        <f t="shared" si="42"/>
        <v>1</v>
      </c>
    </row>
    <row r="168" spans="1:26" x14ac:dyDescent="0.4">
      <c r="A168" s="7"/>
      <c r="B168" s="17"/>
      <c r="C168" s="24" t="s">
        <v>182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5">
        <f t="shared" si="42"/>
        <v>0</v>
      </c>
    </row>
    <row r="169" spans="1:26" ht="13.15" customHeight="1" x14ac:dyDescent="0.4">
      <c r="A169" s="7"/>
      <c r="B169" s="46"/>
      <c r="C169" s="24" t="s">
        <v>183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10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1</v>
      </c>
      <c r="Y169" s="6">
        <v>0</v>
      </c>
      <c r="Z169" s="5">
        <f t="shared" si="42"/>
        <v>11</v>
      </c>
    </row>
    <row r="170" spans="1:26" x14ac:dyDescent="0.4">
      <c r="A170" s="7"/>
      <c r="B170" s="46"/>
      <c r="C170" s="24" t="s">
        <v>184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5">
        <f t="shared" si="42"/>
        <v>0</v>
      </c>
    </row>
    <row r="171" spans="1:26" x14ac:dyDescent="0.4">
      <c r="A171" s="7"/>
      <c r="B171" s="46"/>
      <c r="C171" s="24" t="s">
        <v>185</v>
      </c>
      <c r="D171" s="47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5">
        <f t="shared" si="42"/>
        <v>0</v>
      </c>
    </row>
    <row r="172" spans="1:26" x14ac:dyDescent="0.4">
      <c r="A172" s="6" t="s">
        <v>26</v>
      </c>
      <c r="B172" s="53" t="s">
        <v>51</v>
      </c>
      <c r="C172" s="54"/>
      <c r="D172" s="55"/>
      <c r="E172" s="5">
        <f>SUM(E165:E171)</f>
        <v>0</v>
      </c>
      <c r="F172" s="5">
        <f>SUM(F165:F171)</f>
        <v>0</v>
      </c>
      <c r="G172" s="5">
        <f>SUM(G165:G171)</f>
        <v>0</v>
      </c>
      <c r="H172" s="5">
        <f>SUM(H165:H171)</f>
        <v>0</v>
      </c>
      <c r="I172" s="5">
        <f>SUM(I165:I171)</f>
        <v>1</v>
      </c>
      <c r="J172" s="5">
        <f>SUM(J165:J171)</f>
        <v>0</v>
      </c>
      <c r="K172" s="5">
        <f>SUM(K165:K171)</f>
        <v>0</v>
      </c>
      <c r="L172" s="5">
        <f>SUM(L165:L171)</f>
        <v>0</v>
      </c>
      <c r="M172" s="5">
        <f>SUM(M165:M171)</f>
        <v>0</v>
      </c>
      <c r="N172" s="5">
        <f>SUM(N165:N171)</f>
        <v>1</v>
      </c>
      <c r="O172" s="5">
        <f>SUM(O165:O171)</f>
        <v>10</v>
      </c>
      <c r="P172" s="5">
        <f>SUM(P165:P171)</f>
        <v>0</v>
      </c>
      <c r="Q172" s="5">
        <f>SUM(Q165:Q171)</f>
        <v>0</v>
      </c>
      <c r="R172" s="5">
        <f>SUM(R165:R171)</f>
        <v>0</v>
      </c>
      <c r="S172" s="5">
        <f>SUM(S165:S171)</f>
        <v>0</v>
      </c>
      <c r="T172" s="5">
        <f>SUM(T165:T171)</f>
        <v>0</v>
      </c>
      <c r="U172" s="5">
        <f>SUM(U165:U171)</f>
        <v>0</v>
      </c>
      <c r="V172" s="5">
        <f>SUM(V165:V171)</f>
        <v>0</v>
      </c>
      <c r="W172" s="5">
        <f>SUM(W165:W171)</f>
        <v>3</v>
      </c>
      <c r="X172" s="5">
        <f>SUM(X165:X171)</f>
        <v>1</v>
      </c>
      <c r="Y172" s="5">
        <f>SUM(Y165:Y171)</f>
        <v>0</v>
      </c>
      <c r="Z172" s="5">
        <f>SUM(Z165:Z171)</f>
        <v>16</v>
      </c>
    </row>
    <row r="173" spans="1:26" x14ac:dyDescent="0.4">
      <c r="A173" s="61"/>
      <c r="B173" s="62"/>
      <c r="C173" s="62"/>
      <c r="D173" s="62"/>
      <c r="E173" s="63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x14ac:dyDescent="0.4">
      <c r="A174" s="11" t="s">
        <v>48</v>
      </c>
      <c r="B174" s="17" t="s">
        <v>79</v>
      </c>
      <c r="C174" s="59" t="s">
        <v>80</v>
      </c>
      <c r="D174" s="60"/>
      <c r="E174" s="6">
        <v>1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1</v>
      </c>
      <c r="L174" s="6">
        <v>0</v>
      </c>
      <c r="M174" s="6">
        <v>0</v>
      </c>
      <c r="N174" s="6">
        <v>2</v>
      </c>
      <c r="O174" s="6">
        <v>2</v>
      </c>
      <c r="P174" s="6">
        <v>3</v>
      </c>
      <c r="Q174" s="6">
        <v>3</v>
      </c>
      <c r="R174" s="6">
        <v>1</v>
      </c>
      <c r="S174" s="6">
        <v>2</v>
      </c>
      <c r="T174" s="6">
        <v>1</v>
      </c>
      <c r="U174" s="6">
        <v>4</v>
      </c>
      <c r="V174" s="6">
        <v>0</v>
      </c>
      <c r="W174" s="6">
        <v>3</v>
      </c>
      <c r="X174" s="6">
        <v>0</v>
      </c>
      <c r="Y174" s="6">
        <v>0</v>
      </c>
      <c r="Z174" s="5">
        <f t="shared" ref="Z174:Z180" si="43">SUM(E174:Y174)</f>
        <v>23</v>
      </c>
    </row>
    <row r="175" spans="1:26" x14ac:dyDescent="0.4">
      <c r="A175" s="11" t="s">
        <v>50</v>
      </c>
      <c r="B175" s="46"/>
      <c r="C175" s="24" t="s">
        <v>186</v>
      </c>
      <c r="D175" s="47"/>
      <c r="E175" s="6">
        <v>0</v>
      </c>
      <c r="F175" s="6">
        <v>1</v>
      </c>
      <c r="G175" s="6">
        <v>0</v>
      </c>
      <c r="H175" s="6">
        <v>0</v>
      </c>
      <c r="I175" s="6">
        <v>0</v>
      </c>
      <c r="J175" s="6">
        <v>0</v>
      </c>
      <c r="K175" s="6">
        <v>1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5">
        <f t="shared" si="43"/>
        <v>2</v>
      </c>
    </row>
    <row r="176" spans="1:26" x14ac:dyDescent="0.4">
      <c r="A176" s="7"/>
      <c r="B176" s="46"/>
      <c r="C176" s="24" t="s">
        <v>187</v>
      </c>
      <c r="D176" s="47"/>
      <c r="E176" s="6">
        <v>9</v>
      </c>
      <c r="F176" s="6">
        <v>8</v>
      </c>
      <c r="G176" s="6">
        <v>0</v>
      </c>
      <c r="H176" s="6">
        <v>7</v>
      </c>
      <c r="I176" s="6">
        <v>0</v>
      </c>
      <c r="J176" s="6">
        <v>5</v>
      </c>
      <c r="K176" s="6">
        <v>0</v>
      </c>
      <c r="L176" s="6">
        <v>0</v>
      </c>
      <c r="M176" s="6">
        <v>8</v>
      </c>
      <c r="N176" s="6">
        <v>15</v>
      </c>
      <c r="O176" s="6">
        <v>7</v>
      </c>
      <c r="P176" s="6">
        <v>35</v>
      </c>
      <c r="Q176" s="6">
        <v>21</v>
      </c>
      <c r="R176" s="6">
        <v>12</v>
      </c>
      <c r="S176" s="6">
        <v>19</v>
      </c>
      <c r="T176" s="6">
        <v>30</v>
      </c>
      <c r="U176" s="6">
        <v>20</v>
      </c>
      <c r="V176" s="6">
        <v>3</v>
      </c>
      <c r="W176" s="6">
        <v>3</v>
      </c>
      <c r="X176" s="6">
        <v>6</v>
      </c>
      <c r="Y176" s="6">
        <v>0</v>
      </c>
      <c r="Z176" s="5">
        <f t="shared" si="43"/>
        <v>208</v>
      </c>
    </row>
    <row r="177" spans="1:26" ht="13.15" customHeight="1" x14ac:dyDescent="0.4">
      <c r="A177" s="7"/>
      <c r="B177" s="46"/>
      <c r="C177" s="24" t="s">
        <v>188</v>
      </c>
      <c r="D177" s="47"/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1</v>
      </c>
      <c r="R177" s="6">
        <v>0</v>
      </c>
      <c r="S177" s="6">
        <v>0</v>
      </c>
      <c r="T177" s="6">
        <v>0</v>
      </c>
      <c r="U177" s="6">
        <v>1</v>
      </c>
      <c r="V177" s="6">
        <v>0</v>
      </c>
      <c r="W177" s="6">
        <v>1</v>
      </c>
      <c r="X177" s="6">
        <v>0</v>
      </c>
      <c r="Y177" s="6">
        <v>0</v>
      </c>
      <c r="Z177" s="5">
        <f t="shared" si="43"/>
        <v>3</v>
      </c>
    </row>
    <row r="178" spans="1:26" x14ac:dyDescent="0.4">
      <c r="A178" s="7"/>
      <c r="B178" s="46"/>
      <c r="C178" s="24" t="s">
        <v>189</v>
      </c>
      <c r="D178" s="47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5">
        <f t="shared" si="43"/>
        <v>0</v>
      </c>
    </row>
    <row r="179" spans="1:26" ht="12.75" customHeight="1" x14ac:dyDescent="0.4">
      <c r="A179" s="7"/>
      <c r="B179" s="46"/>
      <c r="C179" s="24" t="s">
        <v>190</v>
      </c>
      <c r="D179" s="47"/>
      <c r="E179" s="6">
        <v>0</v>
      </c>
      <c r="F179" s="6">
        <v>0</v>
      </c>
      <c r="G179" s="6">
        <v>0</v>
      </c>
      <c r="H179" s="6">
        <v>0</v>
      </c>
      <c r="I179" s="6">
        <v>1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1</v>
      </c>
      <c r="R179" s="6">
        <v>0</v>
      </c>
      <c r="S179" s="6">
        <v>0</v>
      </c>
      <c r="T179" s="6">
        <v>0</v>
      </c>
      <c r="U179" s="6">
        <v>3</v>
      </c>
      <c r="V179" s="6">
        <v>0</v>
      </c>
      <c r="W179" s="6">
        <v>0</v>
      </c>
      <c r="X179" s="6">
        <v>0</v>
      </c>
      <c r="Y179" s="6">
        <v>0</v>
      </c>
      <c r="Z179" s="5">
        <f t="shared" si="43"/>
        <v>5</v>
      </c>
    </row>
    <row r="180" spans="1:26" x14ac:dyDescent="0.4">
      <c r="A180" s="7"/>
      <c r="B180" s="46"/>
      <c r="C180" s="24" t="s">
        <v>191</v>
      </c>
      <c r="D180" s="47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1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5">
        <f t="shared" si="43"/>
        <v>1</v>
      </c>
    </row>
    <row r="181" spans="1:26" ht="12.75" customHeight="1" x14ac:dyDescent="0.4">
      <c r="A181" s="6" t="s">
        <v>26</v>
      </c>
      <c r="B181" s="53" t="s">
        <v>51</v>
      </c>
      <c r="C181" s="54"/>
      <c r="D181" s="55"/>
      <c r="E181" s="5">
        <f>SUM(E174:E180)</f>
        <v>10</v>
      </c>
      <c r="F181" s="5">
        <f>SUM(F174:F180)</f>
        <v>9</v>
      </c>
      <c r="G181" s="5">
        <f>SUM(G174:G180)</f>
        <v>0</v>
      </c>
      <c r="H181" s="5">
        <f>SUM(H174:H180)</f>
        <v>7</v>
      </c>
      <c r="I181" s="5">
        <f>SUM(I174:I180)</f>
        <v>1</v>
      </c>
      <c r="J181" s="5">
        <f>SUM(J174:J180)</f>
        <v>6</v>
      </c>
      <c r="K181" s="5">
        <f>SUM(K174:K180)</f>
        <v>2</v>
      </c>
      <c r="L181" s="5">
        <f>SUM(L174:L180)</f>
        <v>0</v>
      </c>
      <c r="M181" s="5">
        <f>SUM(M174:M180)</f>
        <v>8</v>
      </c>
      <c r="N181" s="5">
        <f>SUM(N174:N180)</f>
        <v>17</v>
      </c>
      <c r="O181" s="5">
        <f>SUM(O174:O180)</f>
        <v>9</v>
      </c>
      <c r="P181" s="5">
        <f>SUM(P174:P180)</f>
        <v>38</v>
      </c>
      <c r="Q181" s="5">
        <f>SUM(Q174:Q180)</f>
        <v>26</v>
      </c>
      <c r="R181" s="5">
        <f>SUM(R174:R180)</f>
        <v>13</v>
      </c>
      <c r="S181" s="5">
        <f>SUM(S174:S180)</f>
        <v>21</v>
      </c>
      <c r="T181" s="5">
        <f>SUM(T174:T180)</f>
        <v>31</v>
      </c>
      <c r="U181" s="5">
        <f>SUM(U174:U180)</f>
        <v>28</v>
      </c>
      <c r="V181" s="5">
        <f>SUM(V174:V180)</f>
        <v>3</v>
      </c>
      <c r="W181" s="5">
        <f>SUM(W174:W180)</f>
        <v>7</v>
      </c>
      <c r="X181" s="5">
        <f>SUM(X174:X180)</f>
        <v>6</v>
      </c>
      <c r="Y181" s="5">
        <f>SUM(Y174:Y180)</f>
        <v>0</v>
      </c>
      <c r="Z181" s="5">
        <f>SUM(Z174:Z180)</f>
        <v>242</v>
      </c>
    </row>
    <row r="182" spans="1:26" x14ac:dyDescent="0.4">
      <c r="A182" s="61"/>
      <c r="B182" s="62"/>
      <c r="C182" s="62"/>
      <c r="D182" s="62"/>
      <c r="E182" s="63"/>
    </row>
    <row r="183" spans="1:26" x14ac:dyDescent="0.4">
      <c r="A183" s="11" t="s">
        <v>48</v>
      </c>
      <c r="B183" s="17" t="s">
        <v>81</v>
      </c>
      <c r="C183" s="59" t="s">
        <v>82</v>
      </c>
      <c r="D183" s="60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1</v>
      </c>
      <c r="P183" s="6">
        <v>0</v>
      </c>
      <c r="Q183" s="6">
        <v>0</v>
      </c>
      <c r="R183" s="6">
        <v>0</v>
      </c>
      <c r="S183" s="6">
        <v>1</v>
      </c>
      <c r="T183" s="6">
        <v>0</v>
      </c>
      <c r="U183" s="6">
        <v>0</v>
      </c>
      <c r="V183" s="6">
        <v>1</v>
      </c>
      <c r="W183" s="6">
        <v>0</v>
      </c>
      <c r="X183" s="6">
        <v>0</v>
      </c>
      <c r="Y183" s="6">
        <v>0</v>
      </c>
      <c r="Z183" s="5">
        <f t="shared" ref="Z183:Z184" si="44">SUM(E183:Y183)</f>
        <v>3</v>
      </c>
    </row>
    <row r="184" spans="1:26" x14ac:dyDescent="0.4">
      <c r="A184" s="11" t="s">
        <v>50</v>
      </c>
      <c r="B184" s="46"/>
      <c r="C184" s="24" t="s">
        <v>192</v>
      </c>
      <c r="D184" s="47"/>
      <c r="E184" s="6">
        <v>0</v>
      </c>
      <c r="F184" s="6">
        <v>0</v>
      </c>
      <c r="G184" s="6">
        <v>0</v>
      </c>
      <c r="H184" s="6">
        <v>0</v>
      </c>
      <c r="I184" s="6">
        <v>3</v>
      </c>
      <c r="J184" s="6">
        <v>0</v>
      </c>
      <c r="K184" s="6">
        <v>0</v>
      </c>
      <c r="L184" s="6">
        <v>0</v>
      </c>
      <c r="M184" s="6">
        <v>0</v>
      </c>
      <c r="N184" s="6">
        <v>2</v>
      </c>
      <c r="O184" s="6">
        <v>4</v>
      </c>
      <c r="P184" s="6">
        <v>3</v>
      </c>
      <c r="Q184" s="6">
        <v>0</v>
      </c>
      <c r="R184" s="6">
        <v>0</v>
      </c>
      <c r="S184" s="6">
        <v>3</v>
      </c>
      <c r="T184" s="6">
        <v>1</v>
      </c>
      <c r="U184" s="6">
        <v>2</v>
      </c>
      <c r="V184" s="6">
        <v>0</v>
      </c>
      <c r="W184" s="6">
        <v>1</v>
      </c>
      <c r="X184" s="6">
        <v>2</v>
      </c>
      <c r="Y184" s="6">
        <v>0</v>
      </c>
      <c r="Z184" s="5">
        <f t="shared" si="44"/>
        <v>21</v>
      </c>
    </row>
    <row r="185" spans="1:26" x14ac:dyDescent="0.4">
      <c r="A185" s="6" t="s">
        <v>26</v>
      </c>
      <c r="B185" s="53" t="s">
        <v>51</v>
      </c>
      <c r="C185" s="54"/>
      <c r="D185" s="55"/>
      <c r="E185" s="5">
        <f>SUM(E183:E184)</f>
        <v>0</v>
      </c>
      <c r="F185" s="5">
        <f>SUM(F183:F184)</f>
        <v>0</v>
      </c>
      <c r="G185" s="5">
        <f>SUM(G183:G184)</f>
        <v>0</v>
      </c>
      <c r="H185" s="5">
        <f>SUM(H183:H184)</f>
        <v>0</v>
      </c>
      <c r="I185" s="5">
        <f>SUM(I183:I184)</f>
        <v>3</v>
      </c>
      <c r="J185" s="5">
        <f>SUM(J183:J184)</f>
        <v>0</v>
      </c>
      <c r="K185" s="5">
        <f>SUM(K183:K184)</f>
        <v>0</v>
      </c>
      <c r="L185" s="5">
        <f>SUM(L183:L184)</f>
        <v>0</v>
      </c>
      <c r="M185" s="5">
        <f>SUM(M183:M184)</f>
        <v>0</v>
      </c>
      <c r="N185" s="5">
        <f>SUM(N183:N184)</f>
        <v>2</v>
      </c>
      <c r="O185" s="5">
        <f>SUM(O183:O184)</f>
        <v>5</v>
      </c>
      <c r="P185" s="5">
        <f>SUM(P183:P184)</f>
        <v>3</v>
      </c>
      <c r="Q185" s="5">
        <f>SUM(Q183:Q184)</f>
        <v>0</v>
      </c>
      <c r="R185" s="5">
        <f>SUM(R183:R184)</f>
        <v>0</v>
      </c>
      <c r="S185" s="5">
        <f>SUM(S183:S184)</f>
        <v>4</v>
      </c>
      <c r="T185" s="5">
        <f>SUM(T183:T184)</f>
        <v>1</v>
      </c>
      <c r="U185" s="5">
        <f>SUM(U183:U184)</f>
        <v>2</v>
      </c>
      <c r="V185" s="5">
        <f>SUM(V183:V184)</f>
        <v>1</v>
      </c>
      <c r="W185" s="5">
        <f>SUM(W183:W184)</f>
        <v>1</v>
      </c>
      <c r="X185" s="5">
        <f>SUM(X183:X184)</f>
        <v>2</v>
      </c>
      <c r="Y185" s="5">
        <f>SUM(Y183:Y184)</f>
        <v>0</v>
      </c>
      <c r="Z185" s="5">
        <f>SUM(Z183:Z184)</f>
        <v>24</v>
      </c>
    </row>
    <row r="187" spans="1:26" x14ac:dyDescent="0.4">
      <c r="A187" s="16" t="s">
        <v>83</v>
      </c>
      <c r="B187" s="56" t="s">
        <v>84</v>
      </c>
      <c r="C187" s="57"/>
      <c r="D187" s="58"/>
      <c r="E187" s="5"/>
      <c r="F187" s="5"/>
      <c r="G187" s="5"/>
      <c r="H187" s="5"/>
      <c r="I187" s="5"/>
      <c r="J187" s="5"/>
      <c r="K187" s="5"/>
      <c r="L187" s="5"/>
      <c r="M187" s="5"/>
      <c r="N187" s="15"/>
      <c r="O187" s="15"/>
      <c r="P187" s="15"/>
      <c r="Q187" s="15"/>
      <c r="R187" s="5"/>
      <c r="S187" s="5"/>
      <c r="T187" s="5"/>
      <c r="U187" s="15"/>
      <c r="V187" s="15"/>
      <c r="W187" s="15"/>
      <c r="X187" s="15"/>
      <c r="Y187" s="5"/>
      <c r="Z187" s="5"/>
    </row>
    <row r="188" spans="1:26" x14ac:dyDescent="0.4">
      <c r="A188" s="16"/>
      <c r="B188" s="19" t="s">
        <v>85</v>
      </c>
      <c r="C188" s="51" t="s">
        <v>86</v>
      </c>
      <c r="D188" s="52"/>
      <c r="E188" s="6">
        <f>E52+E61+E70+E79+E88+E92+E101+E110+E119+E128+E131+E140+E149+E158+E163+E172+E181+E185</f>
        <v>206</v>
      </c>
      <c r="F188" s="6">
        <f>F52+F61+F70+F79+F88+F92+F101+F110+F119+F128+F131+F140+F149+F158+F163+F172+F181+F185</f>
        <v>200</v>
      </c>
      <c r="G188" s="6">
        <f>G52+G61+G70+G79+G88+G92+G101+G110+G119+G128+G131+G140+G149+G158+G163+G172+G181+G185</f>
        <v>206</v>
      </c>
      <c r="H188" s="6">
        <f>H52+H61+H70+H79+H88+H92+H101+H110+H119+H128+H131+H140+H149+H158+H163+H172+H181+H185</f>
        <v>199</v>
      </c>
      <c r="I188" s="6">
        <f>I52+I61+I70+I79+I88+I92+I101+I110+I119+I128+I131+I140+I149+I158+I163+I172+I181+I185</f>
        <v>208</v>
      </c>
      <c r="J188" s="6">
        <f>J52+J61+J70+J79+J88+J92+J101+J110+J119+J128+J131+J140+J149+J158+J163+J172+J181+J185</f>
        <v>184</v>
      </c>
      <c r="K188" s="6">
        <f>K52+K61+K70+K79+K88+K92+K101+K110+K119+K128+K131+K140+K149+K158+K163+K172+K181+K185</f>
        <v>244</v>
      </c>
      <c r="L188" s="6">
        <f>L52+L61+L70+L79+L88+L92+L101+L110+L119+L128+L131+L140+L149+L158+L163+L172+L181+L185</f>
        <v>209</v>
      </c>
      <c r="M188" s="6">
        <f>M52+M61+M70+M79+M88+M92+M101+M110+M119+M128+M131+M140+M149+M158+M163+M172+M181+M185</f>
        <v>220</v>
      </c>
      <c r="N188" s="6">
        <f>N52+N61+N70+N79+N88+N92+N101+N110+N119+N128+N131+N140+N149+N158+N163+N172+N181+N185</f>
        <v>205</v>
      </c>
      <c r="O188" s="6">
        <f>O52+O61+O70+O79+O88+O92+O101+O110+O119+O128+O131+O140+O149+O158+O163+O172+O181+O185</f>
        <v>226</v>
      </c>
      <c r="P188" s="6">
        <f>P52+P61+P70+P79+P88+P92+P101+P110+P119+P128+P131+P140+P149+P158+P163+P172+P181+P185</f>
        <v>171</v>
      </c>
      <c r="Q188" s="6">
        <f>Q52+Q61+Q70+Q79+Q88+Q92+Q101+Q110+Q119+Q128+Q131+Q140+Q149+Q158+Q163+Q172+Q181+Q185</f>
        <v>206</v>
      </c>
      <c r="R188" s="6">
        <f>R52+R61+R70+R79+R88+R92+R101+R110+R119+R128+R131+R140+R149+R158+R163+R172+R181+R185</f>
        <v>204</v>
      </c>
      <c r="S188" s="6">
        <f>S52+S61+S70+S79+S88+S92+S101+S110+S119+S128+S131+S140+S149+S158+S163+S172+S181+S185</f>
        <v>221</v>
      </c>
      <c r="T188" s="6">
        <f>T52+T61+T70+T79+T88+T92+T101+T110+T119+T128+T131+T140+T149+T158+T163+T172+T181+T185</f>
        <v>228</v>
      </c>
      <c r="U188" s="6">
        <f>U52+U61+U70+U79+U88+U92+U101+U110+U119+U128+U131+U140+U149+U158+U163+U172+U181+U185</f>
        <v>213</v>
      </c>
      <c r="V188" s="6">
        <f>V52+V61+V70+V79+V88+V92+V101+V110+V119+V128+V131+V140+V149+V158+V163+V172+V181+V185</f>
        <v>198</v>
      </c>
      <c r="W188" s="6">
        <f>W52+W61+W70+W79+W88+W92+W101+W110+W119+W128+W131+W140+W149+W158+W163+W172+W181+W185</f>
        <v>183</v>
      </c>
      <c r="X188" s="6">
        <f>X52+X61+X70+X79+X88+X92+X101+X110+X119+X128+X131+X140+X149+X158+X163+X172+X181+X185</f>
        <v>235</v>
      </c>
      <c r="Y188" s="6">
        <f>Y52+Y61+Y70+Y79+Y88+Y92+Y101+Y110+Y119+Y128+Y131+Y140+Y149+Y158+Y163+Y172+Y181+Y185</f>
        <v>161</v>
      </c>
      <c r="Z188" s="5">
        <f>SUM(E188:Y188)</f>
        <v>4327</v>
      </c>
    </row>
    <row r="189" spans="1:26" x14ac:dyDescent="0.4">
      <c r="A189" s="13"/>
      <c r="B189" s="19" t="s">
        <v>87</v>
      </c>
      <c r="C189" s="51" t="s">
        <v>88</v>
      </c>
      <c r="D189" s="52"/>
      <c r="E189" s="6">
        <v>10</v>
      </c>
      <c r="F189" s="6">
        <v>6</v>
      </c>
      <c r="G189" s="6">
        <v>21</v>
      </c>
      <c r="H189" s="6">
        <v>26</v>
      </c>
      <c r="I189" s="6">
        <v>12</v>
      </c>
      <c r="J189" s="6">
        <v>7</v>
      </c>
      <c r="K189" s="6">
        <v>9</v>
      </c>
      <c r="L189" s="6">
        <v>2</v>
      </c>
      <c r="M189" s="6">
        <v>13</v>
      </c>
      <c r="N189" s="6">
        <v>4</v>
      </c>
      <c r="O189" s="6">
        <v>14</v>
      </c>
      <c r="P189" s="6">
        <v>16</v>
      </c>
      <c r="Q189" s="6">
        <v>17</v>
      </c>
      <c r="R189" s="6">
        <v>9</v>
      </c>
      <c r="S189" s="6">
        <v>11</v>
      </c>
      <c r="T189" s="6">
        <v>13</v>
      </c>
      <c r="U189" s="6">
        <v>10</v>
      </c>
      <c r="V189" s="6">
        <v>10</v>
      </c>
      <c r="W189" s="6">
        <v>15</v>
      </c>
      <c r="X189" s="6">
        <v>4</v>
      </c>
      <c r="Y189" s="6">
        <v>18</v>
      </c>
      <c r="Z189" s="5">
        <f>SUM(E189:Y189)</f>
        <v>247</v>
      </c>
    </row>
    <row r="190" spans="1:26" x14ac:dyDescent="0.4">
      <c r="A190" s="14"/>
      <c r="B190" s="19" t="s">
        <v>89</v>
      </c>
      <c r="C190" s="51" t="s">
        <v>90</v>
      </c>
      <c r="D190" s="52"/>
      <c r="E190" s="5">
        <f>SUM(E188:E189)</f>
        <v>216</v>
      </c>
      <c r="F190" s="5">
        <f t="shared" ref="F190:Y190" si="45">SUM(F188:F189)</f>
        <v>206</v>
      </c>
      <c r="G190" s="5">
        <f t="shared" si="45"/>
        <v>227</v>
      </c>
      <c r="H190" s="5">
        <f t="shared" si="45"/>
        <v>225</v>
      </c>
      <c r="I190" s="5">
        <f t="shared" si="45"/>
        <v>220</v>
      </c>
      <c r="J190" s="5">
        <f t="shared" si="45"/>
        <v>191</v>
      </c>
      <c r="K190" s="5">
        <f t="shared" ref="K190:Q190" si="46">SUM(K188:K189)</f>
        <v>253</v>
      </c>
      <c r="L190" s="5">
        <f t="shared" si="46"/>
        <v>211</v>
      </c>
      <c r="M190" s="5">
        <f t="shared" si="46"/>
        <v>233</v>
      </c>
      <c r="N190" s="5">
        <f t="shared" si="46"/>
        <v>209</v>
      </c>
      <c r="O190" s="5">
        <f t="shared" si="46"/>
        <v>240</v>
      </c>
      <c r="P190" s="5">
        <f t="shared" si="46"/>
        <v>187</v>
      </c>
      <c r="Q190" s="5">
        <f t="shared" si="46"/>
        <v>223</v>
      </c>
      <c r="R190" s="5">
        <f t="shared" si="45"/>
        <v>213</v>
      </c>
      <c r="S190" s="5">
        <f t="shared" ref="S190:X190" si="47">SUM(S188:S189)</f>
        <v>232</v>
      </c>
      <c r="T190" s="5">
        <f t="shared" si="47"/>
        <v>241</v>
      </c>
      <c r="U190" s="5">
        <f t="shared" si="47"/>
        <v>223</v>
      </c>
      <c r="V190" s="5">
        <f t="shared" si="47"/>
        <v>208</v>
      </c>
      <c r="W190" s="5">
        <f t="shared" si="47"/>
        <v>198</v>
      </c>
      <c r="X190" s="5">
        <f t="shared" si="47"/>
        <v>239</v>
      </c>
      <c r="Y190" s="5">
        <f t="shared" si="45"/>
        <v>179</v>
      </c>
      <c r="Z190" s="5">
        <f>SUM(E190:Y190)</f>
        <v>4574</v>
      </c>
    </row>
  </sheetData>
  <mergeCells count="87">
    <mergeCell ref="C190:D190"/>
    <mergeCell ref="A182:E182"/>
    <mergeCell ref="C183:D183"/>
    <mergeCell ref="B185:D185"/>
    <mergeCell ref="B187:D187"/>
    <mergeCell ref="C188:D188"/>
    <mergeCell ref="C189:D189"/>
    <mergeCell ref="B181:D181"/>
    <mergeCell ref="A150:E150"/>
    <mergeCell ref="C151:D151"/>
    <mergeCell ref="B158:D158"/>
    <mergeCell ref="A159:E159"/>
    <mergeCell ref="C160:D160"/>
    <mergeCell ref="B163:D163"/>
    <mergeCell ref="A164:E164"/>
    <mergeCell ref="C165:D165"/>
    <mergeCell ref="B172:D172"/>
    <mergeCell ref="A173:E173"/>
    <mergeCell ref="C174:D174"/>
    <mergeCell ref="B149:D149"/>
    <mergeCell ref="A120:E120"/>
    <mergeCell ref="C121:D121"/>
    <mergeCell ref="B128:D128"/>
    <mergeCell ref="A129:E129"/>
    <mergeCell ref="C130:D130"/>
    <mergeCell ref="B131:D131"/>
    <mergeCell ref="A132:E132"/>
    <mergeCell ref="C133:D133"/>
    <mergeCell ref="B140:D140"/>
    <mergeCell ref="A141:E141"/>
    <mergeCell ref="C142:D142"/>
    <mergeCell ref="B119:D119"/>
    <mergeCell ref="A89:E89"/>
    <mergeCell ref="C90:D90"/>
    <mergeCell ref="B92:D92"/>
    <mergeCell ref="A93:E93"/>
    <mergeCell ref="C94:D94"/>
    <mergeCell ref="B101:D101"/>
    <mergeCell ref="A102:E102"/>
    <mergeCell ref="C103:D103"/>
    <mergeCell ref="B110:D110"/>
    <mergeCell ref="A111:E111"/>
    <mergeCell ref="C112:D112"/>
    <mergeCell ref="C91:D91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E37:I37"/>
    <mergeCell ref="B38:D38"/>
    <mergeCell ref="B39:C41"/>
    <mergeCell ref="A42:D42"/>
    <mergeCell ref="E42:I42"/>
    <mergeCell ref="A31:D31"/>
    <mergeCell ref="B32:D32"/>
    <mergeCell ref="B33:D33"/>
    <mergeCell ref="B52:D52"/>
    <mergeCell ref="B35:D35"/>
    <mergeCell ref="B36:D36"/>
    <mergeCell ref="A37:D37"/>
    <mergeCell ref="B43:D43"/>
    <mergeCell ref="A44:D44"/>
    <mergeCell ref="C45:D45"/>
    <mergeCell ref="B34:D34"/>
    <mergeCell ref="A17:D17"/>
    <mergeCell ref="B12:D12"/>
    <mergeCell ref="E12:Y12"/>
    <mergeCell ref="Z12:Z13"/>
    <mergeCell ref="B13:D13"/>
    <mergeCell ref="B14:C16"/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</mergeCells>
  <phoneticPr fontId="8" type="noConversion"/>
  <conditionalFormatting sqref="E14:Y15">
    <cfRule type="containsBlanks" dxfId="173" priority="20">
      <formula>LEN(TRIM(E14))=0</formula>
    </cfRule>
  </conditionalFormatting>
  <conditionalFormatting sqref="E19:Y20">
    <cfRule type="containsBlanks" dxfId="172" priority="23">
      <formula>LEN(TRIM(E19))=0</formula>
    </cfRule>
  </conditionalFormatting>
  <conditionalFormatting sqref="E22:Y23 E25:Y26 E33:Y33 E35:Y35 E39:Y40">
    <cfRule type="containsBlanks" dxfId="171" priority="24">
      <formula>LEN(TRIM(E22))=0</formula>
    </cfRule>
  </conditionalFormatting>
  <conditionalFormatting sqref="E30:Y30">
    <cfRule type="expression" dxfId="170" priority="25">
      <formula>E30&lt;&gt;E47</formula>
    </cfRule>
    <cfRule type="expression" dxfId="169" priority="26">
      <formula>E30&lt;&gt;E34</formula>
    </cfRule>
  </conditionalFormatting>
  <conditionalFormatting sqref="E45:Y51">
    <cfRule type="containsBlanks" dxfId="168" priority="19">
      <formula>LEN(TRIM(E45))=0</formula>
    </cfRule>
  </conditionalFormatting>
  <conditionalFormatting sqref="E54:Y60">
    <cfRule type="containsBlanks" dxfId="167" priority="18">
      <formula>LEN(TRIM(E54))=0</formula>
    </cfRule>
  </conditionalFormatting>
  <conditionalFormatting sqref="E63:Y69">
    <cfRule type="containsBlanks" dxfId="166" priority="17">
      <formula>LEN(TRIM(E63))=0</formula>
    </cfRule>
  </conditionalFormatting>
  <conditionalFormatting sqref="E72:Y78">
    <cfRule type="containsBlanks" dxfId="165" priority="16">
      <formula>LEN(TRIM(E72))=0</formula>
    </cfRule>
  </conditionalFormatting>
  <conditionalFormatting sqref="E81:Y87">
    <cfRule type="containsBlanks" dxfId="164" priority="15">
      <formula>LEN(TRIM(E81))=0</formula>
    </cfRule>
  </conditionalFormatting>
  <conditionalFormatting sqref="E90:Y91">
    <cfRule type="containsBlanks" dxfId="163" priority="14">
      <formula>LEN(TRIM(E90))=0</formula>
    </cfRule>
  </conditionalFormatting>
  <conditionalFormatting sqref="E94:Y100">
    <cfRule type="containsBlanks" dxfId="162" priority="1">
      <formula>LEN(TRIM(E94))=0</formula>
    </cfRule>
  </conditionalFormatting>
  <conditionalFormatting sqref="E103:Y109">
    <cfRule type="containsBlanks" dxfId="161" priority="13">
      <formula>LEN(TRIM(E103))=0</formula>
    </cfRule>
  </conditionalFormatting>
  <conditionalFormatting sqref="E112:Y118">
    <cfRule type="containsBlanks" dxfId="160" priority="12">
      <formula>LEN(TRIM(E112))=0</formula>
    </cfRule>
  </conditionalFormatting>
  <conditionalFormatting sqref="E121:Y127">
    <cfRule type="containsBlanks" dxfId="159" priority="3">
      <formula>LEN(TRIM(E121))=0</formula>
    </cfRule>
  </conditionalFormatting>
  <conditionalFormatting sqref="E130:Y130">
    <cfRule type="containsBlanks" dxfId="158" priority="11">
      <formula>LEN(TRIM(E130))=0</formula>
    </cfRule>
  </conditionalFormatting>
  <conditionalFormatting sqref="E133:Y139">
    <cfRule type="containsBlanks" dxfId="157" priority="10">
      <formula>LEN(TRIM(E133))=0</formula>
    </cfRule>
  </conditionalFormatting>
  <conditionalFormatting sqref="E142:Y148">
    <cfRule type="containsBlanks" dxfId="156" priority="9">
      <formula>LEN(TRIM(E142))=0</formula>
    </cfRule>
  </conditionalFormatting>
  <conditionalFormatting sqref="E151:Y157">
    <cfRule type="containsBlanks" dxfId="155" priority="8">
      <formula>LEN(TRIM(E151))=0</formula>
    </cfRule>
  </conditionalFormatting>
  <conditionalFormatting sqref="E160:Y162">
    <cfRule type="containsBlanks" dxfId="154" priority="7">
      <formula>LEN(TRIM(E160))=0</formula>
    </cfRule>
  </conditionalFormatting>
  <conditionalFormatting sqref="E165:Y171">
    <cfRule type="containsBlanks" dxfId="153" priority="6">
      <formula>LEN(TRIM(E165))=0</formula>
    </cfRule>
  </conditionalFormatting>
  <conditionalFormatting sqref="E174:Y180">
    <cfRule type="containsBlanks" dxfId="152" priority="5">
      <formula>LEN(TRIM(E174))=0</formula>
    </cfRule>
  </conditionalFormatting>
  <conditionalFormatting sqref="E183:Y184">
    <cfRule type="containsBlanks" dxfId="151" priority="4">
      <formula>LEN(TRIM(E183))=0</formula>
    </cfRule>
  </conditionalFormatting>
  <conditionalFormatting sqref="E188:Y189">
    <cfRule type="containsBlanks" dxfId="150" priority="2">
      <formula>LEN(TRIM(E188))=0</formula>
    </cfRule>
  </conditionalFormatting>
  <conditionalFormatting sqref="E34:Y34">
    <cfRule type="expression" dxfId="149" priority="133">
      <formula>E30&lt;&gt;E34</formula>
    </cfRule>
    <cfRule type="expression" dxfId="148" priority="134">
      <formula>E30=E34</formula>
    </cfRule>
    <cfRule type="expression" dxfId="147" priority="135">
      <formula>E34&lt;&gt;E30</formula>
    </cfRule>
    <cfRule type="expression" dxfId="146" priority="136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CD85-E373-4744-A74F-63DA70D05679}">
  <sheetPr>
    <tabColor rgb="FF92D050"/>
  </sheetPr>
  <dimension ref="A2:S190"/>
  <sheetViews>
    <sheetView tabSelected="1" topLeftCell="A13" zoomScale="85" zoomScaleNormal="85" workbookViewId="0">
      <pane ySplit="1" topLeftCell="A182" activePane="bottomLeft" state="frozen"/>
      <selection activeCell="E14" sqref="E14"/>
      <selection pane="bottomLeft" activeCell="S188" sqref="S188"/>
    </sheetView>
  </sheetViews>
  <sheetFormatPr defaultRowHeight="13.15" x14ac:dyDescent="0.4"/>
  <cols>
    <col min="3" max="3" width="67.140625" bestFit="1" customWidth="1"/>
    <col min="4" max="4" width="5.85546875" bestFit="1" customWidth="1"/>
    <col min="19" max="19" width="13.28515625" customWidth="1"/>
  </cols>
  <sheetData>
    <row r="2" spans="1:19" x14ac:dyDescent="0.4">
      <c r="C2" s="43" t="s">
        <v>98</v>
      </c>
      <c r="D2" s="43" t="s">
        <v>105</v>
      </c>
    </row>
    <row r="3" spans="1:19" x14ac:dyDescent="0.4">
      <c r="C3" s="43" t="s">
        <v>99</v>
      </c>
      <c r="D3" s="43" t="s">
        <v>100</v>
      </c>
    </row>
    <row r="4" spans="1:19" x14ac:dyDescent="0.4">
      <c r="C4" s="43" t="s">
        <v>101</v>
      </c>
      <c r="D4" s="43" t="s">
        <v>102</v>
      </c>
    </row>
    <row r="5" spans="1:19" x14ac:dyDescent="0.4">
      <c r="C5" s="43"/>
      <c r="D5" s="43"/>
    </row>
    <row r="6" spans="1:19" x14ac:dyDescent="0.4">
      <c r="C6" s="43"/>
      <c r="D6" s="43"/>
    </row>
    <row r="7" spans="1:19" x14ac:dyDescent="0.4">
      <c r="C7" s="43"/>
      <c r="D7" s="43"/>
    </row>
    <row r="8" spans="1:19" x14ac:dyDescent="0.4">
      <c r="C8" s="43"/>
      <c r="D8" s="43"/>
    </row>
    <row r="9" spans="1:19" x14ac:dyDescent="0.4">
      <c r="C9" s="43" t="s">
        <v>103</v>
      </c>
      <c r="D9" s="43" t="s">
        <v>198</v>
      </c>
    </row>
    <row r="11" spans="1:1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Q11" s="3"/>
    </row>
    <row r="12" spans="1:19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2" t="s">
        <v>97</v>
      </c>
    </row>
    <row r="13" spans="1:19" x14ac:dyDescent="0.4">
      <c r="A13" s="6" t="s">
        <v>2</v>
      </c>
      <c r="B13" s="78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93"/>
    </row>
    <row r="14" spans="1:19" x14ac:dyDescent="0.4">
      <c r="A14" s="7"/>
      <c r="B14" s="81" t="s">
        <v>22</v>
      </c>
      <c r="C14" s="68"/>
      <c r="D14" s="6" t="s">
        <v>23</v>
      </c>
      <c r="E14" s="6">
        <v>130</v>
      </c>
      <c r="F14" s="6">
        <v>111</v>
      </c>
      <c r="G14" s="6">
        <v>108</v>
      </c>
      <c r="H14" s="6">
        <v>125</v>
      </c>
      <c r="I14" s="6">
        <v>145</v>
      </c>
      <c r="J14" s="6">
        <v>140</v>
      </c>
      <c r="K14" s="6">
        <v>136</v>
      </c>
      <c r="L14" s="6">
        <v>138</v>
      </c>
      <c r="M14" s="6">
        <v>101</v>
      </c>
      <c r="N14" s="6">
        <v>127</v>
      </c>
      <c r="O14" s="6">
        <v>146</v>
      </c>
      <c r="P14" s="6">
        <v>136</v>
      </c>
      <c r="Q14" s="6">
        <v>132</v>
      </c>
      <c r="R14" s="6">
        <v>144</v>
      </c>
      <c r="S14" s="5">
        <f>SUM(E14:R14)</f>
        <v>1819</v>
      </c>
    </row>
    <row r="15" spans="1:19" x14ac:dyDescent="0.4">
      <c r="A15" s="7"/>
      <c r="B15" s="82"/>
      <c r="C15" s="75"/>
      <c r="D15" s="6" t="s">
        <v>24</v>
      </c>
      <c r="E15" s="6">
        <v>123</v>
      </c>
      <c r="F15" s="6">
        <v>102</v>
      </c>
      <c r="G15" s="6">
        <v>130</v>
      </c>
      <c r="H15" s="6">
        <v>130</v>
      </c>
      <c r="I15" s="6">
        <v>143</v>
      </c>
      <c r="J15" s="6">
        <v>139</v>
      </c>
      <c r="K15" s="6">
        <v>144</v>
      </c>
      <c r="L15" s="6">
        <v>148</v>
      </c>
      <c r="M15" s="6">
        <v>94</v>
      </c>
      <c r="N15" s="6">
        <v>123</v>
      </c>
      <c r="O15" s="6">
        <v>143</v>
      </c>
      <c r="P15" s="6">
        <v>129</v>
      </c>
      <c r="Q15" s="6">
        <v>130</v>
      </c>
      <c r="R15" s="6">
        <v>127</v>
      </c>
      <c r="S15" s="5">
        <f>SUM(E15:R15)</f>
        <v>1805</v>
      </c>
    </row>
    <row r="16" spans="1:19" x14ac:dyDescent="0.4">
      <c r="A16" s="8"/>
      <c r="B16" s="80"/>
      <c r="C16" s="76"/>
      <c r="D16" s="5" t="s">
        <v>25</v>
      </c>
      <c r="E16" s="5">
        <f t="shared" ref="E16:R16" si="0">SUM(E14:E15)</f>
        <v>253</v>
      </c>
      <c r="F16" s="5">
        <f t="shared" si="0"/>
        <v>213</v>
      </c>
      <c r="G16" s="5">
        <f t="shared" si="0"/>
        <v>238</v>
      </c>
      <c r="H16" s="5">
        <f t="shared" si="0"/>
        <v>255</v>
      </c>
      <c r="I16" s="5">
        <f t="shared" si="0"/>
        <v>288</v>
      </c>
      <c r="J16" s="5">
        <f t="shared" si="0"/>
        <v>279</v>
      </c>
      <c r="K16" s="5">
        <f t="shared" si="0"/>
        <v>280</v>
      </c>
      <c r="L16" s="5">
        <f t="shared" si="0"/>
        <v>286</v>
      </c>
      <c r="M16" s="5">
        <f t="shared" si="0"/>
        <v>195</v>
      </c>
      <c r="N16" s="5">
        <f t="shared" ref="N16:P16" si="1">SUM(N14:N15)</f>
        <v>250</v>
      </c>
      <c r="O16" s="5">
        <f t="shared" si="1"/>
        <v>289</v>
      </c>
      <c r="P16" s="5">
        <f t="shared" si="1"/>
        <v>265</v>
      </c>
      <c r="Q16" s="5">
        <f t="shared" si="0"/>
        <v>262</v>
      </c>
      <c r="R16" s="5">
        <f t="shared" si="0"/>
        <v>271</v>
      </c>
      <c r="S16" s="5">
        <f>SUM(E16:R16)</f>
        <v>3624</v>
      </c>
    </row>
    <row r="17" spans="1:19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28"/>
    </row>
    <row r="18" spans="1:19" x14ac:dyDescent="0.4">
      <c r="A18" s="11" t="s">
        <v>26</v>
      </c>
      <c r="B18" s="78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28"/>
    </row>
    <row r="19" spans="1:19" x14ac:dyDescent="0.4">
      <c r="A19" s="11"/>
      <c r="B19" s="83" t="s">
        <v>28</v>
      </c>
      <c r="C19" s="84" t="s">
        <v>29</v>
      </c>
      <c r="D19" s="6" t="s">
        <v>23</v>
      </c>
      <c r="E19" s="6">
        <v>106</v>
      </c>
      <c r="F19" s="6">
        <v>77</v>
      </c>
      <c r="G19" s="6">
        <v>91</v>
      </c>
      <c r="H19" s="6">
        <v>95</v>
      </c>
      <c r="I19" s="6">
        <v>117</v>
      </c>
      <c r="J19" s="6">
        <v>114</v>
      </c>
      <c r="K19" s="6">
        <v>102</v>
      </c>
      <c r="L19" s="6">
        <v>109</v>
      </c>
      <c r="M19" s="6">
        <v>101</v>
      </c>
      <c r="N19" s="6">
        <v>104</v>
      </c>
      <c r="O19" s="6">
        <v>119</v>
      </c>
      <c r="P19" s="6">
        <v>122</v>
      </c>
      <c r="Q19" s="6">
        <v>112</v>
      </c>
      <c r="R19" s="6">
        <v>122</v>
      </c>
      <c r="S19" s="5">
        <f t="shared" ref="S19:S30" si="2">SUM(E19:R19)</f>
        <v>1491</v>
      </c>
    </row>
    <row r="20" spans="1:19" x14ac:dyDescent="0.4">
      <c r="A20" s="12"/>
      <c r="B20" s="75"/>
      <c r="C20" s="85"/>
      <c r="D20" s="6" t="s">
        <v>24</v>
      </c>
      <c r="E20" s="6">
        <v>107</v>
      </c>
      <c r="F20" s="6">
        <v>69</v>
      </c>
      <c r="G20" s="6">
        <v>103</v>
      </c>
      <c r="H20" s="6">
        <v>110</v>
      </c>
      <c r="I20" s="6">
        <v>93</v>
      </c>
      <c r="J20" s="6">
        <v>117</v>
      </c>
      <c r="K20" s="6">
        <v>120</v>
      </c>
      <c r="L20" s="6">
        <v>120</v>
      </c>
      <c r="M20" s="6">
        <v>94</v>
      </c>
      <c r="N20" s="6">
        <v>106</v>
      </c>
      <c r="O20" s="6">
        <v>117</v>
      </c>
      <c r="P20" s="6">
        <v>116</v>
      </c>
      <c r="Q20" s="6">
        <v>119</v>
      </c>
      <c r="R20" s="6">
        <v>111</v>
      </c>
      <c r="S20" s="5">
        <f t="shared" si="2"/>
        <v>1502</v>
      </c>
    </row>
    <row r="21" spans="1:19" x14ac:dyDescent="0.4">
      <c r="A21" s="13"/>
      <c r="B21" s="76"/>
      <c r="C21" s="86"/>
      <c r="D21" s="5" t="s">
        <v>25</v>
      </c>
      <c r="E21" s="5">
        <f t="shared" ref="E21:R21" si="3">SUM(E19:E20)</f>
        <v>213</v>
      </c>
      <c r="F21" s="5">
        <f t="shared" si="3"/>
        <v>146</v>
      </c>
      <c r="G21" s="5">
        <f t="shared" si="3"/>
        <v>194</v>
      </c>
      <c r="H21" s="5">
        <f t="shared" si="3"/>
        <v>205</v>
      </c>
      <c r="I21" s="5">
        <f t="shared" si="3"/>
        <v>210</v>
      </c>
      <c r="J21" s="5">
        <f t="shared" si="3"/>
        <v>231</v>
      </c>
      <c r="K21" s="5">
        <f t="shared" si="3"/>
        <v>222</v>
      </c>
      <c r="L21" s="5">
        <f t="shared" si="3"/>
        <v>229</v>
      </c>
      <c r="M21" s="5">
        <f t="shared" si="3"/>
        <v>195</v>
      </c>
      <c r="N21" s="5">
        <f t="shared" ref="N21:P21" si="4">SUM(N19:N20)</f>
        <v>210</v>
      </c>
      <c r="O21" s="5">
        <f t="shared" si="4"/>
        <v>236</v>
      </c>
      <c r="P21" s="5">
        <f t="shared" si="4"/>
        <v>238</v>
      </c>
      <c r="Q21" s="5">
        <f t="shared" si="3"/>
        <v>231</v>
      </c>
      <c r="R21" s="5">
        <f t="shared" si="3"/>
        <v>233</v>
      </c>
      <c r="S21" s="5">
        <f t="shared" si="2"/>
        <v>2993</v>
      </c>
    </row>
    <row r="22" spans="1:19" x14ac:dyDescent="0.4">
      <c r="A22" s="12"/>
      <c r="B22" s="83" t="s">
        <v>30</v>
      </c>
      <c r="C22" s="84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2</v>
      </c>
      <c r="J22" s="6">
        <v>0</v>
      </c>
      <c r="K22" s="6">
        <v>0</v>
      </c>
      <c r="L22" s="6">
        <v>1</v>
      </c>
      <c r="M22" s="6">
        <v>0</v>
      </c>
      <c r="N22" s="6">
        <v>0</v>
      </c>
      <c r="O22" s="6">
        <v>0</v>
      </c>
      <c r="P22" s="6">
        <v>1</v>
      </c>
      <c r="Q22" s="6">
        <v>0</v>
      </c>
      <c r="R22" s="6">
        <v>0</v>
      </c>
      <c r="S22" s="5">
        <f t="shared" si="2"/>
        <v>4</v>
      </c>
    </row>
    <row r="23" spans="1:19" x14ac:dyDescent="0.4">
      <c r="A23" s="12"/>
      <c r="B23" s="75"/>
      <c r="C23" s="85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1</v>
      </c>
      <c r="J23" s="6">
        <v>0</v>
      </c>
      <c r="K23" s="6">
        <v>1</v>
      </c>
      <c r="L23" s="6">
        <v>0</v>
      </c>
      <c r="M23" s="6">
        <v>0</v>
      </c>
      <c r="N23" s="6">
        <v>1</v>
      </c>
      <c r="O23" s="6">
        <v>2</v>
      </c>
      <c r="P23" s="6">
        <v>2</v>
      </c>
      <c r="Q23" s="6">
        <v>0</v>
      </c>
      <c r="R23" s="6">
        <v>0</v>
      </c>
      <c r="S23" s="5">
        <f t="shared" si="2"/>
        <v>7</v>
      </c>
    </row>
    <row r="24" spans="1:19" x14ac:dyDescent="0.4">
      <c r="A24" s="13"/>
      <c r="B24" s="76"/>
      <c r="C24" s="86"/>
      <c r="D24" s="5" t="s">
        <v>25</v>
      </c>
      <c r="E24" s="5">
        <f t="shared" ref="E24:R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3</v>
      </c>
      <c r="J24" s="5">
        <f t="shared" si="5"/>
        <v>0</v>
      </c>
      <c r="K24" s="5">
        <f t="shared" si="5"/>
        <v>1</v>
      </c>
      <c r="L24" s="5">
        <f t="shared" si="5"/>
        <v>1</v>
      </c>
      <c r="M24" s="5">
        <f t="shared" si="5"/>
        <v>0</v>
      </c>
      <c r="N24" s="5">
        <f t="shared" ref="N24:P24" si="6">SUM(N22:N23)</f>
        <v>1</v>
      </c>
      <c r="O24" s="5">
        <f t="shared" si="6"/>
        <v>2</v>
      </c>
      <c r="P24" s="5">
        <f t="shared" si="6"/>
        <v>3</v>
      </c>
      <c r="Q24" s="5">
        <f t="shared" si="5"/>
        <v>0</v>
      </c>
      <c r="R24" s="5">
        <f t="shared" si="5"/>
        <v>0</v>
      </c>
      <c r="S24" s="5">
        <f t="shared" si="2"/>
        <v>11</v>
      </c>
    </row>
    <row r="25" spans="1:19" x14ac:dyDescent="0.4">
      <c r="A25" s="12"/>
      <c r="B25" s="83" t="s">
        <v>32</v>
      </c>
      <c r="C25" s="84" t="s">
        <v>33</v>
      </c>
      <c r="D25" s="6" t="s">
        <v>23</v>
      </c>
      <c r="E25" s="6">
        <v>3</v>
      </c>
      <c r="F25" s="6">
        <v>0</v>
      </c>
      <c r="G25" s="6">
        <v>1</v>
      </c>
      <c r="H25" s="6">
        <v>0</v>
      </c>
      <c r="I25" s="6">
        <v>0</v>
      </c>
      <c r="J25" s="6">
        <v>1</v>
      </c>
      <c r="K25" s="6">
        <v>0</v>
      </c>
      <c r="L25" s="6">
        <v>0</v>
      </c>
      <c r="M25" s="6">
        <v>1</v>
      </c>
      <c r="N25" s="6">
        <v>0</v>
      </c>
      <c r="O25" s="6">
        <v>1</v>
      </c>
      <c r="P25" s="6">
        <v>2</v>
      </c>
      <c r="Q25" s="6">
        <v>0</v>
      </c>
      <c r="R25" s="6">
        <v>0</v>
      </c>
      <c r="S25" s="5">
        <f t="shared" si="2"/>
        <v>9</v>
      </c>
    </row>
    <row r="26" spans="1:19" x14ac:dyDescent="0.4">
      <c r="A26" s="12"/>
      <c r="B26" s="75"/>
      <c r="C26" s="85"/>
      <c r="D26" s="6" t="s">
        <v>24</v>
      </c>
      <c r="E26" s="6">
        <v>1</v>
      </c>
      <c r="F26" s="6">
        <v>1</v>
      </c>
      <c r="G26" s="6">
        <v>4</v>
      </c>
      <c r="H26" s="6">
        <v>3</v>
      </c>
      <c r="I26" s="6">
        <v>0</v>
      </c>
      <c r="J26" s="6">
        <v>2</v>
      </c>
      <c r="K26" s="6">
        <v>0</v>
      </c>
      <c r="L26" s="6">
        <v>4</v>
      </c>
      <c r="M26" s="6">
        <v>2</v>
      </c>
      <c r="N26" s="6">
        <v>1</v>
      </c>
      <c r="O26" s="6">
        <v>1</v>
      </c>
      <c r="P26" s="6">
        <v>3</v>
      </c>
      <c r="Q26" s="6">
        <v>0</v>
      </c>
      <c r="R26" s="6">
        <v>0</v>
      </c>
      <c r="S26" s="5">
        <f t="shared" si="2"/>
        <v>22</v>
      </c>
    </row>
    <row r="27" spans="1:19" x14ac:dyDescent="0.4">
      <c r="A27" s="13"/>
      <c r="B27" s="76"/>
      <c r="C27" s="86"/>
      <c r="D27" s="5" t="s">
        <v>25</v>
      </c>
      <c r="E27" s="5">
        <f t="shared" ref="E27:R27" si="7">SUM(E25:E26)</f>
        <v>4</v>
      </c>
      <c r="F27" s="5">
        <f t="shared" si="7"/>
        <v>1</v>
      </c>
      <c r="G27" s="5">
        <f t="shared" si="7"/>
        <v>5</v>
      </c>
      <c r="H27" s="5">
        <f t="shared" si="7"/>
        <v>3</v>
      </c>
      <c r="I27" s="5">
        <f t="shared" si="7"/>
        <v>0</v>
      </c>
      <c r="J27" s="5">
        <f t="shared" si="7"/>
        <v>3</v>
      </c>
      <c r="K27" s="5">
        <f t="shared" si="7"/>
        <v>0</v>
      </c>
      <c r="L27" s="5">
        <f t="shared" si="7"/>
        <v>4</v>
      </c>
      <c r="M27" s="5">
        <f t="shared" si="7"/>
        <v>3</v>
      </c>
      <c r="N27" s="5">
        <f t="shared" ref="N27:P27" si="8">SUM(N25:N26)</f>
        <v>1</v>
      </c>
      <c r="O27" s="5">
        <f t="shared" si="8"/>
        <v>2</v>
      </c>
      <c r="P27" s="5">
        <f t="shared" si="8"/>
        <v>5</v>
      </c>
      <c r="Q27" s="5">
        <f t="shared" si="7"/>
        <v>0</v>
      </c>
      <c r="R27" s="5">
        <f t="shared" si="7"/>
        <v>0</v>
      </c>
      <c r="S27" s="5">
        <f t="shared" si="2"/>
        <v>31</v>
      </c>
    </row>
    <row r="28" spans="1:19" x14ac:dyDescent="0.4">
      <c r="A28" s="13"/>
      <c r="B28" s="87" t="s">
        <v>34</v>
      </c>
      <c r="C28" s="88" t="s">
        <v>35</v>
      </c>
      <c r="D28" s="5" t="s">
        <v>23</v>
      </c>
      <c r="E28" s="5">
        <f>SUM(E19,E22,E25)</f>
        <v>109</v>
      </c>
      <c r="F28" s="5">
        <f t="shared" ref="F28:R29" si="9">SUM(F19,F22,F25)</f>
        <v>77</v>
      </c>
      <c r="G28" s="5">
        <f t="shared" si="9"/>
        <v>92</v>
      </c>
      <c r="H28" s="5">
        <f t="shared" si="9"/>
        <v>95</v>
      </c>
      <c r="I28" s="5">
        <f t="shared" si="9"/>
        <v>119</v>
      </c>
      <c r="J28" s="5">
        <f t="shared" si="9"/>
        <v>115</v>
      </c>
      <c r="K28" s="5">
        <f t="shared" si="9"/>
        <v>102</v>
      </c>
      <c r="L28" s="5">
        <f t="shared" si="9"/>
        <v>110</v>
      </c>
      <c r="M28" s="5">
        <f t="shared" si="9"/>
        <v>102</v>
      </c>
      <c r="N28" s="5">
        <f t="shared" ref="N28:P28" si="10">SUM(N19,N22,N25)</f>
        <v>104</v>
      </c>
      <c r="O28" s="5">
        <f t="shared" si="10"/>
        <v>120</v>
      </c>
      <c r="P28" s="5">
        <f t="shared" si="10"/>
        <v>125</v>
      </c>
      <c r="Q28" s="5">
        <f t="shared" si="9"/>
        <v>112</v>
      </c>
      <c r="R28" s="5">
        <f t="shared" si="9"/>
        <v>122</v>
      </c>
      <c r="S28" s="5">
        <f t="shared" si="2"/>
        <v>1504</v>
      </c>
    </row>
    <row r="29" spans="1:19" x14ac:dyDescent="0.4">
      <c r="A29" s="13"/>
      <c r="B29" s="75"/>
      <c r="C29" s="85"/>
      <c r="D29" s="5" t="s">
        <v>24</v>
      </c>
      <c r="E29" s="5">
        <f>SUM(E20,E23,E26)</f>
        <v>108</v>
      </c>
      <c r="F29" s="5">
        <f t="shared" si="9"/>
        <v>70</v>
      </c>
      <c r="G29" s="5">
        <f t="shared" si="9"/>
        <v>107</v>
      </c>
      <c r="H29" s="5">
        <f t="shared" si="9"/>
        <v>113</v>
      </c>
      <c r="I29" s="5">
        <f t="shared" si="9"/>
        <v>94</v>
      </c>
      <c r="J29" s="5">
        <f t="shared" si="9"/>
        <v>119</v>
      </c>
      <c r="K29" s="5">
        <f t="shared" si="9"/>
        <v>121</v>
      </c>
      <c r="L29" s="5">
        <f t="shared" si="9"/>
        <v>124</v>
      </c>
      <c r="M29" s="5">
        <f t="shared" si="9"/>
        <v>96</v>
      </c>
      <c r="N29" s="5">
        <f t="shared" ref="N29:P29" si="11">SUM(N20,N23,N26)</f>
        <v>108</v>
      </c>
      <c r="O29" s="5">
        <f t="shared" si="11"/>
        <v>120</v>
      </c>
      <c r="P29" s="5">
        <f t="shared" si="11"/>
        <v>121</v>
      </c>
      <c r="Q29" s="5">
        <f t="shared" si="9"/>
        <v>119</v>
      </c>
      <c r="R29" s="5">
        <f t="shared" si="9"/>
        <v>111</v>
      </c>
      <c r="S29" s="5">
        <f t="shared" si="2"/>
        <v>1531</v>
      </c>
    </row>
    <row r="30" spans="1:19" x14ac:dyDescent="0.4">
      <c r="A30" s="13"/>
      <c r="B30" s="76"/>
      <c r="C30" s="86"/>
      <c r="D30" s="5" t="s">
        <v>25</v>
      </c>
      <c r="E30" s="5">
        <f t="shared" ref="E30" si="12">SUM(E28:E29)</f>
        <v>217</v>
      </c>
      <c r="F30" s="5">
        <f t="shared" ref="F30:R30" si="13">SUM(F28:F29)</f>
        <v>147</v>
      </c>
      <c r="G30" s="5">
        <f t="shared" si="13"/>
        <v>199</v>
      </c>
      <c r="H30" s="5">
        <f t="shared" si="13"/>
        <v>208</v>
      </c>
      <c r="I30" s="5">
        <f t="shared" si="13"/>
        <v>213</v>
      </c>
      <c r="J30" s="5">
        <f t="shared" si="13"/>
        <v>234</v>
      </c>
      <c r="K30" s="5">
        <f t="shared" si="13"/>
        <v>223</v>
      </c>
      <c r="L30" s="5">
        <f t="shared" si="13"/>
        <v>234</v>
      </c>
      <c r="M30" s="5">
        <f t="shared" si="13"/>
        <v>198</v>
      </c>
      <c r="N30" s="5">
        <f t="shared" ref="N30:P30" si="14">SUM(N28:N29)</f>
        <v>212</v>
      </c>
      <c r="O30" s="5">
        <f t="shared" si="14"/>
        <v>240</v>
      </c>
      <c r="P30" s="5">
        <f t="shared" si="14"/>
        <v>246</v>
      </c>
      <c r="Q30" s="5">
        <f t="shared" si="13"/>
        <v>231</v>
      </c>
      <c r="R30" s="5">
        <f t="shared" si="13"/>
        <v>233</v>
      </c>
      <c r="S30" s="5">
        <f t="shared" si="2"/>
        <v>3035</v>
      </c>
    </row>
    <row r="31" spans="1:19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28"/>
    </row>
    <row r="32" spans="1:19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28"/>
    </row>
    <row r="33" spans="1:19" x14ac:dyDescent="0.4">
      <c r="A33" s="6">
        <v>1</v>
      </c>
      <c r="B33" s="78" t="s">
        <v>38</v>
      </c>
      <c r="C33" s="69"/>
      <c r="D33" s="60"/>
      <c r="E33" s="6">
        <v>260</v>
      </c>
      <c r="F33" s="6">
        <v>218</v>
      </c>
      <c r="G33" s="6">
        <v>243</v>
      </c>
      <c r="H33" s="6">
        <v>261</v>
      </c>
      <c r="I33" s="6">
        <v>294</v>
      </c>
      <c r="J33" s="6">
        <v>285</v>
      </c>
      <c r="K33" s="6">
        <v>285</v>
      </c>
      <c r="L33" s="6">
        <v>292</v>
      </c>
      <c r="M33" s="6">
        <v>250</v>
      </c>
      <c r="N33" s="6">
        <v>255</v>
      </c>
      <c r="O33" s="6">
        <v>295</v>
      </c>
      <c r="P33" s="6">
        <v>271</v>
      </c>
      <c r="Q33" s="6">
        <v>268</v>
      </c>
      <c r="R33" s="6">
        <v>277</v>
      </c>
      <c r="S33" s="5">
        <f t="shared" ref="S33:S35" si="15">SUM(E33:R33)</f>
        <v>3754</v>
      </c>
    </row>
    <row r="34" spans="1:19" x14ac:dyDescent="0.4">
      <c r="A34" s="6">
        <v>2</v>
      </c>
      <c r="B34" s="78" t="s">
        <v>39</v>
      </c>
      <c r="C34" s="69"/>
      <c r="D34" s="60"/>
      <c r="E34" s="5">
        <v>217</v>
      </c>
      <c r="F34" s="5">
        <v>147</v>
      </c>
      <c r="G34" s="5">
        <v>199</v>
      </c>
      <c r="H34" s="5">
        <v>208</v>
      </c>
      <c r="I34" s="5">
        <v>213</v>
      </c>
      <c r="J34" s="5">
        <v>234</v>
      </c>
      <c r="K34" s="5">
        <v>223</v>
      </c>
      <c r="L34" s="5">
        <v>234</v>
      </c>
      <c r="M34" s="5">
        <v>198</v>
      </c>
      <c r="N34" s="5">
        <v>212</v>
      </c>
      <c r="O34" s="5">
        <v>240</v>
      </c>
      <c r="P34" s="5">
        <v>246</v>
      </c>
      <c r="Q34" s="5">
        <v>231</v>
      </c>
      <c r="R34" s="5">
        <v>233</v>
      </c>
      <c r="S34" s="5">
        <f t="shared" si="15"/>
        <v>3035</v>
      </c>
    </row>
    <row r="35" spans="1:19" x14ac:dyDescent="0.4">
      <c r="A35" s="6">
        <v>3</v>
      </c>
      <c r="B35" s="78" t="s">
        <v>40</v>
      </c>
      <c r="C35" s="69"/>
      <c r="D35" s="60"/>
      <c r="E35" s="6">
        <v>5</v>
      </c>
      <c r="F35" s="6">
        <v>0</v>
      </c>
      <c r="G35" s="6">
        <v>3</v>
      </c>
      <c r="H35" s="6">
        <v>1</v>
      </c>
      <c r="I35" s="6">
        <v>0</v>
      </c>
      <c r="J35" s="6">
        <v>3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2</v>
      </c>
      <c r="S35" s="5">
        <f t="shared" si="15"/>
        <v>14</v>
      </c>
    </row>
    <row r="36" spans="1:19" x14ac:dyDescent="0.4">
      <c r="A36" s="6">
        <v>4</v>
      </c>
      <c r="B36" s="78" t="s">
        <v>41</v>
      </c>
      <c r="C36" s="69"/>
      <c r="D36" s="60"/>
      <c r="E36" s="5">
        <f t="shared" ref="E36:R36" si="16">E33-(E34+E35)</f>
        <v>38</v>
      </c>
      <c r="F36" s="5">
        <f t="shared" si="16"/>
        <v>71</v>
      </c>
      <c r="G36" s="5">
        <f t="shared" si="16"/>
        <v>41</v>
      </c>
      <c r="H36" s="5">
        <f t="shared" si="16"/>
        <v>52</v>
      </c>
      <c r="I36" s="5">
        <f t="shared" si="16"/>
        <v>81</v>
      </c>
      <c r="J36" s="5">
        <f t="shared" si="16"/>
        <v>48</v>
      </c>
      <c r="K36" s="5">
        <f t="shared" si="16"/>
        <v>62</v>
      </c>
      <c r="L36" s="5">
        <f t="shared" si="16"/>
        <v>58</v>
      </c>
      <c r="M36" s="5">
        <f t="shared" si="16"/>
        <v>52</v>
      </c>
      <c r="N36" s="5">
        <f t="shared" ref="N36:P36" si="17">N33-(N34+N35)</f>
        <v>43</v>
      </c>
      <c r="O36" s="5">
        <f t="shared" si="17"/>
        <v>55</v>
      </c>
      <c r="P36" s="5">
        <f t="shared" si="17"/>
        <v>25</v>
      </c>
      <c r="Q36" s="5">
        <f t="shared" si="16"/>
        <v>37</v>
      </c>
      <c r="R36" s="5">
        <f t="shared" si="16"/>
        <v>42</v>
      </c>
      <c r="S36" s="5">
        <f>SUM(E36:R36)</f>
        <v>705</v>
      </c>
    </row>
    <row r="37" spans="1:19" x14ac:dyDescent="0.4">
      <c r="A37" s="61"/>
      <c r="B37" s="69"/>
      <c r="C37" s="69"/>
      <c r="D37" s="69"/>
      <c r="E37" s="61"/>
      <c r="F37" s="89"/>
      <c r="G37" s="89"/>
      <c r="H37" s="89"/>
      <c r="I37" s="94"/>
      <c r="J37" s="6"/>
      <c r="K37" s="6"/>
      <c r="L37" s="6"/>
      <c r="M37" s="6"/>
      <c r="N37" s="10"/>
      <c r="O37" s="26"/>
      <c r="P37" s="26"/>
      <c r="Q37" s="10"/>
      <c r="R37" s="26"/>
      <c r="S37" s="28"/>
    </row>
    <row r="38" spans="1:19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28"/>
    </row>
    <row r="39" spans="1:19" x14ac:dyDescent="0.4">
      <c r="A39" s="11"/>
      <c r="B39" s="73" t="s">
        <v>44</v>
      </c>
      <c r="C39" s="68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1</v>
      </c>
      <c r="J39" s="6">
        <v>0</v>
      </c>
      <c r="K39" s="6">
        <v>1</v>
      </c>
      <c r="L39" s="6">
        <v>0</v>
      </c>
      <c r="M39" s="6">
        <v>0</v>
      </c>
      <c r="N39" s="6">
        <v>0</v>
      </c>
      <c r="O39" s="6">
        <v>1</v>
      </c>
      <c r="P39" s="6">
        <v>0</v>
      </c>
      <c r="Q39" s="6">
        <v>0</v>
      </c>
      <c r="R39" s="6">
        <v>0</v>
      </c>
      <c r="S39" s="5">
        <f>SUM(E39:R39)</f>
        <v>3</v>
      </c>
    </row>
    <row r="40" spans="1:19" x14ac:dyDescent="0.4">
      <c r="A40" s="12"/>
      <c r="B40" s="74"/>
      <c r="C40" s="75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1</v>
      </c>
      <c r="K40" s="6">
        <v>0</v>
      </c>
      <c r="L40" s="6">
        <v>0</v>
      </c>
      <c r="M40" s="6">
        <v>0</v>
      </c>
      <c r="N40" s="6">
        <v>0</v>
      </c>
      <c r="O40" s="6">
        <v>3</v>
      </c>
      <c r="P40" s="6">
        <v>0</v>
      </c>
      <c r="Q40" s="6">
        <v>0</v>
      </c>
      <c r="R40" s="6">
        <v>0</v>
      </c>
      <c r="S40" s="5">
        <f>SUM(E40:R40)</f>
        <v>4</v>
      </c>
    </row>
    <row r="41" spans="1:19" x14ac:dyDescent="0.4">
      <c r="A41" s="14"/>
      <c r="B41" s="71"/>
      <c r="C41" s="76"/>
      <c r="D41" s="5" t="s">
        <v>25</v>
      </c>
      <c r="E41" s="5">
        <f t="shared" ref="E41:R41" si="18">SUM(E39:E40)</f>
        <v>0</v>
      </c>
      <c r="F41" s="5">
        <f t="shared" si="18"/>
        <v>0</v>
      </c>
      <c r="G41" s="5">
        <f t="shared" si="18"/>
        <v>0</v>
      </c>
      <c r="H41" s="5">
        <f t="shared" si="18"/>
        <v>0</v>
      </c>
      <c r="I41" s="5">
        <f t="shared" si="18"/>
        <v>1</v>
      </c>
      <c r="J41" s="5">
        <f t="shared" si="18"/>
        <v>1</v>
      </c>
      <c r="K41" s="5">
        <f t="shared" si="18"/>
        <v>1</v>
      </c>
      <c r="L41" s="5">
        <f t="shared" si="18"/>
        <v>0</v>
      </c>
      <c r="M41" s="5">
        <f t="shared" si="18"/>
        <v>0</v>
      </c>
      <c r="N41" s="5">
        <f t="shared" ref="N41:P41" si="19">SUM(N39:N40)</f>
        <v>0</v>
      </c>
      <c r="O41" s="5">
        <f t="shared" si="19"/>
        <v>4</v>
      </c>
      <c r="P41" s="5">
        <f t="shared" si="19"/>
        <v>0</v>
      </c>
      <c r="Q41" s="5">
        <f t="shared" si="18"/>
        <v>0</v>
      </c>
      <c r="R41" s="5">
        <f t="shared" si="18"/>
        <v>0</v>
      </c>
      <c r="S41" s="5">
        <f>SUM(E41:R41)</f>
        <v>7</v>
      </c>
    </row>
    <row r="42" spans="1:19" x14ac:dyDescent="0.4">
      <c r="A42" s="70"/>
      <c r="B42" s="71"/>
      <c r="C42" s="71"/>
      <c r="D42" s="76"/>
      <c r="E42" s="61"/>
      <c r="F42" s="69"/>
      <c r="G42" s="69"/>
      <c r="H42" s="69"/>
      <c r="I42" s="60"/>
      <c r="J42" s="6"/>
      <c r="K42" s="6"/>
      <c r="L42" s="6"/>
      <c r="M42" s="6"/>
      <c r="N42" s="10"/>
      <c r="O42" s="6"/>
      <c r="P42" s="10"/>
      <c r="Q42" s="10"/>
      <c r="R42" s="6"/>
      <c r="S42" s="5"/>
    </row>
    <row r="43" spans="1:19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15"/>
      <c r="R43" s="5"/>
      <c r="S43" s="5"/>
    </row>
    <row r="44" spans="1:19" ht="13.15" customHeight="1" x14ac:dyDescent="0.4">
      <c r="A44" s="73" t="s">
        <v>47</v>
      </c>
      <c r="B44" s="77"/>
      <c r="C44" s="77"/>
      <c r="D44" s="6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10"/>
      <c r="R44" s="6"/>
      <c r="S44" s="5"/>
    </row>
    <row r="45" spans="1:19" x14ac:dyDescent="0.4">
      <c r="A45" s="11" t="s">
        <v>48</v>
      </c>
      <c r="B45" s="17" t="s">
        <v>28</v>
      </c>
      <c r="C45" s="59" t="s">
        <v>49</v>
      </c>
      <c r="D45" s="60"/>
      <c r="E45" s="6">
        <v>12</v>
      </c>
      <c r="F45" s="6">
        <v>10</v>
      </c>
      <c r="G45" s="6">
        <v>2</v>
      </c>
      <c r="H45" s="6">
        <v>2</v>
      </c>
      <c r="I45" s="6">
        <v>5</v>
      </c>
      <c r="J45" s="6">
        <v>5</v>
      </c>
      <c r="K45" s="6">
        <v>4</v>
      </c>
      <c r="L45" s="6">
        <v>6</v>
      </c>
      <c r="M45" s="6">
        <v>14</v>
      </c>
      <c r="N45" s="6">
        <v>7</v>
      </c>
      <c r="O45" s="6">
        <v>2</v>
      </c>
      <c r="P45" s="6">
        <v>6</v>
      </c>
      <c r="Q45" s="6">
        <v>9</v>
      </c>
      <c r="R45" s="6">
        <v>7</v>
      </c>
      <c r="S45" s="5">
        <f t="shared" ref="S45:S51" si="20">SUM(E45:R45)</f>
        <v>91</v>
      </c>
    </row>
    <row r="46" spans="1:19" x14ac:dyDescent="0.4">
      <c r="A46" s="11" t="s">
        <v>50</v>
      </c>
      <c r="B46" s="46"/>
      <c r="C46" s="24" t="s">
        <v>106</v>
      </c>
      <c r="D46" s="47"/>
      <c r="E46" s="6">
        <v>117</v>
      </c>
      <c r="F46" s="6">
        <v>68</v>
      </c>
      <c r="G46" s="6">
        <v>9</v>
      </c>
      <c r="H46" s="6">
        <v>8</v>
      </c>
      <c r="I46" s="6">
        <v>27</v>
      </c>
      <c r="J46" s="6">
        <v>34</v>
      </c>
      <c r="K46" s="6">
        <v>21</v>
      </c>
      <c r="L46" s="6">
        <v>57</v>
      </c>
      <c r="M46" s="6">
        <v>43</v>
      </c>
      <c r="N46" s="6">
        <v>28</v>
      </c>
      <c r="O46" s="6">
        <v>16</v>
      </c>
      <c r="P46" s="6">
        <v>15</v>
      </c>
      <c r="Q46" s="6">
        <v>14</v>
      </c>
      <c r="R46" s="6">
        <v>19</v>
      </c>
      <c r="S46" s="5">
        <f t="shared" si="20"/>
        <v>476</v>
      </c>
    </row>
    <row r="47" spans="1:19" x14ac:dyDescent="0.4">
      <c r="A47" s="7"/>
      <c r="B47" s="46"/>
      <c r="C47" s="24" t="s">
        <v>107</v>
      </c>
      <c r="D47" s="47"/>
      <c r="E47" s="6">
        <v>2</v>
      </c>
      <c r="F47" s="6">
        <v>5</v>
      </c>
      <c r="G47" s="6">
        <v>3</v>
      </c>
      <c r="H47" s="6">
        <v>1</v>
      </c>
      <c r="I47" s="6">
        <v>2</v>
      </c>
      <c r="J47" s="6">
        <v>2</v>
      </c>
      <c r="K47" s="6">
        <v>3</v>
      </c>
      <c r="L47" s="6">
        <v>5</v>
      </c>
      <c r="M47" s="6">
        <v>7</v>
      </c>
      <c r="N47" s="6">
        <v>2</v>
      </c>
      <c r="O47" s="6">
        <v>0</v>
      </c>
      <c r="P47" s="6">
        <v>1</v>
      </c>
      <c r="Q47" s="6">
        <v>1</v>
      </c>
      <c r="R47" s="6">
        <v>6</v>
      </c>
      <c r="S47" s="5">
        <f t="shared" si="20"/>
        <v>40</v>
      </c>
    </row>
    <row r="48" spans="1:19" x14ac:dyDescent="0.4">
      <c r="A48" s="7"/>
      <c r="B48" s="46"/>
      <c r="C48" s="24" t="s">
        <v>108</v>
      </c>
      <c r="D48" s="47"/>
      <c r="E48" s="6">
        <v>0</v>
      </c>
      <c r="F48" s="6">
        <v>1</v>
      </c>
      <c r="G48" s="6">
        <v>0</v>
      </c>
      <c r="H48" s="6">
        <v>0</v>
      </c>
      <c r="I48" s="6">
        <v>1</v>
      </c>
      <c r="J48" s="6">
        <v>0</v>
      </c>
      <c r="K48" s="6">
        <v>0</v>
      </c>
      <c r="L48" s="6">
        <v>1</v>
      </c>
      <c r="M48" s="6">
        <v>1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5">
        <f t="shared" si="20"/>
        <v>4</v>
      </c>
    </row>
    <row r="49" spans="1:19" x14ac:dyDescent="0.4">
      <c r="A49" s="7"/>
      <c r="B49" s="46"/>
      <c r="C49" s="24" t="s">
        <v>109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2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1</v>
      </c>
      <c r="S49" s="5">
        <f t="shared" si="20"/>
        <v>3</v>
      </c>
    </row>
    <row r="50" spans="1:19" x14ac:dyDescent="0.4">
      <c r="A50" s="7"/>
      <c r="B50" s="46"/>
      <c r="C50" s="24" t="s">
        <v>110</v>
      </c>
      <c r="D50" s="47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4</v>
      </c>
      <c r="N50" s="6">
        <v>1</v>
      </c>
      <c r="O50" s="6">
        <v>1</v>
      </c>
      <c r="P50" s="6">
        <v>0</v>
      </c>
      <c r="Q50" s="6">
        <v>0</v>
      </c>
      <c r="R50" s="6">
        <v>0</v>
      </c>
      <c r="S50" s="5">
        <f t="shared" si="20"/>
        <v>6</v>
      </c>
    </row>
    <row r="51" spans="1:19" x14ac:dyDescent="0.4">
      <c r="A51" s="7"/>
      <c r="B51" s="46"/>
      <c r="C51" s="24" t="s">
        <v>111</v>
      </c>
      <c r="D51" s="47"/>
      <c r="E51" s="6">
        <v>0</v>
      </c>
      <c r="F51" s="6">
        <v>0</v>
      </c>
      <c r="G51" s="6">
        <v>1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5">
        <f t="shared" si="20"/>
        <v>1</v>
      </c>
    </row>
    <row r="52" spans="1:19" x14ac:dyDescent="0.4">
      <c r="A52" s="6" t="s">
        <v>26</v>
      </c>
      <c r="B52" s="53" t="s">
        <v>51</v>
      </c>
      <c r="C52" s="69"/>
      <c r="D52" s="60"/>
      <c r="E52" s="5">
        <f>SUM(E45:E51)</f>
        <v>131</v>
      </c>
      <c r="F52" s="5">
        <f>SUM(F45:F51)</f>
        <v>84</v>
      </c>
      <c r="G52" s="5">
        <f>SUM(G45:G51)</f>
        <v>15</v>
      </c>
      <c r="H52" s="5">
        <f>SUM(H45:H51)</f>
        <v>11</v>
      </c>
      <c r="I52" s="5">
        <f>SUM(I45:I51)</f>
        <v>35</v>
      </c>
      <c r="J52" s="5">
        <f>SUM(J45:J51)</f>
        <v>41</v>
      </c>
      <c r="K52" s="5">
        <f>SUM(K45:K51)</f>
        <v>30</v>
      </c>
      <c r="L52" s="5">
        <f>SUM(L45:L51)</f>
        <v>69</v>
      </c>
      <c r="M52" s="5">
        <f>SUM(M45:M51)</f>
        <v>69</v>
      </c>
      <c r="N52" s="5">
        <f>SUM(N45:N51)</f>
        <v>38</v>
      </c>
      <c r="O52" s="5">
        <f>SUM(O45:O51)</f>
        <v>19</v>
      </c>
      <c r="P52" s="5">
        <f>SUM(P45:P51)</f>
        <v>22</v>
      </c>
      <c r="Q52" s="5">
        <f>SUM(Q45:Q51)</f>
        <v>24</v>
      </c>
      <c r="R52" s="5">
        <f>SUM(R45:R51)</f>
        <v>33</v>
      </c>
      <c r="S52" s="5">
        <f>SUM(S45:S51)</f>
        <v>621</v>
      </c>
    </row>
    <row r="53" spans="1:19" x14ac:dyDescent="0.4">
      <c r="A53" s="70"/>
      <c r="B53" s="71"/>
      <c r="C53" s="71"/>
      <c r="D53" s="71"/>
      <c r="E53" s="71"/>
      <c r="S53" s="5"/>
    </row>
    <row r="54" spans="1:19" x14ac:dyDescent="0.4">
      <c r="A54" s="11" t="s">
        <v>48</v>
      </c>
      <c r="B54" s="17" t="s">
        <v>30</v>
      </c>
      <c r="C54" s="59" t="s">
        <v>52</v>
      </c>
      <c r="D54" s="60"/>
      <c r="E54" s="6">
        <v>2</v>
      </c>
      <c r="F54" s="6">
        <v>1</v>
      </c>
      <c r="G54" s="6">
        <v>2</v>
      </c>
      <c r="H54" s="6">
        <v>4</v>
      </c>
      <c r="I54" s="6">
        <v>5</v>
      </c>
      <c r="J54" s="6">
        <v>6</v>
      </c>
      <c r="K54" s="6">
        <v>9</v>
      </c>
      <c r="L54" s="6">
        <v>6</v>
      </c>
      <c r="M54" s="6">
        <v>5</v>
      </c>
      <c r="N54" s="6">
        <v>7</v>
      </c>
      <c r="O54" s="6">
        <v>7</v>
      </c>
      <c r="P54" s="6">
        <v>6</v>
      </c>
      <c r="Q54" s="6">
        <v>5</v>
      </c>
      <c r="R54" s="6">
        <v>4</v>
      </c>
      <c r="S54" s="5">
        <f t="shared" ref="S54:S60" si="21">SUM(E54:R54)</f>
        <v>69</v>
      </c>
    </row>
    <row r="55" spans="1:19" x14ac:dyDescent="0.4">
      <c r="A55" s="11" t="s">
        <v>50</v>
      </c>
      <c r="B55" s="46"/>
      <c r="C55" s="24" t="s">
        <v>112</v>
      </c>
      <c r="D55" s="47"/>
      <c r="E55" s="6">
        <v>1</v>
      </c>
      <c r="F55" s="6">
        <v>0</v>
      </c>
      <c r="G55" s="6">
        <v>0</v>
      </c>
      <c r="H55" s="6">
        <v>0</v>
      </c>
      <c r="I55" s="6">
        <v>0</v>
      </c>
      <c r="J55" s="6">
        <v>1</v>
      </c>
      <c r="K55" s="6">
        <v>0</v>
      </c>
      <c r="L55" s="6">
        <v>1</v>
      </c>
      <c r="M55" s="6">
        <v>0</v>
      </c>
      <c r="N55" s="6">
        <v>2</v>
      </c>
      <c r="O55" s="6">
        <v>1</v>
      </c>
      <c r="P55" s="6">
        <v>1</v>
      </c>
      <c r="Q55" s="6">
        <v>2</v>
      </c>
      <c r="R55" s="6">
        <v>1</v>
      </c>
      <c r="S55" s="5">
        <f t="shared" si="21"/>
        <v>10</v>
      </c>
    </row>
    <row r="56" spans="1:19" x14ac:dyDescent="0.4">
      <c r="A56" s="7"/>
      <c r="B56" s="46"/>
      <c r="C56" s="24" t="s">
        <v>113</v>
      </c>
      <c r="D56" s="47"/>
      <c r="E56" s="6">
        <v>1</v>
      </c>
      <c r="F56" s="6">
        <v>0</v>
      </c>
      <c r="G56" s="6">
        <v>1</v>
      </c>
      <c r="H56" s="6">
        <v>0</v>
      </c>
      <c r="I56" s="6">
        <v>0</v>
      </c>
      <c r="J56" s="6">
        <v>2</v>
      </c>
      <c r="K56" s="6">
        <v>1</v>
      </c>
      <c r="L56" s="6">
        <v>0</v>
      </c>
      <c r="M56" s="6">
        <v>1</v>
      </c>
      <c r="N56" s="6">
        <v>0</v>
      </c>
      <c r="O56" s="6">
        <v>3</v>
      </c>
      <c r="P56" s="6">
        <v>2</v>
      </c>
      <c r="Q56" s="6">
        <v>3</v>
      </c>
      <c r="R56" s="6">
        <v>0</v>
      </c>
      <c r="S56" s="5">
        <f t="shared" si="21"/>
        <v>14</v>
      </c>
    </row>
    <row r="57" spans="1:19" x14ac:dyDescent="0.4">
      <c r="A57" s="7"/>
      <c r="B57" s="46"/>
      <c r="C57" s="24" t="s">
        <v>114</v>
      </c>
      <c r="D57" s="47"/>
      <c r="E57" s="6">
        <v>0</v>
      </c>
      <c r="F57" s="6">
        <v>0</v>
      </c>
      <c r="G57" s="6">
        <v>3</v>
      </c>
      <c r="H57" s="6">
        <v>0</v>
      </c>
      <c r="I57" s="6">
        <v>1</v>
      </c>
      <c r="J57" s="6">
        <v>0</v>
      </c>
      <c r="K57" s="6">
        <v>0</v>
      </c>
      <c r="L57" s="6">
        <v>0</v>
      </c>
      <c r="M57" s="6">
        <v>1</v>
      </c>
      <c r="N57" s="6">
        <v>0</v>
      </c>
      <c r="O57" s="6">
        <v>0</v>
      </c>
      <c r="P57" s="6">
        <v>0</v>
      </c>
      <c r="Q57" s="6">
        <v>0</v>
      </c>
      <c r="R57" s="6">
        <v>2</v>
      </c>
      <c r="S57" s="5">
        <f t="shared" si="21"/>
        <v>7</v>
      </c>
    </row>
    <row r="58" spans="1:19" x14ac:dyDescent="0.4">
      <c r="A58" s="7"/>
      <c r="B58" s="46"/>
      <c r="C58" s="24" t="s">
        <v>115</v>
      </c>
      <c r="D58" s="47"/>
      <c r="E58" s="6">
        <v>0</v>
      </c>
      <c r="F58" s="6">
        <v>2</v>
      </c>
      <c r="G58" s="6">
        <v>3</v>
      </c>
      <c r="H58" s="6">
        <v>1</v>
      </c>
      <c r="I58" s="6">
        <v>2</v>
      </c>
      <c r="J58" s="6">
        <v>2</v>
      </c>
      <c r="K58" s="6">
        <v>4</v>
      </c>
      <c r="L58" s="6">
        <v>1</v>
      </c>
      <c r="M58" s="6">
        <v>0</v>
      </c>
      <c r="N58" s="6">
        <v>1</v>
      </c>
      <c r="O58" s="6">
        <v>0</v>
      </c>
      <c r="P58" s="6">
        <v>0</v>
      </c>
      <c r="Q58" s="6">
        <v>3</v>
      </c>
      <c r="R58" s="6">
        <v>2</v>
      </c>
      <c r="S58" s="5">
        <f t="shared" si="21"/>
        <v>21</v>
      </c>
    </row>
    <row r="59" spans="1:19" x14ac:dyDescent="0.4">
      <c r="A59" s="7"/>
      <c r="B59" s="46"/>
      <c r="C59" s="24" t="s">
        <v>116</v>
      </c>
      <c r="D59" s="47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5">
        <f t="shared" si="21"/>
        <v>0</v>
      </c>
    </row>
    <row r="60" spans="1:19" ht="13.15" customHeight="1" x14ac:dyDescent="0.4">
      <c r="A60" s="7"/>
      <c r="B60" s="46"/>
      <c r="C60" s="24" t="s">
        <v>117</v>
      </c>
      <c r="D60" s="47"/>
      <c r="E60" s="6">
        <v>4</v>
      </c>
      <c r="F60" s="6">
        <v>0</v>
      </c>
      <c r="G60" s="6">
        <v>3</v>
      </c>
      <c r="H60" s="6">
        <v>4</v>
      </c>
      <c r="I60" s="6">
        <v>13</v>
      </c>
      <c r="J60" s="6">
        <v>5</v>
      </c>
      <c r="K60" s="6">
        <v>3</v>
      </c>
      <c r="L60" s="6">
        <v>5</v>
      </c>
      <c r="M60" s="6">
        <v>3</v>
      </c>
      <c r="N60" s="6">
        <v>5</v>
      </c>
      <c r="O60" s="6">
        <v>8</v>
      </c>
      <c r="P60" s="6">
        <v>2</v>
      </c>
      <c r="Q60" s="6">
        <v>3</v>
      </c>
      <c r="R60" s="6">
        <v>1</v>
      </c>
      <c r="S60" s="5">
        <f t="shared" si="21"/>
        <v>59</v>
      </c>
    </row>
    <row r="61" spans="1:19" x14ac:dyDescent="0.4">
      <c r="A61" s="6" t="s">
        <v>26</v>
      </c>
      <c r="B61" s="53" t="s">
        <v>51</v>
      </c>
      <c r="C61" s="69"/>
      <c r="D61" s="60"/>
      <c r="E61" s="5">
        <f>SUM(E54:E60)</f>
        <v>8</v>
      </c>
      <c r="F61" s="5">
        <f>SUM(F54:F60)</f>
        <v>3</v>
      </c>
      <c r="G61" s="5">
        <f>SUM(G54:G60)</f>
        <v>12</v>
      </c>
      <c r="H61" s="5">
        <f>SUM(H54:H60)</f>
        <v>9</v>
      </c>
      <c r="I61" s="5">
        <f>SUM(I54:I60)</f>
        <v>21</v>
      </c>
      <c r="J61" s="5">
        <f>SUM(J54:J60)</f>
        <v>16</v>
      </c>
      <c r="K61" s="5">
        <f>SUM(K54:K60)</f>
        <v>17</v>
      </c>
      <c r="L61" s="5">
        <f>SUM(L54:L60)</f>
        <v>13</v>
      </c>
      <c r="M61" s="5">
        <f>SUM(M54:M60)</f>
        <v>10</v>
      </c>
      <c r="N61" s="5">
        <f>SUM(N54:N60)</f>
        <v>15</v>
      </c>
      <c r="O61" s="5">
        <f>SUM(O54:O60)</f>
        <v>19</v>
      </c>
      <c r="P61" s="5">
        <f>SUM(P54:P60)</f>
        <v>11</v>
      </c>
      <c r="Q61" s="5">
        <f>SUM(Q54:Q60)</f>
        <v>16</v>
      </c>
      <c r="R61" s="5">
        <f>SUM(R54:R60)</f>
        <v>10</v>
      </c>
      <c r="S61" s="5">
        <f>SUM(S54:S60)</f>
        <v>180</v>
      </c>
    </row>
    <row r="62" spans="1:19" x14ac:dyDescent="0.4">
      <c r="A62" s="70"/>
      <c r="B62" s="71"/>
      <c r="C62" s="71"/>
      <c r="D62" s="71"/>
      <c r="E62" s="71"/>
    </row>
    <row r="63" spans="1:19" x14ac:dyDescent="0.4">
      <c r="A63" s="11" t="s">
        <v>48</v>
      </c>
      <c r="B63" s="17" t="s">
        <v>32</v>
      </c>
      <c r="C63" s="59" t="s">
        <v>53</v>
      </c>
      <c r="D63" s="60"/>
      <c r="E63" s="6">
        <v>1</v>
      </c>
      <c r="F63" s="6">
        <v>3</v>
      </c>
      <c r="G63" s="6">
        <v>1</v>
      </c>
      <c r="H63" s="6">
        <v>4</v>
      </c>
      <c r="I63" s="6">
        <v>6</v>
      </c>
      <c r="J63" s="6">
        <v>6</v>
      </c>
      <c r="K63" s="6">
        <v>3</v>
      </c>
      <c r="L63" s="6">
        <v>7</v>
      </c>
      <c r="M63" s="6">
        <v>1</v>
      </c>
      <c r="N63" s="6">
        <v>4</v>
      </c>
      <c r="O63" s="6">
        <v>2</v>
      </c>
      <c r="P63" s="6">
        <v>6</v>
      </c>
      <c r="Q63" s="6">
        <v>3</v>
      </c>
      <c r="R63" s="6">
        <v>4</v>
      </c>
      <c r="S63" s="5">
        <f t="shared" ref="S63:S69" si="22">SUM(E63:R63)</f>
        <v>51</v>
      </c>
    </row>
    <row r="64" spans="1:19" x14ac:dyDescent="0.4">
      <c r="A64" s="11" t="s">
        <v>50</v>
      </c>
      <c r="B64" s="46"/>
      <c r="C64" s="24" t="s">
        <v>118</v>
      </c>
      <c r="D64" s="47"/>
      <c r="E64" s="6">
        <v>1</v>
      </c>
      <c r="F64" s="6">
        <v>0</v>
      </c>
      <c r="G64" s="6">
        <v>9</v>
      </c>
      <c r="H64" s="6">
        <v>6</v>
      </c>
      <c r="I64" s="6">
        <v>27</v>
      </c>
      <c r="J64" s="6">
        <v>17</v>
      </c>
      <c r="K64" s="6">
        <v>23</v>
      </c>
      <c r="L64" s="6">
        <v>25</v>
      </c>
      <c r="M64" s="6">
        <v>11</v>
      </c>
      <c r="N64" s="6">
        <v>12</v>
      </c>
      <c r="O64" s="6">
        <v>27</v>
      </c>
      <c r="P64" s="6">
        <v>35</v>
      </c>
      <c r="Q64" s="6">
        <v>19</v>
      </c>
      <c r="R64" s="6">
        <v>9</v>
      </c>
      <c r="S64" s="5">
        <f t="shared" si="22"/>
        <v>221</v>
      </c>
    </row>
    <row r="65" spans="1:19" x14ac:dyDescent="0.4">
      <c r="A65" s="7"/>
      <c r="B65" s="46"/>
      <c r="C65" s="24" t="s">
        <v>119</v>
      </c>
      <c r="D65" s="47"/>
      <c r="E65" s="6">
        <v>0</v>
      </c>
      <c r="F65" s="6">
        <v>0</v>
      </c>
      <c r="G65" s="6">
        <v>2</v>
      </c>
      <c r="H65" s="6">
        <v>0</v>
      </c>
      <c r="I65" s="6">
        <v>2</v>
      </c>
      <c r="J65" s="6">
        <v>2</v>
      </c>
      <c r="K65" s="6">
        <v>1</v>
      </c>
      <c r="L65" s="6">
        <v>2</v>
      </c>
      <c r="M65" s="6">
        <v>2</v>
      </c>
      <c r="N65" s="6">
        <v>1</v>
      </c>
      <c r="O65" s="6">
        <v>0</v>
      </c>
      <c r="P65" s="6">
        <v>1</v>
      </c>
      <c r="Q65" s="6">
        <v>1</v>
      </c>
      <c r="R65" s="6">
        <v>0</v>
      </c>
      <c r="S65" s="5">
        <f t="shared" si="22"/>
        <v>14</v>
      </c>
    </row>
    <row r="66" spans="1:19" x14ac:dyDescent="0.4">
      <c r="A66" s="7"/>
      <c r="B66" s="46"/>
      <c r="C66" s="24" t="s">
        <v>120</v>
      </c>
      <c r="D66" s="47"/>
      <c r="E66" s="6">
        <v>0</v>
      </c>
      <c r="F66" s="6">
        <v>1</v>
      </c>
      <c r="G66" s="6">
        <v>24</v>
      </c>
      <c r="H66" s="6">
        <v>36</v>
      </c>
      <c r="I66" s="6">
        <v>31</v>
      </c>
      <c r="J66" s="6">
        <v>15</v>
      </c>
      <c r="K66" s="6">
        <v>18</v>
      </c>
      <c r="L66" s="6">
        <v>17</v>
      </c>
      <c r="M66" s="6">
        <v>11</v>
      </c>
      <c r="N66" s="6">
        <v>20</v>
      </c>
      <c r="O66" s="6">
        <v>10</v>
      </c>
      <c r="P66" s="6">
        <v>5</v>
      </c>
      <c r="Q66" s="6">
        <v>6</v>
      </c>
      <c r="R66" s="6">
        <v>18</v>
      </c>
      <c r="S66" s="5">
        <f t="shared" si="22"/>
        <v>212</v>
      </c>
    </row>
    <row r="67" spans="1:19" x14ac:dyDescent="0.4">
      <c r="A67" s="7"/>
      <c r="B67" s="46"/>
      <c r="C67" s="24" t="s">
        <v>121</v>
      </c>
      <c r="D67" s="47"/>
      <c r="E67" s="6">
        <v>4</v>
      </c>
      <c r="F67" s="6">
        <v>1</v>
      </c>
      <c r="G67" s="6">
        <v>10</v>
      </c>
      <c r="H67" s="6">
        <v>0</v>
      </c>
      <c r="I67" s="6">
        <v>0</v>
      </c>
      <c r="J67" s="6">
        <v>3</v>
      </c>
      <c r="K67" s="6">
        <v>3</v>
      </c>
      <c r="L67" s="6">
        <v>1</v>
      </c>
      <c r="M67" s="6">
        <v>1</v>
      </c>
      <c r="N67" s="6">
        <v>5</v>
      </c>
      <c r="O67" s="6">
        <v>3</v>
      </c>
      <c r="P67" s="6">
        <v>0</v>
      </c>
      <c r="Q67" s="6">
        <v>4</v>
      </c>
      <c r="R67" s="6">
        <v>37</v>
      </c>
      <c r="S67" s="5">
        <f t="shared" si="22"/>
        <v>72</v>
      </c>
    </row>
    <row r="68" spans="1:19" ht="13.15" customHeight="1" x14ac:dyDescent="0.4">
      <c r="A68" s="7"/>
      <c r="B68" s="46"/>
      <c r="C68" s="24" t="s">
        <v>122</v>
      </c>
      <c r="D68" s="47"/>
      <c r="E68" s="6">
        <v>0</v>
      </c>
      <c r="F68" s="6">
        <v>0</v>
      </c>
      <c r="G68" s="6">
        <v>1</v>
      </c>
      <c r="H68" s="6">
        <v>1</v>
      </c>
      <c r="I68" s="6">
        <v>0</v>
      </c>
      <c r="J68" s="6">
        <v>0</v>
      </c>
      <c r="K68" s="6">
        <v>0</v>
      </c>
      <c r="L68" s="6">
        <v>1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2</v>
      </c>
      <c r="S68" s="5">
        <f t="shared" si="22"/>
        <v>5</v>
      </c>
    </row>
    <row r="69" spans="1:19" x14ac:dyDescent="0.4">
      <c r="A69" s="7"/>
      <c r="B69" s="46"/>
      <c r="C69" s="24" t="s">
        <v>123</v>
      </c>
      <c r="D69" s="47"/>
      <c r="E69" s="6">
        <v>0</v>
      </c>
      <c r="F69" s="6">
        <v>0</v>
      </c>
      <c r="G69" s="6">
        <v>1</v>
      </c>
      <c r="H69" s="6">
        <v>0</v>
      </c>
      <c r="I69" s="6">
        <v>2</v>
      </c>
      <c r="J69" s="6">
        <v>1</v>
      </c>
      <c r="K69" s="6">
        <v>0</v>
      </c>
      <c r="L69" s="6">
        <v>0</v>
      </c>
      <c r="M69" s="6">
        <v>0</v>
      </c>
      <c r="N69" s="6">
        <v>1</v>
      </c>
      <c r="O69" s="6">
        <v>0</v>
      </c>
      <c r="P69" s="6">
        <v>0</v>
      </c>
      <c r="Q69" s="6">
        <v>0</v>
      </c>
      <c r="R69" s="6">
        <v>1</v>
      </c>
      <c r="S69" s="5">
        <f t="shared" si="22"/>
        <v>6</v>
      </c>
    </row>
    <row r="70" spans="1:19" x14ac:dyDescent="0.4">
      <c r="A70" s="6" t="s">
        <v>26</v>
      </c>
      <c r="B70" s="53" t="s">
        <v>51</v>
      </c>
      <c r="C70" s="69"/>
      <c r="D70" s="60"/>
      <c r="E70" s="5">
        <f>SUM(E63:E69)</f>
        <v>6</v>
      </c>
      <c r="F70" s="5">
        <f>SUM(F63:F69)</f>
        <v>5</v>
      </c>
      <c r="G70" s="5">
        <f>SUM(G63:G69)</f>
        <v>48</v>
      </c>
      <c r="H70" s="5">
        <f>SUM(H63:H69)</f>
        <v>47</v>
      </c>
      <c r="I70" s="5">
        <f>SUM(I63:I69)</f>
        <v>68</v>
      </c>
      <c r="J70" s="5">
        <f>SUM(J63:J69)</f>
        <v>44</v>
      </c>
      <c r="K70" s="5">
        <f>SUM(K63:K69)</f>
        <v>48</v>
      </c>
      <c r="L70" s="5">
        <f>SUM(L63:L69)</f>
        <v>53</v>
      </c>
      <c r="M70" s="5">
        <f>SUM(M63:M69)</f>
        <v>26</v>
      </c>
      <c r="N70" s="5">
        <f>SUM(N63:N69)</f>
        <v>43</v>
      </c>
      <c r="O70" s="5">
        <f>SUM(O63:O69)</f>
        <v>42</v>
      </c>
      <c r="P70" s="5">
        <f>SUM(P63:P69)</f>
        <v>47</v>
      </c>
      <c r="Q70" s="5">
        <f>SUM(Q63:Q69)</f>
        <v>33</v>
      </c>
      <c r="R70" s="5">
        <f>SUM(R63:R69)</f>
        <v>71</v>
      </c>
      <c r="S70" s="5">
        <f>SUM(S63:S69)</f>
        <v>581</v>
      </c>
    </row>
    <row r="71" spans="1:19" x14ac:dyDescent="0.4">
      <c r="A71" s="70"/>
      <c r="B71" s="71"/>
      <c r="C71" s="71"/>
      <c r="D71" s="71"/>
      <c r="E71" s="71"/>
    </row>
    <row r="72" spans="1:19" x14ac:dyDescent="0.4">
      <c r="A72" s="11" t="s">
        <v>48</v>
      </c>
      <c r="B72" s="17" t="s">
        <v>34</v>
      </c>
      <c r="C72" s="59" t="s">
        <v>54</v>
      </c>
      <c r="D72" s="60"/>
      <c r="E72" s="6">
        <v>0</v>
      </c>
      <c r="F72" s="6">
        <v>0</v>
      </c>
      <c r="G72" s="6">
        <v>0</v>
      </c>
      <c r="H72" s="6">
        <v>3</v>
      </c>
      <c r="I72" s="6">
        <v>2</v>
      </c>
      <c r="J72" s="6">
        <v>0</v>
      </c>
      <c r="K72" s="6">
        <v>3</v>
      </c>
      <c r="L72" s="6">
        <v>4</v>
      </c>
      <c r="M72" s="6">
        <v>1</v>
      </c>
      <c r="N72" s="6">
        <v>3</v>
      </c>
      <c r="O72" s="6">
        <v>0</v>
      </c>
      <c r="P72" s="6">
        <v>2</v>
      </c>
      <c r="Q72" s="6">
        <v>2</v>
      </c>
      <c r="R72" s="6">
        <v>1</v>
      </c>
      <c r="S72" s="5">
        <f t="shared" ref="S72:S78" si="23">SUM(E72:R72)</f>
        <v>21</v>
      </c>
    </row>
    <row r="73" spans="1:19" x14ac:dyDescent="0.4">
      <c r="A73" s="11" t="s">
        <v>50</v>
      </c>
      <c r="B73" s="46"/>
      <c r="C73" s="24" t="s">
        <v>124</v>
      </c>
      <c r="D73" s="47"/>
      <c r="E73" s="6">
        <v>0</v>
      </c>
      <c r="F73" s="6">
        <v>6</v>
      </c>
      <c r="G73" s="6">
        <v>0</v>
      </c>
      <c r="H73" s="6">
        <v>2</v>
      </c>
      <c r="I73" s="6">
        <v>2</v>
      </c>
      <c r="J73" s="6">
        <v>2</v>
      </c>
      <c r="K73" s="6">
        <v>4</v>
      </c>
      <c r="L73" s="6">
        <v>2</v>
      </c>
      <c r="M73" s="6">
        <v>1</v>
      </c>
      <c r="N73" s="6">
        <v>4</v>
      </c>
      <c r="O73" s="6">
        <v>8</v>
      </c>
      <c r="P73" s="6">
        <v>12</v>
      </c>
      <c r="Q73" s="6">
        <v>11</v>
      </c>
      <c r="R73" s="6">
        <v>4</v>
      </c>
      <c r="S73" s="5">
        <f t="shared" si="23"/>
        <v>58</v>
      </c>
    </row>
    <row r="74" spans="1:19" x14ac:dyDescent="0.4">
      <c r="A74" s="7"/>
      <c r="B74" s="46"/>
      <c r="C74" s="24" t="s">
        <v>125</v>
      </c>
      <c r="D74" s="47"/>
      <c r="E74" s="6">
        <v>1</v>
      </c>
      <c r="F74" s="6">
        <v>0</v>
      </c>
      <c r="G74" s="6">
        <v>1</v>
      </c>
      <c r="H74" s="6">
        <v>0</v>
      </c>
      <c r="I74" s="6">
        <v>0</v>
      </c>
      <c r="J74" s="6">
        <v>1</v>
      </c>
      <c r="K74" s="6">
        <v>0</v>
      </c>
      <c r="L74" s="6">
        <v>2</v>
      </c>
      <c r="M74" s="6">
        <v>0</v>
      </c>
      <c r="N74" s="6">
        <v>0</v>
      </c>
      <c r="O74" s="6">
        <v>1</v>
      </c>
      <c r="P74" s="6">
        <v>0</v>
      </c>
      <c r="Q74" s="6">
        <v>0</v>
      </c>
      <c r="R74" s="6">
        <v>1</v>
      </c>
      <c r="S74" s="5">
        <f t="shared" si="23"/>
        <v>7</v>
      </c>
    </row>
    <row r="75" spans="1:19" x14ac:dyDescent="0.4">
      <c r="A75" s="7"/>
      <c r="B75" s="46"/>
      <c r="C75" s="24" t="s">
        <v>126</v>
      </c>
      <c r="D75" s="47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1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5">
        <f t="shared" si="23"/>
        <v>1</v>
      </c>
    </row>
    <row r="76" spans="1:19" ht="13.15" customHeight="1" x14ac:dyDescent="0.4">
      <c r="A76" s="7"/>
      <c r="B76" s="46"/>
      <c r="C76" s="24" t="s">
        <v>127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2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5">
        <f t="shared" si="23"/>
        <v>2</v>
      </c>
    </row>
    <row r="77" spans="1:19" x14ac:dyDescent="0.4">
      <c r="A77" s="7"/>
      <c r="B77" s="46"/>
      <c r="C77" s="24" t="s">
        <v>128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1</v>
      </c>
      <c r="L77" s="6">
        <v>1</v>
      </c>
      <c r="M77" s="6">
        <v>1</v>
      </c>
      <c r="N77" s="6">
        <v>0</v>
      </c>
      <c r="O77" s="6">
        <v>0</v>
      </c>
      <c r="P77" s="6">
        <v>0</v>
      </c>
      <c r="Q77" s="6">
        <v>0</v>
      </c>
      <c r="R77" s="6">
        <v>2</v>
      </c>
      <c r="S77" s="5">
        <f t="shared" si="23"/>
        <v>5</v>
      </c>
    </row>
    <row r="78" spans="1:19" x14ac:dyDescent="0.4">
      <c r="A78" s="7"/>
      <c r="B78" s="46"/>
      <c r="C78" s="24" t="s">
        <v>129</v>
      </c>
      <c r="D78" s="47"/>
      <c r="E78" s="6">
        <v>1</v>
      </c>
      <c r="F78" s="6">
        <v>0</v>
      </c>
      <c r="G78" s="6">
        <v>1</v>
      </c>
      <c r="H78" s="6">
        <v>0</v>
      </c>
      <c r="I78" s="6">
        <v>2</v>
      </c>
      <c r="J78" s="6">
        <v>0</v>
      </c>
      <c r="K78" s="6">
        <v>0</v>
      </c>
      <c r="L78" s="6">
        <v>2</v>
      </c>
      <c r="M78" s="6">
        <v>0</v>
      </c>
      <c r="N78" s="6">
        <v>0</v>
      </c>
      <c r="O78" s="6">
        <v>2</v>
      </c>
      <c r="P78" s="6">
        <v>0</v>
      </c>
      <c r="Q78" s="6">
        <v>0</v>
      </c>
      <c r="R78" s="6">
        <v>0</v>
      </c>
      <c r="S78" s="5">
        <f t="shared" si="23"/>
        <v>8</v>
      </c>
    </row>
    <row r="79" spans="1:19" x14ac:dyDescent="0.4">
      <c r="A79" s="6" t="s">
        <v>26</v>
      </c>
      <c r="B79" s="53" t="s">
        <v>51</v>
      </c>
      <c r="C79" s="69"/>
      <c r="D79" s="60"/>
      <c r="E79" s="5">
        <f>SUM(E72:E78)</f>
        <v>2</v>
      </c>
      <c r="F79" s="5">
        <f>SUM(F72:F78)</f>
        <v>6</v>
      </c>
      <c r="G79" s="5">
        <f>SUM(G72:G78)</f>
        <v>2</v>
      </c>
      <c r="H79" s="5">
        <f>SUM(H72:H78)</f>
        <v>5</v>
      </c>
      <c r="I79" s="5">
        <f>SUM(I72:I78)</f>
        <v>6</v>
      </c>
      <c r="J79" s="5">
        <f>SUM(J72:J78)</f>
        <v>3</v>
      </c>
      <c r="K79" s="5">
        <f>SUM(K72:K78)</f>
        <v>11</v>
      </c>
      <c r="L79" s="5">
        <f>SUM(L72:L78)</f>
        <v>11</v>
      </c>
      <c r="M79" s="5">
        <f>SUM(M72:M78)</f>
        <v>3</v>
      </c>
      <c r="N79" s="5">
        <f>SUM(N72:N78)</f>
        <v>7</v>
      </c>
      <c r="O79" s="5">
        <f>SUM(O72:O78)</f>
        <v>11</v>
      </c>
      <c r="P79" s="5">
        <f>SUM(P72:P78)</f>
        <v>14</v>
      </c>
      <c r="Q79" s="5">
        <f>SUM(Q72:Q78)</f>
        <v>13</v>
      </c>
      <c r="R79" s="5">
        <f>SUM(R72:R78)</f>
        <v>8</v>
      </c>
      <c r="S79" s="5">
        <f>SUM(S72:S78)</f>
        <v>102</v>
      </c>
    </row>
    <row r="80" spans="1:19" x14ac:dyDescent="0.4">
      <c r="A80" s="70"/>
      <c r="B80" s="71"/>
      <c r="C80" s="71"/>
      <c r="D80" s="71"/>
      <c r="E80" s="71"/>
    </row>
    <row r="81" spans="1:19" x14ac:dyDescent="0.4">
      <c r="A81" s="11" t="s">
        <v>48</v>
      </c>
      <c r="B81" s="17" t="s">
        <v>55</v>
      </c>
      <c r="C81" s="59" t="s">
        <v>56</v>
      </c>
      <c r="D81" s="60"/>
      <c r="E81" s="6">
        <v>0</v>
      </c>
      <c r="F81" s="6">
        <v>1</v>
      </c>
      <c r="G81" s="6">
        <v>1</v>
      </c>
      <c r="H81" s="6">
        <v>1</v>
      </c>
      <c r="I81" s="6">
        <v>1</v>
      </c>
      <c r="J81" s="6">
        <v>3</v>
      </c>
      <c r="K81" s="6">
        <v>0</v>
      </c>
      <c r="L81" s="6">
        <v>0</v>
      </c>
      <c r="M81" s="6">
        <v>3</v>
      </c>
      <c r="N81" s="6">
        <v>1</v>
      </c>
      <c r="O81" s="6">
        <v>1</v>
      </c>
      <c r="P81" s="6">
        <v>4</v>
      </c>
      <c r="Q81" s="6">
        <v>6</v>
      </c>
      <c r="R81" s="6">
        <v>1</v>
      </c>
      <c r="S81" s="5">
        <f t="shared" ref="S81:S87" si="24">SUM(E81:R81)</f>
        <v>23</v>
      </c>
    </row>
    <row r="82" spans="1:19" x14ac:dyDescent="0.4">
      <c r="A82" s="11" t="s">
        <v>50</v>
      </c>
      <c r="B82" s="46"/>
      <c r="C82" s="24" t="s">
        <v>130</v>
      </c>
      <c r="D82" s="47"/>
      <c r="E82" s="6">
        <v>0</v>
      </c>
      <c r="F82" s="6">
        <v>0</v>
      </c>
      <c r="G82" s="6">
        <v>0</v>
      </c>
      <c r="H82" s="6">
        <v>0</v>
      </c>
      <c r="I82" s="6">
        <v>1</v>
      </c>
      <c r="J82" s="6">
        <v>1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15</v>
      </c>
      <c r="Q82" s="6">
        <v>0</v>
      </c>
      <c r="R82" s="6">
        <v>1</v>
      </c>
      <c r="S82" s="5">
        <f t="shared" si="24"/>
        <v>18</v>
      </c>
    </row>
    <row r="83" spans="1:19" x14ac:dyDescent="0.4">
      <c r="A83" s="7"/>
      <c r="B83" s="46"/>
      <c r="C83" s="24" t="s">
        <v>131</v>
      </c>
      <c r="D83" s="47"/>
      <c r="E83" s="6">
        <v>8</v>
      </c>
      <c r="F83" s="6">
        <v>0</v>
      </c>
      <c r="G83" s="6">
        <v>15</v>
      </c>
      <c r="H83" s="6">
        <v>38</v>
      </c>
      <c r="I83" s="6">
        <v>2</v>
      </c>
      <c r="J83" s="6">
        <v>4</v>
      </c>
      <c r="K83" s="6">
        <v>7</v>
      </c>
      <c r="L83" s="6">
        <v>2</v>
      </c>
      <c r="M83" s="6">
        <v>2</v>
      </c>
      <c r="N83" s="6">
        <v>2</v>
      </c>
      <c r="O83" s="6">
        <v>6</v>
      </c>
      <c r="P83" s="6">
        <v>9</v>
      </c>
      <c r="Q83" s="6">
        <v>2</v>
      </c>
      <c r="R83" s="6">
        <v>2</v>
      </c>
      <c r="S83" s="5">
        <f t="shared" si="24"/>
        <v>99</v>
      </c>
    </row>
    <row r="84" spans="1:19" ht="13.15" customHeight="1" x14ac:dyDescent="0.4">
      <c r="A84" s="7"/>
      <c r="B84" s="46"/>
      <c r="C84" s="24" t="s">
        <v>132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1</v>
      </c>
      <c r="J84" s="6">
        <v>0</v>
      </c>
      <c r="K84" s="6">
        <v>0</v>
      </c>
      <c r="L84" s="6">
        <v>0</v>
      </c>
      <c r="M84" s="6">
        <v>1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5">
        <f t="shared" si="24"/>
        <v>2</v>
      </c>
    </row>
    <row r="85" spans="1:19" x14ac:dyDescent="0.4">
      <c r="A85" s="7"/>
      <c r="B85" s="46"/>
      <c r="C85" s="24" t="s">
        <v>133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1</v>
      </c>
      <c r="Q85" s="6">
        <v>0</v>
      </c>
      <c r="R85" s="6">
        <v>0</v>
      </c>
      <c r="S85" s="5">
        <f t="shared" si="24"/>
        <v>1</v>
      </c>
    </row>
    <row r="86" spans="1:19" x14ac:dyDescent="0.4">
      <c r="A86" s="7"/>
      <c r="B86" s="46"/>
      <c r="C86" s="24" t="s">
        <v>134</v>
      </c>
      <c r="D86" s="47"/>
      <c r="E86" s="6">
        <v>0</v>
      </c>
      <c r="F86" s="6">
        <v>0</v>
      </c>
      <c r="G86" s="6">
        <v>2</v>
      </c>
      <c r="H86" s="6">
        <v>0</v>
      </c>
      <c r="I86" s="6">
        <v>0</v>
      </c>
      <c r="J86" s="6">
        <v>0</v>
      </c>
      <c r="K86" s="6">
        <v>1</v>
      </c>
      <c r="L86" s="6">
        <v>0</v>
      </c>
      <c r="M86" s="6">
        <v>4</v>
      </c>
      <c r="N86" s="6">
        <v>3</v>
      </c>
      <c r="O86" s="6">
        <v>0</v>
      </c>
      <c r="P86" s="6">
        <v>0</v>
      </c>
      <c r="Q86" s="6">
        <v>15</v>
      </c>
      <c r="R86" s="6">
        <v>4</v>
      </c>
      <c r="S86" s="5">
        <f t="shared" si="24"/>
        <v>29</v>
      </c>
    </row>
    <row r="87" spans="1:19" x14ac:dyDescent="0.4">
      <c r="A87" s="7"/>
      <c r="B87" s="46"/>
      <c r="C87" s="24" t="s">
        <v>135</v>
      </c>
      <c r="D87" s="47"/>
      <c r="E87" s="6">
        <v>0</v>
      </c>
      <c r="F87" s="6">
        <v>0</v>
      </c>
      <c r="G87" s="6">
        <v>0</v>
      </c>
      <c r="H87" s="6">
        <v>1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5">
        <f t="shared" si="24"/>
        <v>1</v>
      </c>
    </row>
    <row r="88" spans="1:19" x14ac:dyDescent="0.4">
      <c r="A88" s="6" t="s">
        <v>26</v>
      </c>
      <c r="B88" s="53" t="s">
        <v>51</v>
      </c>
      <c r="C88" s="69"/>
      <c r="D88" s="60"/>
      <c r="E88" s="5">
        <f>SUM(E81:E87)</f>
        <v>8</v>
      </c>
      <c r="F88" s="5">
        <f>SUM(F81:F87)</f>
        <v>1</v>
      </c>
      <c r="G88" s="5">
        <f>SUM(G81:G87)</f>
        <v>18</v>
      </c>
      <c r="H88" s="5">
        <f>SUM(H81:H87)</f>
        <v>40</v>
      </c>
      <c r="I88" s="5">
        <f>SUM(I81:I87)</f>
        <v>5</v>
      </c>
      <c r="J88" s="5">
        <f>SUM(J81:J87)</f>
        <v>8</v>
      </c>
      <c r="K88" s="5">
        <f>SUM(K81:K87)</f>
        <v>8</v>
      </c>
      <c r="L88" s="5">
        <f>SUM(L81:L87)</f>
        <v>2</v>
      </c>
      <c r="M88" s="5">
        <f>SUM(M81:M87)</f>
        <v>10</v>
      </c>
      <c r="N88" s="5">
        <f>SUM(N81:N87)</f>
        <v>6</v>
      </c>
      <c r="O88" s="5">
        <f>SUM(O81:O87)</f>
        <v>7</v>
      </c>
      <c r="P88" s="5">
        <f>SUM(P81:P87)</f>
        <v>29</v>
      </c>
      <c r="Q88" s="5">
        <f>SUM(Q81:Q87)</f>
        <v>23</v>
      </c>
      <c r="R88" s="5">
        <f>SUM(R81:R87)</f>
        <v>8</v>
      </c>
      <c r="S88" s="5">
        <f>SUM(S81:S87)</f>
        <v>173</v>
      </c>
    </row>
    <row r="89" spans="1:19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</row>
    <row r="90" spans="1:19" x14ac:dyDescent="0.4">
      <c r="A90" s="11" t="s">
        <v>48</v>
      </c>
      <c r="B90" s="17" t="s">
        <v>57</v>
      </c>
      <c r="C90" s="59" t="s">
        <v>58</v>
      </c>
      <c r="D90" s="60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2</v>
      </c>
      <c r="K90" s="6">
        <v>2</v>
      </c>
      <c r="L90" s="6">
        <v>0</v>
      </c>
      <c r="M90" s="6">
        <v>0</v>
      </c>
      <c r="N90" s="6">
        <v>1</v>
      </c>
      <c r="O90" s="6">
        <v>0</v>
      </c>
      <c r="P90" s="6">
        <v>0</v>
      </c>
      <c r="Q90" s="6">
        <v>0</v>
      </c>
      <c r="R90" s="6">
        <v>0</v>
      </c>
      <c r="S90" s="5">
        <f t="shared" ref="S90:S91" si="25">SUM(E90:R90)</f>
        <v>5</v>
      </c>
    </row>
    <row r="91" spans="1:19" x14ac:dyDescent="0.4">
      <c r="A91" s="11" t="s">
        <v>50</v>
      </c>
      <c r="B91" s="46"/>
      <c r="C91" s="72" t="s">
        <v>136</v>
      </c>
      <c r="D91" s="60"/>
      <c r="E91" s="6">
        <v>0</v>
      </c>
      <c r="F91" s="6">
        <v>0</v>
      </c>
      <c r="G91" s="6">
        <v>1</v>
      </c>
      <c r="H91" s="6">
        <v>1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1</v>
      </c>
      <c r="R91" s="6">
        <v>0</v>
      </c>
      <c r="S91" s="5">
        <f t="shared" si="25"/>
        <v>3</v>
      </c>
    </row>
    <row r="92" spans="1:19" ht="13.15" customHeight="1" x14ac:dyDescent="0.4">
      <c r="A92" s="6" t="s">
        <v>26</v>
      </c>
      <c r="B92" s="53" t="s">
        <v>51</v>
      </c>
      <c r="C92" s="54"/>
      <c r="D92" s="55"/>
      <c r="E92" s="5">
        <f>SUM(E90:E91)</f>
        <v>0</v>
      </c>
      <c r="F92" s="5">
        <f>SUM(F90:F91)</f>
        <v>0</v>
      </c>
      <c r="G92" s="5">
        <f>SUM(G90:G91)</f>
        <v>1</v>
      </c>
      <c r="H92" s="5">
        <f>SUM(H90:H91)</f>
        <v>1</v>
      </c>
      <c r="I92" s="5">
        <f>SUM(I90:I91)</f>
        <v>0</v>
      </c>
      <c r="J92" s="5">
        <f>SUM(J90:J91)</f>
        <v>2</v>
      </c>
      <c r="K92" s="5">
        <f>SUM(K90:K91)</f>
        <v>2</v>
      </c>
      <c r="L92" s="5">
        <f>SUM(L90:L91)</f>
        <v>0</v>
      </c>
      <c r="M92" s="5">
        <f>SUM(M90:M91)</f>
        <v>0</v>
      </c>
      <c r="N92" s="5">
        <f>SUM(N90:N91)</f>
        <v>1</v>
      </c>
      <c r="O92" s="5">
        <f>SUM(O90:O91)</f>
        <v>0</v>
      </c>
      <c r="P92" s="5">
        <f>SUM(P90:P91)</f>
        <v>0</v>
      </c>
      <c r="Q92" s="5">
        <f>SUM(Q90:Q91)</f>
        <v>1</v>
      </c>
      <c r="R92" s="5">
        <f>SUM(R90:R91)</f>
        <v>0</v>
      </c>
      <c r="S92" s="5">
        <f>SUM(S90:S91)</f>
        <v>8</v>
      </c>
    </row>
    <row r="93" spans="1:19" x14ac:dyDescent="0.4">
      <c r="A93" s="61"/>
      <c r="B93" s="62"/>
      <c r="C93" s="62"/>
      <c r="D93" s="62"/>
      <c r="E93" s="63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5"/>
    </row>
    <row r="94" spans="1:19" x14ac:dyDescent="0.4">
      <c r="A94" s="11" t="s">
        <v>48</v>
      </c>
      <c r="B94" s="17" t="s">
        <v>59</v>
      </c>
      <c r="C94" s="59" t="s">
        <v>60</v>
      </c>
      <c r="D94" s="60"/>
      <c r="E94" s="6">
        <v>0</v>
      </c>
      <c r="F94" s="6">
        <v>0</v>
      </c>
      <c r="G94" s="6">
        <v>0</v>
      </c>
      <c r="H94" s="6">
        <v>1</v>
      </c>
      <c r="I94" s="6">
        <v>0</v>
      </c>
      <c r="J94" s="6">
        <v>1</v>
      </c>
      <c r="K94" s="6">
        <v>3</v>
      </c>
      <c r="L94" s="6">
        <v>1</v>
      </c>
      <c r="M94" s="6">
        <v>0</v>
      </c>
      <c r="N94" s="6">
        <v>1</v>
      </c>
      <c r="O94" s="6">
        <v>1</v>
      </c>
      <c r="P94" s="6">
        <v>3</v>
      </c>
      <c r="Q94" s="6">
        <v>0</v>
      </c>
      <c r="R94" s="6">
        <v>0</v>
      </c>
      <c r="S94" s="5">
        <f t="shared" ref="S94:S100" si="26">SUM(E94:R94)</f>
        <v>11</v>
      </c>
    </row>
    <row r="95" spans="1:19" x14ac:dyDescent="0.4">
      <c r="A95" s="11" t="s">
        <v>50</v>
      </c>
      <c r="B95" s="46"/>
      <c r="C95" s="24" t="s">
        <v>137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1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5">
        <f t="shared" si="26"/>
        <v>1</v>
      </c>
    </row>
    <row r="96" spans="1:19" x14ac:dyDescent="0.4">
      <c r="A96" s="7"/>
      <c r="B96" s="46"/>
      <c r="C96" s="24" t="s">
        <v>138</v>
      </c>
      <c r="D96" s="47"/>
      <c r="E96" s="6">
        <v>1</v>
      </c>
      <c r="F96" s="6">
        <v>0</v>
      </c>
      <c r="G96" s="6">
        <v>0</v>
      </c>
      <c r="H96" s="6">
        <v>1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5">
        <f t="shared" si="26"/>
        <v>2</v>
      </c>
    </row>
    <row r="97" spans="1:19" x14ac:dyDescent="0.4">
      <c r="A97" s="7"/>
      <c r="B97" s="46"/>
      <c r="C97" s="24" t="s">
        <v>139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1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5">
        <f t="shared" si="26"/>
        <v>1</v>
      </c>
    </row>
    <row r="98" spans="1:19" x14ac:dyDescent="0.4">
      <c r="A98" s="7"/>
      <c r="B98" s="46"/>
      <c r="C98" s="24" t="s">
        <v>140</v>
      </c>
      <c r="D98" s="47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5">
        <f t="shared" si="26"/>
        <v>0</v>
      </c>
    </row>
    <row r="99" spans="1:19" x14ac:dyDescent="0.4">
      <c r="A99" s="7"/>
      <c r="B99" s="46"/>
      <c r="C99" s="24" t="s">
        <v>141</v>
      </c>
      <c r="D99" s="47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5">
        <f t="shared" si="26"/>
        <v>0</v>
      </c>
    </row>
    <row r="100" spans="1:19" x14ac:dyDescent="0.4">
      <c r="A100" s="7"/>
      <c r="B100" s="46"/>
      <c r="C100" s="24" t="s">
        <v>142</v>
      </c>
      <c r="D100" s="47"/>
      <c r="E100" s="50">
        <v>1</v>
      </c>
      <c r="F100" s="29">
        <v>0</v>
      </c>
      <c r="G100" s="29">
        <v>3</v>
      </c>
      <c r="H100" s="29">
        <v>0</v>
      </c>
      <c r="I100" s="29">
        <v>3</v>
      </c>
      <c r="J100" s="29">
        <v>10</v>
      </c>
      <c r="K100" s="29">
        <v>31</v>
      </c>
      <c r="L100" s="29">
        <v>4</v>
      </c>
      <c r="M100" s="29">
        <v>4</v>
      </c>
      <c r="N100" s="29">
        <v>2</v>
      </c>
      <c r="O100" s="29">
        <v>2</v>
      </c>
      <c r="P100" s="29">
        <v>0</v>
      </c>
      <c r="Q100" s="29">
        <v>0</v>
      </c>
      <c r="R100" s="29">
        <v>2</v>
      </c>
      <c r="S100" s="5">
        <f t="shared" si="26"/>
        <v>62</v>
      </c>
    </row>
    <row r="101" spans="1:19" x14ac:dyDescent="0.4">
      <c r="A101" s="6" t="s">
        <v>26</v>
      </c>
      <c r="B101" s="53" t="s">
        <v>51</v>
      </c>
      <c r="C101" s="54"/>
      <c r="D101" s="55"/>
      <c r="E101" s="5">
        <f>SUM(E94:E100)</f>
        <v>2</v>
      </c>
      <c r="F101" s="5">
        <f>SUM(F94:F100)</f>
        <v>0</v>
      </c>
      <c r="G101" s="5">
        <f>SUM(G94:G100)</f>
        <v>3</v>
      </c>
      <c r="H101" s="5">
        <f>SUM(H94:H100)</f>
        <v>2</v>
      </c>
      <c r="I101" s="5">
        <f>SUM(I94:I100)</f>
        <v>3</v>
      </c>
      <c r="J101" s="5">
        <f>SUM(J94:J100)</f>
        <v>11</v>
      </c>
      <c r="K101" s="5">
        <f>SUM(K94:K100)</f>
        <v>35</v>
      </c>
      <c r="L101" s="5">
        <f>SUM(L94:L100)</f>
        <v>5</v>
      </c>
      <c r="M101" s="5">
        <f>SUM(M94:M100)</f>
        <v>5</v>
      </c>
      <c r="N101" s="5">
        <f>SUM(N94:N100)</f>
        <v>3</v>
      </c>
      <c r="O101" s="5">
        <f>SUM(O94:O100)</f>
        <v>3</v>
      </c>
      <c r="P101" s="5">
        <f>SUM(P94:P100)</f>
        <v>3</v>
      </c>
      <c r="Q101" s="5">
        <f>SUM(Q94:Q100)</f>
        <v>0</v>
      </c>
      <c r="R101" s="5">
        <f>SUM(R94:R100)</f>
        <v>2</v>
      </c>
      <c r="S101" s="5">
        <f>SUM(S94:S100)</f>
        <v>77</v>
      </c>
    </row>
    <row r="102" spans="1:19" x14ac:dyDescent="0.4">
      <c r="A102" s="61"/>
      <c r="B102" s="62"/>
      <c r="C102" s="62"/>
      <c r="D102" s="62"/>
      <c r="E102" s="63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</row>
    <row r="103" spans="1:19" x14ac:dyDescent="0.4">
      <c r="A103" s="11" t="s">
        <v>48</v>
      </c>
      <c r="B103" s="17" t="s">
        <v>61</v>
      </c>
      <c r="C103" s="59" t="s">
        <v>62</v>
      </c>
      <c r="D103" s="60"/>
      <c r="E103" s="6">
        <v>0</v>
      </c>
      <c r="F103" s="6">
        <v>0</v>
      </c>
      <c r="G103" s="6">
        <v>1</v>
      </c>
      <c r="H103" s="6">
        <v>0</v>
      </c>
      <c r="I103" s="6">
        <v>1</v>
      </c>
      <c r="J103" s="6">
        <v>1</v>
      </c>
      <c r="K103" s="6">
        <v>1</v>
      </c>
      <c r="L103" s="6">
        <v>0</v>
      </c>
      <c r="M103" s="6">
        <v>0</v>
      </c>
      <c r="N103" s="6">
        <v>0</v>
      </c>
      <c r="O103" s="6">
        <v>0</v>
      </c>
      <c r="P103" s="6">
        <v>1</v>
      </c>
      <c r="Q103" s="6">
        <v>0</v>
      </c>
      <c r="R103" s="6">
        <v>0</v>
      </c>
      <c r="S103" s="5">
        <f t="shared" ref="S103:S109" si="27">SUM(E103:R103)</f>
        <v>5</v>
      </c>
    </row>
    <row r="104" spans="1:19" ht="13.15" customHeight="1" x14ac:dyDescent="0.4">
      <c r="A104" s="11" t="s">
        <v>50</v>
      </c>
      <c r="B104" s="46"/>
      <c r="C104" s="24" t="s">
        <v>143</v>
      </c>
      <c r="D104" s="47"/>
      <c r="E104" s="6">
        <v>0</v>
      </c>
      <c r="F104" s="6">
        <v>0</v>
      </c>
      <c r="G104" s="6">
        <v>1</v>
      </c>
      <c r="H104" s="6">
        <v>0</v>
      </c>
      <c r="I104" s="6">
        <v>11</v>
      </c>
      <c r="J104" s="6">
        <v>1</v>
      </c>
      <c r="K104" s="6">
        <v>0</v>
      </c>
      <c r="L104" s="6">
        <v>5</v>
      </c>
      <c r="M104" s="6">
        <v>5</v>
      </c>
      <c r="N104" s="6">
        <v>0</v>
      </c>
      <c r="O104" s="6">
        <v>0</v>
      </c>
      <c r="P104" s="6">
        <v>0</v>
      </c>
      <c r="Q104" s="6">
        <v>4</v>
      </c>
      <c r="R104" s="6">
        <v>1</v>
      </c>
      <c r="S104" s="5">
        <f t="shared" si="27"/>
        <v>28</v>
      </c>
    </row>
    <row r="105" spans="1:19" x14ac:dyDescent="0.4">
      <c r="A105" s="7"/>
      <c r="B105" s="46"/>
      <c r="C105" s="24" t="s">
        <v>144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5">
        <f t="shared" si="27"/>
        <v>0</v>
      </c>
    </row>
    <row r="106" spans="1:19" x14ac:dyDescent="0.4">
      <c r="A106" s="7"/>
      <c r="B106" s="46"/>
      <c r="C106" s="24" t="s">
        <v>145</v>
      </c>
      <c r="D106" s="47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1</v>
      </c>
      <c r="R106" s="6">
        <v>0</v>
      </c>
      <c r="S106" s="5">
        <f t="shared" si="27"/>
        <v>1</v>
      </c>
    </row>
    <row r="107" spans="1:19" x14ac:dyDescent="0.4">
      <c r="A107" s="7"/>
      <c r="B107" s="46"/>
      <c r="C107" s="24" t="s">
        <v>146</v>
      </c>
      <c r="D107" s="47"/>
      <c r="E107" s="6">
        <v>0</v>
      </c>
      <c r="F107" s="6">
        <v>0</v>
      </c>
      <c r="G107" s="6">
        <v>1</v>
      </c>
      <c r="H107" s="6">
        <v>0</v>
      </c>
      <c r="I107" s="6">
        <v>3</v>
      </c>
      <c r="J107" s="6">
        <v>0</v>
      </c>
      <c r="K107" s="6">
        <v>1</v>
      </c>
      <c r="L107" s="6">
        <v>4</v>
      </c>
      <c r="M107" s="6">
        <v>1</v>
      </c>
      <c r="N107" s="6">
        <v>0</v>
      </c>
      <c r="O107" s="6">
        <v>2</v>
      </c>
      <c r="P107" s="6">
        <v>0</v>
      </c>
      <c r="Q107" s="6">
        <v>2</v>
      </c>
      <c r="R107" s="6">
        <v>1</v>
      </c>
      <c r="S107" s="5">
        <f t="shared" si="27"/>
        <v>15</v>
      </c>
    </row>
    <row r="108" spans="1:19" x14ac:dyDescent="0.4">
      <c r="A108" s="7"/>
      <c r="B108" s="46"/>
      <c r="C108" s="24" t="s">
        <v>147</v>
      </c>
      <c r="D108" s="47"/>
      <c r="E108" s="6">
        <v>0</v>
      </c>
      <c r="F108" s="6">
        <v>0</v>
      </c>
      <c r="G108" s="6">
        <v>0</v>
      </c>
      <c r="H108" s="6">
        <v>0</v>
      </c>
      <c r="I108" s="6">
        <v>1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5">
        <f t="shared" si="27"/>
        <v>1</v>
      </c>
    </row>
    <row r="109" spans="1:19" x14ac:dyDescent="0.4">
      <c r="A109" s="7"/>
      <c r="B109" s="46"/>
      <c r="C109" s="24" t="s">
        <v>148</v>
      </c>
      <c r="D109" s="47"/>
      <c r="E109" s="6">
        <v>0</v>
      </c>
      <c r="F109" s="6">
        <v>1</v>
      </c>
      <c r="G109" s="6">
        <v>0</v>
      </c>
      <c r="H109" s="6">
        <v>0</v>
      </c>
      <c r="I109" s="6">
        <v>0</v>
      </c>
      <c r="J109" s="6">
        <v>9</v>
      </c>
      <c r="K109" s="6">
        <v>19</v>
      </c>
      <c r="L109" s="6">
        <v>0</v>
      </c>
      <c r="M109" s="6">
        <v>1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5">
        <f t="shared" si="27"/>
        <v>30</v>
      </c>
    </row>
    <row r="110" spans="1:19" x14ac:dyDescent="0.4">
      <c r="A110" s="6" t="s">
        <v>26</v>
      </c>
      <c r="B110" s="53" t="s">
        <v>51</v>
      </c>
      <c r="C110" s="54"/>
      <c r="D110" s="55"/>
      <c r="E110" s="5">
        <f>SUM(E103:E109)</f>
        <v>0</v>
      </c>
      <c r="F110" s="5">
        <f>SUM(F103:F109)</f>
        <v>1</v>
      </c>
      <c r="G110" s="5">
        <f>SUM(G103:G109)</f>
        <v>3</v>
      </c>
      <c r="H110" s="5">
        <f>SUM(H103:H109)</f>
        <v>0</v>
      </c>
      <c r="I110" s="5">
        <f>SUM(I103:I109)</f>
        <v>16</v>
      </c>
      <c r="J110" s="5">
        <f>SUM(J103:J109)</f>
        <v>11</v>
      </c>
      <c r="K110" s="5">
        <f>SUM(K103:K109)</f>
        <v>21</v>
      </c>
      <c r="L110" s="5">
        <f>SUM(L103:L109)</f>
        <v>9</v>
      </c>
      <c r="M110" s="5">
        <f>SUM(M103:M109)</f>
        <v>7</v>
      </c>
      <c r="N110" s="5">
        <f>SUM(N103:N109)</f>
        <v>0</v>
      </c>
      <c r="O110" s="5">
        <f>SUM(O103:O109)</f>
        <v>2</v>
      </c>
      <c r="P110" s="5">
        <f>SUM(P103:P109)</f>
        <v>1</v>
      </c>
      <c r="Q110" s="5">
        <f>SUM(Q103:Q109)</f>
        <v>7</v>
      </c>
      <c r="R110" s="5">
        <f>SUM(R103:R109)</f>
        <v>2</v>
      </c>
      <c r="S110" s="5">
        <f>SUM(S103:S109)</f>
        <v>80</v>
      </c>
    </row>
    <row r="111" spans="1:19" x14ac:dyDescent="0.4">
      <c r="A111" s="61"/>
      <c r="B111" s="62"/>
      <c r="C111" s="62"/>
      <c r="D111" s="62"/>
      <c r="E111" s="6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</row>
    <row r="112" spans="1:19" ht="13.15" customHeight="1" x14ac:dyDescent="0.4">
      <c r="A112" s="11" t="s">
        <v>48</v>
      </c>
      <c r="B112" s="17" t="s">
        <v>63</v>
      </c>
      <c r="C112" s="59" t="s">
        <v>64</v>
      </c>
      <c r="D112" s="60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5">
        <f t="shared" ref="S112:S118" si="28">SUM(E112:R112)</f>
        <v>0</v>
      </c>
    </row>
    <row r="113" spans="1:19" x14ac:dyDescent="0.4">
      <c r="A113" s="11" t="s">
        <v>50</v>
      </c>
      <c r="B113" s="17"/>
      <c r="C113" s="24" t="s">
        <v>104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5">
        <f t="shared" si="28"/>
        <v>0</v>
      </c>
    </row>
    <row r="114" spans="1:19" x14ac:dyDescent="0.4">
      <c r="A114" s="7"/>
      <c r="B114" s="17"/>
      <c r="C114" s="24" t="s">
        <v>149</v>
      </c>
      <c r="D114" s="45"/>
      <c r="E114" s="6">
        <v>0</v>
      </c>
      <c r="F114" s="6">
        <v>0</v>
      </c>
      <c r="G114" s="6">
        <v>0</v>
      </c>
      <c r="H114" s="6">
        <v>4</v>
      </c>
      <c r="I114" s="6">
        <v>0</v>
      </c>
      <c r="J114" s="6">
        <v>6</v>
      </c>
      <c r="K114" s="6">
        <v>1</v>
      </c>
      <c r="L114" s="6">
        <v>0</v>
      </c>
      <c r="M114" s="6">
        <v>2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5">
        <f t="shared" si="28"/>
        <v>13</v>
      </c>
    </row>
    <row r="115" spans="1:19" x14ac:dyDescent="0.4">
      <c r="A115" s="7"/>
      <c r="B115" s="17"/>
      <c r="C115" s="24" t="s">
        <v>150</v>
      </c>
      <c r="D115" s="45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5">
        <f t="shared" si="28"/>
        <v>0</v>
      </c>
    </row>
    <row r="116" spans="1:19" x14ac:dyDescent="0.4">
      <c r="A116" s="7"/>
      <c r="B116" s="46"/>
      <c r="C116" s="24" t="s">
        <v>151</v>
      </c>
      <c r="D116" s="47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5">
        <f t="shared" si="28"/>
        <v>0</v>
      </c>
    </row>
    <row r="117" spans="1:19" x14ac:dyDescent="0.4">
      <c r="A117" s="7"/>
      <c r="B117" s="46"/>
      <c r="C117" s="24" t="s">
        <v>152</v>
      </c>
      <c r="D117" s="47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5">
        <f t="shared" si="28"/>
        <v>0</v>
      </c>
    </row>
    <row r="118" spans="1:19" x14ac:dyDescent="0.4">
      <c r="A118" s="7"/>
      <c r="B118" s="46"/>
      <c r="C118" s="24" t="s">
        <v>153</v>
      </c>
      <c r="D118" s="47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5">
        <f t="shared" si="28"/>
        <v>0</v>
      </c>
    </row>
    <row r="119" spans="1:19" ht="13.15" customHeight="1" x14ac:dyDescent="0.4">
      <c r="A119" s="6" t="s">
        <v>26</v>
      </c>
      <c r="B119" s="53" t="s">
        <v>51</v>
      </c>
      <c r="C119" s="54"/>
      <c r="D119" s="55"/>
      <c r="E119" s="5">
        <f>SUM(E112:E118)</f>
        <v>0</v>
      </c>
      <c r="F119" s="5">
        <f>SUM(F112:F118)</f>
        <v>0</v>
      </c>
      <c r="G119" s="5">
        <f>SUM(G112:G118)</f>
        <v>0</v>
      </c>
      <c r="H119" s="5">
        <f>SUM(H112:H118)</f>
        <v>4</v>
      </c>
      <c r="I119" s="5">
        <f>SUM(I112:I118)</f>
        <v>0</v>
      </c>
      <c r="J119" s="5">
        <f>SUM(J112:J118)</f>
        <v>6</v>
      </c>
      <c r="K119" s="5">
        <f>SUM(K112:K118)</f>
        <v>1</v>
      </c>
      <c r="L119" s="5">
        <f>SUM(L112:L118)</f>
        <v>0</v>
      </c>
      <c r="M119" s="5">
        <f>SUM(M112:M118)</f>
        <v>2</v>
      </c>
      <c r="N119" s="5">
        <f>SUM(N112:N118)</f>
        <v>0</v>
      </c>
      <c r="O119" s="5">
        <f>SUM(O112:O118)</f>
        <v>0</v>
      </c>
      <c r="P119" s="5">
        <f>SUM(P112:P118)</f>
        <v>0</v>
      </c>
      <c r="Q119" s="5">
        <f>SUM(Q112:Q118)</f>
        <v>0</v>
      </c>
      <c r="R119" s="5">
        <f>SUM(R112:R118)</f>
        <v>0</v>
      </c>
      <c r="S119" s="5">
        <f>SUM(S112:S118)</f>
        <v>13</v>
      </c>
    </row>
    <row r="120" spans="1:19" x14ac:dyDescent="0.4">
      <c r="A120" s="61"/>
      <c r="B120" s="62"/>
      <c r="C120" s="62"/>
      <c r="D120" s="62"/>
      <c r="E120" s="6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5"/>
    </row>
    <row r="121" spans="1:19" x14ac:dyDescent="0.4">
      <c r="A121" s="11" t="s">
        <v>48</v>
      </c>
      <c r="B121" s="44" t="s">
        <v>65</v>
      </c>
      <c r="C121" s="67" t="s">
        <v>66</v>
      </c>
      <c r="D121" s="68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1</v>
      </c>
      <c r="O121" s="6">
        <v>0</v>
      </c>
      <c r="P121" s="6">
        <v>1</v>
      </c>
      <c r="Q121" s="6">
        <v>0</v>
      </c>
      <c r="R121" s="6">
        <v>1</v>
      </c>
      <c r="S121" s="5">
        <f>SUM(E122:R122)</f>
        <v>6</v>
      </c>
    </row>
    <row r="122" spans="1:19" x14ac:dyDescent="0.4">
      <c r="A122" s="48" t="s">
        <v>50</v>
      </c>
      <c r="B122" s="46"/>
      <c r="C122" s="24" t="s">
        <v>154</v>
      </c>
      <c r="D122" s="47"/>
      <c r="E122" s="49">
        <v>0</v>
      </c>
      <c r="F122" s="6">
        <v>0</v>
      </c>
      <c r="G122" s="6">
        <v>4</v>
      </c>
      <c r="H122" s="6">
        <v>0</v>
      </c>
      <c r="I122" s="6">
        <v>0</v>
      </c>
      <c r="J122" s="6">
        <v>0</v>
      </c>
      <c r="K122" s="6">
        <v>0</v>
      </c>
      <c r="L122" s="6">
        <v>1</v>
      </c>
      <c r="M122" s="6">
        <v>0</v>
      </c>
      <c r="N122" s="6">
        <v>0</v>
      </c>
      <c r="O122" s="6">
        <v>0</v>
      </c>
      <c r="P122" s="6">
        <v>1</v>
      </c>
      <c r="Q122" s="6">
        <v>0</v>
      </c>
      <c r="R122" s="6">
        <v>0</v>
      </c>
      <c r="S122" s="5">
        <f>SUM(E123:R123)</f>
        <v>54</v>
      </c>
    </row>
    <row r="123" spans="1:19" x14ac:dyDescent="0.4">
      <c r="A123" s="7"/>
      <c r="B123" s="46"/>
      <c r="C123" s="24" t="s">
        <v>155</v>
      </c>
      <c r="D123" s="47"/>
      <c r="E123" s="49">
        <v>0</v>
      </c>
      <c r="F123" s="6">
        <v>0</v>
      </c>
      <c r="G123" s="6">
        <v>2</v>
      </c>
      <c r="H123" s="6">
        <v>0</v>
      </c>
      <c r="I123" s="6">
        <v>3</v>
      </c>
      <c r="J123" s="6">
        <v>0</v>
      </c>
      <c r="K123" s="6">
        <v>0</v>
      </c>
      <c r="L123" s="6">
        <v>1</v>
      </c>
      <c r="M123" s="6">
        <v>5</v>
      </c>
      <c r="N123" s="6">
        <v>7</v>
      </c>
      <c r="O123" s="6">
        <v>28</v>
      </c>
      <c r="P123" s="6">
        <v>3</v>
      </c>
      <c r="Q123" s="6">
        <v>1</v>
      </c>
      <c r="R123" s="6">
        <v>4</v>
      </c>
      <c r="S123" s="5">
        <f>SUM(E124:R124)</f>
        <v>1</v>
      </c>
    </row>
    <row r="124" spans="1:19" x14ac:dyDescent="0.4">
      <c r="A124" s="7"/>
      <c r="B124" s="46"/>
      <c r="C124" s="24" t="s">
        <v>156</v>
      </c>
      <c r="D124" s="47"/>
      <c r="E124" s="49">
        <v>0</v>
      </c>
      <c r="F124" s="6">
        <v>0</v>
      </c>
      <c r="G124" s="6">
        <v>1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5">
        <f>SUM(E125:R125)</f>
        <v>7</v>
      </c>
    </row>
    <row r="125" spans="1:19" x14ac:dyDescent="0.4">
      <c r="A125" s="7"/>
      <c r="B125" s="46"/>
      <c r="C125" s="24" t="s">
        <v>157</v>
      </c>
      <c r="D125" s="47"/>
      <c r="E125" s="49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1</v>
      </c>
      <c r="L125" s="6">
        <v>0</v>
      </c>
      <c r="M125" s="6">
        <v>0</v>
      </c>
      <c r="N125" s="6">
        <v>2</v>
      </c>
      <c r="O125" s="6">
        <v>0</v>
      </c>
      <c r="P125" s="6">
        <v>1</v>
      </c>
      <c r="Q125" s="6">
        <v>0</v>
      </c>
      <c r="R125" s="6">
        <v>3</v>
      </c>
      <c r="S125" s="5">
        <f>SUM(E128:R128)</f>
        <v>71</v>
      </c>
    </row>
    <row r="126" spans="1:19" x14ac:dyDescent="0.4">
      <c r="A126" s="7"/>
      <c r="B126" s="46"/>
      <c r="C126" s="24" t="s">
        <v>158</v>
      </c>
      <c r="D126" s="47"/>
      <c r="E126" s="49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5">
        <f>SUM(E129:R129)</f>
        <v>0</v>
      </c>
    </row>
    <row r="127" spans="1:19" x14ac:dyDescent="0.4">
      <c r="A127" s="7"/>
      <c r="B127" s="46"/>
      <c r="C127" s="24" t="s">
        <v>159</v>
      </c>
      <c r="D127" s="47"/>
      <c r="E127" s="49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5">
        <f>SUM(E130:R130)</f>
        <v>2</v>
      </c>
    </row>
    <row r="128" spans="1:19" x14ac:dyDescent="0.4">
      <c r="A128" s="6" t="s">
        <v>26</v>
      </c>
      <c r="B128" s="64" t="s">
        <v>51</v>
      </c>
      <c r="C128" s="65"/>
      <c r="D128" s="66"/>
      <c r="E128" s="5">
        <f>SUM(E121:E127)</f>
        <v>0</v>
      </c>
      <c r="F128" s="5">
        <f>SUM(F121:F127)</f>
        <v>0</v>
      </c>
      <c r="G128" s="5">
        <f>SUM(G121:G127)</f>
        <v>7</v>
      </c>
      <c r="H128" s="5">
        <f>SUM(H121:H127)</f>
        <v>0</v>
      </c>
      <c r="I128" s="5">
        <f>SUM(I121:I127)</f>
        <v>3</v>
      </c>
      <c r="J128" s="5">
        <f>SUM(J121:J127)</f>
        <v>0</v>
      </c>
      <c r="K128" s="5">
        <f>SUM(K121:K127)</f>
        <v>1</v>
      </c>
      <c r="L128" s="5">
        <f>SUM(L121:L127)</f>
        <v>2</v>
      </c>
      <c r="M128" s="5">
        <f>SUM(M121:M127)</f>
        <v>5</v>
      </c>
      <c r="N128" s="5">
        <f>SUM(N121:N127)</f>
        <v>10</v>
      </c>
      <c r="O128" s="5">
        <f>SUM(O121:O127)</f>
        <v>28</v>
      </c>
      <c r="P128" s="5">
        <f>SUM(P121:P127)</f>
        <v>6</v>
      </c>
      <c r="Q128" s="5">
        <f>SUM(Q121:Q127)</f>
        <v>1</v>
      </c>
      <c r="R128" s="5">
        <f>SUM(R121:R127)</f>
        <v>8</v>
      </c>
      <c r="S128" s="5">
        <f>SUM(S121:S127)</f>
        <v>141</v>
      </c>
    </row>
    <row r="129" spans="1:19" x14ac:dyDescent="0.4">
      <c r="A129" s="61"/>
      <c r="B129" s="62"/>
      <c r="C129" s="62"/>
      <c r="D129" s="62"/>
      <c r="E129" s="63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</row>
    <row r="130" spans="1:19" ht="13.15" customHeight="1" x14ac:dyDescent="0.4">
      <c r="A130" s="11" t="s">
        <v>48</v>
      </c>
      <c r="B130" s="17" t="s">
        <v>67</v>
      </c>
      <c r="C130" s="59" t="s">
        <v>68</v>
      </c>
      <c r="D130" s="60"/>
      <c r="E130" s="6">
        <v>0</v>
      </c>
      <c r="F130" s="6">
        <v>0</v>
      </c>
      <c r="G130" s="6">
        <v>1</v>
      </c>
      <c r="H130" s="6">
        <v>0</v>
      </c>
      <c r="I130" s="6">
        <v>0</v>
      </c>
      <c r="J130" s="6">
        <v>0</v>
      </c>
      <c r="K130" s="6">
        <v>1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5">
        <f t="shared" ref="S130" si="29">SUM(E130:R130)</f>
        <v>2</v>
      </c>
    </row>
    <row r="131" spans="1:19" x14ac:dyDescent="0.4">
      <c r="A131" s="6" t="s">
        <v>26</v>
      </c>
      <c r="B131" s="53" t="s">
        <v>51</v>
      </c>
      <c r="C131" s="54"/>
      <c r="D131" s="55"/>
      <c r="E131" s="5">
        <f>SUM(E130:E130)</f>
        <v>0</v>
      </c>
      <c r="F131" s="5">
        <f>SUM(F130:F130)</f>
        <v>0</v>
      </c>
      <c r="G131" s="5">
        <f>SUM(G130:G130)</f>
        <v>1</v>
      </c>
      <c r="H131" s="5">
        <f>SUM(H130:H130)</f>
        <v>0</v>
      </c>
      <c r="I131" s="5">
        <f>SUM(I130:I130)</f>
        <v>0</v>
      </c>
      <c r="J131" s="5">
        <f>SUM(J130:J130)</f>
        <v>0</v>
      </c>
      <c r="K131" s="5">
        <f>SUM(K130:K130)</f>
        <v>1</v>
      </c>
      <c r="L131" s="5">
        <f>SUM(L130:L130)</f>
        <v>0</v>
      </c>
      <c r="M131" s="5">
        <f>SUM(M130:M130)</f>
        <v>0</v>
      </c>
      <c r="N131" s="5">
        <f>SUM(N130:N130)</f>
        <v>0</v>
      </c>
      <c r="O131" s="5">
        <f>SUM(O130:O130)</f>
        <v>0</v>
      </c>
      <c r="P131" s="5">
        <f>SUM(P130:P130)</f>
        <v>0</v>
      </c>
      <c r="Q131" s="5">
        <f>SUM(Q130:Q130)</f>
        <v>0</v>
      </c>
      <c r="R131" s="5">
        <f>SUM(R130:R130)</f>
        <v>0</v>
      </c>
      <c r="S131" s="5">
        <f>SUM(S130:S130)</f>
        <v>2</v>
      </c>
    </row>
    <row r="132" spans="1:19" ht="13.15" customHeight="1" x14ac:dyDescent="0.4">
      <c r="A132" s="61"/>
      <c r="B132" s="62"/>
      <c r="C132" s="62"/>
      <c r="D132" s="62"/>
      <c r="E132" s="63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spans="1:19" x14ac:dyDescent="0.4">
      <c r="A133" s="11" t="s">
        <v>48</v>
      </c>
      <c r="B133" s="17" t="s">
        <v>69</v>
      </c>
      <c r="C133" s="59" t="s">
        <v>70</v>
      </c>
      <c r="D133" s="60"/>
      <c r="E133" s="6">
        <v>1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1</v>
      </c>
      <c r="M133" s="6">
        <v>0</v>
      </c>
      <c r="N133" s="6">
        <v>1</v>
      </c>
      <c r="O133" s="6">
        <v>0</v>
      </c>
      <c r="P133" s="6">
        <v>0</v>
      </c>
      <c r="Q133" s="6">
        <v>1</v>
      </c>
      <c r="R133" s="6">
        <v>3</v>
      </c>
      <c r="S133" s="5">
        <f t="shared" ref="S133:S139" si="30">SUM(E133:R133)</f>
        <v>7</v>
      </c>
    </row>
    <row r="134" spans="1:19" x14ac:dyDescent="0.4">
      <c r="A134" s="11" t="s">
        <v>50</v>
      </c>
      <c r="B134" s="46"/>
      <c r="C134" s="24" t="s">
        <v>160</v>
      </c>
      <c r="D134" s="47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5">
        <f t="shared" si="30"/>
        <v>0</v>
      </c>
    </row>
    <row r="135" spans="1:19" x14ac:dyDescent="0.4">
      <c r="A135" s="7"/>
      <c r="B135" s="46"/>
      <c r="C135" s="24" t="s">
        <v>161</v>
      </c>
      <c r="D135" s="47"/>
      <c r="E135" s="6">
        <v>0</v>
      </c>
      <c r="F135" s="6">
        <v>0</v>
      </c>
      <c r="G135" s="6">
        <v>0</v>
      </c>
      <c r="H135" s="6">
        <v>2</v>
      </c>
      <c r="I135" s="6">
        <v>3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1</v>
      </c>
      <c r="R135" s="6">
        <v>0</v>
      </c>
      <c r="S135" s="5">
        <f t="shared" si="30"/>
        <v>6</v>
      </c>
    </row>
    <row r="136" spans="1:19" x14ac:dyDescent="0.4">
      <c r="A136" s="7"/>
      <c r="B136" s="46"/>
      <c r="C136" s="24" t="s">
        <v>162</v>
      </c>
      <c r="D136" s="47"/>
      <c r="E136" s="6">
        <v>0</v>
      </c>
      <c r="F136" s="6">
        <v>0</v>
      </c>
      <c r="G136" s="6">
        <v>0</v>
      </c>
      <c r="H136" s="6">
        <v>1</v>
      </c>
      <c r="I136" s="6">
        <v>6</v>
      </c>
      <c r="J136" s="6">
        <v>1</v>
      </c>
      <c r="K136" s="6">
        <v>0</v>
      </c>
      <c r="L136" s="6">
        <v>2</v>
      </c>
      <c r="M136" s="6">
        <v>0</v>
      </c>
      <c r="N136" s="6">
        <v>0</v>
      </c>
      <c r="O136" s="6">
        <v>4</v>
      </c>
      <c r="P136" s="6">
        <v>1</v>
      </c>
      <c r="Q136" s="6">
        <v>0</v>
      </c>
      <c r="R136" s="6"/>
      <c r="S136" s="5">
        <f t="shared" si="30"/>
        <v>15</v>
      </c>
    </row>
    <row r="137" spans="1:19" x14ac:dyDescent="0.4">
      <c r="A137" s="7"/>
      <c r="B137" s="46"/>
      <c r="C137" s="24" t="s">
        <v>163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5">
        <f t="shared" si="30"/>
        <v>0</v>
      </c>
    </row>
    <row r="138" spans="1:19" x14ac:dyDescent="0.4">
      <c r="A138" s="7"/>
      <c r="B138" s="46"/>
      <c r="C138" s="24" t="s">
        <v>164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5">
        <f t="shared" si="30"/>
        <v>0</v>
      </c>
    </row>
    <row r="139" spans="1:19" x14ac:dyDescent="0.4">
      <c r="A139" s="7"/>
      <c r="B139" s="46"/>
      <c r="C139" s="24" t="s">
        <v>165</v>
      </c>
      <c r="D139" s="47"/>
      <c r="E139" s="6">
        <v>0</v>
      </c>
      <c r="F139" s="6">
        <v>0</v>
      </c>
      <c r="G139" s="6">
        <v>1</v>
      </c>
      <c r="H139" s="6">
        <v>2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5">
        <f t="shared" si="30"/>
        <v>3</v>
      </c>
    </row>
    <row r="140" spans="1:19" ht="13.15" customHeight="1" x14ac:dyDescent="0.4">
      <c r="A140" s="6" t="s">
        <v>26</v>
      </c>
      <c r="B140" s="53" t="s">
        <v>51</v>
      </c>
      <c r="C140" s="54"/>
      <c r="D140" s="55"/>
      <c r="E140" s="5">
        <f>SUM(E133:E139)</f>
        <v>1</v>
      </c>
      <c r="F140" s="5">
        <f>SUM(F133:F139)</f>
        <v>0</v>
      </c>
      <c r="G140" s="5">
        <f>SUM(G133:G139)</f>
        <v>1</v>
      </c>
      <c r="H140" s="5">
        <f>SUM(H133:H139)</f>
        <v>5</v>
      </c>
      <c r="I140" s="5">
        <f>SUM(I133:I139)</f>
        <v>9</v>
      </c>
      <c r="J140" s="5">
        <f>SUM(J133:J139)</f>
        <v>1</v>
      </c>
      <c r="K140" s="5">
        <f>SUM(K133:K139)</f>
        <v>0</v>
      </c>
      <c r="L140" s="5">
        <f>SUM(L133:L139)</f>
        <v>3</v>
      </c>
      <c r="M140" s="5">
        <f>SUM(M133:M139)</f>
        <v>0</v>
      </c>
      <c r="N140" s="5">
        <f>SUM(N133:N139)</f>
        <v>1</v>
      </c>
      <c r="O140" s="5">
        <f>SUM(O133:O139)</f>
        <v>4</v>
      </c>
      <c r="P140" s="5">
        <f>SUM(P133:P139)</f>
        <v>1</v>
      </c>
      <c r="Q140" s="5">
        <f>SUM(Q133:Q139)</f>
        <v>2</v>
      </c>
      <c r="R140" s="5">
        <f>SUM(R133:R139)</f>
        <v>3</v>
      </c>
      <c r="S140" s="5">
        <f>SUM(S133:S139)</f>
        <v>31</v>
      </c>
    </row>
    <row r="141" spans="1:19" x14ac:dyDescent="0.4">
      <c r="A141" s="61"/>
      <c r="B141" s="62"/>
      <c r="C141" s="62"/>
      <c r="D141" s="62"/>
      <c r="E141" s="63"/>
      <c r="F141" s="18"/>
      <c r="G141" s="18"/>
      <c r="H141" s="18"/>
      <c r="I141" s="18"/>
      <c r="J141" s="18"/>
      <c r="K141" s="18"/>
      <c r="L141" s="18"/>
      <c r="M141" s="18"/>
      <c r="N141" s="18"/>
      <c r="Q141" s="18"/>
      <c r="S141" s="5"/>
    </row>
    <row r="142" spans="1:19" x14ac:dyDescent="0.4">
      <c r="A142" s="11" t="s">
        <v>48</v>
      </c>
      <c r="B142" s="17" t="s">
        <v>71</v>
      </c>
      <c r="C142" s="59" t="s">
        <v>72</v>
      </c>
      <c r="D142" s="6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1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5">
        <f t="shared" ref="S142:S148" si="31">SUM(E142:R142)</f>
        <v>1</v>
      </c>
    </row>
    <row r="143" spans="1:19" x14ac:dyDescent="0.4">
      <c r="A143" s="11" t="s">
        <v>50</v>
      </c>
      <c r="B143" s="46"/>
      <c r="C143" s="24" t="s">
        <v>166</v>
      </c>
      <c r="D143" s="47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1</v>
      </c>
      <c r="O143" s="6">
        <v>0</v>
      </c>
      <c r="P143" s="6">
        <v>0</v>
      </c>
      <c r="Q143" s="6">
        <v>0</v>
      </c>
      <c r="R143" s="6">
        <v>0</v>
      </c>
      <c r="S143" s="5">
        <f t="shared" si="31"/>
        <v>1</v>
      </c>
    </row>
    <row r="144" spans="1:19" x14ac:dyDescent="0.4">
      <c r="A144" s="7"/>
      <c r="B144" s="46"/>
      <c r="C144" s="24" t="s">
        <v>167</v>
      </c>
      <c r="D144" s="47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1</v>
      </c>
      <c r="P144" s="6">
        <v>0</v>
      </c>
      <c r="Q144" s="6">
        <v>1</v>
      </c>
      <c r="R144" s="6">
        <v>0</v>
      </c>
      <c r="S144" s="5">
        <f t="shared" si="31"/>
        <v>2</v>
      </c>
    </row>
    <row r="145" spans="1:19" x14ac:dyDescent="0.4">
      <c r="A145" s="7"/>
      <c r="B145" s="46"/>
      <c r="C145" s="24" t="s">
        <v>168</v>
      </c>
      <c r="D145" s="47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5">
        <f t="shared" si="31"/>
        <v>0</v>
      </c>
    </row>
    <row r="146" spans="1:19" x14ac:dyDescent="0.4">
      <c r="A146" s="7"/>
      <c r="B146" s="46"/>
      <c r="C146" s="24" t="s">
        <v>169</v>
      </c>
      <c r="D146" s="47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5">
        <f t="shared" si="31"/>
        <v>0</v>
      </c>
    </row>
    <row r="147" spans="1:19" x14ac:dyDescent="0.4">
      <c r="A147" s="7"/>
      <c r="B147" s="46"/>
      <c r="C147" s="24" t="s">
        <v>170</v>
      </c>
      <c r="D147" s="47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5">
        <f t="shared" si="31"/>
        <v>0</v>
      </c>
    </row>
    <row r="148" spans="1:19" x14ac:dyDescent="0.4">
      <c r="A148" s="7"/>
      <c r="B148" s="46"/>
      <c r="C148" s="24" t="s">
        <v>171</v>
      </c>
      <c r="D148" s="47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5">
        <f t="shared" si="31"/>
        <v>0</v>
      </c>
    </row>
    <row r="149" spans="1:19" x14ac:dyDescent="0.4">
      <c r="A149" s="6" t="s">
        <v>26</v>
      </c>
      <c r="B149" s="53" t="s">
        <v>51</v>
      </c>
      <c r="C149" s="54"/>
      <c r="D149" s="55"/>
      <c r="E149" s="5">
        <f>SUM(E142:E148)</f>
        <v>0</v>
      </c>
      <c r="F149" s="5">
        <f>SUM(F142:F148)</f>
        <v>0</v>
      </c>
      <c r="G149" s="5">
        <f>SUM(G142:G148)</f>
        <v>0</v>
      </c>
      <c r="H149" s="5">
        <f>SUM(H142:H148)</f>
        <v>0</v>
      </c>
      <c r="I149" s="5">
        <f>SUM(I142:I148)</f>
        <v>0</v>
      </c>
      <c r="J149" s="5">
        <f>SUM(J142:J148)</f>
        <v>0</v>
      </c>
      <c r="K149" s="5">
        <f>SUM(K142:K148)</f>
        <v>1</v>
      </c>
      <c r="L149" s="5">
        <f>SUM(L142:L148)</f>
        <v>0</v>
      </c>
      <c r="M149" s="5">
        <f>SUM(M142:M148)</f>
        <v>0</v>
      </c>
      <c r="N149" s="5">
        <f>SUM(N142:N148)</f>
        <v>1</v>
      </c>
      <c r="O149" s="5">
        <f>SUM(O142:O148)</f>
        <v>1</v>
      </c>
      <c r="P149" s="5">
        <f>SUM(P142:P148)</f>
        <v>0</v>
      </c>
      <c r="Q149" s="5">
        <f>SUM(Q142:Q148)</f>
        <v>1</v>
      </c>
      <c r="R149" s="5">
        <f>SUM(R142:R148)</f>
        <v>0</v>
      </c>
      <c r="S149" s="5">
        <f>SUM(S142:S148)</f>
        <v>4</v>
      </c>
    </row>
    <row r="150" spans="1:19" x14ac:dyDescent="0.4">
      <c r="A150" s="61"/>
      <c r="B150" s="62"/>
      <c r="C150" s="62"/>
      <c r="D150" s="62"/>
      <c r="E150" s="63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</row>
    <row r="151" spans="1:19" x14ac:dyDescent="0.4">
      <c r="A151" s="11" t="s">
        <v>48</v>
      </c>
      <c r="B151" s="17" t="s">
        <v>73</v>
      </c>
      <c r="C151" s="59" t="s">
        <v>74</v>
      </c>
      <c r="D151" s="60"/>
      <c r="E151" s="6">
        <v>7</v>
      </c>
      <c r="F151" s="6">
        <v>6</v>
      </c>
      <c r="G151" s="6">
        <v>11</v>
      </c>
      <c r="H151" s="6">
        <v>0</v>
      </c>
      <c r="I151" s="6">
        <v>0</v>
      </c>
      <c r="J151" s="6">
        <v>4</v>
      </c>
      <c r="K151" s="6">
        <v>7</v>
      </c>
      <c r="L151" s="6">
        <v>4</v>
      </c>
      <c r="M151" s="6">
        <v>8</v>
      </c>
      <c r="N151" s="6">
        <v>1</v>
      </c>
      <c r="O151" s="6">
        <v>10</v>
      </c>
      <c r="P151" s="6">
        <v>13</v>
      </c>
      <c r="Q151" s="6">
        <v>1</v>
      </c>
      <c r="R151" s="6">
        <v>1</v>
      </c>
      <c r="S151" s="5">
        <f t="shared" ref="S151:S157" si="32">SUM(E151:R151)</f>
        <v>73</v>
      </c>
    </row>
    <row r="152" spans="1:19" x14ac:dyDescent="0.4">
      <c r="A152" s="11" t="s">
        <v>50</v>
      </c>
      <c r="B152" s="46"/>
      <c r="C152" s="24" t="s">
        <v>172</v>
      </c>
      <c r="D152" s="47"/>
      <c r="E152" s="6">
        <v>0</v>
      </c>
      <c r="F152" s="6">
        <v>2</v>
      </c>
      <c r="G152" s="6">
        <v>0</v>
      </c>
      <c r="H152" s="6">
        <v>1</v>
      </c>
      <c r="I152" s="6">
        <v>2</v>
      </c>
      <c r="J152" s="6">
        <v>2</v>
      </c>
      <c r="K152" s="6">
        <v>2</v>
      </c>
      <c r="L152" s="6">
        <v>0</v>
      </c>
      <c r="M152" s="6">
        <v>0</v>
      </c>
      <c r="N152" s="6">
        <v>0</v>
      </c>
      <c r="O152" s="6">
        <v>1</v>
      </c>
      <c r="P152" s="6">
        <v>1</v>
      </c>
      <c r="Q152" s="6">
        <v>1</v>
      </c>
      <c r="R152" s="6">
        <v>0</v>
      </c>
      <c r="S152" s="5">
        <f t="shared" si="32"/>
        <v>12</v>
      </c>
    </row>
    <row r="153" spans="1:19" x14ac:dyDescent="0.4">
      <c r="A153" s="7"/>
      <c r="B153" s="46"/>
      <c r="C153" s="24" t="s">
        <v>173</v>
      </c>
      <c r="D153" s="47"/>
      <c r="E153" s="6">
        <v>37</v>
      </c>
      <c r="F153" s="6">
        <v>33</v>
      </c>
      <c r="G153" s="6">
        <v>57</v>
      </c>
      <c r="H153" s="6">
        <v>58</v>
      </c>
      <c r="I153" s="6">
        <v>28</v>
      </c>
      <c r="J153" s="6">
        <v>47</v>
      </c>
      <c r="K153" s="6">
        <v>17</v>
      </c>
      <c r="L153" s="6">
        <v>33</v>
      </c>
      <c r="M153" s="6">
        <v>36</v>
      </c>
      <c r="N153" s="6">
        <v>59</v>
      </c>
      <c r="O153" s="6">
        <v>68</v>
      </c>
      <c r="P153" s="6">
        <v>70</v>
      </c>
      <c r="Q153" s="6">
        <v>14</v>
      </c>
      <c r="R153" s="6">
        <v>22</v>
      </c>
      <c r="S153" s="5">
        <f t="shared" si="32"/>
        <v>579</v>
      </c>
    </row>
    <row r="154" spans="1:19" x14ac:dyDescent="0.4">
      <c r="A154" s="7"/>
      <c r="B154" s="46"/>
      <c r="C154" s="24" t="s">
        <v>174</v>
      </c>
      <c r="D154" s="47"/>
      <c r="E154" s="6">
        <v>0</v>
      </c>
      <c r="F154" s="6">
        <v>0</v>
      </c>
      <c r="G154" s="6">
        <v>0</v>
      </c>
      <c r="H154" s="6">
        <v>1</v>
      </c>
      <c r="I154" s="6">
        <v>1</v>
      </c>
      <c r="J154" s="6">
        <v>0</v>
      </c>
      <c r="K154" s="6">
        <v>1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5">
        <f t="shared" si="32"/>
        <v>3</v>
      </c>
    </row>
    <row r="155" spans="1:19" x14ac:dyDescent="0.4">
      <c r="A155" s="7"/>
      <c r="B155" s="46"/>
      <c r="C155" s="24" t="s">
        <v>175</v>
      </c>
      <c r="D155" s="47"/>
      <c r="E155" s="6">
        <v>0</v>
      </c>
      <c r="F155" s="6">
        <v>0</v>
      </c>
      <c r="G155" s="6">
        <v>0</v>
      </c>
      <c r="H155" s="6">
        <v>0</v>
      </c>
      <c r="I155" s="6">
        <v>1</v>
      </c>
      <c r="J155" s="6">
        <v>0</v>
      </c>
      <c r="K155" s="6">
        <v>1</v>
      </c>
      <c r="L155" s="6">
        <v>0</v>
      </c>
      <c r="M155" s="6">
        <v>0</v>
      </c>
      <c r="N155" s="6">
        <v>0</v>
      </c>
      <c r="O155" s="6">
        <v>2</v>
      </c>
      <c r="P155" s="6">
        <v>1</v>
      </c>
      <c r="Q155" s="6">
        <v>0</v>
      </c>
      <c r="R155" s="6">
        <v>0</v>
      </c>
      <c r="S155" s="5">
        <f t="shared" si="32"/>
        <v>5</v>
      </c>
    </row>
    <row r="156" spans="1:19" x14ac:dyDescent="0.4">
      <c r="A156" s="7"/>
      <c r="B156" s="46"/>
      <c r="C156" s="24" t="s">
        <v>176</v>
      </c>
      <c r="D156" s="47"/>
      <c r="E156" s="6">
        <v>0</v>
      </c>
      <c r="F156" s="6">
        <v>0</v>
      </c>
      <c r="G156" s="6">
        <v>0</v>
      </c>
      <c r="H156" s="6">
        <v>0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5">
        <f t="shared" si="32"/>
        <v>1</v>
      </c>
    </row>
    <row r="157" spans="1:19" ht="13.15" customHeight="1" x14ac:dyDescent="0.4">
      <c r="A157" s="7"/>
      <c r="B157" s="46"/>
      <c r="C157" s="24" t="s">
        <v>177</v>
      </c>
      <c r="D157" s="47"/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5">
        <f t="shared" si="32"/>
        <v>0</v>
      </c>
    </row>
    <row r="158" spans="1:19" x14ac:dyDescent="0.4">
      <c r="A158" s="6" t="s">
        <v>26</v>
      </c>
      <c r="B158" s="53" t="s">
        <v>51</v>
      </c>
      <c r="C158" s="54"/>
      <c r="D158" s="55"/>
      <c r="E158" s="5">
        <f>SUM(E151:E157)</f>
        <v>44</v>
      </c>
      <c r="F158" s="5">
        <f>SUM(F151:F157)</f>
        <v>41</v>
      </c>
      <c r="G158" s="5">
        <f>SUM(G151:G157)</f>
        <v>68</v>
      </c>
      <c r="H158" s="5">
        <f>SUM(H151:H157)</f>
        <v>60</v>
      </c>
      <c r="I158" s="5">
        <f>SUM(I151:I157)</f>
        <v>33</v>
      </c>
      <c r="J158" s="5">
        <f>SUM(J151:J157)</f>
        <v>53</v>
      </c>
      <c r="K158" s="5">
        <f>SUM(K151:K157)</f>
        <v>28</v>
      </c>
      <c r="L158" s="5">
        <f>SUM(L151:L157)</f>
        <v>37</v>
      </c>
      <c r="M158" s="5">
        <f>SUM(M151:M157)</f>
        <v>44</v>
      </c>
      <c r="N158" s="5">
        <f>SUM(N151:N157)</f>
        <v>60</v>
      </c>
      <c r="O158" s="5">
        <f>SUM(O151:O157)</f>
        <v>81</v>
      </c>
      <c r="P158" s="5">
        <f>SUM(P151:P157)</f>
        <v>85</v>
      </c>
      <c r="Q158" s="5">
        <f>SUM(Q151:Q157)</f>
        <v>16</v>
      </c>
      <c r="R158" s="5">
        <f>SUM(R151:R157)</f>
        <v>23</v>
      </c>
      <c r="S158" s="5">
        <f>SUM(S151:S157)</f>
        <v>673</v>
      </c>
    </row>
    <row r="159" spans="1:19" x14ac:dyDescent="0.4">
      <c r="A159" s="61"/>
      <c r="B159" s="62"/>
      <c r="C159" s="62"/>
      <c r="D159" s="62"/>
      <c r="E159" s="63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</row>
    <row r="160" spans="1:19" x14ac:dyDescent="0.4">
      <c r="A160" s="11" t="s">
        <v>48</v>
      </c>
      <c r="B160" s="17" t="s">
        <v>75</v>
      </c>
      <c r="C160" s="59" t="s">
        <v>76</v>
      </c>
      <c r="D160" s="60"/>
      <c r="E160" s="6">
        <v>1</v>
      </c>
      <c r="F160" s="6">
        <v>1</v>
      </c>
      <c r="G160" s="6">
        <v>3</v>
      </c>
      <c r="H160" s="6">
        <v>1</v>
      </c>
      <c r="I160" s="6">
        <v>1</v>
      </c>
      <c r="J160" s="6">
        <v>2</v>
      </c>
      <c r="K160" s="6">
        <v>0</v>
      </c>
      <c r="L160" s="6">
        <v>3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1</v>
      </c>
      <c r="S160" s="5">
        <f t="shared" ref="S160:S162" si="33">SUM(E160:R160)</f>
        <v>13</v>
      </c>
    </row>
    <row r="161" spans="1:19" x14ac:dyDescent="0.4">
      <c r="A161" s="11" t="s">
        <v>50</v>
      </c>
      <c r="B161" s="46"/>
      <c r="C161" s="24" t="s">
        <v>178</v>
      </c>
      <c r="D161" s="47"/>
      <c r="E161" s="6">
        <v>0</v>
      </c>
      <c r="F161" s="6">
        <v>0</v>
      </c>
      <c r="G161" s="6">
        <v>1</v>
      </c>
      <c r="H161" s="6">
        <v>3</v>
      </c>
      <c r="I161" s="6">
        <v>2</v>
      </c>
      <c r="J161" s="6">
        <v>1</v>
      </c>
      <c r="K161" s="6">
        <v>0</v>
      </c>
      <c r="L161" s="6">
        <v>1</v>
      </c>
      <c r="M161" s="6">
        <v>1</v>
      </c>
      <c r="N161" s="6">
        <v>1</v>
      </c>
      <c r="O161" s="6">
        <v>0</v>
      </c>
      <c r="P161" s="6">
        <v>0</v>
      </c>
      <c r="Q161" s="6">
        <v>0</v>
      </c>
      <c r="R161" s="6">
        <v>3</v>
      </c>
      <c r="S161" s="5">
        <f t="shared" si="33"/>
        <v>13</v>
      </c>
    </row>
    <row r="162" spans="1:19" x14ac:dyDescent="0.4">
      <c r="A162" s="7"/>
      <c r="B162" s="46"/>
      <c r="C162" s="24" t="s">
        <v>179</v>
      </c>
      <c r="D162" s="47"/>
      <c r="E162" s="6">
        <v>0</v>
      </c>
      <c r="F162" s="6">
        <v>0</v>
      </c>
      <c r="G162" s="6">
        <v>1</v>
      </c>
      <c r="H162" s="6">
        <v>1</v>
      </c>
      <c r="I162" s="6">
        <v>0</v>
      </c>
      <c r="J162" s="6">
        <v>2</v>
      </c>
      <c r="K162" s="6">
        <v>0</v>
      </c>
      <c r="L162" s="6">
        <v>3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5">
        <f t="shared" si="33"/>
        <v>7</v>
      </c>
    </row>
    <row r="163" spans="1:19" x14ac:dyDescent="0.4">
      <c r="A163" s="6" t="s">
        <v>26</v>
      </c>
      <c r="B163" s="53" t="s">
        <v>51</v>
      </c>
      <c r="C163" s="54"/>
      <c r="D163" s="55"/>
      <c r="E163" s="5">
        <f>SUM(E160:E162)</f>
        <v>1</v>
      </c>
      <c r="F163" s="5">
        <f>SUM(F160:F162)</f>
        <v>1</v>
      </c>
      <c r="G163" s="5">
        <f>SUM(G160:G162)</f>
        <v>5</v>
      </c>
      <c r="H163" s="5">
        <f>SUM(H160:H162)</f>
        <v>5</v>
      </c>
      <c r="I163" s="5">
        <f>SUM(I160:I162)</f>
        <v>3</v>
      </c>
      <c r="J163" s="5">
        <f>SUM(J160:J162)</f>
        <v>5</v>
      </c>
      <c r="K163" s="5">
        <f>SUM(K160:K162)</f>
        <v>0</v>
      </c>
      <c r="L163" s="5">
        <f>SUM(L160:L162)</f>
        <v>7</v>
      </c>
      <c r="M163" s="5">
        <f>SUM(M160:M162)</f>
        <v>1</v>
      </c>
      <c r="N163" s="5">
        <f>SUM(N160:N162)</f>
        <v>1</v>
      </c>
      <c r="O163" s="5">
        <f>SUM(O160:O162)</f>
        <v>0</v>
      </c>
      <c r="P163" s="5">
        <f>SUM(P160:P162)</f>
        <v>0</v>
      </c>
      <c r="Q163" s="5">
        <f>SUM(Q160:Q162)</f>
        <v>0</v>
      </c>
      <c r="R163" s="5">
        <f>SUM(R160:R162)</f>
        <v>4</v>
      </c>
      <c r="S163" s="5">
        <f>SUM(S160:S162)</f>
        <v>33</v>
      </c>
    </row>
    <row r="164" spans="1:19" x14ac:dyDescent="0.4">
      <c r="A164" s="61"/>
      <c r="B164" s="62"/>
      <c r="C164" s="62"/>
      <c r="D164" s="62"/>
      <c r="E164" s="6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spans="1:19" x14ac:dyDescent="0.4">
      <c r="A165" s="11" t="s">
        <v>48</v>
      </c>
      <c r="B165" s="17" t="s">
        <v>77</v>
      </c>
      <c r="C165" s="59" t="s">
        <v>78</v>
      </c>
      <c r="D165" s="60"/>
      <c r="E165" s="6">
        <v>0</v>
      </c>
      <c r="F165" s="6">
        <v>0</v>
      </c>
      <c r="G165" s="6">
        <v>0</v>
      </c>
      <c r="H165" s="6">
        <v>0</v>
      </c>
      <c r="I165" s="6">
        <v>1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5">
        <f t="shared" ref="S165:S171" si="34">SUM(E165:R165)</f>
        <v>1</v>
      </c>
    </row>
    <row r="166" spans="1:19" x14ac:dyDescent="0.4">
      <c r="A166" s="11" t="s">
        <v>50</v>
      </c>
      <c r="B166" s="17"/>
      <c r="C166" s="24" t="s">
        <v>180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1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5">
        <f t="shared" si="34"/>
        <v>1</v>
      </c>
    </row>
    <row r="167" spans="1:19" x14ac:dyDescent="0.4">
      <c r="A167" s="7"/>
      <c r="B167" s="17"/>
      <c r="C167" s="24" t="s">
        <v>181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1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5">
        <f t="shared" si="34"/>
        <v>1</v>
      </c>
    </row>
    <row r="168" spans="1:19" x14ac:dyDescent="0.4">
      <c r="A168" s="7"/>
      <c r="B168" s="17"/>
      <c r="C168" s="24" t="s">
        <v>182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5">
        <f t="shared" si="34"/>
        <v>0</v>
      </c>
    </row>
    <row r="169" spans="1:19" ht="13.15" customHeight="1" x14ac:dyDescent="0.4">
      <c r="A169" s="7"/>
      <c r="B169" s="46"/>
      <c r="C169" s="24" t="s">
        <v>183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5">
        <f t="shared" si="34"/>
        <v>0</v>
      </c>
    </row>
    <row r="170" spans="1:19" x14ac:dyDescent="0.4">
      <c r="A170" s="7"/>
      <c r="B170" s="46"/>
      <c r="C170" s="24" t="s">
        <v>184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5">
        <f t="shared" si="34"/>
        <v>0</v>
      </c>
    </row>
    <row r="171" spans="1:19" x14ac:dyDescent="0.4">
      <c r="A171" s="7"/>
      <c r="B171" s="46"/>
      <c r="C171" s="24" t="s">
        <v>185</v>
      </c>
      <c r="D171" s="47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5">
        <f t="shared" si="34"/>
        <v>0</v>
      </c>
    </row>
    <row r="172" spans="1:19" x14ac:dyDescent="0.4">
      <c r="A172" s="6" t="s">
        <v>26</v>
      </c>
      <c r="B172" s="53" t="s">
        <v>51</v>
      </c>
      <c r="C172" s="54"/>
      <c r="D172" s="55"/>
      <c r="E172" s="5">
        <f>SUM(E165:E171)</f>
        <v>0</v>
      </c>
      <c r="F172" s="5">
        <f>SUM(F165:F171)</f>
        <v>0</v>
      </c>
      <c r="G172" s="5">
        <f>SUM(G165:G171)</f>
        <v>0</v>
      </c>
      <c r="H172" s="5">
        <f>SUM(H165:H171)</f>
        <v>0</v>
      </c>
      <c r="I172" s="5">
        <f>SUM(I165:I171)</f>
        <v>1</v>
      </c>
      <c r="J172" s="5">
        <f>SUM(J165:J171)</f>
        <v>0</v>
      </c>
      <c r="K172" s="5">
        <f>SUM(K165:K171)</f>
        <v>0</v>
      </c>
      <c r="L172" s="5">
        <f>SUM(L165:L171)</f>
        <v>1</v>
      </c>
      <c r="M172" s="5">
        <f>SUM(M165:M171)</f>
        <v>1</v>
      </c>
      <c r="N172" s="5">
        <f>SUM(N165:N171)</f>
        <v>0</v>
      </c>
      <c r="O172" s="5">
        <f>SUM(O165:O171)</f>
        <v>0</v>
      </c>
      <c r="P172" s="5">
        <f>SUM(P165:P171)</f>
        <v>0</v>
      </c>
      <c r="Q172" s="5">
        <f>SUM(Q165:Q171)</f>
        <v>0</v>
      </c>
      <c r="R172" s="5">
        <f>SUM(R165:R171)</f>
        <v>0</v>
      </c>
      <c r="S172" s="5">
        <f>SUM(S165:S171)</f>
        <v>3</v>
      </c>
    </row>
    <row r="173" spans="1:19" x14ac:dyDescent="0.4">
      <c r="A173" s="61"/>
      <c r="B173" s="62"/>
      <c r="C173" s="62"/>
      <c r="D173" s="62"/>
      <c r="E173" s="63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</row>
    <row r="174" spans="1:19" x14ac:dyDescent="0.4">
      <c r="A174" s="11" t="s">
        <v>48</v>
      </c>
      <c r="B174" s="17" t="s">
        <v>79</v>
      </c>
      <c r="C174" s="59" t="s">
        <v>80</v>
      </c>
      <c r="D174" s="60"/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1</v>
      </c>
      <c r="M174" s="6">
        <v>0</v>
      </c>
      <c r="N174" s="6">
        <v>0</v>
      </c>
      <c r="O174" s="6">
        <v>0</v>
      </c>
      <c r="P174" s="6">
        <v>2</v>
      </c>
      <c r="Q174" s="6">
        <v>1</v>
      </c>
      <c r="R174" s="6">
        <v>1</v>
      </c>
      <c r="S174" s="5">
        <f t="shared" ref="S174:S180" si="35">SUM(E174:R174)</f>
        <v>5</v>
      </c>
    </row>
    <row r="175" spans="1:19" x14ac:dyDescent="0.4">
      <c r="A175" s="11" t="s">
        <v>50</v>
      </c>
      <c r="B175" s="46"/>
      <c r="C175" s="24" t="s">
        <v>186</v>
      </c>
      <c r="D175" s="47"/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1</v>
      </c>
      <c r="M175" s="6">
        <v>2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5">
        <f t="shared" si="35"/>
        <v>3</v>
      </c>
    </row>
    <row r="176" spans="1:19" x14ac:dyDescent="0.4">
      <c r="A176" s="7"/>
      <c r="B176" s="46"/>
      <c r="C176" s="24" t="s">
        <v>187</v>
      </c>
      <c r="D176" s="47"/>
      <c r="E176" s="6">
        <v>0</v>
      </c>
      <c r="F176" s="6">
        <v>2</v>
      </c>
      <c r="G176" s="6">
        <v>1</v>
      </c>
      <c r="H176" s="6">
        <v>1</v>
      </c>
      <c r="I176" s="6">
        <v>1</v>
      </c>
      <c r="J176" s="6">
        <v>1</v>
      </c>
      <c r="K176" s="6">
        <v>0</v>
      </c>
      <c r="L176" s="6">
        <v>6</v>
      </c>
      <c r="M176" s="6">
        <v>3</v>
      </c>
      <c r="N176" s="6">
        <v>1</v>
      </c>
      <c r="O176" s="6">
        <v>0</v>
      </c>
      <c r="P176" s="6">
        <v>0</v>
      </c>
      <c r="Q176" s="6">
        <v>2</v>
      </c>
      <c r="R176" s="6">
        <v>0</v>
      </c>
      <c r="S176" s="5">
        <f t="shared" si="35"/>
        <v>18</v>
      </c>
    </row>
    <row r="177" spans="1:19" ht="13.15" customHeight="1" x14ac:dyDescent="0.4">
      <c r="A177" s="7"/>
      <c r="B177" s="46"/>
      <c r="C177" s="24" t="s">
        <v>188</v>
      </c>
      <c r="D177" s="47"/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5">
        <f t="shared" si="35"/>
        <v>0</v>
      </c>
    </row>
    <row r="178" spans="1:19" x14ac:dyDescent="0.4">
      <c r="A178" s="7"/>
      <c r="B178" s="46"/>
      <c r="C178" s="24" t="s">
        <v>189</v>
      </c>
      <c r="D178" s="47"/>
      <c r="E178" s="6">
        <v>0</v>
      </c>
      <c r="F178" s="6">
        <v>0</v>
      </c>
      <c r="G178" s="6">
        <v>0</v>
      </c>
      <c r="H178" s="6">
        <v>2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5">
        <f t="shared" si="35"/>
        <v>2</v>
      </c>
    </row>
    <row r="179" spans="1:19" ht="12.75" customHeight="1" x14ac:dyDescent="0.4">
      <c r="A179" s="7"/>
      <c r="B179" s="46"/>
      <c r="C179" s="24" t="s">
        <v>190</v>
      </c>
      <c r="D179" s="47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0</v>
      </c>
      <c r="M179" s="6">
        <v>0</v>
      </c>
      <c r="N179" s="6">
        <v>0</v>
      </c>
      <c r="O179" s="6">
        <v>2</v>
      </c>
      <c r="P179" s="6">
        <v>0</v>
      </c>
      <c r="Q179" s="6">
        <v>0</v>
      </c>
      <c r="R179" s="6">
        <v>0</v>
      </c>
      <c r="S179" s="5">
        <f t="shared" si="35"/>
        <v>3</v>
      </c>
    </row>
    <row r="180" spans="1:19" x14ac:dyDescent="0.4">
      <c r="A180" s="7"/>
      <c r="B180" s="46"/>
      <c r="C180" s="24" t="s">
        <v>191</v>
      </c>
      <c r="D180" s="47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1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5">
        <f t="shared" si="35"/>
        <v>1</v>
      </c>
    </row>
    <row r="181" spans="1:19" ht="12.75" customHeight="1" x14ac:dyDescent="0.4">
      <c r="A181" s="6" t="s">
        <v>26</v>
      </c>
      <c r="B181" s="53" t="s">
        <v>51</v>
      </c>
      <c r="C181" s="54"/>
      <c r="D181" s="55"/>
      <c r="E181" s="5">
        <f>SUM(E174:E180)</f>
        <v>0</v>
      </c>
      <c r="F181" s="5">
        <f>SUM(F174:F180)</f>
        <v>2</v>
      </c>
      <c r="G181" s="5">
        <f>SUM(G174:G180)</f>
        <v>1</v>
      </c>
      <c r="H181" s="5">
        <f>SUM(H174:H180)</f>
        <v>3</v>
      </c>
      <c r="I181" s="5">
        <f>SUM(I174:I180)</f>
        <v>1</v>
      </c>
      <c r="J181" s="5">
        <f>SUM(J174:J180)</f>
        <v>1</v>
      </c>
      <c r="K181" s="5">
        <f>SUM(K174:K180)</f>
        <v>1</v>
      </c>
      <c r="L181" s="5">
        <f>SUM(L174:L180)</f>
        <v>9</v>
      </c>
      <c r="M181" s="5">
        <f>SUM(M174:M180)</f>
        <v>5</v>
      </c>
      <c r="N181" s="5">
        <f>SUM(N174:N180)</f>
        <v>1</v>
      </c>
      <c r="O181" s="5">
        <f>SUM(O174:O180)</f>
        <v>2</v>
      </c>
      <c r="P181" s="5">
        <f>SUM(P174:P180)</f>
        <v>2</v>
      </c>
      <c r="Q181" s="5">
        <f>SUM(Q174:Q180)</f>
        <v>3</v>
      </c>
      <c r="R181" s="5">
        <f>SUM(R174:R180)</f>
        <v>1</v>
      </c>
      <c r="S181" s="5">
        <f>SUM(S174:S180)</f>
        <v>32</v>
      </c>
    </row>
    <row r="182" spans="1:19" x14ac:dyDescent="0.4">
      <c r="A182" s="61"/>
      <c r="B182" s="62"/>
      <c r="C182" s="62"/>
      <c r="D182" s="62"/>
      <c r="E182" s="63"/>
    </row>
    <row r="183" spans="1:19" x14ac:dyDescent="0.4">
      <c r="A183" s="11" t="s">
        <v>48</v>
      </c>
      <c r="B183" s="17" t="s">
        <v>81</v>
      </c>
      <c r="C183" s="59" t="s">
        <v>82</v>
      </c>
      <c r="D183" s="60"/>
      <c r="E183" s="6">
        <v>0</v>
      </c>
      <c r="F183" s="6">
        <v>0</v>
      </c>
      <c r="G183" s="6">
        <v>0</v>
      </c>
      <c r="H183" s="6">
        <v>0</v>
      </c>
      <c r="I183" s="6">
        <v>1</v>
      </c>
      <c r="J183" s="6">
        <v>0</v>
      </c>
      <c r="K183" s="6">
        <v>0</v>
      </c>
      <c r="L183" s="6">
        <v>2</v>
      </c>
      <c r="M183" s="6">
        <v>1</v>
      </c>
      <c r="N183" s="6">
        <v>1</v>
      </c>
      <c r="O183" s="6">
        <v>1</v>
      </c>
      <c r="P183" s="6">
        <v>2</v>
      </c>
      <c r="Q183" s="6">
        <v>12</v>
      </c>
      <c r="R183" s="6">
        <v>8</v>
      </c>
      <c r="S183" s="5">
        <f t="shared" ref="S183:S184" si="36">SUM(E183:R183)</f>
        <v>28</v>
      </c>
    </row>
    <row r="184" spans="1:19" x14ac:dyDescent="0.4">
      <c r="A184" s="11" t="s">
        <v>50</v>
      </c>
      <c r="B184" s="46"/>
      <c r="C184" s="24" t="s">
        <v>192</v>
      </c>
      <c r="D184" s="47"/>
      <c r="E184" s="6">
        <v>1</v>
      </c>
      <c r="F184" s="6">
        <v>0</v>
      </c>
      <c r="G184" s="6">
        <v>0</v>
      </c>
      <c r="H184" s="6">
        <v>1</v>
      </c>
      <c r="I184" s="6">
        <v>1</v>
      </c>
      <c r="J184" s="6">
        <v>4</v>
      </c>
      <c r="K184" s="6">
        <v>7</v>
      </c>
      <c r="L184" s="6">
        <v>2</v>
      </c>
      <c r="M184" s="6">
        <v>1</v>
      </c>
      <c r="N184" s="6">
        <v>5</v>
      </c>
      <c r="O184" s="6">
        <v>11</v>
      </c>
      <c r="P184" s="6">
        <v>2</v>
      </c>
      <c r="Q184" s="6">
        <v>65</v>
      </c>
      <c r="R184" s="6">
        <v>38</v>
      </c>
      <c r="S184" s="5">
        <f t="shared" si="36"/>
        <v>138</v>
      </c>
    </row>
    <row r="185" spans="1:19" x14ac:dyDescent="0.4">
      <c r="A185" s="6" t="s">
        <v>26</v>
      </c>
      <c r="B185" s="53" t="s">
        <v>51</v>
      </c>
      <c r="C185" s="54"/>
      <c r="D185" s="55"/>
      <c r="E185" s="5">
        <f>SUM(E183:E184)</f>
        <v>1</v>
      </c>
      <c r="F185" s="5">
        <f>SUM(F183:F184)</f>
        <v>0</v>
      </c>
      <c r="G185" s="5">
        <f>SUM(G183:G184)</f>
        <v>0</v>
      </c>
      <c r="H185" s="5">
        <f>SUM(H183:H184)</f>
        <v>1</v>
      </c>
      <c r="I185" s="5">
        <f>SUM(I183:I184)</f>
        <v>2</v>
      </c>
      <c r="J185" s="5">
        <f>SUM(J183:J184)</f>
        <v>4</v>
      </c>
      <c r="K185" s="5">
        <f>SUM(K183:K184)</f>
        <v>7</v>
      </c>
      <c r="L185" s="5">
        <f>SUM(L183:L184)</f>
        <v>4</v>
      </c>
      <c r="M185" s="5">
        <f>SUM(M183:M184)</f>
        <v>2</v>
      </c>
      <c r="N185" s="5">
        <f>SUM(N183:N184)</f>
        <v>6</v>
      </c>
      <c r="O185" s="5">
        <f>SUM(O183:O184)</f>
        <v>12</v>
      </c>
      <c r="P185" s="5">
        <f>SUM(P183:P184)</f>
        <v>4</v>
      </c>
      <c r="Q185" s="5">
        <f>SUM(Q183:Q184)</f>
        <v>77</v>
      </c>
      <c r="R185" s="5">
        <f>SUM(R183:R184)</f>
        <v>46</v>
      </c>
      <c r="S185" s="5">
        <f>SUM(S183:S184)</f>
        <v>166</v>
      </c>
    </row>
    <row r="187" spans="1:19" x14ac:dyDescent="0.4">
      <c r="A187" s="16" t="s">
        <v>83</v>
      </c>
      <c r="B187" s="56" t="s">
        <v>84</v>
      </c>
      <c r="C187" s="57"/>
      <c r="D187" s="58"/>
      <c r="E187" s="5"/>
      <c r="F187" s="5"/>
      <c r="G187" s="5"/>
      <c r="H187" s="5"/>
      <c r="I187" s="5"/>
      <c r="J187" s="5"/>
      <c r="K187" s="5"/>
      <c r="L187" s="5"/>
      <c r="M187" s="5"/>
      <c r="N187" s="15"/>
      <c r="O187" s="15"/>
      <c r="P187" s="15"/>
      <c r="Q187" s="15"/>
      <c r="R187" s="15"/>
      <c r="S187" s="5"/>
    </row>
    <row r="188" spans="1:19" x14ac:dyDescent="0.4">
      <c r="A188" s="16"/>
      <c r="B188" s="19" t="s">
        <v>85</v>
      </c>
      <c r="C188" s="51" t="s">
        <v>86</v>
      </c>
      <c r="D188" s="52"/>
      <c r="E188" s="6">
        <f>E52+E61+E70+E79+E88+E92+E101+E110+E119+E128+E131+E140+E149+E158+E163+E172+E181+E185</f>
        <v>204</v>
      </c>
      <c r="F188" s="6">
        <f>F52+F61+F70+F79+F88+F92+F101+F110+F119+F128+F131+F140+F149+F158+F163+F172+F181+F185</f>
        <v>144</v>
      </c>
      <c r="G188" s="6">
        <f>G52+G61+G70+G79+G88+G92+G101+G110+G119+G128+G131+G140+G149+G158+G163+G172+G181+G185</f>
        <v>185</v>
      </c>
      <c r="H188" s="6">
        <f>H52+H61+H70+H79+H88+H92+H101+H110+H119+H128+H131+H140+H149+H158+H163+H172+H181+H185</f>
        <v>193</v>
      </c>
      <c r="I188" s="6">
        <f>I52+I61+I70+I79+I88+I92+I101+I110+I119+I128+I131+I140+I149+I158+I163+I172+I181+I185</f>
        <v>206</v>
      </c>
      <c r="J188" s="6">
        <f>J52+J61+J70+J79+J88+J92+J101+J110+J119+J128+J131+J140+J149+J158+J163+J172+J181+J185</f>
        <v>206</v>
      </c>
      <c r="K188" s="6">
        <f>K52+K61+K70+K79+K88+K92+K101+K110+K119+K128+K131+K140+K149+K158+K163+K172+K181+K185</f>
        <v>212</v>
      </c>
      <c r="L188" s="6">
        <f>L52+L61+L70+L79+L88+L92+L101+L110+L119+L128+L131+L140+L149+L158+L163+L172+L181+L185</f>
        <v>225</v>
      </c>
      <c r="M188" s="6">
        <f>M52+M61+M70+M79+M88+M92+M101+M110+M119+M128+M131+M140+M149+M158+M163+M172+M181+M185</f>
        <v>190</v>
      </c>
      <c r="N188" s="6">
        <f>N52+N61+N70+N79+N88+N92+N101+N110+N119+N128+N131+N140+N149+N158+N163+N172+N181+N185</f>
        <v>193</v>
      </c>
      <c r="O188" s="6">
        <f>O52+O61+O70+O79+O88+O92+O101+O110+O119+O128+O131+O140+O149+O158+O163+O172+O181+O185</f>
        <v>231</v>
      </c>
      <c r="P188" s="6">
        <f>P52+P61+P70+P79+P88+P92+P101+P110+P119+P128+P131+P140+P149+P158+P163+P172+P181+P185</f>
        <v>225</v>
      </c>
      <c r="Q188" s="6">
        <f>Q52+Q61+Q70+Q79+Q88+Q92+Q101+Q110+Q119+Q128+Q131+Q140+Q149+Q158+Q163+Q172+Q181+Q185</f>
        <v>217</v>
      </c>
      <c r="R188" s="6">
        <f>R52+R61+R70+R79+R88+R92+R101+R110+R119+R128+R131+R140+R149+R158+R163+R172+R181+R185</f>
        <v>219</v>
      </c>
      <c r="S188" s="5">
        <f>SUM(E188:R188)</f>
        <v>2850</v>
      </c>
    </row>
    <row r="189" spans="1:19" x14ac:dyDescent="0.4">
      <c r="A189" s="13"/>
      <c r="B189" s="19" t="s">
        <v>87</v>
      </c>
      <c r="C189" s="51" t="s">
        <v>88</v>
      </c>
      <c r="D189" s="52"/>
      <c r="E189" s="6">
        <v>13</v>
      </c>
      <c r="F189" s="6">
        <v>3</v>
      </c>
      <c r="G189" s="6">
        <v>14</v>
      </c>
      <c r="H189" s="6">
        <v>18</v>
      </c>
      <c r="I189" s="6">
        <v>10</v>
      </c>
      <c r="J189" s="6">
        <v>23</v>
      </c>
      <c r="K189" s="6">
        <v>10</v>
      </c>
      <c r="L189" s="6">
        <v>12</v>
      </c>
      <c r="M189" s="6">
        <v>7</v>
      </c>
      <c r="N189" s="6">
        <v>17</v>
      </c>
      <c r="O189" s="6">
        <v>13</v>
      </c>
      <c r="P189" s="6">
        <v>18</v>
      </c>
      <c r="Q189" s="6">
        <v>13</v>
      </c>
      <c r="R189" s="6">
        <v>14</v>
      </c>
      <c r="S189" s="5">
        <f>SUM(E189:R189)</f>
        <v>185</v>
      </c>
    </row>
    <row r="190" spans="1:19" x14ac:dyDescent="0.4">
      <c r="A190" s="14"/>
      <c r="B190" s="19" t="s">
        <v>89</v>
      </c>
      <c r="C190" s="51" t="s">
        <v>90</v>
      </c>
      <c r="D190" s="52"/>
      <c r="E190" s="5">
        <f>SUM(E188:E189)</f>
        <v>217</v>
      </c>
      <c r="F190" s="5">
        <f t="shared" ref="F190:R190" si="37">SUM(F188:F189)</f>
        <v>147</v>
      </c>
      <c r="G190" s="5">
        <f t="shared" si="37"/>
        <v>199</v>
      </c>
      <c r="H190" s="5">
        <f t="shared" si="37"/>
        <v>211</v>
      </c>
      <c r="I190" s="5">
        <f t="shared" si="37"/>
        <v>216</v>
      </c>
      <c r="J190" s="5">
        <f t="shared" si="37"/>
        <v>229</v>
      </c>
      <c r="K190" s="5">
        <f t="shared" si="37"/>
        <v>222</v>
      </c>
      <c r="L190" s="5">
        <f t="shared" si="37"/>
        <v>237</v>
      </c>
      <c r="M190" s="5">
        <f t="shared" si="37"/>
        <v>197</v>
      </c>
      <c r="N190" s="5">
        <f t="shared" ref="N190:P190" si="38">SUM(N188:N189)</f>
        <v>210</v>
      </c>
      <c r="O190" s="5">
        <f t="shared" si="38"/>
        <v>244</v>
      </c>
      <c r="P190" s="5">
        <f t="shared" si="38"/>
        <v>243</v>
      </c>
      <c r="Q190" s="5">
        <f t="shared" si="37"/>
        <v>230</v>
      </c>
      <c r="R190" s="5">
        <f t="shared" si="37"/>
        <v>233</v>
      </c>
      <c r="S190" s="5">
        <f>SUM(E190:R190)</f>
        <v>3035</v>
      </c>
    </row>
  </sheetData>
  <mergeCells count="87">
    <mergeCell ref="C190:D190"/>
    <mergeCell ref="A182:E182"/>
    <mergeCell ref="C183:D183"/>
    <mergeCell ref="B185:D185"/>
    <mergeCell ref="B187:D187"/>
    <mergeCell ref="C188:D188"/>
    <mergeCell ref="C189:D189"/>
    <mergeCell ref="B181:D181"/>
    <mergeCell ref="A150:E150"/>
    <mergeCell ref="C151:D151"/>
    <mergeCell ref="B158:D158"/>
    <mergeCell ref="A159:E159"/>
    <mergeCell ref="C160:D160"/>
    <mergeCell ref="B163:D163"/>
    <mergeCell ref="A164:E164"/>
    <mergeCell ref="C165:D165"/>
    <mergeCell ref="B172:D172"/>
    <mergeCell ref="A173:E173"/>
    <mergeCell ref="C174:D174"/>
    <mergeCell ref="B149:D149"/>
    <mergeCell ref="A120:E120"/>
    <mergeCell ref="C121:D121"/>
    <mergeCell ref="B128:D128"/>
    <mergeCell ref="A129:E129"/>
    <mergeCell ref="C130:D130"/>
    <mergeCell ref="B131:D131"/>
    <mergeCell ref="A132:E132"/>
    <mergeCell ref="C133:D133"/>
    <mergeCell ref="B140:D140"/>
    <mergeCell ref="A141:E141"/>
    <mergeCell ref="C142:D142"/>
    <mergeCell ref="B119:D119"/>
    <mergeCell ref="A89:E89"/>
    <mergeCell ref="C90:D90"/>
    <mergeCell ref="B92:D92"/>
    <mergeCell ref="A93:E93"/>
    <mergeCell ref="C94:D94"/>
    <mergeCell ref="B101:D101"/>
    <mergeCell ref="A102:E102"/>
    <mergeCell ref="C103:D103"/>
    <mergeCell ref="B110:D110"/>
    <mergeCell ref="A111:E111"/>
    <mergeCell ref="C112:D112"/>
    <mergeCell ref="C91:D91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E37:I37"/>
    <mergeCell ref="B38:D38"/>
    <mergeCell ref="B39:C41"/>
    <mergeCell ref="A42:D42"/>
    <mergeCell ref="E42:I42"/>
    <mergeCell ref="A31:D31"/>
    <mergeCell ref="B32:D32"/>
    <mergeCell ref="B33:D33"/>
    <mergeCell ref="B52:D52"/>
    <mergeCell ref="B35:D35"/>
    <mergeCell ref="B36:D36"/>
    <mergeCell ref="A37:D37"/>
    <mergeCell ref="B43:D43"/>
    <mergeCell ref="A44:D44"/>
    <mergeCell ref="C45:D45"/>
    <mergeCell ref="B34:D34"/>
    <mergeCell ref="A17:D17"/>
    <mergeCell ref="B12:D12"/>
    <mergeCell ref="E12:R12"/>
    <mergeCell ref="S12:S13"/>
    <mergeCell ref="B13:D13"/>
    <mergeCell ref="B14:C16"/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</mergeCells>
  <phoneticPr fontId="8" type="noConversion"/>
  <conditionalFormatting sqref="E14:R15">
    <cfRule type="containsBlanks" dxfId="145" priority="20">
      <formula>LEN(TRIM(E14))=0</formula>
    </cfRule>
  </conditionalFormatting>
  <conditionalFormatting sqref="E19:R20">
    <cfRule type="containsBlanks" dxfId="144" priority="23">
      <formula>LEN(TRIM(E19))=0</formula>
    </cfRule>
  </conditionalFormatting>
  <conditionalFormatting sqref="E22:R23 E25:R26 E33:R33 E35:R35 E39:R40">
    <cfRule type="containsBlanks" dxfId="143" priority="24">
      <formula>LEN(TRIM(E22))=0</formula>
    </cfRule>
  </conditionalFormatting>
  <conditionalFormatting sqref="E30:R30">
    <cfRule type="expression" dxfId="142" priority="25">
      <formula>E30&lt;&gt;E47</formula>
    </cfRule>
    <cfRule type="expression" dxfId="141" priority="26">
      <formula>E30&lt;&gt;E34</formula>
    </cfRule>
  </conditionalFormatting>
  <conditionalFormatting sqref="E45:R51">
    <cfRule type="containsBlanks" dxfId="140" priority="19">
      <formula>LEN(TRIM(E45))=0</formula>
    </cfRule>
  </conditionalFormatting>
  <conditionalFormatting sqref="E54:R60">
    <cfRule type="containsBlanks" dxfId="139" priority="18">
      <formula>LEN(TRIM(E54))=0</formula>
    </cfRule>
  </conditionalFormatting>
  <conditionalFormatting sqref="E63:R69">
    <cfRule type="containsBlanks" dxfId="138" priority="17">
      <formula>LEN(TRIM(E63))=0</formula>
    </cfRule>
  </conditionalFormatting>
  <conditionalFormatting sqref="E72:R78">
    <cfRule type="containsBlanks" dxfId="137" priority="16">
      <formula>LEN(TRIM(E72))=0</formula>
    </cfRule>
  </conditionalFormatting>
  <conditionalFormatting sqref="E81:R87">
    <cfRule type="containsBlanks" dxfId="136" priority="15">
      <formula>LEN(TRIM(E81))=0</formula>
    </cfRule>
  </conditionalFormatting>
  <conditionalFormatting sqref="E90:R91">
    <cfRule type="containsBlanks" dxfId="135" priority="14">
      <formula>LEN(TRIM(E90))=0</formula>
    </cfRule>
  </conditionalFormatting>
  <conditionalFormatting sqref="E94:R100">
    <cfRule type="containsBlanks" dxfId="134" priority="1">
      <formula>LEN(TRIM(E94))=0</formula>
    </cfRule>
  </conditionalFormatting>
  <conditionalFormatting sqref="E103:R109">
    <cfRule type="containsBlanks" dxfId="133" priority="13">
      <formula>LEN(TRIM(E103))=0</formula>
    </cfRule>
  </conditionalFormatting>
  <conditionalFormatting sqref="E112:R118">
    <cfRule type="containsBlanks" dxfId="132" priority="12">
      <formula>LEN(TRIM(E112))=0</formula>
    </cfRule>
  </conditionalFormatting>
  <conditionalFormatting sqref="E121:R127">
    <cfRule type="containsBlanks" dxfId="131" priority="3">
      <formula>LEN(TRIM(E121))=0</formula>
    </cfRule>
  </conditionalFormatting>
  <conditionalFormatting sqref="E130:R130">
    <cfRule type="containsBlanks" dxfId="130" priority="11">
      <formula>LEN(TRIM(E130))=0</formula>
    </cfRule>
  </conditionalFormatting>
  <conditionalFormatting sqref="E133:R139">
    <cfRule type="containsBlanks" dxfId="129" priority="10">
      <formula>LEN(TRIM(E133))=0</formula>
    </cfRule>
  </conditionalFormatting>
  <conditionalFormatting sqref="E142:R148">
    <cfRule type="containsBlanks" dxfId="128" priority="9">
      <formula>LEN(TRIM(E142))=0</formula>
    </cfRule>
  </conditionalFormatting>
  <conditionalFormatting sqref="E151:R157">
    <cfRule type="containsBlanks" dxfId="127" priority="8">
      <formula>LEN(TRIM(E151))=0</formula>
    </cfRule>
  </conditionalFormatting>
  <conditionalFormatting sqref="E160:R162">
    <cfRule type="containsBlanks" dxfId="126" priority="7">
      <formula>LEN(TRIM(E160))=0</formula>
    </cfRule>
  </conditionalFormatting>
  <conditionalFormatting sqref="E165:R171">
    <cfRule type="containsBlanks" dxfId="125" priority="6">
      <formula>LEN(TRIM(E165))=0</formula>
    </cfRule>
  </conditionalFormatting>
  <conditionalFormatting sqref="E174:R180">
    <cfRule type="containsBlanks" dxfId="124" priority="5">
      <formula>LEN(TRIM(E174))=0</formula>
    </cfRule>
  </conditionalFormatting>
  <conditionalFormatting sqref="E183:R184">
    <cfRule type="containsBlanks" dxfId="123" priority="4">
      <formula>LEN(TRIM(E183))=0</formula>
    </cfRule>
  </conditionalFormatting>
  <conditionalFormatting sqref="E188:R189">
    <cfRule type="containsBlanks" dxfId="122" priority="2">
      <formula>LEN(TRIM(E188))=0</formula>
    </cfRule>
  </conditionalFormatting>
  <conditionalFormatting sqref="E34:R34">
    <cfRule type="expression" dxfId="121" priority="129">
      <formula>E30&lt;&gt;E34</formula>
    </cfRule>
    <cfRule type="expression" dxfId="120" priority="130">
      <formula>E30=E34</formula>
    </cfRule>
    <cfRule type="expression" dxfId="119" priority="131">
      <formula>E34&lt;&gt;E30</formula>
    </cfRule>
    <cfRule type="expression" dxfId="118" priority="132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96DE-77B2-40E0-9416-4B00F4846EA5}">
  <sheetPr>
    <tabColor rgb="FF92D050"/>
  </sheetPr>
  <dimension ref="A2:O190"/>
  <sheetViews>
    <sheetView topLeftCell="A13" zoomScale="85" zoomScaleNormal="85" workbookViewId="0">
      <pane ySplit="1" topLeftCell="A179" activePane="bottomLeft" state="frozen"/>
      <selection activeCell="E14" sqref="E14"/>
      <selection pane="bottomLeft" activeCell="I189" sqref="I189"/>
    </sheetView>
  </sheetViews>
  <sheetFormatPr defaultRowHeight="13.15" x14ac:dyDescent="0.4"/>
  <cols>
    <col min="3" max="3" width="67.140625" bestFit="1" customWidth="1"/>
    <col min="4" max="4" width="5.85546875" bestFit="1" customWidth="1"/>
    <col min="15" max="15" width="13.28515625" customWidth="1"/>
  </cols>
  <sheetData>
    <row r="2" spans="1:15" x14ac:dyDescent="0.4">
      <c r="C2" s="43" t="s">
        <v>98</v>
      </c>
      <c r="D2" s="43" t="s">
        <v>105</v>
      </c>
    </row>
    <row r="3" spans="1:15" x14ac:dyDescent="0.4">
      <c r="C3" s="43" t="s">
        <v>99</v>
      </c>
      <c r="D3" s="43" t="s">
        <v>100</v>
      </c>
    </row>
    <row r="4" spans="1:15" x14ac:dyDescent="0.4">
      <c r="C4" s="43" t="s">
        <v>101</v>
      </c>
      <c r="D4" s="43" t="s">
        <v>102</v>
      </c>
    </row>
    <row r="5" spans="1:15" x14ac:dyDescent="0.4">
      <c r="C5" s="43"/>
      <c r="D5" s="43"/>
    </row>
    <row r="6" spans="1:15" x14ac:dyDescent="0.4">
      <c r="C6" s="43"/>
      <c r="D6" s="43"/>
    </row>
    <row r="7" spans="1:15" x14ac:dyDescent="0.4">
      <c r="C7" s="43"/>
      <c r="D7" s="43"/>
    </row>
    <row r="8" spans="1:15" x14ac:dyDescent="0.4">
      <c r="C8" s="43"/>
      <c r="D8" s="43"/>
    </row>
    <row r="9" spans="1:15" x14ac:dyDescent="0.4">
      <c r="C9" s="43" t="s">
        <v>103</v>
      </c>
      <c r="D9" s="43" t="s">
        <v>199</v>
      </c>
    </row>
    <row r="11" spans="1:15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15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1"/>
      <c r="O12" s="92" t="s">
        <v>97</v>
      </c>
    </row>
    <row r="13" spans="1:15" x14ac:dyDescent="0.4">
      <c r="A13" s="6" t="s">
        <v>2</v>
      </c>
      <c r="B13" s="78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93"/>
    </row>
    <row r="14" spans="1:15" x14ac:dyDescent="0.4">
      <c r="A14" s="7"/>
      <c r="B14" s="81" t="s">
        <v>22</v>
      </c>
      <c r="C14" s="68"/>
      <c r="D14" s="6" t="s">
        <v>23</v>
      </c>
      <c r="E14" s="6">
        <v>142</v>
      </c>
      <c r="F14" s="6">
        <v>114</v>
      </c>
      <c r="G14" s="6">
        <v>96</v>
      </c>
      <c r="H14" s="6">
        <v>133</v>
      </c>
      <c r="I14" s="6">
        <v>104</v>
      </c>
      <c r="J14" s="6">
        <v>133</v>
      </c>
      <c r="K14" s="6">
        <v>134</v>
      </c>
      <c r="L14" s="6">
        <v>141</v>
      </c>
      <c r="M14" s="6">
        <v>119</v>
      </c>
      <c r="N14" s="6">
        <v>75</v>
      </c>
      <c r="O14" s="5">
        <f>SUM(E14:N14)</f>
        <v>1191</v>
      </c>
    </row>
    <row r="15" spans="1:15" x14ac:dyDescent="0.4">
      <c r="A15" s="7"/>
      <c r="B15" s="82"/>
      <c r="C15" s="75"/>
      <c r="D15" s="6" t="s">
        <v>24</v>
      </c>
      <c r="E15" s="6">
        <v>143</v>
      </c>
      <c r="F15" s="6">
        <v>142</v>
      </c>
      <c r="G15" s="6">
        <v>99</v>
      </c>
      <c r="H15" s="6">
        <v>146</v>
      </c>
      <c r="I15" s="6">
        <v>109</v>
      </c>
      <c r="J15" s="6">
        <v>133</v>
      </c>
      <c r="K15" s="6">
        <v>137</v>
      </c>
      <c r="L15" s="6">
        <v>152</v>
      </c>
      <c r="M15" s="6">
        <v>122</v>
      </c>
      <c r="N15" s="6">
        <v>77</v>
      </c>
      <c r="O15" s="5">
        <f>SUM(E15:N15)</f>
        <v>1260</v>
      </c>
    </row>
    <row r="16" spans="1:15" x14ac:dyDescent="0.4">
      <c r="A16" s="8"/>
      <c r="B16" s="80"/>
      <c r="C16" s="76"/>
      <c r="D16" s="5" t="s">
        <v>25</v>
      </c>
      <c r="E16" s="5">
        <f t="shared" ref="E16:N16" si="0">SUM(E14:E15)</f>
        <v>285</v>
      </c>
      <c r="F16" s="5">
        <f t="shared" si="0"/>
        <v>256</v>
      </c>
      <c r="G16" s="5">
        <f t="shared" si="0"/>
        <v>195</v>
      </c>
      <c r="H16" s="5">
        <f t="shared" si="0"/>
        <v>279</v>
      </c>
      <c r="I16" s="5">
        <f t="shared" si="0"/>
        <v>213</v>
      </c>
      <c r="J16" s="5">
        <f t="shared" si="0"/>
        <v>266</v>
      </c>
      <c r="K16" s="5">
        <f t="shared" si="0"/>
        <v>271</v>
      </c>
      <c r="L16" s="5">
        <f t="shared" si="0"/>
        <v>293</v>
      </c>
      <c r="M16" s="5">
        <f t="shared" si="0"/>
        <v>241</v>
      </c>
      <c r="N16" s="5">
        <f t="shared" si="0"/>
        <v>152</v>
      </c>
      <c r="O16" s="5">
        <f>SUM(E16:N16)</f>
        <v>2451</v>
      </c>
    </row>
    <row r="17" spans="1:15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10"/>
      <c r="O17" s="28"/>
    </row>
    <row r="18" spans="1:15" x14ac:dyDescent="0.4">
      <c r="A18" s="11" t="s">
        <v>26</v>
      </c>
      <c r="B18" s="78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10"/>
      <c r="O18" s="28"/>
    </row>
    <row r="19" spans="1:15" x14ac:dyDescent="0.4">
      <c r="A19" s="11"/>
      <c r="B19" s="83" t="s">
        <v>28</v>
      </c>
      <c r="C19" s="84" t="s">
        <v>29</v>
      </c>
      <c r="D19" s="6" t="s">
        <v>23</v>
      </c>
      <c r="E19" s="6">
        <v>115</v>
      </c>
      <c r="F19" s="6">
        <v>86</v>
      </c>
      <c r="G19" s="6">
        <v>79</v>
      </c>
      <c r="H19" s="6">
        <v>95</v>
      </c>
      <c r="I19" s="6">
        <v>70</v>
      </c>
      <c r="J19" s="6">
        <v>106</v>
      </c>
      <c r="K19" s="6">
        <v>96</v>
      </c>
      <c r="L19" s="6">
        <v>105</v>
      </c>
      <c r="M19" s="6">
        <v>90</v>
      </c>
      <c r="N19" s="6">
        <v>58</v>
      </c>
      <c r="O19" s="5">
        <f t="shared" ref="O19:O30" si="1">SUM(E19:N19)</f>
        <v>900</v>
      </c>
    </row>
    <row r="20" spans="1:15" x14ac:dyDescent="0.4">
      <c r="A20" s="12"/>
      <c r="B20" s="75"/>
      <c r="C20" s="85"/>
      <c r="D20" s="6" t="s">
        <v>24</v>
      </c>
      <c r="E20" s="6">
        <v>112</v>
      </c>
      <c r="F20" s="6">
        <v>114</v>
      </c>
      <c r="G20" s="6">
        <v>83</v>
      </c>
      <c r="H20" s="6">
        <v>115</v>
      </c>
      <c r="I20" s="6">
        <v>83</v>
      </c>
      <c r="J20" s="6">
        <v>109</v>
      </c>
      <c r="K20" s="6">
        <v>103</v>
      </c>
      <c r="L20" s="6">
        <v>115</v>
      </c>
      <c r="M20" s="6">
        <v>98</v>
      </c>
      <c r="N20" s="6">
        <v>67</v>
      </c>
      <c r="O20" s="5">
        <f t="shared" si="1"/>
        <v>999</v>
      </c>
    </row>
    <row r="21" spans="1:15" x14ac:dyDescent="0.4">
      <c r="A21" s="13"/>
      <c r="B21" s="76"/>
      <c r="C21" s="86"/>
      <c r="D21" s="5" t="s">
        <v>25</v>
      </c>
      <c r="E21" s="5">
        <f t="shared" ref="E21:N21" si="2">SUM(E19:E20)</f>
        <v>227</v>
      </c>
      <c r="F21" s="5">
        <f t="shared" si="2"/>
        <v>200</v>
      </c>
      <c r="G21" s="5">
        <f t="shared" si="2"/>
        <v>162</v>
      </c>
      <c r="H21" s="5">
        <f t="shared" si="2"/>
        <v>210</v>
      </c>
      <c r="I21" s="5">
        <f t="shared" si="2"/>
        <v>153</v>
      </c>
      <c r="J21" s="5">
        <f t="shared" si="2"/>
        <v>215</v>
      </c>
      <c r="K21" s="5">
        <f t="shared" si="2"/>
        <v>199</v>
      </c>
      <c r="L21" s="5">
        <f t="shared" si="2"/>
        <v>220</v>
      </c>
      <c r="M21" s="5">
        <f t="shared" si="2"/>
        <v>188</v>
      </c>
      <c r="N21" s="5">
        <f t="shared" si="2"/>
        <v>125</v>
      </c>
      <c r="O21" s="5">
        <f t="shared" si="1"/>
        <v>1899</v>
      </c>
    </row>
    <row r="22" spans="1:15" x14ac:dyDescent="0.4">
      <c r="A22" s="12"/>
      <c r="B22" s="83" t="s">
        <v>30</v>
      </c>
      <c r="C22" s="84" t="s">
        <v>31</v>
      </c>
      <c r="D22" s="6" t="s">
        <v>23</v>
      </c>
      <c r="E22" s="6">
        <v>0</v>
      </c>
      <c r="F22" s="6">
        <v>1</v>
      </c>
      <c r="G22" s="6">
        <v>2</v>
      </c>
      <c r="H22" s="6">
        <v>1</v>
      </c>
      <c r="I22" s="6">
        <v>0</v>
      </c>
      <c r="J22" s="6">
        <v>2</v>
      </c>
      <c r="K22" s="6">
        <v>0</v>
      </c>
      <c r="L22" s="6">
        <v>0</v>
      </c>
      <c r="M22" s="6">
        <v>1</v>
      </c>
      <c r="N22" s="6">
        <v>3</v>
      </c>
      <c r="O22" s="5">
        <f t="shared" si="1"/>
        <v>10</v>
      </c>
    </row>
    <row r="23" spans="1:15" x14ac:dyDescent="0.4">
      <c r="A23" s="12"/>
      <c r="B23" s="75"/>
      <c r="C23" s="85"/>
      <c r="D23" s="6" t="s">
        <v>24</v>
      </c>
      <c r="E23" s="6">
        <v>0</v>
      </c>
      <c r="F23" s="6">
        <v>2</v>
      </c>
      <c r="G23" s="6">
        <v>0</v>
      </c>
      <c r="H23" s="6">
        <v>1</v>
      </c>
      <c r="I23" s="6">
        <v>2</v>
      </c>
      <c r="J23" s="6">
        <v>1</v>
      </c>
      <c r="K23" s="6">
        <v>2</v>
      </c>
      <c r="L23" s="6">
        <v>1</v>
      </c>
      <c r="M23" s="6">
        <v>0</v>
      </c>
      <c r="N23" s="6">
        <v>0</v>
      </c>
      <c r="O23" s="5">
        <f t="shared" si="1"/>
        <v>9</v>
      </c>
    </row>
    <row r="24" spans="1:15" x14ac:dyDescent="0.4">
      <c r="A24" s="13"/>
      <c r="B24" s="76"/>
      <c r="C24" s="86"/>
      <c r="D24" s="5" t="s">
        <v>25</v>
      </c>
      <c r="E24" s="5">
        <f t="shared" ref="E24:N24" si="3">SUM(E22:E23)</f>
        <v>0</v>
      </c>
      <c r="F24" s="5">
        <f t="shared" si="3"/>
        <v>3</v>
      </c>
      <c r="G24" s="5">
        <f t="shared" si="3"/>
        <v>2</v>
      </c>
      <c r="H24" s="5">
        <f t="shared" si="3"/>
        <v>2</v>
      </c>
      <c r="I24" s="5">
        <f t="shared" si="3"/>
        <v>2</v>
      </c>
      <c r="J24" s="5">
        <f t="shared" si="3"/>
        <v>3</v>
      </c>
      <c r="K24" s="5">
        <f t="shared" si="3"/>
        <v>2</v>
      </c>
      <c r="L24" s="5">
        <f t="shared" si="3"/>
        <v>1</v>
      </c>
      <c r="M24" s="5">
        <f t="shared" si="3"/>
        <v>1</v>
      </c>
      <c r="N24" s="5">
        <f t="shared" si="3"/>
        <v>3</v>
      </c>
      <c r="O24" s="5">
        <f t="shared" si="1"/>
        <v>19</v>
      </c>
    </row>
    <row r="25" spans="1:15" x14ac:dyDescent="0.4">
      <c r="A25" s="12"/>
      <c r="B25" s="83" t="s">
        <v>32</v>
      </c>
      <c r="C25" s="84" t="s">
        <v>33</v>
      </c>
      <c r="D25" s="6" t="s">
        <v>23</v>
      </c>
      <c r="E25" s="6">
        <v>0</v>
      </c>
      <c r="F25" s="6">
        <v>1</v>
      </c>
      <c r="G25" s="6">
        <v>3</v>
      </c>
      <c r="H25" s="6">
        <v>2</v>
      </c>
      <c r="I25" s="6">
        <v>0</v>
      </c>
      <c r="J25" s="6">
        <v>1</v>
      </c>
      <c r="K25" s="6">
        <v>2</v>
      </c>
      <c r="L25" s="6">
        <v>0</v>
      </c>
      <c r="M25" s="6">
        <v>0</v>
      </c>
      <c r="N25" s="6">
        <v>0</v>
      </c>
      <c r="O25" s="5">
        <f t="shared" si="1"/>
        <v>9</v>
      </c>
    </row>
    <row r="26" spans="1:15" x14ac:dyDescent="0.4">
      <c r="A26" s="12"/>
      <c r="B26" s="75"/>
      <c r="C26" s="85"/>
      <c r="D26" s="6" t="s">
        <v>24</v>
      </c>
      <c r="E26" s="6">
        <v>0</v>
      </c>
      <c r="F26" s="6">
        <v>0</v>
      </c>
      <c r="G26" s="6">
        <v>1</v>
      </c>
      <c r="H26" s="6">
        <v>2</v>
      </c>
      <c r="I26" s="6">
        <v>2</v>
      </c>
      <c r="J26" s="6">
        <v>0</v>
      </c>
      <c r="K26" s="6">
        <v>0</v>
      </c>
      <c r="L26" s="6">
        <v>0</v>
      </c>
      <c r="M26" s="6">
        <v>0</v>
      </c>
      <c r="N26" s="6">
        <v>2</v>
      </c>
      <c r="O26" s="5">
        <f t="shared" si="1"/>
        <v>7</v>
      </c>
    </row>
    <row r="27" spans="1:15" x14ac:dyDescent="0.4">
      <c r="A27" s="13"/>
      <c r="B27" s="76"/>
      <c r="C27" s="86"/>
      <c r="D27" s="5" t="s">
        <v>25</v>
      </c>
      <c r="E27" s="5">
        <f t="shared" ref="E27" si="4">SUM(E25:E26)</f>
        <v>0</v>
      </c>
      <c r="F27" s="5">
        <f t="shared" ref="F27:N27" si="5">SUM(F25:F26)</f>
        <v>1</v>
      </c>
      <c r="G27" s="5">
        <f t="shared" si="5"/>
        <v>4</v>
      </c>
      <c r="H27" s="5">
        <f t="shared" si="5"/>
        <v>4</v>
      </c>
      <c r="I27" s="5">
        <f t="shared" si="5"/>
        <v>2</v>
      </c>
      <c r="J27" s="5">
        <f t="shared" si="5"/>
        <v>1</v>
      </c>
      <c r="K27" s="5">
        <f t="shared" si="5"/>
        <v>2</v>
      </c>
      <c r="L27" s="5">
        <f t="shared" si="5"/>
        <v>0</v>
      </c>
      <c r="M27" s="5">
        <f t="shared" si="5"/>
        <v>0</v>
      </c>
      <c r="N27" s="5">
        <f t="shared" si="5"/>
        <v>2</v>
      </c>
      <c r="O27" s="5">
        <f t="shared" si="1"/>
        <v>16</v>
      </c>
    </row>
    <row r="28" spans="1:15" x14ac:dyDescent="0.4">
      <c r="A28" s="13"/>
      <c r="B28" s="87" t="s">
        <v>34</v>
      </c>
      <c r="C28" s="88" t="s">
        <v>35</v>
      </c>
      <c r="D28" s="5" t="s">
        <v>23</v>
      </c>
      <c r="E28" s="5">
        <f>SUM(E19,E22,E25)</f>
        <v>115</v>
      </c>
      <c r="F28" s="5">
        <f t="shared" ref="F28:N28" si="6">SUM(F19,F22,F25)</f>
        <v>88</v>
      </c>
      <c r="G28" s="5">
        <f t="shared" si="6"/>
        <v>84</v>
      </c>
      <c r="H28" s="5">
        <f t="shared" si="6"/>
        <v>98</v>
      </c>
      <c r="I28" s="5">
        <f t="shared" si="6"/>
        <v>70</v>
      </c>
      <c r="J28" s="5">
        <f t="shared" si="6"/>
        <v>109</v>
      </c>
      <c r="K28" s="5">
        <f t="shared" si="6"/>
        <v>98</v>
      </c>
      <c r="L28" s="5">
        <f t="shared" si="6"/>
        <v>105</v>
      </c>
      <c r="M28" s="5">
        <f t="shared" si="6"/>
        <v>91</v>
      </c>
      <c r="N28" s="5">
        <f t="shared" si="6"/>
        <v>61</v>
      </c>
      <c r="O28" s="5">
        <f t="shared" si="1"/>
        <v>919</v>
      </c>
    </row>
    <row r="29" spans="1:15" x14ac:dyDescent="0.4">
      <c r="A29" s="13"/>
      <c r="B29" s="75"/>
      <c r="C29" s="85"/>
      <c r="D29" s="5" t="s">
        <v>24</v>
      </c>
      <c r="E29" s="5">
        <f>SUM(E20,E23,E26)</f>
        <v>112</v>
      </c>
      <c r="F29" s="5">
        <f t="shared" ref="F29:N29" si="7">SUM(F20,F23,F26)</f>
        <v>116</v>
      </c>
      <c r="G29" s="5">
        <f t="shared" si="7"/>
        <v>84</v>
      </c>
      <c r="H29" s="5">
        <f t="shared" si="7"/>
        <v>118</v>
      </c>
      <c r="I29" s="5">
        <f t="shared" si="7"/>
        <v>87</v>
      </c>
      <c r="J29" s="5">
        <f t="shared" si="7"/>
        <v>110</v>
      </c>
      <c r="K29" s="5">
        <f t="shared" si="7"/>
        <v>105</v>
      </c>
      <c r="L29" s="5">
        <f t="shared" si="7"/>
        <v>116</v>
      </c>
      <c r="M29" s="5">
        <f t="shared" si="7"/>
        <v>98</v>
      </c>
      <c r="N29" s="5">
        <f t="shared" si="7"/>
        <v>69</v>
      </c>
      <c r="O29" s="5">
        <f t="shared" si="1"/>
        <v>1015</v>
      </c>
    </row>
    <row r="30" spans="1:15" x14ac:dyDescent="0.4">
      <c r="A30" s="13"/>
      <c r="B30" s="76"/>
      <c r="C30" s="86"/>
      <c r="D30" s="5" t="s">
        <v>25</v>
      </c>
      <c r="E30" s="5">
        <f t="shared" ref="E30" si="8">SUM(E28:E29)</f>
        <v>227</v>
      </c>
      <c r="F30" s="5">
        <f t="shared" ref="F30:N30" si="9">SUM(F28:F29)</f>
        <v>204</v>
      </c>
      <c r="G30" s="5">
        <f t="shared" si="9"/>
        <v>168</v>
      </c>
      <c r="H30" s="5">
        <f t="shared" si="9"/>
        <v>216</v>
      </c>
      <c r="I30" s="5">
        <f t="shared" si="9"/>
        <v>157</v>
      </c>
      <c r="J30" s="5">
        <f t="shared" si="9"/>
        <v>219</v>
      </c>
      <c r="K30" s="5">
        <f t="shared" si="9"/>
        <v>203</v>
      </c>
      <c r="L30" s="5">
        <f t="shared" si="9"/>
        <v>221</v>
      </c>
      <c r="M30" s="5">
        <f t="shared" si="9"/>
        <v>189</v>
      </c>
      <c r="N30" s="5">
        <f t="shared" si="9"/>
        <v>130</v>
      </c>
      <c r="O30" s="5">
        <f t="shared" si="1"/>
        <v>1934</v>
      </c>
    </row>
    <row r="31" spans="1:15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10"/>
      <c r="O31" s="28"/>
    </row>
    <row r="32" spans="1:15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15"/>
      <c r="O32" s="28"/>
    </row>
    <row r="33" spans="1:15" x14ac:dyDescent="0.4">
      <c r="A33" s="6">
        <v>1</v>
      </c>
      <c r="B33" s="78" t="s">
        <v>38</v>
      </c>
      <c r="C33" s="69"/>
      <c r="D33" s="60"/>
      <c r="E33" s="6">
        <v>291</v>
      </c>
      <c r="F33" s="6">
        <v>262</v>
      </c>
      <c r="G33" s="6">
        <v>199</v>
      </c>
      <c r="H33" s="6">
        <v>285</v>
      </c>
      <c r="I33" s="6">
        <v>218</v>
      </c>
      <c r="J33" s="6">
        <v>272</v>
      </c>
      <c r="K33" s="6">
        <v>280</v>
      </c>
      <c r="L33" s="6">
        <v>299</v>
      </c>
      <c r="M33" s="6">
        <v>246</v>
      </c>
      <c r="N33" s="6">
        <v>156</v>
      </c>
      <c r="O33" s="5">
        <f>SUM(E33:N33)</f>
        <v>2508</v>
      </c>
    </row>
    <row r="34" spans="1:15" x14ac:dyDescent="0.4">
      <c r="A34" s="6">
        <v>2</v>
      </c>
      <c r="B34" s="78" t="s">
        <v>39</v>
      </c>
      <c r="C34" s="69"/>
      <c r="D34" s="60"/>
      <c r="E34" s="5">
        <v>227</v>
      </c>
      <c r="F34" s="5">
        <v>204</v>
      </c>
      <c r="G34" s="5">
        <v>168</v>
      </c>
      <c r="H34" s="5">
        <v>216</v>
      </c>
      <c r="I34" s="5">
        <v>157</v>
      </c>
      <c r="J34" s="5">
        <v>219</v>
      </c>
      <c r="K34" s="5">
        <v>203</v>
      </c>
      <c r="L34" s="5">
        <v>221</v>
      </c>
      <c r="M34" s="5">
        <v>189</v>
      </c>
      <c r="N34" s="5">
        <v>130</v>
      </c>
      <c r="O34" s="5">
        <f>SUM(E34:N34)</f>
        <v>1934</v>
      </c>
    </row>
    <row r="35" spans="1:15" x14ac:dyDescent="0.4">
      <c r="A35" s="6">
        <v>3</v>
      </c>
      <c r="B35" s="78" t="s">
        <v>40</v>
      </c>
      <c r="C35" s="69"/>
      <c r="D35" s="60"/>
      <c r="E35" s="6">
        <v>0</v>
      </c>
      <c r="F35" s="6">
        <v>0</v>
      </c>
      <c r="G35" s="6">
        <v>1</v>
      </c>
      <c r="H35" s="6">
        <v>1</v>
      </c>
      <c r="I35" s="6">
        <v>0</v>
      </c>
      <c r="J35" s="6">
        <v>0</v>
      </c>
      <c r="K35" s="6">
        <v>0</v>
      </c>
      <c r="L35" s="6">
        <v>1</v>
      </c>
      <c r="M35" s="6">
        <v>0</v>
      </c>
      <c r="N35" s="6">
        <v>0</v>
      </c>
      <c r="O35" s="5">
        <f>SUM(E35:N35)</f>
        <v>3</v>
      </c>
    </row>
    <row r="36" spans="1:15" x14ac:dyDescent="0.4">
      <c r="A36" s="6">
        <v>4</v>
      </c>
      <c r="B36" s="78" t="s">
        <v>41</v>
      </c>
      <c r="C36" s="69"/>
      <c r="D36" s="60"/>
      <c r="E36" s="5">
        <f t="shared" ref="E36:N36" si="10">E33-(E34+E35)</f>
        <v>64</v>
      </c>
      <c r="F36" s="5">
        <f t="shared" si="10"/>
        <v>58</v>
      </c>
      <c r="G36" s="5">
        <f t="shared" si="10"/>
        <v>30</v>
      </c>
      <c r="H36" s="5">
        <f t="shared" si="10"/>
        <v>68</v>
      </c>
      <c r="I36" s="5">
        <f t="shared" si="10"/>
        <v>61</v>
      </c>
      <c r="J36" s="5">
        <f t="shared" si="10"/>
        <v>53</v>
      </c>
      <c r="K36" s="5">
        <f t="shared" si="10"/>
        <v>77</v>
      </c>
      <c r="L36" s="5">
        <f t="shared" si="10"/>
        <v>77</v>
      </c>
      <c r="M36" s="5">
        <f t="shared" si="10"/>
        <v>57</v>
      </c>
      <c r="N36" s="5">
        <f t="shared" si="10"/>
        <v>26</v>
      </c>
      <c r="O36" s="5">
        <f>SUM(E36:N36)</f>
        <v>571</v>
      </c>
    </row>
    <row r="37" spans="1:15" x14ac:dyDescent="0.4">
      <c r="A37" s="61"/>
      <c r="B37" s="69"/>
      <c r="C37" s="69"/>
      <c r="D37" s="69"/>
      <c r="E37" s="61"/>
      <c r="F37" s="89"/>
      <c r="G37" s="89"/>
      <c r="H37" s="89"/>
      <c r="I37" s="94"/>
      <c r="J37" s="6"/>
      <c r="K37" s="6"/>
      <c r="L37" s="6"/>
      <c r="M37" s="6"/>
      <c r="N37" s="10"/>
      <c r="O37" s="28"/>
    </row>
    <row r="38" spans="1:15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15"/>
      <c r="O38" s="28"/>
    </row>
    <row r="39" spans="1:15" x14ac:dyDescent="0.4">
      <c r="A39" s="11"/>
      <c r="B39" s="73" t="s">
        <v>44</v>
      </c>
      <c r="C39" s="68"/>
      <c r="D39" s="6" t="s">
        <v>23</v>
      </c>
      <c r="E39" s="6">
        <v>1</v>
      </c>
      <c r="F39" s="6">
        <v>0</v>
      </c>
      <c r="G39" s="6">
        <v>0</v>
      </c>
      <c r="H39" s="6">
        <v>5</v>
      </c>
      <c r="I39" s="6">
        <v>0</v>
      </c>
      <c r="J39" s="6">
        <v>0</v>
      </c>
      <c r="K39" s="6">
        <v>0</v>
      </c>
      <c r="L39" s="6">
        <v>3</v>
      </c>
      <c r="M39" s="6">
        <v>0</v>
      </c>
      <c r="N39" s="6">
        <v>0</v>
      </c>
      <c r="O39" s="5">
        <f>SUM(E39:N39)</f>
        <v>9</v>
      </c>
    </row>
    <row r="40" spans="1:15" x14ac:dyDescent="0.4">
      <c r="A40" s="12"/>
      <c r="B40" s="74"/>
      <c r="C40" s="75"/>
      <c r="D40" s="6" t="s">
        <v>24</v>
      </c>
      <c r="E40" s="6">
        <v>0</v>
      </c>
      <c r="F40" s="6">
        <v>0</v>
      </c>
      <c r="G40" s="6">
        <v>1</v>
      </c>
      <c r="H40" s="6">
        <v>0</v>
      </c>
      <c r="I40" s="6">
        <v>0</v>
      </c>
      <c r="J40" s="6">
        <v>0</v>
      </c>
      <c r="K40" s="6">
        <v>0</v>
      </c>
      <c r="L40" s="6">
        <v>1</v>
      </c>
      <c r="M40" s="6">
        <v>0</v>
      </c>
      <c r="N40" s="6">
        <v>0</v>
      </c>
      <c r="O40" s="5">
        <f>SUM(E40:N40)</f>
        <v>2</v>
      </c>
    </row>
    <row r="41" spans="1:15" x14ac:dyDescent="0.4">
      <c r="A41" s="14"/>
      <c r="B41" s="71"/>
      <c r="C41" s="76"/>
      <c r="D41" s="5" t="s">
        <v>25</v>
      </c>
      <c r="E41" s="5">
        <f t="shared" ref="E41:N41" si="11">SUM(E39:E40)</f>
        <v>1</v>
      </c>
      <c r="F41" s="5">
        <f t="shared" si="11"/>
        <v>0</v>
      </c>
      <c r="G41" s="5">
        <f t="shared" si="11"/>
        <v>1</v>
      </c>
      <c r="H41" s="5">
        <f t="shared" si="11"/>
        <v>5</v>
      </c>
      <c r="I41" s="5">
        <f t="shared" si="11"/>
        <v>0</v>
      </c>
      <c r="J41" s="5">
        <f t="shared" si="11"/>
        <v>0</v>
      </c>
      <c r="K41" s="5">
        <f t="shared" si="11"/>
        <v>0</v>
      </c>
      <c r="L41" s="5">
        <f t="shared" si="11"/>
        <v>4</v>
      </c>
      <c r="M41" s="5">
        <f t="shared" si="11"/>
        <v>0</v>
      </c>
      <c r="N41" s="5">
        <f t="shared" si="11"/>
        <v>0</v>
      </c>
      <c r="O41" s="5">
        <f>SUM(E41:N41)</f>
        <v>11</v>
      </c>
    </row>
    <row r="42" spans="1:15" x14ac:dyDescent="0.4">
      <c r="A42" s="70"/>
      <c r="B42" s="71"/>
      <c r="C42" s="71"/>
      <c r="D42" s="76"/>
      <c r="E42" s="61"/>
      <c r="F42" s="69"/>
      <c r="G42" s="69"/>
      <c r="H42" s="69"/>
      <c r="I42" s="60"/>
      <c r="J42" s="6"/>
      <c r="K42" s="6"/>
      <c r="L42" s="6"/>
      <c r="M42" s="6"/>
      <c r="N42" s="10"/>
      <c r="O42" s="5"/>
    </row>
    <row r="43" spans="1:15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</row>
    <row r="44" spans="1:15" ht="13.15" customHeight="1" x14ac:dyDescent="0.4">
      <c r="A44" s="73" t="s">
        <v>47</v>
      </c>
      <c r="B44" s="77"/>
      <c r="C44" s="77"/>
      <c r="D44" s="68"/>
      <c r="E44" s="9"/>
      <c r="F44" s="6"/>
      <c r="G44" s="6"/>
      <c r="H44" s="6"/>
      <c r="I44" s="6"/>
      <c r="J44" s="6"/>
      <c r="K44" s="6"/>
      <c r="L44" s="6"/>
      <c r="M44" s="6"/>
      <c r="N44" s="10"/>
      <c r="O44" s="5"/>
    </row>
    <row r="45" spans="1:15" x14ac:dyDescent="0.4">
      <c r="A45" s="11" t="s">
        <v>48</v>
      </c>
      <c r="B45" s="17" t="s">
        <v>28</v>
      </c>
      <c r="C45" s="59" t="s">
        <v>49</v>
      </c>
      <c r="D45" s="60"/>
      <c r="E45" s="6">
        <v>4</v>
      </c>
      <c r="F45" s="6">
        <v>3</v>
      </c>
      <c r="G45" s="6">
        <v>1</v>
      </c>
      <c r="H45" s="6">
        <v>4</v>
      </c>
      <c r="I45" s="6">
        <v>0</v>
      </c>
      <c r="J45" s="6">
        <v>4</v>
      </c>
      <c r="K45" s="6">
        <v>11</v>
      </c>
      <c r="L45" s="6">
        <v>2</v>
      </c>
      <c r="M45" s="6">
        <v>3</v>
      </c>
      <c r="N45" s="6">
        <v>11</v>
      </c>
      <c r="O45" s="5">
        <f t="shared" ref="O45:O51" si="12">SUM(E45:N45)</f>
        <v>43</v>
      </c>
    </row>
    <row r="46" spans="1:15" x14ac:dyDescent="0.4">
      <c r="A46" s="11" t="s">
        <v>50</v>
      </c>
      <c r="B46" s="46"/>
      <c r="C46" s="24" t="s">
        <v>106</v>
      </c>
      <c r="D46" s="47"/>
      <c r="E46" s="6">
        <v>19</v>
      </c>
      <c r="F46" s="6">
        <v>5</v>
      </c>
      <c r="G46" s="6">
        <v>9</v>
      </c>
      <c r="H46" s="6">
        <v>12</v>
      </c>
      <c r="I46" s="6">
        <v>10</v>
      </c>
      <c r="J46" s="6">
        <v>46</v>
      </c>
      <c r="K46" s="6">
        <v>27</v>
      </c>
      <c r="L46" s="6">
        <v>21</v>
      </c>
      <c r="M46" s="6">
        <v>20</v>
      </c>
      <c r="N46" s="6">
        <v>46</v>
      </c>
      <c r="O46" s="5">
        <f t="shared" si="12"/>
        <v>215</v>
      </c>
    </row>
    <row r="47" spans="1:15" x14ac:dyDescent="0.4">
      <c r="A47" s="7"/>
      <c r="B47" s="46"/>
      <c r="C47" s="24" t="s">
        <v>107</v>
      </c>
      <c r="D47" s="47"/>
      <c r="E47" s="6">
        <v>0</v>
      </c>
      <c r="F47" s="6">
        <v>1</v>
      </c>
      <c r="G47" s="6">
        <v>2</v>
      </c>
      <c r="H47" s="6">
        <v>1</v>
      </c>
      <c r="I47" s="6">
        <v>0</v>
      </c>
      <c r="J47" s="6">
        <v>6</v>
      </c>
      <c r="K47" s="6">
        <v>4</v>
      </c>
      <c r="L47" s="6">
        <v>5</v>
      </c>
      <c r="M47" s="6">
        <v>3</v>
      </c>
      <c r="N47" s="6">
        <v>0</v>
      </c>
      <c r="O47" s="5">
        <f t="shared" si="12"/>
        <v>22</v>
      </c>
    </row>
    <row r="48" spans="1:15" x14ac:dyDescent="0.4">
      <c r="A48" s="7"/>
      <c r="B48" s="46"/>
      <c r="C48" s="24" t="s">
        <v>108</v>
      </c>
      <c r="D48" s="47"/>
      <c r="E48" s="6">
        <v>1</v>
      </c>
      <c r="F48" s="6">
        <v>5</v>
      </c>
      <c r="G48" s="6">
        <v>6</v>
      </c>
      <c r="H48" s="6">
        <v>0</v>
      </c>
      <c r="I48" s="6">
        <v>1</v>
      </c>
      <c r="J48" s="6">
        <v>1</v>
      </c>
      <c r="K48" s="6">
        <v>1</v>
      </c>
      <c r="L48" s="6">
        <v>0</v>
      </c>
      <c r="M48" s="6">
        <v>1</v>
      </c>
      <c r="N48" s="6">
        <v>0</v>
      </c>
      <c r="O48" s="5">
        <f t="shared" si="12"/>
        <v>16</v>
      </c>
    </row>
    <row r="49" spans="1:15" x14ac:dyDescent="0.4">
      <c r="A49" s="7"/>
      <c r="B49" s="46"/>
      <c r="C49" s="24" t="s">
        <v>109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1</v>
      </c>
      <c r="K49" s="6">
        <v>0</v>
      </c>
      <c r="L49" s="6">
        <v>1</v>
      </c>
      <c r="M49" s="6">
        <v>0</v>
      </c>
      <c r="N49" s="6">
        <v>0</v>
      </c>
      <c r="O49" s="5">
        <f t="shared" si="12"/>
        <v>2</v>
      </c>
    </row>
    <row r="50" spans="1:15" x14ac:dyDescent="0.4">
      <c r="A50" s="7"/>
      <c r="B50" s="46"/>
      <c r="C50" s="24" t="s">
        <v>110</v>
      </c>
      <c r="D50" s="47"/>
      <c r="E50" s="6">
        <v>0</v>
      </c>
      <c r="F50" s="6">
        <v>0</v>
      </c>
      <c r="G50" s="6">
        <v>0</v>
      </c>
      <c r="H50" s="6">
        <v>1</v>
      </c>
      <c r="I50" s="6">
        <v>1</v>
      </c>
      <c r="J50" s="6">
        <v>1</v>
      </c>
      <c r="K50" s="6">
        <v>1</v>
      </c>
      <c r="L50" s="6">
        <v>0</v>
      </c>
      <c r="M50" s="6">
        <v>3</v>
      </c>
      <c r="N50" s="6">
        <v>0</v>
      </c>
      <c r="O50" s="5">
        <f t="shared" si="12"/>
        <v>7</v>
      </c>
    </row>
    <row r="51" spans="1:15" x14ac:dyDescent="0.4">
      <c r="A51" s="7"/>
      <c r="B51" s="46"/>
      <c r="C51" s="24" t="s">
        <v>111</v>
      </c>
      <c r="D51" s="47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1</v>
      </c>
      <c r="O51" s="5">
        <f t="shared" si="12"/>
        <v>1</v>
      </c>
    </row>
    <row r="52" spans="1:15" x14ac:dyDescent="0.4">
      <c r="A52" s="6" t="s">
        <v>26</v>
      </c>
      <c r="B52" s="53" t="s">
        <v>51</v>
      </c>
      <c r="C52" s="69"/>
      <c r="D52" s="60"/>
      <c r="E52" s="5">
        <f>SUM(E45:E51)</f>
        <v>24</v>
      </c>
      <c r="F52" s="5">
        <f>SUM(F45:F51)</f>
        <v>14</v>
      </c>
      <c r="G52" s="5">
        <f>SUM(G45:G51)</f>
        <v>18</v>
      </c>
      <c r="H52" s="5">
        <f>SUM(H45:H51)</f>
        <v>18</v>
      </c>
      <c r="I52" s="5">
        <f>SUM(I45:I51)</f>
        <v>12</v>
      </c>
      <c r="J52" s="5">
        <f>SUM(J45:J51)</f>
        <v>59</v>
      </c>
      <c r="K52" s="5">
        <f>SUM(K45:K51)</f>
        <v>44</v>
      </c>
      <c r="L52" s="5">
        <f>SUM(L45:L51)</f>
        <v>29</v>
      </c>
      <c r="M52" s="5">
        <f>SUM(M45:M51)</f>
        <v>30</v>
      </c>
      <c r="N52" s="5">
        <f>SUM(N45:N51)</f>
        <v>58</v>
      </c>
      <c r="O52" s="5">
        <f>SUM(O45:O51)</f>
        <v>306</v>
      </c>
    </row>
    <row r="53" spans="1:15" x14ac:dyDescent="0.4">
      <c r="A53" s="70"/>
      <c r="B53" s="71"/>
      <c r="C53" s="71"/>
      <c r="D53" s="71"/>
      <c r="E53" s="71"/>
      <c r="O53" s="5"/>
    </row>
    <row r="54" spans="1:15" x14ac:dyDescent="0.4">
      <c r="A54" s="11" t="s">
        <v>48</v>
      </c>
      <c r="B54" s="17" t="s">
        <v>30</v>
      </c>
      <c r="C54" s="59" t="s">
        <v>52</v>
      </c>
      <c r="D54" s="60"/>
      <c r="E54" s="6">
        <v>9</v>
      </c>
      <c r="F54" s="6">
        <v>5</v>
      </c>
      <c r="G54" s="6">
        <v>5</v>
      </c>
      <c r="H54" s="6">
        <v>5</v>
      </c>
      <c r="I54" s="6">
        <v>1</v>
      </c>
      <c r="J54" s="6">
        <v>2</v>
      </c>
      <c r="K54" s="6">
        <v>6</v>
      </c>
      <c r="L54" s="6">
        <v>9</v>
      </c>
      <c r="M54" s="6">
        <v>6</v>
      </c>
      <c r="N54" s="6">
        <v>3</v>
      </c>
      <c r="O54" s="5">
        <f t="shared" ref="O54:O60" si="13">SUM(E54:N54)</f>
        <v>51</v>
      </c>
    </row>
    <row r="55" spans="1:15" x14ac:dyDescent="0.4">
      <c r="A55" s="11" t="s">
        <v>50</v>
      </c>
      <c r="B55" s="46"/>
      <c r="C55" s="24" t="s">
        <v>112</v>
      </c>
      <c r="D55" s="47"/>
      <c r="E55" s="6">
        <v>9</v>
      </c>
      <c r="F55" s="6">
        <v>1</v>
      </c>
      <c r="G55" s="6">
        <v>4</v>
      </c>
      <c r="H55" s="6">
        <v>4</v>
      </c>
      <c r="I55" s="6">
        <v>2</v>
      </c>
      <c r="J55" s="6">
        <v>1</v>
      </c>
      <c r="K55" s="6">
        <v>0</v>
      </c>
      <c r="L55" s="6">
        <v>3</v>
      </c>
      <c r="M55" s="6">
        <v>2</v>
      </c>
      <c r="N55" s="6">
        <v>0</v>
      </c>
      <c r="O55" s="5">
        <f t="shared" si="13"/>
        <v>26</v>
      </c>
    </row>
    <row r="56" spans="1:15" x14ac:dyDescent="0.4">
      <c r="A56" s="7"/>
      <c r="B56" s="46"/>
      <c r="C56" s="24" t="s">
        <v>113</v>
      </c>
      <c r="D56" s="47"/>
      <c r="E56" s="6">
        <v>1</v>
      </c>
      <c r="F56" s="6">
        <v>0</v>
      </c>
      <c r="G56" s="6">
        <v>1</v>
      </c>
      <c r="H56" s="6">
        <v>2</v>
      </c>
      <c r="I56" s="6">
        <v>1</v>
      </c>
      <c r="J56" s="6">
        <v>1</v>
      </c>
      <c r="K56" s="6">
        <v>1</v>
      </c>
      <c r="L56" s="6">
        <v>2</v>
      </c>
      <c r="M56" s="6">
        <v>1</v>
      </c>
      <c r="N56" s="6">
        <v>1</v>
      </c>
      <c r="O56" s="5">
        <f t="shared" si="13"/>
        <v>11</v>
      </c>
    </row>
    <row r="57" spans="1:15" x14ac:dyDescent="0.4">
      <c r="A57" s="7"/>
      <c r="B57" s="46"/>
      <c r="C57" s="24" t="s">
        <v>114</v>
      </c>
      <c r="D57" s="47"/>
      <c r="E57" s="6">
        <v>1</v>
      </c>
      <c r="F57" s="6">
        <v>4</v>
      </c>
      <c r="G57" s="6">
        <v>0</v>
      </c>
      <c r="H57" s="6">
        <v>1</v>
      </c>
      <c r="I57" s="6">
        <v>0</v>
      </c>
      <c r="J57" s="6">
        <v>0</v>
      </c>
      <c r="K57" s="6">
        <v>0</v>
      </c>
      <c r="L57" s="6">
        <v>1</v>
      </c>
      <c r="M57" s="6">
        <v>1</v>
      </c>
      <c r="N57" s="6">
        <v>0</v>
      </c>
      <c r="O57" s="5">
        <f t="shared" si="13"/>
        <v>8</v>
      </c>
    </row>
    <row r="58" spans="1:15" x14ac:dyDescent="0.4">
      <c r="A58" s="7"/>
      <c r="B58" s="46"/>
      <c r="C58" s="24" t="s">
        <v>115</v>
      </c>
      <c r="D58" s="47"/>
      <c r="E58" s="6">
        <v>0</v>
      </c>
      <c r="F58" s="6">
        <v>2</v>
      </c>
      <c r="G58" s="6">
        <v>0</v>
      </c>
      <c r="H58" s="6">
        <v>3</v>
      </c>
      <c r="I58" s="6">
        <v>1</v>
      </c>
      <c r="J58" s="6">
        <v>2</v>
      </c>
      <c r="K58" s="6">
        <v>4</v>
      </c>
      <c r="L58" s="6">
        <v>1</v>
      </c>
      <c r="M58" s="6">
        <v>4</v>
      </c>
      <c r="N58" s="6">
        <v>2</v>
      </c>
      <c r="O58" s="5">
        <f t="shared" si="13"/>
        <v>19</v>
      </c>
    </row>
    <row r="59" spans="1:15" x14ac:dyDescent="0.4">
      <c r="A59" s="7"/>
      <c r="B59" s="46"/>
      <c r="C59" s="24" t="s">
        <v>116</v>
      </c>
      <c r="D59" s="47"/>
      <c r="E59" s="6">
        <v>1</v>
      </c>
      <c r="F59" s="6">
        <v>1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1</v>
      </c>
      <c r="N59" s="6">
        <v>0</v>
      </c>
      <c r="O59" s="5">
        <f t="shared" si="13"/>
        <v>3</v>
      </c>
    </row>
    <row r="60" spans="1:15" ht="13.15" customHeight="1" x14ac:dyDescent="0.4">
      <c r="A60" s="7"/>
      <c r="B60" s="46"/>
      <c r="C60" s="24" t="s">
        <v>117</v>
      </c>
      <c r="D60" s="47"/>
      <c r="E60" s="6">
        <v>6</v>
      </c>
      <c r="F60" s="6">
        <v>6</v>
      </c>
      <c r="G60" s="6">
        <v>17</v>
      </c>
      <c r="H60" s="6">
        <v>4</v>
      </c>
      <c r="I60" s="6">
        <v>4</v>
      </c>
      <c r="J60" s="6">
        <v>6</v>
      </c>
      <c r="K60" s="6">
        <v>3</v>
      </c>
      <c r="L60" s="6">
        <v>3</v>
      </c>
      <c r="M60" s="6">
        <v>2</v>
      </c>
      <c r="N60" s="6">
        <v>2</v>
      </c>
      <c r="O60" s="5">
        <f t="shared" si="13"/>
        <v>53</v>
      </c>
    </row>
    <row r="61" spans="1:15" x14ac:dyDescent="0.4">
      <c r="A61" s="6" t="s">
        <v>26</v>
      </c>
      <c r="B61" s="53" t="s">
        <v>51</v>
      </c>
      <c r="C61" s="69"/>
      <c r="D61" s="60"/>
      <c r="E61" s="5">
        <f>SUM(E54:E60)</f>
        <v>27</v>
      </c>
      <c r="F61" s="5">
        <f>SUM(F54:F60)</f>
        <v>19</v>
      </c>
      <c r="G61" s="5">
        <f>SUM(G54:G60)</f>
        <v>27</v>
      </c>
      <c r="H61" s="5">
        <f>SUM(H54:H60)</f>
        <v>19</v>
      </c>
      <c r="I61" s="5">
        <f>SUM(I54:I60)</f>
        <v>9</v>
      </c>
      <c r="J61" s="5">
        <f>SUM(J54:J60)</f>
        <v>12</v>
      </c>
      <c r="K61" s="5">
        <f>SUM(K54:K60)</f>
        <v>14</v>
      </c>
      <c r="L61" s="5">
        <f>SUM(L54:L60)</f>
        <v>19</v>
      </c>
      <c r="M61" s="5">
        <f>SUM(M54:M60)</f>
        <v>17</v>
      </c>
      <c r="N61" s="5">
        <f>SUM(N54:N60)</f>
        <v>8</v>
      </c>
      <c r="O61" s="5">
        <f>SUM(O54:O60)</f>
        <v>171</v>
      </c>
    </row>
    <row r="62" spans="1:15" x14ac:dyDescent="0.4">
      <c r="A62" s="70"/>
      <c r="B62" s="71"/>
      <c r="C62" s="71"/>
      <c r="D62" s="71"/>
      <c r="E62" s="71"/>
    </row>
    <row r="63" spans="1:15" x14ac:dyDescent="0.4">
      <c r="A63" s="11" t="s">
        <v>48</v>
      </c>
      <c r="B63" s="17" t="s">
        <v>32</v>
      </c>
      <c r="C63" s="59" t="s">
        <v>53</v>
      </c>
      <c r="D63" s="60"/>
      <c r="E63" s="6">
        <v>7</v>
      </c>
      <c r="F63" s="6">
        <v>11</v>
      </c>
      <c r="G63" s="6">
        <v>2</v>
      </c>
      <c r="H63" s="6">
        <v>4</v>
      </c>
      <c r="I63" s="6">
        <v>6</v>
      </c>
      <c r="J63" s="6">
        <v>5</v>
      </c>
      <c r="K63" s="6">
        <v>2</v>
      </c>
      <c r="L63" s="6">
        <v>11</v>
      </c>
      <c r="M63" s="6">
        <v>3</v>
      </c>
      <c r="N63" s="6">
        <v>1</v>
      </c>
      <c r="O63" s="5">
        <f t="shared" ref="O63:O69" si="14">SUM(E63:N63)</f>
        <v>52</v>
      </c>
    </row>
    <row r="64" spans="1:15" x14ac:dyDescent="0.4">
      <c r="A64" s="11" t="s">
        <v>50</v>
      </c>
      <c r="B64" s="46"/>
      <c r="C64" s="24" t="s">
        <v>118</v>
      </c>
      <c r="D64" s="47"/>
      <c r="E64" s="6">
        <v>2</v>
      </c>
      <c r="F64" s="6">
        <v>4</v>
      </c>
      <c r="G64" s="6">
        <v>6</v>
      </c>
      <c r="H64" s="6">
        <v>19</v>
      </c>
      <c r="I64" s="6">
        <v>12</v>
      </c>
      <c r="J64" s="6">
        <v>3</v>
      </c>
      <c r="K64" s="6">
        <v>1</v>
      </c>
      <c r="L64" s="6">
        <v>7</v>
      </c>
      <c r="M64" s="6">
        <v>2</v>
      </c>
      <c r="N64" s="6">
        <v>0</v>
      </c>
      <c r="O64" s="5">
        <f t="shared" si="14"/>
        <v>56</v>
      </c>
    </row>
    <row r="65" spans="1:15" x14ac:dyDescent="0.4">
      <c r="A65" s="7"/>
      <c r="B65" s="46"/>
      <c r="C65" s="24" t="s">
        <v>119</v>
      </c>
      <c r="D65" s="47"/>
      <c r="E65" s="6">
        <v>1</v>
      </c>
      <c r="F65" s="6">
        <v>7</v>
      </c>
      <c r="G65" s="6">
        <v>2</v>
      </c>
      <c r="H65" s="6">
        <v>2</v>
      </c>
      <c r="I65" s="6">
        <v>4</v>
      </c>
      <c r="J65" s="6">
        <v>19</v>
      </c>
      <c r="K65" s="6">
        <v>5</v>
      </c>
      <c r="L65" s="6">
        <v>2</v>
      </c>
      <c r="M65" s="6">
        <v>9</v>
      </c>
      <c r="N65" s="6">
        <v>5</v>
      </c>
      <c r="O65" s="5">
        <f t="shared" si="14"/>
        <v>56</v>
      </c>
    </row>
    <row r="66" spans="1:15" x14ac:dyDescent="0.4">
      <c r="A66" s="7"/>
      <c r="B66" s="46"/>
      <c r="C66" s="24" t="s">
        <v>120</v>
      </c>
      <c r="D66" s="47"/>
      <c r="E66" s="6">
        <v>22</v>
      </c>
      <c r="F66" s="6">
        <v>39</v>
      </c>
      <c r="G66" s="6">
        <v>17</v>
      </c>
      <c r="H66" s="6">
        <v>17</v>
      </c>
      <c r="I66" s="6">
        <v>3</v>
      </c>
      <c r="J66" s="6">
        <v>1</v>
      </c>
      <c r="K66" s="6">
        <v>2</v>
      </c>
      <c r="L66" s="6">
        <v>3</v>
      </c>
      <c r="M66" s="6">
        <v>0</v>
      </c>
      <c r="N66" s="6">
        <v>1</v>
      </c>
      <c r="O66" s="5">
        <f t="shared" si="14"/>
        <v>105</v>
      </c>
    </row>
    <row r="67" spans="1:15" x14ac:dyDescent="0.4">
      <c r="A67" s="7"/>
      <c r="B67" s="46"/>
      <c r="C67" s="24" t="s">
        <v>121</v>
      </c>
      <c r="D67" s="47"/>
      <c r="E67" s="6">
        <v>30</v>
      </c>
      <c r="F67" s="6">
        <v>7</v>
      </c>
      <c r="G67" s="6">
        <v>3</v>
      </c>
      <c r="H67" s="6">
        <v>8</v>
      </c>
      <c r="I67" s="6">
        <v>3</v>
      </c>
      <c r="J67" s="6">
        <v>4</v>
      </c>
      <c r="K67" s="6">
        <v>1</v>
      </c>
      <c r="L67" s="6">
        <v>4</v>
      </c>
      <c r="M67" s="6">
        <v>3</v>
      </c>
      <c r="N67" s="6">
        <v>4</v>
      </c>
      <c r="O67" s="5">
        <f t="shared" si="14"/>
        <v>67</v>
      </c>
    </row>
    <row r="68" spans="1:15" ht="13.15" customHeight="1" x14ac:dyDescent="0.4">
      <c r="A68" s="7"/>
      <c r="B68" s="46"/>
      <c r="C68" s="24" t="s">
        <v>122</v>
      </c>
      <c r="D68" s="47"/>
      <c r="E68" s="6">
        <v>0</v>
      </c>
      <c r="F68" s="6">
        <v>1</v>
      </c>
      <c r="G68" s="6">
        <v>2</v>
      </c>
      <c r="H68" s="6">
        <v>1</v>
      </c>
      <c r="I68" s="6">
        <v>2</v>
      </c>
      <c r="J68" s="6">
        <v>1</v>
      </c>
      <c r="K68" s="6">
        <v>2</v>
      </c>
      <c r="L68" s="6">
        <v>5</v>
      </c>
      <c r="M68" s="6">
        <v>0</v>
      </c>
      <c r="N68" s="6">
        <v>2</v>
      </c>
      <c r="O68" s="5">
        <f t="shared" si="14"/>
        <v>16</v>
      </c>
    </row>
    <row r="69" spans="1:15" x14ac:dyDescent="0.4">
      <c r="A69" s="7"/>
      <c r="B69" s="46"/>
      <c r="C69" s="24" t="s">
        <v>123</v>
      </c>
      <c r="D69" s="47"/>
      <c r="E69" s="6">
        <v>1</v>
      </c>
      <c r="F69" s="6">
        <v>0</v>
      </c>
      <c r="G69" s="6">
        <v>1</v>
      </c>
      <c r="H69" s="6">
        <v>0</v>
      </c>
      <c r="I69" s="6">
        <v>2</v>
      </c>
      <c r="J69" s="6">
        <v>0</v>
      </c>
      <c r="K69" s="6">
        <v>2</v>
      </c>
      <c r="L69" s="6">
        <v>0</v>
      </c>
      <c r="M69" s="6">
        <v>0</v>
      </c>
      <c r="N69" s="6">
        <v>0</v>
      </c>
      <c r="O69" s="5">
        <f t="shared" si="14"/>
        <v>6</v>
      </c>
    </row>
    <row r="70" spans="1:15" x14ac:dyDescent="0.4">
      <c r="A70" s="6" t="s">
        <v>26</v>
      </c>
      <c r="B70" s="53" t="s">
        <v>51</v>
      </c>
      <c r="C70" s="69"/>
      <c r="D70" s="60"/>
      <c r="E70" s="5">
        <f>SUM(E63:E69)</f>
        <v>63</v>
      </c>
      <c r="F70" s="5">
        <f>SUM(F63:F69)</f>
        <v>69</v>
      </c>
      <c r="G70" s="5">
        <f>SUM(G63:G69)</f>
        <v>33</v>
      </c>
      <c r="H70" s="5">
        <f>SUM(H63:H69)</f>
        <v>51</v>
      </c>
      <c r="I70" s="5">
        <f>SUM(I63:I69)</f>
        <v>32</v>
      </c>
      <c r="J70" s="5">
        <f>SUM(J63:J69)</f>
        <v>33</v>
      </c>
      <c r="K70" s="5">
        <f>SUM(K63:K69)</f>
        <v>15</v>
      </c>
      <c r="L70" s="5">
        <f>SUM(L63:L69)</f>
        <v>32</v>
      </c>
      <c r="M70" s="5">
        <f>SUM(M63:M69)</f>
        <v>17</v>
      </c>
      <c r="N70" s="5">
        <f>SUM(N63:N69)</f>
        <v>13</v>
      </c>
      <c r="O70" s="5">
        <f>SUM(O63:O69)</f>
        <v>358</v>
      </c>
    </row>
    <row r="71" spans="1:15" x14ac:dyDescent="0.4">
      <c r="A71" s="70"/>
      <c r="B71" s="71"/>
      <c r="C71" s="71"/>
      <c r="D71" s="71"/>
      <c r="E71" s="71"/>
    </row>
    <row r="72" spans="1:15" x14ac:dyDescent="0.4">
      <c r="A72" s="11" t="s">
        <v>48</v>
      </c>
      <c r="B72" s="17" t="s">
        <v>34</v>
      </c>
      <c r="C72" s="59" t="s">
        <v>54</v>
      </c>
      <c r="D72" s="60"/>
      <c r="E72" s="6">
        <v>7</v>
      </c>
      <c r="F72" s="6">
        <v>5</v>
      </c>
      <c r="G72" s="6">
        <v>0</v>
      </c>
      <c r="H72" s="6">
        <v>3</v>
      </c>
      <c r="I72" s="6">
        <v>4</v>
      </c>
      <c r="J72" s="6">
        <v>1</v>
      </c>
      <c r="K72" s="6">
        <v>3</v>
      </c>
      <c r="L72" s="6">
        <v>4</v>
      </c>
      <c r="M72" s="6">
        <v>5</v>
      </c>
      <c r="N72" s="6">
        <v>1</v>
      </c>
      <c r="O72" s="5">
        <f t="shared" ref="O72:O78" si="15">SUM(E72:N72)</f>
        <v>33</v>
      </c>
    </row>
    <row r="73" spans="1:15" x14ac:dyDescent="0.4">
      <c r="A73" s="11" t="s">
        <v>50</v>
      </c>
      <c r="B73" s="46"/>
      <c r="C73" s="24" t="s">
        <v>124</v>
      </c>
      <c r="D73" s="47"/>
      <c r="E73" s="6">
        <v>12</v>
      </c>
      <c r="F73" s="6">
        <v>4</v>
      </c>
      <c r="G73" s="6">
        <v>2</v>
      </c>
      <c r="H73" s="6">
        <v>25</v>
      </c>
      <c r="I73" s="6">
        <v>10</v>
      </c>
      <c r="J73" s="6">
        <v>4</v>
      </c>
      <c r="K73" s="6">
        <v>4</v>
      </c>
      <c r="L73" s="6">
        <v>5</v>
      </c>
      <c r="M73" s="6">
        <v>0</v>
      </c>
      <c r="N73" s="6">
        <v>5</v>
      </c>
      <c r="O73" s="5">
        <f t="shared" si="15"/>
        <v>71</v>
      </c>
    </row>
    <row r="74" spans="1:15" x14ac:dyDescent="0.4">
      <c r="A74" s="7"/>
      <c r="B74" s="46"/>
      <c r="C74" s="24" t="s">
        <v>125</v>
      </c>
      <c r="D74" s="47"/>
      <c r="E74" s="6">
        <v>1</v>
      </c>
      <c r="F74" s="6">
        <v>0</v>
      </c>
      <c r="G74" s="6">
        <v>0</v>
      </c>
      <c r="H74" s="6">
        <v>1</v>
      </c>
      <c r="I74" s="6">
        <v>0</v>
      </c>
      <c r="J74" s="6">
        <v>1</v>
      </c>
      <c r="K74" s="6">
        <v>0</v>
      </c>
      <c r="L74" s="6">
        <v>1</v>
      </c>
      <c r="M74" s="6">
        <v>0</v>
      </c>
      <c r="N74" s="6">
        <v>0</v>
      </c>
      <c r="O74" s="5">
        <f t="shared" si="15"/>
        <v>4</v>
      </c>
    </row>
    <row r="75" spans="1:15" x14ac:dyDescent="0.4">
      <c r="A75" s="7"/>
      <c r="B75" s="46"/>
      <c r="C75" s="24" t="s">
        <v>126</v>
      </c>
      <c r="D75" s="47"/>
      <c r="E75" s="6">
        <v>0</v>
      </c>
      <c r="F75" s="6">
        <v>1</v>
      </c>
      <c r="G75" s="6">
        <v>0</v>
      </c>
      <c r="H75" s="6">
        <v>3</v>
      </c>
      <c r="I75" s="6">
        <v>0</v>
      </c>
      <c r="J75" s="6">
        <v>0</v>
      </c>
      <c r="K75" s="6">
        <v>0</v>
      </c>
      <c r="L75" s="6">
        <v>0</v>
      </c>
      <c r="M75" s="6">
        <v>1</v>
      </c>
      <c r="N75" s="6">
        <v>0</v>
      </c>
      <c r="O75" s="5">
        <f t="shared" si="15"/>
        <v>5</v>
      </c>
    </row>
    <row r="76" spans="1:15" ht="13.15" customHeight="1" x14ac:dyDescent="0.4">
      <c r="A76" s="7"/>
      <c r="B76" s="46"/>
      <c r="C76" s="24" t="s">
        <v>127</v>
      </c>
      <c r="D76" s="47"/>
      <c r="E76" s="6">
        <v>1</v>
      </c>
      <c r="F76" s="6">
        <v>1</v>
      </c>
      <c r="G76" s="6">
        <v>0</v>
      </c>
      <c r="H76" s="6">
        <v>1</v>
      </c>
      <c r="I76" s="6">
        <v>0</v>
      </c>
      <c r="J76" s="6">
        <v>1</v>
      </c>
      <c r="K76" s="6">
        <v>1</v>
      </c>
      <c r="L76" s="6">
        <v>0</v>
      </c>
      <c r="M76" s="6">
        <v>0</v>
      </c>
      <c r="N76" s="6">
        <v>0</v>
      </c>
      <c r="O76" s="5">
        <f t="shared" si="15"/>
        <v>5</v>
      </c>
    </row>
    <row r="77" spans="1:15" x14ac:dyDescent="0.4">
      <c r="A77" s="7"/>
      <c r="B77" s="46"/>
      <c r="C77" s="24" t="s">
        <v>128</v>
      </c>
      <c r="D77" s="47"/>
      <c r="E77" s="6">
        <v>1</v>
      </c>
      <c r="F77" s="6">
        <v>1</v>
      </c>
      <c r="G77" s="6">
        <v>0</v>
      </c>
      <c r="H77" s="6">
        <v>0</v>
      </c>
      <c r="I77" s="6">
        <v>0</v>
      </c>
      <c r="J77" s="6">
        <v>1</v>
      </c>
      <c r="K77" s="6">
        <v>1</v>
      </c>
      <c r="L77" s="6">
        <v>1</v>
      </c>
      <c r="M77" s="6">
        <v>0</v>
      </c>
      <c r="N77" s="6">
        <v>0</v>
      </c>
      <c r="O77" s="5">
        <f t="shared" si="15"/>
        <v>5</v>
      </c>
    </row>
    <row r="78" spans="1:15" x14ac:dyDescent="0.4">
      <c r="A78" s="7"/>
      <c r="B78" s="46"/>
      <c r="C78" s="24" t="s">
        <v>129</v>
      </c>
      <c r="D78" s="47"/>
      <c r="E78" s="6">
        <v>21</v>
      </c>
      <c r="F78" s="6">
        <v>31</v>
      </c>
      <c r="G78" s="6">
        <v>31</v>
      </c>
      <c r="H78" s="6">
        <v>11</v>
      </c>
      <c r="I78" s="6">
        <v>7</v>
      </c>
      <c r="J78" s="6">
        <v>10</v>
      </c>
      <c r="K78" s="6">
        <v>67</v>
      </c>
      <c r="L78" s="6">
        <v>4</v>
      </c>
      <c r="M78" s="6">
        <v>69</v>
      </c>
      <c r="N78" s="6">
        <v>13</v>
      </c>
      <c r="O78" s="5">
        <f t="shared" si="15"/>
        <v>264</v>
      </c>
    </row>
    <row r="79" spans="1:15" x14ac:dyDescent="0.4">
      <c r="A79" s="6" t="s">
        <v>26</v>
      </c>
      <c r="B79" s="53" t="s">
        <v>51</v>
      </c>
      <c r="C79" s="69"/>
      <c r="D79" s="60"/>
      <c r="E79" s="5">
        <f>SUM(E72:E78)</f>
        <v>43</v>
      </c>
      <c r="F79" s="5">
        <f>SUM(F72:F78)</f>
        <v>43</v>
      </c>
      <c r="G79" s="5">
        <f>SUM(G72:G78)</f>
        <v>33</v>
      </c>
      <c r="H79" s="5">
        <f>SUM(H72:H78)</f>
        <v>44</v>
      </c>
      <c r="I79" s="5">
        <f>SUM(I72:I78)</f>
        <v>21</v>
      </c>
      <c r="J79" s="5">
        <f>SUM(J72:J78)</f>
        <v>18</v>
      </c>
      <c r="K79" s="5">
        <f>SUM(K72:K78)</f>
        <v>76</v>
      </c>
      <c r="L79" s="5">
        <f>SUM(L72:L78)</f>
        <v>15</v>
      </c>
      <c r="M79" s="5">
        <f>SUM(M72:M78)</f>
        <v>75</v>
      </c>
      <c r="N79" s="5">
        <f>SUM(N72:N78)</f>
        <v>19</v>
      </c>
      <c r="O79" s="5">
        <f>SUM(O72:O78)</f>
        <v>387</v>
      </c>
    </row>
    <row r="80" spans="1:15" x14ac:dyDescent="0.4">
      <c r="A80" s="70"/>
      <c r="B80" s="71"/>
      <c r="C80" s="71"/>
      <c r="D80" s="71"/>
      <c r="E80" s="71"/>
    </row>
    <row r="81" spans="1:15" x14ac:dyDescent="0.4">
      <c r="A81" s="11" t="s">
        <v>48</v>
      </c>
      <c r="B81" s="17" t="s">
        <v>55</v>
      </c>
      <c r="C81" s="59" t="s">
        <v>56</v>
      </c>
      <c r="D81" s="60"/>
      <c r="E81" s="6">
        <v>1</v>
      </c>
      <c r="F81" s="6">
        <v>2</v>
      </c>
      <c r="G81" s="6">
        <v>0</v>
      </c>
      <c r="H81" s="6">
        <v>1</v>
      </c>
      <c r="I81" s="6">
        <v>1</v>
      </c>
      <c r="J81" s="6">
        <v>0</v>
      </c>
      <c r="K81" s="6">
        <v>3</v>
      </c>
      <c r="L81" s="6">
        <v>0</v>
      </c>
      <c r="M81" s="6">
        <v>0</v>
      </c>
      <c r="N81" s="6">
        <v>0</v>
      </c>
      <c r="O81" s="5">
        <f t="shared" ref="O81:O87" si="16">SUM(E81:N81)</f>
        <v>8</v>
      </c>
    </row>
    <row r="82" spans="1:15" x14ac:dyDescent="0.4">
      <c r="A82" s="11" t="s">
        <v>50</v>
      </c>
      <c r="B82" s="46"/>
      <c r="C82" s="24" t="s">
        <v>130</v>
      </c>
      <c r="D82" s="47"/>
      <c r="E82" s="6">
        <v>0</v>
      </c>
      <c r="F82" s="6">
        <v>0</v>
      </c>
      <c r="G82" s="6">
        <v>0</v>
      </c>
      <c r="H82" s="6">
        <v>2</v>
      </c>
      <c r="I82" s="6">
        <v>1</v>
      </c>
      <c r="J82" s="6">
        <v>1</v>
      </c>
      <c r="K82" s="6">
        <v>1</v>
      </c>
      <c r="L82" s="6">
        <v>0</v>
      </c>
      <c r="M82" s="6">
        <v>1</v>
      </c>
      <c r="N82" s="6">
        <v>0</v>
      </c>
      <c r="O82" s="5">
        <f t="shared" si="16"/>
        <v>6</v>
      </c>
    </row>
    <row r="83" spans="1:15" x14ac:dyDescent="0.4">
      <c r="A83" s="7"/>
      <c r="B83" s="46"/>
      <c r="C83" s="24" t="s">
        <v>131</v>
      </c>
      <c r="D83" s="47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1</v>
      </c>
      <c r="L83" s="6">
        <v>0</v>
      </c>
      <c r="M83" s="6">
        <v>4</v>
      </c>
      <c r="N83" s="6">
        <v>0</v>
      </c>
      <c r="O83" s="5">
        <f t="shared" si="16"/>
        <v>5</v>
      </c>
    </row>
    <row r="84" spans="1:15" ht="13.15" customHeight="1" x14ac:dyDescent="0.4">
      <c r="A84" s="7"/>
      <c r="B84" s="46"/>
      <c r="C84" s="24" t="s">
        <v>132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1</v>
      </c>
      <c r="M84" s="6">
        <v>0</v>
      </c>
      <c r="N84" s="6">
        <v>0</v>
      </c>
      <c r="O84" s="5">
        <f t="shared" si="16"/>
        <v>1</v>
      </c>
    </row>
    <row r="85" spans="1:15" x14ac:dyDescent="0.4">
      <c r="A85" s="7"/>
      <c r="B85" s="46"/>
      <c r="C85" s="24" t="s">
        <v>133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1</v>
      </c>
      <c r="O85" s="5">
        <f t="shared" si="16"/>
        <v>1</v>
      </c>
    </row>
    <row r="86" spans="1:15" x14ac:dyDescent="0.4">
      <c r="A86" s="7"/>
      <c r="B86" s="46"/>
      <c r="C86" s="24" t="s">
        <v>134</v>
      </c>
      <c r="D86" s="47"/>
      <c r="E86" s="6">
        <v>4</v>
      </c>
      <c r="F86" s="6">
        <v>4</v>
      </c>
      <c r="G86" s="6">
        <v>1</v>
      </c>
      <c r="H86" s="6">
        <v>9</v>
      </c>
      <c r="I86" s="6">
        <v>1</v>
      </c>
      <c r="J86" s="6">
        <v>7</v>
      </c>
      <c r="K86" s="6">
        <v>12</v>
      </c>
      <c r="L86" s="6">
        <v>2</v>
      </c>
      <c r="M86" s="6">
        <v>6</v>
      </c>
      <c r="N86" s="6">
        <v>7</v>
      </c>
      <c r="O86" s="5">
        <f t="shared" si="16"/>
        <v>53</v>
      </c>
    </row>
    <row r="87" spans="1:15" x14ac:dyDescent="0.4">
      <c r="A87" s="7"/>
      <c r="B87" s="46"/>
      <c r="C87" s="24" t="s">
        <v>135</v>
      </c>
      <c r="D87" s="47"/>
      <c r="E87" s="6">
        <v>0</v>
      </c>
      <c r="F87" s="6">
        <v>0</v>
      </c>
      <c r="G87" s="6">
        <v>2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5">
        <f t="shared" si="16"/>
        <v>2</v>
      </c>
    </row>
    <row r="88" spans="1:15" x14ac:dyDescent="0.4">
      <c r="A88" s="6" t="s">
        <v>26</v>
      </c>
      <c r="B88" s="53" t="s">
        <v>51</v>
      </c>
      <c r="C88" s="69"/>
      <c r="D88" s="60"/>
      <c r="E88" s="5">
        <f>SUM(E81:E87)</f>
        <v>5</v>
      </c>
      <c r="F88" s="5">
        <f>SUM(F81:F87)</f>
        <v>6</v>
      </c>
      <c r="G88" s="5">
        <f>SUM(G81:G87)</f>
        <v>3</v>
      </c>
      <c r="H88" s="5">
        <f>SUM(H81:H87)</f>
        <v>12</v>
      </c>
      <c r="I88" s="5">
        <f>SUM(I81:I87)</f>
        <v>3</v>
      </c>
      <c r="J88" s="5">
        <f>SUM(J81:J87)</f>
        <v>8</v>
      </c>
      <c r="K88" s="5">
        <f>SUM(K81:K87)</f>
        <v>17</v>
      </c>
      <c r="L88" s="5">
        <f>SUM(L81:L87)</f>
        <v>3</v>
      </c>
      <c r="M88" s="5">
        <f>SUM(M81:M87)</f>
        <v>11</v>
      </c>
      <c r="N88" s="5">
        <f>SUM(N81:N87)</f>
        <v>8</v>
      </c>
      <c r="O88" s="5">
        <f>SUM(O81:O87)</f>
        <v>76</v>
      </c>
    </row>
    <row r="89" spans="1:15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  <c r="O89" s="18"/>
    </row>
    <row r="90" spans="1:15" x14ac:dyDescent="0.4">
      <c r="A90" s="11" t="s">
        <v>48</v>
      </c>
      <c r="B90" s="17" t="s">
        <v>57</v>
      </c>
      <c r="C90" s="59" t="s">
        <v>58</v>
      </c>
      <c r="D90" s="60"/>
      <c r="E90" s="6">
        <v>0</v>
      </c>
      <c r="F90" s="6">
        <v>2</v>
      </c>
      <c r="G90" s="6">
        <v>0</v>
      </c>
      <c r="H90" s="6">
        <v>1</v>
      </c>
      <c r="I90" s="6">
        <v>0</v>
      </c>
      <c r="J90" s="6">
        <v>0</v>
      </c>
      <c r="K90" s="6">
        <v>1</v>
      </c>
      <c r="L90" s="6">
        <v>1</v>
      </c>
      <c r="M90" s="6">
        <v>2</v>
      </c>
      <c r="N90" s="6">
        <v>1</v>
      </c>
      <c r="O90" s="5">
        <f t="shared" ref="O90:O91" si="17">SUM(E90:N90)</f>
        <v>8</v>
      </c>
    </row>
    <row r="91" spans="1:15" x14ac:dyDescent="0.4">
      <c r="A91" s="11" t="s">
        <v>50</v>
      </c>
      <c r="B91" s="46"/>
      <c r="C91" s="72" t="s">
        <v>136</v>
      </c>
      <c r="D91" s="60"/>
      <c r="E91" s="6">
        <v>0</v>
      </c>
      <c r="F91" s="6">
        <v>0</v>
      </c>
      <c r="G91" s="6">
        <v>0</v>
      </c>
      <c r="H91" s="6">
        <v>0</v>
      </c>
      <c r="I91" s="6">
        <v>1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5">
        <f t="shared" si="17"/>
        <v>1</v>
      </c>
    </row>
    <row r="92" spans="1:15" ht="13.15" customHeight="1" x14ac:dyDescent="0.4">
      <c r="A92" s="6" t="s">
        <v>26</v>
      </c>
      <c r="B92" s="53" t="s">
        <v>51</v>
      </c>
      <c r="C92" s="54"/>
      <c r="D92" s="55"/>
      <c r="E92" s="5">
        <f>SUM(E90:E91)</f>
        <v>0</v>
      </c>
      <c r="F92" s="5">
        <f>SUM(F90:F91)</f>
        <v>2</v>
      </c>
      <c r="G92" s="5">
        <f>SUM(G90:G91)</f>
        <v>0</v>
      </c>
      <c r="H92" s="5">
        <f>SUM(H90:H91)</f>
        <v>1</v>
      </c>
      <c r="I92" s="5">
        <f>SUM(I90:I91)</f>
        <v>1</v>
      </c>
      <c r="J92" s="5">
        <f>SUM(J90:J91)</f>
        <v>0</v>
      </c>
      <c r="K92" s="5">
        <f>SUM(K90:K91)</f>
        <v>1</v>
      </c>
      <c r="L92" s="5">
        <f>SUM(L90:L91)</f>
        <v>1</v>
      </c>
      <c r="M92" s="5">
        <f>SUM(M90:M91)</f>
        <v>2</v>
      </c>
      <c r="N92" s="5">
        <f>SUM(N90:N91)</f>
        <v>1</v>
      </c>
      <c r="O92" s="5">
        <f>SUM(O90:O91)</f>
        <v>9</v>
      </c>
    </row>
    <row r="93" spans="1:15" x14ac:dyDescent="0.4">
      <c r="A93" s="61"/>
      <c r="B93" s="62"/>
      <c r="C93" s="62"/>
      <c r="D93" s="62"/>
      <c r="E93" s="63"/>
      <c r="F93" s="18"/>
      <c r="G93" s="18"/>
      <c r="H93" s="18"/>
      <c r="I93" s="18"/>
      <c r="J93" s="18"/>
      <c r="K93" s="18"/>
      <c r="L93" s="18"/>
      <c r="M93" s="18"/>
      <c r="N93" s="18"/>
      <c r="O93" s="5"/>
    </row>
    <row r="94" spans="1:15" x14ac:dyDescent="0.4">
      <c r="A94" s="11" t="s">
        <v>48</v>
      </c>
      <c r="B94" s="17" t="s">
        <v>59</v>
      </c>
      <c r="C94" s="59" t="s">
        <v>60</v>
      </c>
      <c r="D94" s="60"/>
      <c r="E94" s="6">
        <v>0</v>
      </c>
      <c r="F94" s="6">
        <v>0</v>
      </c>
      <c r="G94" s="6">
        <v>1</v>
      </c>
      <c r="H94" s="6">
        <v>0</v>
      </c>
      <c r="I94" s="6">
        <v>0</v>
      </c>
      <c r="J94" s="6">
        <v>1</v>
      </c>
      <c r="K94" s="6">
        <v>0</v>
      </c>
      <c r="L94" s="6">
        <v>0</v>
      </c>
      <c r="M94" s="6">
        <v>1</v>
      </c>
      <c r="N94" s="6">
        <v>0</v>
      </c>
      <c r="O94" s="5">
        <f t="shared" ref="O94:O100" si="18">SUM(E94:N94)</f>
        <v>3</v>
      </c>
    </row>
    <row r="95" spans="1:15" x14ac:dyDescent="0.4">
      <c r="A95" s="11" t="s">
        <v>50</v>
      </c>
      <c r="B95" s="46"/>
      <c r="C95" s="24" t="s">
        <v>137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2</v>
      </c>
      <c r="K95" s="6">
        <v>0</v>
      </c>
      <c r="L95" s="6">
        <v>0</v>
      </c>
      <c r="M95" s="6">
        <v>0</v>
      </c>
      <c r="N95" s="6">
        <v>0</v>
      </c>
      <c r="O95" s="5">
        <f t="shared" si="18"/>
        <v>2</v>
      </c>
    </row>
    <row r="96" spans="1:15" x14ac:dyDescent="0.4">
      <c r="A96" s="7"/>
      <c r="B96" s="46"/>
      <c r="C96" s="24" t="s">
        <v>138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1</v>
      </c>
      <c r="L96" s="6">
        <v>0</v>
      </c>
      <c r="M96" s="6">
        <v>0</v>
      </c>
      <c r="N96" s="6">
        <v>0</v>
      </c>
      <c r="O96" s="5">
        <f t="shared" si="18"/>
        <v>1</v>
      </c>
    </row>
    <row r="97" spans="1:15" x14ac:dyDescent="0.4">
      <c r="A97" s="7"/>
      <c r="B97" s="46"/>
      <c r="C97" s="24" t="s">
        <v>139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1</v>
      </c>
      <c r="K97" s="6">
        <v>0</v>
      </c>
      <c r="L97" s="6">
        <v>0</v>
      </c>
      <c r="M97" s="6">
        <v>0</v>
      </c>
      <c r="N97" s="6">
        <v>0</v>
      </c>
      <c r="O97" s="5">
        <f t="shared" si="18"/>
        <v>1</v>
      </c>
    </row>
    <row r="98" spans="1:15" x14ac:dyDescent="0.4">
      <c r="A98" s="7"/>
      <c r="B98" s="46"/>
      <c r="C98" s="24" t="s">
        <v>140</v>
      </c>
      <c r="D98" s="47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5">
        <f t="shared" si="18"/>
        <v>0</v>
      </c>
    </row>
    <row r="99" spans="1:15" x14ac:dyDescent="0.4">
      <c r="A99" s="7"/>
      <c r="B99" s="46"/>
      <c r="C99" s="24" t="s">
        <v>141</v>
      </c>
      <c r="D99" s="47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1</v>
      </c>
      <c r="L99" s="6">
        <v>0</v>
      </c>
      <c r="M99" s="6">
        <v>0</v>
      </c>
      <c r="N99" s="6">
        <v>0</v>
      </c>
      <c r="O99" s="5">
        <f t="shared" si="18"/>
        <v>1</v>
      </c>
    </row>
    <row r="100" spans="1:15" x14ac:dyDescent="0.4">
      <c r="A100" s="7"/>
      <c r="B100" s="46"/>
      <c r="C100" s="24" t="s">
        <v>142</v>
      </c>
      <c r="D100" s="47"/>
      <c r="E100" s="50">
        <v>0</v>
      </c>
      <c r="F100" s="29">
        <v>2</v>
      </c>
      <c r="G100" s="29">
        <v>0</v>
      </c>
      <c r="H100" s="29">
        <v>3</v>
      </c>
      <c r="I100" s="29">
        <v>0</v>
      </c>
      <c r="J100" s="29">
        <v>0</v>
      </c>
      <c r="K100" s="29">
        <v>0</v>
      </c>
      <c r="L100" s="29">
        <v>0</v>
      </c>
      <c r="M100" s="29">
        <v>0</v>
      </c>
      <c r="N100" s="29">
        <v>0</v>
      </c>
      <c r="O100" s="5">
        <f t="shared" si="18"/>
        <v>5</v>
      </c>
    </row>
    <row r="101" spans="1:15" x14ac:dyDescent="0.4">
      <c r="A101" s="6" t="s">
        <v>26</v>
      </c>
      <c r="B101" s="53" t="s">
        <v>51</v>
      </c>
      <c r="C101" s="54"/>
      <c r="D101" s="55"/>
      <c r="E101" s="5">
        <f>SUM(E94:E100)</f>
        <v>0</v>
      </c>
      <c r="F101" s="5">
        <f>SUM(F94:F100)</f>
        <v>2</v>
      </c>
      <c r="G101" s="5">
        <f>SUM(G94:G100)</f>
        <v>1</v>
      </c>
      <c r="H101" s="5">
        <f>SUM(H94:H100)</f>
        <v>3</v>
      </c>
      <c r="I101" s="5">
        <f>SUM(I94:I100)</f>
        <v>0</v>
      </c>
      <c r="J101" s="5">
        <f>SUM(J94:J100)</f>
        <v>4</v>
      </c>
      <c r="K101" s="5">
        <f>SUM(K94:K100)</f>
        <v>2</v>
      </c>
      <c r="L101" s="5">
        <f>SUM(L94:L100)</f>
        <v>0</v>
      </c>
      <c r="M101" s="5">
        <f>SUM(M94:M100)</f>
        <v>1</v>
      </c>
      <c r="N101" s="5">
        <f>SUM(N94:N100)</f>
        <v>0</v>
      </c>
      <c r="O101" s="5">
        <f>SUM(O94:O100)</f>
        <v>13</v>
      </c>
    </row>
    <row r="102" spans="1:15" x14ac:dyDescent="0.4">
      <c r="A102" s="61"/>
      <c r="B102" s="62"/>
      <c r="C102" s="62"/>
      <c r="D102" s="62"/>
      <c r="E102" s="63"/>
      <c r="F102" s="18"/>
      <c r="G102" s="18"/>
      <c r="H102" s="18"/>
      <c r="I102" s="18"/>
      <c r="J102" s="18"/>
      <c r="K102" s="18"/>
      <c r="L102" s="18"/>
      <c r="M102" s="18"/>
      <c r="N102" s="18"/>
      <c r="O102" s="18"/>
    </row>
    <row r="103" spans="1:15" x14ac:dyDescent="0.4">
      <c r="A103" s="11" t="s">
        <v>48</v>
      </c>
      <c r="B103" s="17" t="s">
        <v>61</v>
      </c>
      <c r="C103" s="59" t="s">
        <v>62</v>
      </c>
      <c r="D103" s="60"/>
      <c r="E103" s="6">
        <v>1</v>
      </c>
      <c r="F103" s="6">
        <v>2</v>
      </c>
      <c r="G103" s="6">
        <v>0</v>
      </c>
      <c r="H103" s="6">
        <v>2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5">
        <f t="shared" ref="O103:O109" si="19">SUM(E103:N103)</f>
        <v>5</v>
      </c>
    </row>
    <row r="104" spans="1:15" ht="13.15" customHeight="1" x14ac:dyDescent="0.4">
      <c r="A104" s="11" t="s">
        <v>50</v>
      </c>
      <c r="B104" s="46"/>
      <c r="C104" s="24" t="s">
        <v>143</v>
      </c>
      <c r="D104" s="47"/>
      <c r="E104" s="6">
        <v>3</v>
      </c>
      <c r="F104" s="6">
        <v>2</v>
      </c>
      <c r="G104" s="6">
        <v>2</v>
      </c>
      <c r="H104" s="6">
        <v>0</v>
      </c>
      <c r="I104" s="6">
        <v>4</v>
      </c>
      <c r="J104" s="6">
        <v>0</v>
      </c>
      <c r="K104" s="6">
        <v>0</v>
      </c>
      <c r="L104" s="6">
        <v>2</v>
      </c>
      <c r="M104" s="6">
        <v>2</v>
      </c>
      <c r="N104" s="6">
        <v>1</v>
      </c>
      <c r="O104" s="5">
        <f t="shared" si="19"/>
        <v>16</v>
      </c>
    </row>
    <row r="105" spans="1:15" x14ac:dyDescent="0.4">
      <c r="A105" s="7"/>
      <c r="B105" s="46"/>
      <c r="C105" s="24" t="s">
        <v>144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5">
        <f t="shared" si="19"/>
        <v>0</v>
      </c>
    </row>
    <row r="106" spans="1:15" x14ac:dyDescent="0.4">
      <c r="A106" s="7"/>
      <c r="B106" s="46"/>
      <c r="C106" s="24" t="s">
        <v>145</v>
      </c>
      <c r="D106" s="47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5">
        <f t="shared" si="19"/>
        <v>0</v>
      </c>
    </row>
    <row r="107" spans="1:15" x14ac:dyDescent="0.4">
      <c r="A107" s="7"/>
      <c r="B107" s="46"/>
      <c r="C107" s="24" t="s">
        <v>146</v>
      </c>
      <c r="D107" s="47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1</v>
      </c>
      <c r="N107" s="6">
        <v>0</v>
      </c>
      <c r="O107" s="5">
        <f t="shared" si="19"/>
        <v>1</v>
      </c>
    </row>
    <row r="108" spans="1:15" x14ac:dyDescent="0.4">
      <c r="A108" s="7"/>
      <c r="B108" s="46"/>
      <c r="C108" s="24" t="s">
        <v>147</v>
      </c>
      <c r="D108" s="47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5">
        <f t="shared" si="19"/>
        <v>0</v>
      </c>
    </row>
    <row r="109" spans="1:15" x14ac:dyDescent="0.4">
      <c r="A109" s="7"/>
      <c r="B109" s="46"/>
      <c r="C109" s="24" t="s">
        <v>148</v>
      </c>
      <c r="D109" s="47"/>
      <c r="E109" s="6">
        <v>0</v>
      </c>
      <c r="F109" s="6">
        <v>0</v>
      </c>
      <c r="G109" s="6">
        <v>0</v>
      </c>
      <c r="H109" s="6">
        <v>2</v>
      </c>
      <c r="I109" s="6">
        <v>0</v>
      </c>
      <c r="J109" s="6">
        <v>0</v>
      </c>
      <c r="K109" s="6">
        <v>0</v>
      </c>
      <c r="L109" s="6">
        <v>6</v>
      </c>
      <c r="M109" s="6">
        <v>0</v>
      </c>
      <c r="N109" s="6">
        <v>0</v>
      </c>
      <c r="O109" s="5">
        <f t="shared" si="19"/>
        <v>8</v>
      </c>
    </row>
    <row r="110" spans="1:15" x14ac:dyDescent="0.4">
      <c r="A110" s="6" t="s">
        <v>26</v>
      </c>
      <c r="B110" s="53" t="s">
        <v>51</v>
      </c>
      <c r="C110" s="54"/>
      <c r="D110" s="55"/>
      <c r="E110" s="5">
        <f>SUM(E103:E109)</f>
        <v>4</v>
      </c>
      <c r="F110" s="5">
        <f>SUM(F103:F109)</f>
        <v>4</v>
      </c>
      <c r="G110" s="5">
        <f>SUM(G103:G109)</f>
        <v>2</v>
      </c>
      <c r="H110" s="5">
        <f>SUM(H103:H109)</f>
        <v>4</v>
      </c>
      <c r="I110" s="5">
        <f>SUM(I103:I109)</f>
        <v>4</v>
      </c>
      <c r="J110" s="5">
        <f>SUM(J103:J109)</f>
        <v>0</v>
      </c>
      <c r="K110" s="5">
        <f>SUM(K103:K109)</f>
        <v>0</v>
      </c>
      <c r="L110" s="5">
        <f>SUM(L103:L109)</f>
        <v>8</v>
      </c>
      <c r="M110" s="5">
        <f>SUM(M103:M109)</f>
        <v>3</v>
      </c>
      <c r="N110" s="5">
        <f>SUM(N103:N109)</f>
        <v>1</v>
      </c>
      <c r="O110" s="5">
        <f>SUM(O103:O109)</f>
        <v>30</v>
      </c>
    </row>
    <row r="111" spans="1:15" x14ac:dyDescent="0.4">
      <c r="A111" s="61"/>
      <c r="B111" s="62"/>
      <c r="C111" s="62"/>
      <c r="D111" s="62"/>
      <c r="E111" s="63"/>
      <c r="F111" s="18"/>
      <c r="G111" s="18"/>
      <c r="H111" s="18"/>
      <c r="I111" s="18"/>
      <c r="J111" s="18"/>
      <c r="K111" s="18"/>
      <c r="L111" s="18"/>
      <c r="M111" s="18"/>
      <c r="N111" s="18"/>
      <c r="O111" s="18"/>
    </row>
    <row r="112" spans="1:15" ht="13.15" customHeight="1" x14ac:dyDescent="0.4">
      <c r="A112" s="11" t="s">
        <v>48</v>
      </c>
      <c r="B112" s="17" t="s">
        <v>63</v>
      </c>
      <c r="C112" s="59" t="s">
        <v>64</v>
      </c>
      <c r="D112" s="60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5">
        <f t="shared" ref="O112:O118" si="20">SUM(E112:N112)</f>
        <v>0</v>
      </c>
    </row>
    <row r="113" spans="1:15" x14ac:dyDescent="0.4">
      <c r="A113" s="11" t="s">
        <v>50</v>
      </c>
      <c r="B113" s="17"/>
      <c r="C113" s="24" t="s">
        <v>104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1</v>
      </c>
      <c r="K113" s="6">
        <v>0</v>
      </c>
      <c r="L113" s="6">
        <v>0</v>
      </c>
      <c r="M113" s="6">
        <v>0</v>
      </c>
      <c r="N113" s="6">
        <v>0</v>
      </c>
      <c r="O113" s="5">
        <f t="shared" si="20"/>
        <v>1</v>
      </c>
    </row>
    <row r="114" spans="1:15" x14ac:dyDescent="0.4">
      <c r="A114" s="7"/>
      <c r="B114" s="17"/>
      <c r="C114" s="24" t="s">
        <v>149</v>
      </c>
      <c r="D114" s="45"/>
      <c r="E114" s="6">
        <v>0</v>
      </c>
      <c r="F114" s="6">
        <v>1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1</v>
      </c>
      <c r="N114" s="6">
        <v>0</v>
      </c>
      <c r="O114" s="5">
        <f t="shared" si="20"/>
        <v>2</v>
      </c>
    </row>
    <row r="115" spans="1:15" x14ac:dyDescent="0.4">
      <c r="A115" s="7"/>
      <c r="B115" s="17"/>
      <c r="C115" s="24" t="s">
        <v>150</v>
      </c>
      <c r="D115" s="45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5">
        <f t="shared" si="20"/>
        <v>0</v>
      </c>
    </row>
    <row r="116" spans="1:15" x14ac:dyDescent="0.4">
      <c r="A116" s="7"/>
      <c r="B116" s="46"/>
      <c r="C116" s="24" t="s">
        <v>151</v>
      </c>
      <c r="D116" s="47"/>
      <c r="E116" s="6">
        <v>0</v>
      </c>
      <c r="F116" s="6">
        <v>0</v>
      </c>
      <c r="G116" s="6">
        <v>0</v>
      </c>
      <c r="H116" s="6">
        <v>1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5">
        <f t="shared" si="20"/>
        <v>1</v>
      </c>
    </row>
    <row r="117" spans="1:15" x14ac:dyDescent="0.4">
      <c r="A117" s="7"/>
      <c r="B117" s="46"/>
      <c r="C117" s="24" t="s">
        <v>152</v>
      </c>
      <c r="D117" s="47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5">
        <f t="shared" si="20"/>
        <v>0</v>
      </c>
    </row>
    <row r="118" spans="1:15" x14ac:dyDescent="0.4">
      <c r="A118" s="7"/>
      <c r="B118" s="46"/>
      <c r="C118" s="24" t="s">
        <v>153</v>
      </c>
      <c r="D118" s="47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5">
        <f t="shared" si="20"/>
        <v>0</v>
      </c>
    </row>
    <row r="119" spans="1:15" ht="13.15" customHeight="1" x14ac:dyDescent="0.4">
      <c r="A119" s="6" t="s">
        <v>26</v>
      </c>
      <c r="B119" s="53" t="s">
        <v>51</v>
      </c>
      <c r="C119" s="54"/>
      <c r="D119" s="55"/>
      <c r="E119" s="5">
        <f>SUM(E112:E118)</f>
        <v>0</v>
      </c>
      <c r="F119" s="5">
        <f>SUM(F112:F118)</f>
        <v>1</v>
      </c>
      <c r="G119" s="5">
        <f>SUM(G112:G118)</f>
        <v>0</v>
      </c>
      <c r="H119" s="5">
        <f>SUM(H112:H118)</f>
        <v>1</v>
      </c>
      <c r="I119" s="5">
        <f>SUM(I112:I118)</f>
        <v>0</v>
      </c>
      <c r="J119" s="5">
        <f>SUM(J112:J118)</f>
        <v>1</v>
      </c>
      <c r="K119" s="5">
        <f>SUM(K112:K118)</f>
        <v>0</v>
      </c>
      <c r="L119" s="5">
        <f>SUM(L112:L118)</f>
        <v>0</v>
      </c>
      <c r="M119" s="5">
        <f>SUM(M112:M118)</f>
        <v>1</v>
      </c>
      <c r="N119" s="5">
        <f>SUM(N112:N118)</f>
        <v>0</v>
      </c>
      <c r="O119" s="5">
        <f>SUM(O112:O118)</f>
        <v>4</v>
      </c>
    </row>
    <row r="120" spans="1:15" x14ac:dyDescent="0.4">
      <c r="A120" s="61"/>
      <c r="B120" s="62"/>
      <c r="C120" s="62"/>
      <c r="D120" s="62"/>
      <c r="E120" s="63"/>
      <c r="F120" s="18"/>
      <c r="G120" s="18"/>
      <c r="H120" s="18"/>
      <c r="I120" s="18"/>
      <c r="J120" s="18"/>
      <c r="K120" s="18"/>
      <c r="L120" s="18"/>
      <c r="M120" s="18"/>
      <c r="N120" s="18"/>
      <c r="O120" s="5"/>
    </row>
    <row r="121" spans="1:15" x14ac:dyDescent="0.4">
      <c r="A121" s="11" t="s">
        <v>48</v>
      </c>
      <c r="B121" s="44" t="s">
        <v>65</v>
      </c>
      <c r="C121" s="67" t="s">
        <v>66</v>
      </c>
      <c r="D121" s="68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5">
        <f>SUM(E122:N122)</f>
        <v>2</v>
      </c>
    </row>
    <row r="122" spans="1:15" x14ac:dyDescent="0.4">
      <c r="A122" s="48" t="s">
        <v>50</v>
      </c>
      <c r="B122" s="46"/>
      <c r="C122" s="24" t="s">
        <v>154</v>
      </c>
      <c r="D122" s="47"/>
      <c r="E122" s="49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2</v>
      </c>
      <c r="L122" s="6">
        <v>0</v>
      </c>
      <c r="M122" s="6">
        <v>0</v>
      </c>
      <c r="N122" s="6">
        <v>0</v>
      </c>
      <c r="O122" s="5">
        <f>SUM(E123:N123)</f>
        <v>1</v>
      </c>
    </row>
    <row r="123" spans="1:15" x14ac:dyDescent="0.4">
      <c r="A123" s="7"/>
      <c r="B123" s="46"/>
      <c r="C123" s="24" t="s">
        <v>155</v>
      </c>
      <c r="D123" s="47"/>
      <c r="E123" s="49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1</v>
      </c>
      <c r="M123" s="6">
        <v>0</v>
      </c>
      <c r="N123" s="6">
        <v>0</v>
      </c>
      <c r="O123" s="5">
        <f>SUM(E124:N124)</f>
        <v>1</v>
      </c>
    </row>
    <row r="124" spans="1:15" x14ac:dyDescent="0.4">
      <c r="A124" s="7"/>
      <c r="B124" s="46"/>
      <c r="C124" s="24" t="s">
        <v>156</v>
      </c>
      <c r="D124" s="47"/>
      <c r="E124" s="49">
        <v>1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5">
        <f>SUM(E125:N125)</f>
        <v>1</v>
      </c>
    </row>
    <row r="125" spans="1:15" x14ac:dyDescent="0.4">
      <c r="A125" s="7"/>
      <c r="B125" s="46"/>
      <c r="C125" s="24" t="s">
        <v>157</v>
      </c>
      <c r="D125" s="47"/>
      <c r="E125" s="49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1</v>
      </c>
      <c r="M125" s="6">
        <v>0</v>
      </c>
      <c r="N125" s="6">
        <v>0</v>
      </c>
      <c r="O125" s="5">
        <f>SUM(E128:N128)</f>
        <v>7</v>
      </c>
    </row>
    <row r="126" spans="1:15" x14ac:dyDescent="0.4">
      <c r="A126" s="7"/>
      <c r="B126" s="46"/>
      <c r="C126" s="24" t="s">
        <v>158</v>
      </c>
      <c r="D126" s="47"/>
      <c r="E126" s="49">
        <v>0</v>
      </c>
      <c r="F126" s="6">
        <v>0</v>
      </c>
      <c r="G126" s="6">
        <v>0</v>
      </c>
      <c r="H126" s="6">
        <v>0</v>
      </c>
      <c r="I126" s="6">
        <v>1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5">
        <f>SUM(E129:N129)</f>
        <v>0</v>
      </c>
    </row>
    <row r="127" spans="1:15" x14ac:dyDescent="0.4">
      <c r="A127" s="7"/>
      <c r="B127" s="46"/>
      <c r="C127" s="24" t="s">
        <v>159</v>
      </c>
      <c r="D127" s="47"/>
      <c r="E127" s="49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1</v>
      </c>
      <c r="M127" s="6">
        <v>0</v>
      </c>
      <c r="N127" s="6">
        <v>0</v>
      </c>
      <c r="O127" s="5">
        <f>SUM(E130:N130)</f>
        <v>2</v>
      </c>
    </row>
    <row r="128" spans="1:15" x14ac:dyDescent="0.4">
      <c r="A128" s="6" t="s">
        <v>26</v>
      </c>
      <c r="B128" s="64" t="s">
        <v>51</v>
      </c>
      <c r="C128" s="65"/>
      <c r="D128" s="66"/>
      <c r="E128" s="5">
        <f>SUM(E121:E127)</f>
        <v>1</v>
      </c>
      <c r="F128" s="5">
        <f>SUM(F121:F127)</f>
        <v>0</v>
      </c>
      <c r="G128" s="5">
        <f>SUM(G121:G127)</f>
        <v>0</v>
      </c>
      <c r="H128" s="5">
        <f>SUM(H121:H127)</f>
        <v>0</v>
      </c>
      <c r="I128" s="5">
        <f>SUM(I121:I127)</f>
        <v>1</v>
      </c>
      <c r="J128" s="5">
        <f>SUM(J121:J127)</f>
        <v>0</v>
      </c>
      <c r="K128" s="5">
        <f>SUM(K121:K127)</f>
        <v>2</v>
      </c>
      <c r="L128" s="5">
        <f>SUM(L121:L127)</f>
        <v>3</v>
      </c>
      <c r="M128" s="5">
        <f>SUM(M121:M127)</f>
        <v>0</v>
      </c>
      <c r="N128" s="5">
        <f>SUM(N121:N127)</f>
        <v>0</v>
      </c>
      <c r="O128" s="5">
        <f>SUM(O121:O127)</f>
        <v>14</v>
      </c>
    </row>
    <row r="129" spans="1:15" x14ac:dyDescent="0.4">
      <c r="A129" s="61"/>
      <c r="B129" s="62"/>
      <c r="C129" s="62"/>
      <c r="D129" s="62"/>
      <c r="E129" s="63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 spans="1:15" ht="13.15" customHeight="1" x14ac:dyDescent="0.4">
      <c r="A130" s="11" t="s">
        <v>48</v>
      </c>
      <c r="B130" s="17" t="s">
        <v>67</v>
      </c>
      <c r="C130" s="59" t="s">
        <v>68</v>
      </c>
      <c r="D130" s="60"/>
      <c r="E130" s="6">
        <v>1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1</v>
      </c>
      <c r="M130" s="6">
        <v>0</v>
      </c>
      <c r="N130" s="6">
        <v>0</v>
      </c>
      <c r="O130" s="5">
        <f t="shared" ref="O130" si="21">SUM(E130:N130)</f>
        <v>2</v>
      </c>
    </row>
    <row r="131" spans="1:15" x14ac:dyDescent="0.4">
      <c r="A131" s="6" t="s">
        <v>26</v>
      </c>
      <c r="B131" s="53" t="s">
        <v>51</v>
      </c>
      <c r="C131" s="54"/>
      <c r="D131" s="55"/>
      <c r="E131" s="5">
        <f>SUM(E130:E130)</f>
        <v>1</v>
      </c>
      <c r="F131" s="5">
        <f>SUM(F130:F130)</f>
        <v>0</v>
      </c>
      <c r="G131" s="5">
        <f>SUM(G130:G130)</f>
        <v>0</v>
      </c>
      <c r="H131" s="5">
        <f>SUM(H130:H130)</f>
        <v>0</v>
      </c>
      <c r="I131" s="5">
        <f>SUM(I130:I130)</f>
        <v>0</v>
      </c>
      <c r="J131" s="5">
        <f>SUM(J130:J130)</f>
        <v>0</v>
      </c>
      <c r="K131" s="5">
        <f>SUM(K130:K130)</f>
        <v>0</v>
      </c>
      <c r="L131" s="5">
        <f>SUM(L130:L130)</f>
        <v>1</v>
      </c>
      <c r="M131" s="5">
        <f>SUM(M130:M130)</f>
        <v>0</v>
      </c>
      <c r="N131" s="5">
        <f>SUM(N130:N130)</f>
        <v>0</v>
      </c>
      <c r="O131" s="5">
        <f>SUM(O130:O130)</f>
        <v>2</v>
      </c>
    </row>
    <row r="132" spans="1:15" ht="13.15" customHeight="1" x14ac:dyDescent="0.4">
      <c r="A132" s="61"/>
      <c r="B132" s="62"/>
      <c r="C132" s="62"/>
      <c r="D132" s="62"/>
      <c r="E132" s="63"/>
      <c r="F132" s="18"/>
      <c r="G132" s="18"/>
      <c r="H132" s="18"/>
      <c r="I132" s="18"/>
      <c r="J132" s="18"/>
      <c r="K132" s="18"/>
      <c r="L132" s="18"/>
      <c r="M132" s="18"/>
      <c r="N132" s="18"/>
      <c r="O132" s="18"/>
    </row>
    <row r="133" spans="1:15" x14ac:dyDescent="0.4">
      <c r="A133" s="11" t="s">
        <v>48</v>
      </c>
      <c r="B133" s="17" t="s">
        <v>69</v>
      </c>
      <c r="C133" s="59" t="s">
        <v>70</v>
      </c>
      <c r="D133" s="60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1</v>
      </c>
      <c r="M133" s="6">
        <v>0</v>
      </c>
      <c r="N133" s="6">
        <v>0</v>
      </c>
      <c r="O133" s="5">
        <f t="shared" ref="O133:O139" si="22">SUM(E133:N133)</f>
        <v>1</v>
      </c>
    </row>
    <row r="134" spans="1:15" x14ac:dyDescent="0.4">
      <c r="A134" s="11" t="s">
        <v>50</v>
      </c>
      <c r="B134" s="46"/>
      <c r="C134" s="24" t="s">
        <v>160</v>
      </c>
      <c r="D134" s="47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5">
        <f t="shared" si="22"/>
        <v>0</v>
      </c>
    </row>
    <row r="135" spans="1:15" x14ac:dyDescent="0.4">
      <c r="A135" s="7"/>
      <c r="B135" s="46"/>
      <c r="C135" s="24" t="s">
        <v>161</v>
      </c>
      <c r="D135" s="47"/>
      <c r="E135" s="6">
        <v>0</v>
      </c>
      <c r="F135" s="6">
        <v>1</v>
      </c>
      <c r="G135" s="6">
        <v>0</v>
      </c>
      <c r="H135" s="6">
        <v>0</v>
      </c>
      <c r="I135" s="6">
        <v>2</v>
      </c>
      <c r="J135" s="6">
        <v>3</v>
      </c>
      <c r="K135" s="6">
        <v>3</v>
      </c>
      <c r="L135" s="6">
        <v>0</v>
      </c>
      <c r="M135" s="6">
        <v>0</v>
      </c>
      <c r="N135" s="6">
        <v>0</v>
      </c>
      <c r="O135" s="5">
        <f t="shared" si="22"/>
        <v>9</v>
      </c>
    </row>
    <row r="136" spans="1:15" x14ac:dyDescent="0.4">
      <c r="A136" s="7"/>
      <c r="B136" s="46"/>
      <c r="C136" s="24" t="s">
        <v>162</v>
      </c>
      <c r="D136" s="47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1</v>
      </c>
      <c r="M136" s="6">
        <v>1</v>
      </c>
      <c r="N136" s="6">
        <v>0</v>
      </c>
      <c r="O136" s="5">
        <f t="shared" si="22"/>
        <v>2</v>
      </c>
    </row>
    <row r="137" spans="1:15" x14ac:dyDescent="0.4">
      <c r="A137" s="7"/>
      <c r="B137" s="46"/>
      <c r="C137" s="24" t="s">
        <v>163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5">
        <f t="shared" si="22"/>
        <v>0</v>
      </c>
    </row>
    <row r="138" spans="1:15" x14ac:dyDescent="0.4">
      <c r="A138" s="7"/>
      <c r="B138" s="46"/>
      <c r="C138" s="24" t="s">
        <v>164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5">
        <f t="shared" si="22"/>
        <v>0</v>
      </c>
    </row>
    <row r="139" spans="1:15" x14ac:dyDescent="0.4">
      <c r="A139" s="7"/>
      <c r="B139" s="46"/>
      <c r="C139" s="24" t="s">
        <v>165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2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5">
        <f t="shared" si="22"/>
        <v>2</v>
      </c>
    </row>
    <row r="140" spans="1:15" ht="13.15" customHeight="1" x14ac:dyDescent="0.4">
      <c r="A140" s="6" t="s">
        <v>26</v>
      </c>
      <c r="B140" s="53" t="s">
        <v>51</v>
      </c>
      <c r="C140" s="54"/>
      <c r="D140" s="55"/>
      <c r="E140" s="5">
        <f>SUM(E133:E139)</f>
        <v>0</v>
      </c>
      <c r="F140" s="5">
        <f>SUM(F133:F139)</f>
        <v>1</v>
      </c>
      <c r="G140" s="5">
        <f>SUM(G133:G139)</f>
        <v>0</v>
      </c>
      <c r="H140" s="5">
        <f>SUM(H133:H139)</f>
        <v>0</v>
      </c>
      <c r="I140" s="5">
        <f>SUM(I133:I139)</f>
        <v>4</v>
      </c>
      <c r="J140" s="5">
        <f>SUM(J133:J139)</f>
        <v>3</v>
      </c>
      <c r="K140" s="5">
        <f>SUM(K133:K139)</f>
        <v>3</v>
      </c>
      <c r="L140" s="5">
        <f>SUM(L133:L139)</f>
        <v>2</v>
      </c>
      <c r="M140" s="5">
        <f>SUM(M133:M139)</f>
        <v>1</v>
      </c>
      <c r="N140" s="5">
        <f>SUM(N133:N139)</f>
        <v>0</v>
      </c>
      <c r="O140" s="5">
        <f>SUM(O133:O139)</f>
        <v>14</v>
      </c>
    </row>
    <row r="141" spans="1:15" x14ac:dyDescent="0.4">
      <c r="A141" s="61"/>
      <c r="B141" s="62"/>
      <c r="C141" s="62"/>
      <c r="D141" s="62"/>
      <c r="E141" s="63"/>
      <c r="F141" s="18"/>
      <c r="G141" s="18"/>
      <c r="H141" s="18"/>
      <c r="I141" s="18"/>
      <c r="J141" s="18"/>
      <c r="K141" s="18"/>
      <c r="L141" s="18"/>
      <c r="M141" s="18"/>
      <c r="N141" s="18"/>
      <c r="O141" s="5"/>
    </row>
    <row r="142" spans="1:15" x14ac:dyDescent="0.4">
      <c r="A142" s="11" t="s">
        <v>48</v>
      </c>
      <c r="B142" s="17" t="s">
        <v>71</v>
      </c>
      <c r="C142" s="59" t="s">
        <v>72</v>
      </c>
      <c r="D142" s="6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5">
        <f t="shared" ref="O142:O148" si="23">SUM(E142:N142)</f>
        <v>0</v>
      </c>
    </row>
    <row r="143" spans="1:15" x14ac:dyDescent="0.4">
      <c r="A143" s="11" t="s">
        <v>50</v>
      </c>
      <c r="B143" s="46"/>
      <c r="C143" s="24" t="s">
        <v>166</v>
      </c>
      <c r="D143" s="47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5">
        <f t="shared" si="23"/>
        <v>0</v>
      </c>
    </row>
    <row r="144" spans="1:15" x14ac:dyDescent="0.4">
      <c r="A144" s="7"/>
      <c r="B144" s="46"/>
      <c r="C144" s="24" t="s">
        <v>167</v>
      </c>
      <c r="D144" s="47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5">
        <f t="shared" si="23"/>
        <v>0</v>
      </c>
    </row>
    <row r="145" spans="1:15" x14ac:dyDescent="0.4">
      <c r="A145" s="7"/>
      <c r="B145" s="46"/>
      <c r="C145" s="24" t="s">
        <v>168</v>
      </c>
      <c r="D145" s="47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5">
        <f t="shared" si="23"/>
        <v>0</v>
      </c>
    </row>
    <row r="146" spans="1:15" x14ac:dyDescent="0.4">
      <c r="A146" s="7"/>
      <c r="B146" s="46"/>
      <c r="C146" s="24" t="s">
        <v>169</v>
      </c>
      <c r="D146" s="47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5">
        <f t="shared" si="23"/>
        <v>0</v>
      </c>
    </row>
    <row r="147" spans="1:15" x14ac:dyDescent="0.4">
      <c r="A147" s="7"/>
      <c r="B147" s="46"/>
      <c r="C147" s="24" t="s">
        <v>170</v>
      </c>
      <c r="D147" s="47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5">
        <f t="shared" si="23"/>
        <v>0</v>
      </c>
    </row>
    <row r="148" spans="1:15" x14ac:dyDescent="0.4">
      <c r="A148" s="7"/>
      <c r="B148" s="46"/>
      <c r="C148" s="24" t="s">
        <v>171</v>
      </c>
      <c r="D148" s="47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5">
        <f t="shared" si="23"/>
        <v>0</v>
      </c>
    </row>
    <row r="149" spans="1:15" x14ac:dyDescent="0.4">
      <c r="A149" s="6" t="s">
        <v>26</v>
      </c>
      <c r="B149" s="53" t="s">
        <v>51</v>
      </c>
      <c r="C149" s="54"/>
      <c r="D149" s="55"/>
      <c r="E149" s="5">
        <f>SUM(E142:E148)</f>
        <v>0</v>
      </c>
      <c r="F149" s="5">
        <f>SUM(F142:F148)</f>
        <v>0</v>
      </c>
      <c r="G149" s="5">
        <f>SUM(G142:G148)</f>
        <v>0</v>
      </c>
      <c r="H149" s="5">
        <f>SUM(H142:H148)</f>
        <v>0</v>
      </c>
      <c r="I149" s="5">
        <f>SUM(I142:I148)</f>
        <v>0</v>
      </c>
      <c r="J149" s="5">
        <f>SUM(J142:J148)</f>
        <v>0</v>
      </c>
      <c r="K149" s="5">
        <f>SUM(K142:K148)</f>
        <v>0</v>
      </c>
      <c r="L149" s="5">
        <f>SUM(L142:L148)</f>
        <v>0</v>
      </c>
      <c r="M149" s="5">
        <f>SUM(M142:M148)</f>
        <v>0</v>
      </c>
      <c r="N149" s="5">
        <f>SUM(N142:N148)</f>
        <v>0</v>
      </c>
      <c r="O149" s="5">
        <f>SUM(O142:O148)</f>
        <v>0</v>
      </c>
    </row>
    <row r="150" spans="1:15" x14ac:dyDescent="0.4">
      <c r="A150" s="61"/>
      <c r="B150" s="62"/>
      <c r="C150" s="62"/>
      <c r="D150" s="62"/>
      <c r="E150" s="63"/>
      <c r="F150" s="18"/>
      <c r="G150" s="18"/>
      <c r="H150" s="18"/>
      <c r="I150" s="18"/>
      <c r="J150" s="18"/>
      <c r="K150" s="18"/>
      <c r="L150" s="18"/>
      <c r="M150" s="18"/>
      <c r="N150" s="18"/>
      <c r="O150" s="18"/>
    </row>
    <row r="151" spans="1:15" x14ac:dyDescent="0.4">
      <c r="A151" s="11" t="s">
        <v>48</v>
      </c>
      <c r="B151" s="17" t="s">
        <v>73</v>
      </c>
      <c r="C151" s="59" t="s">
        <v>74</v>
      </c>
      <c r="D151" s="60"/>
      <c r="E151" s="6">
        <v>4</v>
      </c>
      <c r="F151" s="6">
        <v>1</v>
      </c>
      <c r="G151" s="6">
        <v>1</v>
      </c>
      <c r="H151" s="6">
        <v>2</v>
      </c>
      <c r="I151" s="6">
        <v>4</v>
      </c>
      <c r="J151" s="6">
        <v>2</v>
      </c>
      <c r="K151" s="6">
        <v>2</v>
      </c>
      <c r="L151" s="6">
        <v>14</v>
      </c>
      <c r="M151" s="6">
        <v>2</v>
      </c>
      <c r="N151" s="6">
        <v>1</v>
      </c>
      <c r="O151" s="5">
        <f t="shared" ref="O151:O157" si="24">SUM(E151:N151)</f>
        <v>33</v>
      </c>
    </row>
    <row r="152" spans="1:15" x14ac:dyDescent="0.4">
      <c r="A152" s="11" t="s">
        <v>50</v>
      </c>
      <c r="B152" s="46"/>
      <c r="C152" s="24" t="s">
        <v>172</v>
      </c>
      <c r="D152" s="47"/>
      <c r="E152" s="6">
        <v>2</v>
      </c>
      <c r="F152" s="6">
        <v>0</v>
      </c>
      <c r="G152" s="6">
        <v>2</v>
      </c>
      <c r="H152" s="6">
        <v>2</v>
      </c>
      <c r="I152" s="6">
        <v>4</v>
      </c>
      <c r="J152" s="6">
        <v>6</v>
      </c>
      <c r="K152" s="6">
        <v>0</v>
      </c>
      <c r="L152" s="6">
        <v>4</v>
      </c>
      <c r="M152" s="6">
        <v>0</v>
      </c>
      <c r="N152" s="6">
        <v>0</v>
      </c>
      <c r="O152" s="5">
        <f t="shared" si="24"/>
        <v>20</v>
      </c>
    </row>
    <row r="153" spans="1:15" x14ac:dyDescent="0.4">
      <c r="A153" s="7"/>
      <c r="B153" s="46"/>
      <c r="C153" s="24" t="s">
        <v>173</v>
      </c>
      <c r="D153" s="47"/>
      <c r="E153" s="6">
        <v>20</v>
      </c>
      <c r="F153" s="6">
        <v>12</v>
      </c>
      <c r="G153" s="6">
        <v>32</v>
      </c>
      <c r="H153" s="6">
        <v>40</v>
      </c>
      <c r="I153" s="6">
        <v>47</v>
      </c>
      <c r="J153" s="6">
        <v>9</v>
      </c>
      <c r="K153" s="6">
        <v>5</v>
      </c>
      <c r="L153" s="6">
        <v>60</v>
      </c>
      <c r="M153" s="6">
        <v>15</v>
      </c>
      <c r="N153" s="6">
        <v>2</v>
      </c>
      <c r="O153" s="5">
        <f t="shared" si="24"/>
        <v>242</v>
      </c>
    </row>
    <row r="154" spans="1:15" x14ac:dyDescent="0.4">
      <c r="A154" s="7"/>
      <c r="B154" s="46"/>
      <c r="C154" s="24" t="s">
        <v>174</v>
      </c>
      <c r="D154" s="47"/>
      <c r="E154" s="6">
        <v>0</v>
      </c>
      <c r="F154" s="6">
        <v>0</v>
      </c>
      <c r="G154" s="6">
        <v>0</v>
      </c>
      <c r="H154" s="6">
        <v>0</v>
      </c>
      <c r="I154" s="6">
        <v>1</v>
      </c>
      <c r="J154" s="6">
        <v>0</v>
      </c>
      <c r="K154" s="6">
        <v>0</v>
      </c>
      <c r="L154" s="6">
        <v>1</v>
      </c>
      <c r="M154" s="6">
        <v>1</v>
      </c>
      <c r="N154" s="6">
        <v>0</v>
      </c>
      <c r="O154" s="5">
        <f t="shared" si="24"/>
        <v>3</v>
      </c>
    </row>
    <row r="155" spans="1:15" x14ac:dyDescent="0.4">
      <c r="A155" s="7"/>
      <c r="B155" s="46"/>
      <c r="C155" s="24" t="s">
        <v>175</v>
      </c>
      <c r="D155" s="47"/>
      <c r="E155" s="6">
        <v>0</v>
      </c>
      <c r="F155" s="6">
        <v>0</v>
      </c>
      <c r="G155" s="6">
        <v>0</v>
      </c>
      <c r="H155" s="6">
        <v>0</v>
      </c>
      <c r="I155" s="6">
        <v>1</v>
      </c>
      <c r="J155" s="6">
        <v>1</v>
      </c>
      <c r="K155" s="6">
        <v>0</v>
      </c>
      <c r="L155" s="6">
        <v>1</v>
      </c>
      <c r="M155" s="6">
        <v>0</v>
      </c>
      <c r="N155" s="6">
        <v>0</v>
      </c>
      <c r="O155" s="5">
        <f t="shared" si="24"/>
        <v>3</v>
      </c>
    </row>
    <row r="156" spans="1:15" x14ac:dyDescent="0.4">
      <c r="A156" s="7"/>
      <c r="B156" s="46"/>
      <c r="C156" s="24" t="s">
        <v>176</v>
      </c>
      <c r="D156" s="47"/>
      <c r="E156" s="6">
        <v>0</v>
      </c>
      <c r="F156" s="6">
        <v>0</v>
      </c>
      <c r="G156" s="6">
        <v>0</v>
      </c>
      <c r="H156" s="6">
        <v>0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5">
        <f t="shared" si="24"/>
        <v>1</v>
      </c>
    </row>
    <row r="157" spans="1:15" ht="13.15" customHeight="1" x14ac:dyDescent="0.4">
      <c r="A157" s="7"/>
      <c r="B157" s="46"/>
      <c r="C157" s="24" t="s">
        <v>177</v>
      </c>
      <c r="D157" s="47"/>
      <c r="E157" s="6">
        <v>1</v>
      </c>
      <c r="F157" s="6">
        <v>0</v>
      </c>
      <c r="G157" s="6">
        <v>1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5">
        <f t="shared" si="24"/>
        <v>2</v>
      </c>
    </row>
    <row r="158" spans="1:15" x14ac:dyDescent="0.4">
      <c r="A158" s="6" t="s">
        <v>26</v>
      </c>
      <c r="B158" s="53" t="s">
        <v>51</v>
      </c>
      <c r="C158" s="54"/>
      <c r="D158" s="55"/>
      <c r="E158" s="5">
        <f>SUM(E151:E157)</f>
        <v>27</v>
      </c>
      <c r="F158" s="5">
        <f>SUM(F151:F157)</f>
        <v>13</v>
      </c>
      <c r="G158" s="5">
        <f>SUM(G151:G157)</f>
        <v>36</v>
      </c>
      <c r="H158" s="5">
        <f>SUM(H151:H157)</f>
        <v>44</v>
      </c>
      <c r="I158" s="5">
        <f>SUM(I151:I157)</f>
        <v>58</v>
      </c>
      <c r="J158" s="5">
        <f>SUM(J151:J157)</f>
        <v>18</v>
      </c>
      <c r="K158" s="5">
        <f>SUM(K151:K157)</f>
        <v>7</v>
      </c>
      <c r="L158" s="5">
        <f>SUM(L151:L157)</f>
        <v>80</v>
      </c>
      <c r="M158" s="5">
        <f>SUM(M151:M157)</f>
        <v>18</v>
      </c>
      <c r="N158" s="5">
        <f>SUM(N151:N157)</f>
        <v>3</v>
      </c>
      <c r="O158" s="5">
        <f>SUM(O151:O157)</f>
        <v>304</v>
      </c>
    </row>
    <row r="159" spans="1:15" x14ac:dyDescent="0.4">
      <c r="A159" s="61"/>
      <c r="B159" s="62"/>
      <c r="C159" s="62"/>
      <c r="D159" s="62"/>
      <c r="E159" s="63"/>
      <c r="F159" s="18"/>
      <c r="G159" s="18"/>
      <c r="H159" s="18"/>
      <c r="I159" s="18"/>
      <c r="J159" s="18"/>
      <c r="K159" s="18"/>
      <c r="L159" s="18"/>
      <c r="M159" s="18"/>
      <c r="N159" s="18"/>
      <c r="O159" s="18"/>
    </row>
    <row r="160" spans="1:15" x14ac:dyDescent="0.4">
      <c r="A160" s="11" t="s">
        <v>48</v>
      </c>
      <c r="B160" s="17" t="s">
        <v>75</v>
      </c>
      <c r="C160" s="59" t="s">
        <v>76</v>
      </c>
      <c r="D160" s="60"/>
      <c r="E160" s="6">
        <v>1</v>
      </c>
      <c r="F160" s="6">
        <v>3</v>
      </c>
      <c r="G160" s="6">
        <v>0</v>
      </c>
      <c r="H160" s="6">
        <v>1</v>
      </c>
      <c r="I160" s="6">
        <v>0</v>
      </c>
      <c r="J160" s="6">
        <v>6</v>
      </c>
      <c r="K160" s="6">
        <v>1</v>
      </c>
      <c r="L160" s="6">
        <v>1</v>
      </c>
      <c r="M160" s="6">
        <v>0</v>
      </c>
      <c r="N160" s="6">
        <v>0</v>
      </c>
      <c r="O160" s="5">
        <f t="shared" ref="O160:O162" si="25">SUM(E160:N160)</f>
        <v>13</v>
      </c>
    </row>
    <row r="161" spans="1:15" x14ac:dyDescent="0.4">
      <c r="A161" s="11" t="s">
        <v>50</v>
      </c>
      <c r="B161" s="46"/>
      <c r="C161" s="24" t="s">
        <v>178</v>
      </c>
      <c r="D161" s="47"/>
      <c r="E161" s="6">
        <v>5</v>
      </c>
      <c r="F161" s="6">
        <v>2</v>
      </c>
      <c r="G161" s="6">
        <v>0</v>
      </c>
      <c r="H161" s="6">
        <v>5</v>
      </c>
      <c r="I161" s="6">
        <v>0</v>
      </c>
      <c r="J161" s="6">
        <v>1</v>
      </c>
      <c r="K161" s="6">
        <v>0</v>
      </c>
      <c r="L161" s="6">
        <v>3</v>
      </c>
      <c r="M161" s="6">
        <v>0</v>
      </c>
      <c r="N161" s="6">
        <v>3</v>
      </c>
      <c r="O161" s="5">
        <f t="shared" si="25"/>
        <v>19</v>
      </c>
    </row>
    <row r="162" spans="1:15" x14ac:dyDescent="0.4">
      <c r="A162" s="7"/>
      <c r="B162" s="46"/>
      <c r="C162" s="24" t="s">
        <v>179</v>
      </c>
      <c r="D162" s="47"/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2</v>
      </c>
      <c r="M162" s="6">
        <v>1</v>
      </c>
      <c r="N162" s="6">
        <v>0</v>
      </c>
      <c r="O162" s="5">
        <f t="shared" si="25"/>
        <v>3</v>
      </c>
    </row>
    <row r="163" spans="1:15" x14ac:dyDescent="0.4">
      <c r="A163" s="6" t="s">
        <v>26</v>
      </c>
      <c r="B163" s="53" t="s">
        <v>51</v>
      </c>
      <c r="C163" s="54"/>
      <c r="D163" s="55"/>
      <c r="E163" s="5">
        <f>SUM(E160:E162)</f>
        <v>6</v>
      </c>
      <c r="F163" s="5">
        <f>SUM(F160:F162)</f>
        <v>5</v>
      </c>
      <c r="G163" s="5">
        <f>SUM(G160:G162)</f>
        <v>0</v>
      </c>
      <c r="H163" s="5">
        <f>SUM(H160:H162)</f>
        <v>6</v>
      </c>
      <c r="I163" s="5">
        <f>SUM(I160:I162)</f>
        <v>0</v>
      </c>
      <c r="J163" s="5">
        <f>SUM(J160:J162)</f>
        <v>7</v>
      </c>
      <c r="K163" s="5">
        <f>SUM(K160:K162)</f>
        <v>1</v>
      </c>
      <c r="L163" s="5">
        <f>SUM(L160:L162)</f>
        <v>6</v>
      </c>
      <c r="M163" s="5">
        <f>SUM(M160:M162)</f>
        <v>1</v>
      </c>
      <c r="N163" s="5">
        <f>SUM(N160:N162)</f>
        <v>3</v>
      </c>
      <c r="O163" s="5">
        <f>SUM(O160:O162)</f>
        <v>35</v>
      </c>
    </row>
    <row r="164" spans="1:15" x14ac:dyDescent="0.4">
      <c r="A164" s="61"/>
      <c r="B164" s="62"/>
      <c r="C164" s="62"/>
      <c r="D164" s="62"/>
      <c r="E164" s="63"/>
      <c r="F164" s="18"/>
      <c r="G164" s="18"/>
      <c r="H164" s="18"/>
      <c r="I164" s="18"/>
      <c r="J164" s="18"/>
      <c r="K164" s="18"/>
      <c r="L164" s="18"/>
      <c r="M164" s="18"/>
      <c r="N164" s="18"/>
      <c r="O164" s="18"/>
    </row>
    <row r="165" spans="1:15" x14ac:dyDescent="0.4">
      <c r="A165" s="11" t="s">
        <v>48</v>
      </c>
      <c r="B165" s="17" t="s">
        <v>77</v>
      </c>
      <c r="C165" s="59" t="s">
        <v>78</v>
      </c>
      <c r="D165" s="60"/>
      <c r="E165" s="6">
        <v>0</v>
      </c>
      <c r="F165" s="6">
        <v>0</v>
      </c>
      <c r="G165" s="6">
        <v>0</v>
      </c>
      <c r="H165" s="6">
        <v>1</v>
      </c>
      <c r="I165" s="6">
        <v>0</v>
      </c>
      <c r="J165" s="6">
        <v>0</v>
      </c>
      <c r="K165" s="6">
        <v>0</v>
      </c>
      <c r="L165" s="6">
        <v>1</v>
      </c>
      <c r="M165" s="6">
        <v>0</v>
      </c>
      <c r="N165" s="6">
        <v>0</v>
      </c>
      <c r="O165" s="5">
        <f t="shared" ref="O165:O171" si="26">SUM(E165:N165)</f>
        <v>2</v>
      </c>
    </row>
    <row r="166" spans="1:15" x14ac:dyDescent="0.4">
      <c r="A166" s="11" t="s">
        <v>50</v>
      </c>
      <c r="B166" s="17"/>
      <c r="C166" s="24" t="s">
        <v>180</v>
      </c>
      <c r="D166" s="45"/>
      <c r="E166" s="6">
        <v>0</v>
      </c>
      <c r="F166" s="6">
        <v>0</v>
      </c>
      <c r="G166" s="6">
        <v>0</v>
      </c>
      <c r="H166" s="6">
        <v>1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5">
        <f t="shared" si="26"/>
        <v>1</v>
      </c>
    </row>
    <row r="167" spans="1:15" x14ac:dyDescent="0.4">
      <c r="A167" s="7"/>
      <c r="B167" s="17"/>
      <c r="C167" s="24" t="s">
        <v>181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1</v>
      </c>
      <c r="N167" s="6">
        <v>0</v>
      </c>
      <c r="O167" s="5">
        <f t="shared" si="26"/>
        <v>1</v>
      </c>
    </row>
    <row r="168" spans="1:15" x14ac:dyDescent="0.4">
      <c r="A168" s="7"/>
      <c r="B168" s="17"/>
      <c r="C168" s="24" t="s">
        <v>182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5">
        <f t="shared" si="26"/>
        <v>0</v>
      </c>
    </row>
    <row r="169" spans="1:15" ht="13.15" customHeight="1" x14ac:dyDescent="0.4">
      <c r="A169" s="7"/>
      <c r="B169" s="46"/>
      <c r="C169" s="24" t="s">
        <v>183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5">
        <f t="shared" si="26"/>
        <v>0</v>
      </c>
    </row>
    <row r="170" spans="1:15" x14ac:dyDescent="0.4">
      <c r="A170" s="7"/>
      <c r="B170" s="46"/>
      <c r="C170" s="24" t="s">
        <v>184</v>
      </c>
      <c r="D170" s="47"/>
      <c r="E170" s="6">
        <v>0</v>
      </c>
      <c r="F170" s="6">
        <v>0</v>
      </c>
      <c r="G170" s="6">
        <v>0</v>
      </c>
      <c r="H170" s="6">
        <v>1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5">
        <f t="shared" si="26"/>
        <v>1</v>
      </c>
    </row>
    <row r="171" spans="1:15" x14ac:dyDescent="0.4">
      <c r="A171" s="7"/>
      <c r="B171" s="46"/>
      <c r="C171" s="24" t="s">
        <v>185</v>
      </c>
      <c r="D171" s="47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1</v>
      </c>
      <c r="K171" s="6">
        <v>0</v>
      </c>
      <c r="L171" s="6">
        <v>0</v>
      </c>
      <c r="M171" s="6">
        <v>0</v>
      </c>
      <c r="N171" s="6">
        <v>0</v>
      </c>
      <c r="O171" s="5">
        <f t="shared" si="26"/>
        <v>1</v>
      </c>
    </row>
    <row r="172" spans="1:15" x14ac:dyDescent="0.4">
      <c r="A172" s="6" t="s">
        <v>26</v>
      </c>
      <c r="B172" s="53" t="s">
        <v>51</v>
      </c>
      <c r="C172" s="54"/>
      <c r="D172" s="55"/>
      <c r="E172" s="5">
        <f>SUM(E165:E171)</f>
        <v>0</v>
      </c>
      <c r="F172" s="5">
        <f>SUM(F165:F171)</f>
        <v>0</v>
      </c>
      <c r="G172" s="5">
        <f>SUM(G165:G171)</f>
        <v>0</v>
      </c>
      <c r="H172" s="5">
        <f>SUM(H165:H171)</f>
        <v>3</v>
      </c>
      <c r="I172" s="5">
        <f>SUM(I165:I171)</f>
        <v>0</v>
      </c>
      <c r="J172" s="5">
        <f>SUM(J165:J171)</f>
        <v>1</v>
      </c>
      <c r="K172" s="5">
        <f>SUM(K165:K171)</f>
        <v>0</v>
      </c>
      <c r="L172" s="5">
        <f>SUM(L165:L171)</f>
        <v>1</v>
      </c>
      <c r="M172" s="5">
        <f>SUM(M165:M171)</f>
        <v>1</v>
      </c>
      <c r="N172" s="5">
        <f>SUM(N165:N171)</f>
        <v>0</v>
      </c>
      <c r="O172" s="5">
        <f>SUM(O165:O171)</f>
        <v>6</v>
      </c>
    </row>
    <row r="173" spans="1:15" x14ac:dyDescent="0.4">
      <c r="A173" s="61"/>
      <c r="B173" s="62"/>
      <c r="C173" s="62"/>
      <c r="D173" s="62"/>
      <c r="E173" s="63"/>
      <c r="F173" s="18"/>
      <c r="G173" s="18"/>
      <c r="H173" s="18"/>
      <c r="I173" s="18"/>
      <c r="J173" s="18"/>
      <c r="K173" s="18"/>
      <c r="L173" s="18"/>
      <c r="M173" s="18"/>
      <c r="N173" s="18"/>
      <c r="O173" s="18"/>
    </row>
    <row r="174" spans="1:15" x14ac:dyDescent="0.4">
      <c r="A174" s="11" t="s">
        <v>48</v>
      </c>
      <c r="B174" s="17" t="s">
        <v>79</v>
      </c>
      <c r="C174" s="59" t="s">
        <v>80</v>
      </c>
      <c r="D174" s="60"/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3</v>
      </c>
      <c r="K174" s="6">
        <v>0</v>
      </c>
      <c r="L174" s="6">
        <v>1</v>
      </c>
      <c r="M174" s="6">
        <v>2</v>
      </c>
      <c r="N174" s="6">
        <v>0</v>
      </c>
      <c r="O174" s="5">
        <f t="shared" ref="O174:O180" si="27">SUM(E174:N174)</f>
        <v>6</v>
      </c>
    </row>
    <row r="175" spans="1:15" x14ac:dyDescent="0.4">
      <c r="A175" s="11" t="s">
        <v>50</v>
      </c>
      <c r="B175" s="46"/>
      <c r="C175" s="24" t="s">
        <v>186</v>
      </c>
      <c r="D175" s="47"/>
      <c r="E175" s="6">
        <v>0</v>
      </c>
      <c r="F175" s="6">
        <v>0</v>
      </c>
      <c r="G175" s="6">
        <v>1</v>
      </c>
      <c r="H175" s="6">
        <v>1</v>
      </c>
      <c r="I175" s="6">
        <v>0</v>
      </c>
      <c r="J175" s="6">
        <v>0</v>
      </c>
      <c r="K175" s="6">
        <v>2</v>
      </c>
      <c r="L175" s="6">
        <v>1</v>
      </c>
      <c r="M175" s="6">
        <v>0</v>
      </c>
      <c r="N175" s="6">
        <v>0</v>
      </c>
      <c r="O175" s="5">
        <f t="shared" si="27"/>
        <v>5</v>
      </c>
    </row>
    <row r="176" spans="1:15" x14ac:dyDescent="0.4">
      <c r="A176" s="7"/>
      <c r="B176" s="46"/>
      <c r="C176" s="24" t="s">
        <v>187</v>
      </c>
      <c r="D176" s="47"/>
      <c r="E176" s="6">
        <v>0</v>
      </c>
      <c r="F176" s="6">
        <v>1</v>
      </c>
      <c r="G176" s="6">
        <v>0</v>
      </c>
      <c r="H176" s="6">
        <v>2</v>
      </c>
      <c r="I176" s="6">
        <v>0</v>
      </c>
      <c r="J176" s="6">
        <v>38</v>
      </c>
      <c r="K176" s="6">
        <v>4</v>
      </c>
      <c r="L176" s="6">
        <v>0</v>
      </c>
      <c r="M176" s="6">
        <v>1</v>
      </c>
      <c r="N176" s="6">
        <v>1</v>
      </c>
      <c r="O176" s="5">
        <f t="shared" si="27"/>
        <v>47</v>
      </c>
    </row>
    <row r="177" spans="1:15" ht="13.15" customHeight="1" x14ac:dyDescent="0.4">
      <c r="A177" s="7"/>
      <c r="B177" s="46"/>
      <c r="C177" s="24" t="s">
        <v>188</v>
      </c>
      <c r="D177" s="47"/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1</v>
      </c>
      <c r="O177" s="5">
        <f t="shared" si="27"/>
        <v>1</v>
      </c>
    </row>
    <row r="178" spans="1:15" x14ac:dyDescent="0.4">
      <c r="A178" s="7"/>
      <c r="B178" s="46"/>
      <c r="C178" s="24" t="s">
        <v>189</v>
      </c>
      <c r="D178" s="47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5">
        <f t="shared" si="27"/>
        <v>0</v>
      </c>
    </row>
    <row r="179" spans="1:15" ht="12.75" customHeight="1" x14ac:dyDescent="0.4">
      <c r="A179" s="7"/>
      <c r="B179" s="46"/>
      <c r="C179" s="24" t="s">
        <v>190</v>
      </c>
      <c r="D179" s="47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1</v>
      </c>
      <c r="M179" s="6">
        <v>0</v>
      </c>
      <c r="N179" s="6">
        <v>0</v>
      </c>
      <c r="O179" s="5">
        <f t="shared" si="27"/>
        <v>2</v>
      </c>
    </row>
    <row r="180" spans="1:15" x14ac:dyDescent="0.4">
      <c r="A180" s="7"/>
      <c r="B180" s="46"/>
      <c r="C180" s="24" t="s">
        <v>191</v>
      </c>
      <c r="D180" s="47"/>
      <c r="E180" s="6">
        <v>0</v>
      </c>
      <c r="F180" s="6">
        <v>0</v>
      </c>
      <c r="G180" s="6">
        <v>1</v>
      </c>
      <c r="H180" s="6">
        <v>0</v>
      </c>
      <c r="I180" s="6">
        <v>0</v>
      </c>
      <c r="J180" s="6">
        <v>0</v>
      </c>
      <c r="K180" s="6">
        <v>0</v>
      </c>
      <c r="L180" s="6">
        <v>1</v>
      </c>
      <c r="M180" s="6">
        <v>0</v>
      </c>
      <c r="N180" s="6">
        <v>0</v>
      </c>
      <c r="O180" s="5">
        <f t="shared" si="27"/>
        <v>2</v>
      </c>
    </row>
    <row r="181" spans="1:15" ht="12.75" customHeight="1" x14ac:dyDescent="0.4">
      <c r="A181" s="6" t="s">
        <v>26</v>
      </c>
      <c r="B181" s="53" t="s">
        <v>51</v>
      </c>
      <c r="C181" s="54"/>
      <c r="D181" s="55"/>
      <c r="E181" s="5">
        <f>SUM(E174:E180)</f>
        <v>0</v>
      </c>
      <c r="F181" s="5">
        <f>SUM(F174:F180)</f>
        <v>1</v>
      </c>
      <c r="G181" s="5">
        <f>SUM(G174:G180)</f>
        <v>2</v>
      </c>
      <c r="H181" s="5">
        <f>SUM(H174:H180)</f>
        <v>3</v>
      </c>
      <c r="I181" s="5">
        <f>SUM(I174:I180)</f>
        <v>0</v>
      </c>
      <c r="J181" s="5">
        <f>SUM(J174:J180)</f>
        <v>41</v>
      </c>
      <c r="K181" s="5">
        <f>SUM(K174:K180)</f>
        <v>7</v>
      </c>
      <c r="L181" s="5">
        <f>SUM(L174:L180)</f>
        <v>4</v>
      </c>
      <c r="M181" s="5">
        <f>SUM(M174:M180)</f>
        <v>3</v>
      </c>
      <c r="N181" s="5">
        <f>SUM(N174:N180)</f>
        <v>2</v>
      </c>
      <c r="O181" s="5">
        <f>SUM(O174:O180)</f>
        <v>63</v>
      </c>
    </row>
    <row r="182" spans="1:15" x14ac:dyDescent="0.4">
      <c r="A182" s="61"/>
      <c r="B182" s="62"/>
      <c r="C182" s="62"/>
      <c r="D182" s="62"/>
      <c r="E182" s="63"/>
    </row>
    <row r="183" spans="1:15" x14ac:dyDescent="0.4">
      <c r="A183" s="11" t="s">
        <v>48</v>
      </c>
      <c r="B183" s="17" t="s">
        <v>81</v>
      </c>
      <c r="C183" s="59" t="s">
        <v>82</v>
      </c>
      <c r="D183" s="60"/>
      <c r="E183" s="6">
        <v>0</v>
      </c>
      <c r="F183" s="6">
        <v>1</v>
      </c>
      <c r="G183" s="6">
        <v>1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5">
        <f t="shared" ref="O183:O184" si="28">SUM(E183:N183)</f>
        <v>2</v>
      </c>
    </row>
    <row r="184" spans="1:15" x14ac:dyDescent="0.4">
      <c r="A184" s="11" t="s">
        <v>50</v>
      </c>
      <c r="B184" s="46"/>
      <c r="C184" s="24" t="s">
        <v>192</v>
      </c>
      <c r="D184" s="47"/>
      <c r="E184" s="6">
        <v>0</v>
      </c>
      <c r="F184" s="6">
        <v>1</v>
      </c>
      <c r="G184" s="6">
        <v>0</v>
      </c>
      <c r="H184" s="6">
        <v>0</v>
      </c>
      <c r="I184" s="6">
        <v>1</v>
      </c>
      <c r="J184" s="6">
        <v>2</v>
      </c>
      <c r="K184" s="6">
        <v>0</v>
      </c>
      <c r="L184" s="6">
        <v>1</v>
      </c>
      <c r="M184" s="6">
        <v>0</v>
      </c>
      <c r="N184" s="6">
        <v>0</v>
      </c>
      <c r="O184" s="5">
        <f t="shared" si="28"/>
        <v>5</v>
      </c>
    </row>
    <row r="185" spans="1:15" x14ac:dyDescent="0.4">
      <c r="A185" s="6" t="s">
        <v>26</v>
      </c>
      <c r="B185" s="53" t="s">
        <v>51</v>
      </c>
      <c r="C185" s="54"/>
      <c r="D185" s="55"/>
      <c r="E185" s="5">
        <f>SUM(E183:E184)</f>
        <v>0</v>
      </c>
      <c r="F185" s="5">
        <f>SUM(F183:F184)</f>
        <v>2</v>
      </c>
      <c r="G185" s="5">
        <f>SUM(G183:G184)</f>
        <v>1</v>
      </c>
      <c r="H185" s="5">
        <f>SUM(H183:H184)</f>
        <v>0</v>
      </c>
      <c r="I185" s="5">
        <f>SUM(I183:I184)</f>
        <v>1</v>
      </c>
      <c r="J185" s="5">
        <f>SUM(J183:J184)</f>
        <v>2</v>
      </c>
      <c r="K185" s="5">
        <f>SUM(K183:K184)</f>
        <v>0</v>
      </c>
      <c r="L185" s="5">
        <f>SUM(L183:L184)</f>
        <v>1</v>
      </c>
      <c r="M185" s="5">
        <f>SUM(M183:M184)</f>
        <v>0</v>
      </c>
      <c r="N185" s="5">
        <f>SUM(N183:N184)</f>
        <v>0</v>
      </c>
      <c r="O185" s="5">
        <f>SUM(O183:O184)</f>
        <v>7</v>
      </c>
    </row>
    <row r="187" spans="1:15" x14ac:dyDescent="0.4">
      <c r="A187" s="16" t="s">
        <v>83</v>
      </c>
      <c r="B187" s="56" t="s">
        <v>84</v>
      </c>
      <c r="C187" s="57"/>
      <c r="D187" s="58"/>
      <c r="E187" s="5"/>
      <c r="F187" s="5"/>
      <c r="G187" s="5"/>
      <c r="H187" s="5"/>
      <c r="I187" s="5"/>
      <c r="J187" s="5"/>
      <c r="K187" s="5"/>
      <c r="L187" s="5"/>
      <c r="M187" s="5"/>
      <c r="N187" s="15"/>
      <c r="O187" s="5"/>
    </row>
    <row r="188" spans="1:15" x14ac:dyDescent="0.4">
      <c r="A188" s="16"/>
      <c r="B188" s="19" t="s">
        <v>85</v>
      </c>
      <c r="C188" s="51" t="s">
        <v>86</v>
      </c>
      <c r="D188" s="52"/>
      <c r="E188" s="6">
        <f>E52+E61+E70+E79+E88+E92+E101+E110+E119+E128+E131+E140+E149+E158+E163+E172+E181+E185</f>
        <v>201</v>
      </c>
      <c r="F188" s="6">
        <f>F52+F61+F70+F79+F88+F92+F101+F110+F119+F128+F131+F140+F149+F158+F163+F172+F181+F185</f>
        <v>182</v>
      </c>
      <c r="G188" s="6">
        <f>G52+G61+G70+G79+G88+G92+G101+G110+G119+G128+G131+G140+G149+G158+G163+G172+G181+G185</f>
        <v>156</v>
      </c>
      <c r="H188" s="6">
        <f>H52+H61+H70+H79+H88+H92+H101+H110+H119+H128+H131+H140+H149+H158+H163+H172+H181+H185</f>
        <v>209</v>
      </c>
      <c r="I188" s="6">
        <f>I52+I61+I70+I79+I88+I92+I101+I110+I119+I128+I131+I140+I149+I158+I163+I172+I181+I185</f>
        <v>146</v>
      </c>
      <c r="J188" s="6">
        <f>J52+J61+J70+J79+J88+J92+J101+J110+J119+J128+J131+J140+J149+J158+J163+J172+J181+J185</f>
        <v>207</v>
      </c>
      <c r="K188" s="6">
        <f>K52+K61+K70+K79+K88+K92+K101+K110+K119+K128+K131+K140+K149+K158+K163+K172+K181+K185</f>
        <v>189</v>
      </c>
      <c r="L188" s="6">
        <f>L52+L61+L70+L79+L88+L92+L101+L110+L119+L128+L131+L140+L149+L158+L163+L172+L181+L185</f>
        <v>205</v>
      </c>
      <c r="M188" s="6">
        <f>M52+M61+M70+M79+M88+M92+M101+M110+M119+M128+M131+M140+M149+M158+M163+M172+M181+M185</f>
        <v>181</v>
      </c>
      <c r="N188" s="6">
        <f>N52+N61+N70+N79+N88+N92+N101+N110+N119+N128+N131+N140+N149+N158+N163+N172+N181+N185</f>
        <v>116</v>
      </c>
      <c r="O188" s="5">
        <f>SUM(E188:N188)</f>
        <v>1792</v>
      </c>
    </row>
    <row r="189" spans="1:15" x14ac:dyDescent="0.4">
      <c r="A189" s="13"/>
      <c r="B189" s="19" t="s">
        <v>87</v>
      </c>
      <c r="C189" s="51" t="s">
        <v>88</v>
      </c>
      <c r="D189" s="52"/>
      <c r="E189" s="6">
        <v>26</v>
      </c>
      <c r="F189" s="6">
        <v>22</v>
      </c>
      <c r="G189" s="6">
        <v>12</v>
      </c>
      <c r="H189" s="6">
        <v>7</v>
      </c>
      <c r="I189" s="6">
        <v>11</v>
      </c>
      <c r="J189" s="6">
        <v>12</v>
      </c>
      <c r="K189" s="6">
        <v>14</v>
      </c>
      <c r="L189" s="6">
        <v>16</v>
      </c>
      <c r="M189" s="6">
        <v>8</v>
      </c>
      <c r="N189" s="6">
        <v>14</v>
      </c>
      <c r="O189" s="5">
        <f>SUM(E189:N189)</f>
        <v>142</v>
      </c>
    </row>
    <row r="190" spans="1:15" x14ac:dyDescent="0.4">
      <c r="A190" s="14"/>
      <c r="B190" s="19" t="s">
        <v>89</v>
      </c>
      <c r="C190" s="51" t="s">
        <v>90</v>
      </c>
      <c r="D190" s="52"/>
      <c r="E190" s="5">
        <f>SUM(E188:E189)</f>
        <v>227</v>
      </c>
      <c r="F190" s="5">
        <f t="shared" ref="F190:N190" si="29">SUM(F188:F189)</f>
        <v>204</v>
      </c>
      <c r="G190" s="5">
        <f t="shared" si="29"/>
        <v>168</v>
      </c>
      <c r="H190" s="5">
        <f t="shared" si="29"/>
        <v>216</v>
      </c>
      <c r="I190" s="5">
        <f t="shared" si="29"/>
        <v>157</v>
      </c>
      <c r="J190" s="5">
        <f t="shared" si="29"/>
        <v>219</v>
      </c>
      <c r="K190" s="5">
        <f t="shared" si="29"/>
        <v>203</v>
      </c>
      <c r="L190" s="5">
        <f t="shared" si="29"/>
        <v>221</v>
      </c>
      <c r="M190" s="5">
        <f t="shared" si="29"/>
        <v>189</v>
      </c>
      <c r="N190" s="5">
        <f t="shared" si="29"/>
        <v>130</v>
      </c>
      <c r="O190" s="5">
        <f>SUM(E190:N190)</f>
        <v>1934</v>
      </c>
    </row>
  </sheetData>
  <mergeCells count="87">
    <mergeCell ref="A17:D17"/>
    <mergeCell ref="B18:D18"/>
    <mergeCell ref="B19:B21"/>
    <mergeCell ref="C19:C21"/>
    <mergeCell ref="B22:B24"/>
    <mergeCell ref="C22:C24"/>
    <mergeCell ref="B12:D12"/>
    <mergeCell ref="E12:N12"/>
    <mergeCell ref="O12:O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I37"/>
    <mergeCell ref="B38:D38"/>
    <mergeCell ref="A42:D42"/>
    <mergeCell ref="E42:I42"/>
    <mergeCell ref="B43:D43"/>
    <mergeCell ref="A44:D44"/>
    <mergeCell ref="C45:D45"/>
    <mergeCell ref="B39:C41"/>
    <mergeCell ref="C81:D81"/>
    <mergeCell ref="B52:D52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112:D112"/>
    <mergeCell ref="B88:D88"/>
    <mergeCell ref="A89:E89"/>
    <mergeCell ref="C90:D90"/>
    <mergeCell ref="B92:D92"/>
    <mergeCell ref="A93:E93"/>
    <mergeCell ref="C94:D94"/>
    <mergeCell ref="B101:D101"/>
    <mergeCell ref="A102:E102"/>
    <mergeCell ref="C103:D103"/>
    <mergeCell ref="B110:D110"/>
    <mergeCell ref="A111:E111"/>
    <mergeCell ref="C91:D91"/>
    <mergeCell ref="C142:D142"/>
    <mergeCell ref="B119:D119"/>
    <mergeCell ref="A120:E120"/>
    <mergeCell ref="C121:D121"/>
    <mergeCell ref="B128:D128"/>
    <mergeCell ref="A129:E129"/>
    <mergeCell ref="C130:D130"/>
    <mergeCell ref="B131:D131"/>
    <mergeCell ref="A132:E132"/>
    <mergeCell ref="C133:D133"/>
    <mergeCell ref="B140:D140"/>
    <mergeCell ref="A141:E141"/>
    <mergeCell ref="C189:D189"/>
    <mergeCell ref="C190:D190"/>
    <mergeCell ref="B181:D181"/>
    <mergeCell ref="A182:E182"/>
    <mergeCell ref="C183:D183"/>
    <mergeCell ref="B185:D185"/>
    <mergeCell ref="B187:D187"/>
    <mergeCell ref="C188:D188"/>
    <mergeCell ref="C174:D174"/>
    <mergeCell ref="B149:D149"/>
    <mergeCell ref="A150:E150"/>
    <mergeCell ref="C151:D151"/>
    <mergeCell ref="B158:D158"/>
    <mergeCell ref="A159:E159"/>
    <mergeCell ref="C160:D160"/>
    <mergeCell ref="B163:D163"/>
    <mergeCell ref="A164:E164"/>
    <mergeCell ref="C165:D165"/>
    <mergeCell ref="B172:D172"/>
    <mergeCell ref="A173:E173"/>
  </mergeCells>
  <conditionalFormatting sqref="E14:N15">
    <cfRule type="containsBlanks" dxfId="117" priority="23">
      <formula>LEN(TRIM(E14))=0</formula>
    </cfRule>
  </conditionalFormatting>
  <conditionalFormatting sqref="E19:N20">
    <cfRule type="containsBlanks" dxfId="116" priority="26">
      <formula>LEN(TRIM(E19))=0</formula>
    </cfRule>
  </conditionalFormatting>
  <conditionalFormatting sqref="E22:N23 E25:N26 E33:N33 E35:N35 E39:N40">
    <cfRule type="containsBlanks" dxfId="115" priority="27">
      <formula>LEN(TRIM(E22))=0</formula>
    </cfRule>
  </conditionalFormatting>
  <conditionalFormatting sqref="E30:N30">
    <cfRule type="expression" dxfId="114" priority="28">
      <formula>E30&lt;&gt;E47</formula>
    </cfRule>
    <cfRule type="expression" dxfId="113" priority="29">
      <formula>E30&lt;&gt;E34</formula>
    </cfRule>
  </conditionalFormatting>
  <conditionalFormatting sqref="E45:N51">
    <cfRule type="containsBlanks" dxfId="112" priority="22">
      <formula>LEN(TRIM(E45))=0</formula>
    </cfRule>
  </conditionalFormatting>
  <conditionalFormatting sqref="E54:N60">
    <cfRule type="containsBlanks" dxfId="111" priority="21">
      <formula>LEN(TRIM(E54))=0</formula>
    </cfRule>
  </conditionalFormatting>
  <conditionalFormatting sqref="E63:N69">
    <cfRule type="containsBlanks" dxfId="110" priority="20">
      <formula>LEN(TRIM(E63))=0</formula>
    </cfRule>
  </conditionalFormatting>
  <conditionalFormatting sqref="E72:N78">
    <cfRule type="containsBlanks" dxfId="109" priority="19">
      <formula>LEN(TRIM(E72))=0</formula>
    </cfRule>
  </conditionalFormatting>
  <conditionalFormatting sqref="E81:N87">
    <cfRule type="containsBlanks" dxfId="108" priority="18">
      <formula>LEN(TRIM(E81))=0</formula>
    </cfRule>
  </conditionalFormatting>
  <conditionalFormatting sqref="E90:N91">
    <cfRule type="containsBlanks" dxfId="107" priority="17">
      <formula>LEN(TRIM(E90))=0</formula>
    </cfRule>
  </conditionalFormatting>
  <conditionalFormatting sqref="E94:N100">
    <cfRule type="containsBlanks" dxfId="106" priority="3">
      <formula>LEN(TRIM(E94))=0</formula>
    </cfRule>
  </conditionalFormatting>
  <conditionalFormatting sqref="E103:N109">
    <cfRule type="containsBlanks" dxfId="105" priority="16">
      <formula>LEN(TRIM(E103))=0</formula>
    </cfRule>
  </conditionalFormatting>
  <conditionalFormatting sqref="E112:N118">
    <cfRule type="containsBlanks" dxfId="104" priority="15">
      <formula>LEN(TRIM(E112))=0</formula>
    </cfRule>
  </conditionalFormatting>
  <conditionalFormatting sqref="E121:N127">
    <cfRule type="containsBlanks" dxfId="103" priority="5">
      <formula>LEN(TRIM(E121))=0</formula>
    </cfRule>
  </conditionalFormatting>
  <conditionalFormatting sqref="E130:N130">
    <cfRule type="containsBlanks" dxfId="102" priority="14">
      <formula>LEN(TRIM(E130))=0</formula>
    </cfRule>
  </conditionalFormatting>
  <conditionalFormatting sqref="E133:N139">
    <cfRule type="containsBlanks" dxfId="101" priority="13">
      <formula>LEN(TRIM(E133))=0</formula>
    </cfRule>
  </conditionalFormatting>
  <conditionalFormatting sqref="E160:N162">
    <cfRule type="containsBlanks" dxfId="98" priority="10">
      <formula>LEN(TRIM(E160))=0</formula>
    </cfRule>
  </conditionalFormatting>
  <conditionalFormatting sqref="E165:N171">
    <cfRule type="containsBlanks" dxfId="97" priority="9">
      <formula>LEN(TRIM(E165))=0</formula>
    </cfRule>
  </conditionalFormatting>
  <conditionalFormatting sqref="E174:N180">
    <cfRule type="containsBlanks" dxfId="96" priority="8">
      <formula>LEN(TRIM(E174))=0</formula>
    </cfRule>
  </conditionalFormatting>
  <conditionalFormatting sqref="E183:N184">
    <cfRule type="containsBlanks" dxfId="95" priority="6">
      <formula>LEN(TRIM(E183))=0</formula>
    </cfRule>
  </conditionalFormatting>
  <conditionalFormatting sqref="E188:N189">
    <cfRule type="containsBlanks" dxfId="94" priority="4">
      <formula>LEN(TRIM(E188))=0</formula>
    </cfRule>
  </conditionalFormatting>
  <conditionalFormatting sqref="E34:N34">
    <cfRule type="expression" dxfId="93" priority="127">
      <formula>E30&lt;&gt;E34</formula>
    </cfRule>
    <cfRule type="expression" dxfId="92" priority="128">
      <formula>E30=E34</formula>
    </cfRule>
    <cfRule type="expression" dxfId="91" priority="129">
      <formula>E34&lt;&gt;E30</formula>
    </cfRule>
    <cfRule type="expression" dxfId="90" priority="130">
      <formula>E34&lt;&gt;#REF!</formula>
    </cfRule>
  </conditionalFormatting>
  <conditionalFormatting sqref="E151:N157">
    <cfRule type="containsBlanks" dxfId="3" priority="2">
      <formula>LEN(TRIM(E151))=0</formula>
    </cfRule>
  </conditionalFormatting>
  <conditionalFormatting sqref="E142:N148">
    <cfRule type="containsBlanks" dxfId="2" priority="1">
      <formula>LEN(TRIM(E142))=0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DC3E-C802-4EDF-840F-8E9CD6EFC90E}">
  <sheetPr>
    <tabColor rgb="FF92D050"/>
  </sheetPr>
  <dimension ref="A2:S190"/>
  <sheetViews>
    <sheetView topLeftCell="A13" zoomScale="85" zoomScaleNormal="85" workbookViewId="0">
      <pane ySplit="1" topLeftCell="A185" activePane="bottomLeft" state="frozen"/>
      <selection activeCell="E14" sqref="E14"/>
      <selection pane="bottomLeft" activeCell="E189" sqref="E189"/>
    </sheetView>
  </sheetViews>
  <sheetFormatPr defaultRowHeight="13.15" x14ac:dyDescent="0.4"/>
  <cols>
    <col min="3" max="3" width="67.140625" bestFit="1" customWidth="1"/>
    <col min="4" max="4" width="5.85546875" bestFit="1" customWidth="1"/>
    <col min="19" max="19" width="13.28515625" customWidth="1"/>
  </cols>
  <sheetData>
    <row r="2" spans="1:19" x14ac:dyDescent="0.4">
      <c r="C2" s="43" t="s">
        <v>98</v>
      </c>
      <c r="D2" s="43" t="s">
        <v>105</v>
      </c>
    </row>
    <row r="3" spans="1:19" x14ac:dyDescent="0.4">
      <c r="C3" s="43" t="s">
        <v>99</v>
      </c>
      <c r="D3" s="43" t="s">
        <v>100</v>
      </c>
    </row>
    <row r="4" spans="1:19" x14ac:dyDescent="0.4">
      <c r="C4" s="43" t="s">
        <v>101</v>
      </c>
      <c r="D4" s="43" t="s">
        <v>102</v>
      </c>
    </row>
    <row r="5" spans="1:19" x14ac:dyDescent="0.4">
      <c r="C5" s="43"/>
      <c r="D5" s="43"/>
    </row>
    <row r="6" spans="1:19" x14ac:dyDescent="0.4">
      <c r="C6" s="43"/>
      <c r="D6" s="43"/>
    </row>
    <row r="7" spans="1:19" x14ac:dyDescent="0.4">
      <c r="C7" s="43"/>
      <c r="D7" s="43"/>
    </row>
    <row r="8" spans="1:19" x14ac:dyDescent="0.4">
      <c r="C8" s="43"/>
      <c r="D8" s="43"/>
    </row>
    <row r="9" spans="1:19" x14ac:dyDescent="0.4">
      <c r="C9" s="43" t="s">
        <v>103</v>
      </c>
      <c r="D9" s="43" t="s">
        <v>200</v>
      </c>
    </row>
    <row r="11" spans="1:1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3"/>
      <c r="P11" s="3"/>
      <c r="Q11" s="3"/>
    </row>
    <row r="12" spans="1:19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2" t="s">
        <v>97</v>
      </c>
    </row>
    <row r="13" spans="1:19" x14ac:dyDescent="0.4">
      <c r="A13" s="6" t="s">
        <v>2</v>
      </c>
      <c r="B13" s="78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93"/>
    </row>
    <row r="14" spans="1:19" x14ac:dyDescent="0.4">
      <c r="A14" s="7"/>
      <c r="B14" s="81" t="s">
        <v>22</v>
      </c>
      <c r="C14" s="68"/>
      <c r="D14" s="6" t="s">
        <v>23</v>
      </c>
      <c r="E14" s="6">
        <v>146</v>
      </c>
      <c r="F14" s="6">
        <v>121</v>
      </c>
      <c r="G14" s="6">
        <v>131</v>
      </c>
      <c r="H14" s="6">
        <v>119</v>
      </c>
      <c r="I14" s="6">
        <v>136</v>
      </c>
      <c r="J14" s="6">
        <v>114</v>
      </c>
      <c r="K14" s="6">
        <v>105</v>
      </c>
      <c r="L14" s="6">
        <v>122</v>
      </c>
      <c r="M14" s="6">
        <v>115</v>
      </c>
      <c r="N14" s="6">
        <v>128</v>
      </c>
      <c r="O14" s="6">
        <v>139</v>
      </c>
      <c r="P14" s="6">
        <v>134</v>
      </c>
      <c r="Q14" s="6">
        <v>116</v>
      </c>
      <c r="R14" s="6">
        <v>120</v>
      </c>
      <c r="S14" s="5">
        <f>SUM(E14:R14)</f>
        <v>1746</v>
      </c>
    </row>
    <row r="15" spans="1:19" x14ac:dyDescent="0.4">
      <c r="A15" s="7"/>
      <c r="B15" s="82"/>
      <c r="C15" s="75"/>
      <c r="D15" s="6" t="s">
        <v>24</v>
      </c>
      <c r="E15" s="6">
        <v>137</v>
      </c>
      <c r="F15" s="6">
        <v>124</v>
      </c>
      <c r="G15" s="6">
        <v>144</v>
      </c>
      <c r="H15" s="6">
        <v>121</v>
      </c>
      <c r="I15" s="6">
        <v>152</v>
      </c>
      <c r="J15" s="6">
        <v>97</v>
      </c>
      <c r="K15" s="6">
        <v>93</v>
      </c>
      <c r="L15" s="6">
        <v>123</v>
      </c>
      <c r="M15" s="6">
        <v>111</v>
      </c>
      <c r="N15" s="6">
        <v>114</v>
      </c>
      <c r="O15" s="6">
        <v>143</v>
      </c>
      <c r="P15" s="6">
        <v>143</v>
      </c>
      <c r="Q15" s="6">
        <v>108</v>
      </c>
      <c r="R15" s="6">
        <v>130</v>
      </c>
      <c r="S15" s="5">
        <f>SUM(E15:R15)</f>
        <v>1740</v>
      </c>
    </row>
    <row r="16" spans="1:19" x14ac:dyDescent="0.4">
      <c r="A16" s="8"/>
      <c r="B16" s="80"/>
      <c r="C16" s="76"/>
      <c r="D16" s="5" t="s">
        <v>25</v>
      </c>
      <c r="E16" s="5">
        <f t="shared" ref="E16:R16" si="0">SUM(E14:E15)</f>
        <v>283</v>
      </c>
      <c r="F16" s="5">
        <f t="shared" si="0"/>
        <v>245</v>
      </c>
      <c r="G16" s="5">
        <f t="shared" si="0"/>
        <v>275</v>
      </c>
      <c r="H16" s="5">
        <f t="shared" si="0"/>
        <v>240</v>
      </c>
      <c r="I16" s="5">
        <f t="shared" si="0"/>
        <v>288</v>
      </c>
      <c r="J16" s="5">
        <f t="shared" si="0"/>
        <v>211</v>
      </c>
      <c r="K16" s="5">
        <f t="shared" si="0"/>
        <v>198</v>
      </c>
      <c r="L16" s="5">
        <f t="shared" si="0"/>
        <v>245</v>
      </c>
      <c r="M16" s="5">
        <f t="shared" si="0"/>
        <v>226</v>
      </c>
      <c r="N16" s="5">
        <f t="shared" ref="N16:P16" si="1">SUM(N14:N15)</f>
        <v>242</v>
      </c>
      <c r="O16" s="5">
        <f t="shared" si="1"/>
        <v>282</v>
      </c>
      <c r="P16" s="5">
        <f t="shared" si="1"/>
        <v>277</v>
      </c>
      <c r="Q16" s="5">
        <f t="shared" si="0"/>
        <v>224</v>
      </c>
      <c r="R16" s="5">
        <f t="shared" si="0"/>
        <v>250</v>
      </c>
      <c r="S16" s="5">
        <f>SUM(E16:R16)</f>
        <v>3486</v>
      </c>
    </row>
    <row r="17" spans="1:19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28"/>
    </row>
    <row r="18" spans="1:19" x14ac:dyDescent="0.4">
      <c r="A18" s="11" t="s">
        <v>26</v>
      </c>
      <c r="B18" s="78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28"/>
    </row>
    <row r="19" spans="1:19" x14ac:dyDescent="0.4">
      <c r="A19" s="11"/>
      <c r="B19" s="83" t="s">
        <v>28</v>
      </c>
      <c r="C19" s="84" t="s">
        <v>29</v>
      </c>
      <c r="D19" s="6" t="s">
        <v>23</v>
      </c>
      <c r="E19" s="6">
        <v>110</v>
      </c>
      <c r="F19" s="6">
        <v>100</v>
      </c>
      <c r="G19" s="6">
        <v>112</v>
      </c>
      <c r="H19" s="6">
        <v>95</v>
      </c>
      <c r="I19" s="6">
        <v>98</v>
      </c>
      <c r="J19" s="6">
        <v>90</v>
      </c>
      <c r="K19" s="6">
        <v>89</v>
      </c>
      <c r="L19" s="6">
        <v>96</v>
      </c>
      <c r="M19" s="6">
        <v>85</v>
      </c>
      <c r="N19" s="6">
        <v>95</v>
      </c>
      <c r="O19" s="6">
        <v>117</v>
      </c>
      <c r="P19" s="6">
        <v>111</v>
      </c>
      <c r="Q19" s="6">
        <v>82</v>
      </c>
      <c r="R19" s="6">
        <v>100</v>
      </c>
      <c r="S19" s="5">
        <f t="shared" ref="S19:S30" si="2">SUM(E19:R19)</f>
        <v>1380</v>
      </c>
    </row>
    <row r="20" spans="1:19" x14ac:dyDescent="0.4">
      <c r="A20" s="12"/>
      <c r="B20" s="75"/>
      <c r="C20" s="85"/>
      <c r="D20" s="6" t="s">
        <v>24</v>
      </c>
      <c r="E20" s="6">
        <v>110</v>
      </c>
      <c r="F20" s="6">
        <v>106</v>
      </c>
      <c r="G20" s="6">
        <v>126</v>
      </c>
      <c r="H20" s="6">
        <v>99</v>
      </c>
      <c r="I20" s="6">
        <v>116</v>
      </c>
      <c r="J20" s="6">
        <v>81</v>
      </c>
      <c r="K20" s="6">
        <v>82</v>
      </c>
      <c r="L20" s="6">
        <v>103</v>
      </c>
      <c r="M20" s="6">
        <v>91</v>
      </c>
      <c r="N20" s="6">
        <v>93</v>
      </c>
      <c r="O20" s="6">
        <v>124</v>
      </c>
      <c r="P20" s="6">
        <v>125</v>
      </c>
      <c r="Q20" s="6">
        <v>82</v>
      </c>
      <c r="R20" s="6">
        <v>115</v>
      </c>
      <c r="S20" s="5">
        <f t="shared" si="2"/>
        <v>1453</v>
      </c>
    </row>
    <row r="21" spans="1:19" x14ac:dyDescent="0.4">
      <c r="A21" s="13"/>
      <c r="B21" s="76"/>
      <c r="C21" s="86"/>
      <c r="D21" s="5" t="s">
        <v>25</v>
      </c>
      <c r="E21" s="5">
        <f t="shared" ref="E21:R21" si="3">SUM(E19:E20)</f>
        <v>220</v>
      </c>
      <c r="F21" s="5">
        <f t="shared" si="3"/>
        <v>206</v>
      </c>
      <c r="G21" s="5">
        <f t="shared" si="3"/>
        <v>238</v>
      </c>
      <c r="H21" s="5">
        <f t="shared" si="3"/>
        <v>194</v>
      </c>
      <c r="I21" s="5">
        <f t="shared" si="3"/>
        <v>214</v>
      </c>
      <c r="J21" s="5">
        <f t="shared" si="3"/>
        <v>171</v>
      </c>
      <c r="K21" s="5">
        <f t="shared" si="3"/>
        <v>171</v>
      </c>
      <c r="L21" s="5">
        <f t="shared" si="3"/>
        <v>199</v>
      </c>
      <c r="M21" s="5">
        <f t="shared" si="3"/>
        <v>176</v>
      </c>
      <c r="N21" s="5">
        <f t="shared" ref="N21:P21" si="4">SUM(N19:N20)</f>
        <v>188</v>
      </c>
      <c r="O21" s="5">
        <f t="shared" si="4"/>
        <v>241</v>
      </c>
      <c r="P21" s="5">
        <f t="shared" si="4"/>
        <v>236</v>
      </c>
      <c r="Q21" s="5">
        <f t="shared" si="3"/>
        <v>164</v>
      </c>
      <c r="R21" s="5">
        <f t="shared" si="3"/>
        <v>215</v>
      </c>
      <c r="S21" s="5">
        <f t="shared" si="2"/>
        <v>2833</v>
      </c>
    </row>
    <row r="22" spans="1:19" x14ac:dyDescent="0.4">
      <c r="A22" s="12"/>
      <c r="B22" s="83" t="s">
        <v>30</v>
      </c>
      <c r="C22" s="84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3</v>
      </c>
      <c r="I22" s="6">
        <v>0</v>
      </c>
      <c r="J22" s="6">
        <v>1</v>
      </c>
      <c r="K22" s="6">
        <v>0</v>
      </c>
      <c r="L22" s="6">
        <v>1</v>
      </c>
      <c r="M22" s="6">
        <v>0</v>
      </c>
      <c r="N22" s="6">
        <v>0</v>
      </c>
      <c r="O22" s="6">
        <v>0</v>
      </c>
      <c r="P22" s="6">
        <v>1</v>
      </c>
      <c r="Q22" s="6">
        <v>0</v>
      </c>
      <c r="R22" s="6">
        <v>0</v>
      </c>
      <c r="S22" s="5">
        <f t="shared" si="2"/>
        <v>6</v>
      </c>
    </row>
    <row r="23" spans="1:19" x14ac:dyDescent="0.4">
      <c r="A23" s="12"/>
      <c r="B23" s="75"/>
      <c r="C23" s="85"/>
      <c r="D23" s="6" t="s">
        <v>24</v>
      </c>
      <c r="E23" s="6">
        <v>0</v>
      </c>
      <c r="F23" s="6">
        <v>0</v>
      </c>
      <c r="G23" s="6">
        <v>0</v>
      </c>
      <c r="H23" s="6">
        <v>2</v>
      </c>
      <c r="I23" s="6">
        <v>2</v>
      </c>
      <c r="J23" s="6">
        <v>1</v>
      </c>
      <c r="K23" s="6">
        <v>1</v>
      </c>
      <c r="L23" s="6">
        <v>0</v>
      </c>
      <c r="M23" s="6">
        <v>1</v>
      </c>
      <c r="N23" s="6">
        <v>0</v>
      </c>
      <c r="O23" s="6">
        <v>0</v>
      </c>
      <c r="P23" s="6">
        <v>1</v>
      </c>
      <c r="Q23" s="6">
        <v>1</v>
      </c>
      <c r="R23" s="6">
        <v>0</v>
      </c>
      <c r="S23" s="5">
        <f t="shared" si="2"/>
        <v>9</v>
      </c>
    </row>
    <row r="24" spans="1:19" x14ac:dyDescent="0.4">
      <c r="A24" s="13"/>
      <c r="B24" s="76"/>
      <c r="C24" s="86"/>
      <c r="D24" s="5" t="s">
        <v>25</v>
      </c>
      <c r="E24" s="5">
        <f t="shared" ref="E24:R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5</v>
      </c>
      <c r="I24" s="5">
        <f t="shared" si="5"/>
        <v>2</v>
      </c>
      <c r="J24" s="5">
        <f t="shared" si="5"/>
        <v>2</v>
      </c>
      <c r="K24" s="5">
        <f t="shared" si="5"/>
        <v>1</v>
      </c>
      <c r="L24" s="5">
        <f t="shared" si="5"/>
        <v>1</v>
      </c>
      <c r="M24" s="5">
        <f t="shared" si="5"/>
        <v>1</v>
      </c>
      <c r="N24" s="5">
        <f t="shared" ref="N24:P24" si="6">SUM(N22:N23)</f>
        <v>0</v>
      </c>
      <c r="O24" s="5">
        <f t="shared" si="6"/>
        <v>0</v>
      </c>
      <c r="P24" s="5">
        <f t="shared" si="6"/>
        <v>2</v>
      </c>
      <c r="Q24" s="5">
        <f t="shared" si="5"/>
        <v>1</v>
      </c>
      <c r="R24" s="5">
        <f t="shared" si="5"/>
        <v>0</v>
      </c>
      <c r="S24" s="5">
        <f t="shared" si="2"/>
        <v>15</v>
      </c>
    </row>
    <row r="25" spans="1:19" x14ac:dyDescent="0.4">
      <c r="A25" s="12"/>
      <c r="B25" s="83" t="s">
        <v>32</v>
      </c>
      <c r="C25" s="84" t="s">
        <v>33</v>
      </c>
      <c r="D25" s="6" t="s">
        <v>23</v>
      </c>
      <c r="E25" s="6">
        <v>2</v>
      </c>
      <c r="F25" s="6">
        <v>1</v>
      </c>
      <c r="G25" s="6">
        <v>0</v>
      </c>
      <c r="H25" s="6">
        <v>1</v>
      </c>
      <c r="I25" s="6">
        <v>0</v>
      </c>
      <c r="J25" s="6">
        <v>0</v>
      </c>
      <c r="K25" s="6">
        <v>0</v>
      </c>
      <c r="L25" s="6">
        <v>2</v>
      </c>
      <c r="M25" s="6">
        <v>0</v>
      </c>
      <c r="N25" s="6">
        <v>3</v>
      </c>
      <c r="O25" s="6">
        <v>0</v>
      </c>
      <c r="P25" s="6">
        <v>2</v>
      </c>
      <c r="Q25" s="6">
        <v>4</v>
      </c>
      <c r="R25" s="6">
        <v>0</v>
      </c>
      <c r="S25" s="5">
        <f t="shared" si="2"/>
        <v>15</v>
      </c>
    </row>
    <row r="26" spans="1:19" x14ac:dyDescent="0.4">
      <c r="A26" s="12"/>
      <c r="B26" s="75"/>
      <c r="C26" s="85"/>
      <c r="D26" s="6" t="s">
        <v>24</v>
      </c>
      <c r="E26" s="6">
        <v>4</v>
      </c>
      <c r="F26" s="6">
        <v>1</v>
      </c>
      <c r="G26" s="6">
        <v>0</v>
      </c>
      <c r="H26" s="6">
        <v>0</v>
      </c>
      <c r="I26" s="6">
        <v>1</v>
      </c>
      <c r="J26" s="6">
        <v>0</v>
      </c>
      <c r="K26" s="6">
        <v>2</v>
      </c>
      <c r="L26" s="6">
        <v>3</v>
      </c>
      <c r="M26" s="6">
        <v>3</v>
      </c>
      <c r="N26" s="6">
        <v>3</v>
      </c>
      <c r="O26" s="6">
        <v>3</v>
      </c>
      <c r="P26" s="6">
        <v>1</v>
      </c>
      <c r="Q26" s="6">
        <v>2</v>
      </c>
      <c r="R26" s="6">
        <v>0</v>
      </c>
      <c r="S26" s="5">
        <f t="shared" si="2"/>
        <v>23</v>
      </c>
    </row>
    <row r="27" spans="1:19" x14ac:dyDescent="0.4">
      <c r="A27" s="13"/>
      <c r="B27" s="76"/>
      <c r="C27" s="86"/>
      <c r="D27" s="5" t="s">
        <v>25</v>
      </c>
      <c r="E27" s="5">
        <f t="shared" ref="E27:R27" si="7">SUM(E25:E26)</f>
        <v>6</v>
      </c>
      <c r="F27" s="5">
        <f t="shared" si="7"/>
        <v>2</v>
      </c>
      <c r="G27" s="5">
        <f t="shared" si="7"/>
        <v>0</v>
      </c>
      <c r="H27" s="5">
        <f t="shared" si="7"/>
        <v>1</v>
      </c>
      <c r="I27" s="5">
        <f t="shared" si="7"/>
        <v>1</v>
      </c>
      <c r="J27" s="5">
        <f t="shared" si="7"/>
        <v>0</v>
      </c>
      <c r="K27" s="5">
        <f t="shared" si="7"/>
        <v>2</v>
      </c>
      <c r="L27" s="5">
        <f t="shared" si="7"/>
        <v>5</v>
      </c>
      <c r="M27" s="5">
        <f t="shared" si="7"/>
        <v>3</v>
      </c>
      <c r="N27" s="5">
        <f t="shared" ref="N27:P27" si="8">SUM(N25:N26)</f>
        <v>6</v>
      </c>
      <c r="O27" s="5">
        <f t="shared" si="8"/>
        <v>3</v>
      </c>
      <c r="P27" s="5">
        <f t="shared" si="8"/>
        <v>3</v>
      </c>
      <c r="Q27" s="5">
        <f t="shared" si="7"/>
        <v>6</v>
      </c>
      <c r="R27" s="5">
        <f t="shared" si="7"/>
        <v>0</v>
      </c>
      <c r="S27" s="5">
        <f t="shared" si="2"/>
        <v>38</v>
      </c>
    </row>
    <row r="28" spans="1:19" x14ac:dyDescent="0.4">
      <c r="A28" s="13"/>
      <c r="B28" s="87" t="s">
        <v>34</v>
      </c>
      <c r="C28" s="88" t="s">
        <v>35</v>
      </c>
      <c r="D28" s="5" t="s">
        <v>23</v>
      </c>
      <c r="E28" s="5">
        <f>SUM(E19,E22,E25)</f>
        <v>112</v>
      </c>
      <c r="F28" s="5">
        <f t="shared" ref="F28:R29" si="9">SUM(F19,F22,F25)</f>
        <v>101</v>
      </c>
      <c r="G28" s="5">
        <f t="shared" si="9"/>
        <v>112</v>
      </c>
      <c r="H28" s="5">
        <f t="shared" si="9"/>
        <v>99</v>
      </c>
      <c r="I28" s="5">
        <f t="shared" si="9"/>
        <v>98</v>
      </c>
      <c r="J28" s="5">
        <f t="shared" si="9"/>
        <v>91</v>
      </c>
      <c r="K28" s="5">
        <f t="shared" si="9"/>
        <v>89</v>
      </c>
      <c r="L28" s="5">
        <f t="shared" si="9"/>
        <v>99</v>
      </c>
      <c r="M28" s="5">
        <f t="shared" si="9"/>
        <v>85</v>
      </c>
      <c r="N28" s="5">
        <f t="shared" ref="N28:P28" si="10">SUM(N19,N22,N25)</f>
        <v>98</v>
      </c>
      <c r="O28" s="5">
        <f t="shared" si="10"/>
        <v>117</v>
      </c>
      <c r="P28" s="5">
        <f t="shared" si="10"/>
        <v>114</v>
      </c>
      <c r="Q28" s="5">
        <f t="shared" si="9"/>
        <v>86</v>
      </c>
      <c r="R28" s="5">
        <f t="shared" si="9"/>
        <v>100</v>
      </c>
      <c r="S28" s="5">
        <f t="shared" si="2"/>
        <v>1401</v>
      </c>
    </row>
    <row r="29" spans="1:19" x14ac:dyDescent="0.4">
      <c r="A29" s="13"/>
      <c r="B29" s="75"/>
      <c r="C29" s="85"/>
      <c r="D29" s="5" t="s">
        <v>24</v>
      </c>
      <c r="E29" s="5">
        <f>SUM(E20,E23,E26)</f>
        <v>114</v>
      </c>
      <c r="F29" s="5">
        <f t="shared" si="9"/>
        <v>107</v>
      </c>
      <c r="G29" s="5">
        <f t="shared" si="9"/>
        <v>126</v>
      </c>
      <c r="H29" s="5">
        <f t="shared" si="9"/>
        <v>101</v>
      </c>
      <c r="I29" s="5">
        <f t="shared" si="9"/>
        <v>119</v>
      </c>
      <c r="J29" s="5">
        <f t="shared" si="9"/>
        <v>82</v>
      </c>
      <c r="K29" s="5">
        <f t="shared" si="9"/>
        <v>85</v>
      </c>
      <c r="L29" s="5">
        <f t="shared" si="9"/>
        <v>106</v>
      </c>
      <c r="M29" s="5">
        <f t="shared" si="9"/>
        <v>95</v>
      </c>
      <c r="N29" s="5">
        <f t="shared" ref="N29:P29" si="11">SUM(N20,N23,N26)</f>
        <v>96</v>
      </c>
      <c r="O29" s="5">
        <f t="shared" si="11"/>
        <v>127</v>
      </c>
      <c r="P29" s="5">
        <f t="shared" si="11"/>
        <v>127</v>
      </c>
      <c r="Q29" s="5">
        <f t="shared" si="9"/>
        <v>85</v>
      </c>
      <c r="R29" s="5">
        <f t="shared" si="9"/>
        <v>115</v>
      </c>
      <c r="S29" s="5">
        <f t="shared" si="2"/>
        <v>1485</v>
      </c>
    </row>
    <row r="30" spans="1:19" x14ac:dyDescent="0.4">
      <c r="A30" s="13"/>
      <c r="B30" s="76"/>
      <c r="C30" s="86"/>
      <c r="D30" s="5" t="s">
        <v>25</v>
      </c>
      <c r="E30" s="5">
        <f t="shared" ref="E30" si="12">SUM(E28:E29)</f>
        <v>226</v>
      </c>
      <c r="F30" s="5">
        <f t="shared" ref="F30:R30" si="13">SUM(F28:F29)</f>
        <v>208</v>
      </c>
      <c r="G30" s="5">
        <f t="shared" si="13"/>
        <v>238</v>
      </c>
      <c r="H30" s="5">
        <f t="shared" si="13"/>
        <v>200</v>
      </c>
      <c r="I30" s="5">
        <f t="shared" si="13"/>
        <v>217</v>
      </c>
      <c r="J30" s="5">
        <f t="shared" si="13"/>
        <v>173</v>
      </c>
      <c r="K30" s="5">
        <f t="shared" si="13"/>
        <v>174</v>
      </c>
      <c r="L30" s="5">
        <f t="shared" si="13"/>
        <v>205</v>
      </c>
      <c r="M30" s="5">
        <f t="shared" si="13"/>
        <v>180</v>
      </c>
      <c r="N30" s="5">
        <f t="shared" ref="N30:P30" si="14">SUM(N28:N29)</f>
        <v>194</v>
      </c>
      <c r="O30" s="5">
        <f t="shared" si="14"/>
        <v>244</v>
      </c>
      <c r="P30" s="5">
        <f t="shared" si="14"/>
        <v>241</v>
      </c>
      <c r="Q30" s="5">
        <f t="shared" si="13"/>
        <v>171</v>
      </c>
      <c r="R30" s="5">
        <f t="shared" si="13"/>
        <v>215</v>
      </c>
      <c r="S30" s="5">
        <f t="shared" si="2"/>
        <v>2886</v>
      </c>
    </row>
    <row r="31" spans="1:19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28"/>
    </row>
    <row r="32" spans="1:19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28"/>
    </row>
    <row r="33" spans="1:19" x14ac:dyDescent="0.4">
      <c r="A33" s="6">
        <v>1</v>
      </c>
      <c r="B33" s="78" t="s">
        <v>38</v>
      </c>
      <c r="C33" s="69"/>
      <c r="D33" s="60"/>
      <c r="E33" s="6">
        <v>289</v>
      </c>
      <c r="F33" s="6">
        <v>250</v>
      </c>
      <c r="G33" s="6">
        <v>281</v>
      </c>
      <c r="H33" s="6">
        <v>245</v>
      </c>
      <c r="I33" s="6">
        <v>294</v>
      </c>
      <c r="J33" s="6">
        <v>217</v>
      </c>
      <c r="K33" s="6">
        <v>202</v>
      </c>
      <c r="L33" s="6">
        <v>250</v>
      </c>
      <c r="M33" s="6">
        <v>231</v>
      </c>
      <c r="N33" s="6">
        <v>247</v>
      </c>
      <c r="O33" s="6">
        <v>286</v>
      </c>
      <c r="P33" s="6">
        <v>284</v>
      </c>
      <c r="Q33" s="6">
        <v>229</v>
      </c>
      <c r="R33" s="6">
        <v>255</v>
      </c>
      <c r="S33" s="5">
        <f>SUM(E33:R33)</f>
        <v>3560</v>
      </c>
    </row>
    <row r="34" spans="1:19" x14ac:dyDescent="0.4">
      <c r="A34" s="6">
        <v>2</v>
      </c>
      <c r="B34" s="78" t="s">
        <v>39</v>
      </c>
      <c r="C34" s="69"/>
      <c r="D34" s="60"/>
      <c r="E34" s="5">
        <v>226</v>
      </c>
      <c r="F34" s="5">
        <v>208</v>
      </c>
      <c r="G34" s="5">
        <v>238</v>
      </c>
      <c r="H34" s="5">
        <v>200</v>
      </c>
      <c r="I34" s="5">
        <v>217</v>
      </c>
      <c r="J34" s="5">
        <v>173</v>
      </c>
      <c r="K34" s="5">
        <v>174</v>
      </c>
      <c r="L34" s="5">
        <v>205</v>
      </c>
      <c r="M34" s="5">
        <v>180</v>
      </c>
      <c r="N34" s="5">
        <v>194</v>
      </c>
      <c r="O34" s="5">
        <v>244</v>
      </c>
      <c r="P34" s="5">
        <v>241</v>
      </c>
      <c r="Q34" s="5">
        <v>171</v>
      </c>
      <c r="R34" s="5">
        <v>215</v>
      </c>
      <c r="S34" s="5">
        <f>SUM(E34:R34)</f>
        <v>2886</v>
      </c>
    </row>
    <row r="35" spans="1:19" x14ac:dyDescent="0.4">
      <c r="A35" s="6">
        <v>3</v>
      </c>
      <c r="B35" s="78" t="s">
        <v>40</v>
      </c>
      <c r="C35" s="69"/>
      <c r="D35" s="60"/>
      <c r="E35" s="6">
        <v>0</v>
      </c>
      <c r="F35" s="6">
        <v>0</v>
      </c>
      <c r="G35" s="6">
        <v>2</v>
      </c>
      <c r="H35" s="6">
        <v>0</v>
      </c>
      <c r="I35" s="6">
        <v>0</v>
      </c>
      <c r="J35" s="6">
        <v>0</v>
      </c>
      <c r="K35" s="6">
        <v>0</v>
      </c>
      <c r="L35" s="6">
        <v>1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1</v>
      </c>
      <c r="S35" s="5">
        <f>SUM(E35:R35)</f>
        <v>4</v>
      </c>
    </row>
    <row r="36" spans="1:19" x14ac:dyDescent="0.4">
      <c r="A36" s="6">
        <v>4</v>
      </c>
      <c r="B36" s="78" t="s">
        <v>41</v>
      </c>
      <c r="C36" s="69"/>
      <c r="D36" s="60"/>
      <c r="E36" s="5">
        <f t="shared" ref="E36:R36" si="15">E33-(E34+E35)</f>
        <v>63</v>
      </c>
      <c r="F36" s="5">
        <f t="shared" si="15"/>
        <v>42</v>
      </c>
      <c r="G36" s="5">
        <f t="shared" si="15"/>
        <v>41</v>
      </c>
      <c r="H36" s="5">
        <f t="shared" si="15"/>
        <v>45</v>
      </c>
      <c r="I36" s="5">
        <f t="shared" si="15"/>
        <v>77</v>
      </c>
      <c r="J36" s="5">
        <f t="shared" si="15"/>
        <v>44</v>
      </c>
      <c r="K36" s="5">
        <f t="shared" si="15"/>
        <v>28</v>
      </c>
      <c r="L36" s="5">
        <f t="shared" si="15"/>
        <v>44</v>
      </c>
      <c r="M36" s="5">
        <f t="shared" si="15"/>
        <v>51</v>
      </c>
      <c r="N36" s="5">
        <f t="shared" ref="N36:P36" si="16">N33-(N34+N35)</f>
        <v>53</v>
      </c>
      <c r="O36" s="5">
        <f t="shared" si="16"/>
        <v>42</v>
      </c>
      <c r="P36" s="5">
        <f t="shared" si="16"/>
        <v>43</v>
      </c>
      <c r="Q36" s="5">
        <f t="shared" si="15"/>
        <v>58</v>
      </c>
      <c r="R36" s="5">
        <f t="shared" si="15"/>
        <v>39</v>
      </c>
      <c r="S36" s="5">
        <f>SUM(E36:R36)</f>
        <v>670</v>
      </c>
    </row>
    <row r="37" spans="1:19" x14ac:dyDescent="0.4">
      <c r="A37" s="61"/>
      <c r="B37" s="69"/>
      <c r="C37" s="69"/>
      <c r="D37" s="69"/>
      <c r="E37" s="61"/>
      <c r="F37" s="89"/>
      <c r="G37" s="89"/>
      <c r="H37" s="89"/>
      <c r="I37" s="94"/>
      <c r="J37" s="6"/>
      <c r="K37" s="6"/>
      <c r="L37" s="6"/>
      <c r="M37" s="6"/>
      <c r="N37" s="10"/>
      <c r="O37" s="10"/>
      <c r="P37" s="10"/>
      <c r="Q37" s="10"/>
      <c r="R37" s="26"/>
      <c r="S37" s="28"/>
    </row>
    <row r="38" spans="1:19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28"/>
    </row>
    <row r="39" spans="1:19" x14ac:dyDescent="0.4">
      <c r="A39" s="11"/>
      <c r="B39" s="73" t="s">
        <v>44</v>
      </c>
      <c r="C39" s="68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2</v>
      </c>
      <c r="M39" s="6">
        <v>2</v>
      </c>
      <c r="N39" s="6">
        <v>0</v>
      </c>
      <c r="O39" s="6">
        <v>0</v>
      </c>
      <c r="P39" s="6">
        <v>2</v>
      </c>
      <c r="Q39" s="6">
        <v>1</v>
      </c>
      <c r="R39" s="6">
        <v>0</v>
      </c>
      <c r="S39" s="5">
        <f>SUM(E39:R39)</f>
        <v>7</v>
      </c>
    </row>
    <row r="40" spans="1:19" x14ac:dyDescent="0.4">
      <c r="A40" s="12"/>
      <c r="B40" s="74"/>
      <c r="C40" s="75"/>
      <c r="D40" s="6" t="s">
        <v>24</v>
      </c>
      <c r="E40" s="6">
        <v>0</v>
      </c>
      <c r="F40" s="6">
        <v>6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2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5">
        <f>SUM(E40:R40)</f>
        <v>8</v>
      </c>
    </row>
    <row r="41" spans="1:19" x14ac:dyDescent="0.4">
      <c r="A41" s="14"/>
      <c r="B41" s="71"/>
      <c r="C41" s="76"/>
      <c r="D41" s="5" t="s">
        <v>25</v>
      </c>
      <c r="E41" s="5">
        <f t="shared" ref="E41:R41" si="17">SUM(E39:E40)</f>
        <v>0</v>
      </c>
      <c r="F41" s="5">
        <f t="shared" si="17"/>
        <v>6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0</v>
      </c>
      <c r="L41" s="5">
        <f t="shared" si="17"/>
        <v>2</v>
      </c>
      <c r="M41" s="5">
        <f t="shared" si="17"/>
        <v>4</v>
      </c>
      <c r="N41" s="5">
        <f t="shared" ref="N41:P41" si="18">SUM(N39:N40)</f>
        <v>0</v>
      </c>
      <c r="O41" s="5">
        <f t="shared" si="18"/>
        <v>0</v>
      </c>
      <c r="P41" s="5">
        <f t="shared" si="18"/>
        <v>2</v>
      </c>
      <c r="Q41" s="5">
        <f t="shared" si="17"/>
        <v>1</v>
      </c>
      <c r="R41" s="5">
        <f t="shared" si="17"/>
        <v>0</v>
      </c>
      <c r="S41" s="5">
        <f>SUM(E41:R41)</f>
        <v>15</v>
      </c>
    </row>
    <row r="42" spans="1:19" x14ac:dyDescent="0.4">
      <c r="A42" s="70"/>
      <c r="B42" s="71"/>
      <c r="C42" s="71"/>
      <c r="D42" s="76"/>
      <c r="E42" s="61"/>
      <c r="F42" s="69"/>
      <c r="G42" s="69"/>
      <c r="H42" s="69"/>
      <c r="I42" s="60"/>
      <c r="J42" s="6"/>
      <c r="K42" s="6"/>
      <c r="L42" s="6"/>
      <c r="M42" s="6"/>
      <c r="N42" s="10"/>
      <c r="O42" s="10"/>
      <c r="P42" s="10"/>
      <c r="Q42" s="10"/>
      <c r="R42" s="6"/>
      <c r="S42" s="5"/>
    </row>
    <row r="43" spans="1:19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15"/>
      <c r="O43" s="15"/>
      <c r="P43" s="15"/>
      <c r="Q43" s="15"/>
      <c r="R43" s="5"/>
      <c r="S43" s="5"/>
    </row>
    <row r="44" spans="1:19" ht="13.15" customHeight="1" x14ac:dyDescent="0.4">
      <c r="A44" s="73" t="s">
        <v>47</v>
      </c>
      <c r="B44" s="77"/>
      <c r="C44" s="77"/>
      <c r="D44" s="68"/>
      <c r="E44" s="9"/>
      <c r="F44" s="6"/>
      <c r="G44" s="6"/>
      <c r="H44" s="6"/>
      <c r="I44" s="6"/>
      <c r="J44" s="6"/>
      <c r="K44" s="6"/>
      <c r="L44" s="6"/>
      <c r="M44" s="6"/>
      <c r="N44" s="10"/>
      <c r="O44" s="10"/>
      <c r="P44" s="10"/>
      <c r="Q44" s="10"/>
      <c r="R44" s="6"/>
      <c r="S44" s="5"/>
    </row>
    <row r="45" spans="1:19" x14ac:dyDescent="0.4">
      <c r="A45" s="11" t="s">
        <v>48</v>
      </c>
      <c r="B45" s="17" t="s">
        <v>28</v>
      </c>
      <c r="C45" s="59" t="s">
        <v>49</v>
      </c>
      <c r="D45" s="60"/>
      <c r="E45" s="6">
        <v>3</v>
      </c>
      <c r="F45" s="6">
        <v>2</v>
      </c>
      <c r="G45" s="6">
        <v>4</v>
      </c>
      <c r="H45" s="6">
        <v>8</v>
      </c>
      <c r="I45" s="6">
        <v>1</v>
      </c>
      <c r="J45" s="6">
        <v>1</v>
      </c>
      <c r="K45" s="6">
        <v>3</v>
      </c>
      <c r="L45" s="6">
        <v>0</v>
      </c>
      <c r="M45" s="6">
        <v>5</v>
      </c>
      <c r="N45" s="6">
        <v>0</v>
      </c>
      <c r="O45" s="6">
        <v>5</v>
      </c>
      <c r="P45" s="6">
        <v>9</v>
      </c>
      <c r="Q45" s="6">
        <v>3</v>
      </c>
      <c r="R45" s="6">
        <v>2</v>
      </c>
      <c r="S45" s="5">
        <f t="shared" ref="S45:S51" si="19">SUM(E45:R45)</f>
        <v>46</v>
      </c>
    </row>
    <row r="46" spans="1:19" x14ac:dyDescent="0.4">
      <c r="A46" s="11" t="s">
        <v>50</v>
      </c>
      <c r="B46" s="46"/>
      <c r="C46" s="24" t="s">
        <v>106</v>
      </c>
      <c r="D46" s="47"/>
      <c r="E46" s="6">
        <v>1</v>
      </c>
      <c r="F46" s="6">
        <v>4</v>
      </c>
      <c r="G46" s="6">
        <v>6</v>
      </c>
      <c r="H46" s="6">
        <v>23</v>
      </c>
      <c r="I46" s="6">
        <v>10</v>
      </c>
      <c r="J46" s="6">
        <v>6</v>
      </c>
      <c r="K46" s="6">
        <v>0</v>
      </c>
      <c r="L46" s="6">
        <v>0</v>
      </c>
      <c r="M46" s="6">
        <v>16</v>
      </c>
      <c r="N46" s="6">
        <v>0</v>
      </c>
      <c r="O46" s="6">
        <v>30</v>
      </c>
      <c r="P46" s="6">
        <v>56</v>
      </c>
      <c r="Q46" s="6">
        <v>2</v>
      </c>
      <c r="R46" s="6">
        <v>3</v>
      </c>
      <c r="S46" s="5">
        <f t="shared" si="19"/>
        <v>157</v>
      </c>
    </row>
    <row r="47" spans="1:19" x14ac:dyDescent="0.4">
      <c r="A47" s="7"/>
      <c r="B47" s="46"/>
      <c r="C47" s="24" t="s">
        <v>107</v>
      </c>
      <c r="D47" s="47"/>
      <c r="E47" s="6">
        <v>5</v>
      </c>
      <c r="F47" s="6">
        <v>2</v>
      </c>
      <c r="G47" s="6">
        <v>2</v>
      </c>
      <c r="H47" s="6">
        <v>4</v>
      </c>
      <c r="I47" s="6">
        <v>2</v>
      </c>
      <c r="J47" s="6">
        <v>3</v>
      </c>
      <c r="K47" s="6">
        <v>1</v>
      </c>
      <c r="L47" s="6">
        <v>0</v>
      </c>
      <c r="M47" s="6">
        <v>2</v>
      </c>
      <c r="N47" s="6">
        <v>0</v>
      </c>
      <c r="O47" s="6">
        <v>4</v>
      </c>
      <c r="P47" s="6">
        <v>0</v>
      </c>
      <c r="Q47" s="6">
        <v>2</v>
      </c>
      <c r="R47" s="6">
        <v>0</v>
      </c>
      <c r="S47" s="5">
        <f t="shared" si="19"/>
        <v>27</v>
      </c>
    </row>
    <row r="48" spans="1:19" x14ac:dyDescent="0.4">
      <c r="A48" s="7"/>
      <c r="B48" s="46"/>
      <c r="C48" s="24" t="s">
        <v>108</v>
      </c>
      <c r="D48" s="47"/>
      <c r="E48" s="6">
        <v>2</v>
      </c>
      <c r="F48" s="6">
        <v>1</v>
      </c>
      <c r="G48" s="6">
        <v>0</v>
      </c>
      <c r="H48" s="6">
        <v>0</v>
      </c>
      <c r="I48" s="6">
        <v>2</v>
      </c>
      <c r="J48" s="6">
        <v>1</v>
      </c>
      <c r="K48" s="6">
        <v>0</v>
      </c>
      <c r="L48" s="6">
        <v>0</v>
      </c>
      <c r="M48" s="6">
        <v>1</v>
      </c>
      <c r="N48" s="6">
        <v>1</v>
      </c>
      <c r="O48" s="6">
        <v>2</v>
      </c>
      <c r="P48" s="6">
        <v>6</v>
      </c>
      <c r="Q48" s="6">
        <v>0</v>
      </c>
      <c r="R48" s="6">
        <v>1</v>
      </c>
      <c r="S48" s="5">
        <f t="shared" si="19"/>
        <v>17</v>
      </c>
    </row>
    <row r="49" spans="1:19" x14ac:dyDescent="0.4">
      <c r="A49" s="7"/>
      <c r="B49" s="46"/>
      <c r="C49" s="24" t="s">
        <v>109</v>
      </c>
      <c r="D49" s="47"/>
      <c r="E49" s="6">
        <v>4</v>
      </c>
      <c r="F49" s="6">
        <v>3</v>
      </c>
      <c r="G49" s="6">
        <v>0</v>
      </c>
      <c r="H49" s="6">
        <v>1</v>
      </c>
      <c r="I49" s="6">
        <v>2</v>
      </c>
      <c r="J49" s="6">
        <v>2</v>
      </c>
      <c r="K49" s="6">
        <v>0</v>
      </c>
      <c r="L49" s="6">
        <v>0</v>
      </c>
      <c r="M49" s="6">
        <v>1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5">
        <f t="shared" si="19"/>
        <v>13</v>
      </c>
    </row>
    <row r="50" spans="1:19" x14ac:dyDescent="0.4">
      <c r="A50" s="7"/>
      <c r="B50" s="46"/>
      <c r="C50" s="24" t="s">
        <v>110</v>
      </c>
      <c r="D50" s="47"/>
      <c r="E50" s="6">
        <v>2</v>
      </c>
      <c r="F50" s="6">
        <v>0</v>
      </c>
      <c r="G50" s="6">
        <v>12</v>
      </c>
      <c r="H50" s="6">
        <v>8</v>
      </c>
      <c r="I50" s="6">
        <v>1</v>
      </c>
      <c r="J50" s="6">
        <v>2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6</v>
      </c>
      <c r="Q50" s="6">
        <v>0</v>
      </c>
      <c r="R50" s="6">
        <v>1</v>
      </c>
      <c r="S50" s="5">
        <f t="shared" si="19"/>
        <v>32</v>
      </c>
    </row>
    <row r="51" spans="1:19" x14ac:dyDescent="0.4">
      <c r="A51" s="7"/>
      <c r="B51" s="46"/>
      <c r="C51" s="24" t="s">
        <v>111</v>
      </c>
      <c r="D51" s="47"/>
      <c r="E51" s="6">
        <v>1</v>
      </c>
      <c r="F51" s="6">
        <v>1</v>
      </c>
      <c r="G51" s="6">
        <v>0</v>
      </c>
      <c r="H51" s="6">
        <v>1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5">
        <f t="shared" si="19"/>
        <v>3</v>
      </c>
    </row>
    <row r="52" spans="1:19" x14ac:dyDescent="0.4">
      <c r="A52" s="6" t="s">
        <v>26</v>
      </c>
      <c r="B52" s="53" t="s">
        <v>51</v>
      </c>
      <c r="C52" s="69"/>
      <c r="D52" s="60"/>
      <c r="E52" s="5">
        <f>SUM(E45:E51)</f>
        <v>18</v>
      </c>
      <c r="F52" s="5">
        <f>SUM(F45:F51)</f>
        <v>13</v>
      </c>
      <c r="G52" s="5">
        <f>SUM(G45:G51)</f>
        <v>24</v>
      </c>
      <c r="H52" s="5">
        <f>SUM(H45:H51)</f>
        <v>45</v>
      </c>
      <c r="I52" s="5">
        <f>SUM(I45:I51)</f>
        <v>18</v>
      </c>
      <c r="J52" s="5">
        <f>SUM(J45:J51)</f>
        <v>15</v>
      </c>
      <c r="K52" s="5">
        <f>SUM(K45:K51)</f>
        <v>4</v>
      </c>
      <c r="L52" s="5">
        <f>SUM(L45:L51)</f>
        <v>0</v>
      </c>
      <c r="M52" s="5">
        <f>SUM(M45:M51)</f>
        <v>25</v>
      </c>
      <c r="N52" s="5">
        <f>SUM(N45:N51)</f>
        <v>1</v>
      </c>
      <c r="O52" s="5">
        <f>SUM(O45:O51)</f>
        <v>41</v>
      </c>
      <c r="P52" s="5">
        <f>SUM(P45:P51)</f>
        <v>77</v>
      </c>
      <c r="Q52" s="5">
        <f>SUM(Q45:Q51)</f>
        <v>7</v>
      </c>
      <c r="R52" s="5">
        <f>SUM(R45:R51)</f>
        <v>7</v>
      </c>
      <c r="S52" s="5">
        <f>SUM(S45:S51)</f>
        <v>295</v>
      </c>
    </row>
    <row r="53" spans="1:19" x14ac:dyDescent="0.4">
      <c r="A53" s="70"/>
      <c r="B53" s="71"/>
      <c r="C53" s="71"/>
      <c r="D53" s="71"/>
      <c r="E53" s="71"/>
      <c r="S53" s="5"/>
    </row>
    <row r="54" spans="1:19" x14ac:dyDescent="0.4">
      <c r="A54" s="11" t="s">
        <v>48</v>
      </c>
      <c r="B54" s="17" t="s">
        <v>30</v>
      </c>
      <c r="C54" s="59" t="s">
        <v>52</v>
      </c>
      <c r="D54" s="60"/>
      <c r="E54" s="6">
        <v>13</v>
      </c>
      <c r="F54" s="6">
        <v>16</v>
      </c>
      <c r="G54" s="6">
        <v>5</v>
      </c>
      <c r="H54" s="6">
        <v>4</v>
      </c>
      <c r="I54" s="6">
        <v>13</v>
      </c>
      <c r="J54" s="6">
        <v>9</v>
      </c>
      <c r="K54" s="6">
        <v>9</v>
      </c>
      <c r="L54" s="6">
        <v>0</v>
      </c>
      <c r="M54" s="6">
        <v>10</v>
      </c>
      <c r="N54" s="6">
        <v>8</v>
      </c>
      <c r="O54" s="6">
        <v>5</v>
      </c>
      <c r="P54" s="6">
        <v>11</v>
      </c>
      <c r="Q54" s="6">
        <v>4</v>
      </c>
      <c r="R54" s="6">
        <v>5</v>
      </c>
      <c r="S54" s="5">
        <f t="shared" ref="S54:S60" si="20">SUM(E54:R54)</f>
        <v>112</v>
      </c>
    </row>
    <row r="55" spans="1:19" x14ac:dyDescent="0.4">
      <c r="A55" s="11" t="s">
        <v>50</v>
      </c>
      <c r="B55" s="46"/>
      <c r="C55" s="24" t="s">
        <v>112</v>
      </c>
      <c r="D55" s="47"/>
      <c r="E55" s="6">
        <v>4</v>
      </c>
      <c r="F55" s="6">
        <v>2</v>
      </c>
      <c r="G55" s="6">
        <v>2</v>
      </c>
      <c r="H55" s="6">
        <v>8</v>
      </c>
      <c r="I55" s="6">
        <v>2</v>
      </c>
      <c r="J55" s="6">
        <v>24</v>
      </c>
      <c r="K55" s="6">
        <v>37</v>
      </c>
      <c r="L55" s="6">
        <v>1</v>
      </c>
      <c r="M55" s="6">
        <v>3</v>
      </c>
      <c r="N55" s="6">
        <v>3</v>
      </c>
      <c r="O55" s="6">
        <v>4</v>
      </c>
      <c r="P55" s="6">
        <v>4</v>
      </c>
      <c r="Q55" s="6">
        <v>0</v>
      </c>
      <c r="R55" s="6">
        <v>1</v>
      </c>
      <c r="S55" s="5">
        <f t="shared" si="20"/>
        <v>95</v>
      </c>
    </row>
    <row r="56" spans="1:19" x14ac:dyDescent="0.4">
      <c r="A56" s="7"/>
      <c r="B56" s="46"/>
      <c r="C56" s="24" t="s">
        <v>113</v>
      </c>
      <c r="D56" s="47"/>
      <c r="E56" s="6">
        <v>5</v>
      </c>
      <c r="F56" s="6">
        <v>0</v>
      </c>
      <c r="G56" s="6">
        <v>4</v>
      </c>
      <c r="H56" s="6">
        <v>1</v>
      </c>
      <c r="I56" s="6">
        <v>3</v>
      </c>
      <c r="J56" s="6">
        <v>1</v>
      </c>
      <c r="K56" s="6">
        <v>2</v>
      </c>
      <c r="L56" s="6">
        <v>0</v>
      </c>
      <c r="M56" s="6">
        <v>2</v>
      </c>
      <c r="N56" s="6">
        <v>2</v>
      </c>
      <c r="O56" s="6">
        <v>3</v>
      </c>
      <c r="P56" s="6">
        <v>2</v>
      </c>
      <c r="Q56" s="6">
        <v>0</v>
      </c>
      <c r="R56" s="6">
        <v>1</v>
      </c>
      <c r="S56" s="5">
        <f t="shared" si="20"/>
        <v>26</v>
      </c>
    </row>
    <row r="57" spans="1:19" x14ac:dyDescent="0.4">
      <c r="A57" s="7"/>
      <c r="B57" s="46"/>
      <c r="C57" s="24" t="s">
        <v>114</v>
      </c>
      <c r="D57" s="47"/>
      <c r="E57" s="6">
        <v>0</v>
      </c>
      <c r="F57" s="6">
        <v>2</v>
      </c>
      <c r="G57" s="6">
        <v>0</v>
      </c>
      <c r="H57" s="6">
        <v>2</v>
      </c>
      <c r="I57" s="6">
        <v>0</v>
      </c>
      <c r="J57" s="6">
        <v>0</v>
      </c>
      <c r="K57" s="6">
        <v>0</v>
      </c>
      <c r="L57" s="6">
        <v>0</v>
      </c>
      <c r="M57" s="6">
        <v>3</v>
      </c>
      <c r="N57" s="6">
        <v>0</v>
      </c>
      <c r="O57" s="6">
        <v>0</v>
      </c>
      <c r="P57" s="6">
        <v>1</v>
      </c>
      <c r="Q57" s="6">
        <v>0</v>
      </c>
      <c r="R57" s="6">
        <v>0</v>
      </c>
      <c r="S57" s="5">
        <f t="shared" si="20"/>
        <v>8</v>
      </c>
    </row>
    <row r="58" spans="1:19" x14ac:dyDescent="0.4">
      <c r="A58" s="7"/>
      <c r="B58" s="46"/>
      <c r="C58" s="24" t="s">
        <v>115</v>
      </c>
      <c r="D58" s="47"/>
      <c r="E58" s="6">
        <v>1</v>
      </c>
      <c r="F58" s="6">
        <v>4</v>
      </c>
      <c r="G58" s="6">
        <v>3</v>
      </c>
      <c r="H58" s="6">
        <v>2</v>
      </c>
      <c r="I58" s="6">
        <v>1</v>
      </c>
      <c r="J58" s="6">
        <v>0</v>
      </c>
      <c r="K58" s="6">
        <v>1</v>
      </c>
      <c r="L58" s="6">
        <v>0</v>
      </c>
      <c r="M58" s="6">
        <v>3</v>
      </c>
      <c r="N58" s="6">
        <v>2</v>
      </c>
      <c r="O58" s="6">
        <v>0</v>
      </c>
      <c r="P58" s="6">
        <v>0</v>
      </c>
      <c r="Q58" s="6">
        <v>0</v>
      </c>
      <c r="R58" s="6">
        <v>0</v>
      </c>
      <c r="S58" s="5">
        <f t="shared" si="20"/>
        <v>17</v>
      </c>
    </row>
    <row r="59" spans="1:19" x14ac:dyDescent="0.4">
      <c r="A59" s="7"/>
      <c r="B59" s="46"/>
      <c r="C59" s="24" t="s">
        <v>116</v>
      </c>
      <c r="D59" s="47"/>
      <c r="E59" s="6">
        <v>1</v>
      </c>
      <c r="F59" s="6">
        <v>0</v>
      </c>
      <c r="G59" s="6">
        <v>1</v>
      </c>
      <c r="H59" s="6">
        <v>1</v>
      </c>
      <c r="I59" s="6">
        <v>0</v>
      </c>
      <c r="J59" s="6">
        <v>1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5">
        <f t="shared" si="20"/>
        <v>4</v>
      </c>
    </row>
    <row r="60" spans="1:19" ht="13.15" customHeight="1" x14ac:dyDescent="0.4">
      <c r="A60" s="7"/>
      <c r="B60" s="46"/>
      <c r="C60" s="24" t="s">
        <v>117</v>
      </c>
      <c r="D60" s="47"/>
      <c r="E60" s="6">
        <v>56</v>
      </c>
      <c r="F60" s="6">
        <v>19</v>
      </c>
      <c r="G60" s="6">
        <v>11</v>
      </c>
      <c r="H60" s="6">
        <v>6</v>
      </c>
      <c r="I60" s="6">
        <v>24</v>
      </c>
      <c r="J60" s="6">
        <v>27</v>
      </c>
      <c r="K60" s="6">
        <v>10</v>
      </c>
      <c r="L60" s="6">
        <v>0</v>
      </c>
      <c r="M60" s="6">
        <v>30</v>
      </c>
      <c r="N60" s="6">
        <v>7</v>
      </c>
      <c r="O60" s="6">
        <v>0</v>
      </c>
      <c r="P60" s="6">
        <v>6</v>
      </c>
      <c r="Q60" s="6">
        <v>0</v>
      </c>
      <c r="R60" s="6">
        <v>3</v>
      </c>
      <c r="S60" s="5">
        <f t="shared" si="20"/>
        <v>199</v>
      </c>
    </row>
    <row r="61" spans="1:19" x14ac:dyDescent="0.4">
      <c r="A61" s="6" t="s">
        <v>26</v>
      </c>
      <c r="B61" s="53" t="s">
        <v>51</v>
      </c>
      <c r="C61" s="69"/>
      <c r="D61" s="60"/>
      <c r="E61" s="5">
        <f>SUM(E54:E60)</f>
        <v>80</v>
      </c>
      <c r="F61" s="5">
        <f>SUM(F54:F60)</f>
        <v>43</v>
      </c>
      <c r="G61" s="5">
        <f>SUM(G54:G60)</f>
        <v>26</v>
      </c>
      <c r="H61" s="5">
        <f>SUM(H54:H60)</f>
        <v>24</v>
      </c>
      <c r="I61" s="5">
        <f>SUM(I54:I60)</f>
        <v>43</v>
      </c>
      <c r="J61" s="5">
        <f>SUM(J54:J60)</f>
        <v>62</v>
      </c>
      <c r="K61" s="5">
        <f>SUM(K54:K60)</f>
        <v>59</v>
      </c>
      <c r="L61" s="5">
        <f>SUM(L54:L60)</f>
        <v>1</v>
      </c>
      <c r="M61" s="5">
        <f>SUM(M54:M60)</f>
        <v>51</v>
      </c>
      <c r="N61" s="5">
        <f>SUM(N54:N60)</f>
        <v>22</v>
      </c>
      <c r="O61" s="5">
        <f>SUM(O54:O60)</f>
        <v>12</v>
      </c>
      <c r="P61" s="5">
        <f>SUM(P54:P60)</f>
        <v>24</v>
      </c>
      <c r="Q61" s="5">
        <f>SUM(Q54:Q60)</f>
        <v>4</v>
      </c>
      <c r="R61" s="5">
        <f>SUM(R54:R60)</f>
        <v>10</v>
      </c>
      <c r="S61" s="5">
        <f>SUM(S54:S60)</f>
        <v>461</v>
      </c>
    </row>
    <row r="62" spans="1:19" x14ac:dyDescent="0.4">
      <c r="A62" s="70"/>
      <c r="B62" s="71"/>
      <c r="C62" s="71"/>
      <c r="D62" s="71"/>
      <c r="E62" s="71"/>
    </row>
    <row r="63" spans="1:19" x14ac:dyDescent="0.4">
      <c r="A63" s="11" t="s">
        <v>48</v>
      </c>
      <c r="B63" s="17" t="s">
        <v>32</v>
      </c>
      <c r="C63" s="59" t="s">
        <v>53</v>
      </c>
      <c r="D63" s="60"/>
      <c r="E63" s="6">
        <v>4</v>
      </c>
      <c r="F63" s="6">
        <v>1</v>
      </c>
      <c r="G63" s="6">
        <v>0</v>
      </c>
      <c r="H63" s="6">
        <v>5</v>
      </c>
      <c r="I63" s="6">
        <v>8</v>
      </c>
      <c r="J63" s="6">
        <v>2</v>
      </c>
      <c r="K63" s="6">
        <v>7</v>
      </c>
      <c r="L63" s="6">
        <v>0</v>
      </c>
      <c r="M63" s="6">
        <v>6</v>
      </c>
      <c r="N63" s="6">
        <v>12</v>
      </c>
      <c r="O63" s="6">
        <v>13</v>
      </c>
      <c r="P63" s="6">
        <v>5</v>
      </c>
      <c r="Q63" s="6">
        <v>0</v>
      </c>
      <c r="R63" s="6">
        <v>0</v>
      </c>
      <c r="S63" s="5">
        <f t="shared" ref="S63:S69" si="21">SUM(E63:R63)</f>
        <v>63</v>
      </c>
    </row>
    <row r="64" spans="1:19" x14ac:dyDescent="0.4">
      <c r="A64" s="11" t="s">
        <v>50</v>
      </c>
      <c r="B64" s="46"/>
      <c r="C64" s="24" t="s">
        <v>118</v>
      </c>
      <c r="D64" s="47"/>
      <c r="E64" s="6">
        <v>3</v>
      </c>
      <c r="F64" s="6">
        <v>27</v>
      </c>
      <c r="G64" s="6">
        <v>7</v>
      </c>
      <c r="H64" s="6">
        <v>1</v>
      </c>
      <c r="I64" s="6">
        <v>7</v>
      </c>
      <c r="J64" s="6">
        <v>7</v>
      </c>
      <c r="K64" s="6">
        <v>6</v>
      </c>
      <c r="L64" s="6">
        <v>0</v>
      </c>
      <c r="M64" s="6">
        <v>13</v>
      </c>
      <c r="N64" s="6">
        <v>13</v>
      </c>
      <c r="O64" s="6">
        <v>3</v>
      </c>
      <c r="P64" s="6">
        <v>0</v>
      </c>
      <c r="Q64" s="6">
        <v>0</v>
      </c>
      <c r="R64" s="6">
        <v>0</v>
      </c>
      <c r="S64" s="5">
        <f t="shared" si="21"/>
        <v>87</v>
      </c>
    </row>
    <row r="65" spans="1:19" x14ac:dyDescent="0.4">
      <c r="A65" s="7"/>
      <c r="B65" s="46"/>
      <c r="C65" s="24" t="s">
        <v>119</v>
      </c>
      <c r="D65" s="47"/>
      <c r="E65" s="6">
        <v>2</v>
      </c>
      <c r="F65" s="6">
        <v>0</v>
      </c>
      <c r="G65" s="6">
        <v>0</v>
      </c>
      <c r="H65" s="6">
        <v>1</v>
      </c>
      <c r="I65" s="6">
        <v>1</v>
      </c>
      <c r="J65" s="6">
        <v>0</v>
      </c>
      <c r="K65" s="6">
        <v>0</v>
      </c>
      <c r="L65" s="6">
        <v>0</v>
      </c>
      <c r="M65" s="6">
        <v>2</v>
      </c>
      <c r="N65" s="6">
        <v>1</v>
      </c>
      <c r="O65" s="6">
        <v>0</v>
      </c>
      <c r="P65" s="6">
        <v>0</v>
      </c>
      <c r="Q65" s="6">
        <v>0</v>
      </c>
      <c r="R65" s="6">
        <v>0</v>
      </c>
      <c r="S65" s="5">
        <f t="shared" si="21"/>
        <v>7</v>
      </c>
    </row>
    <row r="66" spans="1:19" x14ac:dyDescent="0.4">
      <c r="A66" s="7"/>
      <c r="B66" s="46"/>
      <c r="C66" s="24" t="s">
        <v>120</v>
      </c>
      <c r="D66" s="47"/>
      <c r="E66" s="6">
        <v>4</v>
      </c>
      <c r="F66" s="6">
        <v>4</v>
      </c>
      <c r="G66" s="6">
        <v>0</v>
      </c>
      <c r="H66" s="6">
        <v>3</v>
      </c>
      <c r="I66" s="6">
        <v>10</v>
      </c>
      <c r="J66" s="6">
        <v>1</v>
      </c>
      <c r="K66" s="6">
        <v>10</v>
      </c>
      <c r="L66" s="6">
        <v>0</v>
      </c>
      <c r="M66" s="6">
        <v>28</v>
      </c>
      <c r="N66" s="6">
        <v>48</v>
      </c>
      <c r="O66" s="6">
        <v>61</v>
      </c>
      <c r="P66" s="6">
        <v>24</v>
      </c>
      <c r="Q66" s="6">
        <v>3</v>
      </c>
      <c r="R66" s="6">
        <v>6</v>
      </c>
      <c r="S66" s="5">
        <f t="shared" si="21"/>
        <v>202</v>
      </c>
    </row>
    <row r="67" spans="1:19" x14ac:dyDescent="0.4">
      <c r="A67" s="7"/>
      <c r="B67" s="46"/>
      <c r="C67" s="24" t="s">
        <v>121</v>
      </c>
      <c r="D67" s="47"/>
      <c r="E67" s="6">
        <v>20</v>
      </c>
      <c r="F67" s="6">
        <v>1</v>
      </c>
      <c r="G67" s="6">
        <v>14</v>
      </c>
      <c r="H67" s="6">
        <v>6</v>
      </c>
      <c r="I67" s="6">
        <v>0</v>
      </c>
      <c r="J67" s="6">
        <v>0</v>
      </c>
      <c r="K67" s="6">
        <v>1</v>
      </c>
      <c r="L67" s="6">
        <v>0</v>
      </c>
      <c r="M67" s="6">
        <v>2</v>
      </c>
      <c r="N67" s="6">
        <v>0</v>
      </c>
      <c r="O67" s="6">
        <v>1</v>
      </c>
      <c r="P67" s="6">
        <v>0</v>
      </c>
      <c r="Q67" s="6">
        <v>0</v>
      </c>
      <c r="R67" s="6">
        <v>0</v>
      </c>
      <c r="S67" s="5">
        <f t="shared" si="21"/>
        <v>45</v>
      </c>
    </row>
    <row r="68" spans="1:19" ht="13.15" customHeight="1" x14ac:dyDescent="0.4">
      <c r="A68" s="7"/>
      <c r="B68" s="46"/>
      <c r="C68" s="24" t="s">
        <v>122</v>
      </c>
      <c r="D68" s="47"/>
      <c r="E68" s="6">
        <v>0</v>
      </c>
      <c r="F68" s="6">
        <v>0</v>
      </c>
      <c r="G68" s="6">
        <v>1</v>
      </c>
      <c r="H68" s="6">
        <v>1</v>
      </c>
      <c r="I68" s="6">
        <v>1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5">
        <f t="shared" si="21"/>
        <v>3</v>
      </c>
    </row>
    <row r="69" spans="1:19" x14ac:dyDescent="0.4">
      <c r="A69" s="7"/>
      <c r="B69" s="46"/>
      <c r="C69" s="24" t="s">
        <v>123</v>
      </c>
      <c r="D69" s="47"/>
      <c r="E69" s="6">
        <v>5</v>
      </c>
      <c r="F69" s="6">
        <v>0</v>
      </c>
      <c r="G69" s="6">
        <v>1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1</v>
      </c>
      <c r="P69" s="6">
        <v>0</v>
      </c>
      <c r="Q69" s="6">
        <v>0</v>
      </c>
      <c r="R69" s="6">
        <v>0</v>
      </c>
      <c r="S69" s="5">
        <f t="shared" si="21"/>
        <v>7</v>
      </c>
    </row>
    <row r="70" spans="1:19" x14ac:dyDescent="0.4">
      <c r="A70" s="6" t="s">
        <v>26</v>
      </c>
      <c r="B70" s="53" t="s">
        <v>51</v>
      </c>
      <c r="C70" s="69"/>
      <c r="D70" s="60"/>
      <c r="E70" s="5">
        <f>SUM(E63:E69)</f>
        <v>38</v>
      </c>
      <c r="F70" s="5">
        <f>SUM(F63:F69)</f>
        <v>33</v>
      </c>
      <c r="G70" s="5">
        <f>SUM(G63:G69)</f>
        <v>23</v>
      </c>
      <c r="H70" s="5">
        <f>SUM(H63:H69)</f>
        <v>17</v>
      </c>
      <c r="I70" s="5">
        <f>SUM(I63:I69)</f>
        <v>27</v>
      </c>
      <c r="J70" s="5">
        <f>SUM(J63:J69)</f>
        <v>10</v>
      </c>
      <c r="K70" s="5">
        <f>SUM(K63:K69)</f>
        <v>24</v>
      </c>
      <c r="L70" s="5">
        <f>SUM(L63:L69)</f>
        <v>0</v>
      </c>
      <c r="M70" s="5">
        <f>SUM(M63:M69)</f>
        <v>51</v>
      </c>
      <c r="N70" s="5">
        <f>SUM(N63:N69)</f>
        <v>74</v>
      </c>
      <c r="O70" s="5">
        <f>SUM(O63:O69)</f>
        <v>79</v>
      </c>
      <c r="P70" s="5">
        <f>SUM(P63:P69)</f>
        <v>29</v>
      </c>
      <c r="Q70" s="5">
        <f>SUM(Q63:Q69)</f>
        <v>3</v>
      </c>
      <c r="R70" s="5">
        <f>SUM(R63:R69)</f>
        <v>6</v>
      </c>
      <c r="S70" s="5">
        <f>SUM(S63:S69)</f>
        <v>414</v>
      </c>
    </row>
    <row r="71" spans="1:19" x14ac:dyDescent="0.4">
      <c r="A71" s="70"/>
      <c r="B71" s="71"/>
      <c r="C71" s="71"/>
      <c r="D71" s="71"/>
      <c r="E71" s="71"/>
    </row>
    <row r="72" spans="1:19" x14ac:dyDescent="0.4">
      <c r="A72" s="11" t="s">
        <v>48</v>
      </c>
      <c r="B72" s="17" t="s">
        <v>34</v>
      </c>
      <c r="C72" s="59" t="s">
        <v>54</v>
      </c>
      <c r="D72" s="60"/>
      <c r="E72" s="6">
        <v>2</v>
      </c>
      <c r="F72" s="6">
        <v>2</v>
      </c>
      <c r="G72" s="6">
        <v>1</v>
      </c>
      <c r="H72" s="6">
        <v>2</v>
      </c>
      <c r="I72" s="6">
        <v>1</v>
      </c>
      <c r="J72" s="6">
        <v>3</v>
      </c>
      <c r="K72" s="6">
        <v>4</v>
      </c>
      <c r="L72" s="6">
        <v>5</v>
      </c>
      <c r="M72" s="6">
        <v>0</v>
      </c>
      <c r="N72" s="6">
        <v>0</v>
      </c>
      <c r="O72" s="6">
        <v>1</v>
      </c>
      <c r="P72" s="6">
        <v>2</v>
      </c>
      <c r="Q72" s="6">
        <v>0</v>
      </c>
      <c r="R72" s="6">
        <v>1</v>
      </c>
      <c r="S72" s="5">
        <f t="shared" ref="S72:S78" si="22">SUM(E72:R72)</f>
        <v>24</v>
      </c>
    </row>
    <row r="73" spans="1:19" x14ac:dyDescent="0.4">
      <c r="A73" s="11" t="s">
        <v>50</v>
      </c>
      <c r="B73" s="46"/>
      <c r="C73" s="24" t="s">
        <v>124</v>
      </c>
      <c r="D73" s="47"/>
      <c r="E73" s="6">
        <v>1</v>
      </c>
      <c r="F73" s="6">
        <v>1</v>
      </c>
      <c r="G73" s="6">
        <v>3</v>
      </c>
      <c r="H73" s="6">
        <v>9</v>
      </c>
      <c r="I73" s="6">
        <v>1</v>
      </c>
      <c r="J73" s="6">
        <v>2</v>
      </c>
      <c r="K73" s="6">
        <v>36</v>
      </c>
      <c r="L73" s="6">
        <v>175</v>
      </c>
      <c r="M73" s="6">
        <v>0</v>
      </c>
      <c r="N73" s="6">
        <v>2</v>
      </c>
      <c r="O73" s="6">
        <v>1</v>
      </c>
      <c r="P73" s="6">
        <v>3</v>
      </c>
      <c r="Q73" s="6">
        <v>0</v>
      </c>
      <c r="R73" s="6">
        <v>0</v>
      </c>
      <c r="S73" s="5">
        <f t="shared" si="22"/>
        <v>234</v>
      </c>
    </row>
    <row r="74" spans="1:19" x14ac:dyDescent="0.4">
      <c r="A74" s="7"/>
      <c r="B74" s="46"/>
      <c r="C74" s="24" t="s">
        <v>125</v>
      </c>
      <c r="D74" s="47"/>
      <c r="E74" s="6">
        <v>1</v>
      </c>
      <c r="F74" s="6">
        <v>2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1</v>
      </c>
      <c r="M74" s="6">
        <v>1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5">
        <f t="shared" si="22"/>
        <v>5</v>
      </c>
    </row>
    <row r="75" spans="1:19" x14ac:dyDescent="0.4">
      <c r="A75" s="7"/>
      <c r="B75" s="46"/>
      <c r="C75" s="24" t="s">
        <v>126</v>
      </c>
      <c r="D75" s="47"/>
      <c r="E75" s="6">
        <v>0</v>
      </c>
      <c r="F75" s="6">
        <v>0</v>
      </c>
      <c r="G75" s="6">
        <v>0</v>
      </c>
      <c r="H75" s="6">
        <v>1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5">
        <f t="shared" si="22"/>
        <v>1</v>
      </c>
    </row>
    <row r="76" spans="1:19" ht="13.15" customHeight="1" x14ac:dyDescent="0.4">
      <c r="A76" s="7"/>
      <c r="B76" s="46"/>
      <c r="C76" s="24" t="s">
        <v>127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5">
        <f t="shared" si="22"/>
        <v>0</v>
      </c>
    </row>
    <row r="77" spans="1:19" x14ac:dyDescent="0.4">
      <c r="A77" s="7"/>
      <c r="B77" s="46"/>
      <c r="C77" s="24" t="s">
        <v>128</v>
      </c>
      <c r="D77" s="47"/>
      <c r="E77" s="6">
        <v>0</v>
      </c>
      <c r="F77" s="6">
        <v>0</v>
      </c>
      <c r="G77" s="6">
        <v>1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5">
        <f t="shared" si="22"/>
        <v>1</v>
      </c>
    </row>
    <row r="78" spans="1:19" x14ac:dyDescent="0.4">
      <c r="A78" s="7"/>
      <c r="B78" s="46"/>
      <c r="C78" s="24" t="s">
        <v>129</v>
      </c>
      <c r="D78" s="47"/>
      <c r="E78" s="6">
        <v>1</v>
      </c>
      <c r="F78" s="6">
        <v>6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2</v>
      </c>
      <c r="P78" s="6">
        <v>0</v>
      </c>
      <c r="Q78" s="6">
        <v>0</v>
      </c>
      <c r="R78" s="6">
        <v>0</v>
      </c>
      <c r="S78" s="5">
        <f t="shared" si="22"/>
        <v>10</v>
      </c>
    </row>
    <row r="79" spans="1:19" x14ac:dyDescent="0.4">
      <c r="A79" s="6" t="s">
        <v>26</v>
      </c>
      <c r="B79" s="53" t="s">
        <v>51</v>
      </c>
      <c r="C79" s="69"/>
      <c r="D79" s="60"/>
      <c r="E79" s="5">
        <f>SUM(E72:E78)</f>
        <v>5</v>
      </c>
      <c r="F79" s="5">
        <f>SUM(F72:F78)</f>
        <v>11</v>
      </c>
      <c r="G79" s="5">
        <f>SUM(G72:G78)</f>
        <v>6</v>
      </c>
      <c r="H79" s="5">
        <f>SUM(H72:H78)</f>
        <v>12</v>
      </c>
      <c r="I79" s="5">
        <f>SUM(I72:I78)</f>
        <v>2</v>
      </c>
      <c r="J79" s="5">
        <f>SUM(J72:J78)</f>
        <v>5</v>
      </c>
      <c r="K79" s="5">
        <f>SUM(K72:K78)</f>
        <v>40</v>
      </c>
      <c r="L79" s="5">
        <f>SUM(L72:L78)</f>
        <v>181</v>
      </c>
      <c r="M79" s="5">
        <f>SUM(M72:M78)</f>
        <v>1</v>
      </c>
      <c r="N79" s="5">
        <f>SUM(N72:N78)</f>
        <v>2</v>
      </c>
      <c r="O79" s="5">
        <f>SUM(O72:O78)</f>
        <v>4</v>
      </c>
      <c r="P79" s="5">
        <f>SUM(P72:P78)</f>
        <v>5</v>
      </c>
      <c r="Q79" s="5">
        <f>SUM(Q72:Q78)</f>
        <v>0</v>
      </c>
      <c r="R79" s="5">
        <f>SUM(R72:R78)</f>
        <v>1</v>
      </c>
      <c r="S79" s="5">
        <f>SUM(S72:S78)</f>
        <v>275</v>
      </c>
    </row>
    <row r="80" spans="1:19" x14ac:dyDescent="0.4">
      <c r="A80" s="70"/>
      <c r="B80" s="71"/>
      <c r="C80" s="71"/>
      <c r="D80" s="71"/>
      <c r="E80" s="71"/>
    </row>
    <row r="81" spans="1:19" x14ac:dyDescent="0.4">
      <c r="A81" s="11" t="s">
        <v>48</v>
      </c>
      <c r="B81" s="17" t="s">
        <v>55</v>
      </c>
      <c r="C81" s="59" t="s">
        <v>56</v>
      </c>
      <c r="D81" s="60"/>
      <c r="E81" s="6">
        <v>0</v>
      </c>
      <c r="F81" s="6">
        <v>1</v>
      </c>
      <c r="G81" s="6">
        <v>0</v>
      </c>
      <c r="H81" s="6">
        <v>1</v>
      </c>
      <c r="I81" s="6">
        <v>1</v>
      </c>
      <c r="J81" s="6">
        <v>0</v>
      </c>
      <c r="K81" s="6">
        <v>0</v>
      </c>
      <c r="L81" s="6">
        <v>0</v>
      </c>
      <c r="M81" s="6">
        <v>1</v>
      </c>
      <c r="N81" s="6">
        <v>1</v>
      </c>
      <c r="O81" s="6">
        <v>1</v>
      </c>
      <c r="P81" s="6">
        <v>0</v>
      </c>
      <c r="Q81" s="6">
        <v>1</v>
      </c>
      <c r="R81" s="6">
        <v>1</v>
      </c>
      <c r="S81" s="5">
        <f t="shared" ref="S81:S87" si="23">SUM(E81:R81)</f>
        <v>8</v>
      </c>
    </row>
    <row r="82" spans="1:19" x14ac:dyDescent="0.4">
      <c r="A82" s="11" t="s">
        <v>50</v>
      </c>
      <c r="B82" s="46"/>
      <c r="C82" s="24" t="s">
        <v>130</v>
      </c>
      <c r="D82" s="47"/>
      <c r="E82" s="6">
        <v>1</v>
      </c>
      <c r="F82" s="6">
        <v>1</v>
      </c>
      <c r="G82" s="6">
        <v>0</v>
      </c>
      <c r="H82" s="6">
        <v>0</v>
      </c>
      <c r="I82" s="6">
        <v>1</v>
      </c>
      <c r="J82" s="6">
        <v>0</v>
      </c>
      <c r="K82" s="6">
        <v>0</v>
      </c>
      <c r="L82" s="6">
        <v>0</v>
      </c>
      <c r="M82" s="6">
        <v>2</v>
      </c>
      <c r="N82" s="6">
        <v>1</v>
      </c>
      <c r="O82" s="6">
        <v>1</v>
      </c>
      <c r="P82" s="6">
        <v>0</v>
      </c>
      <c r="Q82" s="6">
        <v>1</v>
      </c>
      <c r="R82" s="6">
        <v>0</v>
      </c>
      <c r="S82" s="5">
        <f t="shared" si="23"/>
        <v>8</v>
      </c>
    </row>
    <row r="83" spans="1:19" x14ac:dyDescent="0.4">
      <c r="A83" s="7"/>
      <c r="B83" s="46"/>
      <c r="C83" s="24" t="s">
        <v>131</v>
      </c>
      <c r="D83" s="47"/>
      <c r="E83" s="6">
        <v>0</v>
      </c>
      <c r="F83" s="6">
        <v>0</v>
      </c>
      <c r="G83" s="6">
        <v>6</v>
      </c>
      <c r="H83" s="6">
        <v>9</v>
      </c>
      <c r="I83" s="6">
        <v>2</v>
      </c>
      <c r="J83" s="6">
        <v>0</v>
      </c>
      <c r="K83" s="6">
        <v>2</v>
      </c>
      <c r="L83" s="6">
        <v>0</v>
      </c>
      <c r="M83" s="6">
        <v>0</v>
      </c>
      <c r="N83" s="6">
        <v>2</v>
      </c>
      <c r="O83" s="6">
        <v>8</v>
      </c>
      <c r="P83" s="6">
        <v>3</v>
      </c>
      <c r="Q83" s="6">
        <v>2</v>
      </c>
      <c r="R83" s="6">
        <v>2</v>
      </c>
      <c r="S83" s="5">
        <f t="shared" si="23"/>
        <v>36</v>
      </c>
    </row>
    <row r="84" spans="1:19" ht="13.15" customHeight="1" x14ac:dyDescent="0.4">
      <c r="A84" s="7"/>
      <c r="B84" s="46"/>
      <c r="C84" s="24" t="s">
        <v>132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5">
        <f t="shared" si="23"/>
        <v>1</v>
      </c>
    </row>
    <row r="85" spans="1:19" x14ac:dyDescent="0.4">
      <c r="A85" s="7"/>
      <c r="B85" s="46"/>
      <c r="C85" s="24" t="s">
        <v>133</v>
      </c>
      <c r="D85" s="47"/>
      <c r="E85" s="6">
        <v>1</v>
      </c>
      <c r="F85" s="6">
        <v>0</v>
      </c>
      <c r="G85" s="6">
        <v>1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5">
        <f t="shared" si="23"/>
        <v>2</v>
      </c>
    </row>
    <row r="86" spans="1:19" x14ac:dyDescent="0.4">
      <c r="A86" s="7"/>
      <c r="B86" s="46"/>
      <c r="C86" s="24" t="s">
        <v>134</v>
      </c>
      <c r="D86" s="47"/>
      <c r="E86" s="6">
        <v>0</v>
      </c>
      <c r="F86" s="6">
        <v>0</v>
      </c>
      <c r="G86" s="6">
        <v>3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1</v>
      </c>
      <c r="O86" s="6">
        <v>2</v>
      </c>
      <c r="P86" s="6">
        <v>0</v>
      </c>
      <c r="Q86" s="6">
        <v>0</v>
      </c>
      <c r="R86" s="6">
        <v>2</v>
      </c>
      <c r="S86" s="5">
        <f t="shared" si="23"/>
        <v>8</v>
      </c>
    </row>
    <row r="87" spans="1:19" x14ac:dyDescent="0.4">
      <c r="A87" s="7"/>
      <c r="B87" s="46"/>
      <c r="C87" s="24" t="s">
        <v>135</v>
      </c>
      <c r="D87" s="47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5">
        <f t="shared" si="23"/>
        <v>0</v>
      </c>
    </row>
    <row r="88" spans="1:19" x14ac:dyDescent="0.4">
      <c r="A88" s="6" t="s">
        <v>26</v>
      </c>
      <c r="B88" s="53" t="s">
        <v>51</v>
      </c>
      <c r="C88" s="69"/>
      <c r="D88" s="60"/>
      <c r="E88" s="5">
        <f>SUM(E81:E87)</f>
        <v>2</v>
      </c>
      <c r="F88" s="5">
        <f>SUM(F81:F87)</f>
        <v>2</v>
      </c>
      <c r="G88" s="5">
        <f>SUM(G81:G87)</f>
        <v>10</v>
      </c>
      <c r="H88" s="5">
        <f>SUM(H81:H87)</f>
        <v>10</v>
      </c>
      <c r="I88" s="5">
        <f>SUM(I81:I87)</f>
        <v>4</v>
      </c>
      <c r="J88" s="5">
        <f>SUM(J81:J87)</f>
        <v>0</v>
      </c>
      <c r="K88" s="5">
        <f>SUM(K81:K87)</f>
        <v>2</v>
      </c>
      <c r="L88" s="5">
        <f>SUM(L81:L87)</f>
        <v>0</v>
      </c>
      <c r="M88" s="5">
        <f>SUM(M81:M87)</f>
        <v>3</v>
      </c>
      <c r="N88" s="5">
        <f>SUM(N81:N87)</f>
        <v>6</v>
      </c>
      <c r="O88" s="5">
        <f>SUM(O81:O87)</f>
        <v>12</v>
      </c>
      <c r="P88" s="5">
        <f>SUM(P81:P87)</f>
        <v>3</v>
      </c>
      <c r="Q88" s="5">
        <f>SUM(Q81:Q87)</f>
        <v>4</v>
      </c>
      <c r="R88" s="5">
        <f>SUM(R81:R87)</f>
        <v>5</v>
      </c>
      <c r="S88" s="5">
        <f>SUM(S81:S87)</f>
        <v>63</v>
      </c>
    </row>
    <row r="89" spans="1:19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</row>
    <row r="90" spans="1:19" x14ac:dyDescent="0.4">
      <c r="A90" s="11" t="s">
        <v>48</v>
      </c>
      <c r="B90" s="17" t="s">
        <v>57</v>
      </c>
      <c r="C90" s="59" t="s">
        <v>58</v>
      </c>
      <c r="D90" s="60"/>
      <c r="E90" s="6">
        <v>2</v>
      </c>
      <c r="F90" s="6">
        <v>0</v>
      </c>
      <c r="G90" s="6">
        <v>0</v>
      </c>
      <c r="H90" s="6">
        <v>1</v>
      </c>
      <c r="I90" s="6">
        <v>0</v>
      </c>
      <c r="J90" s="6">
        <v>2</v>
      </c>
      <c r="K90" s="6">
        <v>0</v>
      </c>
      <c r="L90" s="6">
        <v>0</v>
      </c>
      <c r="M90" s="6">
        <v>1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5">
        <f>SUM(E90:R90)</f>
        <v>6</v>
      </c>
    </row>
    <row r="91" spans="1:19" x14ac:dyDescent="0.4">
      <c r="A91" s="11" t="s">
        <v>50</v>
      </c>
      <c r="B91" s="46"/>
      <c r="C91" s="72" t="s">
        <v>136</v>
      </c>
      <c r="D91" s="60"/>
      <c r="E91" s="6">
        <v>0</v>
      </c>
      <c r="F91" s="6">
        <v>0</v>
      </c>
      <c r="G91" s="6">
        <v>0</v>
      </c>
      <c r="H91" s="6">
        <v>0</v>
      </c>
      <c r="I91" s="6">
        <v>5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5">
        <f>SUM(E91:R91)</f>
        <v>5</v>
      </c>
    </row>
    <row r="92" spans="1:19" ht="13.15" customHeight="1" x14ac:dyDescent="0.4">
      <c r="A92" s="6" t="s">
        <v>26</v>
      </c>
      <c r="B92" s="53" t="s">
        <v>51</v>
      </c>
      <c r="C92" s="54"/>
      <c r="D92" s="55"/>
      <c r="E92" s="5">
        <f>SUM(E90:E91)</f>
        <v>2</v>
      </c>
      <c r="F92" s="5">
        <f>SUM(F90:F91)</f>
        <v>0</v>
      </c>
      <c r="G92" s="5">
        <f>SUM(G90:G91)</f>
        <v>0</v>
      </c>
      <c r="H92" s="5">
        <f>SUM(H90:H91)</f>
        <v>1</v>
      </c>
      <c r="I92" s="5">
        <f>SUM(I90:I91)</f>
        <v>5</v>
      </c>
      <c r="J92" s="5">
        <f>SUM(J90:J91)</f>
        <v>2</v>
      </c>
      <c r="K92" s="5">
        <f>SUM(K90:K91)</f>
        <v>0</v>
      </c>
      <c r="L92" s="5">
        <f>SUM(L90:L91)</f>
        <v>0</v>
      </c>
      <c r="M92" s="5">
        <f>SUM(M90:M91)</f>
        <v>1</v>
      </c>
      <c r="N92" s="5">
        <f>SUM(N90:N91)</f>
        <v>0</v>
      </c>
      <c r="O92" s="5">
        <f>SUM(O90:O91)</f>
        <v>0</v>
      </c>
      <c r="P92" s="5">
        <f>SUM(P90:P91)</f>
        <v>0</v>
      </c>
      <c r="Q92" s="5">
        <f>SUM(Q90:Q91)</f>
        <v>0</v>
      </c>
      <c r="R92" s="5">
        <f>SUM(R90:R91)</f>
        <v>0</v>
      </c>
      <c r="S92" s="5">
        <f>SUM(S90:S91)</f>
        <v>11</v>
      </c>
    </row>
    <row r="93" spans="1:19" x14ac:dyDescent="0.4">
      <c r="A93" s="61"/>
      <c r="B93" s="62"/>
      <c r="C93" s="62"/>
      <c r="D93" s="62"/>
      <c r="E93" s="63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5"/>
    </row>
    <row r="94" spans="1:19" x14ac:dyDescent="0.4">
      <c r="A94" s="11" t="s">
        <v>48</v>
      </c>
      <c r="B94" s="17" t="s">
        <v>59</v>
      </c>
      <c r="C94" s="59" t="s">
        <v>60</v>
      </c>
      <c r="D94" s="60"/>
      <c r="E94" s="6">
        <v>2</v>
      </c>
      <c r="F94" s="6">
        <v>0</v>
      </c>
      <c r="G94" s="6">
        <v>1</v>
      </c>
      <c r="H94" s="6">
        <v>0</v>
      </c>
      <c r="I94" s="6">
        <v>0</v>
      </c>
      <c r="J94" s="6">
        <v>1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1</v>
      </c>
      <c r="R94" s="6">
        <v>0</v>
      </c>
      <c r="S94" s="5">
        <f t="shared" ref="S94:S100" si="24">SUM(E94:R94)</f>
        <v>5</v>
      </c>
    </row>
    <row r="95" spans="1:19" x14ac:dyDescent="0.4">
      <c r="A95" s="11" t="s">
        <v>50</v>
      </c>
      <c r="B95" s="46"/>
      <c r="C95" s="24" t="s">
        <v>137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1</v>
      </c>
      <c r="O95" s="6">
        <v>0</v>
      </c>
      <c r="P95" s="6">
        <v>0</v>
      </c>
      <c r="Q95" s="6">
        <v>0</v>
      </c>
      <c r="R95" s="6">
        <v>0</v>
      </c>
      <c r="S95" s="5">
        <f t="shared" si="24"/>
        <v>1</v>
      </c>
    </row>
    <row r="96" spans="1:19" x14ac:dyDescent="0.4">
      <c r="A96" s="7"/>
      <c r="B96" s="46"/>
      <c r="C96" s="24" t="s">
        <v>138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3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5">
        <f t="shared" si="24"/>
        <v>3</v>
      </c>
    </row>
    <row r="97" spans="1:19" x14ac:dyDescent="0.4">
      <c r="A97" s="7"/>
      <c r="B97" s="46"/>
      <c r="C97" s="24" t="s">
        <v>139</v>
      </c>
      <c r="D97" s="47"/>
      <c r="E97" s="6">
        <v>0</v>
      </c>
      <c r="F97" s="6">
        <v>0</v>
      </c>
      <c r="G97" s="6">
        <v>3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5">
        <f t="shared" si="24"/>
        <v>3</v>
      </c>
    </row>
    <row r="98" spans="1:19" x14ac:dyDescent="0.4">
      <c r="A98" s="7"/>
      <c r="B98" s="46"/>
      <c r="C98" s="24" t="s">
        <v>140</v>
      </c>
      <c r="D98" s="47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5">
        <f t="shared" si="24"/>
        <v>0</v>
      </c>
    </row>
    <row r="99" spans="1:19" x14ac:dyDescent="0.4">
      <c r="A99" s="7"/>
      <c r="B99" s="46"/>
      <c r="C99" s="24" t="s">
        <v>141</v>
      </c>
      <c r="D99" s="47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5">
        <f t="shared" si="24"/>
        <v>0</v>
      </c>
    </row>
    <row r="100" spans="1:19" x14ac:dyDescent="0.4">
      <c r="A100" s="7"/>
      <c r="B100" s="46"/>
      <c r="C100" s="24" t="s">
        <v>142</v>
      </c>
      <c r="D100" s="47"/>
      <c r="E100" s="50">
        <v>0</v>
      </c>
      <c r="F100" s="29">
        <v>0</v>
      </c>
      <c r="G100" s="29">
        <v>0</v>
      </c>
      <c r="H100" s="29">
        <v>0</v>
      </c>
      <c r="I100" s="29">
        <v>0</v>
      </c>
      <c r="J100" s="29">
        <v>0</v>
      </c>
      <c r="K100" s="29">
        <v>0</v>
      </c>
      <c r="L100" s="29">
        <v>0</v>
      </c>
      <c r="M100" s="29">
        <v>0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5">
        <f t="shared" si="24"/>
        <v>0</v>
      </c>
    </row>
    <row r="101" spans="1:19" x14ac:dyDescent="0.4">
      <c r="A101" s="6" t="s">
        <v>26</v>
      </c>
      <c r="B101" s="53" t="s">
        <v>51</v>
      </c>
      <c r="C101" s="54"/>
      <c r="D101" s="55"/>
      <c r="E101" s="5">
        <f>SUM(E94:E100)</f>
        <v>2</v>
      </c>
      <c r="F101" s="5">
        <f>SUM(F94:F100)</f>
        <v>0</v>
      </c>
      <c r="G101" s="5">
        <f>SUM(G94:G100)</f>
        <v>4</v>
      </c>
      <c r="H101" s="5">
        <f>SUM(H94:H100)</f>
        <v>0</v>
      </c>
      <c r="I101" s="5">
        <f>SUM(I94:I100)</f>
        <v>0</v>
      </c>
      <c r="J101" s="5">
        <f>SUM(J94:J100)</f>
        <v>1</v>
      </c>
      <c r="K101" s="5">
        <f>SUM(K94:K100)</f>
        <v>0</v>
      </c>
      <c r="L101" s="5">
        <f>SUM(L94:L100)</f>
        <v>0</v>
      </c>
      <c r="M101" s="5">
        <f>SUM(M94:M100)</f>
        <v>3</v>
      </c>
      <c r="N101" s="5">
        <f>SUM(N94:N100)</f>
        <v>1</v>
      </c>
      <c r="O101" s="5">
        <f>SUM(O94:O100)</f>
        <v>0</v>
      </c>
      <c r="P101" s="5">
        <f>SUM(P94:P100)</f>
        <v>0</v>
      </c>
      <c r="Q101" s="5">
        <f>SUM(Q94:Q100)</f>
        <v>1</v>
      </c>
      <c r="R101" s="5">
        <f>SUM(R94:R100)</f>
        <v>0</v>
      </c>
      <c r="S101" s="5">
        <f>SUM(S94:S100)</f>
        <v>12</v>
      </c>
    </row>
    <row r="102" spans="1:19" x14ac:dyDescent="0.4">
      <c r="A102" s="61"/>
      <c r="B102" s="62"/>
      <c r="C102" s="62"/>
      <c r="D102" s="62"/>
      <c r="E102" s="63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</row>
    <row r="103" spans="1:19" x14ac:dyDescent="0.4">
      <c r="A103" s="11" t="s">
        <v>48</v>
      </c>
      <c r="B103" s="17" t="s">
        <v>61</v>
      </c>
      <c r="C103" s="59" t="s">
        <v>62</v>
      </c>
      <c r="D103" s="60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1</v>
      </c>
      <c r="P103" s="6">
        <v>0</v>
      </c>
      <c r="Q103" s="6">
        <v>0</v>
      </c>
      <c r="R103" s="6">
        <v>1</v>
      </c>
      <c r="S103" s="5">
        <f t="shared" ref="S103:S109" si="25">SUM(E103:R103)</f>
        <v>2</v>
      </c>
    </row>
    <row r="104" spans="1:19" ht="13.15" customHeight="1" x14ac:dyDescent="0.4">
      <c r="A104" s="11" t="s">
        <v>50</v>
      </c>
      <c r="B104" s="46"/>
      <c r="C104" s="24" t="s">
        <v>143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1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5">
        <f t="shared" si="25"/>
        <v>1</v>
      </c>
    </row>
    <row r="105" spans="1:19" x14ac:dyDescent="0.4">
      <c r="A105" s="7"/>
      <c r="B105" s="46"/>
      <c r="C105" s="24" t="s">
        <v>144</v>
      </c>
      <c r="D105" s="47"/>
      <c r="E105" s="6">
        <v>1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5">
        <f t="shared" si="25"/>
        <v>1</v>
      </c>
    </row>
    <row r="106" spans="1:19" x14ac:dyDescent="0.4">
      <c r="A106" s="7"/>
      <c r="B106" s="46"/>
      <c r="C106" s="24" t="s">
        <v>145</v>
      </c>
      <c r="D106" s="47"/>
      <c r="E106" s="6">
        <v>0</v>
      </c>
      <c r="F106" s="6">
        <v>0</v>
      </c>
      <c r="G106" s="6">
        <v>0</v>
      </c>
      <c r="H106" s="6">
        <v>1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5">
        <f t="shared" si="25"/>
        <v>1</v>
      </c>
    </row>
    <row r="107" spans="1:19" x14ac:dyDescent="0.4">
      <c r="A107" s="7"/>
      <c r="B107" s="46"/>
      <c r="C107" s="24" t="s">
        <v>146</v>
      </c>
      <c r="D107" s="47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5">
        <f t="shared" si="25"/>
        <v>0</v>
      </c>
    </row>
    <row r="108" spans="1:19" x14ac:dyDescent="0.4">
      <c r="A108" s="7"/>
      <c r="B108" s="46"/>
      <c r="C108" s="24" t="s">
        <v>147</v>
      </c>
      <c r="D108" s="47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5">
        <f t="shared" si="25"/>
        <v>0</v>
      </c>
    </row>
    <row r="109" spans="1:19" x14ac:dyDescent="0.4">
      <c r="A109" s="7"/>
      <c r="B109" s="46"/>
      <c r="C109" s="24" t="s">
        <v>148</v>
      </c>
      <c r="D109" s="47"/>
      <c r="E109" s="6">
        <v>2</v>
      </c>
      <c r="F109" s="6">
        <v>0</v>
      </c>
      <c r="G109" s="6">
        <v>0</v>
      </c>
      <c r="H109" s="6">
        <v>0</v>
      </c>
      <c r="I109" s="6">
        <v>1</v>
      </c>
      <c r="J109" s="6">
        <v>0</v>
      </c>
      <c r="K109" s="6">
        <v>0</v>
      </c>
      <c r="L109" s="6">
        <v>0</v>
      </c>
      <c r="M109" s="6">
        <v>2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5">
        <f t="shared" si="25"/>
        <v>5</v>
      </c>
    </row>
    <row r="110" spans="1:19" x14ac:dyDescent="0.4">
      <c r="A110" s="6" t="s">
        <v>26</v>
      </c>
      <c r="B110" s="53" t="s">
        <v>51</v>
      </c>
      <c r="C110" s="54"/>
      <c r="D110" s="55"/>
      <c r="E110" s="5">
        <f>SUM(E103:E109)</f>
        <v>3</v>
      </c>
      <c r="F110" s="5">
        <f>SUM(F103:F109)</f>
        <v>0</v>
      </c>
      <c r="G110" s="5">
        <f>SUM(G103:G109)</f>
        <v>0</v>
      </c>
      <c r="H110" s="5">
        <f>SUM(H103:H109)</f>
        <v>1</v>
      </c>
      <c r="I110" s="5">
        <f>SUM(I103:I109)</f>
        <v>1</v>
      </c>
      <c r="J110" s="5">
        <f>SUM(J103:J109)</f>
        <v>0</v>
      </c>
      <c r="K110" s="5">
        <f>SUM(K103:K109)</f>
        <v>0</v>
      </c>
      <c r="L110" s="5">
        <f>SUM(L103:L109)</f>
        <v>0</v>
      </c>
      <c r="M110" s="5">
        <f>SUM(M103:M109)</f>
        <v>3</v>
      </c>
      <c r="N110" s="5">
        <f>SUM(N103:N109)</f>
        <v>0</v>
      </c>
      <c r="O110" s="5">
        <f>SUM(O103:O109)</f>
        <v>1</v>
      </c>
      <c r="P110" s="5">
        <f>SUM(P103:P109)</f>
        <v>0</v>
      </c>
      <c r="Q110" s="5">
        <f>SUM(Q103:Q109)</f>
        <v>0</v>
      </c>
      <c r="R110" s="5">
        <f>SUM(R103:R109)</f>
        <v>1</v>
      </c>
      <c r="S110" s="5">
        <f>SUM(S103:S109)</f>
        <v>10</v>
      </c>
    </row>
    <row r="111" spans="1:19" x14ac:dyDescent="0.4">
      <c r="A111" s="61"/>
      <c r="B111" s="62"/>
      <c r="C111" s="62"/>
      <c r="D111" s="62"/>
      <c r="E111" s="6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</row>
    <row r="112" spans="1:19" ht="13.15" customHeight="1" x14ac:dyDescent="0.4">
      <c r="A112" s="11" t="s">
        <v>48</v>
      </c>
      <c r="B112" s="17" t="s">
        <v>63</v>
      </c>
      <c r="C112" s="59" t="s">
        <v>64</v>
      </c>
      <c r="D112" s="60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5">
        <f>SUM(E112:R112)</f>
        <v>0</v>
      </c>
    </row>
    <row r="113" spans="1:19" x14ac:dyDescent="0.4">
      <c r="A113" s="11" t="s">
        <v>50</v>
      </c>
      <c r="B113" s="17"/>
      <c r="C113" s="24" t="s">
        <v>104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5">
        <f>SUM(E113:R113)</f>
        <v>0</v>
      </c>
    </row>
    <row r="114" spans="1:19" x14ac:dyDescent="0.4">
      <c r="A114" s="7"/>
      <c r="B114" s="17"/>
      <c r="C114" s="24" t="s">
        <v>149</v>
      </c>
      <c r="D114" s="45"/>
      <c r="E114" s="6">
        <v>1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5">
        <f t="shared" ref="S114:S118" si="26">SUM(E114:R114)</f>
        <v>1</v>
      </c>
    </row>
    <row r="115" spans="1:19" x14ac:dyDescent="0.4">
      <c r="A115" s="7"/>
      <c r="B115" s="17"/>
      <c r="C115" s="24" t="s">
        <v>150</v>
      </c>
      <c r="D115" s="45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5">
        <f t="shared" si="26"/>
        <v>0</v>
      </c>
    </row>
    <row r="116" spans="1:19" x14ac:dyDescent="0.4">
      <c r="A116" s="7"/>
      <c r="B116" s="46"/>
      <c r="C116" s="24" t="s">
        <v>151</v>
      </c>
      <c r="D116" s="47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1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5">
        <f t="shared" si="26"/>
        <v>1</v>
      </c>
    </row>
    <row r="117" spans="1:19" x14ac:dyDescent="0.4">
      <c r="A117" s="7"/>
      <c r="B117" s="46"/>
      <c r="C117" s="24" t="s">
        <v>152</v>
      </c>
      <c r="D117" s="47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5">
        <f t="shared" si="26"/>
        <v>0</v>
      </c>
    </row>
    <row r="118" spans="1:19" x14ac:dyDescent="0.4">
      <c r="A118" s="7"/>
      <c r="B118" s="46"/>
      <c r="C118" s="24" t="s">
        <v>153</v>
      </c>
      <c r="D118" s="47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5">
        <f t="shared" si="26"/>
        <v>0</v>
      </c>
    </row>
    <row r="119" spans="1:19" ht="13.15" customHeight="1" x14ac:dyDescent="0.4">
      <c r="A119" s="6" t="s">
        <v>26</v>
      </c>
      <c r="B119" s="53" t="s">
        <v>51</v>
      </c>
      <c r="C119" s="54"/>
      <c r="D119" s="55"/>
      <c r="E119" s="5">
        <f>SUM(E112:E118)</f>
        <v>1</v>
      </c>
      <c r="F119" s="5">
        <f>SUM(F112:F118)</f>
        <v>0</v>
      </c>
      <c r="G119" s="5">
        <f>SUM(G112:G118)</f>
        <v>0</v>
      </c>
      <c r="H119" s="5">
        <f>SUM(H112:H118)</f>
        <v>0</v>
      </c>
      <c r="I119" s="5">
        <f>SUM(I112:I118)</f>
        <v>0</v>
      </c>
      <c r="J119" s="5">
        <f>SUM(J112:J118)</f>
        <v>1</v>
      </c>
      <c r="K119" s="5">
        <f>SUM(K112:K118)</f>
        <v>0</v>
      </c>
      <c r="L119" s="5">
        <f>SUM(L112:L118)</f>
        <v>0</v>
      </c>
      <c r="M119" s="5">
        <f>SUM(M112:M118)</f>
        <v>0</v>
      </c>
      <c r="N119" s="5">
        <f>SUM(N112:N118)</f>
        <v>0</v>
      </c>
      <c r="O119" s="5">
        <f>SUM(O112:O118)</f>
        <v>0</v>
      </c>
      <c r="P119" s="5">
        <f>SUM(P112:P118)</f>
        <v>0</v>
      </c>
      <c r="Q119" s="5">
        <f>SUM(Q112:Q118)</f>
        <v>0</v>
      </c>
      <c r="R119" s="5">
        <f>SUM(R112:R118)</f>
        <v>0</v>
      </c>
      <c r="S119" s="5">
        <f>SUM(S112:S118)</f>
        <v>2</v>
      </c>
    </row>
    <row r="120" spans="1:19" x14ac:dyDescent="0.4">
      <c r="A120" s="61"/>
      <c r="B120" s="62"/>
      <c r="C120" s="62"/>
      <c r="D120" s="62"/>
      <c r="E120" s="6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5"/>
    </row>
    <row r="121" spans="1:19" x14ac:dyDescent="0.4">
      <c r="A121" s="11" t="s">
        <v>48</v>
      </c>
      <c r="B121" s="44" t="s">
        <v>65</v>
      </c>
      <c r="C121" s="67" t="s">
        <v>66</v>
      </c>
      <c r="D121" s="68"/>
      <c r="E121" s="6">
        <v>0</v>
      </c>
      <c r="F121" s="6">
        <v>2</v>
      </c>
      <c r="G121" s="6">
        <v>0</v>
      </c>
      <c r="H121" s="6">
        <v>1</v>
      </c>
      <c r="I121" s="6">
        <v>2</v>
      </c>
      <c r="J121" s="6">
        <v>0</v>
      </c>
      <c r="K121" s="6">
        <v>0</v>
      </c>
      <c r="L121" s="6">
        <v>0</v>
      </c>
      <c r="M121" s="6">
        <v>0</v>
      </c>
      <c r="N121" s="6">
        <v>1</v>
      </c>
      <c r="O121" s="6">
        <v>0</v>
      </c>
      <c r="P121" s="6">
        <v>0</v>
      </c>
      <c r="Q121" s="6">
        <v>0</v>
      </c>
      <c r="R121" s="6">
        <v>0</v>
      </c>
      <c r="S121" s="5">
        <f>SUM(E122:R122)</f>
        <v>1</v>
      </c>
    </row>
    <row r="122" spans="1:19" x14ac:dyDescent="0.4">
      <c r="A122" s="48" t="s">
        <v>50</v>
      </c>
      <c r="B122" s="46"/>
      <c r="C122" s="24" t="s">
        <v>154</v>
      </c>
      <c r="D122" s="47"/>
      <c r="E122" s="49">
        <v>0</v>
      </c>
      <c r="F122" s="6">
        <v>0</v>
      </c>
      <c r="G122" s="6">
        <v>1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5">
        <f>SUM(E123:R123)</f>
        <v>199</v>
      </c>
    </row>
    <row r="123" spans="1:19" x14ac:dyDescent="0.4">
      <c r="A123" s="7"/>
      <c r="B123" s="46"/>
      <c r="C123" s="24" t="s">
        <v>155</v>
      </c>
      <c r="D123" s="47"/>
      <c r="E123" s="49">
        <v>3</v>
      </c>
      <c r="F123" s="6">
        <v>66</v>
      </c>
      <c r="G123" s="6">
        <v>24</v>
      </c>
      <c r="H123" s="6">
        <v>13</v>
      </c>
      <c r="I123" s="6">
        <v>50</v>
      </c>
      <c r="J123" s="6">
        <v>18</v>
      </c>
      <c r="K123" s="6">
        <v>3</v>
      </c>
      <c r="L123" s="6">
        <v>0</v>
      </c>
      <c r="M123" s="6">
        <v>1</v>
      </c>
      <c r="N123" s="6">
        <v>20</v>
      </c>
      <c r="O123" s="6">
        <v>0</v>
      </c>
      <c r="P123" s="6">
        <v>1</v>
      </c>
      <c r="Q123" s="6">
        <v>0</v>
      </c>
      <c r="R123" s="6">
        <v>0</v>
      </c>
      <c r="S123" s="5">
        <f>SUM(E124:R124)</f>
        <v>0</v>
      </c>
    </row>
    <row r="124" spans="1:19" x14ac:dyDescent="0.4">
      <c r="A124" s="7"/>
      <c r="B124" s="46"/>
      <c r="C124" s="24" t="s">
        <v>156</v>
      </c>
      <c r="D124" s="47"/>
      <c r="E124" s="49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5">
        <f>SUM(E125:R125)</f>
        <v>0</v>
      </c>
    </row>
    <row r="125" spans="1:19" x14ac:dyDescent="0.4">
      <c r="A125" s="7"/>
      <c r="B125" s="46"/>
      <c r="C125" s="24" t="s">
        <v>157</v>
      </c>
      <c r="D125" s="47"/>
      <c r="E125" s="49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5">
        <f>SUM(E128:R128)</f>
        <v>208</v>
      </c>
    </row>
    <row r="126" spans="1:19" x14ac:dyDescent="0.4">
      <c r="A126" s="7"/>
      <c r="B126" s="46"/>
      <c r="C126" s="24" t="s">
        <v>158</v>
      </c>
      <c r="D126" s="47"/>
      <c r="E126" s="49">
        <v>0</v>
      </c>
      <c r="F126" s="6">
        <v>0</v>
      </c>
      <c r="G126" s="6">
        <v>0</v>
      </c>
      <c r="H126" s="6">
        <v>0</v>
      </c>
      <c r="I126" s="6">
        <v>0</v>
      </c>
      <c r="J126" s="6">
        <v>1</v>
      </c>
      <c r="K126" s="6">
        <v>0</v>
      </c>
      <c r="L126" s="6">
        <v>0</v>
      </c>
      <c r="M126" s="6">
        <v>1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5">
        <f>SUM(E129:R129)</f>
        <v>0</v>
      </c>
    </row>
    <row r="127" spans="1:19" x14ac:dyDescent="0.4">
      <c r="A127" s="7"/>
      <c r="B127" s="46"/>
      <c r="C127" s="24" t="s">
        <v>159</v>
      </c>
      <c r="D127" s="47"/>
      <c r="E127" s="49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5">
        <f>SUM(E130:R130)</f>
        <v>2</v>
      </c>
    </row>
    <row r="128" spans="1:19" x14ac:dyDescent="0.4">
      <c r="A128" s="6" t="s">
        <v>26</v>
      </c>
      <c r="B128" s="64" t="s">
        <v>51</v>
      </c>
      <c r="C128" s="65"/>
      <c r="D128" s="66"/>
      <c r="E128" s="5">
        <f>SUM(E121:E127)</f>
        <v>3</v>
      </c>
      <c r="F128" s="5">
        <f>SUM(F121:F127)</f>
        <v>68</v>
      </c>
      <c r="G128" s="5">
        <f>SUM(G121:G127)</f>
        <v>25</v>
      </c>
      <c r="H128" s="5">
        <f>SUM(H121:H127)</f>
        <v>14</v>
      </c>
      <c r="I128" s="5">
        <f>SUM(I121:I127)</f>
        <v>52</v>
      </c>
      <c r="J128" s="5">
        <f>SUM(J121:J127)</f>
        <v>19</v>
      </c>
      <c r="K128" s="5">
        <f>SUM(K121:K127)</f>
        <v>3</v>
      </c>
      <c r="L128" s="5">
        <f>SUM(L121:L127)</f>
        <v>0</v>
      </c>
      <c r="M128" s="5">
        <f>SUM(M121:M127)</f>
        <v>2</v>
      </c>
      <c r="N128" s="5">
        <f>SUM(N121:N127)</f>
        <v>21</v>
      </c>
      <c r="O128" s="5">
        <f>SUM(O121:O127)</f>
        <v>0</v>
      </c>
      <c r="P128" s="5">
        <f>SUM(P121:P127)</f>
        <v>1</v>
      </c>
      <c r="Q128" s="5">
        <f>SUM(Q121:Q127)</f>
        <v>0</v>
      </c>
      <c r="R128" s="5">
        <f>SUM(R121:R127)</f>
        <v>0</v>
      </c>
      <c r="S128" s="5">
        <f>SUM(S121:S127)</f>
        <v>410</v>
      </c>
    </row>
    <row r="129" spans="1:19" x14ac:dyDescent="0.4">
      <c r="A129" s="61"/>
      <c r="B129" s="62"/>
      <c r="C129" s="62"/>
      <c r="D129" s="62"/>
      <c r="E129" s="63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</row>
    <row r="130" spans="1:19" ht="13.15" customHeight="1" x14ac:dyDescent="0.4">
      <c r="A130" s="11" t="s">
        <v>48</v>
      </c>
      <c r="B130" s="17" t="s">
        <v>67</v>
      </c>
      <c r="C130" s="59" t="s">
        <v>68</v>
      </c>
      <c r="D130" s="60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1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1</v>
      </c>
      <c r="S130" s="5">
        <f>SUM(E130:R130)</f>
        <v>2</v>
      </c>
    </row>
    <row r="131" spans="1:19" x14ac:dyDescent="0.4">
      <c r="A131" s="6" t="s">
        <v>26</v>
      </c>
      <c r="B131" s="53" t="s">
        <v>51</v>
      </c>
      <c r="C131" s="54"/>
      <c r="D131" s="55"/>
      <c r="E131" s="5">
        <f>SUM(E130:E130)</f>
        <v>0</v>
      </c>
      <c r="F131" s="5">
        <f>SUM(F130:F130)</f>
        <v>0</v>
      </c>
      <c r="G131" s="5">
        <f>SUM(G130:G130)</f>
        <v>0</v>
      </c>
      <c r="H131" s="5">
        <f>SUM(H130:H130)</f>
        <v>0</v>
      </c>
      <c r="I131" s="5">
        <f>SUM(I130:I130)</f>
        <v>0</v>
      </c>
      <c r="J131" s="5">
        <f>SUM(J130:J130)</f>
        <v>0</v>
      </c>
      <c r="K131" s="5">
        <f>SUM(K130:K130)</f>
        <v>1</v>
      </c>
      <c r="L131" s="5">
        <f>SUM(L130:L130)</f>
        <v>0</v>
      </c>
      <c r="M131" s="5">
        <f>SUM(M130:M130)</f>
        <v>0</v>
      </c>
      <c r="N131" s="5">
        <f>SUM(N130:N130)</f>
        <v>0</v>
      </c>
      <c r="O131" s="5">
        <f>SUM(O130:O130)</f>
        <v>0</v>
      </c>
      <c r="P131" s="5">
        <f>SUM(P130:P130)</f>
        <v>0</v>
      </c>
      <c r="Q131" s="5">
        <f>SUM(Q130:Q130)</f>
        <v>0</v>
      </c>
      <c r="R131" s="5">
        <f>SUM(R130:R130)</f>
        <v>1</v>
      </c>
      <c r="S131" s="5">
        <f>SUM(S130:S130)</f>
        <v>2</v>
      </c>
    </row>
    <row r="132" spans="1:19" ht="13.15" customHeight="1" x14ac:dyDescent="0.4">
      <c r="A132" s="61"/>
      <c r="B132" s="62"/>
      <c r="C132" s="62"/>
      <c r="D132" s="62"/>
      <c r="E132" s="63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spans="1:19" x14ac:dyDescent="0.4">
      <c r="A133" s="11" t="s">
        <v>48</v>
      </c>
      <c r="B133" s="17" t="s">
        <v>69</v>
      </c>
      <c r="C133" s="59" t="s">
        <v>70</v>
      </c>
      <c r="D133" s="60"/>
      <c r="E133" s="6">
        <v>0</v>
      </c>
      <c r="F133" s="6">
        <v>0</v>
      </c>
      <c r="G133" s="6">
        <v>4</v>
      </c>
      <c r="H133" s="6">
        <v>4</v>
      </c>
      <c r="I133" s="6">
        <v>1</v>
      </c>
      <c r="J133" s="6">
        <v>2</v>
      </c>
      <c r="K133" s="6">
        <v>2</v>
      </c>
      <c r="L133" s="6">
        <v>0</v>
      </c>
      <c r="M133" s="6">
        <v>0</v>
      </c>
      <c r="N133" s="6">
        <v>1</v>
      </c>
      <c r="O133" s="6">
        <v>0</v>
      </c>
      <c r="P133" s="6">
        <v>0</v>
      </c>
      <c r="Q133" s="6">
        <v>0</v>
      </c>
      <c r="R133" s="6">
        <v>0</v>
      </c>
      <c r="S133" s="5">
        <f t="shared" ref="S133:S139" si="27">SUM(E133:R133)</f>
        <v>14</v>
      </c>
    </row>
    <row r="134" spans="1:19" x14ac:dyDescent="0.4">
      <c r="A134" s="11" t="s">
        <v>50</v>
      </c>
      <c r="B134" s="46"/>
      <c r="C134" s="24" t="s">
        <v>160</v>
      </c>
      <c r="D134" s="47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1</v>
      </c>
      <c r="L134" s="6">
        <v>0</v>
      </c>
      <c r="M134" s="6">
        <v>0</v>
      </c>
      <c r="N134" s="6">
        <v>0</v>
      </c>
      <c r="O134" s="6">
        <v>1</v>
      </c>
      <c r="P134" s="6">
        <v>0</v>
      </c>
      <c r="Q134" s="6">
        <v>0</v>
      </c>
      <c r="R134" s="6">
        <v>0</v>
      </c>
      <c r="S134" s="5">
        <f t="shared" si="27"/>
        <v>2</v>
      </c>
    </row>
    <row r="135" spans="1:19" x14ac:dyDescent="0.4">
      <c r="A135" s="7"/>
      <c r="B135" s="46"/>
      <c r="C135" s="24" t="s">
        <v>161</v>
      </c>
      <c r="D135" s="47"/>
      <c r="E135" s="6">
        <v>4</v>
      </c>
      <c r="F135" s="6">
        <v>4</v>
      </c>
      <c r="G135" s="6">
        <v>82</v>
      </c>
      <c r="H135" s="6">
        <v>28</v>
      </c>
      <c r="I135" s="6">
        <v>18</v>
      </c>
      <c r="J135" s="6">
        <v>16</v>
      </c>
      <c r="K135" s="6">
        <v>7</v>
      </c>
      <c r="L135" s="6">
        <v>0</v>
      </c>
      <c r="M135" s="6">
        <v>1</v>
      </c>
      <c r="N135" s="6">
        <v>8</v>
      </c>
      <c r="O135" s="6">
        <v>0</v>
      </c>
      <c r="P135" s="6">
        <v>0</v>
      </c>
      <c r="Q135" s="6">
        <v>0</v>
      </c>
      <c r="R135" s="6">
        <v>0</v>
      </c>
      <c r="S135" s="5">
        <f t="shared" si="27"/>
        <v>168</v>
      </c>
    </row>
    <row r="136" spans="1:19" x14ac:dyDescent="0.4">
      <c r="A136" s="7"/>
      <c r="B136" s="46"/>
      <c r="C136" s="24" t="s">
        <v>162</v>
      </c>
      <c r="D136" s="47"/>
      <c r="E136" s="6">
        <v>0</v>
      </c>
      <c r="F136" s="6">
        <v>1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5">
        <f t="shared" si="27"/>
        <v>1</v>
      </c>
    </row>
    <row r="137" spans="1:19" x14ac:dyDescent="0.4">
      <c r="A137" s="7"/>
      <c r="B137" s="46"/>
      <c r="C137" s="24" t="s">
        <v>163</v>
      </c>
      <c r="D137" s="47"/>
      <c r="E137" s="6">
        <v>0</v>
      </c>
      <c r="F137" s="6">
        <v>0</v>
      </c>
      <c r="G137" s="6">
        <v>0</v>
      </c>
      <c r="H137" s="6">
        <v>1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5">
        <f t="shared" si="27"/>
        <v>1</v>
      </c>
    </row>
    <row r="138" spans="1:19" x14ac:dyDescent="0.4">
      <c r="A138" s="7"/>
      <c r="B138" s="46"/>
      <c r="C138" s="24" t="s">
        <v>164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5">
        <f t="shared" si="27"/>
        <v>0</v>
      </c>
    </row>
    <row r="139" spans="1:19" x14ac:dyDescent="0.4">
      <c r="A139" s="7"/>
      <c r="B139" s="46"/>
      <c r="C139" s="24" t="s">
        <v>165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5">
        <f t="shared" si="27"/>
        <v>0</v>
      </c>
    </row>
    <row r="140" spans="1:19" ht="13.15" customHeight="1" x14ac:dyDescent="0.4">
      <c r="A140" s="6" t="s">
        <v>26</v>
      </c>
      <c r="B140" s="53" t="s">
        <v>51</v>
      </c>
      <c r="C140" s="54"/>
      <c r="D140" s="55"/>
      <c r="E140" s="5">
        <f>SUM(E133:E139)</f>
        <v>4</v>
      </c>
      <c r="F140" s="5">
        <f>SUM(F133:F139)</f>
        <v>5</v>
      </c>
      <c r="G140" s="5">
        <f>SUM(G133:G139)</f>
        <v>86</v>
      </c>
      <c r="H140" s="5">
        <f>SUM(H133:H139)</f>
        <v>33</v>
      </c>
      <c r="I140" s="5">
        <f>SUM(I133:I139)</f>
        <v>19</v>
      </c>
      <c r="J140" s="5">
        <f>SUM(J133:J139)</f>
        <v>18</v>
      </c>
      <c r="K140" s="5">
        <f>SUM(K133:K139)</f>
        <v>10</v>
      </c>
      <c r="L140" s="5">
        <f>SUM(L133:L139)</f>
        <v>0</v>
      </c>
      <c r="M140" s="5">
        <f>SUM(M133:M139)</f>
        <v>1</v>
      </c>
      <c r="N140" s="5">
        <f>SUM(N133:N139)</f>
        <v>9</v>
      </c>
      <c r="O140" s="5">
        <f>SUM(O133:O139)</f>
        <v>1</v>
      </c>
      <c r="P140" s="5">
        <f>SUM(P133:P139)</f>
        <v>0</v>
      </c>
      <c r="Q140" s="5">
        <f>SUM(Q133:Q139)</f>
        <v>0</v>
      </c>
      <c r="R140" s="5">
        <f>SUM(R133:R139)</f>
        <v>0</v>
      </c>
      <c r="S140" s="5">
        <f>SUM(S133:S139)</f>
        <v>186</v>
      </c>
    </row>
    <row r="141" spans="1:19" x14ac:dyDescent="0.4">
      <c r="A141" s="61"/>
      <c r="B141" s="62"/>
      <c r="C141" s="62"/>
      <c r="D141" s="62"/>
      <c r="E141" s="63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S141" s="5"/>
    </row>
    <row r="142" spans="1:19" x14ac:dyDescent="0.4">
      <c r="A142" s="11" t="s">
        <v>48</v>
      </c>
      <c r="B142" s="17" t="s">
        <v>71</v>
      </c>
      <c r="C142" s="59" t="s">
        <v>72</v>
      </c>
      <c r="D142" s="6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5">
        <f t="shared" ref="S142:S148" si="28">SUM(E142:R142)</f>
        <v>0</v>
      </c>
    </row>
    <row r="143" spans="1:19" x14ac:dyDescent="0.4">
      <c r="A143" s="11" t="s">
        <v>50</v>
      </c>
      <c r="B143" s="46"/>
      <c r="C143" s="24" t="s">
        <v>166</v>
      </c>
      <c r="D143" s="47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1</v>
      </c>
      <c r="N143" s="6">
        <v>0</v>
      </c>
      <c r="O143" s="6">
        <v>4</v>
      </c>
      <c r="P143" s="6">
        <v>0</v>
      </c>
      <c r="Q143" s="6">
        <v>0</v>
      </c>
      <c r="R143" s="6">
        <v>0</v>
      </c>
      <c r="S143" s="5">
        <f t="shared" si="28"/>
        <v>5</v>
      </c>
    </row>
    <row r="144" spans="1:19" x14ac:dyDescent="0.4">
      <c r="A144" s="7"/>
      <c r="B144" s="46"/>
      <c r="C144" s="24" t="s">
        <v>167</v>
      </c>
      <c r="D144" s="47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5">
        <f t="shared" si="28"/>
        <v>0</v>
      </c>
    </row>
    <row r="145" spans="1:19" x14ac:dyDescent="0.4">
      <c r="A145" s="7"/>
      <c r="B145" s="46"/>
      <c r="C145" s="24" t="s">
        <v>168</v>
      </c>
      <c r="D145" s="47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5">
        <f t="shared" si="28"/>
        <v>0</v>
      </c>
    </row>
    <row r="146" spans="1:19" x14ac:dyDescent="0.4">
      <c r="A146" s="7"/>
      <c r="B146" s="46"/>
      <c r="C146" s="24" t="s">
        <v>169</v>
      </c>
      <c r="D146" s="47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5">
        <f t="shared" si="28"/>
        <v>0</v>
      </c>
    </row>
    <row r="147" spans="1:19" x14ac:dyDescent="0.4">
      <c r="A147" s="7"/>
      <c r="B147" s="46"/>
      <c r="C147" s="24" t="s">
        <v>170</v>
      </c>
      <c r="D147" s="47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5">
        <f t="shared" si="28"/>
        <v>0</v>
      </c>
    </row>
    <row r="148" spans="1:19" x14ac:dyDescent="0.4">
      <c r="A148" s="7"/>
      <c r="B148" s="46"/>
      <c r="C148" s="24" t="s">
        <v>171</v>
      </c>
      <c r="D148" s="47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5">
        <f t="shared" si="28"/>
        <v>0</v>
      </c>
    </row>
    <row r="149" spans="1:19" x14ac:dyDescent="0.4">
      <c r="A149" s="6" t="s">
        <v>26</v>
      </c>
      <c r="B149" s="53" t="s">
        <v>51</v>
      </c>
      <c r="C149" s="54"/>
      <c r="D149" s="55"/>
      <c r="E149" s="5">
        <f>SUM(E142:E148)</f>
        <v>0</v>
      </c>
      <c r="F149" s="5">
        <f>SUM(F142:F148)</f>
        <v>0</v>
      </c>
      <c r="G149" s="5">
        <f>SUM(G142:G148)</f>
        <v>0</v>
      </c>
      <c r="H149" s="5">
        <f>SUM(H142:H148)</f>
        <v>0</v>
      </c>
      <c r="I149" s="5">
        <f>SUM(I142:I148)</f>
        <v>0</v>
      </c>
      <c r="J149" s="5">
        <f>SUM(J142:J148)</f>
        <v>0</v>
      </c>
      <c r="K149" s="5">
        <f>SUM(K142:K148)</f>
        <v>0</v>
      </c>
      <c r="L149" s="5">
        <f>SUM(L142:L148)</f>
        <v>0</v>
      </c>
      <c r="M149" s="5">
        <f>SUM(M142:M148)</f>
        <v>1</v>
      </c>
      <c r="N149" s="5">
        <f>SUM(N142:N148)</f>
        <v>0</v>
      </c>
      <c r="O149" s="5">
        <f>SUM(O142:O148)</f>
        <v>4</v>
      </c>
      <c r="P149" s="5">
        <f>SUM(P142:P148)</f>
        <v>0</v>
      </c>
      <c r="Q149" s="5">
        <f>SUM(Q142:Q148)</f>
        <v>0</v>
      </c>
      <c r="R149" s="5">
        <f>SUM(R142:R148)</f>
        <v>0</v>
      </c>
      <c r="S149" s="5">
        <f>SUM(S142:S148)</f>
        <v>5</v>
      </c>
    </row>
    <row r="150" spans="1:19" x14ac:dyDescent="0.4">
      <c r="A150" s="61"/>
      <c r="B150" s="62"/>
      <c r="C150" s="62"/>
      <c r="D150" s="62"/>
      <c r="E150" s="63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</row>
    <row r="151" spans="1:19" x14ac:dyDescent="0.4">
      <c r="A151" s="11" t="s">
        <v>48</v>
      </c>
      <c r="B151" s="17" t="s">
        <v>73</v>
      </c>
      <c r="C151" s="59" t="s">
        <v>74</v>
      </c>
      <c r="D151" s="60"/>
      <c r="E151" s="6">
        <v>5</v>
      </c>
      <c r="F151" s="6">
        <v>2</v>
      </c>
      <c r="G151" s="6">
        <v>0</v>
      </c>
      <c r="H151" s="6">
        <v>4</v>
      </c>
      <c r="I151" s="6">
        <v>2</v>
      </c>
      <c r="J151" s="6">
        <v>5</v>
      </c>
      <c r="K151" s="6">
        <v>3</v>
      </c>
      <c r="L151" s="6">
        <v>0</v>
      </c>
      <c r="M151" s="6">
        <v>4</v>
      </c>
      <c r="N151" s="6">
        <v>2</v>
      </c>
      <c r="O151" s="6">
        <v>6</v>
      </c>
      <c r="P151" s="6">
        <v>4</v>
      </c>
      <c r="Q151" s="6">
        <v>6</v>
      </c>
      <c r="R151" s="6">
        <v>8</v>
      </c>
      <c r="S151" s="5">
        <f t="shared" ref="S151:S157" si="29">SUM(E151:R151)</f>
        <v>51</v>
      </c>
    </row>
    <row r="152" spans="1:19" x14ac:dyDescent="0.4">
      <c r="A152" s="11" t="s">
        <v>50</v>
      </c>
      <c r="B152" s="46"/>
      <c r="C152" s="24" t="s">
        <v>172</v>
      </c>
      <c r="D152" s="47"/>
      <c r="E152" s="6">
        <v>2</v>
      </c>
      <c r="F152" s="6">
        <v>0</v>
      </c>
      <c r="G152" s="6">
        <v>3</v>
      </c>
      <c r="H152" s="6">
        <v>1</v>
      </c>
      <c r="I152" s="6">
        <v>0</v>
      </c>
      <c r="J152" s="6">
        <v>2</v>
      </c>
      <c r="K152" s="6">
        <v>1</v>
      </c>
      <c r="L152" s="6">
        <v>1</v>
      </c>
      <c r="M152" s="6">
        <v>2</v>
      </c>
      <c r="N152" s="6">
        <v>0</v>
      </c>
      <c r="O152" s="6">
        <v>2</v>
      </c>
      <c r="P152" s="6">
        <v>1</v>
      </c>
      <c r="Q152" s="6">
        <v>3</v>
      </c>
      <c r="R152" s="6">
        <v>2</v>
      </c>
      <c r="S152" s="5">
        <f t="shared" si="29"/>
        <v>20</v>
      </c>
    </row>
    <row r="153" spans="1:19" x14ac:dyDescent="0.4">
      <c r="A153" s="7"/>
      <c r="B153" s="46"/>
      <c r="C153" s="24" t="s">
        <v>173</v>
      </c>
      <c r="D153" s="47"/>
      <c r="E153" s="6">
        <v>44</v>
      </c>
      <c r="F153" s="6">
        <v>17</v>
      </c>
      <c r="G153" s="6">
        <v>11</v>
      </c>
      <c r="H153" s="6">
        <v>22</v>
      </c>
      <c r="I153" s="6">
        <v>22</v>
      </c>
      <c r="J153" s="6">
        <v>19</v>
      </c>
      <c r="K153" s="6">
        <v>10</v>
      </c>
      <c r="L153" s="6">
        <v>15</v>
      </c>
      <c r="M153" s="6">
        <v>15</v>
      </c>
      <c r="N153" s="6">
        <v>27</v>
      </c>
      <c r="O153" s="6">
        <v>38</v>
      </c>
      <c r="P153" s="6">
        <v>50</v>
      </c>
      <c r="Q153" s="6">
        <v>132</v>
      </c>
      <c r="R153" s="6">
        <v>150</v>
      </c>
      <c r="S153" s="5">
        <f t="shared" si="29"/>
        <v>572</v>
      </c>
    </row>
    <row r="154" spans="1:19" x14ac:dyDescent="0.4">
      <c r="A154" s="7"/>
      <c r="B154" s="46"/>
      <c r="C154" s="24" t="s">
        <v>174</v>
      </c>
      <c r="D154" s="47"/>
      <c r="E154" s="6">
        <v>1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5">
        <f t="shared" si="29"/>
        <v>1</v>
      </c>
    </row>
    <row r="155" spans="1:19" x14ac:dyDescent="0.4">
      <c r="A155" s="7"/>
      <c r="B155" s="46"/>
      <c r="C155" s="24" t="s">
        <v>175</v>
      </c>
      <c r="D155" s="47"/>
      <c r="E155" s="6">
        <v>0</v>
      </c>
      <c r="F155" s="6">
        <v>0</v>
      </c>
      <c r="G155" s="6">
        <v>0</v>
      </c>
      <c r="H155" s="6">
        <v>1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5">
        <f t="shared" si="29"/>
        <v>2</v>
      </c>
    </row>
    <row r="156" spans="1:19" x14ac:dyDescent="0.4">
      <c r="A156" s="7"/>
      <c r="B156" s="46"/>
      <c r="C156" s="24" t="s">
        <v>176</v>
      </c>
      <c r="D156" s="47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5">
        <f t="shared" si="29"/>
        <v>0</v>
      </c>
    </row>
    <row r="157" spans="1:19" ht="13.15" customHeight="1" x14ac:dyDescent="0.4">
      <c r="A157" s="7"/>
      <c r="B157" s="46"/>
      <c r="C157" s="24" t="s">
        <v>177</v>
      </c>
      <c r="D157" s="47"/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1</v>
      </c>
      <c r="K157" s="6">
        <v>0</v>
      </c>
      <c r="L157" s="6">
        <v>0</v>
      </c>
      <c r="M157" s="6">
        <v>1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5">
        <f t="shared" si="29"/>
        <v>2</v>
      </c>
    </row>
    <row r="158" spans="1:19" x14ac:dyDescent="0.4">
      <c r="A158" s="6" t="s">
        <v>26</v>
      </c>
      <c r="B158" s="53" t="s">
        <v>51</v>
      </c>
      <c r="C158" s="54"/>
      <c r="D158" s="55"/>
      <c r="E158" s="5">
        <f>SUM(E151:E157)</f>
        <v>52</v>
      </c>
      <c r="F158" s="5">
        <f>SUM(F151:F157)</f>
        <v>19</v>
      </c>
      <c r="G158" s="5">
        <f>SUM(G151:G157)</f>
        <v>14</v>
      </c>
      <c r="H158" s="5">
        <f>SUM(H151:H157)</f>
        <v>28</v>
      </c>
      <c r="I158" s="5">
        <f>SUM(I151:I157)</f>
        <v>25</v>
      </c>
      <c r="J158" s="5">
        <f>SUM(J151:J157)</f>
        <v>27</v>
      </c>
      <c r="K158" s="5">
        <f>SUM(K151:K157)</f>
        <v>14</v>
      </c>
      <c r="L158" s="5">
        <f>SUM(L151:L157)</f>
        <v>16</v>
      </c>
      <c r="M158" s="5">
        <f>SUM(M151:M157)</f>
        <v>22</v>
      </c>
      <c r="N158" s="5">
        <f>SUM(N151:N157)</f>
        <v>29</v>
      </c>
      <c r="O158" s="5">
        <f>SUM(O151:O157)</f>
        <v>46</v>
      </c>
      <c r="P158" s="5">
        <f>SUM(P151:P157)</f>
        <v>55</v>
      </c>
      <c r="Q158" s="5">
        <f>SUM(Q151:Q157)</f>
        <v>141</v>
      </c>
      <c r="R158" s="5">
        <f>SUM(R151:R157)</f>
        <v>160</v>
      </c>
      <c r="S158" s="5">
        <f>SUM(S151:S157)</f>
        <v>648</v>
      </c>
    </row>
    <row r="159" spans="1:19" x14ac:dyDescent="0.4">
      <c r="A159" s="61"/>
      <c r="B159" s="62"/>
      <c r="C159" s="62"/>
      <c r="D159" s="62"/>
      <c r="E159" s="63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</row>
    <row r="160" spans="1:19" x14ac:dyDescent="0.4">
      <c r="A160" s="11" t="s">
        <v>48</v>
      </c>
      <c r="B160" s="17" t="s">
        <v>75</v>
      </c>
      <c r="C160" s="59" t="s">
        <v>76</v>
      </c>
      <c r="D160" s="60"/>
      <c r="E160" s="6">
        <v>1</v>
      </c>
      <c r="F160" s="6">
        <v>1</v>
      </c>
      <c r="G160" s="6">
        <v>0</v>
      </c>
      <c r="H160" s="6">
        <v>1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1</v>
      </c>
      <c r="S160" s="5">
        <f>SUM(E160:R160)</f>
        <v>4</v>
      </c>
    </row>
    <row r="161" spans="1:19" x14ac:dyDescent="0.4">
      <c r="A161" s="11" t="s">
        <v>50</v>
      </c>
      <c r="B161" s="46"/>
      <c r="C161" s="24" t="s">
        <v>178</v>
      </c>
      <c r="D161" s="47"/>
      <c r="E161" s="6">
        <v>1</v>
      </c>
      <c r="F161" s="6">
        <v>1</v>
      </c>
      <c r="G161" s="6">
        <v>0</v>
      </c>
      <c r="H161" s="6">
        <v>1</v>
      </c>
      <c r="I161" s="6">
        <v>4</v>
      </c>
      <c r="J161" s="6">
        <v>0</v>
      </c>
      <c r="K161" s="6">
        <v>4</v>
      </c>
      <c r="L161" s="6">
        <v>0</v>
      </c>
      <c r="M161" s="6">
        <v>0</v>
      </c>
      <c r="N161" s="6">
        <v>0</v>
      </c>
      <c r="O161" s="6">
        <v>1</v>
      </c>
      <c r="P161" s="6">
        <v>0</v>
      </c>
      <c r="Q161" s="6">
        <v>0</v>
      </c>
      <c r="R161" s="6">
        <v>0</v>
      </c>
      <c r="S161" s="5">
        <f>SUM(E161:R161)</f>
        <v>12</v>
      </c>
    </row>
    <row r="162" spans="1:19" x14ac:dyDescent="0.4">
      <c r="A162" s="7"/>
      <c r="B162" s="46"/>
      <c r="C162" s="24" t="s">
        <v>179</v>
      </c>
      <c r="D162" s="47"/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1</v>
      </c>
      <c r="N162" s="6">
        <v>1</v>
      </c>
      <c r="O162" s="6">
        <v>0</v>
      </c>
      <c r="P162" s="6">
        <v>0</v>
      </c>
      <c r="Q162" s="6">
        <v>0</v>
      </c>
      <c r="R162" s="6">
        <v>2</v>
      </c>
      <c r="S162" s="5">
        <f>SUM(E162:R162)</f>
        <v>4</v>
      </c>
    </row>
    <row r="163" spans="1:19" x14ac:dyDescent="0.4">
      <c r="A163" s="6" t="s">
        <v>26</v>
      </c>
      <c r="B163" s="53" t="s">
        <v>51</v>
      </c>
      <c r="C163" s="54"/>
      <c r="D163" s="55"/>
      <c r="E163" s="5">
        <f>SUM(E160:E162)</f>
        <v>2</v>
      </c>
      <c r="F163" s="5">
        <f>SUM(F160:F162)</f>
        <v>2</v>
      </c>
      <c r="G163" s="5">
        <f>SUM(G160:G162)</f>
        <v>0</v>
      </c>
      <c r="H163" s="5">
        <f>SUM(H160:H162)</f>
        <v>2</v>
      </c>
      <c r="I163" s="5">
        <f>SUM(I160:I162)</f>
        <v>4</v>
      </c>
      <c r="J163" s="5">
        <f>SUM(J160:J162)</f>
        <v>0</v>
      </c>
      <c r="K163" s="5">
        <f>SUM(K160:K162)</f>
        <v>4</v>
      </c>
      <c r="L163" s="5">
        <f>SUM(L160:L162)</f>
        <v>0</v>
      </c>
      <c r="M163" s="5">
        <f>SUM(M160:M162)</f>
        <v>1</v>
      </c>
      <c r="N163" s="5">
        <f>SUM(N160:N162)</f>
        <v>1</v>
      </c>
      <c r="O163" s="5">
        <f>SUM(O160:O162)</f>
        <v>1</v>
      </c>
      <c r="P163" s="5">
        <f>SUM(P160:P162)</f>
        <v>0</v>
      </c>
      <c r="Q163" s="5">
        <f>SUM(Q160:Q162)</f>
        <v>0</v>
      </c>
      <c r="R163" s="5">
        <f>SUM(R160:R162)</f>
        <v>3</v>
      </c>
      <c r="S163" s="5">
        <f>SUM(S160:S162)</f>
        <v>20</v>
      </c>
    </row>
    <row r="164" spans="1:19" x14ac:dyDescent="0.4">
      <c r="A164" s="61"/>
      <c r="B164" s="62"/>
      <c r="C164" s="62"/>
      <c r="D164" s="62"/>
      <c r="E164" s="6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spans="1:19" x14ac:dyDescent="0.4">
      <c r="A165" s="11" t="s">
        <v>48</v>
      </c>
      <c r="B165" s="17" t="s">
        <v>77</v>
      </c>
      <c r="C165" s="59" t="s">
        <v>78</v>
      </c>
      <c r="D165" s="60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5">
        <f>SUM(E165:R165)</f>
        <v>0</v>
      </c>
    </row>
    <row r="166" spans="1:19" x14ac:dyDescent="0.4">
      <c r="A166" s="11" t="s">
        <v>50</v>
      </c>
      <c r="B166" s="17"/>
      <c r="C166" s="24" t="s">
        <v>180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5">
        <f>SUM(E166:R166)</f>
        <v>0</v>
      </c>
    </row>
    <row r="167" spans="1:19" x14ac:dyDescent="0.4">
      <c r="A167" s="7"/>
      <c r="B167" s="17"/>
      <c r="C167" s="24" t="s">
        <v>181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5">
        <f>SUM(E167:R167)</f>
        <v>0</v>
      </c>
    </row>
    <row r="168" spans="1:19" x14ac:dyDescent="0.4">
      <c r="A168" s="7"/>
      <c r="B168" s="17"/>
      <c r="C168" s="24" t="s">
        <v>182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5">
        <f>SUM(E168:R168)</f>
        <v>0</v>
      </c>
    </row>
    <row r="169" spans="1:19" ht="13.15" customHeight="1" x14ac:dyDescent="0.4">
      <c r="A169" s="7"/>
      <c r="B169" s="46"/>
      <c r="C169" s="24" t="s">
        <v>183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5">
        <f t="shared" ref="S169:S171" si="30">SUM(E169:R169)</f>
        <v>0</v>
      </c>
    </row>
    <row r="170" spans="1:19" x14ac:dyDescent="0.4">
      <c r="A170" s="7"/>
      <c r="B170" s="46"/>
      <c r="C170" s="24" t="s">
        <v>184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1</v>
      </c>
      <c r="O170" s="6">
        <v>0</v>
      </c>
      <c r="P170" s="6">
        <v>0</v>
      </c>
      <c r="Q170" s="6">
        <v>0</v>
      </c>
      <c r="R170" s="6">
        <v>0</v>
      </c>
      <c r="S170" s="5">
        <f t="shared" si="30"/>
        <v>1</v>
      </c>
    </row>
    <row r="171" spans="1:19" x14ac:dyDescent="0.4">
      <c r="A171" s="7"/>
      <c r="B171" s="46"/>
      <c r="C171" s="24" t="s">
        <v>185</v>
      </c>
      <c r="D171" s="47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5">
        <f t="shared" si="30"/>
        <v>0</v>
      </c>
    </row>
    <row r="172" spans="1:19" x14ac:dyDescent="0.4">
      <c r="A172" s="6" t="s">
        <v>26</v>
      </c>
      <c r="B172" s="53" t="s">
        <v>51</v>
      </c>
      <c r="C172" s="54"/>
      <c r="D172" s="55"/>
      <c r="E172" s="5">
        <f>SUM(E165:E171)</f>
        <v>0</v>
      </c>
      <c r="F172" s="5">
        <f>SUM(F165:F171)</f>
        <v>0</v>
      </c>
      <c r="G172" s="5">
        <f>SUM(G165:G171)</f>
        <v>0</v>
      </c>
      <c r="H172" s="5">
        <f>SUM(H165:H171)</f>
        <v>0</v>
      </c>
      <c r="I172" s="5">
        <f>SUM(I165:I171)</f>
        <v>0</v>
      </c>
      <c r="J172" s="5">
        <f>SUM(J165:J171)</f>
        <v>0</v>
      </c>
      <c r="K172" s="5">
        <f>SUM(K165:K171)</f>
        <v>0</v>
      </c>
      <c r="L172" s="5">
        <f>SUM(L165:L171)</f>
        <v>0</v>
      </c>
      <c r="M172" s="5">
        <f>SUM(M165:M171)</f>
        <v>0</v>
      </c>
      <c r="N172" s="5">
        <f>SUM(N165:N171)</f>
        <v>1</v>
      </c>
      <c r="O172" s="5">
        <f>SUM(O165:O171)</f>
        <v>0</v>
      </c>
      <c r="P172" s="5">
        <f>SUM(P165:P171)</f>
        <v>0</v>
      </c>
      <c r="Q172" s="5">
        <f>SUM(Q165:Q171)</f>
        <v>0</v>
      </c>
      <c r="R172" s="5">
        <f>SUM(R165:R171)</f>
        <v>0</v>
      </c>
      <c r="S172" s="5">
        <f>SUM(S165:S171)</f>
        <v>1</v>
      </c>
    </row>
    <row r="173" spans="1:19" x14ac:dyDescent="0.4">
      <c r="A173" s="61"/>
      <c r="B173" s="62"/>
      <c r="C173" s="62"/>
      <c r="D173" s="62"/>
      <c r="E173" s="63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</row>
    <row r="174" spans="1:19" x14ac:dyDescent="0.4">
      <c r="A174" s="11" t="s">
        <v>48</v>
      </c>
      <c r="B174" s="17" t="s">
        <v>79</v>
      </c>
      <c r="C174" s="59" t="s">
        <v>80</v>
      </c>
      <c r="D174" s="60"/>
      <c r="E174" s="6">
        <v>0</v>
      </c>
      <c r="F174" s="6">
        <v>0</v>
      </c>
      <c r="G174" s="6">
        <v>2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1</v>
      </c>
      <c r="N174" s="6">
        <v>1</v>
      </c>
      <c r="O174" s="6">
        <v>1</v>
      </c>
      <c r="P174" s="6">
        <v>1</v>
      </c>
      <c r="Q174" s="6">
        <v>0</v>
      </c>
      <c r="R174" s="6">
        <v>0</v>
      </c>
      <c r="S174" s="5">
        <f t="shared" ref="S174:S180" si="31">SUM(E174:R174)</f>
        <v>6</v>
      </c>
    </row>
    <row r="175" spans="1:19" x14ac:dyDescent="0.4">
      <c r="A175" s="11" t="s">
        <v>50</v>
      </c>
      <c r="B175" s="46"/>
      <c r="C175" s="24" t="s">
        <v>186</v>
      </c>
      <c r="D175" s="47"/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1</v>
      </c>
      <c r="K175" s="6">
        <v>0</v>
      </c>
      <c r="L175" s="6">
        <v>0</v>
      </c>
      <c r="M175" s="6">
        <v>1</v>
      </c>
      <c r="N175" s="6">
        <v>0</v>
      </c>
      <c r="O175" s="6">
        <v>0</v>
      </c>
      <c r="P175" s="6">
        <v>1</v>
      </c>
      <c r="Q175" s="6">
        <v>0</v>
      </c>
      <c r="R175" s="6">
        <v>0</v>
      </c>
      <c r="S175" s="5">
        <f t="shared" si="31"/>
        <v>3</v>
      </c>
    </row>
    <row r="176" spans="1:19" x14ac:dyDescent="0.4">
      <c r="A176" s="7"/>
      <c r="B176" s="46"/>
      <c r="C176" s="24" t="s">
        <v>187</v>
      </c>
      <c r="D176" s="47"/>
      <c r="E176" s="6">
        <v>0</v>
      </c>
      <c r="F176" s="6">
        <v>0</v>
      </c>
      <c r="G176" s="6">
        <v>0</v>
      </c>
      <c r="H176" s="6">
        <v>0</v>
      </c>
      <c r="I176" s="6">
        <v>2</v>
      </c>
      <c r="J176" s="6">
        <v>0</v>
      </c>
      <c r="K176" s="6">
        <v>0</v>
      </c>
      <c r="L176" s="6">
        <v>0</v>
      </c>
      <c r="M176" s="6">
        <v>9</v>
      </c>
      <c r="N176" s="6">
        <v>16</v>
      </c>
      <c r="O176" s="6">
        <v>27</v>
      </c>
      <c r="P176" s="6">
        <v>33</v>
      </c>
      <c r="Q176" s="6">
        <v>4</v>
      </c>
      <c r="R176" s="6">
        <v>4</v>
      </c>
      <c r="S176" s="5">
        <f t="shared" si="31"/>
        <v>95</v>
      </c>
    </row>
    <row r="177" spans="1:19" ht="13.15" customHeight="1" x14ac:dyDescent="0.4">
      <c r="A177" s="7"/>
      <c r="B177" s="46"/>
      <c r="C177" s="24" t="s">
        <v>188</v>
      </c>
      <c r="D177" s="47"/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5">
        <f t="shared" si="31"/>
        <v>0</v>
      </c>
    </row>
    <row r="178" spans="1:19" x14ac:dyDescent="0.4">
      <c r="A178" s="7"/>
      <c r="B178" s="46"/>
      <c r="C178" s="24" t="s">
        <v>189</v>
      </c>
      <c r="D178" s="47"/>
      <c r="E178" s="6">
        <v>2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5">
        <f t="shared" si="31"/>
        <v>2</v>
      </c>
    </row>
    <row r="179" spans="1:19" ht="12.75" customHeight="1" x14ac:dyDescent="0.4">
      <c r="A179" s="7"/>
      <c r="B179" s="46"/>
      <c r="C179" s="24" t="s">
        <v>190</v>
      </c>
      <c r="D179" s="47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1</v>
      </c>
      <c r="Q179" s="6">
        <v>0</v>
      </c>
      <c r="R179" s="6">
        <v>0</v>
      </c>
      <c r="S179" s="5">
        <f t="shared" si="31"/>
        <v>1</v>
      </c>
    </row>
    <row r="180" spans="1:19" x14ac:dyDescent="0.4">
      <c r="A180" s="7"/>
      <c r="B180" s="46"/>
      <c r="C180" s="24" t="s">
        <v>191</v>
      </c>
      <c r="D180" s="47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5">
        <f t="shared" si="31"/>
        <v>0</v>
      </c>
    </row>
    <row r="181" spans="1:19" ht="12.75" customHeight="1" x14ac:dyDescent="0.4">
      <c r="A181" s="6" t="s">
        <v>26</v>
      </c>
      <c r="B181" s="53" t="s">
        <v>51</v>
      </c>
      <c r="C181" s="54"/>
      <c r="D181" s="55"/>
      <c r="E181" s="5">
        <f>SUM(E174:E180)</f>
        <v>2</v>
      </c>
      <c r="F181" s="5">
        <f>SUM(F174:F180)</f>
        <v>0</v>
      </c>
      <c r="G181" s="5">
        <f>SUM(G174:G180)</f>
        <v>2</v>
      </c>
      <c r="H181" s="5">
        <f>SUM(H174:H180)</f>
        <v>0</v>
      </c>
      <c r="I181" s="5">
        <f>SUM(I174:I180)</f>
        <v>2</v>
      </c>
      <c r="J181" s="5">
        <f>SUM(J174:J180)</f>
        <v>1</v>
      </c>
      <c r="K181" s="5">
        <f>SUM(K174:K180)</f>
        <v>0</v>
      </c>
      <c r="L181" s="5">
        <f>SUM(L174:L180)</f>
        <v>0</v>
      </c>
      <c r="M181" s="5">
        <f>SUM(M174:M180)</f>
        <v>11</v>
      </c>
      <c r="N181" s="5">
        <f>SUM(N174:N180)</f>
        <v>17</v>
      </c>
      <c r="O181" s="5">
        <f>SUM(O174:O180)</f>
        <v>28</v>
      </c>
      <c r="P181" s="5">
        <f>SUM(P174:P180)</f>
        <v>36</v>
      </c>
      <c r="Q181" s="5">
        <f>SUM(Q174:Q180)</f>
        <v>4</v>
      </c>
      <c r="R181" s="5">
        <f>SUM(R174:R180)</f>
        <v>4</v>
      </c>
      <c r="S181" s="5">
        <f>SUM(S174:S180)</f>
        <v>107</v>
      </c>
    </row>
    <row r="182" spans="1:19" x14ac:dyDescent="0.4">
      <c r="A182" s="61"/>
      <c r="B182" s="62"/>
      <c r="C182" s="62"/>
      <c r="D182" s="62"/>
      <c r="E182" s="63"/>
    </row>
    <row r="183" spans="1:19" x14ac:dyDescent="0.4">
      <c r="A183" s="11" t="s">
        <v>48</v>
      </c>
      <c r="B183" s="17" t="s">
        <v>81</v>
      </c>
      <c r="C183" s="59" t="s">
        <v>82</v>
      </c>
      <c r="D183" s="60"/>
      <c r="E183" s="6">
        <v>0</v>
      </c>
      <c r="F183" s="6">
        <v>0</v>
      </c>
      <c r="G183" s="6">
        <v>0</v>
      </c>
      <c r="H183" s="6">
        <v>1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5">
        <f>SUM(E183:R183)</f>
        <v>1</v>
      </c>
    </row>
    <row r="184" spans="1:19" x14ac:dyDescent="0.4">
      <c r="A184" s="11" t="s">
        <v>50</v>
      </c>
      <c r="B184" s="46"/>
      <c r="C184" s="24" t="s">
        <v>192</v>
      </c>
      <c r="D184" s="47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5">
        <f>SUM(E184:R184)</f>
        <v>0</v>
      </c>
    </row>
    <row r="185" spans="1:19" x14ac:dyDescent="0.4">
      <c r="A185" s="6" t="s">
        <v>26</v>
      </c>
      <c r="B185" s="53" t="s">
        <v>51</v>
      </c>
      <c r="C185" s="54"/>
      <c r="D185" s="55"/>
      <c r="E185" s="5">
        <f>SUM(E183:E184)</f>
        <v>0</v>
      </c>
      <c r="F185" s="5">
        <f>SUM(F183:F184)</f>
        <v>0</v>
      </c>
      <c r="G185" s="5">
        <f>SUM(G183:G184)</f>
        <v>0</v>
      </c>
      <c r="H185" s="5">
        <f>SUM(H183:H184)</f>
        <v>1</v>
      </c>
      <c r="I185" s="5">
        <f>SUM(I183:I184)</f>
        <v>0</v>
      </c>
      <c r="J185" s="5">
        <f>SUM(J183:J184)</f>
        <v>0</v>
      </c>
      <c r="K185" s="5">
        <f>SUM(K183:K184)</f>
        <v>0</v>
      </c>
      <c r="L185" s="5">
        <f>SUM(L183:L184)</f>
        <v>0</v>
      </c>
      <c r="M185" s="5">
        <f>SUM(M183:M184)</f>
        <v>0</v>
      </c>
      <c r="N185" s="5">
        <f>SUM(N183:N184)</f>
        <v>0</v>
      </c>
      <c r="O185" s="5">
        <f>SUM(O183:O184)</f>
        <v>0</v>
      </c>
      <c r="P185" s="5">
        <f>SUM(P183:P184)</f>
        <v>0</v>
      </c>
      <c r="Q185" s="5">
        <f>SUM(Q183:Q184)</f>
        <v>0</v>
      </c>
      <c r="R185" s="5">
        <f>SUM(R183:R184)</f>
        <v>0</v>
      </c>
      <c r="S185" s="5">
        <f>SUM(S183:S184)</f>
        <v>1</v>
      </c>
    </row>
    <row r="187" spans="1:19" x14ac:dyDescent="0.4">
      <c r="A187" s="16" t="s">
        <v>83</v>
      </c>
      <c r="B187" s="56" t="s">
        <v>84</v>
      </c>
      <c r="C187" s="57"/>
      <c r="D187" s="58"/>
      <c r="E187" s="5"/>
      <c r="F187" s="5"/>
      <c r="G187" s="5"/>
      <c r="H187" s="5"/>
      <c r="I187" s="5"/>
      <c r="J187" s="5"/>
      <c r="K187" s="5"/>
      <c r="L187" s="5"/>
      <c r="M187" s="5"/>
      <c r="N187" s="15"/>
      <c r="O187" s="15"/>
      <c r="P187" s="15"/>
      <c r="Q187" s="15"/>
      <c r="R187" s="15"/>
      <c r="S187" s="5"/>
    </row>
    <row r="188" spans="1:19" x14ac:dyDescent="0.4">
      <c r="A188" s="16"/>
      <c r="B188" s="19" t="s">
        <v>85</v>
      </c>
      <c r="C188" s="51" t="s">
        <v>86</v>
      </c>
      <c r="D188" s="52"/>
      <c r="E188" s="6">
        <f>E52+E61+E70+E79+E88+E92+E101+E110+E119+E128+E131+E140+E149+E158+E163+E172+E181+E185</f>
        <v>214</v>
      </c>
      <c r="F188" s="6">
        <f>F52+F61+F70+F79+F88+F92+F101+F110+F119+F128+F131+F140+F149+F158+F163+F172+F181+F185</f>
        <v>196</v>
      </c>
      <c r="G188" s="6">
        <f>G52+G61+G70+G79+G88+G92+G101+G110+G119+G128+G131+G140+G149+G158+G163+G172+G181+G185</f>
        <v>220</v>
      </c>
      <c r="H188" s="6">
        <f>H52+H61+H70+H79+H88+H92+H101+H110+H119+H128+H131+H140+H149+H158+H163+H172+H181+H185</f>
        <v>188</v>
      </c>
      <c r="I188" s="6">
        <f>I52+I61+I70+I79+I88+I92+I101+I110+I119+I128+I131+I140+I149+I158+I163+I172+I181+I185</f>
        <v>202</v>
      </c>
      <c r="J188" s="6">
        <f>J52+J61+J70+J79+J88+J92+J101+J110+J119+J128+J131+J140+J149+J158+J163+J172+J181+J185</f>
        <v>161</v>
      </c>
      <c r="K188" s="6">
        <f>K52+K61+K70+K79+K88+K92+K101+K110+K119+K128+K131+K140+K149+K158+K163+K172+K181+K185</f>
        <v>161</v>
      </c>
      <c r="L188" s="6">
        <f>L52+L61+L70+L79+L88+L92+L101+L110+L119+L128+L131+L140+L149+L158+L163+L172+L181+L185</f>
        <v>198</v>
      </c>
      <c r="M188" s="6">
        <f>M52+M61+M70+M79+M88+M92+M101+M110+M119+M128+M131+M140+M149+M158+M163+M172+M181+M185</f>
        <v>176</v>
      </c>
      <c r="N188" s="6">
        <f>N52+N61+N70+N79+N88+N92+N101+N110+N119+N128+N131+N140+N149+N158+N163+N172+N181+N185</f>
        <v>184</v>
      </c>
      <c r="O188" s="6">
        <f>O52+O61+O70+O79+O88+O92+O101+O110+O119+O128+O131+O140+O149+O158+O163+O172+O181+O185</f>
        <v>229</v>
      </c>
      <c r="P188" s="6">
        <f>P52+P61+P70+P79+P88+P92+P101+P110+P119+P128+P131+P140+P149+P158+P163+P172+P181+P185</f>
        <v>230</v>
      </c>
      <c r="Q188" s="6">
        <f>Q52+Q61+Q70+Q79+Q88+Q92+Q101+Q110+Q119+Q128+Q131+Q140+Q149+Q158+Q163+Q172+Q181+Q185</f>
        <v>164</v>
      </c>
      <c r="R188" s="6">
        <f>R52+R61+R70+R79+R88+R92+R101+R110+R119+R128+R131+R140+R149+R158+R163+R172+R181+R185</f>
        <v>198</v>
      </c>
      <c r="S188" s="5">
        <f>SUM(E188:R188)</f>
        <v>2721</v>
      </c>
    </row>
    <row r="189" spans="1:19" x14ac:dyDescent="0.4">
      <c r="A189" s="13"/>
      <c r="B189" s="19" t="s">
        <v>87</v>
      </c>
      <c r="C189" s="51" t="s">
        <v>88</v>
      </c>
      <c r="D189" s="52"/>
      <c r="E189" s="6">
        <v>12</v>
      </c>
      <c r="F189" s="6">
        <v>12</v>
      </c>
      <c r="G189" s="6">
        <v>18</v>
      </c>
      <c r="H189" s="6">
        <v>12</v>
      </c>
      <c r="I189" s="6">
        <v>15</v>
      </c>
      <c r="J189" s="6">
        <v>12</v>
      </c>
      <c r="K189" s="6">
        <v>13</v>
      </c>
      <c r="L189" s="6">
        <v>7</v>
      </c>
      <c r="M189" s="6">
        <v>4</v>
      </c>
      <c r="N189" s="6">
        <v>10</v>
      </c>
      <c r="O189" s="6">
        <v>15</v>
      </c>
      <c r="P189" s="6">
        <v>11</v>
      </c>
      <c r="Q189" s="6">
        <v>7</v>
      </c>
      <c r="R189" s="6">
        <v>17</v>
      </c>
      <c r="S189" s="5">
        <f>SUM(E189:R189)</f>
        <v>165</v>
      </c>
    </row>
    <row r="190" spans="1:19" x14ac:dyDescent="0.4">
      <c r="A190" s="14"/>
      <c r="B190" s="19" t="s">
        <v>89</v>
      </c>
      <c r="C190" s="51" t="s">
        <v>90</v>
      </c>
      <c r="D190" s="52"/>
      <c r="E190" s="5">
        <f>SUM(E188:E189)</f>
        <v>226</v>
      </c>
      <c r="F190" s="5">
        <f t="shared" ref="F190:R190" si="32">SUM(F188:F189)</f>
        <v>208</v>
      </c>
      <c r="G190" s="5">
        <f t="shared" si="32"/>
        <v>238</v>
      </c>
      <c r="H190" s="5">
        <f t="shared" si="32"/>
        <v>200</v>
      </c>
      <c r="I190" s="5">
        <f t="shared" si="32"/>
        <v>217</v>
      </c>
      <c r="J190" s="5">
        <f t="shared" si="32"/>
        <v>173</v>
      </c>
      <c r="K190" s="5">
        <f t="shared" si="32"/>
        <v>174</v>
      </c>
      <c r="L190" s="5">
        <f t="shared" si="32"/>
        <v>205</v>
      </c>
      <c r="M190" s="5">
        <f t="shared" si="32"/>
        <v>180</v>
      </c>
      <c r="N190" s="5">
        <f t="shared" ref="N190:P190" si="33">SUM(N188:N189)</f>
        <v>194</v>
      </c>
      <c r="O190" s="5">
        <f t="shared" si="33"/>
        <v>244</v>
      </c>
      <c r="P190" s="5">
        <f t="shared" si="33"/>
        <v>241</v>
      </c>
      <c r="Q190" s="5">
        <f t="shared" si="32"/>
        <v>171</v>
      </c>
      <c r="R190" s="5">
        <f t="shared" si="32"/>
        <v>215</v>
      </c>
      <c r="S190" s="5">
        <f>SUM(E190:R190)</f>
        <v>2886</v>
      </c>
    </row>
  </sheetData>
  <mergeCells count="87">
    <mergeCell ref="A17:D17"/>
    <mergeCell ref="B12:D12"/>
    <mergeCell ref="E12:R12"/>
    <mergeCell ref="S12:S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52:D52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B119:D119"/>
    <mergeCell ref="A89:E89"/>
    <mergeCell ref="C90:D90"/>
    <mergeCell ref="B92:D92"/>
    <mergeCell ref="A93:E93"/>
    <mergeCell ref="C94:D94"/>
    <mergeCell ref="B101:D101"/>
    <mergeCell ref="A102:E102"/>
    <mergeCell ref="C103:D103"/>
    <mergeCell ref="B110:D110"/>
    <mergeCell ref="A111:E111"/>
    <mergeCell ref="C112:D112"/>
    <mergeCell ref="C91:D91"/>
    <mergeCell ref="B149:D149"/>
    <mergeCell ref="B140:D140"/>
    <mergeCell ref="A141:E141"/>
    <mergeCell ref="A120:E120"/>
    <mergeCell ref="C121:D121"/>
    <mergeCell ref="B128:D128"/>
    <mergeCell ref="A129:E129"/>
    <mergeCell ref="C130:D130"/>
    <mergeCell ref="C142:D142"/>
    <mergeCell ref="B131:D131"/>
    <mergeCell ref="A132:E132"/>
    <mergeCell ref="C133:D133"/>
    <mergeCell ref="C190:D190"/>
    <mergeCell ref="A182:E182"/>
    <mergeCell ref="C183:D183"/>
    <mergeCell ref="B185:D185"/>
    <mergeCell ref="B187:D187"/>
    <mergeCell ref="C188:D188"/>
    <mergeCell ref="C189:D189"/>
    <mergeCell ref="B181:D181"/>
    <mergeCell ref="A150:E150"/>
    <mergeCell ref="C151:D151"/>
    <mergeCell ref="B158:D158"/>
    <mergeCell ref="A159:E159"/>
    <mergeCell ref="C160:D160"/>
    <mergeCell ref="B163:D163"/>
    <mergeCell ref="A164:E164"/>
    <mergeCell ref="C165:D165"/>
    <mergeCell ref="B172:D172"/>
    <mergeCell ref="A173:E173"/>
    <mergeCell ref="C174:D174"/>
  </mergeCells>
  <phoneticPr fontId="8" type="noConversion"/>
  <conditionalFormatting sqref="E14:R15">
    <cfRule type="containsBlanks" dxfId="89" priority="20">
      <formula>LEN(TRIM(E14))=0</formula>
    </cfRule>
  </conditionalFormatting>
  <conditionalFormatting sqref="E19:R20">
    <cfRule type="containsBlanks" dxfId="88" priority="23">
      <formula>LEN(TRIM(E19))=0</formula>
    </cfRule>
  </conditionalFormatting>
  <conditionalFormatting sqref="E22:R23 E25:R26 E33:R33 E35:R35 E39:R40">
    <cfRule type="containsBlanks" dxfId="87" priority="24">
      <formula>LEN(TRIM(E22))=0</formula>
    </cfRule>
  </conditionalFormatting>
  <conditionalFormatting sqref="E30:R30">
    <cfRule type="expression" dxfId="86" priority="25">
      <formula>E30&lt;&gt;E47</formula>
    </cfRule>
    <cfRule type="expression" dxfId="85" priority="26">
      <formula>E30&lt;&gt;E34</formula>
    </cfRule>
  </conditionalFormatting>
  <conditionalFormatting sqref="E45:R51">
    <cfRule type="containsBlanks" dxfId="84" priority="19">
      <formula>LEN(TRIM(E45))=0</formula>
    </cfRule>
  </conditionalFormatting>
  <conditionalFormatting sqref="E54:R60">
    <cfRule type="containsBlanks" dxfId="83" priority="18">
      <formula>LEN(TRIM(E54))=0</formula>
    </cfRule>
  </conditionalFormatting>
  <conditionalFormatting sqref="E63:R69">
    <cfRule type="containsBlanks" dxfId="82" priority="17">
      <formula>LEN(TRIM(E63))=0</formula>
    </cfRule>
  </conditionalFormatting>
  <conditionalFormatting sqref="E72:R78">
    <cfRule type="containsBlanks" dxfId="81" priority="16">
      <formula>LEN(TRIM(E72))=0</formula>
    </cfRule>
  </conditionalFormatting>
  <conditionalFormatting sqref="E81:R87">
    <cfRule type="containsBlanks" dxfId="80" priority="15">
      <formula>LEN(TRIM(E81))=0</formula>
    </cfRule>
  </conditionalFormatting>
  <conditionalFormatting sqref="E90:R91">
    <cfRule type="containsBlanks" dxfId="79" priority="14">
      <formula>LEN(TRIM(E90))=0</formula>
    </cfRule>
  </conditionalFormatting>
  <conditionalFormatting sqref="E94:R100">
    <cfRule type="containsBlanks" dxfId="78" priority="1">
      <formula>LEN(TRIM(E94))=0</formula>
    </cfRule>
  </conditionalFormatting>
  <conditionalFormatting sqref="E103:R109">
    <cfRule type="containsBlanks" dxfId="77" priority="13">
      <formula>LEN(TRIM(E103))=0</formula>
    </cfRule>
  </conditionalFormatting>
  <conditionalFormatting sqref="E112:R118">
    <cfRule type="containsBlanks" dxfId="76" priority="12">
      <formula>LEN(TRIM(E112))=0</formula>
    </cfRule>
  </conditionalFormatting>
  <conditionalFormatting sqref="E121:R127">
    <cfRule type="containsBlanks" dxfId="75" priority="3">
      <formula>LEN(TRIM(E121))=0</formula>
    </cfRule>
  </conditionalFormatting>
  <conditionalFormatting sqref="E130:R130">
    <cfRule type="containsBlanks" dxfId="74" priority="11">
      <formula>LEN(TRIM(E130))=0</formula>
    </cfRule>
  </conditionalFormatting>
  <conditionalFormatting sqref="E133:R139">
    <cfRule type="containsBlanks" dxfId="73" priority="10">
      <formula>LEN(TRIM(E133))=0</formula>
    </cfRule>
  </conditionalFormatting>
  <conditionalFormatting sqref="E142:R148">
    <cfRule type="containsBlanks" dxfId="72" priority="9">
      <formula>LEN(TRIM(E142))=0</formula>
    </cfRule>
  </conditionalFormatting>
  <conditionalFormatting sqref="E151:R157">
    <cfRule type="containsBlanks" dxfId="71" priority="8">
      <formula>LEN(TRIM(E151))=0</formula>
    </cfRule>
  </conditionalFormatting>
  <conditionalFormatting sqref="E160:R162">
    <cfRule type="containsBlanks" dxfId="70" priority="7">
      <formula>LEN(TRIM(E160))=0</formula>
    </cfRule>
  </conditionalFormatting>
  <conditionalFormatting sqref="E165:R171">
    <cfRule type="containsBlanks" dxfId="69" priority="6">
      <formula>LEN(TRIM(E165))=0</formula>
    </cfRule>
  </conditionalFormatting>
  <conditionalFormatting sqref="E174:R180">
    <cfRule type="containsBlanks" dxfId="68" priority="5">
      <formula>LEN(TRIM(E174))=0</formula>
    </cfRule>
  </conditionalFormatting>
  <conditionalFormatting sqref="E183:R184">
    <cfRule type="containsBlanks" dxfId="67" priority="4">
      <formula>LEN(TRIM(E183))=0</formula>
    </cfRule>
  </conditionalFormatting>
  <conditionalFormatting sqref="E188:R189">
    <cfRule type="containsBlanks" dxfId="66" priority="2">
      <formula>LEN(TRIM(E188))=0</formula>
    </cfRule>
  </conditionalFormatting>
  <conditionalFormatting sqref="E34:R34">
    <cfRule type="expression" dxfId="65" priority="121">
      <formula>E30&lt;&gt;E34</formula>
    </cfRule>
    <cfRule type="expression" dxfId="64" priority="122">
      <formula>E30=E34</formula>
    </cfRule>
    <cfRule type="expression" dxfId="63" priority="123">
      <formula>E34&lt;&gt;E30</formula>
    </cfRule>
    <cfRule type="expression" dxfId="62" priority="124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2F72-8BA1-4875-952A-C44E59E4A295}">
  <sheetPr>
    <tabColor rgb="FF92D050"/>
  </sheetPr>
  <dimension ref="A2:Y190"/>
  <sheetViews>
    <sheetView topLeftCell="B13" zoomScale="70" zoomScaleNormal="70" workbookViewId="0">
      <pane ySplit="1" topLeftCell="A179" activePane="bottomLeft" state="frozen"/>
      <selection activeCell="E14" sqref="E14"/>
      <selection pane="bottomLeft" activeCell="U189" sqref="U189"/>
    </sheetView>
  </sheetViews>
  <sheetFormatPr defaultRowHeight="13.15" x14ac:dyDescent="0.4"/>
  <cols>
    <col min="3" max="3" width="67.140625" bestFit="1" customWidth="1"/>
    <col min="4" max="4" width="5.85546875" bestFit="1" customWidth="1"/>
    <col min="25" max="25" width="13.28515625" customWidth="1"/>
  </cols>
  <sheetData>
    <row r="2" spans="1:25" x14ac:dyDescent="0.4">
      <c r="C2" s="43" t="s">
        <v>98</v>
      </c>
      <c r="D2" s="43" t="s">
        <v>105</v>
      </c>
    </row>
    <row r="3" spans="1:25" x14ac:dyDescent="0.4">
      <c r="C3" s="43" t="s">
        <v>99</v>
      </c>
      <c r="D3" s="43" t="s">
        <v>100</v>
      </c>
    </row>
    <row r="4" spans="1:25" x14ac:dyDescent="0.4">
      <c r="C4" s="43" t="s">
        <v>101</v>
      </c>
      <c r="D4" s="43" t="s">
        <v>102</v>
      </c>
    </row>
    <row r="5" spans="1:25" x14ac:dyDescent="0.4">
      <c r="C5" s="43"/>
      <c r="D5" s="43"/>
    </row>
    <row r="6" spans="1:25" x14ac:dyDescent="0.4">
      <c r="C6" s="43"/>
      <c r="D6" s="43"/>
    </row>
    <row r="7" spans="1:25" x14ac:dyDescent="0.4">
      <c r="C7" s="43"/>
      <c r="D7" s="43"/>
    </row>
    <row r="8" spans="1:25" x14ac:dyDescent="0.4">
      <c r="C8" s="43"/>
      <c r="D8" s="43"/>
    </row>
    <row r="9" spans="1:25" x14ac:dyDescent="0.4">
      <c r="C9" s="43" t="s">
        <v>103</v>
      </c>
      <c r="D9" s="43" t="s">
        <v>201</v>
      </c>
    </row>
    <row r="11" spans="1:25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5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2" t="s">
        <v>97</v>
      </c>
    </row>
    <row r="13" spans="1:25" x14ac:dyDescent="0.4">
      <c r="A13" s="6" t="s">
        <v>2</v>
      </c>
      <c r="B13" s="78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93"/>
    </row>
    <row r="14" spans="1:25" x14ac:dyDescent="0.4">
      <c r="A14" s="7"/>
      <c r="B14" s="81" t="s">
        <v>22</v>
      </c>
      <c r="C14" s="68"/>
      <c r="D14" s="6" t="s">
        <v>23</v>
      </c>
      <c r="E14" s="6">
        <v>139</v>
      </c>
      <c r="F14" s="6">
        <v>144</v>
      </c>
      <c r="G14" s="6">
        <v>133</v>
      </c>
      <c r="H14" s="6">
        <v>92</v>
      </c>
      <c r="I14" s="6">
        <v>127</v>
      </c>
      <c r="J14" s="6">
        <v>149</v>
      </c>
      <c r="K14" s="6">
        <v>145</v>
      </c>
      <c r="L14" s="6">
        <v>134</v>
      </c>
      <c r="M14" s="6">
        <v>145</v>
      </c>
      <c r="N14" s="6">
        <v>142</v>
      </c>
      <c r="O14" s="6">
        <v>103</v>
      </c>
      <c r="P14" s="6">
        <v>113</v>
      </c>
      <c r="Q14" s="6">
        <v>126</v>
      </c>
      <c r="R14" s="6">
        <v>127</v>
      </c>
      <c r="S14" s="6">
        <v>124</v>
      </c>
      <c r="T14" s="6">
        <v>135</v>
      </c>
      <c r="U14" s="6">
        <v>146</v>
      </c>
      <c r="V14" s="6">
        <v>135</v>
      </c>
      <c r="W14" s="6">
        <v>133</v>
      </c>
      <c r="X14" s="6">
        <v>126</v>
      </c>
      <c r="Y14" s="5">
        <f>SUM(E14:X14)</f>
        <v>2618</v>
      </c>
    </row>
    <row r="15" spans="1:25" x14ac:dyDescent="0.4">
      <c r="A15" s="7"/>
      <c r="B15" s="82"/>
      <c r="C15" s="75"/>
      <c r="D15" s="6" t="s">
        <v>24</v>
      </c>
      <c r="E15" s="6">
        <v>142</v>
      </c>
      <c r="F15" s="6">
        <v>134</v>
      </c>
      <c r="G15" s="6">
        <v>140</v>
      </c>
      <c r="H15" s="6">
        <v>104</v>
      </c>
      <c r="I15" s="6">
        <v>140</v>
      </c>
      <c r="J15" s="6">
        <v>135</v>
      </c>
      <c r="K15" s="6">
        <v>141</v>
      </c>
      <c r="L15" s="6">
        <v>151</v>
      </c>
      <c r="M15" s="6">
        <v>132</v>
      </c>
      <c r="N15" s="6">
        <v>134</v>
      </c>
      <c r="O15" s="6">
        <v>119</v>
      </c>
      <c r="P15" s="6">
        <v>129</v>
      </c>
      <c r="Q15" s="6">
        <v>148</v>
      </c>
      <c r="R15" s="6">
        <v>119</v>
      </c>
      <c r="S15" s="6">
        <v>121</v>
      </c>
      <c r="T15" s="6">
        <v>152</v>
      </c>
      <c r="U15" s="6">
        <v>143</v>
      </c>
      <c r="V15" s="6">
        <v>146</v>
      </c>
      <c r="W15" s="6">
        <v>144</v>
      </c>
      <c r="X15" s="6">
        <v>147</v>
      </c>
      <c r="Y15" s="5">
        <f>SUM(E15:X15)</f>
        <v>2721</v>
      </c>
    </row>
    <row r="16" spans="1:25" x14ac:dyDescent="0.4">
      <c r="A16" s="8"/>
      <c r="B16" s="80"/>
      <c r="C16" s="76"/>
      <c r="D16" s="5" t="s">
        <v>25</v>
      </c>
      <c r="E16" s="5">
        <f t="shared" ref="E16:X16" si="0">SUM(E14:E15)</f>
        <v>281</v>
      </c>
      <c r="F16" s="5">
        <f t="shared" si="0"/>
        <v>278</v>
      </c>
      <c r="G16" s="5">
        <f t="shared" si="0"/>
        <v>273</v>
      </c>
      <c r="H16" s="5">
        <f t="shared" si="0"/>
        <v>196</v>
      </c>
      <c r="I16" s="5">
        <f t="shared" si="0"/>
        <v>267</v>
      </c>
      <c r="J16" s="5">
        <f t="shared" si="0"/>
        <v>284</v>
      </c>
      <c r="K16" s="5">
        <f t="shared" si="0"/>
        <v>286</v>
      </c>
      <c r="L16" s="5">
        <f t="shared" si="0"/>
        <v>285</v>
      </c>
      <c r="M16" s="5">
        <f t="shared" ref="M16:S16" si="1">SUM(M14:M15)</f>
        <v>277</v>
      </c>
      <c r="N16" s="5">
        <f t="shared" si="1"/>
        <v>276</v>
      </c>
      <c r="O16" s="5">
        <f t="shared" si="1"/>
        <v>222</v>
      </c>
      <c r="P16" s="5">
        <f t="shared" si="1"/>
        <v>242</v>
      </c>
      <c r="Q16" s="5">
        <f t="shared" si="1"/>
        <v>274</v>
      </c>
      <c r="R16" s="5">
        <f t="shared" si="1"/>
        <v>246</v>
      </c>
      <c r="S16" s="5">
        <f t="shared" si="1"/>
        <v>245</v>
      </c>
      <c r="T16" s="5">
        <f t="shared" si="0"/>
        <v>287</v>
      </c>
      <c r="U16" s="5">
        <f t="shared" si="0"/>
        <v>289</v>
      </c>
      <c r="V16" s="5">
        <f t="shared" si="0"/>
        <v>281</v>
      </c>
      <c r="W16" s="5">
        <f t="shared" si="0"/>
        <v>277</v>
      </c>
      <c r="X16" s="5">
        <f t="shared" si="0"/>
        <v>273</v>
      </c>
      <c r="Y16" s="5">
        <f>SUM(E16:X16)</f>
        <v>5339</v>
      </c>
    </row>
    <row r="17" spans="1:25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28"/>
    </row>
    <row r="18" spans="1:25" x14ac:dyDescent="0.4">
      <c r="A18" s="11" t="s">
        <v>26</v>
      </c>
      <c r="B18" s="78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28"/>
    </row>
    <row r="19" spans="1:25" x14ac:dyDescent="0.4">
      <c r="A19" s="11"/>
      <c r="B19" s="83" t="s">
        <v>28</v>
      </c>
      <c r="C19" s="84" t="s">
        <v>29</v>
      </c>
      <c r="D19" s="6" t="s">
        <v>23</v>
      </c>
      <c r="E19" s="6">
        <v>108</v>
      </c>
      <c r="F19" s="6">
        <v>118</v>
      </c>
      <c r="G19" s="6">
        <v>107</v>
      </c>
      <c r="H19" s="6">
        <v>67</v>
      </c>
      <c r="I19" s="6">
        <v>102</v>
      </c>
      <c r="J19" s="6">
        <v>119</v>
      </c>
      <c r="K19" s="6">
        <v>118</v>
      </c>
      <c r="L19" s="6">
        <v>92</v>
      </c>
      <c r="M19" s="6">
        <v>118</v>
      </c>
      <c r="N19" s="6">
        <v>111</v>
      </c>
      <c r="O19" s="6">
        <v>81</v>
      </c>
      <c r="P19" s="6">
        <v>82</v>
      </c>
      <c r="Q19" s="6">
        <v>97</v>
      </c>
      <c r="R19" s="6">
        <v>104</v>
      </c>
      <c r="S19" s="6">
        <v>97</v>
      </c>
      <c r="T19" s="6">
        <v>82</v>
      </c>
      <c r="U19" s="6">
        <v>113</v>
      </c>
      <c r="V19" s="6">
        <v>97</v>
      </c>
      <c r="W19" s="6">
        <v>96</v>
      </c>
      <c r="X19" s="6">
        <v>102</v>
      </c>
      <c r="Y19" s="5">
        <f t="shared" ref="Y19:Y30" si="2">SUM(E19:X19)</f>
        <v>2011</v>
      </c>
    </row>
    <row r="20" spans="1:25" x14ac:dyDescent="0.4">
      <c r="A20" s="12"/>
      <c r="B20" s="75"/>
      <c r="C20" s="85"/>
      <c r="D20" s="6" t="s">
        <v>24</v>
      </c>
      <c r="E20" s="6">
        <v>121</v>
      </c>
      <c r="F20" s="6">
        <v>123</v>
      </c>
      <c r="G20" s="6">
        <v>116</v>
      </c>
      <c r="H20" s="6">
        <v>81</v>
      </c>
      <c r="I20" s="6">
        <v>130</v>
      </c>
      <c r="J20" s="6">
        <v>116</v>
      </c>
      <c r="K20" s="6">
        <v>114</v>
      </c>
      <c r="L20" s="6">
        <v>113</v>
      </c>
      <c r="M20" s="6">
        <v>113</v>
      </c>
      <c r="N20" s="6">
        <v>109</v>
      </c>
      <c r="O20" s="6">
        <v>101</v>
      </c>
      <c r="P20" s="6">
        <v>105</v>
      </c>
      <c r="Q20" s="6">
        <v>122</v>
      </c>
      <c r="R20" s="6">
        <v>102</v>
      </c>
      <c r="S20" s="6">
        <v>101</v>
      </c>
      <c r="T20" s="6">
        <v>118</v>
      </c>
      <c r="U20" s="6">
        <v>122</v>
      </c>
      <c r="V20" s="6">
        <v>122</v>
      </c>
      <c r="W20" s="6">
        <v>120</v>
      </c>
      <c r="X20" s="6">
        <v>130</v>
      </c>
      <c r="Y20" s="5">
        <f t="shared" si="2"/>
        <v>2279</v>
      </c>
    </row>
    <row r="21" spans="1:25" x14ac:dyDescent="0.4">
      <c r="A21" s="13"/>
      <c r="B21" s="76"/>
      <c r="C21" s="86"/>
      <c r="D21" s="5" t="s">
        <v>25</v>
      </c>
      <c r="E21" s="5">
        <f t="shared" ref="E21:X21" si="3">SUM(E19:E20)</f>
        <v>229</v>
      </c>
      <c r="F21" s="5">
        <f t="shared" si="3"/>
        <v>241</v>
      </c>
      <c r="G21" s="5">
        <f t="shared" si="3"/>
        <v>223</v>
      </c>
      <c r="H21" s="5">
        <f t="shared" si="3"/>
        <v>148</v>
      </c>
      <c r="I21" s="5">
        <f t="shared" si="3"/>
        <v>232</v>
      </c>
      <c r="J21" s="5">
        <f t="shared" si="3"/>
        <v>235</v>
      </c>
      <c r="K21" s="5">
        <f t="shared" si="3"/>
        <v>232</v>
      </c>
      <c r="L21" s="5">
        <f t="shared" si="3"/>
        <v>205</v>
      </c>
      <c r="M21" s="5">
        <f t="shared" ref="M21:S21" si="4">SUM(M19:M20)</f>
        <v>231</v>
      </c>
      <c r="N21" s="5">
        <f t="shared" si="4"/>
        <v>220</v>
      </c>
      <c r="O21" s="5">
        <f t="shared" si="4"/>
        <v>182</v>
      </c>
      <c r="P21" s="5">
        <f t="shared" si="4"/>
        <v>187</v>
      </c>
      <c r="Q21" s="5">
        <f t="shared" si="4"/>
        <v>219</v>
      </c>
      <c r="R21" s="5">
        <f t="shared" si="4"/>
        <v>206</v>
      </c>
      <c r="S21" s="5">
        <f t="shared" si="4"/>
        <v>198</v>
      </c>
      <c r="T21" s="5">
        <f t="shared" si="3"/>
        <v>200</v>
      </c>
      <c r="U21" s="5">
        <f t="shared" si="3"/>
        <v>235</v>
      </c>
      <c r="V21" s="5">
        <f t="shared" si="3"/>
        <v>219</v>
      </c>
      <c r="W21" s="5">
        <f t="shared" si="3"/>
        <v>216</v>
      </c>
      <c r="X21" s="5">
        <f t="shared" si="3"/>
        <v>232</v>
      </c>
      <c r="Y21" s="5">
        <f t="shared" si="2"/>
        <v>4290</v>
      </c>
    </row>
    <row r="22" spans="1:25" x14ac:dyDescent="0.4">
      <c r="A22" s="12"/>
      <c r="B22" s="83" t="s">
        <v>30</v>
      </c>
      <c r="C22" s="84" t="s">
        <v>31</v>
      </c>
      <c r="D22" s="6" t="s">
        <v>23</v>
      </c>
      <c r="E22" s="6">
        <v>0</v>
      </c>
      <c r="F22" s="6">
        <v>0</v>
      </c>
      <c r="G22" s="6">
        <v>1</v>
      </c>
      <c r="H22" s="6">
        <v>2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1</v>
      </c>
      <c r="U22" s="6">
        <v>0</v>
      </c>
      <c r="V22" s="6">
        <v>1</v>
      </c>
      <c r="W22" s="6">
        <v>1</v>
      </c>
      <c r="X22" s="6">
        <v>0</v>
      </c>
      <c r="Y22" s="5">
        <f t="shared" si="2"/>
        <v>6</v>
      </c>
    </row>
    <row r="23" spans="1:25" x14ac:dyDescent="0.4">
      <c r="A23" s="12"/>
      <c r="B23" s="75"/>
      <c r="C23" s="85"/>
      <c r="D23" s="6" t="s">
        <v>24</v>
      </c>
      <c r="E23" s="6">
        <v>0</v>
      </c>
      <c r="F23" s="6">
        <v>0</v>
      </c>
      <c r="G23" s="6">
        <v>0</v>
      </c>
      <c r="H23" s="6">
        <v>2</v>
      </c>
      <c r="I23" s="6">
        <v>0</v>
      </c>
      <c r="J23" s="6">
        <v>0</v>
      </c>
      <c r="K23" s="6">
        <v>0</v>
      </c>
      <c r="L23" s="6">
        <v>0</v>
      </c>
      <c r="M23" s="6">
        <v>1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1</v>
      </c>
      <c r="T23" s="6">
        <v>5</v>
      </c>
      <c r="U23" s="6">
        <v>0</v>
      </c>
      <c r="V23" s="6">
        <v>0</v>
      </c>
      <c r="W23" s="6">
        <v>1</v>
      </c>
      <c r="X23" s="6">
        <v>0</v>
      </c>
      <c r="Y23" s="5">
        <f t="shared" si="2"/>
        <v>11</v>
      </c>
    </row>
    <row r="24" spans="1:25" x14ac:dyDescent="0.4">
      <c r="A24" s="13"/>
      <c r="B24" s="76"/>
      <c r="C24" s="86"/>
      <c r="D24" s="5" t="s">
        <v>25</v>
      </c>
      <c r="E24" s="5">
        <f t="shared" ref="E24:X24" si="5">SUM(E22:E23)</f>
        <v>0</v>
      </c>
      <c r="F24" s="5">
        <f t="shared" si="5"/>
        <v>0</v>
      </c>
      <c r="G24" s="5">
        <f t="shared" si="5"/>
        <v>1</v>
      </c>
      <c r="H24" s="5">
        <f t="shared" si="5"/>
        <v>4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0</v>
      </c>
      <c r="M24" s="5">
        <f t="shared" ref="M24:S24" si="6">SUM(M22:M23)</f>
        <v>1</v>
      </c>
      <c r="N24" s="5">
        <f t="shared" si="6"/>
        <v>1</v>
      </c>
      <c r="O24" s="5">
        <f t="shared" si="6"/>
        <v>0</v>
      </c>
      <c r="P24" s="5">
        <f t="shared" si="6"/>
        <v>0</v>
      </c>
      <c r="Q24" s="5">
        <f t="shared" si="6"/>
        <v>0</v>
      </c>
      <c r="R24" s="5">
        <f t="shared" si="6"/>
        <v>0</v>
      </c>
      <c r="S24" s="5">
        <f t="shared" si="6"/>
        <v>1</v>
      </c>
      <c r="T24" s="5">
        <f t="shared" si="5"/>
        <v>6</v>
      </c>
      <c r="U24" s="5">
        <f t="shared" si="5"/>
        <v>0</v>
      </c>
      <c r="V24" s="5">
        <f t="shared" si="5"/>
        <v>1</v>
      </c>
      <c r="W24" s="5">
        <f t="shared" si="5"/>
        <v>2</v>
      </c>
      <c r="X24" s="5">
        <f t="shared" si="5"/>
        <v>0</v>
      </c>
      <c r="Y24" s="5">
        <f t="shared" si="2"/>
        <v>17</v>
      </c>
    </row>
    <row r="25" spans="1:25" x14ac:dyDescent="0.4">
      <c r="A25" s="12"/>
      <c r="B25" s="83" t="s">
        <v>32</v>
      </c>
      <c r="C25" s="84" t="s">
        <v>33</v>
      </c>
      <c r="D25" s="6" t="s">
        <v>23</v>
      </c>
      <c r="E25" s="6">
        <v>2</v>
      </c>
      <c r="F25" s="6">
        <v>1</v>
      </c>
      <c r="G25" s="6">
        <v>0</v>
      </c>
      <c r="H25" s="6">
        <v>1</v>
      </c>
      <c r="I25" s="6">
        <v>0</v>
      </c>
      <c r="J25" s="6">
        <v>1</v>
      </c>
      <c r="K25" s="6">
        <v>1</v>
      </c>
      <c r="L25" s="6">
        <v>0</v>
      </c>
      <c r="M25" s="6">
        <v>0</v>
      </c>
      <c r="N25" s="6">
        <v>1</v>
      </c>
      <c r="O25" s="6">
        <v>1</v>
      </c>
      <c r="P25" s="6">
        <v>1</v>
      </c>
      <c r="Q25" s="6">
        <v>0</v>
      </c>
      <c r="R25" s="6">
        <v>1</v>
      </c>
      <c r="S25" s="6">
        <v>5</v>
      </c>
      <c r="T25" s="6">
        <v>3</v>
      </c>
      <c r="U25" s="6">
        <v>1</v>
      </c>
      <c r="V25" s="6">
        <v>1</v>
      </c>
      <c r="W25" s="6">
        <v>4</v>
      </c>
      <c r="X25" s="6">
        <v>2</v>
      </c>
      <c r="Y25" s="5">
        <f t="shared" si="2"/>
        <v>26</v>
      </c>
    </row>
    <row r="26" spans="1:25" x14ac:dyDescent="0.4">
      <c r="A26" s="12"/>
      <c r="B26" s="75"/>
      <c r="C26" s="85"/>
      <c r="D26" s="6" t="s">
        <v>24</v>
      </c>
      <c r="E26" s="6">
        <v>0</v>
      </c>
      <c r="F26" s="6">
        <v>1</v>
      </c>
      <c r="G26" s="6">
        <v>4</v>
      </c>
      <c r="H26" s="6">
        <v>1</v>
      </c>
      <c r="I26" s="6">
        <v>0</v>
      </c>
      <c r="J26" s="6">
        <v>2</v>
      </c>
      <c r="K26" s="6">
        <v>1</v>
      </c>
      <c r="L26" s="6">
        <v>0</v>
      </c>
      <c r="M26" s="6">
        <v>1</v>
      </c>
      <c r="N26" s="6">
        <v>2</v>
      </c>
      <c r="O26" s="6">
        <v>1</v>
      </c>
      <c r="P26" s="6">
        <v>3</v>
      </c>
      <c r="Q26" s="6">
        <v>0</v>
      </c>
      <c r="R26" s="6">
        <v>2</v>
      </c>
      <c r="S26" s="6">
        <v>3</v>
      </c>
      <c r="T26" s="6">
        <v>3</v>
      </c>
      <c r="U26" s="6">
        <v>0</v>
      </c>
      <c r="V26" s="6">
        <v>0</v>
      </c>
      <c r="W26" s="6">
        <v>2</v>
      </c>
      <c r="X26" s="6">
        <v>3</v>
      </c>
      <c r="Y26" s="5">
        <f t="shared" si="2"/>
        <v>29</v>
      </c>
    </row>
    <row r="27" spans="1:25" x14ac:dyDescent="0.4">
      <c r="A27" s="13"/>
      <c r="B27" s="76"/>
      <c r="C27" s="86"/>
      <c r="D27" s="5" t="s">
        <v>25</v>
      </c>
      <c r="E27" s="5">
        <f t="shared" ref="E27:X27" si="7">SUM(E25:E26)</f>
        <v>2</v>
      </c>
      <c r="F27" s="5">
        <f t="shared" si="7"/>
        <v>2</v>
      </c>
      <c r="G27" s="5">
        <f t="shared" si="7"/>
        <v>4</v>
      </c>
      <c r="H27" s="5">
        <f t="shared" si="7"/>
        <v>2</v>
      </c>
      <c r="I27" s="5">
        <f t="shared" si="7"/>
        <v>0</v>
      </c>
      <c r="J27" s="5">
        <f t="shared" si="7"/>
        <v>3</v>
      </c>
      <c r="K27" s="5">
        <f t="shared" si="7"/>
        <v>2</v>
      </c>
      <c r="L27" s="5">
        <f t="shared" si="7"/>
        <v>0</v>
      </c>
      <c r="M27" s="5">
        <f t="shared" ref="M27:S27" si="8">SUM(M25:M26)</f>
        <v>1</v>
      </c>
      <c r="N27" s="5">
        <f t="shared" si="8"/>
        <v>3</v>
      </c>
      <c r="O27" s="5">
        <f t="shared" si="8"/>
        <v>2</v>
      </c>
      <c r="P27" s="5">
        <f t="shared" si="8"/>
        <v>4</v>
      </c>
      <c r="Q27" s="5">
        <f t="shared" si="8"/>
        <v>0</v>
      </c>
      <c r="R27" s="5">
        <f t="shared" si="8"/>
        <v>3</v>
      </c>
      <c r="S27" s="5">
        <f t="shared" si="8"/>
        <v>8</v>
      </c>
      <c r="T27" s="5">
        <f t="shared" si="7"/>
        <v>6</v>
      </c>
      <c r="U27" s="5">
        <f t="shared" si="7"/>
        <v>1</v>
      </c>
      <c r="V27" s="5">
        <f t="shared" si="7"/>
        <v>1</v>
      </c>
      <c r="W27" s="5">
        <f t="shared" si="7"/>
        <v>6</v>
      </c>
      <c r="X27" s="5">
        <f t="shared" si="7"/>
        <v>5</v>
      </c>
      <c r="Y27" s="5">
        <f t="shared" si="2"/>
        <v>55</v>
      </c>
    </row>
    <row r="28" spans="1:25" x14ac:dyDescent="0.4">
      <c r="A28" s="13"/>
      <c r="B28" s="87" t="s">
        <v>34</v>
      </c>
      <c r="C28" s="88" t="s">
        <v>35</v>
      </c>
      <c r="D28" s="5" t="s">
        <v>23</v>
      </c>
      <c r="E28" s="5">
        <f>SUM(E19,E22,E25)</f>
        <v>110</v>
      </c>
      <c r="F28" s="5">
        <f t="shared" ref="F28:L28" si="9">SUM(F19,F22,F25)</f>
        <v>119</v>
      </c>
      <c r="G28" s="5">
        <f t="shared" si="9"/>
        <v>108</v>
      </c>
      <c r="H28" s="5">
        <f t="shared" si="9"/>
        <v>70</v>
      </c>
      <c r="I28" s="5">
        <f t="shared" si="9"/>
        <v>102</v>
      </c>
      <c r="J28" s="5">
        <f t="shared" si="9"/>
        <v>120</v>
      </c>
      <c r="K28" s="5">
        <f t="shared" si="9"/>
        <v>119</v>
      </c>
      <c r="L28" s="5">
        <f t="shared" si="9"/>
        <v>92</v>
      </c>
      <c r="M28" s="5">
        <f t="shared" ref="M28:S28" si="10">SUM(M19,M22,M25)</f>
        <v>118</v>
      </c>
      <c r="N28" s="5">
        <f t="shared" si="10"/>
        <v>112</v>
      </c>
      <c r="O28" s="5">
        <f t="shared" si="10"/>
        <v>82</v>
      </c>
      <c r="P28" s="5">
        <f t="shared" si="10"/>
        <v>83</v>
      </c>
      <c r="Q28" s="5">
        <f t="shared" si="10"/>
        <v>97</v>
      </c>
      <c r="R28" s="5">
        <f t="shared" si="10"/>
        <v>105</v>
      </c>
      <c r="S28" s="5">
        <f t="shared" si="10"/>
        <v>102</v>
      </c>
      <c r="T28" s="5">
        <f t="shared" ref="T28:X29" si="11">SUM(T19,T22,T25)</f>
        <v>86</v>
      </c>
      <c r="U28" s="5">
        <f t="shared" si="11"/>
        <v>114</v>
      </c>
      <c r="V28" s="5">
        <f t="shared" si="11"/>
        <v>99</v>
      </c>
      <c r="W28" s="5">
        <f t="shared" si="11"/>
        <v>101</v>
      </c>
      <c r="X28" s="5">
        <f t="shared" si="11"/>
        <v>104</v>
      </c>
      <c r="Y28" s="5">
        <f t="shared" si="2"/>
        <v>2043</v>
      </c>
    </row>
    <row r="29" spans="1:25" x14ac:dyDescent="0.4">
      <c r="A29" s="13"/>
      <c r="B29" s="75"/>
      <c r="C29" s="85"/>
      <c r="D29" s="5" t="s">
        <v>24</v>
      </c>
      <c r="E29" s="5">
        <f>SUM(E20,E23,E26)</f>
        <v>121</v>
      </c>
      <c r="F29" s="5">
        <f t="shared" ref="F29:L29" si="12">SUM(F20,F23,F26)</f>
        <v>124</v>
      </c>
      <c r="G29" s="5">
        <f t="shared" si="12"/>
        <v>120</v>
      </c>
      <c r="H29" s="5">
        <f t="shared" si="12"/>
        <v>84</v>
      </c>
      <c r="I29" s="5">
        <f t="shared" si="12"/>
        <v>130</v>
      </c>
      <c r="J29" s="5">
        <f t="shared" si="12"/>
        <v>118</v>
      </c>
      <c r="K29" s="5">
        <f t="shared" si="12"/>
        <v>115</v>
      </c>
      <c r="L29" s="5">
        <f t="shared" si="12"/>
        <v>113</v>
      </c>
      <c r="M29" s="5">
        <f t="shared" ref="M29:S29" si="13">SUM(M20,M23,M26)</f>
        <v>115</v>
      </c>
      <c r="N29" s="5">
        <f t="shared" si="13"/>
        <v>112</v>
      </c>
      <c r="O29" s="5">
        <f t="shared" si="13"/>
        <v>102</v>
      </c>
      <c r="P29" s="5">
        <f t="shared" si="13"/>
        <v>108</v>
      </c>
      <c r="Q29" s="5">
        <f t="shared" si="13"/>
        <v>122</v>
      </c>
      <c r="R29" s="5">
        <f t="shared" si="13"/>
        <v>104</v>
      </c>
      <c r="S29" s="5">
        <f t="shared" si="13"/>
        <v>105</v>
      </c>
      <c r="T29" s="5">
        <f t="shared" si="11"/>
        <v>126</v>
      </c>
      <c r="U29" s="5">
        <f t="shared" si="11"/>
        <v>122</v>
      </c>
      <c r="V29" s="5">
        <f t="shared" si="11"/>
        <v>122</v>
      </c>
      <c r="W29" s="5">
        <f t="shared" si="11"/>
        <v>123</v>
      </c>
      <c r="X29" s="5">
        <f t="shared" si="11"/>
        <v>133</v>
      </c>
      <c r="Y29" s="5">
        <f t="shared" si="2"/>
        <v>2319</v>
      </c>
    </row>
    <row r="30" spans="1:25" x14ac:dyDescent="0.4">
      <c r="A30" s="13"/>
      <c r="B30" s="76"/>
      <c r="C30" s="86"/>
      <c r="D30" s="5" t="s">
        <v>25</v>
      </c>
      <c r="E30" s="5">
        <f t="shared" ref="E30:S30" si="14">SUM(E28:E29)</f>
        <v>231</v>
      </c>
      <c r="F30" s="5">
        <f t="shared" ref="F30:L30" si="15">SUM(F28:F29)</f>
        <v>243</v>
      </c>
      <c r="G30" s="5">
        <f t="shared" si="15"/>
        <v>228</v>
      </c>
      <c r="H30" s="5">
        <f t="shared" si="15"/>
        <v>154</v>
      </c>
      <c r="I30" s="5">
        <f t="shared" si="15"/>
        <v>232</v>
      </c>
      <c r="J30" s="5">
        <f t="shared" si="15"/>
        <v>238</v>
      </c>
      <c r="K30" s="5">
        <f t="shared" si="15"/>
        <v>234</v>
      </c>
      <c r="L30" s="5">
        <f t="shared" si="15"/>
        <v>205</v>
      </c>
      <c r="M30" s="5">
        <f t="shared" si="14"/>
        <v>233</v>
      </c>
      <c r="N30" s="5">
        <f t="shared" si="14"/>
        <v>224</v>
      </c>
      <c r="O30" s="5">
        <f t="shared" si="14"/>
        <v>184</v>
      </c>
      <c r="P30" s="5">
        <f t="shared" si="14"/>
        <v>191</v>
      </c>
      <c r="Q30" s="5">
        <f t="shared" si="14"/>
        <v>219</v>
      </c>
      <c r="R30" s="5">
        <f t="shared" si="14"/>
        <v>209</v>
      </c>
      <c r="S30" s="5">
        <f t="shared" si="14"/>
        <v>207</v>
      </c>
      <c r="T30" s="5">
        <f t="shared" ref="T30:X30" si="16">SUM(T28:T29)</f>
        <v>212</v>
      </c>
      <c r="U30" s="5">
        <f t="shared" si="16"/>
        <v>236</v>
      </c>
      <c r="V30" s="5">
        <f t="shared" si="16"/>
        <v>221</v>
      </c>
      <c r="W30" s="5">
        <f t="shared" si="16"/>
        <v>224</v>
      </c>
      <c r="X30" s="5">
        <f t="shared" si="16"/>
        <v>237</v>
      </c>
      <c r="Y30" s="5">
        <f t="shared" si="2"/>
        <v>4362</v>
      </c>
    </row>
    <row r="31" spans="1:25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28"/>
    </row>
    <row r="32" spans="1:25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28"/>
    </row>
    <row r="33" spans="1:25" x14ac:dyDescent="0.4">
      <c r="A33" s="6">
        <v>1</v>
      </c>
      <c r="B33" s="78" t="s">
        <v>38</v>
      </c>
      <c r="C33" s="69"/>
      <c r="D33" s="60"/>
      <c r="E33" s="6">
        <v>287</v>
      </c>
      <c r="F33" s="6">
        <v>284</v>
      </c>
      <c r="G33" s="6">
        <v>279</v>
      </c>
      <c r="H33" s="6">
        <v>200</v>
      </c>
      <c r="I33" s="6">
        <v>273</v>
      </c>
      <c r="J33" s="6">
        <v>290</v>
      </c>
      <c r="K33" s="6">
        <v>292</v>
      </c>
      <c r="L33" s="6">
        <v>291</v>
      </c>
      <c r="M33" s="6">
        <v>283</v>
      </c>
      <c r="N33" s="6">
        <v>282</v>
      </c>
      <c r="O33" s="6">
        <v>227</v>
      </c>
      <c r="P33" s="6">
        <v>258</v>
      </c>
      <c r="Q33" s="6">
        <v>280</v>
      </c>
      <c r="R33" s="6">
        <v>253</v>
      </c>
      <c r="S33" s="6">
        <v>251</v>
      </c>
      <c r="T33" s="6">
        <v>293</v>
      </c>
      <c r="U33" s="6">
        <v>295</v>
      </c>
      <c r="V33" s="6">
        <v>287</v>
      </c>
      <c r="W33" s="6">
        <v>283</v>
      </c>
      <c r="X33" s="6">
        <v>279</v>
      </c>
      <c r="Y33" s="5">
        <f>SUM(E33:X33)</f>
        <v>5467</v>
      </c>
    </row>
    <row r="34" spans="1:25" x14ac:dyDescent="0.4">
      <c r="A34" s="6">
        <v>2</v>
      </c>
      <c r="B34" s="78" t="s">
        <v>39</v>
      </c>
      <c r="C34" s="69"/>
      <c r="D34" s="60"/>
      <c r="E34" s="5">
        <v>231</v>
      </c>
      <c r="F34" s="5">
        <v>243</v>
      </c>
      <c r="G34" s="5">
        <v>228</v>
      </c>
      <c r="H34" s="5">
        <v>154</v>
      </c>
      <c r="I34" s="5">
        <v>232</v>
      </c>
      <c r="J34" s="5">
        <v>238</v>
      </c>
      <c r="K34" s="5">
        <v>234</v>
      </c>
      <c r="L34" s="5">
        <v>205</v>
      </c>
      <c r="M34" s="5">
        <v>233</v>
      </c>
      <c r="N34" s="5">
        <v>224</v>
      </c>
      <c r="O34" s="5">
        <v>184</v>
      </c>
      <c r="P34" s="5">
        <v>191</v>
      </c>
      <c r="Q34" s="5">
        <v>219</v>
      </c>
      <c r="R34" s="5">
        <v>209</v>
      </c>
      <c r="S34" s="5">
        <v>207</v>
      </c>
      <c r="T34" s="5">
        <v>212</v>
      </c>
      <c r="U34" s="5">
        <v>236</v>
      </c>
      <c r="V34" s="5">
        <v>221</v>
      </c>
      <c r="W34" s="5">
        <v>224</v>
      </c>
      <c r="X34" s="5">
        <v>237</v>
      </c>
      <c r="Y34" s="5">
        <f>SUM(E34:X34)</f>
        <v>4362</v>
      </c>
    </row>
    <row r="35" spans="1:25" x14ac:dyDescent="0.4">
      <c r="A35" s="6">
        <v>3</v>
      </c>
      <c r="B35" s="78" t="s">
        <v>40</v>
      </c>
      <c r="C35" s="69"/>
      <c r="D35" s="60"/>
      <c r="E35" s="6">
        <v>0</v>
      </c>
      <c r="F35" s="6">
        <v>0</v>
      </c>
      <c r="G35" s="6">
        <v>0</v>
      </c>
      <c r="H35" s="6">
        <v>0</v>
      </c>
      <c r="I35" s="6">
        <v>2</v>
      </c>
      <c r="J35" s="6">
        <v>0</v>
      </c>
      <c r="K35" s="6">
        <v>2</v>
      </c>
      <c r="L35" s="6">
        <v>0</v>
      </c>
      <c r="M35" s="6">
        <v>1</v>
      </c>
      <c r="N35" s="6">
        <v>0</v>
      </c>
      <c r="O35" s="6">
        <v>1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1</v>
      </c>
      <c r="V35" s="6">
        <v>0</v>
      </c>
      <c r="W35" s="6">
        <v>1</v>
      </c>
      <c r="X35" s="6">
        <v>0</v>
      </c>
      <c r="Y35" s="5">
        <f>SUM(E35:X35)</f>
        <v>8</v>
      </c>
    </row>
    <row r="36" spans="1:25" x14ac:dyDescent="0.4">
      <c r="A36" s="6">
        <v>4</v>
      </c>
      <c r="B36" s="78" t="s">
        <v>41</v>
      </c>
      <c r="C36" s="69"/>
      <c r="D36" s="60"/>
      <c r="E36" s="5">
        <f t="shared" ref="E36:X36" si="17">E33-(E34+E35)</f>
        <v>56</v>
      </c>
      <c r="F36" s="5">
        <f t="shared" si="17"/>
        <v>41</v>
      </c>
      <c r="G36" s="5">
        <f t="shared" si="17"/>
        <v>51</v>
      </c>
      <c r="H36" s="5">
        <f t="shared" si="17"/>
        <v>46</v>
      </c>
      <c r="I36" s="5">
        <f t="shared" si="17"/>
        <v>39</v>
      </c>
      <c r="J36" s="5">
        <f t="shared" si="17"/>
        <v>52</v>
      </c>
      <c r="K36" s="5">
        <f t="shared" si="17"/>
        <v>56</v>
      </c>
      <c r="L36" s="5">
        <f t="shared" si="17"/>
        <v>86</v>
      </c>
      <c r="M36" s="5">
        <f t="shared" ref="M36:S36" si="18">M33-(M34+M35)</f>
        <v>49</v>
      </c>
      <c r="N36" s="5">
        <f t="shared" si="18"/>
        <v>58</v>
      </c>
      <c r="O36" s="5">
        <f t="shared" si="18"/>
        <v>42</v>
      </c>
      <c r="P36" s="5">
        <f t="shared" si="18"/>
        <v>67</v>
      </c>
      <c r="Q36" s="5">
        <f t="shared" si="18"/>
        <v>61</v>
      </c>
      <c r="R36" s="5">
        <f t="shared" si="18"/>
        <v>44</v>
      </c>
      <c r="S36" s="5">
        <f t="shared" si="18"/>
        <v>44</v>
      </c>
      <c r="T36" s="5">
        <f t="shared" si="17"/>
        <v>81</v>
      </c>
      <c r="U36" s="5">
        <f t="shared" si="17"/>
        <v>58</v>
      </c>
      <c r="V36" s="5">
        <f t="shared" si="17"/>
        <v>66</v>
      </c>
      <c r="W36" s="5">
        <f t="shared" si="17"/>
        <v>58</v>
      </c>
      <c r="X36" s="5">
        <f t="shared" si="17"/>
        <v>42</v>
      </c>
      <c r="Y36" s="5">
        <f>SUM(E36:X36)</f>
        <v>1097</v>
      </c>
    </row>
    <row r="37" spans="1:25" x14ac:dyDescent="0.4">
      <c r="A37" s="61"/>
      <c r="B37" s="69"/>
      <c r="C37" s="69"/>
      <c r="D37" s="69"/>
      <c r="E37" s="61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89"/>
      <c r="U37" s="89"/>
      <c r="V37" s="89"/>
      <c r="W37" s="94"/>
      <c r="X37" s="6"/>
      <c r="Y37" s="28"/>
    </row>
    <row r="38" spans="1:25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28"/>
    </row>
    <row r="39" spans="1:25" x14ac:dyDescent="0.4">
      <c r="A39" s="11"/>
      <c r="B39" s="73" t="s">
        <v>44</v>
      </c>
      <c r="C39" s="68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3</v>
      </c>
      <c r="V39" s="6">
        <v>0</v>
      </c>
      <c r="W39" s="6">
        <v>1</v>
      </c>
      <c r="X39" s="6">
        <v>0</v>
      </c>
      <c r="Y39" s="5">
        <f>SUM(E39:X39)</f>
        <v>4</v>
      </c>
    </row>
    <row r="40" spans="1:25" x14ac:dyDescent="0.4">
      <c r="A40" s="12"/>
      <c r="B40" s="74"/>
      <c r="C40" s="75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1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2</v>
      </c>
      <c r="V40" s="6">
        <v>0</v>
      </c>
      <c r="W40" s="6">
        <v>0</v>
      </c>
      <c r="X40" s="6">
        <v>0</v>
      </c>
      <c r="Y40" s="5">
        <f>SUM(E40:X40)</f>
        <v>3</v>
      </c>
    </row>
    <row r="41" spans="1:25" x14ac:dyDescent="0.4">
      <c r="A41" s="14"/>
      <c r="B41" s="71"/>
      <c r="C41" s="76"/>
      <c r="D41" s="5" t="s">
        <v>25</v>
      </c>
      <c r="E41" s="5">
        <f t="shared" ref="E41:X41" si="19">SUM(E39:E40)</f>
        <v>0</v>
      </c>
      <c r="F41" s="5">
        <f t="shared" si="19"/>
        <v>0</v>
      </c>
      <c r="G41" s="5">
        <f t="shared" si="19"/>
        <v>0</v>
      </c>
      <c r="H41" s="5">
        <f t="shared" si="19"/>
        <v>0</v>
      </c>
      <c r="I41" s="5">
        <f t="shared" si="19"/>
        <v>0</v>
      </c>
      <c r="J41" s="5">
        <f t="shared" si="19"/>
        <v>0</v>
      </c>
      <c r="K41" s="5">
        <f t="shared" si="19"/>
        <v>0</v>
      </c>
      <c r="L41" s="5">
        <f t="shared" si="19"/>
        <v>0</v>
      </c>
      <c r="M41" s="5">
        <f t="shared" ref="M41:S41" si="20">SUM(M39:M40)</f>
        <v>1</v>
      </c>
      <c r="N41" s="5">
        <f t="shared" si="20"/>
        <v>0</v>
      </c>
      <c r="O41" s="5">
        <f t="shared" si="20"/>
        <v>0</v>
      </c>
      <c r="P41" s="5">
        <f t="shared" si="20"/>
        <v>0</v>
      </c>
      <c r="Q41" s="5">
        <f t="shared" si="20"/>
        <v>0</v>
      </c>
      <c r="R41" s="5">
        <f t="shared" si="20"/>
        <v>0</v>
      </c>
      <c r="S41" s="5">
        <f t="shared" si="20"/>
        <v>0</v>
      </c>
      <c r="T41" s="5">
        <f t="shared" si="19"/>
        <v>0</v>
      </c>
      <c r="U41" s="5">
        <f t="shared" si="19"/>
        <v>5</v>
      </c>
      <c r="V41" s="5">
        <f t="shared" si="19"/>
        <v>0</v>
      </c>
      <c r="W41" s="5">
        <f t="shared" si="19"/>
        <v>1</v>
      </c>
      <c r="X41" s="5">
        <f t="shared" si="19"/>
        <v>0</v>
      </c>
      <c r="Y41" s="5">
        <f>SUM(E41:X41)</f>
        <v>7</v>
      </c>
    </row>
    <row r="42" spans="1:25" x14ac:dyDescent="0.4">
      <c r="A42" s="70"/>
      <c r="B42" s="71"/>
      <c r="C42" s="71"/>
      <c r="D42" s="76"/>
      <c r="E42" s="61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9"/>
      <c r="U42" s="69"/>
      <c r="V42" s="69"/>
      <c r="W42" s="60"/>
      <c r="X42" s="6"/>
      <c r="Y42" s="5"/>
    </row>
    <row r="43" spans="1:25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3.15" customHeight="1" x14ac:dyDescent="0.4">
      <c r="A44" s="73" t="s">
        <v>47</v>
      </c>
      <c r="B44" s="77"/>
      <c r="C44" s="77"/>
      <c r="D44" s="68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5"/>
    </row>
    <row r="45" spans="1:25" x14ac:dyDescent="0.4">
      <c r="A45" s="11" t="s">
        <v>48</v>
      </c>
      <c r="B45" s="17" t="s">
        <v>28</v>
      </c>
      <c r="C45" s="59" t="s">
        <v>49</v>
      </c>
      <c r="D45" s="60"/>
      <c r="E45" s="6">
        <v>2</v>
      </c>
      <c r="F45" s="6">
        <v>5</v>
      </c>
      <c r="G45" s="6">
        <v>5</v>
      </c>
      <c r="H45" s="6">
        <v>6</v>
      </c>
      <c r="I45" s="6">
        <v>16</v>
      </c>
      <c r="J45" s="6">
        <v>13</v>
      </c>
      <c r="K45" s="6">
        <v>16</v>
      </c>
      <c r="L45" s="6">
        <v>7</v>
      </c>
      <c r="M45" s="6">
        <v>2</v>
      </c>
      <c r="N45" s="6">
        <v>4</v>
      </c>
      <c r="O45" s="6">
        <v>1</v>
      </c>
      <c r="P45" s="6">
        <v>4</v>
      </c>
      <c r="Q45" s="6">
        <v>8</v>
      </c>
      <c r="R45" s="6">
        <v>5</v>
      </c>
      <c r="S45" s="6">
        <v>1</v>
      </c>
      <c r="T45" s="6">
        <v>1</v>
      </c>
      <c r="U45" s="6">
        <v>2</v>
      </c>
      <c r="V45" s="6">
        <v>1</v>
      </c>
      <c r="W45" s="6">
        <v>8</v>
      </c>
      <c r="X45" s="6">
        <v>3</v>
      </c>
      <c r="Y45" s="5">
        <f t="shared" ref="Y45:Y51" si="21">SUM(E45:X45)</f>
        <v>110</v>
      </c>
    </row>
    <row r="46" spans="1:25" x14ac:dyDescent="0.4">
      <c r="A46" s="11" t="s">
        <v>50</v>
      </c>
      <c r="B46" s="46"/>
      <c r="C46" s="24" t="s">
        <v>106</v>
      </c>
      <c r="D46" s="47"/>
      <c r="E46" s="6">
        <v>21</v>
      </c>
      <c r="F46" s="6">
        <v>41</v>
      </c>
      <c r="G46" s="6">
        <v>17</v>
      </c>
      <c r="H46" s="6">
        <v>13</v>
      </c>
      <c r="I46" s="6">
        <v>38</v>
      </c>
      <c r="J46" s="6">
        <v>21</v>
      </c>
      <c r="K46" s="6">
        <v>34</v>
      </c>
      <c r="L46" s="6">
        <v>22</v>
      </c>
      <c r="M46" s="6">
        <v>43</v>
      </c>
      <c r="N46" s="6">
        <v>33</v>
      </c>
      <c r="O46" s="6">
        <v>1</v>
      </c>
      <c r="P46" s="6">
        <v>1</v>
      </c>
      <c r="Q46" s="6">
        <v>41</v>
      </c>
      <c r="R46" s="6">
        <v>21</v>
      </c>
      <c r="S46" s="6">
        <v>6</v>
      </c>
      <c r="T46" s="6">
        <v>10</v>
      </c>
      <c r="U46" s="6">
        <v>15</v>
      </c>
      <c r="V46" s="6">
        <v>35</v>
      </c>
      <c r="W46" s="6">
        <v>35</v>
      </c>
      <c r="X46" s="6">
        <v>14</v>
      </c>
      <c r="Y46" s="5">
        <f t="shared" si="21"/>
        <v>462</v>
      </c>
    </row>
    <row r="47" spans="1:25" x14ac:dyDescent="0.4">
      <c r="A47" s="7"/>
      <c r="B47" s="46"/>
      <c r="C47" s="24" t="s">
        <v>107</v>
      </c>
      <c r="D47" s="47"/>
      <c r="E47" s="6">
        <v>5</v>
      </c>
      <c r="F47" s="6">
        <v>6</v>
      </c>
      <c r="G47" s="6">
        <v>5</v>
      </c>
      <c r="H47" s="6">
        <v>7</v>
      </c>
      <c r="I47" s="6">
        <v>35</v>
      </c>
      <c r="J47" s="6">
        <v>77</v>
      </c>
      <c r="K47" s="6">
        <v>20</v>
      </c>
      <c r="L47" s="6">
        <v>7</v>
      </c>
      <c r="M47" s="6">
        <v>7</v>
      </c>
      <c r="N47" s="6">
        <v>2</v>
      </c>
      <c r="O47" s="6">
        <v>3</v>
      </c>
      <c r="P47" s="6">
        <v>5</v>
      </c>
      <c r="Q47" s="6">
        <v>2</v>
      </c>
      <c r="R47" s="6">
        <v>0</v>
      </c>
      <c r="S47" s="6">
        <v>4</v>
      </c>
      <c r="T47" s="6">
        <v>3</v>
      </c>
      <c r="U47" s="6">
        <v>9</v>
      </c>
      <c r="V47" s="6">
        <v>7</v>
      </c>
      <c r="W47" s="6">
        <v>6</v>
      </c>
      <c r="X47" s="6">
        <v>3</v>
      </c>
      <c r="Y47" s="5">
        <f t="shared" si="21"/>
        <v>213</v>
      </c>
    </row>
    <row r="48" spans="1:25" x14ac:dyDescent="0.4">
      <c r="A48" s="7"/>
      <c r="B48" s="46"/>
      <c r="C48" s="24" t="s">
        <v>108</v>
      </c>
      <c r="D48" s="47"/>
      <c r="E48" s="6">
        <v>1</v>
      </c>
      <c r="F48" s="6">
        <v>2</v>
      </c>
      <c r="G48" s="6">
        <v>0</v>
      </c>
      <c r="H48" s="6">
        <v>1</v>
      </c>
      <c r="I48" s="6">
        <v>0</v>
      </c>
      <c r="J48" s="6">
        <v>0</v>
      </c>
      <c r="K48" s="6">
        <v>0</v>
      </c>
      <c r="L48" s="6">
        <v>1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1</v>
      </c>
      <c r="V48" s="6">
        <v>2</v>
      </c>
      <c r="W48" s="6">
        <v>1</v>
      </c>
      <c r="X48" s="6">
        <v>0</v>
      </c>
      <c r="Y48" s="5">
        <f t="shared" si="21"/>
        <v>9</v>
      </c>
    </row>
    <row r="49" spans="1:25" x14ac:dyDescent="0.4">
      <c r="A49" s="7"/>
      <c r="B49" s="46"/>
      <c r="C49" s="24" t="s">
        <v>109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2</v>
      </c>
      <c r="J49" s="6">
        <v>1</v>
      </c>
      <c r="K49" s="6">
        <v>1</v>
      </c>
      <c r="L49" s="6">
        <v>0</v>
      </c>
      <c r="M49" s="6">
        <v>0</v>
      </c>
      <c r="N49" s="6">
        <v>1</v>
      </c>
      <c r="O49" s="6">
        <v>0</v>
      </c>
      <c r="P49" s="6">
        <v>0</v>
      </c>
      <c r="Q49" s="6">
        <v>0</v>
      </c>
      <c r="R49" s="6">
        <v>1</v>
      </c>
      <c r="S49" s="6">
        <v>0</v>
      </c>
      <c r="T49" s="6">
        <v>0</v>
      </c>
      <c r="U49" s="6">
        <v>1</v>
      </c>
      <c r="V49" s="6">
        <v>0</v>
      </c>
      <c r="W49" s="6">
        <v>0</v>
      </c>
      <c r="X49" s="6">
        <v>0</v>
      </c>
      <c r="Y49" s="5">
        <f t="shared" si="21"/>
        <v>7</v>
      </c>
    </row>
    <row r="50" spans="1:25" x14ac:dyDescent="0.4">
      <c r="A50" s="7"/>
      <c r="B50" s="46"/>
      <c r="C50" s="24" t="s">
        <v>110</v>
      </c>
      <c r="D50" s="47"/>
      <c r="E50" s="6">
        <v>4</v>
      </c>
      <c r="F50" s="6">
        <v>1</v>
      </c>
      <c r="G50" s="6">
        <v>0</v>
      </c>
      <c r="H50" s="6">
        <v>7</v>
      </c>
      <c r="I50" s="6">
        <v>4</v>
      </c>
      <c r="J50" s="6">
        <v>5</v>
      </c>
      <c r="K50" s="6">
        <v>2</v>
      </c>
      <c r="L50" s="6">
        <v>1</v>
      </c>
      <c r="M50" s="6">
        <v>0</v>
      </c>
      <c r="N50" s="6">
        <v>0</v>
      </c>
      <c r="O50" s="6">
        <v>0</v>
      </c>
      <c r="P50" s="6">
        <v>1</v>
      </c>
      <c r="Q50" s="6">
        <v>4</v>
      </c>
      <c r="R50" s="6">
        <v>0</v>
      </c>
      <c r="S50" s="6">
        <v>0</v>
      </c>
      <c r="T50" s="6">
        <v>1</v>
      </c>
      <c r="U50" s="6">
        <v>3</v>
      </c>
      <c r="V50" s="6">
        <v>3</v>
      </c>
      <c r="W50" s="6">
        <v>2</v>
      </c>
      <c r="X50" s="6">
        <v>1</v>
      </c>
      <c r="Y50" s="5">
        <f t="shared" si="21"/>
        <v>39</v>
      </c>
    </row>
    <row r="51" spans="1:25" x14ac:dyDescent="0.4">
      <c r="A51" s="7"/>
      <c r="B51" s="46"/>
      <c r="C51" s="24" t="s">
        <v>111</v>
      </c>
      <c r="D51" s="47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1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5">
        <f t="shared" si="21"/>
        <v>2</v>
      </c>
    </row>
    <row r="52" spans="1:25" x14ac:dyDescent="0.4">
      <c r="A52" s="6" t="s">
        <v>26</v>
      </c>
      <c r="B52" s="53" t="s">
        <v>51</v>
      </c>
      <c r="C52" s="69"/>
      <c r="D52" s="60"/>
      <c r="E52" s="5">
        <f>SUM(E45:E51)</f>
        <v>33</v>
      </c>
      <c r="F52" s="5">
        <f>SUM(F45:F51)</f>
        <v>55</v>
      </c>
      <c r="G52" s="5">
        <f>SUM(G45:G51)</f>
        <v>27</v>
      </c>
      <c r="H52" s="5">
        <f>SUM(H45:H51)</f>
        <v>34</v>
      </c>
      <c r="I52" s="5">
        <f>SUM(I45:I51)</f>
        <v>95</v>
      </c>
      <c r="J52" s="5">
        <f>SUM(J45:J51)</f>
        <v>117</v>
      </c>
      <c r="K52" s="5">
        <f>SUM(K45:K51)</f>
        <v>73</v>
      </c>
      <c r="L52" s="5">
        <f>SUM(L45:L51)</f>
        <v>39</v>
      </c>
      <c r="M52" s="5">
        <f>SUM(M45:M51)</f>
        <v>53</v>
      </c>
      <c r="N52" s="5">
        <f>SUM(N45:N51)</f>
        <v>40</v>
      </c>
      <c r="O52" s="5">
        <f>SUM(O45:O51)</f>
        <v>5</v>
      </c>
      <c r="P52" s="5">
        <f>SUM(P45:P51)</f>
        <v>11</v>
      </c>
      <c r="Q52" s="5">
        <f>SUM(Q45:Q51)</f>
        <v>55</v>
      </c>
      <c r="R52" s="5">
        <f>SUM(R45:R51)</f>
        <v>27</v>
      </c>
      <c r="S52" s="5">
        <f>SUM(S45:S51)</f>
        <v>11</v>
      </c>
      <c r="T52" s="5">
        <f>SUM(T45:T51)</f>
        <v>15</v>
      </c>
      <c r="U52" s="5">
        <f>SUM(U45:U51)</f>
        <v>31</v>
      </c>
      <c r="V52" s="5">
        <f>SUM(V45:V51)</f>
        <v>48</v>
      </c>
      <c r="W52" s="5">
        <f>SUM(W45:W51)</f>
        <v>52</v>
      </c>
      <c r="X52" s="5">
        <f>SUM(X45:X51)</f>
        <v>21</v>
      </c>
      <c r="Y52" s="5">
        <f>SUM(Y45:Y51)</f>
        <v>842</v>
      </c>
    </row>
    <row r="53" spans="1:25" x14ac:dyDescent="0.4">
      <c r="A53" s="70"/>
      <c r="B53" s="71"/>
      <c r="C53" s="71"/>
      <c r="D53" s="71"/>
      <c r="E53" s="71"/>
      <c r="Y53" s="5"/>
    </row>
    <row r="54" spans="1:25" x14ac:dyDescent="0.4">
      <c r="A54" s="11" t="s">
        <v>48</v>
      </c>
      <c r="B54" s="17" t="s">
        <v>30</v>
      </c>
      <c r="C54" s="59" t="s">
        <v>52</v>
      </c>
      <c r="D54" s="60"/>
      <c r="E54" s="6">
        <v>6</v>
      </c>
      <c r="F54" s="6">
        <v>5</v>
      </c>
      <c r="G54" s="6">
        <v>7</v>
      </c>
      <c r="H54" s="6">
        <v>6</v>
      </c>
      <c r="I54" s="6">
        <v>11</v>
      </c>
      <c r="J54" s="6">
        <v>9</v>
      </c>
      <c r="K54" s="6">
        <v>5</v>
      </c>
      <c r="L54" s="6">
        <v>9</v>
      </c>
      <c r="M54" s="6">
        <v>1</v>
      </c>
      <c r="N54" s="6">
        <v>4</v>
      </c>
      <c r="O54" s="6">
        <v>7</v>
      </c>
      <c r="P54" s="6">
        <v>1</v>
      </c>
      <c r="Q54" s="6">
        <v>6</v>
      </c>
      <c r="R54" s="6">
        <v>8</v>
      </c>
      <c r="S54" s="6">
        <v>5</v>
      </c>
      <c r="T54" s="6">
        <v>6</v>
      </c>
      <c r="U54" s="6">
        <v>3</v>
      </c>
      <c r="V54" s="6">
        <v>7</v>
      </c>
      <c r="W54" s="6">
        <v>10</v>
      </c>
      <c r="X54" s="6">
        <v>7</v>
      </c>
      <c r="Y54" s="5">
        <f t="shared" ref="Y54:Y60" si="22">SUM(E54:X54)</f>
        <v>123</v>
      </c>
    </row>
    <row r="55" spans="1:25" x14ac:dyDescent="0.4">
      <c r="A55" s="11" t="s">
        <v>50</v>
      </c>
      <c r="B55" s="46"/>
      <c r="C55" s="24" t="s">
        <v>112</v>
      </c>
      <c r="D55" s="47"/>
      <c r="E55" s="6">
        <v>5</v>
      </c>
      <c r="F55" s="6">
        <v>0</v>
      </c>
      <c r="G55" s="6">
        <v>4</v>
      </c>
      <c r="H55" s="6">
        <v>1</v>
      </c>
      <c r="I55" s="6">
        <v>0</v>
      </c>
      <c r="J55" s="6">
        <v>1</v>
      </c>
      <c r="K55" s="6">
        <v>1</v>
      </c>
      <c r="L55" s="6">
        <v>0</v>
      </c>
      <c r="M55" s="6">
        <v>1</v>
      </c>
      <c r="N55" s="6">
        <v>2</v>
      </c>
      <c r="O55" s="6">
        <v>0</v>
      </c>
      <c r="P55" s="6">
        <v>0</v>
      </c>
      <c r="Q55" s="6">
        <v>1</v>
      </c>
      <c r="R55" s="6">
        <v>0</v>
      </c>
      <c r="S55" s="6">
        <v>1</v>
      </c>
      <c r="T55" s="6">
        <v>1</v>
      </c>
      <c r="U55" s="6">
        <v>5</v>
      </c>
      <c r="V55" s="6">
        <v>3</v>
      </c>
      <c r="W55" s="6">
        <v>4</v>
      </c>
      <c r="X55" s="6">
        <v>2</v>
      </c>
      <c r="Y55" s="5">
        <f t="shared" si="22"/>
        <v>32</v>
      </c>
    </row>
    <row r="56" spans="1:25" x14ac:dyDescent="0.4">
      <c r="A56" s="7"/>
      <c r="B56" s="46"/>
      <c r="C56" s="24" t="s">
        <v>113</v>
      </c>
      <c r="D56" s="47"/>
      <c r="E56" s="6">
        <v>1</v>
      </c>
      <c r="F56" s="6">
        <v>0</v>
      </c>
      <c r="G56" s="6">
        <v>0</v>
      </c>
      <c r="H56" s="6">
        <v>0</v>
      </c>
      <c r="I56" s="6">
        <v>1</v>
      </c>
      <c r="J56" s="6">
        <v>4</v>
      </c>
      <c r="K56" s="6">
        <v>3</v>
      </c>
      <c r="L56" s="6">
        <v>0</v>
      </c>
      <c r="M56" s="6">
        <v>0</v>
      </c>
      <c r="N56" s="6">
        <v>0</v>
      </c>
      <c r="O56" s="6">
        <v>1</v>
      </c>
      <c r="P56" s="6">
        <v>0</v>
      </c>
      <c r="Q56" s="6">
        <v>2</v>
      </c>
      <c r="R56" s="6">
        <v>1</v>
      </c>
      <c r="S56" s="6">
        <v>0</v>
      </c>
      <c r="T56" s="6">
        <v>3</v>
      </c>
      <c r="U56" s="6">
        <v>1</v>
      </c>
      <c r="V56" s="6">
        <v>0</v>
      </c>
      <c r="W56" s="6">
        <v>0</v>
      </c>
      <c r="X56" s="6">
        <v>0</v>
      </c>
      <c r="Y56" s="5">
        <f t="shared" si="22"/>
        <v>17</v>
      </c>
    </row>
    <row r="57" spans="1:25" x14ac:dyDescent="0.4">
      <c r="A57" s="7"/>
      <c r="B57" s="46"/>
      <c r="C57" s="24" t="s">
        <v>114</v>
      </c>
      <c r="D57" s="47"/>
      <c r="E57" s="6">
        <v>1</v>
      </c>
      <c r="F57" s="6">
        <v>3</v>
      </c>
      <c r="G57" s="6">
        <v>1</v>
      </c>
      <c r="H57" s="6">
        <v>1</v>
      </c>
      <c r="I57" s="6">
        <v>1</v>
      </c>
      <c r="J57" s="6">
        <v>0</v>
      </c>
      <c r="K57" s="6">
        <v>2</v>
      </c>
      <c r="L57" s="6">
        <v>1</v>
      </c>
      <c r="M57" s="6">
        <v>0</v>
      </c>
      <c r="N57" s="6">
        <v>0</v>
      </c>
      <c r="O57" s="6">
        <v>0</v>
      </c>
      <c r="P57" s="6">
        <v>0</v>
      </c>
      <c r="Q57" s="6">
        <v>5</v>
      </c>
      <c r="R57" s="6">
        <v>1</v>
      </c>
      <c r="S57" s="6">
        <v>2</v>
      </c>
      <c r="T57" s="6">
        <v>4</v>
      </c>
      <c r="U57" s="6">
        <v>0</v>
      </c>
      <c r="V57" s="6">
        <v>0</v>
      </c>
      <c r="W57" s="6">
        <v>1</v>
      </c>
      <c r="X57" s="6">
        <v>1</v>
      </c>
      <c r="Y57" s="5">
        <f t="shared" si="22"/>
        <v>24</v>
      </c>
    </row>
    <row r="58" spans="1:25" x14ac:dyDescent="0.4">
      <c r="A58" s="7"/>
      <c r="B58" s="46"/>
      <c r="C58" s="24" t="s">
        <v>115</v>
      </c>
      <c r="D58" s="47"/>
      <c r="E58" s="6">
        <v>1</v>
      </c>
      <c r="F58" s="6">
        <v>1</v>
      </c>
      <c r="G58" s="6">
        <v>0</v>
      </c>
      <c r="H58" s="6">
        <v>0</v>
      </c>
      <c r="I58" s="6">
        <v>0</v>
      </c>
      <c r="J58" s="6">
        <v>4</v>
      </c>
      <c r="K58" s="6">
        <v>6</v>
      </c>
      <c r="L58" s="6">
        <v>1</v>
      </c>
      <c r="M58" s="6">
        <v>2</v>
      </c>
      <c r="N58" s="6">
        <v>1</v>
      </c>
      <c r="O58" s="6">
        <v>0</v>
      </c>
      <c r="P58" s="6">
        <v>0</v>
      </c>
      <c r="Q58" s="6">
        <v>1</v>
      </c>
      <c r="R58" s="6">
        <v>0</v>
      </c>
      <c r="S58" s="6">
        <v>1</v>
      </c>
      <c r="T58" s="6">
        <v>3</v>
      </c>
      <c r="U58" s="6">
        <v>1</v>
      </c>
      <c r="V58" s="6">
        <v>1</v>
      </c>
      <c r="W58" s="6">
        <v>2</v>
      </c>
      <c r="X58" s="6">
        <v>1</v>
      </c>
      <c r="Y58" s="5">
        <f t="shared" si="22"/>
        <v>26</v>
      </c>
    </row>
    <row r="59" spans="1:25" x14ac:dyDescent="0.4">
      <c r="A59" s="7"/>
      <c r="B59" s="46"/>
      <c r="C59" s="24" t="s">
        <v>116</v>
      </c>
      <c r="D59" s="47"/>
      <c r="E59" s="6">
        <v>1</v>
      </c>
      <c r="F59" s="6">
        <v>0</v>
      </c>
      <c r="G59" s="6">
        <v>0</v>
      </c>
      <c r="H59" s="6">
        <v>0</v>
      </c>
      <c r="I59" s="6">
        <v>0</v>
      </c>
      <c r="J59" s="6">
        <v>1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1</v>
      </c>
      <c r="R59" s="6">
        <v>1</v>
      </c>
      <c r="S59" s="6">
        <v>0</v>
      </c>
      <c r="T59" s="6">
        <v>2</v>
      </c>
      <c r="U59" s="6">
        <v>1</v>
      </c>
      <c r="V59" s="6">
        <v>0</v>
      </c>
      <c r="W59" s="6">
        <v>0</v>
      </c>
      <c r="X59" s="6">
        <v>1</v>
      </c>
      <c r="Y59" s="5">
        <f t="shared" si="22"/>
        <v>8</v>
      </c>
    </row>
    <row r="60" spans="1:25" ht="13.15" customHeight="1" x14ac:dyDescent="0.4">
      <c r="A60" s="7"/>
      <c r="B60" s="46"/>
      <c r="C60" s="24" t="s">
        <v>117</v>
      </c>
      <c r="D60" s="47"/>
      <c r="E60" s="6">
        <v>2</v>
      </c>
      <c r="F60" s="6">
        <v>11</v>
      </c>
      <c r="G60" s="6">
        <v>1</v>
      </c>
      <c r="H60" s="6">
        <v>5</v>
      </c>
      <c r="I60" s="6">
        <v>4</v>
      </c>
      <c r="J60" s="6">
        <v>9</v>
      </c>
      <c r="K60" s="6">
        <v>7</v>
      </c>
      <c r="L60" s="6">
        <v>12</v>
      </c>
      <c r="M60" s="6">
        <v>13</v>
      </c>
      <c r="N60" s="6">
        <v>12</v>
      </c>
      <c r="O60" s="6">
        <v>5</v>
      </c>
      <c r="P60" s="6">
        <v>4</v>
      </c>
      <c r="Q60" s="6">
        <v>4</v>
      </c>
      <c r="R60" s="6">
        <v>12</v>
      </c>
      <c r="S60" s="6">
        <v>26</v>
      </c>
      <c r="T60" s="6">
        <v>35</v>
      </c>
      <c r="U60" s="6">
        <v>3</v>
      </c>
      <c r="V60" s="6">
        <v>12</v>
      </c>
      <c r="W60" s="6">
        <v>10</v>
      </c>
      <c r="X60" s="6">
        <v>18</v>
      </c>
      <c r="Y60" s="5">
        <f t="shared" si="22"/>
        <v>205</v>
      </c>
    </row>
    <row r="61" spans="1:25" x14ac:dyDescent="0.4">
      <c r="A61" s="6" t="s">
        <v>26</v>
      </c>
      <c r="B61" s="53" t="s">
        <v>51</v>
      </c>
      <c r="C61" s="69"/>
      <c r="D61" s="60"/>
      <c r="E61" s="5">
        <f>SUM(E54:E60)</f>
        <v>17</v>
      </c>
      <c r="F61" s="5">
        <f>SUM(F54:F60)</f>
        <v>20</v>
      </c>
      <c r="G61" s="5">
        <f>SUM(G54:G60)</f>
        <v>13</v>
      </c>
      <c r="H61" s="5">
        <f>SUM(H54:H60)</f>
        <v>13</v>
      </c>
      <c r="I61" s="5">
        <f>SUM(I54:I60)</f>
        <v>17</v>
      </c>
      <c r="J61" s="5">
        <f>SUM(J54:J60)</f>
        <v>28</v>
      </c>
      <c r="K61" s="5">
        <f>SUM(K54:K60)</f>
        <v>24</v>
      </c>
      <c r="L61" s="5">
        <f>SUM(L54:L60)</f>
        <v>23</v>
      </c>
      <c r="M61" s="5">
        <f>SUM(M54:M60)</f>
        <v>17</v>
      </c>
      <c r="N61" s="5">
        <f>SUM(N54:N60)</f>
        <v>19</v>
      </c>
      <c r="O61" s="5">
        <f>SUM(O54:O60)</f>
        <v>13</v>
      </c>
      <c r="P61" s="5">
        <f>SUM(P54:P60)</f>
        <v>5</v>
      </c>
      <c r="Q61" s="5">
        <f>SUM(Q54:Q60)</f>
        <v>20</v>
      </c>
      <c r="R61" s="5">
        <f>SUM(R54:R60)</f>
        <v>23</v>
      </c>
      <c r="S61" s="5">
        <f>SUM(S54:S60)</f>
        <v>35</v>
      </c>
      <c r="T61" s="5">
        <f>SUM(T54:T60)</f>
        <v>54</v>
      </c>
      <c r="U61" s="5">
        <f>SUM(U54:U60)</f>
        <v>14</v>
      </c>
      <c r="V61" s="5">
        <f>SUM(V54:V60)</f>
        <v>23</v>
      </c>
      <c r="W61" s="5">
        <f>SUM(W54:W60)</f>
        <v>27</v>
      </c>
      <c r="X61" s="5">
        <f>SUM(X54:X60)</f>
        <v>30</v>
      </c>
      <c r="Y61" s="5">
        <f>SUM(Y54:Y60)</f>
        <v>435</v>
      </c>
    </row>
    <row r="62" spans="1:25" x14ac:dyDescent="0.4">
      <c r="A62" s="70"/>
      <c r="B62" s="71"/>
      <c r="C62" s="71"/>
      <c r="D62" s="71"/>
      <c r="E62" s="71"/>
    </row>
    <row r="63" spans="1:25" x14ac:dyDescent="0.4">
      <c r="A63" s="11" t="s">
        <v>48</v>
      </c>
      <c r="B63" s="17" t="s">
        <v>32</v>
      </c>
      <c r="C63" s="59" t="s">
        <v>53</v>
      </c>
      <c r="D63" s="60"/>
      <c r="E63" s="6">
        <v>1</v>
      </c>
      <c r="F63" s="6">
        <v>4</v>
      </c>
      <c r="G63" s="6">
        <v>1</v>
      </c>
      <c r="H63" s="6">
        <v>1</v>
      </c>
      <c r="I63" s="6">
        <v>1</v>
      </c>
      <c r="J63" s="6">
        <v>1</v>
      </c>
      <c r="K63" s="6">
        <v>1</v>
      </c>
      <c r="L63" s="6">
        <v>3</v>
      </c>
      <c r="M63" s="6">
        <v>7</v>
      </c>
      <c r="N63" s="6">
        <v>13</v>
      </c>
      <c r="O63" s="6">
        <v>1</v>
      </c>
      <c r="P63" s="6">
        <v>2</v>
      </c>
      <c r="Q63" s="6">
        <v>6</v>
      </c>
      <c r="R63" s="6">
        <v>9</v>
      </c>
      <c r="S63" s="6">
        <v>4</v>
      </c>
      <c r="T63" s="6">
        <v>7</v>
      </c>
      <c r="U63" s="6">
        <v>10</v>
      </c>
      <c r="V63" s="6">
        <v>2</v>
      </c>
      <c r="W63" s="6">
        <v>6</v>
      </c>
      <c r="X63" s="6">
        <v>3</v>
      </c>
      <c r="Y63" s="5">
        <f t="shared" ref="Y63:Y69" si="23">SUM(E63:X63)</f>
        <v>83</v>
      </c>
    </row>
    <row r="64" spans="1:25" x14ac:dyDescent="0.4">
      <c r="A64" s="11" t="s">
        <v>50</v>
      </c>
      <c r="B64" s="46"/>
      <c r="C64" s="24" t="s">
        <v>118</v>
      </c>
      <c r="D64" s="47"/>
      <c r="E64" s="6">
        <v>0</v>
      </c>
      <c r="F64" s="6">
        <v>1</v>
      </c>
      <c r="G64" s="6">
        <v>0</v>
      </c>
      <c r="H64" s="6">
        <v>1</v>
      </c>
      <c r="I64" s="6">
        <v>0</v>
      </c>
      <c r="J64" s="6">
        <v>0</v>
      </c>
      <c r="K64" s="6">
        <v>2</v>
      </c>
      <c r="L64" s="6">
        <v>10</v>
      </c>
      <c r="M64" s="6">
        <v>36</v>
      </c>
      <c r="N64" s="6">
        <v>21</v>
      </c>
      <c r="O64" s="6">
        <v>7</v>
      </c>
      <c r="P64" s="6">
        <v>3</v>
      </c>
      <c r="Q64" s="6">
        <v>3</v>
      </c>
      <c r="R64" s="6">
        <v>0</v>
      </c>
      <c r="S64" s="6">
        <v>2</v>
      </c>
      <c r="T64" s="6">
        <v>1</v>
      </c>
      <c r="U64" s="6">
        <v>10</v>
      </c>
      <c r="V64" s="6">
        <v>2</v>
      </c>
      <c r="W64" s="6">
        <v>2</v>
      </c>
      <c r="X64" s="6">
        <v>4</v>
      </c>
      <c r="Y64" s="5">
        <f t="shared" si="23"/>
        <v>105</v>
      </c>
    </row>
    <row r="65" spans="1:25" x14ac:dyDescent="0.4">
      <c r="A65" s="7"/>
      <c r="B65" s="46"/>
      <c r="C65" s="24" t="s">
        <v>119</v>
      </c>
      <c r="D65" s="47"/>
      <c r="E65" s="6">
        <v>3</v>
      </c>
      <c r="F65" s="6">
        <v>0</v>
      </c>
      <c r="G65" s="6">
        <v>2</v>
      </c>
      <c r="H65" s="6">
        <v>4</v>
      </c>
      <c r="I65" s="6">
        <v>1</v>
      </c>
      <c r="J65" s="6">
        <v>2</v>
      </c>
      <c r="K65" s="6">
        <v>4</v>
      </c>
      <c r="L65" s="6">
        <v>3</v>
      </c>
      <c r="M65" s="6">
        <v>2</v>
      </c>
      <c r="N65" s="6">
        <v>4</v>
      </c>
      <c r="O65" s="6">
        <v>0</v>
      </c>
      <c r="P65" s="6">
        <v>0</v>
      </c>
      <c r="Q65" s="6">
        <v>6</v>
      </c>
      <c r="R65" s="6">
        <v>9</v>
      </c>
      <c r="S65" s="6">
        <v>9</v>
      </c>
      <c r="T65" s="6">
        <v>9</v>
      </c>
      <c r="U65" s="6">
        <v>34</v>
      </c>
      <c r="V65" s="6">
        <v>0</v>
      </c>
      <c r="W65" s="6">
        <v>5</v>
      </c>
      <c r="X65" s="6">
        <v>2</v>
      </c>
      <c r="Y65" s="5">
        <f t="shared" si="23"/>
        <v>99</v>
      </c>
    </row>
    <row r="66" spans="1:25" x14ac:dyDescent="0.4">
      <c r="A66" s="7"/>
      <c r="B66" s="46"/>
      <c r="C66" s="24" t="s">
        <v>120</v>
      </c>
      <c r="D66" s="47"/>
      <c r="E66" s="6">
        <v>4</v>
      </c>
      <c r="F66" s="6">
        <v>17</v>
      </c>
      <c r="G66" s="6">
        <v>2</v>
      </c>
      <c r="H66" s="6">
        <v>2</v>
      </c>
      <c r="I66" s="6">
        <v>4</v>
      </c>
      <c r="J66" s="6">
        <v>0</v>
      </c>
      <c r="K66" s="6">
        <v>0</v>
      </c>
      <c r="L66" s="6">
        <v>0</v>
      </c>
      <c r="M66" s="6">
        <v>9</v>
      </c>
      <c r="N66" s="6">
        <v>47</v>
      </c>
      <c r="O66" s="6">
        <v>5</v>
      </c>
      <c r="P66" s="6">
        <v>4</v>
      </c>
      <c r="Q66" s="6">
        <v>7</v>
      </c>
      <c r="R66" s="6">
        <v>34</v>
      </c>
      <c r="S66" s="6">
        <v>20</v>
      </c>
      <c r="T66" s="6">
        <v>4</v>
      </c>
      <c r="U66" s="6">
        <v>20</v>
      </c>
      <c r="V66" s="6">
        <v>4</v>
      </c>
      <c r="W66" s="6">
        <v>1</v>
      </c>
      <c r="X66" s="6">
        <v>3</v>
      </c>
      <c r="Y66" s="5">
        <f t="shared" si="23"/>
        <v>187</v>
      </c>
    </row>
    <row r="67" spans="1:25" x14ac:dyDescent="0.4">
      <c r="A67" s="7"/>
      <c r="B67" s="46"/>
      <c r="C67" s="24" t="s">
        <v>121</v>
      </c>
      <c r="D67" s="47"/>
      <c r="E67" s="6">
        <v>0</v>
      </c>
      <c r="F67" s="6">
        <v>0</v>
      </c>
      <c r="G67" s="6">
        <v>0</v>
      </c>
      <c r="H67" s="6">
        <v>0</v>
      </c>
      <c r="I67" s="6">
        <v>2</v>
      </c>
      <c r="J67" s="6">
        <v>0</v>
      </c>
      <c r="K67" s="6">
        <v>0</v>
      </c>
      <c r="L67" s="6">
        <v>1</v>
      </c>
      <c r="M67" s="6">
        <v>1</v>
      </c>
      <c r="N67" s="6">
        <v>0</v>
      </c>
      <c r="O67" s="6">
        <v>0</v>
      </c>
      <c r="P67" s="6">
        <v>12</v>
      </c>
      <c r="Q67" s="6">
        <v>1</v>
      </c>
      <c r="R67" s="6">
        <v>2</v>
      </c>
      <c r="S67" s="6">
        <v>0</v>
      </c>
      <c r="T67" s="6">
        <v>2</v>
      </c>
      <c r="U67" s="6">
        <v>2</v>
      </c>
      <c r="V67" s="6">
        <v>1</v>
      </c>
      <c r="W67" s="6">
        <v>1</v>
      </c>
      <c r="X67" s="6">
        <v>0</v>
      </c>
      <c r="Y67" s="5">
        <f t="shared" si="23"/>
        <v>25</v>
      </c>
    </row>
    <row r="68" spans="1:25" ht="13.15" customHeight="1" x14ac:dyDescent="0.4">
      <c r="A68" s="7"/>
      <c r="B68" s="46"/>
      <c r="C68" s="24" t="s">
        <v>122</v>
      </c>
      <c r="D68" s="47"/>
      <c r="E68" s="6">
        <v>0</v>
      </c>
      <c r="F68" s="6">
        <v>1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4</v>
      </c>
      <c r="M68" s="6">
        <v>3</v>
      </c>
      <c r="N68" s="6">
        <v>0</v>
      </c>
      <c r="O68" s="6">
        <v>0</v>
      </c>
      <c r="P68" s="6">
        <v>2</v>
      </c>
      <c r="Q68" s="6">
        <v>6</v>
      </c>
      <c r="R68" s="6">
        <v>15</v>
      </c>
      <c r="S68" s="6">
        <v>8</v>
      </c>
      <c r="T68" s="6">
        <v>2</v>
      </c>
      <c r="U68" s="6">
        <v>6</v>
      </c>
      <c r="V68" s="6">
        <v>25</v>
      </c>
      <c r="W68" s="6">
        <v>13</v>
      </c>
      <c r="X68" s="6">
        <v>18</v>
      </c>
      <c r="Y68" s="5">
        <f t="shared" si="23"/>
        <v>103</v>
      </c>
    </row>
    <row r="69" spans="1:25" x14ac:dyDescent="0.4">
      <c r="A69" s="7"/>
      <c r="B69" s="46"/>
      <c r="C69" s="24" t="s">
        <v>123</v>
      </c>
      <c r="D69" s="47"/>
      <c r="E69" s="6">
        <v>1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1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1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5">
        <f t="shared" si="23"/>
        <v>3</v>
      </c>
    </row>
    <row r="70" spans="1:25" x14ac:dyDescent="0.4">
      <c r="A70" s="6" t="s">
        <v>26</v>
      </c>
      <c r="B70" s="53" t="s">
        <v>51</v>
      </c>
      <c r="C70" s="69"/>
      <c r="D70" s="60"/>
      <c r="E70" s="5">
        <f>SUM(E63:E69)</f>
        <v>9</v>
      </c>
      <c r="F70" s="5">
        <f>SUM(F63:F69)</f>
        <v>23</v>
      </c>
      <c r="G70" s="5">
        <f>SUM(G63:G69)</f>
        <v>5</v>
      </c>
      <c r="H70" s="5">
        <f>SUM(H63:H69)</f>
        <v>8</v>
      </c>
      <c r="I70" s="5">
        <f>SUM(I63:I69)</f>
        <v>8</v>
      </c>
      <c r="J70" s="5">
        <f>SUM(J63:J69)</f>
        <v>3</v>
      </c>
      <c r="K70" s="5">
        <f>SUM(K63:K69)</f>
        <v>8</v>
      </c>
      <c r="L70" s="5">
        <f>SUM(L63:L69)</f>
        <v>21</v>
      </c>
      <c r="M70" s="5">
        <f>SUM(M63:M69)</f>
        <v>58</v>
      </c>
      <c r="N70" s="5">
        <f>SUM(N63:N69)</f>
        <v>85</v>
      </c>
      <c r="O70" s="5">
        <f>SUM(O63:O69)</f>
        <v>13</v>
      </c>
      <c r="P70" s="5">
        <f>SUM(P63:P69)</f>
        <v>23</v>
      </c>
      <c r="Q70" s="5">
        <f>SUM(Q63:Q69)</f>
        <v>30</v>
      </c>
      <c r="R70" s="5">
        <f>SUM(R63:R69)</f>
        <v>69</v>
      </c>
      <c r="S70" s="5">
        <f>SUM(S63:S69)</f>
        <v>43</v>
      </c>
      <c r="T70" s="5">
        <f>SUM(T63:T69)</f>
        <v>25</v>
      </c>
      <c r="U70" s="5">
        <f>SUM(U63:U69)</f>
        <v>82</v>
      </c>
      <c r="V70" s="5">
        <f>SUM(V63:V69)</f>
        <v>34</v>
      </c>
      <c r="W70" s="5">
        <f>SUM(W63:W69)</f>
        <v>28</v>
      </c>
      <c r="X70" s="5">
        <f>SUM(X63:X69)</f>
        <v>30</v>
      </c>
      <c r="Y70" s="5">
        <f>SUM(Y63:Y69)</f>
        <v>605</v>
      </c>
    </row>
    <row r="71" spans="1:25" x14ac:dyDescent="0.4">
      <c r="A71" s="70"/>
      <c r="B71" s="71"/>
      <c r="C71" s="71"/>
      <c r="D71" s="71"/>
      <c r="E71" s="71"/>
    </row>
    <row r="72" spans="1:25" x14ac:dyDescent="0.4">
      <c r="A72" s="11" t="s">
        <v>48</v>
      </c>
      <c r="B72" s="17" t="s">
        <v>34</v>
      </c>
      <c r="C72" s="59" t="s">
        <v>54</v>
      </c>
      <c r="D72" s="60"/>
      <c r="E72" s="6">
        <v>2</v>
      </c>
      <c r="F72" s="6">
        <v>1</v>
      </c>
      <c r="G72" s="6">
        <v>1</v>
      </c>
      <c r="H72" s="6">
        <v>1</v>
      </c>
      <c r="I72" s="6">
        <v>8</v>
      </c>
      <c r="J72" s="6">
        <v>2</v>
      </c>
      <c r="K72" s="6">
        <v>2</v>
      </c>
      <c r="L72" s="6">
        <v>2</v>
      </c>
      <c r="M72" s="6">
        <v>1</v>
      </c>
      <c r="N72" s="6">
        <v>2</v>
      </c>
      <c r="O72" s="6">
        <v>2</v>
      </c>
      <c r="P72" s="6">
        <v>1</v>
      </c>
      <c r="Q72" s="6">
        <v>2</v>
      </c>
      <c r="R72" s="6">
        <v>1</v>
      </c>
      <c r="S72" s="6">
        <v>0</v>
      </c>
      <c r="T72" s="6">
        <v>4</v>
      </c>
      <c r="U72" s="6">
        <v>2</v>
      </c>
      <c r="V72" s="6">
        <v>2</v>
      </c>
      <c r="W72" s="6">
        <v>5</v>
      </c>
      <c r="X72" s="6">
        <v>1</v>
      </c>
      <c r="Y72" s="5">
        <f t="shared" ref="Y72:Y78" si="24">SUM(E72:X72)</f>
        <v>42</v>
      </c>
    </row>
    <row r="73" spans="1:25" x14ac:dyDescent="0.4">
      <c r="A73" s="11" t="s">
        <v>50</v>
      </c>
      <c r="B73" s="46"/>
      <c r="C73" s="24" t="s">
        <v>124</v>
      </c>
      <c r="D73" s="47"/>
      <c r="E73" s="6">
        <v>3</v>
      </c>
      <c r="F73" s="6">
        <v>4</v>
      </c>
      <c r="G73" s="6">
        <v>7</v>
      </c>
      <c r="H73" s="6">
        <v>8</v>
      </c>
      <c r="I73" s="6">
        <v>23</v>
      </c>
      <c r="J73" s="6">
        <v>3</v>
      </c>
      <c r="K73" s="6">
        <v>5</v>
      </c>
      <c r="L73" s="6">
        <v>7</v>
      </c>
      <c r="M73" s="6">
        <v>0</v>
      </c>
      <c r="N73" s="6">
        <v>5</v>
      </c>
      <c r="O73" s="6">
        <v>0</v>
      </c>
      <c r="P73" s="6">
        <v>1</v>
      </c>
      <c r="Q73" s="6">
        <v>2</v>
      </c>
      <c r="R73" s="6">
        <v>6</v>
      </c>
      <c r="S73" s="6">
        <v>9</v>
      </c>
      <c r="T73" s="6">
        <v>8</v>
      </c>
      <c r="U73" s="6">
        <v>3</v>
      </c>
      <c r="V73" s="6">
        <v>0</v>
      </c>
      <c r="W73" s="6">
        <v>6</v>
      </c>
      <c r="X73" s="6">
        <v>0</v>
      </c>
      <c r="Y73" s="5">
        <f t="shared" si="24"/>
        <v>100</v>
      </c>
    </row>
    <row r="74" spans="1:25" x14ac:dyDescent="0.4">
      <c r="A74" s="7"/>
      <c r="B74" s="46"/>
      <c r="C74" s="24" t="s">
        <v>125</v>
      </c>
      <c r="D74" s="47"/>
      <c r="E74" s="6">
        <v>0</v>
      </c>
      <c r="F74" s="6">
        <v>0</v>
      </c>
      <c r="G74" s="6">
        <v>0</v>
      </c>
      <c r="H74" s="6">
        <v>1</v>
      </c>
      <c r="I74" s="6">
        <v>0</v>
      </c>
      <c r="J74" s="6">
        <v>0</v>
      </c>
      <c r="K74" s="6">
        <v>1</v>
      </c>
      <c r="L74" s="6">
        <v>0</v>
      </c>
      <c r="M74" s="6">
        <v>1</v>
      </c>
      <c r="N74" s="6">
        <v>0</v>
      </c>
      <c r="O74" s="6">
        <v>2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5">
        <f t="shared" si="24"/>
        <v>5</v>
      </c>
    </row>
    <row r="75" spans="1:25" x14ac:dyDescent="0.4">
      <c r="A75" s="7"/>
      <c r="B75" s="46"/>
      <c r="C75" s="24" t="s">
        <v>126</v>
      </c>
      <c r="D75" s="47"/>
      <c r="E75" s="6">
        <v>0</v>
      </c>
      <c r="F75" s="6">
        <v>0</v>
      </c>
      <c r="G75" s="6">
        <v>2</v>
      </c>
      <c r="H75" s="6">
        <v>1</v>
      </c>
      <c r="I75" s="6">
        <v>0</v>
      </c>
      <c r="J75" s="6">
        <v>0</v>
      </c>
      <c r="K75" s="6">
        <v>1</v>
      </c>
      <c r="L75" s="6">
        <v>0</v>
      </c>
      <c r="M75" s="6">
        <v>1</v>
      </c>
      <c r="N75" s="6">
        <v>0</v>
      </c>
      <c r="O75" s="6">
        <v>1</v>
      </c>
      <c r="P75" s="6">
        <v>0</v>
      </c>
      <c r="Q75" s="6">
        <v>0</v>
      </c>
      <c r="R75" s="6">
        <v>0</v>
      </c>
      <c r="S75" s="6">
        <v>1</v>
      </c>
      <c r="T75" s="6">
        <v>0</v>
      </c>
      <c r="U75" s="6">
        <v>0</v>
      </c>
      <c r="V75" s="6">
        <v>1</v>
      </c>
      <c r="W75" s="6">
        <v>0</v>
      </c>
      <c r="X75" s="6">
        <v>0</v>
      </c>
      <c r="Y75" s="5">
        <f t="shared" si="24"/>
        <v>8</v>
      </c>
    </row>
    <row r="76" spans="1:25" ht="13.15" customHeight="1" x14ac:dyDescent="0.4">
      <c r="A76" s="7"/>
      <c r="B76" s="46"/>
      <c r="C76" s="24" t="s">
        <v>127</v>
      </c>
      <c r="D76" s="47"/>
      <c r="E76" s="6">
        <v>1</v>
      </c>
      <c r="F76" s="6">
        <v>1</v>
      </c>
      <c r="G76" s="6">
        <v>0</v>
      </c>
      <c r="H76" s="6">
        <v>0</v>
      </c>
      <c r="I76" s="6">
        <v>0</v>
      </c>
      <c r="J76" s="6">
        <v>0</v>
      </c>
      <c r="K76" s="6">
        <v>1</v>
      </c>
      <c r="L76" s="6">
        <v>0</v>
      </c>
      <c r="M76" s="6">
        <v>0</v>
      </c>
      <c r="N76" s="6">
        <v>0</v>
      </c>
      <c r="O76" s="6">
        <v>1</v>
      </c>
      <c r="P76" s="6">
        <v>0</v>
      </c>
      <c r="Q76" s="6">
        <v>2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2</v>
      </c>
      <c r="X76" s="6">
        <v>0</v>
      </c>
      <c r="Y76" s="5">
        <f t="shared" si="24"/>
        <v>8</v>
      </c>
    </row>
    <row r="77" spans="1:25" x14ac:dyDescent="0.4">
      <c r="A77" s="7"/>
      <c r="B77" s="46"/>
      <c r="C77" s="24" t="s">
        <v>128</v>
      </c>
      <c r="D77" s="47"/>
      <c r="E77" s="6">
        <v>2</v>
      </c>
      <c r="F77" s="6">
        <v>1</v>
      </c>
      <c r="G77" s="6">
        <v>3</v>
      </c>
      <c r="H77" s="6">
        <v>0</v>
      </c>
      <c r="I77" s="6">
        <v>0</v>
      </c>
      <c r="J77" s="6">
        <v>0</v>
      </c>
      <c r="K77" s="6">
        <v>1</v>
      </c>
      <c r="L77" s="6">
        <v>2</v>
      </c>
      <c r="M77" s="6">
        <v>0</v>
      </c>
      <c r="N77" s="6">
        <v>0</v>
      </c>
      <c r="O77" s="6">
        <v>0</v>
      </c>
      <c r="P77" s="6">
        <v>2</v>
      </c>
      <c r="Q77" s="6">
        <v>0</v>
      </c>
      <c r="R77" s="6">
        <v>0</v>
      </c>
      <c r="S77" s="6">
        <v>0</v>
      </c>
      <c r="T77" s="6">
        <v>0</v>
      </c>
      <c r="U77" s="6">
        <v>1</v>
      </c>
      <c r="V77" s="6">
        <v>0</v>
      </c>
      <c r="W77" s="6">
        <v>0</v>
      </c>
      <c r="X77" s="6">
        <v>1</v>
      </c>
      <c r="Y77" s="5">
        <f t="shared" si="24"/>
        <v>13</v>
      </c>
    </row>
    <row r="78" spans="1:25" x14ac:dyDescent="0.4">
      <c r="A78" s="7"/>
      <c r="B78" s="46"/>
      <c r="C78" s="24" t="s">
        <v>129</v>
      </c>
      <c r="D78" s="47"/>
      <c r="E78" s="6">
        <v>8</v>
      </c>
      <c r="F78" s="6">
        <v>0</v>
      </c>
      <c r="G78" s="6">
        <v>8</v>
      </c>
      <c r="H78" s="6">
        <v>8</v>
      </c>
      <c r="I78" s="6">
        <v>3</v>
      </c>
      <c r="J78" s="6">
        <v>12</v>
      </c>
      <c r="K78" s="6">
        <v>5</v>
      </c>
      <c r="L78" s="6">
        <v>10</v>
      </c>
      <c r="M78" s="6">
        <v>38</v>
      </c>
      <c r="N78" s="6">
        <v>20</v>
      </c>
      <c r="O78" s="6">
        <v>22</v>
      </c>
      <c r="P78" s="6">
        <v>40</v>
      </c>
      <c r="Q78" s="6">
        <v>3</v>
      </c>
      <c r="R78" s="6">
        <v>1</v>
      </c>
      <c r="S78" s="6">
        <v>3</v>
      </c>
      <c r="T78" s="6">
        <v>4</v>
      </c>
      <c r="U78" s="6">
        <v>3</v>
      </c>
      <c r="V78" s="6">
        <v>2</v>
      </c>
      <c r="W78" s="6">
        <v>8</v>
      </c>
      <c r="X78" s="6">
        <v>3</v>
      </c>
      <c r="Y78" s="5">
        <f t="shared" si="24"/>
        <v>201</v>
      </c>
    </row>
    <row r="79" spans="1:25" x14ac:dyDescent="0.4">
      <c r="A79" s="6" t="s">
        <v>26</v>
      </c>
      <c r="B79" s="53" t="s">
        <v>51</v>
      </c>
      <c r="C79" s="69"/>
      <c r="D79" s="60"/>
      <c r="E79" s="5">
        <f>SUM(E72:E78)</f>
        <v>16</v>
      </c>
      <c r="F79" s="5">
        <f>SUM(F72:F78)</f>
        <v>7</v>
      </c>
      <c r="G79" s="5">
        <f>SUM(G72:G78)</f>
        <v>21</v>
      </c>
      <c r="H79" s="5">
        <f>SUM(H72:H78)</f>
        <v>19</v>
      </c>
      <c r="I79" s="5">
        <f>SUM(I72:I78)</f>
        <v>34</v>
      </c>
      <c r="J79" s="5">
        <f>SUM(J72:J78)</f>
        <v>17</v>
      </c>
      <c r="K79" s="5">
        <f>SUM(K72:K78)</f>
        <v>16</v>
      </c>
      <c r="L79" s="5">
        <f>SUM(L72:L78)</f>
        <v>21</v>
      </c>
      <c r="M79" s="5">
        <f>SUM(M72:M78)</f>
        <v>41</v>
      </c>
      <c r="N79" s="5">
        <f>SUM(N72:N78)</f>
        <v>27</v>
      </c>
      <c r="O79" s="5">
        <f>SUM(O72:O78)</f>
        <v>28</v>
      </c>
      <c r="P79" s="5">
        <f>SUM(P72:P78)</f>
        <v>44</v>
      </c>
      <c r="Q79" s="5">
        <f>SUM(Q72:Q78)</f>
        <v>9</v>
      </c>
      <c r="R79" s="5">
        <f>SUM(R72:R78)</f>
        <v>8</v>
      </c>
      <c r="S79" s="5">
        <f>SUM(S72:S78)</f>
        <v>13</v>
      </c>
      <c r="T79" s="5">
        <f>SUM(T72:T78)</f>
        <v>16</v>
      </c>
      <c r="U79" s="5">
        <f>SUM(U72:U78)</f>
        <v>9</v>
      </c>
      <c r="V79" s="5">
        <f>SUM(V72:V78)</f>
        <v>5</v>
      </c>
      <c r="W79" s="5">
        <f>SUM(W72:W78)</f>
        <v>21</v>
      </c>
      <c r="X79" s="5">
        <f>SUM(X72:X78)</f>
        <v>5</v>
      </c>
      <c r="Y79" s="5">
        <f>SUM(Y72:Y78)</f>
        <v>377</v>
      </c>
    </row>
    <row r="80" spans="1:25" x14ac:dyDescent="0.4">
      <c r="A80" s="70"/>
      <c r="B80" s="71"/>
      <c r="C80" s="71"/>
      <c r="D80" s="71"/>
      <c r="E80" s="71"/>
    </row>
    <row r="81" spans="1:25" x14ac:dyDescent="0.4">
      <c r="A81" s="11" t="s">
        <v>48</v>
      </c>
      <c r="B81" s="17" t="s">
        <v>55</v>
      </c>
      <c r="C81" s="59" t="s">
        <v>56</v>
      </c>
      <c r="D81" s="60"/>
      <c r="E81" s="6">
        <v>2</v>
      </c>
      <c r="F81" s="6">
        <v>4</v>
      </c>
      <c r="G81" s="6">
        <v>3</v>
      </c>
      <c r="H81" s="6">
        <v>1</v>
      </c>
      <c r="I81" s="6">
        <v>4</v>
      </c>
      <c r="J81" s="6">
        <v>2</v>
      </c>
      <c r="K81" s="6">
        <v>2</v>
      </c>
      <c r="L81" s="6">
        <v>4</v>
      </c>
      <c r="M81" s="6">
        <v>0</v>
      </c>
      <c r="N81" s="6">
        <v>1</v>
      </c>
      <c r="O81" s="6">
        <v>1</v>
      </c>
      <c r="P81" s="6">
        <v>1</v>
      </c>
      <c r="Q81" s="6">
        <v>1</v>
      </c>
      <c r="R81" s="6">
        <v>0</v>
      </c>
      <c r="S81" s="6">
        <v>1</v>
      </c>
      <c r="T81" s="6">
        <v>4</v>
      </c>
      <c r="U81" s="6">
        <v>1</v>
      </c>
      <c r="V81" s="6">
        <v>2</v>
      </c>
      <c r="W81" s="6">
        <v>2</v>
      </c>
      <c r="X81" s="6">
        <v>1</v>
      </c>
      <c r="Y81" s="5">
        <f t="shared" ref="Y81:Y87" si="25">SUM(E81:X81)</f>
        <v>37</v>
      </c>
    </row>
    <row r="82" spans="1:25" x14ac:dyDescent="0.4">
      <c r="A82" s="11" t="s">
        <v>50</v>
      </c>
      <c r="B82" s="46"/>
      <c r="C82" s="24" t="s">
        <v>130</v>
      </c>
      <c r="D82" s="47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1</v>
      </c>
      <c r="K82" s="6">
        <v>0</v>
      </c>
      <c r="L82" s="6">
        <v>1</v>
      </c>
      <c r="M82" s="6">
        <v>0</v>
      </c>
      <c r="N82" s="6">
        <v>0</v>
      </c>
      <c r="O82" s="6">
        <v>0</v>
      </c>
      <c r="P82" s="6">
        <v>1</v>
      </c>
      <c r="Q82" s="6">
        <v>1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2</v>
      </c>
      <c r="X82" s="6">
        <v>0</v>
      </c>
      <c r="Y82" s="5">
        <f t="shared" si="25"/>
        <v>6</v>
      </c>
    </row>
    <row r="83" spans="1:25" x14ac:dyDescent="0.4">
      <c r="A83" s="7"/>
      <c r="B83" s="46"/>
      <c r="C83" s="24" t="s">
        <v>131</v>
      </c>
      <c r="D83" s="47"/>
      <c r="E83" s="6">
        <v>14</v>
      </c>
      <c r="F83" s="6">
        <v>22</v>
      </c>
      <c r="G83" s="6">
        <v>28</v>
      </c>
      <c r="H83" s="6">
        <v>0</v>
      </c>
      <c r="I83" s="6">
        <v>0</v>
      </c>
      <c r="J83" s="6">
        <v>1</v>
      </c>
      <c r="K83" s="6">
        <v>5</v>
      </c>
      <c r="L83" s="6">
        <v>0</v>
      </c>
      <c r="M83" s="6">
        <v>0</v>
      </c>
      <c r="N83" s="6">
        <v>1</v>
      </c>
      <c r="O83" s="6">
        <v>0</v>
      </c>
      <c r="P83" s="6">
        <v>0</v>
      </c>
      <c r="Q83" s="6">
        <v>7</v>
      </c>
      <c r="R83" s="6">
        <v>2</v>
      </c>
      <c r="S83" s="6">
        <v>1</v>
      </c>
      <c r="T83" s="6">
        <v>7</v>
      </c>
      <c r="U83" s="6">
        <v>0</v>
      </c>
      <c r="V83" s="6">
        <v>0</v>
      </c>
      <c r="W83" s="6">
        <v>0</v>
      </c>
      <c r="X83" s="6">
        <v>0</v>
      </c>
      <c r="Y83" s="5">
        <f t="shared" si="25"/>
        <v>88</v>
      </c>
    </row>
    <row r="84" spans="1:25" ht="13.15" customHeight="1" x14ac:dyDescent="0.4">
      <c r="A84" s="7"/>
      <c r="B84" s="46"/>
      <c r="C84" s="24" t="s">
        <v>132</v>
      </c>
      <c r="D84" s="47"/>
      <c r="E84" s="6">
        <v>3</v>
      </c>
      <c r="F84" s="6">
        <v>4</v>
      </c>
      <c r="G84" s="6">
        <v>3</v>
      </c>
      <c r="H84" s="6">
        <v>0</v>
      </c>
      <c r="I84" s="6">
        <v>0</v>
      </c>
      <c r="J84" s="6">
        <v>0</v>
      </c>
      <c r="K84" s="6">
        <v>0</v>
      </c>
      <c r="L84" s="6">
        <v>1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5">
        <f t="shared" si="25"/>
        <v>11</v>
      </c>
    </row>
    <row r="85" spans="1:25" x14ac:dyDescent="0.4">
      <c r="A85" s="7"/>
      <c r="B85" s="46"/>
      <c r="C85" s="24" t="s">
        <v>133</v>
      </c>
      <c r="D85" s="47"/>
      <c r="E85" s="6">
        <v>0</v>
      </c>
      <c r="F85" s="6">
        <v>1</v>
      </c>
      <c r="G85" s="6">
        <v>1</v>
      </c>
      <c r="H85" s="6">
        <v>0</v>
      </c>
      <c r="I85" s="6">
        <v>1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1</v>
      </c>
      <c r="X85" s="6">
        <v>0</v>
      </c>
      <c r="Y85" s="5">
        <f t="shared" si="25"/>
        <v>4</v>
      </c>
    </row>
    <row r="86" spans="1:25" x14ac:dyDescent="0.4">
      <c r="A86" s="7"/>
      <c r="B86" s="46"/>
      <c r="C86" s="24" t="s">
        <v>134</v>
      </c>
      <c r="D86" s="47"/>
      <c r="E86" s="6">
        <v>1</v>
      </c>
      <c r="F86" s="6">
        <v>0</v>
      </c>
      <c r="G86" s="6">
        <v>3</v>
      </c>
      <c r="H86" s="6">
        <v>5</v>
      </c>
      <c r="I86" s="6">
        <v>8</v>
      </c>
      <c r="J86" s="6">
        <v>4</v>
      </c>
      <c r="K86" s="6">
        <v>0</v>
      </c>
      <c r="L86" s="6">
        <v>5</v>
      </c>
      <c r="M86" s="6">
        <v>2</v>
      </c>
      <c r="N86" s="6">
        <v>0</v>
      </c>
      <c r="O86" s="6">
        <v>3</v>
      </c>
      <c r="P86" s="6">
        <v>0</v>
      </c>
      <c r="Q86" s="6">
        <v>2</v>
      </c>
      <c r="R86" s="6">
        <v>8</v>
      </c>
      <c r="S86" s="6">
        <v>7</v>
      </c>
      <c r="T86" s="6">
        <v>40</v>
      </c>
      <c r="U86" s="6">
        <v>1</v>
      </c>
      <c r="V86" s="6">
        <v>0</v>
      </c>
      <c r="W86" s="6">
        <v>0</v>
      </c>
      <c r="X86" s="6">
        <v>2</v>
      </c>
      <c r="Y86" s="5">
        <f t="shared" si="25"/>
        <v>91</v>
      </c>
    </row>
    <row r="87" spans="1:25" x14ac:dyDescent="0.4">
      <c r="A87" s="7"/>
      <c r="B87" s="46"/>
      <c r="C87" s="24" t="s">
        <v>135</v>
      </c>
      <c r="D87" s="47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1</v>
      </c>
      <c r="W87" s="6">
        <v>0</v>
      </c>
      <c r="X87" s="6">
        <v>0</v>
      </c>
      <c r="Y87" s="5">
        <f t="shared" si="25"/>
        <v>2</v>
      </c>
    </row>
    <row r="88" spans="1:25" x14ac:dyDescent="0.4">
      <c r="A88" s="6" t="s">
        <v>26</v>
      </c>
      <c r="B88" s="53" t="s">
        <v>51</v>
      </c>
      <c r="C88" s="69"/>
      <c r="D88" s="60"/>
      <c r="E88" s="5">
        <f>SUM(E81:E87)</f>
        <v>20</v>
      </c>
      <c r="F88" s="5">
        <f>SUM(F81:F87)</f>
        <v>31</v>
      </c>
      <c r="G88" s="5">
        <f>SUM(G81:G87)</f>
        <v>38</v>
      </c>
      <c r="H88" s="5">
        <f>SUM(H81:H87)</f>
        <v>6</v>
      </c>
      <c r="I88" s="5">
        <f>SUM(I81:I87)</f>
        <v>13</v>
      </c>
      <c r="J88" s="5">
        <f>SUM(J81:J87)</f>
        <v>8</v>
      </c>
      <c r="K88" s="5">
        <f>SUM(K81:K87)</f>
        <v>7</v>
      </c>
      <c r="L88" s="5">
        <f>SUM(L81:L87)</f>
        <v>11</v>
      </c>
      <c r="M88" s="5">
        <f>SUM(M81:M87)</f>
        <v>2</v>
      </c>
      <c r="N88" s="5">
        <f>SUM(N81:N87)</f>
        <v>3</v>
      </c>
      <c r="O88" s="5">
        <f>SUM(O81:O87)</f>
        <v>4</v>
      </c>
      <c r="P88" s="5">
        <f>SUM(P81:P87)</f>
        <v>2</v>
      </c>
      <c r="Q88" s="5">
        <f>SUM(Q81:Q87)</f>
        <v>11</v>
      </c>
      <c r="R88" s="5">
        <f>SUM(R81:R87)</f>
        <v>10</v>
      </c>
      <c r="S88" s="5">
        <f>SUM(S81:S87)</f>
        <v>9</v>
      </c>
      <c r="T88" s="5">
        <f>SUM(T81:T87)</f>
        <v>51</v>
      </c>
      <c r="U88" s="5">
        <f>SUM(U81:U87)</f>
        <v>2</v>
      </c>
      <c r="V88" s="5">
        <f>SUM(V81:V87)</f>
        <v>3</v>
      </c>
      <c r="W88" s="5">
        <f>SUM(W81:W87)</f>
        <v>5</v>
      </c>
      <c r="X88" s="5">
        <f>SUM(X81:X87)</f>
        <v>3</v>
      </c>
      <c r="Y88" s="5">
        <f>SUM(Y81:Y87)</f>
        <v>239</v>
      </c>
    </row>
    <row r="89" spans="1:25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x14ac:dyDescent="0.4">
      <c r="A90" s="11" t="s">
        <v>48</v>
      </c>
      <c r="B90" s="17" t="s">
        <v>57</v>
      </c>
      <c r="C90" s="59" t="s">
        <v>58</v>
      </c>
      <c r="D90" s="60"/>
      <c r="E90" s="6">
        <v>0</v>
      </c>
      <c r="F90" s="6">
        <v>0</v>
      </c>
      <c r="G90" s="6">
        <v>1</v>
      </c>
      <c r="H90" s="6">
        <v>1</v>
      </c>
      <c r="I90" s="6">
        <v>1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1</v>
      </c>
      <c r="P90" s="6">
        <v>0</v>
      </c>
      <c r="Q90" s="6">
        <v>1</v>
      </c>
      <c r="R90" s="6">
        <v>0</v>
      </c>
      <c r="S90" s="6">
        <v>0</v>
      </c>
      <c r="T90" s="6">
        <v>1</v>
      </c>
      <c r="U90" s="6">
        <v>0</v>
      </c>
      <c r="V90" s="6">
        <v>1</v>
      </c>
      <c r="W90" s="6">
        <v>1</v>
      </c>
      <c r="X90" s="6">
        <v>0</v>
      </c>
      <c r="Y90" s="5">
        <f t="shared" ref="Y90:Y91" si="26">SUM(E90:X90)</f>
        <v>8</v>
      </c>
    </row>
    <row r="91" spans="1:25" x14ac:dyDescent="0.4">
      <c r="A91" s="11" t="s">
        <v>50</v>
      </c>
      <c r="B91" s="46"/>
      <c r="C91" s="72" t="s">
        <v>136</v>
      </c>
      <c r="D91" s="60"/>
      <c r="E91" s="6">
        <v>0</v>
      </c>
      <c r="F91" s="6">
        <v>0</v>
      </c>
      <c r="G91" s="6">
        <v>0</v>
      </c>
      <c r="H91" s="6">
        <v>2</v>
      </c>
      <c r="I91" s="6">
        <v>0</v>
      </c>
      <c r="J91" s="6">
        <v>0</v>
      </c>
      <c r="K91" s="6">
        <v>1</v>
      </c>
      <c r="L91" s="6">
        <v>1</v>
      </c>
      <c r="M91" s="6">
        <v>0</v>
      </c>
      <c r="N91" s="6">
        <v>0</v>
      </c>
      <c r="O91" s="6">
        <v>0</v>
      </c>
      <c r="P91" s="6">
        <v>0</v>
      </c>
      <c r="Q91" s="6">
        <v>5</v>
      </c>
      <c r="R91" s="6">
        <v>0</v>
      </c>
      <c r="S91" s="6">
        <v>1</v>
      </c>
      <c r="T91" s="6">
        <v>0</v>
      </c>
      <c r="U91" s="6">
        <v>3</v>
      </c>
      <c r="V91" s="6">
        <v>0</v>
      </c>
      <c r="W91" s="6">
        <v>0</v>
      </c>
      <c r="X91" s="6">
        <v>1</v>
      </c>
      <c r="Y91" s="5">
        <f t="shared" si="26"/>
        <v>14</v>
      </c>
    </row>
    <row r="92" spans="1:25" ht="13.15" customHeight="1" x14ac:dyDescent="0.4">
      <c r="A92" s="6" t="s">
        <v>26</v>
      </c>
      <c r="B92" s="53" t="s">
        <v>51</v>
      </c>
      <c r="C92" s="54"/>
      <c r="D92" s="55"/>
      <c r="E92" s="5">
        <f>SUM(E90:E91)</f>
        <v>0</v>
      </c>
      <c r="F92" s="5">
        <f>SUM(F90:F91)</f>
        <v>0</v>
      </c>
      <c r="G92" s="5">
        <f>SUM(G90:G91)</f>
        <v>1</v>
      </c>
      <c r="H92" s="5">
        <f>SUM(H90:H91)</f>
        <v>3</v>
      </c>
      <c r="I92" s="5">
        <f>SUM(I90:I91)</f>
        <v>1</v>
      </c>
      <c r="J92" s="5">
        <f>SUM(J90:J91)</f>
        <v>0</v>
      </c>
      <c r="K92" s="5">
        <f>SUM(K90:K91)</f>
        <v>1</v>
      </c>
      <c r="L92" s="5">
        <f>SUM(L90:L91)</f>
        <v>1</v>
      </c>
      <c r="M92" s="5">
        <f>SUM(M90:M91)</f>
        <v>0</v>
      </c>
      <c r="N92" s="5">
        <f>SUM(N90:N91)</f>
        <v>0</v>
      </c>
      <c r="O92" s="5">
        <f>SUM(O90:O91)</f>
        <v>1</v>
      </c>
      <c r="P92" s="5">
        <f>SUM(P90:P91)</f>
        <v>0</v>
      </c>
      <c r="Q92" s="5">
        <f>SUM(Q90:Q91)</f>
        <v>6</v>
      </c>
      <c r="R92" s="5">
        <f>SUM(R90:R91)</f>
        <v>0</v>
      </c>
      <c r="S92" s="5">
        <f>SUM(S90:S91)</f>
        <v>1</v>
      </c>
      <c r="T92" s="5">
        <f>SUM(T90:T91)</f>
        <v>1</v>
      </c>
      <c r="U92" s="5">
        <f>SUM(U90:U91)</f>
        <v>3</v>
      </c>
      <c r="V92" s="5">
        <f>SUM(V90:V91)</f>
        <v>1</v>
      </c>
      <c r="W92" s="5">
        <f>SUM(W90:W91)</f>
        <v>1</v>
      </c>
      <c r="X92" s="5">
        <f>SUM(X90:X91)</f>
        <v>1</v>
      </c>
      <c r="Y92" s="5">
        <f>SUM(Y90:Y91)</f>
        <v>22</v>
      </c>
    </row>
    <row r="93" spans="1:25" x14ac:dyDescent="0.4">
      <c r="A93" s="61"/>
      <c r="B93" s="62"/>
      <c r="C93" s="62"/>
      <c r="D93" s="62"/>
      <c r="E93" s="63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5"/>
    </row>
    <row r="94" spans="1:25" x14ac:dyDescent="0.4">
      <c r="A94" s="11" t="s">
        <v>48</v>
      </c>
      <c r="B94" s="17" t="s">
        <v>59</v>
      </c>
      <c r="C94" s="59" t="s">
        <v>60</v>
      </c>
      <c r="D94" s="60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1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1</v>
      </c>
      <c r="X94" s="6">
        <v>0</v>
      </c>
      <c r="Y94" s="5">
        <f t="shared" ref="Y94:Y100" si="27">SUM(E94:X94)</f>
        <v>2</v>
      </c>
    </row>
    <row r="95" spans="1:25" x14ac:dyDescent="0.4">
      <c r="A95" s="11" t="s">
        <v>50</v>
      </c>
      <c r="B95" s="46"/>
      <c r="C95" s="24" t="s">
        <v>137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1</v>
      </c>
      <c r="K95" s="6">
        <v>0</v>
      </c>
      <c r="L95" s="6">
        <v>0</v>
      </c>
      <c r="M95" s="6">
        <v>0</v>
      </c>
      <c r="N95" s="6">
        <v>1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5">
        <f t="shared" si="27"/>
        <v>2</v>
      </c>
    </row>
    <row r="96" spans="1:25" x14ac:dyDescent="0.4">
      <c r="A96" s="7"/>
      <c r="B96" s="46"/>
      <c r="C96" s="24" t="s">
        <v>138</v>
      </c>
      <c r="D96" s="47"/>
      <c r="E96" s="6">
        <v>0</v>
      </c>
      <c r="F96" s="6">
        <v>0</v>
      </c>
      <c r="G96" s="6">
        <v>0</v>
      </c>
      <c r="H96" s="6">
        <v>1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1</v>
      </c>
      <c r="P96" s="6">
        <v>0</v>
      </c>
      <c r="Q96" s="6">
        <v>0</v>
      </c>
      <c r="R96" s="6">
        <v>0</v>
      </c>
      <c r="S96" s="6">
        <v>0</v>
      </c>
      <c r="T96" s="6">
        <v>1</v>
      </c>
      <c r="U96" s="6">
        <v>0</v>
      </c>
      <c r="V96" s="6">
        <v>0</v>
      </c>
      <c r="W96" s="6">
        <v>0</v>
      </c>
      <c r="X96" s="6">
        <v>0</v>
      </c>
      <c r="Y96" s="5">
        <f t="shared" si="27"/>
        <v>3</v>
      </c>
    </row>
    <row r="97" spans="1:25" x14ac:dyDescent="0.4">
      <c r="A97" s="7"/>
      <c r="B97" s="46"/>
      <c r="C97" s="24" t="s">
        <v>139</v>
      </c>
      <c r="D97" s="47"/>
      <c r="E97" s="6">
        <v>0</v>
      </c>
      <c r="F97" s="6">
        <v>1</v>
      </c>
      <c r="G97" s="6">
        <v>0</v>
      </c>
      <c r="H97" s="6">
        <v>0</v>
      </c>
      <c r="I97" s="6">
        <v>0</v>
      </c>
      <c r="J97" s="6">
        <v>0</v>
      </c>
      <c r="K97" s="6">
        <v>2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1</v>
      </c>
      <c r="U97" s="6">
        <v>0</v>
      </c>
      <c r="V97" s="6">
        <v>0</v>
      </c>
      <c r="W97" s="6">
        <v>0</v>
      </c>
      <c r="X97" s="6">
        <v>0</v>
      </c>
      <c r="Y97" s="5">
        <f t="shared" si="27"/>
        <v>4</v>
      </c>
    </row>
    <row r="98" spans="1:25" x14ac:dyDescent="0.4">
      <c r="A98" s="7"/>
      <c r="B98" s="46"/>
      <c r="C98" s="24" t="s">
        <v>140</v>
      </c>
      <c r="D98" s="47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1</v>
      </c>
      <c r="R98" s="6">
        <v>0</v>
      </c>
      <c r="S98" s="6">
        <v>0</v>
      </c>
      <c r="T98" s="6">
        <v>0</v>
      </c>
      <c r="U98" s="6">
        <v>0</v>
      </c>
      <c r="V98" s="6">
        <v>1</v>
      </c>
      <c r="W98" s="6">
        <v>0</v>
      </c>
      <c r="X98" s="6">
        <v>0</v>
      </c>
      <c r="Y98" s="5">
        <f t="shared" si="27"/>
        <v>2</v>
      </c>
    </row>
    <row r="99" spans="1:25" x14ac:dyDescent="0.4">
      <c r="A99" s="7"/>
      <c r="B99" s="46"/>
      <c r="C99" s="24" t="s">
        <v>141</v>
      </c>
      <c r="D99" s="47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5">
        <f t="shared" si="27"/>
        <v>0</v>
      </c>
    </row>
    <row r="100" spans="1:25" x14ac:dyDescent="0.4">
      <c r="A100" s="7"/>
      <c r="B100" s="46"/>
      <c r="C100" s="24" t="s">
        <v>142</v>
      </c>
      <c r="D100" s="47"/>
      <c r="E100" s="50">
        <v>0</v>
      </c>
      <c r="F100" s="29">
        <v>0</v>
      </c>
      <c r="G100" s="29">
        <v>0</v>
      </c>
      <c r="H100" s="29">
        <v>0</v>
      </c>
      <c r="I100" s="29">
        <v>2</v>
      </c>
      <c r="J100" s="29">
        <v>0</v>
      </c>
      <c r="K100" s="29">
        <v>0</v>
      </c>
      <c r="L100" s="29">
        <v>0</v>
      </c>
      <c r="M100" s="29">
        <v>0</v>
      </c>
      <c r="N100" s="29">
        <v>0</v>
      </c>
      <c r="O100" s="29">
        <v>0</v>
      </c>
      <c r="P100" s="29">
        <v>0</v>
      </c>
      <c r="Q100" s="29">
        <v>1</v>
      </c>
      <c r="R100" s="29">
        <v>0</v>
      </c>
      <c r="S100" s="29">
        <v>2</v>
      </c>
      <c r="T100" s="29">
        <v>0</v>
      </c>
      <c r="U100" s="29">
        <v>0</v>
      </c>
      <c r="V100" s="29">
        <v>0</v>
      </c>
      <c r="W100" s="29">
        <v>2</v>
      </c>
      <c r="X100" s="29">
        <v>0</v>
      </c>
      <c r="Y100" s="5">
        <f t="shared" si="27"/>
        <v>7</v>
      </c>
    </row>
    <row r="101" spans="1:25" x14ac:dyDescent="0.4">
      <c r="A101" s="6" t="s">
        <v>26</v>
      </c>
      <c r="B101" s="53" t="s">
        <v>51</v>
      </c>
      <c r="C101" s="54"/>
      <c r="D101" s="55"/>
      <c r="E101" s="5">
        <f>SUM(E94:E100)</f>
        <v>0</v>
      </c>
      <c r="F101" s="5">
        <f>SUM(F94:F100)</f>
        <v>1</v>
      </c>
      <c r="G101" s="5">
        <f>SUM(G94:G100)</f>
        <v>0</v>
      </c>
      <c r="H101" s="5">
        <f>SUM(H94:H100)</f>
        <v>1</v>
      </c>
      <c r="I101" s="5">
        <f>SUM(I94:I100)</f>
        <v>2</v>
      </c>
      <c r="J101" s="5">
        <f>SUM(J94:J100)</f>
        <v>1</v>
      </c>
      <c r="K101" s="5">
        <f>SUM(K94:K100)</f>
        <v>3</v>
      </c>
      <c r="L101" s="5">
        <f>SUM(L94:L100)</f>
        <v>0</v>
      </c>
      <c r="M101" s="5">
        <f>SUM(M94:M100)</f>
        <v>0</v>
      </c>
      <c r="N101" s="5">
        <f>SUM(N94:N100)</f>
        <v>1</v>
      </c>
      <c r="O101" s="5">
        <f>SUM(O94:O100)</f>
        <v>1</v>
      </c>
      <c r="P101" s="5">
        <f>SUM(P94:P100)</f>
        <v>0</v>
      </c>
      <c r="Q101" s="5">
        <f>SUM(Q94:Q100)</f>
        <v>2</v>
      </c>
      <c r="R101" s="5">
        <f>SUM(R94:R100)</f>
        <v>0</v>
      </c>
      <c r="S101" s="5">
        <f>SUM(S94:S100)</f>
        <v>2</v>
      </c>
      <c r="T101" s="5">
        <f>SUM(T94:T100)</f>
        <v>2</v>
      </c>
      <c r="U101" s="5">
        <f>SUM(U94:U100)</f>
        <v>0</v>
      </c>
      <c r="V101" s="5">
        <f>SUM(V94:V100)</f>
        <v>1</v>
      </c>
      <c r="W101" s="5">
        <f>SUM(W94:W100)</f>
        <v>3</v>
      </c>
      <c r="X101" s="5">
        <f>SUM(X94:X100)</f>
        <v>0</v>
      </c>
      <c r="Y101" s="5">
        <f>SUM(Y94:Y100)</f>
        <v>20</v>
      </c>
    </row>
    <row r="102" spans="1:25" x14ac:dyDescent="0.4">
      <c r="A102" s="61"/>
      <c r="B102" s="62"/>
      <c r="C102" s="62"/>
      <c r="D102" s="62"/>
      <c r="E102" s="63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x14ac:dyDescent="0.4">
      <c r="A103" s="11" t="s">
        <v>48</v>
      </c>
      <c r="B103" s="17" t="s">
        <v>61</v>
      </c>
      <c r="C103" s="59" t="s">
        <v>62</v>
      </c>
      <c r="D103" s="60"/>
      <c r="E103" s="6">
        <v>2</v>
      </c>
      <c r="F103" s="6">
        <v>2</v>
      </c>
      <c r="G103" s="6">
        <v>3</v>
      </c>
      <c r="H103" s="6">
        <v>3</v>
      </c>
      <c r="I103" s="6">
        <v>1</v>
      </c>
      <c r="J103" s="6">
        <v>0</v>
      </c>
      <c r="K103" s="6">
        <v>0</v>
      </c>
      <c r="L103" s="6">
        <v>5</v>
      </c>
      <c r="M103" s="6">
        <v>1</v>
      </c>
      <c r="N103" s="6">
        <v>1</v>
      </c>
      <c r="O103" s="6">
        <v>0</v>
      </c>
      <c r="P103" s="6">
        <v>0</v>
      </c>
      <c r="Q103" s="6">
        <v>2</v>
      </c>
      <c r="R103" s="6">
        <v>0</v>
      </c>
      <c r="S103" s="6">
        <v>4</v>
      </c>
      <c r="T103" s="6">
        <v>0</v>
      </c>
      <c r="U103" s="6">
        <v>0</v>
      </c>
      <c r="V103" s="6">
        <v>6</v>
      </c>
      <c r="W103" s="6">
        <v>1</v>
      </c>
      <c r="X103" s="6">
        <v>1</v>
      </c>
      <c r="Y103" s="5">
        <f t="shared" ref="Y103:Y109" si="28">SUM(E103:X103)</f>
        <v>32</v>
      </c>
    </row>
    <row r="104" spans="1:25" ht="13.15" customHeight="1" x14ac:dyDescent="0.4">
      <c r="A104" s="11" t="s">
        <v>50</v>
      </c>
      <c r="B104" s="46"/>
      <c r="C104" s="24" t="s">
        <v>143</v>
      </c>
      <c r="D104" s="47"/>
      <c r="E104" s="6">
        <v>2</v>
      </c>
      <c r="F104" s="6">
        <v>1</v>
      </c>
      <c r="G104" s="6">
        <v>0</v>
      </c>
      <c r="H104" s="6">
        <v>1</v>
      </c>
      <c r="I104" s="6">
        <v>5</v>
      </c>
      <c r="J104" s="6">
        <v>0</v>
      </c>
      <c r="K104" s="6">
        <v>1</v>
      </c>
      <c r="L104" s="6">
        <v>2</v>
      </c>
      <c r="M104" s="6">
        <v>1</v>
      </c>
      <c r="N104" s="6">
        <v>0</v>
      </c>
      <c r="O104" s="6">
        <v>7</v>
      </c>
      <c r="P104" s="6">
        <v>0</v>
      </c>
      <c r="Q104" s="6">
        <v>0</v>
      </c>
      <c r="R104" s="6">
        <v>0</v>
      </c>
      <c r="S104" s="6">
        <v>5</v>
      </c>
      <c r="T104" s="6">
        <v>1</v>
      </c>
      <c r="U104" s="6">
        <v>1</v>
      </c>
      <c r="V104" s="6">
        <v>2</v>
      </c>
      <c r="W104" s="6">
        <v>7</v>
      </c>
      <c r="X104" s="6">
        <v>1</v>
      </c>
      <c r="Y104" s="5">
        <f t="shared" si="28"/>
        <v>37</v>
      </c>
    </row>
    <row r="105" spans="1:25" x14ac:dyDescent="0.4">
      <c r="A105" s="7"/>
      <c r="B105" s="46"/>
      <c r="C105" s="24" t="s">
        <v>144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1</v>
      </c>
      <c r="J105" s="6">
        <v>0</v>
      </c>
      <c r="K105" s="6">
        <v>2</v>
      </c>
      <c r="L105" s="6">
        <v>0</v>
      </c>
      <c r="M105" s="6">
        <v>0</v>
      </c>
      <c r="N105" s="6">
        <v>1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5">
        <f t="shared" si="28"/>
        <v>4</v>
      </c>
    </row>
    <row r="106" spans="1:25" x14ac:dyDescent="0.4">
      <c r="A106" s="7"/>
      <c r="B106" s="46"/>
      <c r="C106" s="24" t="s">
        <v>145</v>
      </c>
      <c r="D106" s="47"/>
      <c r="E106" s="6">
        <v>0</v>
      </c>
      <c r="F106" s="6">
        <v>3</v>
      </c>
      <c r="G106" s="6">
        <v>0</v>
      </c>
      <c r="H106" s="6">
        <v>2</v>
      </c>
      <c r="I106" s="6">
        <v>6</v>
      </c>
      <c r="J106" s="6">
        <v>2</v>
      </c>
      <c r="K106" s="6">
        <v>18</v>
      </c>
      <c r="L106" s="6">
        <v>1</v>
      </c>
      <c r="M106" s="6">
        <v>0</v>
      </c>
      <c r="N106" s="6">
        <v>0</v>
      </c>
      <c r="O106" s="6">
        <v>3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3</v>
      </c>
      <c r="W106" s="6">
        <v>1</v>
      </c>
      <c r="X106" s="6">
        <v>0</v>
      </c>
      <c r="Y106" s="5">
        <f t="shared" si="28"/>
        <v>39</v>
      </c>
    </row>
    <row r="107" spans="1:25" x14ac:dyDescent="0.4">
      <c r="A107" s="7"/>
      <c r="B107" s="46"/>
      <c r="C107" s="24" t="s">
        <v>146</v>
      </c>
      <c r="D107" s="47"/>
      <c r="E107" s="6">
        <v>1</v>
      </c>
      <c r="F107" s="6">
        <v>6</v>
      </c>
      <c r="G107" s="6">
        <v>0</v>
      </c>
      <c r="H107" s="6">
        <v>0</v>
      </c>
      <c r="I107" s="6">
        <v>1</v>
      </c>
      <c r="J107" s="6">
        <v>1</v>
      </c>
      <c r="K107" s="6">
        <v>0</v>
      </c>
      <c r="L107" s="6">
        <v>0</v>
      </c>
      <c r="M107" s="6">
        <v>4</v>
      </c>
      <c r="N107" s="6">
        <v>2</v>
      </c>
      <c r="O107" s="6">
        <v>1</v>
      </c>
      <c r="P107" s="6">
        <v>1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5</v>
      </c>
      <c r="W107" s="6">
        <v>1</v>
      </c>
      <c r="X107" s="6">
        <v>0</v>
      </c>
      <c r="Y107" s="5">
        <f t="shared" si="28"/>
        <v>23</v>
      </c>
    </row>
    <row r="108" spans="1:25" x14ac:dyDescent="0.4">
      <c r="A108" s="7"/>
      <c r="B108" s="46"/>
      <c r="C108" s="24" t="s">
        <v>147</v>
      </c>
      <c r="D108" s="47"/>
      <c r="E108" s="6">
        <v>0</v>
      </c>
      <c r="F108" s="6">
        <v>1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1</v>
      </c>
      <c r="Y108" s="5">
        <f t="shared" si="28"/>
        <v>2</v>
      </c>
    </row>
    <row r="109" spans="1:25" x14ac:dyDescent="0.4">
      <c r="A109" s="7"/>
      <c r="B109" s="46"/>
      <c r="C109" s="24" t="s">
        <v>148</v>
      </c>
      <c r="D109" s="47"/>
      <c r="E109" s="6">
        <v>1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1</v>
      </c>
      <c r="W109" s="6">
        <v>3</v>
      </c>
      <c r="X109" s="6">
        <v>1</v>
      </c>
      <c r="Y109" s="5">
        <f t="shared" si="28"/>
        <v>6</v>
      </c>
    </row>
    <row r="110" spans="1:25" x14ac:dyDescent="0.4">
      <c r="A110" s="6" t="s">
        <v>26</v>
      </c>
      <c r="B110" s="53" t="s">
        <v>51</v>
      </c>
      <c r="C110" s="54"/>
      <c r="D110" s="55"/>
      <c r="E110" s="5">
        <f>SUM(E103:E109)</f>
        <v>6</v>
      </c>
      <c r="F110" s="5">
        <f>SUM(F103:F109)</f>
        <v>13</v>
      </c>
      <c r="G110" s="5">
        <f>SUM(G103:G109)</f>
        <v>3</v>
      </c>
      <c r="H110" s="5">
        <f>SUM(H103:H109)</f>
        <v>6</v>
      </c>
      <c r="I110" s="5">
        <f>SUM(I103:I109)</f>
        <v>14</v>
      </c>
      <c r="J110" s="5">
        <f>SUM(J103:J109)</f>
        <v>3</v>
      </c>
      <c r="K110" s="5">
        <f>SUM(K103:K109)</f>
        <v>21</v>
      </c>
      <c r="L110" s="5">
        <f>SUM(L103:L109)</f>
        <v>8</v>
      </c>
      <c r="M110" s="5">
        <f>SUM(M103:M109)</f>
        <v>6</v>
      </c>
      <c r="N110" s="5">
        <f>SUM(N103:N109)</f>
        <v>4</v>
      </c>
      <c r="O110" s="5">
        <f>SUM(O103:O109)</f>
        <v>11</v>
      </c>
      <c r="P110" s="5">
        <f>SUM(P103:P109)</f>
        <v>1</v>
      </c>
      <c r="Q110" s="5">
        <f>SUM(Q103:Q109)</f>
        <v>2</v>
      </c>
      <c r="R110" s="5">
        <f>SUM(R103:R109)</f>
        <v>0</v>
      </c>
      <c r="S110" s="5">
        <f>SUM(S103:S109)</f>
        <v>9</v>
      </c>
      <c r="T110" s="5">
        <f>SUM(T103:T109)</f>
        <v>1</v>
      </c>
      <c r="U110" s="5">
        <f>SUM(U103:U109)</f>
        <v>1</v>
      </c>
      <c r="V110" s="5">
        <f>SUM(V103:V109)</f>
        <v>17</v>
      </c>
      <c r="W110" s="5">
        <f>SUM(W103:W109)</f>
        <v>13</v>
      </c>
      <c r="X110" s="5">
        <f>SUM(X103:X109)</f>
        <v>4</v>
      </c>
      <c r="Y110" s="5">
        <f>SUM(Y103:Y109)</f>
        <v>143</v>
      </c>
    </row>
    <row r="111" spans="1:25" x14ac:dyDescent="0.4">
      <c r="A111" s="61"/>
      <c r="B111" s="62"/>
      <c r="C111" s="62"/>
      <c r="D111" s="62"/>
      <c r="E111" s="6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13.15" customHeight="1" x14ac:dyDescent="0.4">
      <c r="A112" s="11" t="s">
        <v>48</v>
      </c>
      <c r="B112" s="17" t="s">
        <v>63</v>
      </c>
      <c r="C112" s="59" t="s">
        <v>64</v>
      </c>
      <c r="D112" s="60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1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5">
        <f t="shared" ref="Y112:Y118" si="29">SUM(E112:X112)</f>
        <v>1</v>
      </c>
    </row>
    <row r="113" spans="1:25" x14ac:dyDescent="0.4">
      <c r="A113" s="11" t="s">
        <v>50</v>
      </c>
      <c r="B113" s="17"/>
      <c r="C113" s="24" t="s">
        <v>104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1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5">
        <f t="shared" si="29"/>
        <v>1</v>
      </c>
    </row>
    <row r="114" spans="1:25" x14ac:dyDescent="0.4">
      <c r="A114" s="7"/>
      <c r="B114" s="17"/>
      <c r="C114" s="24" t="s">
        <v>149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5">
        <f t="shared" si="29"/>
        <v>0</v>
      </c>
    </row>
    <row r="115" spans="1:25" x14ac:dyDescent="0.4">
      <c r="A115" s="7"/>
      <c r="B115" s="17"/>
      <c r="C115" s="24" t="s">
        <v>150</v>
      </c>
      <c r="D115" s="45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5">
        <f t="shared" si="29"/>
        <v>0</v>
      </c>
    </row>
    <row r="116" spans="1:25" x14ac:dyDescent="0.4">
      <c r="A116" s="7"/>
      <c r="B116" s="46"/>
      <c r="C116" s="24" t="s">
        <v>151</v>
      </c>
      <c r="D116" s="47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1</v>
      </c>
      <c r="Y116" s="5">
        <f t="shared" si="29"/>
        <v>1</v>
      </c>
    </row>
    <row r="117" spans="1:25" x14ac:dyDescent="0.4">
      <c r="A117" s="7"/>
      <c r="B117" s="46"/>
      <c r="C117" s="24" t="s">
        <v>152</v>
      </c>
      <c r="D117" s="47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5">
        <f t="shared" si="29"/>
        <v>0</v>
      </c>
    </row>
    <row r="118" spans="1:25" x14ac:dyDescent="0.4">
      <c r="A118" s="7"/>
      <c r="B118" s="46"/>
      <c r="C118" s="24" t="s">
        <v>153</v>
      </c>
      <c r="D118" s="47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5">
        <f t="shared" si="29"/>
        <v>0</v>
      </c>
    </row>
    <row r="119" spans="1:25" ht="13.15" customHeight="1" x14ac:dyDescent="0.4">
      <c r="A119" s="6" t="s">
        <v>26</v>
      </c>
      <c r="B119" s="53" t="s">
        <v>51</v>
      </c>
      <c r="C119" s="54"/>
      <c r="D119" s="55"/>
      <c r="E119" s="5">
        <f>SUM(E112:E118)</f>
        <v>0</v>
      </c>
      <c r="F119" s="5">
        <f>SUM(F112:F118)</f>
        <v>0</v>
      </c>
      <c r="G119" s="5">
        <f>SUM(G112:G118)</f>
        <v>0</v>
      </c>
      <c r="H119" s="5">
        <f>SUM(H112:H118)</f>
        <v>0</v>
      </c>
      <c r="I119" s="5">
        <f>SUM(I112:I118)</f>
        <v>0</v>
      </c>
      <c r="J119" s="5">
        <f>SUM(J112:J118)</f>
        <v>0</v>
      </c>
      <c r="K119" s="5">
        <f>SUM(K112:K118)</f>
        <v>0</v>
      </c>
      <c r="L119" s="5">
        <f>SUM(L112:L118)</f>
        <v>0</v>
      </c>
      <c r="M119" s="5">
        <f>SUM(M112:M118)</f>
        <v>0</v>
      </c>
      <c r="N119" s="5">
        <f>SUM(N112:N118)</f>
        <v>1</v>
      </c>
      <c r="O119" s="5">
        <f>SUM(O112:O118)</f>
        <v>0</v>
      </c>
      <c r="P119" s="5">
        <f>SUM(P112:P118)</f>
        <v>0</v>
      </c>
      <c r="Q119" s="5">
        <f>SUM(Q112:Q118)</f>
        <v>0</v>
      </c>
      <c r="R119" s="5">
        <f>SUM(R112:R118)</f>
        <v>0</v>
      </c>
      <c r="S119" s="5">
        <f>SUM(S112:S118)</f>
        <v>1</v>
      </c>
      <c r="T119" s="5">
        <f>SUM(T112:T118)</f>
        <v>0</v>
      </c>
      <c r="U119" s="5">
        <f>SUM(U112:U118)</f>
        <v>0</v>
      </c>
      <c r="V119" s="5">
        <f>SUM(V112:V118)</f>
        <v>0</v>
      </c>
      <c r="W119" s="5">
        <f>SUM(W112:W118)</f>
        <v>0</v>
      </c>
      <c r="X119" s="5">
        <f>SUM(X112:X118)</f>
        <v>1</v>
      </c>
      <c r="Y119" s="5">
        <f>SUM(Y112:Y118)</f>
        <v>3</v>
      </c>
    </row>
    <row r="120" spans="1:25" x14ac:dyDescent="0.4">
      <c r="A120" s="61"/>
      <c r="B120" s="62"/>
      <c r="C120" s="62"/>
      <c r="D120" s="62"/>
      <c r="E120" s="6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5"/>
    </row>
    <row r="121" spans="1:25" x14ac:dyDescent="0.4">
      <c r="A121" s="11" t="s">
        <v>48</v>
      </c>
      <c r="B121" s="44" t="s">
        <v>65</v>
      </c>
      <c r="C121" s="67" t="s">
        <v>66</v>
      </c>
      <c r="D121" s="68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1</v>
      </c>
      <c r="R121" s="6">
        <v>0</v>
      </c>
      <c r="S121" s="6">
        <v>1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5">
        <f>SUM(E122:X122)</f>
        <v>0</v>
      </c>
    </row>
    <row r="122" spans="1:25" x14ac:dyDescent="0.4">
      <c r="A122" s="48" t="s">
        <v>50</v>
      </c>
      <c r="B122" s="46"/>
      <c r="C122" s="24" t="s">
        <v>154</v>
      </c>
      <c r="D122" s="47"/>
      <c r="E122" s="49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5">
        <f>SUM(E123:X123)</f>
        <v>8</v>
      </c>
    </row>
    <row r="123" spans="1:25" x14ac:dyDescent="0.4">
      <c r="A123" s="7"/>
      <c r="B123" s="46"/>
      <c r="C123" s="24" t="s">
        <v>155</v>
      </c>
      <c r="D123" s="47"/>
      <c r="E123" s="49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1</v>
      </c>
      <c r="M123" s="6">
        <v>0</v>
      </c>
      <c r="N123" s="6">
        <v>0</v>
      </c>
      <c r="O123" s="6">
        <v>0</v>
      </c>
      <c r="P123" s="6">
        <v>0</v>
      </c>
      <c r="Q123" s="6">
        <v>1</v>
      </c>
      <c r="R123" s="6">
        <v>4</v>
      </c>
      <c r="S123" s="6">
        <v>0</v>
      </c>
      <c r="T123" s="6">
        <v>0</v>
      </c>
      <c r="U123" s="6">
        <v>0</v>
      </c>
      <c r="V123" s="6">
        <v>0</v>
      </c>
      <c r="W123" s="6">
        <v>1</v>
      </c>
      <c r="X123" s="6">
        <v>1</v>
      </c>
      <c r="Y123" s="5">
        <f>SUM(E124:X124)</f>
        <v>1</v>
      </c>
    </row>
    <row r="124" spans="1:25" x14ac:dyDescent="0.4">
      <c r="A124" s="7"/>
      <c r="B124" s="46"/>
      <c r="C124" s="24" t="s">
        <v>156</v>
      </c>
      <c r="D124" s="47"/>
      <c r="E124" s="49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1</v>
      </c>
      <c r="X124" s="6">
        <v>0</v>
      </c>
      <c r="Y124" s="5">
        <f>SUM(E125:X125)</f>
        <v>6</v>
      </c>
    </row>
    <row r="125" spans="1:25" x14ac:dyDescent="0.4">
      <c r="A125" s="7"/>
      <c r="B125" s="46"/>
      <c r="C125" s="24" t="s">
        <v>157</v>
      </c>
      <c r="D125" s="47"/>
      <c r="E125" s="49">
        <v>0</v>
      </c>
      <c r="F125" s="6">
        <v>0</v>
      </c>
      <c r="G125" s="6">
        <v>0</v>
      </c>
      <c r="H125" s="6">
        <v>1</v>
      </c>
      <c r="I125" s="6">
        <v>0</v>
      </c>
      <c r="J125" s="6">
        <v>0</v>
      </c>
      <c r="K125" s="6">
        <v>1</v>
      </c>
      <c r="L125" s="6">
        <v>1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1</v>
      </c>
      <c r="W125" s="6">
        <v>0</v>
      </c>
      <c r="X125" s="6">
        <v>2</v>
      </c>
      <c r="Y125" s="5">
        <f>SUM(E128:X128)</f>
        <v>17</v>
      </c>
    </row>
    <row r="126" spans="1:25" x14ac:dyDescent="0.4">
      <c r="A126" s="7"/>
      <c r="B126" s="46"/>
      <c r="C126" s="24" t="s">
        <v>158</v>
      </c>
      <c r="D126" s="47"/>
      <c r="E126" s="49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5">
        <f>SUM(E129:X129)</f>
        <v>0</v>
      </c>
    </row>
    <row r="127" spans="1:25" x14ac:dyDescent="0.4">
      <c r="A127" s="7"/>
      <c r="B127" s="46"/>
      <c r="C127" s="24" t="s">
        <v>159</v>
      </c>
      <c r="D127" s="47"/>
      <c r="E127" s="49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5">
        <f>SUM(E130:X130)</f>
        <v>4</v>
      </c>
    </row>
    <row r="128" spans="1:25" x14ac:dyDescent="0.4">
      <c r="A128" s="6" t="s">
        <v>26</v>
      </c>
      <c r="B128" s="64" t="s">
        <v>51</v>
      </c>
      <c r="C128" s="65"/>
      <c r="D128" s="66"/>
      <c r="E128" s="5">
        <f>SUM(E121:E127)</f>
        <v>0</v>
      </c>
      <c r="F128" s="5">
        <f>SUM(F121:F127)</f>
        <v>0</v>
      </c>
      <c r="G128" s="5">
        <f>SUM(G121:G127)</f>
        <v>0</v>
      </c>
      <c r="H128" s="5">
        <f>SUM(H121:H127)</f>
        <v>1</v>
      </c>
      <c r="I128" s="5">
        <f>SUM(I121:I127)</f>
        <v>0</v>
      </c>
      <c r="J128" s="5">
        <f>SUM(J121:J127)</f>
        <v>0</v>
      </c>
      <c r="K128" s="5">
        <f>SUM(K121:K127)</f>
        <v>1</v>
      </c>
      <c r="L128" s="5">
        <f>SUM(L121:L127)</f>
        <v>2</v>
      </c>
      <c r="M128" s="5">
        <f>SUM(M121:M127)</f>
        <v>0</v>
      </c>
      <c r="N128" s="5">
        <f>SUM(N121:N127)</f>
        <v>0</v>
      </c>
      <c r="O128" s="5">
        <f>SUM(O121:O127)</f>
        <v>0</v>
      </c>
      <c r="P128" s="5">
        <f>SUM(P121:P127)</f>
        <v>0</v>
      </c>
      <c r="Q128" s="5">
        <f>SUM(Q121:Q127)</f>
        <v>2</v>
      </c>
      <c r="R128" s="5">
        <f>SUM(R121:R127)</f>
        <v>4</v>
      </c>
      <c r="S128" s="5">
        <f>SUM(S121:S127)</f>
        <v>1</v>
      </c>
      <c r="T128" s="5">
        <f>SUM(T121:T127)</f>
        <v>0</v>
      </c>
      <c r="U128" s="5">
        <f>SUM(U121:U127)</f>
        <v>0</v>
      </c>
      <c r="V128" s="5">
        <f>SUM(V121:V127)</f>
        <v>1</v>
      </c>
      <c r="W128" s="5">
        <f>SUM(W121:W127)</f>
        <v>2</v>
      </c>
      <c r="X128" s="5">
        <f>SUM(X121:X127)</f>
        <v>3</v>
      </c>
      <c r="Y128" s="5">
        <f>SUM(Y121:Y127)</f>
        <v>36</v>
      </c>
    </row>
    <row r="129" spans="1:25" x14ac:dyDescent="0.4">
      <c r="A129" s="61"/>
      <c r="B129" s="62"/>
      <c r="C129" s="62"/>
      <c r="D129" s="62"/>
      <c r="E129" s="63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13.15" customHeight="1" x14ac:dyDescent="0.4">
      <c r="A130" s="11" t="s">
        <v>48</v>
      </c>
      <c r="B130" s="17" t="s">
        <v>67</v>
      </c>
      <c r="C130" s="59" t="s">
        <v>68</v>
      </c>
      <c r="D130" s="60"/>
      <c r="E130" s="6">
        <v>1</v>
      </c>
      <c r="F130" s="6">
        <v>0</v>
      </c>
      <c r="G130" s="6">
        <v>0</v>
      </c>
      <c r="H130" s="6">
        <v>0</v>
      </c>
      <c r="I130" s="6">
        <v>0</v>
      </c>
      <c r="J130" s="6">
        <v>1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1</v>
      </c>
      <c r="R130" s="6">
        <v>1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5">
        <f t="shared" ref="Y130" si="30">SUM(E130:X130)</f>
        <v>4</v>
      </c>
    </row>
    <row r="131" spans="1:25" x14ac:dyDescent="0.4">
      <c r="A131" s="6" t="s">
        <v>26</v>
      </c>
      <c r="B131" s="53" t="s">
        <v>51</v>
      </c>
      <c r="C131" s="54"/>
      <c r="D131" s="55"/>
      <c r="E131" s="5">
        <f>SUM(E130:E130)</f>
        <v>1</v>
      </c>
      <c r="F131" s="5">
        <f>SUM(F130:F130)</f>
        <v>0</v>
      </c>
      <c r="G131" s="5">
        <f>SUM(G130:G130)</f>
        <v>0</v>
      </c>
      <c r="H131" s="5">
        <f>SUM(H130:H130)</f>
        <v>0</v>
      </c>
      <c r="I131" s="5">
        <f>SUM(I130:I130)</f>
        <v>0</v>
      </c>
      <c r="J131" s="5">
        <f>SUM(J130:J130)</f>
        <v>1</v>
      </c>
      <c r="K131" s="5">
        <f>SUM(K130:K130)</f>
        <v>0</v>
      </c>
      <c r="L131" s="5">
        <f>SUM(L130:L130)</f>
        <v>0</v>
      </c>
      <c r="M131" s="5">
        <f>SUM(M130:M130)</f>
        <v>0</v>
      </c>
      <c r="N131" s="5">
        <f>SUM(N130:N130)</f>
        <v>0</v>
      </c>
      <c r="O131" s="5">
        <f>SUM(O130:O130)</f>
        <v>0</v>
      </c>
      <c r="P131" s="5">
        <f>SUM(P130:P130)</f>
        <v>0</v>
      </c>
      <c r="Q131" s="5">
        <f>SUM(Q130:Q130)</f>
        <v>1</v>
      </c>
      <c r="R131" s="5">
        <f>SUM(R130:R130)</f>
        <v>1</v>
      </c>
      <c r="S131" s="5">
        <f>SUM(S130:S130)</f>
        <v>0</v>
      </c>
      <c r="T131" s="5">
        <f>SUM(T130:T130)</f>
        <v>0</v>
      </c>
      <c r="U131" s="5">
        <f>SUM(U130:U130)</f>
        <v>0</v>
      </c>
      <c r="V131" s="5">
        <f>SUM(V130:V130)</f>
        <v>0</v>
      </c>
      <c r="W131" s="5">
        <f>SUM(W130:W130)</f>
        <v>0</v>
      </c>
      <c r="X131" s="5">
        <f>SUM(X130:X130)</f>
        <v>0</v>
      </c>
      <c r="Y131" s="5">
        <f>SUM(Y130:Y130)</f>
        <v>4</v>
      </c>
    </row>
    <row r="132" spans="1:25" ht="13.15" customHeight="1" x14ac:dyDescent="0.4">
      <c r="A132" s="61"/>
      <c r="B132" s="62"/>
      <c r="C132" s="62"/>
      <c r="D132" s="62"/>
      <c r="E132" s="63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x14ac:dyDescent="0.4">
      <c r="A133" s="11" t="s">
        <v>48</v>
      </c>
      <c r="B133" s="17" t="s">
        <v>69</v>
      </c>
      <c r="C133" s="59" t="s">
        <v>70</v>
      </c>
      <c r="D133" s="60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1</v>
      </c>
      <c r="M133" s="6">
        <v>0</v>
      </c>
      <c r="N133" s="6">
        <v>0</v>
      </c>
      <c r="O133" s="6">
        <v>0</v>
      </c>
      <c r="P133" s="6">
        <v>3</v>
      </c>
      <c r="Q133" s="6">
        <v>0</v>
      </c>
      <c r="R133" s="6">
        <v>0</v>
      </c>
      <c r="S133" s="6">
        <v>0</v>
      </c>
      <c r="T133" s="6">
        <v>2</v>
      </c>
      <c r="U133" s="6">
        <v>0</v>
      </c>
      <c r="V133" s="6">
        <v>1</v>
      </c>
      <c r="W133" s="6">
        <v>2</v>
      </c>
      <c r="X133" s="6">
        <v>1</v>
      </c>
      <c r="Y133" s="5">
        <f t="shared" ref="Y133:Y139" si="31">SUM(E133:X133)</f>
        <v>10</v>
      </c>
    </row>
    <row r="134" spans="1:25" x14ac:dyDescent="0.4">
      <c r="A134" s="11" t="s">
        <v>50</v>
      </c>
      <c r="B134" s="46"/>
      <c r="C134" s="24" t="s">
        <v>160</v>
      </c>
      <c r="D134" s="47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1</v>
      </c>
      <c r="T134" s="6">
        <v>0</v>
      </c>
      <c r="U134" s="6">
        <v>0</v>
      </c>
      <c r="V134" s="6">
        <v>0</v>
      </c>
      <c r="W134" s="6">
        <v>0</v>
      </c>
      <c r="X134" s="6">
        <v>1</v>
      </c>
      <c r="Y134" s="5">
        <f t="shared" si="31"/>
        <v>2</v>
      </c>
    </row>
    <row r="135" spans="1:25" x14ac:dyDescent="0.4">
      <c r="A135" s="7"/>
      <c r="B135" s="46"/>
      <c r="C135" s="24" t="s">
        <v>161</v>
      </c>
      <c r="D135" s="47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2</v>
      </c>
      <c r="K135" s="6">
        <v>2</v>
      </c>
      <c r="L135" s="6">
        <v>4</v>
      </c>
      <c r="M135" s="6">
        <v>0</v>
      </c>
      <c r="N135" s="6">
        <v>0</v>
      </c>
      <c r="O135" s="6">
        <v>0</v>
      </c>
      <c r="P135" s="6">
        <v>0</v>
      </c>
      <c r="Q135" s="6">
        <v>1</v>
      </c>
      <c r="R135" s="6">
        <v>0</v>
      </c>
      <c r="S135" s="6">
        <v>4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5">
        <f t="shared" si="31"/>
        <v>13</v>
      </c>
    </row>
    <row r="136" spans="1:25" x14ac:dyDescent="0.4">
      <c r="A136" s="7"/>
      <c r="B136" s="46"/>
      <c r="C136" s="24" t="s">
        <v>162</v>
      </c>
      <c r="D136" s="47"/>
      <c r="E136" s="6">
        <v>1</v>
      </c>
      <c r="F136" s="6">
        <v>0</v>
      </c>
      <c r="G136" s="6">
        <v>0</v>
      </c>
      <c r="H136" s="6">
        <v>0</v>
      </c>
      <c r="I136" s="6">
        <v>0</v>
      </c>
      <c r="J136" s="6">
        <v>1</v>
      </c>
      <c r="K136" s="6">
        <v>0</v>
      </c>
      <c r="L136" s="6">
        <v>0</v>
      </c>
      <c r="M136" s="6">
        <v>0</v>
      </c>
      <c r="N136" s="6">
        <v>1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5">
        <f t="shared" si="31"/>
        <v>3</v>
      </c>
    </row>
    <row r="137" spans="1:25" x14ac:dyDescent="0.4">
      <c r="A137" s="7"/>
      <c r="B137" s="46"/>
      <c r="C137" s="24" t="s">
        <v>163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1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5">
        <f t="shared" si="31"/>
        <v>1</v>
      </c>
    </row>
    <row r="138" spans="1:25" x14ac:dyDescent="0.4">
      <c r="A138" s="7"/>
      <c r="B138" s="46"/>
      <c r="C138" s="24" t="s">
        <v>164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2</v>
      </c>
      <c r="U138" s="6">
        <v>0</v>
      </c>
      <c r="V138" s="6">
        <v>0</v>
      </c>
      <c r="W138" s="6">
        <v>0</v>
      </c>
      <c r="X138" s="6">
        <v>0</v>
      </c>
      <c r="Y138" s="5">
        <f t="shared" si="31"/>
        <v>2</v>
      </c>
    </row>
    <row r="139" spans="1:25" x14ac:dyDescent="0.4">
      <c r="A139" s="7"/>
      <c r="B139" s="46"/>
      <c r="C139" s="24" t="s">
        <v>165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1</v>
      </c>
      <c r="L139" s="6">
        <v>2</v>
      </c>
      <c r="M139" s="6">
        <v>0</v>
      </c>
      <c r="N139" s="6">
        <v>0</v>
      </c>
      <c r="O139" s="6">
        <v>2</v>
      </c>
      <c r="P139" s="6">
        <v>0</v>
      </c>
      <c r="Q139" s="6">
        <v>0</v>
      </c>
      <c r="R139" s="6">
        <v>1</v>
      </c>
      <c r="S139" s="6">
        <v>0</v>
      </c>
      <c r="T139" s="6">
        <v>1</v>
      </c>
      <c r="U139" s="6">
        <v>0</v>
      </c>
      <c r="V139" s="6">
        <v>0</v>
      </c>
      <c r="W139" s="6">
        <v>0</v>
      </c>
      <c r="X139" s="6">
        <v>0</v>
      </c>
      <c r="Y139" s="5">
        <f t="shared" si="31"/>
        <v>7</v>
      </c>
    </row>
    <row r="140" spans="1:25" ht="13.15" customHeight="1" x14ac:dyDescent="0.4">
      <c r="A140" s="6" t="s">
        <v>26</v>
      </c>
      <c r="B140" s="53" t="s">
        <v>51</v>
      </c>
      <c r="C140" s="54"/>
      <c r="D140" s="55"/>
      <c r="E140" s="5">
        <f>SUM(E133:E139)</f>
        <v>1</v>
      </c>
      <c r="F140" s="5">
        <f>SUM(F133:F139)</f>
        <v>0</v>
      </c>
      <c r="G140" s="5">
        <f>SUM(G133:G139)</f>
        <v>0</v>
      </c>
      <c r="H140" s="5">
        <f>SUM(H133:H139)</f>
        <v>0</v>
      </c>
      <c r="I140" s="5">
        <f>SUM(I133:I139)</f>
        <v>0</v>
      </c>
      <c r="J140" s="5">
        <f>SUM(J133:J139)</f>
        <v>3</v>
      </c>
      <c r="K140" s="5">
        <f>SUM(K133:K139)</f>
        <v>3</v>
      </c>
      <c r="L140" s="5">
        <f>SUM(L133:L139)</f>
        <v>7</v>
      </c>
      <c r="M140" s="5">
        <f>SUM(M133:M139)</f>
        <v>0</v>
      </c>
      <c r="N140" s="5">
        <f>SUM(N133:N139)</f>
        <v>1</v>
      </c>
      <c r="O140" s="5">
        <f>SUM(O133:O139)</f>
        <v>2</v>
      </c>
      <c r="P140" s="5">
        <f>SUM(P133:P139)</f>
        <v>4</v>
      </c>
      <c r="Q140" s="5">
        <f>SUM(Q133:Q139)</f>
        <v>1</v>
      </c>
      <c r="R140" s="5">
        <f>SUM(R133:R139)</f>
        <v>1</v>
      </c>
      <c r="S140" s="5">
        <f>SUM(S133:S139)</f>
        <v>5</v>
      </c>
      <c r="T140" s="5">
        <f>SUM(T133:T139)</f>
        <v>5</v>
      </c>
      <c r="U140" s="5">
        <f>SUM(U133:U139)</f>
        <v>0</v>
      </c>
      <c r="V140" s="5">
        <f>SUM(V133:V139)</f>
        <v>1</v>
      </c>
      <c r="W140" s="5">
        <f>SUM(W133:W139)</f>
        <v>2</v>
      </c>
      <c r="X140" s="5">
        <f>SUM(X133:X139)</f>
        <v>2</v>
      </c>
      <c r="Y140" s="5">
        <f>SUM(Y133:Y139)</f>
        <v>38</v>
      </c>
    </row>
    <row r="141" spans="1:25" x14ac:dyDescent="0.4">
      <c r="A141" s="61"/>
      <c r="B141" s="62"/>
      <c r="C141" s="62"/>
      <c r="D141" s="62"/>
      <c r="E141" s="63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5"/>
    </row>
    <row r="142" spans="1:25" x14ac:dyDescent="0.4">
      <c r="A142" s="11" t="s">
        <v>48</v>
      </c>
      <c r="B142" s="17" t="s">
        <v>71</v>
      </c>
      <c r="C142" s="59" t="s">
        <v>72</v>
      </c>
      <c r="D142" s="6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1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1</v>
      </c>
      <c r="W142" s="6">
        <v>0</v>
      </c>
      <c r="X142" s="6">
        <v>0</v>
      </c>
      <c r="Y142" s="5">
        <f t="shared" ref="Y142:Y148" si="32">SUM(E142:X142)</f>
        <v>2</v>
      </c>
    </row>
    <row r="143" spans="1:25" x14ac:dyDescent="0.4">
      <c r="A143" s="11" t="s">
        <v>50</v>
      </c>
      <c r="B143" s="46"/>
      <c r="C143" s="24" t="s">
        <v>166</v>
      </c>
      <c r="D143" s="47"/>
      <c r="E143" s="6">
        <v>0</v>
      </c>
      <c r="F143" s="6">
        <v>0</v>
      </c>
      <c r="G143" s="6">
        <v>0</v>
      </c>
      <c r="H143" s="6">
        <v>3</v>
      </c>
      <c r="I143" s="6">
        <v>0</v>
      </c>
      <c r="J143" s="6">
        <v>0</v>
      </c>
      <c r="K143" s="6">
        <v>0</v>
      </c>
      <c r="L143" s="6">
        <v>1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5</v>
      </c>
      <c r="W143" s="6">
        <v>4</v>
      </c>
      <c r="X143" s="6">
        <v>2</v>
      </c>
      <c r="Y143" s="5">
        <f t="shared" si="32"/>
        <v>15</v>
      </c>
    </row>
    <row r="144" spans="1:25" x14ac:dyDescent="0.4">
      <c r="A144" s="7"/>
      <c r="B144" s="46"/>
      <c r="C144" s="24" t="s">
        <v>167</v>
      </c>
      <c r="D144" s="47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5">
        <f t="shared" si="32"/>
        <v>0</v>
      </c>
    </row>
    <row r="145" spans="1:25" x14ac:dyDescent="0.4">
      <c r="A145" s="7"/>
      <c r="B145" s="46"/>
      <c r="C145" s="24" t="s">
        <v>168</v>
      </c>
      <c r="D145" s="47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5">
        <f t="shared" si="32"/>
        <v>0</v>
      </c>
    </row>
    <row r="146" spans="1:25" x14ac:dyDescent="0.4">
      <c r="A146" s="7"/>
      <c r="B146" s="46"/>
      <c r="C146" s="24" t="s">
        <v>169</v>
      </c>
      <c r="D146" s="47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1</v>
      </c>
      <c r="R146" s="6">
        <v>0</v>
      </c>
      <c r="S146" s="6">
        <v>0</v>
      </c>
      <c r="T146" s="6">
        <v>0</v>
      </c>
      <c r="U146" s="6">
        <v>1</v>
      </c>
      <c r="V146" s="6">
        <v>0</v>
      </c>
      <c r="W146" s="6">
        <v>0</v>
      </c>
      <c r="X146" s="6">
        <v>0</v>
      </c>
      <c r="Y146" s="5">
        <f t="shared" si="32"/>
        <v>2</v>
      </c>
    </row>
    <row r="147" spans="1:25" x14ac:dyDescent="0.4">
      <c r="A147" s="7"/>
      <c r="B147" s="46"/>
      <c r="C147" s="24" t="s">
        <v>170</v>
      </c>
      <c r="D147" s="47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5">
        <f t="shared" si="32"/>
        <v>0</v>
      </c>
    </row>
    <row r="148" spans="1:25" x14ac:dyDescent="0.4">
      <c r="A148" s="7"/>
      <c r="B148" s="46"/>
      <c r="C148" s="24" t="s">
        <v>171</v>
      </c>
      <c r="D148" s="47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1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5">
        <f t="shared" si="32"/>
        <v>1</v>
      </c>
    </row>
    <row r="149" spans="1:25" x14ac:dyDescent="0.4">
      <c r="A149" s="6" t="s">
        <v>26</v>
      </c>
      <c r="B149" s="53" t="s">
        <v>51</v>
      </c>
      <c r="C149" s="54"/>
      <c r="D149" s="55"/>
      <c r="E149" s="5">
        <f>SUM(E142:E148)</f>
        <v>0</v>
      </c>
      <c r="F149" s="5">
        <f>SUM(F142:F148)</f>
        <v>0</v>
      </c>
      <c r="G149" s="5">
        <f>SUM(G142:G148)</f>
        <v>0</v>
      </c>
      <c r="H149" s="5">
        <f>SUM(H142:H148)</f>
        <v>3</v>
      </c>
      <c r="I149" s="5">
        <f>SUM(I142:I148)</f>
        <v>0</v>
      </c>
      <c r="J149" s="5">
        <f>SUM(J142:J148)</f>
        <v>0</v>
      </c>
      <c r="K149" s="5">
        <f>SUM(K142:K148)</f>
        <v>1</v>
      </c>
      <c r="L149" s="5">
        <f>SUM(L142:L148)</f>
        <v>1</v>
      </c>
      <c r="M149" s="5">
        <f>SUM(M142:M148)</f>
        <v>0</v>
      </c>
      <c r="N149" s="5">
        <f>SUM(N142:N148)</f>
        <v>0</v>
      </c>
      <c r="O149" s="5">
        <f>SUM(O142:O148)</f>
        <v>0</v>
      </c>
      <c r="P149" s="5">
        <f>SUM(P142:P148)</f>
        <v>0</v>
      </c>
      <c r="Q149" s="5">
        <f>SUM(Q142:Q148)</f>
        <v>1</v>
      </c>
      <c r="R149" s="5">
        <f>SUM(R142:R148)</f>
        <v>0</v>
      </c>
      <c r="S149" s="5">
        <f>SUM(S142:S148)</f>
        <v>1</v>
      </c>
      <c r="T149" s="5">
        <f>SUM(T142:T148)</f>
        <v>0</v>
      </c>
      <c r="U149" s="5">
        <f>SUM(U142:U148)</f>
        <v>1</v>
      </c>
      <c r="V149" s="5">
        <f>SUM(V142:V148)</f>
        <v>6</v>
      </c>
      <c r="W149" s="5">
        <f>SUM(W142:W148)</f>
        <v>4</v>
      </c>
      <c r="X149" s="5">
        <f>SUM(X142:X148)</f>
        <v>2</v>
      </c>
      <c r="Y149" s="5">
        <f>SUM(Y142:Y148)</f>
        <v>20</v>
      </c>
    </row>
    <row r="150" spans="1:25" x14ac:dyDescent="0.4">
      <c r="A150" s="61"/>
      <c r="B150" s="62"/>
      <c r="C150" s="62"/>
      <c r="D150" s="62"/>
      <c r="E150" s="63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x14ac:dyDescent="0.4">
      <c r="A151" s="11" t="s">
        <v>48</v>
      </c>
      <c r="B151" s="17" t="s">
        <v>73</v>
      </c>
      <c r="C151" s="59" t="s">
        <v>74</v>
      </c>
      <c r="D151" s="60"/>
      <c r="E151" s="6">
        <v>4</v>
      </c>
      <c r="F151" s="6">
        <v>4</v>
      </c>
      <c r="G151" s="6">
        <v>6</v>
      </c>
      <c r="H151" s="6">
        <v>7</v>
      </c>
      <c r="I151" s="6">
        <v>1</v>
      </c>
      <c r="J151" s="6">
        <v>1</v>
      </c>
      <c r="K151" s="6">
        <v>1</v>
      </c>
      <c r="L151" s="6">
        <v>4</v>
      </c>
      <c r="M151" s="6">
        <v>1</v>
      </c>
      <c r="N151" s="6">
        <v>3</v>
      </c>
      <c r="O151" s="6">
        <v>3</v>
      </c>
      <c r="P151" s="6">
        <v>7</v>
      </c>
      <c r="Q151" s="6">
        <v>5</v>
      </c>
      <c r="R151" s="6">
        <v>3</v>
      </c>
      <c r="S151" s="6">
        <v>3</v>
      </c>
      <c r="T151" s="6">
        <v>2</v>
      </c>
      <c r="U151" s="6">
        <v>4</v>
      </c>
      <c r="V151" s="6">
        <v>1</v>
      </c>
      <c r="W151" s="6">
        <v>6</v>
      </c>
      <c r="X151" s="6">
        <v>2</v>
      </c>
      <c r="Y151" s="5">
        <f t="shared" ref="Y151:Y157" si="33">SUM(E151:X151)</f>
        <v>68</v>
      </c>
    </row>
    <row r="152" spans="1:25" x14ac:dyDescent="0.4">
      <c r="A152" s="11" t="s">
        <v>50</v>
      </c>
      <c r="B152" s="46"/>
      <c r="C152" s="24" t="s">
        <v>172</v>
      </c>
      <c r="D152" s="47"/>
      <c r="E152" s="6">
        <v>1</v>
      </c>
      <c r="F152" s="6">
        <v>0</v>
      </c>
      <c r="G152" s="6">
        <v>0</v>
      </c>
      <c r="H152" s="6">
        <v>1</v>
      </c>
      <c r="I152" s="6">
        <v>2</v>
      </c>
      <c r="J152" s="6">
        <v>0</v>
      </c>
      <c r="K152" s="6">
        <v>0</v>
      </c>
      <c r="L152" s="6">
        <v>4</v>
      </c>
      <c r="M152" s="6">
        <v>7</v>
      </c>
      <c r="N152" s="6">
        <v>11</v>
      </c>
      <c r="O152" s="6">
        <v>2</v>
      </c>
      <c r="P152" s="6">
        <v>10</v>
      </c>
      <c r="Q152" s="6">
        <v>2</v>
      </c>
      <c r="R152" s="6">
        <v>2</v>
      </c>
      <c r="S152" s="6">
        <v>1</v>
      </c>
      <c r="T152" s="6">
        <v>1</v>
      </c>
      <c r="U152" s="6">
        <v>1</v>
      </c>
      <c r="V152" s="6">
        <v>3</v>
      </c>
      <c r="W152" s="6">
        <v>1</v>
      </c>
      <c r="X152" s="6">
        <v>2</v>
      </c>
      <c r="Y152" s="5">
        <f t="shared" si="33"/>
        <v>51</v>
      </c>
    </row>
    <row r="153" spans="1:25" x14ac:dyDescent="0.4">
      <c r="A153" s="7"/>
      <c r="B153" s="46"/>
      <c r="C153" s="24" t="s">
        <v>173</v>
      </c>
      <c r="D153" s="47"/>
      <c r="E153" s="6">
        <v>45</v>
      </c>
      <c r="F153" s="6">
        <v>57</v>
      </c>
      <c r="G153" s="6">
        <v>55</v>
      </c>
      <c r="H153" s="6">
        <v>12</v>
      </c>
      <c r="I153" s="6">
        <v>12</v>
      </c>
      <c r="J153" s="6">
        <v>6</v>
      </c>
      <c r="K153" s="6">
        <v>7</v>
      </c>
      <c r="L153" s="6">
        <v>22</v>
      </c>
      <c r="M153" s="6">
        <v>20</v>
      </c>
      <c r="N153" s="6">
        <v>10</v>
      </c>
      <c r="O153" s="6">
        <v>62</v>
      </c>
      <c r="P153" s="6">
        <v>63</v>
      </c>
      <c r="Q153" s="6">
        <v>26</v>
      </c>
      <c r="R153" s="6">
        <v>25</v>
      </c>
      <c r="S153" s="6">
        <v>17</v>
      </c>
      <c r="T153" s="6">
        <v>7</v>
      </c>
      <c r="U153" s="6">
        <v>30</v>
      </c>
      <c r="V153" s="6">
        <v>6</v>
      </c>
      <c r="W153" s="6">
        <v>11</v>
      </c>
      <c r="X153" s="6">
        <v>13</v>
      </c>
      <c r="Y153" s="5">
        <f t="shared" si="33"/>
        <v>506</v>
      </c>
    </row>
    <row r="154" spans="1:25" x14ac:dyDescent="0.4">
      <c r="A154" s="7"/>
      <c r="B154" s="46"/>
      <c r="C154" s="24" t="s">
        <v>174</v>
      </c>
      <c r="D154" s="47"/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1</v>
      </c>
      <c r="M154" s="6">
        <v>0</v>
      </c>
      <c r="N154" s="6">
        <v>0</v>
      </c>
      <c r="O154" s="6">
        <v>0</v>
      </c>
      <c r="P154" s="6">
        <v>0</v>
      </c>
      <c r="Q154" s="6">
        <v>2</v>
      </c>
      <c r="R154" s="6">
        <v>0</v>
      </c>
      <c r="S154" s="6">
        <v>0</v>
      </c>
      <c r="T154" s="6">
        <v>0</v>
      </c>
      <c r="U154" s="6">
        <v>0</v>
      </c>
      <c r="V154" s="6">
        <v>1</v>
      </c>
      <c r="W154" s="6">
        <v>0</v>
      </c>
      <c r="X154" s="6">
        <v>1</v>
      </c>
      <c r="Y154" s="5">
        <f t="shared" si="33"/>
        <v>5</v>
      </c>
    </row>
    <row r="155" spans="1:25" x14ac:dyDescent="0.4">
      <c r="A155" s="7"/>
      <c r="B155" s="46"/>
      <c r="C155" s="24" t="s">
        <v>175</v>
      </c>
      <c r="D155" s="47"/>
      <c r="E155" s="6">
        <v>1</v>
      </c>
      <c r="F155" s="6">
        <v>1</v>
      </c>
      <c r="G155" s="6">
        <v>1</v>
      </c>
      <c r="H155" s="6">
        <v>0</v>
      </c>
      <c r="I155" s="6">
        <v>1</v>
      </c>
      <c r="J155" s="6">
        <v>0</v>
      </c>
      <c r="K155" s="6">
        <v>0</v>
      </c>
      <c r="L155" s="6">
        <v>2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1</v>
      </c>
      <c r="T155" s="6">
        <v>0</v>
      </c>
      <c r="U155" s="6">
        <v>1</v>
      </c>
      <c r="V155" s="6">
        <v>1</v>
      </c>
      <c r="W155" s="6">
        <v>2</v>
      </c>
      <c r="X155" s="6">
        <v>0</v>
      </c>
      <c r="Y155" s="5">
        <f t="shared" si="33"/>
        <v>11</v>
      </c>
    </row>
    <row r="156" spans="1:25" x14ac:dyDescent="0.4">
      <c r="A156" s="7"/>
      <c r="B156" s="46"/>
      <c r="C156" s="24" t="s">
        <v>176</v>
      </c>
      <c r="D156" s="47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1</v>
      </c>
      <c r="U156" s="6">
        <v>0</v>
      </c>
      <c r="V156" s="6">
        <v>1</v>
      </c>
      <c r="W156" s="6">
        <v>0</v>
      </c>
      <c r="X156" s="6">
        <v>1</v>
      </c>
      <c r="Y156" s="5">
        <f t="shared" si="33"/>
        <v>3</v>
      </c>
    </row>
    <row r="157" spans="1:25" ht="13.15" customHeight="1" x14ac:dyDescent="0.4">
      <c r="A157" s="7"/>
      <c r="B157" s="46"/>
      <c r="C157" s="24" t="s">
        <v>177</v>
      </c>
      <c r="D157" s="47"/>
      <c r="E157" s="6">
        <v>0</v>
      </c>
      <c r="F157" s="6">
        <v>0</v>
      </c>
      <c r="G157" s="6">
        <v>1</v>
      </c>
      <c r="H157" s="6">
        <v>1</v>
      </c>
      <c r="I157" s="6">
        <v>0</v>
      </c>
      <c r="J157" s="6">
        <v>0</v>
      </c>
      <c r="K157" s="6">
        <v>3</v>
      </c>
      <c r="L157" s="6">
        <v>1</v>
      </c>
      <c r="M157" s="6">
        <v>7</v>
      </c>
      <c r="N157" s="6">
        <v>0</v>
      </c>
      <c r="O157" s="6">
        <v>0</v>
      </c>
      <c r="P157" s="6">
        <v>3</v>
      </c>
      <c r="Q157" s="6">
        <v>25</v>
      </c>
      <c r="R157" s="6">
        <v>5</v>
      </c>
      <c r="S157" s="6">
        <v>7</v>
      </c>
      <c r="T157" s="6">
        <v>0</v>
      </c>
      <c r="U157" s="6">
        <v>10</v>
      </c>
      <c r="V157" s="6">
        <v>9</v>
      </c>
      <c r="W157" s="6">
        <v>4</v>
      </c>
      <c r="X157" s="6">
        <v>88</v>
      </c>
      <c r="Y157" s="5">
        <f t="shared" si="33"/>
        <v>164</v>
      </c>
    </row>
    <row r="158" spans="1:25" x14ac:dyDescent="0.4">
      <c r="A158" s="6" t="s">
        <v>26</v>
      </c>
      <c r="B158" s="53" t="s">
        <v>51</v>
      </c>
      <c r="C158" s="54"/>
      <c r="D158" s="55"/>
      <c r="E158" s="5">
        <f>SUM(E151:E157)</f>
        <v>51</v>
      </c>
      <c r="F158" s="5">
        <f>SUM(F151:F157)</f>
        <v>62</v>
      </c>
      <c r="G158" s="5">
        <f>SUM(G151:G157)</f>
        <v>63</v>
      </c>
      <c r="H158" s="5">
        <f>SUM(H151:H157)</f>
        <v>21</v>
      </c>
      <c r="I158" s="5">
        <f>SUM(I151:I157)</f>
        <v>16</v>
      </c>
      <c r="J158" s="5">
        <f>SUM(J151:J157)</f>
        <v>7</v>
      </c>
      <c r="K158" s="5">
        <f>SUM(K151:K157)</f>
        <v>11</v>
      </c>
      <c r="L158" s="5">
        <f>SUM(L151:L157)</f>
        <v>34</v>
      </c>
      <c r="M158" s="5">
        <f>SUM(M151:M157)</f>
        <v>35</v>
      </c>
      <c r="N158" s="5">
        <f>SUM(N151:N157)</f>
        <v>24</v>
      </c>
      <c r="O158" s="5">
        <f>SUM(O151:O157)</f>
        <v>67</v>
      </c>
      <c r="P158" s="5">
        <f>SUM(P151:P157)</f>
        <v>83</v>
      </c>
      <c r="Q158" s="5">
        <f>SUM(Q151:Q157)</f>
        <v>60</v>
      </c>
      <c r="R158" s="5">
        <f>SUM(R151:R157)</f>
        <v>35</v>
      </c>
      <c r="S158" s="5">
        <f>SUM(S151:S157)</f>
        <v>29</v>
      </c>
      <c r="T158" s="5">
        <f>SUM(T151:T157)</f>
        <v>11</v>
      </c>
      <c r="U158" s="5">
        <f>SUM(U151:U157)</f>
        <v>46</v>
      </c>
      <c r="V158" s="5">
        <f>SUM(V151:V157)</f>
        <v>22</v>
      </c>
      <c r="W158" s="5">
        <f>SUM(W151:W157)</f>
        <v>24</v>
      </c>
      <c r="X158" s="5">
        <f>SUM(X151:X157)</f>
        <v>107</v>
      </c>
      <c r="Y158" s="5">
        <f>SUM(Y151:Y157)</f>
        <v>808</v>
      </c>
    </row>
    <row r="159" spans="1:25" x14ac:dyDescent="0.4">
      <c r="A159" s="61"/>
      <c r="B159" s="62"/>
      <c r="C159" s="62"/>
      <c r="D159" s="62"/>
      <c r="E159" s="63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x14ac:dyDescent="0.4">
      <c r="A160" s="11" t="s">
        <v>48</v>
      </c>
      <c r="B160" s="17" t="s">
        <v>75</v>
      </c>
      <c r="C160" s="59" t="s">
        <v>76</v>
      </c>
      <c r="D160" s="60"/>
      <c r="E160" s="6">
        <v>3</v>
      </c>
      <c r="F160" s="6">
        <v>1</v>
      </c>
      <c r="G160" s="6">
        <v>2</v>
      </c>
      <c r="H160" s="6">
        <v>1</v>
      </c>
      <c r="I160" s="6">
        <v>0</v>
      </c>
      <c r="J160" s="6">
        <v>1</v>
      </c>
      <c r="K160" s="6">
        <v>0</v>
      </c>
      <c r="L160" s="6">
        <v>0</v>
      </c>
      <c r="M160" s="6">
        <v>2</v>
      </c>
      <c r="N160" s="6">
        <v>1</v>
      </c>
      <c r="O160" s="6">
        <v>2</v>
      </c>
      <c r="P160" s="6">
        <v>1</v>
      </c>
      <c r="Q160" s="6">
        <v>3</v>
      </c>
      <c r="R160" s="6">
        <v>3</v>
      </c>
      <c r="S160" s="6">
        <v>3</v>
      </c>
      <c r="T160" s="6">
        <v>2</v>
      </c>
      <c r="U160" s="6">
        <v>0</v>
      </c>
      <c r="V160" s="6">
        <v>2</v>
      </c>
      <c r="W160" s="6">
        <v>1</v>
      </c>
      <c r="X160" s="6">
        <v>0</v>
      </c>
      <c r="Y160" s="5">
        <f t="shared" ref="Y160:Y162" si="34">SUM(E160:X160)</f>
        <v>28</v>
      </c>
    </row>
    <row r="161" spans="1:25" x14ac:dyDescent="0.4">
      <c r="A161" s="11" t="s">
        <v>50</v>
      </c>
      <c r="B161" s="46"/>
      <c r="C161" s="24" t="s">
        <v>178</v>
      </c>
      <c r="D161" s="47"/>
      <c r="E161" s="6">
        <v>20</v>
      </c>
      <c r="F161" s="6">
        <v>0</v>
      </c>
      <c r="G161" s="6">
        <v>3</v>
      </c>
      <c r="H161" s="6">
        <v>2</v>
      </c>
      <c r="I161" s="6">
        <v>0</v>
      </c>
      <c r="J161" s="6">
        <v>1</v>
      </c>
      <c r="K161" s="6">
        <v>3</v>
      </c>
      <c r="L161" s="6">
        <v>3</v>
      </c>
      <c r="M161" s="6">
        <v>1</v>
      </c>
      <c r="N161" s="6">
        <v>0</v>
      </c>
      <c r="O161" s="6">
        <v>2</v>
      </c>
      <c r="P161" s="6">
        <v>1</v>
      </c>
      <c r="Q161" s="6">
        <v>4</v>
      </c>
      <c r="R161" s="6">
        <v>1</v>
      </c>
      <c r="S161" s="6">
        <v>5</v>
      </c>
      <c r="T161" s="6">
        <v>3</v>
      </c>
      <c r="U161" s="6">
        <v>4</v>
      </c>
      <c r="V161" s="6">
        <v>12</v>
      </c>
      <c r="W161" s="6">
        <v>3</v>
      </c>
      <c r="X161" s="6">
        <v>1</v>
      </c>
      <c r="Y161" s="5">
        <f t="shared" si="34"/>
        <v>69</v>
      </c>
    </row>
    <row r="162" spans="1:25" x14ac:dyDescent="0.4">
      <c r="A162" s="7"/>
      <c r="B162" s="46"/>
      <c r="C162" s="24" t="s">
        <v>179</v>
      </c>
      <c r="D162" s="47"/>
      <c r="E162" s="6">
        <v>2</v>
      </c>
      <c r="F162" s="6">
        <v>1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1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1</v>
      </c>
      <c r="X162" s="6">
        <v>1</v>
      </c>
      <c r="Y162" s="5">
        <f t="shared" si="34"/>
        <v>6</v>
      </c>
    </row>
    <row r="163" spans="1:25" x14ac:dyDescent="0.4">
      <c r="A163" s="6" t="s">
        <v>26</v>
      </c>
      <c r="B163" s="53" t="s">
        <v>51</v>
      </c>
      <c r="C163" s="54"/>
      <c r="D163" s="55"/>
      <c r="E163" s="5">
        <f>SUM(E160:E162)</f>
        <v>25</v>
      </c>
      <c r="F163" s="5">
        <f>SUM(F160:F162)</f>
        <v>2</v>
      </c>
      <c r="G163" s="5">
        <f>SUM(G160:G162)</f>
        <v>5</v>
      </c>
      <c r="H163" s="5">
        <f>SUM(H160:H162)</f>
        <v>3</v>
      </c>
      <c r="I163" s="5">
        <f>SUM(I160:I162)</f>
        <v>0</v>
      </c>
      <c r="J163" s="5">
        <f>SUM(J160:J162)</f>
        <v>2</v>
      </c>
      <c r="K163" s="5">
        <f>SUM(K160:K162)</f>
        <v>3</v>
      </c>
      <c r="L163" s="5">
        <f>SUM(L160:L162)</f>
        <v>3</v>
      </c>
      <c r="M163" s="5">
        <f>SUM(M160:M162)</f>
        <v>4</v>
      </c>
      <c r="N163" s="5">
        <f>SUM(N160:N162)</f>
        <v>1</v>
      </c>
      <c r="O163" s="5">
        <f>SUM(O160:O162)</f>
        <v>4</v>
      </c>
      <c r="P163" s="5">
        <f>SUM(P160:P162)</f>
        <v>2</v>
      </c>
      <c r="Q163" s="5">
        <f>SUM(Q160:Q162)</f>
        <v>7</v>
      </c>
      <c r="R163" s="5">
        <f>SUM(R160:R162)</f>
        <v>4</v>
      </c>
      <c r="S163" s="5">
        <f>SUM(S160:S162)</f>
        <v>8</v>
      </c>
      <c r="T163" s="5">
        <f>SUM(T160:T162)</f>
        <v>5</v>
      </c>
      <c r="U163" s="5">
        <f>SUM(U160:U162)</f>
        <v>4</v>
      </c>
      <c r="V163" s="5">
        <f>SUM(V160:V162)</f>
        <v>14</v>
      </c>
      <c r="W163" s="5">
        <f>SUM(W160:W162)</f>
        <v>5</v>
      </c>
      <c r="X163" s="5">
        <f>SUM(X160:X162)</f>
        <v>2</v>
      </c>
      <c r="Y163" s="5">
        <f>SUM(Y160:Y162)</f>
        <v>103</v>
      </c>
    </row>
    <row r="164" spans="1:25" x14ac:dyDescent="0.4">
      <c r="A164" s="61"/>
      <c r="B164" s="62"/>
      <c r="C164" s="62"/>
      <c r="D164" s="62"/>
      <c r="E164" s="6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x14ac:dyDescent="0.4">
      <c r="A165" s="11" t="s">
        <v>48</v>
      </c>
      <c r="B165" s="17" t="s">
        <v>77</v>
      </c>
      <c r="C165" s="59" t="s">
        <v>78</v>
      </c>
      <c r="D165" s="60"/>
      <c r="E165" s="6">
        <v>0</v>
      </c>
      <c r="F165" s="6">
        <v>0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1</v>
      </c>
      <c r="V165" s="6">
        <v>0</v>
      </c>
      <c r="W165" s="6">
        <v>0</v>
      </c>
      <c r="X165" s="6">
        <v>0</v>
      </c>
      <c r="Y165" s="5">
        <f t="shared" ref="Y165:Y171" si="35">SUM(E165:X165)</f>
        <v>2</v>
      </c>
    </row>
    <row r="166" spans="1:25" x14ac:dyDescent="0.4">
      <c r="A166" s="11" t="s">
        <v>50</v>
      </c>
      <c r="B166" s="17"/>
      <c r="C166" s="24" t="s">
        <v>180</v>
      </c>
      <c r="D166" s="45"/>
      <c r="E166" s="6">
        <v>0</v>
      </c>
      <c r="F166" s="6">
        <v>0</v>
      </c>
      <c r="G166" s="6">
        <v>1</v>
      </c>
      <c r="H166" s="6">
        <v>0</v>
      </c>
      <c r="I166" s="6">
        <v>0</v>
      </c>
      <c r="J166" s="6">
        <v>1</v>
      </c>
      <c r="K166" s="6">
        <v>1</v>
      </c>
      <c r="L166" s="6">
        <v>0</v>
      </c>
      <c r="M166" s="6">
        <v>1</v>
      </c>
      <c r="N166" s="6">
        <v>0</v>
      </c>
      <c r="O166" s="6">
        <v>0</v>
      </c>
      <c r="P166" s="6">
        <v>0</v>
      </c>
      <c r="Q166" s="6">
        <v>1</v>
      </c>
      <c r="R166" s="6">
        <v>0</v>
      </c>
      <c r="S166" s="6">
        <v>2</v>
      </c>
      <c r="T166" s="6">
        <v>2</v>
      </c>
      <c r="U166" s="6">
        <v>1</v>
      </c>
      <c r="V166" s="6">
        <v>0</v>
      </c>
      <c r="W166" s="6">
        <v>0</v>
      </c>
      <c r="X166" s="6">
        <v>0</v>
      </c>
      <c r="Y166" s="5">
        <f t="shared" si="35"/>
        <v>10</v>
      </c>
    </row>
    <row r="167" spans="1:25" x14ac:dyDescent="0.4">
      <c r="A167" s="7"/>
      <c r="B167" s="17"/>
      <c r="C167" s="24" t="s">
        <v>181</v>
      </c>
      <c r="D167" s="45"/>
      <c r="E167" s="6">
        <v>0</v>
      </c>
      <c r="F167" s="6">
        <v>0</v>
      </c>
      <c r="G167" s="6">
        <v>1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5">
        <f t="shared" si="35"/>
        <v>1</v>
      </c>
    </row>
    <row r="168" spans="1:25" x14ac:dyDescent="0.4">
      <c r="A168" s="7"/>
      <c r="B168" s="17"/>
      <c r="C168" s="24" t="s">
        <v>182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1</v>
      </c>
      <c r="Y168" s="5">
        <f t="shared" si="35"/>
        <v>1</v>
      </c>
    </row>
    <row r="169" spans="1:25" ht="13.15" customHeight="1" x14ac:dyDescent="0.4">
      <c r="A169" s="7"/>
      <c r="B169" s="46"/>
      <c r="C169" s="24" t="s">
        <v>183</v>
      </c>
      <c r="D169" s="47"/>
      <c r="E169" s="6">
        <v>0</v>
      </c>
      <c r="F169" s="6">
        <v>0</v>
      </c>
      <c r="G169" s="6">
        <v>2</v>
      </c>
      <c r="H169" s="6">
        <v>0</v>
      </c>
      <c r="I169" s="6">
        <v>0</v>
      </c>
      <c r="J169" s="6">
        <v>0</v>
      </c>
      <c r="K169" s="6">
        <v>0</v>
      </c>
      <c r="L169" s="6">
        <v>1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3</v>
      </c>
      <c r="X169" s="6">
        <v>2</v>
      </c>
      <c r="Y169" s="5">
        <f t="shared" si="35"/>
        <v>8</v>
      </c>
    </row>
    <row r="170" spans="1:25" x14ac:dyDescent="0.4">
      <c r="A170" s="7"/>
      <c r="B170" s="46"/>
      <c r="C170" s="24" t="s">
        <v>184</v>
      </c>
      <c r="D170" s="47"/>
      <c r="E170" s="6">
        <v>0</v>
      </c>
      <c r="F170" s="6">
        <v>0</v>
      </c>
      <c r="G170" s="6">
        <v>8</v>
      </c>
      <c r="H170" s="6">
        <v>0</v>
      </c>
      <c r="I170" s="6">
        <v>0</v>
      </c>
      <c r="J170" s="6">
        <v>1</v>
      </c>
      <c r="K170" s="6">
        <v>0</v>
      </c>
      <c r="L170" s="6">
        <v>2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5">
        <f t="shared" si="35"/>
        <v>11</v>
      </c>
    </row>
    <row r="171" spans="1:25" x14ac:dyDescent="0.4">
      <c r="A171" s="7"/>
      <c r="B171" s="46"/>
      <c r="C171" s="24" t="s">
        <v>185</v>
      </c>
      <c r="D171" s="47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5">
        <f t="shared" si="35"/>
        <v>0</v>
      </c>
    </row>
    <row r="172" spans="1:25" x14ac:dyDescent="0.4">
      <c r="A172" s="6" t="s">
        <v>26</v>
      </c>
      <c r="B172" s="53" t="s">
        <v>51</v>
      </c>
      <c r="C172" s="54"/>
      <c r="D172" s="55"/>
      <c r="E172" s="5">
        <f>SUM(E165:E171)</f>
        <v>0</v>
      </c>
      <c r="F172" s="5">
        <f>SUM(F165:F171)</f>
        <v>0</v>
      </c>
      <c r="G172" s="5">
        <f>SUM(G165:G171)</f>
        <v>13</v>
      </c>
      <c r="H172" s="5">
        <f>SUM(H165:H171)</f>
        <v>0</v>
      </c>
      <c r="I172" s="5">
        <f>SUM(I165:I171)</f>
        <v>0</v>
      </c>
      <c r="J172" s="5">
        <f>SUM(J165:J171)</f>
        <v>2</v>
      </c>
      <c r="K172" s="5">
        <f>SUM(K165:K171)</f>
        <v>1</v>
      </c>
      <c r="L172" s="5">
        <f>SUM(L165:L171)</f>
        <v>3</v>
      </c>
      <c r="M172" s="5">
        <f>SUM(M165:M171)</f>
        <v>1</v>
      </c>
      <c r="N172" s="5">
        <f>SUM(N165:N171)</f>
        <v>0</v>
      </c>
      <c r="O172" s="5">
        <f>SUM(O165:O171)</f>
        <v>0</v>
      </c>
      <c r="P172" s="5">
        <f>SUM(P165:P171)</f>
        <v>0</v>
      </c>
      <c r="Q172" s="5">
        <f>SUM(Q165:Q171)</f>
        <v>1</v>
      </c>
      <c r="R172" s="5">
        <f>SUM(R165:R171)</f>
        <v>0</v>
      </c>
      <c r="S172" s="5">
        <f>SUM(S165:S171)</f>
        <v>2</v>
      </c>
      <c r="T172" s="5">
        <f>SUM(T165:T171)</f>
        <v>2</v>
      </c>
      <c r="U172" s="5">
        <f>SUM(U165:U171)</f>
        <v>2</v>
      </c>
      <c r="V172" s="5">
        <f>SUM(V165:V171)</f>
        <v>0</v>
      </c>
      <c r="W172" s="5">
        <f>SUM(W165:W171)</f>
        <v>3</v>
      </c>
      <c r="X172" s="5">
        <f>SUM(X165:X171)</f>
        <v>3</v>
      </c>
      <c r="Y172" s="5">
        <f>SUM(Y165:Y171)</f>
        <v>33</v>
      </c>
    </row>
    <row r="173" spans="1:25" x14ac:dyDescent="0.4">
      <c r="A173" s="61"/>
      <c r="B173" s="62"/>
      <c r="C173" s="62"/>
      <c r="D173" s="62"/>
      <c r="E173" s="63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x14ac:dyDescent="0.4">
      <c r="A174" s="11" t="s">
        <v>48</v>
      </c>
      <c r="B174" s="17" t="s">
        <v>79</v>
      </c>
      <c r="C174" s="59" t="s">
        <v>80</v>
      </c>
      <c r="D174" s="60"/>
      <c r="E174" s="6">
        <v>0</v>
      </c>
      <c r="F174" s="6">
        <v>1</v>
      </c>
      <c r="G174" s="6">
        <v>0</v>
      </c>
      <c r="H174" s="6">
        <v>0</v>
      </c>
      <c r="I174" s="6">
        <v>0</v>
      </c>
      <c r="J174" s="6">
        <v>2</v>
      </c>
      <c r="K174" s="6">
        <v>2</v>
      </c>
      <c r="L174" s="6">
        <v>0</v>
      </c>
      <c r="M174" s="6">
        <v>0</v>
      </c>
      <c r="N174" s="6">
        <v>1</v>
      </c>
      <c r="O174" s="6">
        <v>0</v>
      </c>
      <c r="P174" s="6">
        <v>0</v>
      </c>
      <c r="Q174" s="6">
        <v>0</v>
      </c>
      <c r="R174" s="6">
        <v>1</v>
      </c>
      <c r="S174" s="6">
        <v>2</v>
      </c>
      <c r="T174" s="6">
        <v>0</v>
      </c>
      <c r="U174" s="6">
        <v>2</v>
      </c>
      <c r="V174" s="6">
        <v>1</v>
      </c>
      <c r="W174" s="6">
        <v>1</v>
      </c>
      <c r="X174" s="6">
        <v>0</v>
      </c>
      <c r="Y174" s="5">
        <f t="shared" ref="Y174:Y180" si="36">SUM(E174:X174)</f>
        <v>13</v>
      </c>
    </row>
    <row r="175" spans="1:25" x14ac:dyDescent="0.4">
      <c r="A175" s="11" t="s">
        <v>50</v>
      </c>
      <c r="B175" s="46"/>
      <c r="C175" s="24" t="s">
        <v>186</v>
      </c>
      <c r="D175" s="47"/>
      <c r="E175" s="6">
        <v>0</v>
      </c>
      <c r="F175" s="6">
        <v>0</v>
      </c>
      <c r="G175" s="6">
        <v>1</v>
      </c>
      <c r="H175" s="6">
        <v>2</v>
      </c>
      <c r="I175" s="6">
        <v>1</v>
      </c>
      <c r="J175" s="6">
        <v>2</v>
      </c>
      <c r="K175" s="6">
        <v>2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1</v>
      </c>
      <c r="W175" s="6">
        <v>0</v>
      </c>
      <c r="X175" s="6">
        <v>1</v>
      </c>
      <c r="Y175" s="5">
        <f t="shared" si="36"/>
        <v>10</v>
      </c>
    </row>
    <row r="176" spans="1:25" x14ac:dyDescent="0.4">
      <c r="A176" s="7"/>
      <c r="B176" s="46"/>
      <c r="C176" s="24" t="s">
        <v>187</v>
      </c>
      <c r="D176" s="47"/>
      <c r="E176" s="6">
        <v>26</v>
      </c>
      <c r="F176" s="6">
        <v>6</v>
      </c>
      <c r="G176" s="6">
        <v>18</v>
      </c>
      <c r="H176" s="6">
        <v>15</v>
      </c>
      <c r="I176" s="6">
        <v>16</v>
      </c>
      <c r="J176" s="6">
        <v>25</v>
      </c>
      <c r="K176" s="6">
        <v>47</v>
      </c>
      <c r="L176" s="6">
        <v>7</v>
      </c>
      <c r="M176" s="6">
        <v>3</v>
      </c>
      <c r="N176" s="6">
        <v>3</v>
      </c>
      <c r="O176" s="6">
        <v>5</v>
      </c>
      <c r="P176" s="6">
        <v>5</v>
      </c>
      <c r="Q176" s="6">
        <v>1</v>
      </c>
      <c r="R176" s="6">
        <v>12</v>
      </c>
      <c r="S176" s="6">
        <v>23</v>
      </c>
      <c r="T176" s="6">
        <v>9</v>
      </c>
      <c r="U176" s="6">
        <v>22</v>
      </c>
      <c r="V176" s="6">
        <v>28</v>
      </c>
      <c r="W176" s="6">
        <v>11</v>
      </c>
      <c r="X176" s="6">
        <v>1</v>
      </c>
      <c r="Y176" s="5">
        <f t="shared" si="36"/>
        <v>283</v>
      </c>
    </row>
    <row r="177" spans="1:25" ht="13.15" customHeight="1" x14ac:dyDescent="0.4">
      <c r="A177" s="7"/>
      <c r="B177" s="46"/>
      <c r="C177" s="24" t="s">
        <v>188</v>
      </c>
      <c r="D177" s="47"/>
      <c r="E177" s="6">
        <v>1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5">
        <f t="shared" si="36"/>
        <v>1</v>
      </c>
    </row>
    <row r="178" spans="1:25" x14ac:dyDescent="0.4">
      <c r="A178" s="7"/>
      <c r="B178" s="46"/>
      <c r="C178" s="24" t="s">
        <v>189</v>
      </c>
      <c r="D178" s="47"/>
      <c r="E178" s="6">
        <v>0</v>
      </c>
      <c r="F178" s="6">
        <v>0</v>
      </c>
      <c r="G178" s="6">
        <v>0</v>
      </c>
      <c r="H178" s="6">
        <v>2</v>
      </c>
      <c r="I178" s="6">
        <v>2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5">
        <f t="shared" si="36"/>
        <v>4</v>
      </c>
    </row>
    <row r="179" spans="1:25" ht="12.75" customHeight="1" x14ac:dyDescent="0.4">
      <c r="A179" s="7"/>
      <c r="B179" s="46"/>
      <c r="C179" s="24" t="s">
        <v>190</v>
      </c>
      <c r="D179" s="47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1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1</v>
      </c>
      <c r="T179" s="6">
        <v>0</v>
      </c>
      <c r="U179" s="6">
        <v>0</v>
      </c>
      <c r="V179" s="6">
        <v>0</v>
      </c>
      <c r="W179" s="6">
        <v>0</v>
      </c>
      <c r="X179" s="6">
        <v>5</v>
      </c>
      <c r="Y179" s="5">
        <f t="shared" si="36"/>
        <v>7</v>
      </c>
    </row>
    <row r="180" spans="1:25" x14ac:dyDescent="0.4">
      <c r="A180" s="7"/>
      <c r="B180" s="46"/>
      <c r="C180" s="24" t="s">
        <v>191</v>
      </c>
      <c r="D180" s="47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1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1</v>
      </c>
      <c r="S180" s="6">
        <v>1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5">
        <f t="shared" si="36"/>
        <v>3</v>
      </c>
    </row>
    <row r="181" spans="1:25" ht="12.75" customHeight="1" x14ac:dyDescent="0.4">
      <c r="A181" s="6" t="s">
        <v>26</v>
      </c>
      <c r="B181" s="53" t="s">
        <v>51</v>
      </c>
      <c r="C181" s="54"/>
      <c r="D181" s="55"/>
      <c r="E181" s="5">
        <f>SUM(E174:E180)</f>
        <v>27</v>
      </c>
      <c r="F181" s="5">
        <f>SUM(F174:F180)</f>
        <v>7</v>
      </c>
      <c r="G181" s="5">
        <f>SUM(G174:G180)</f>
        <v>19</v>
      </c>
      <c r="H181" s="5">
        <f>SUM(H174:H180)</f>
        <v>19</v>
      </c>
      <c r="I181" s="5">
        <f>SUM(I174:I180)</f>
        <v>19</v>
      </c>
      <c r="J181" s="5">
        <f>SUM(J174:J180)</f>
        <v>30</v>
      </c>
      <c r="K181" s="5">
        <f>SUM(K174:K180)</f>
        <v>52</v>
      </c>
      <c r="L181" s="5">
        <f>SUM(L174:L180)</f>
        <v>7</v>
      </c>
      <c r="M181" s="5">
        <f>SUM(M174:M180)</f>
        <v>3</v>
      </c>
      <c r="N181" s="5">
        <f>SUM(N174:N180)</f>
        <v>4</v>
      </c>
      <c r="O181" s="5">
        <f>SUM(O174:O180)</f>
        <v>5</v>
      </c>
      <c r="P181" s="5">
        <f>SUM(P174:P180)</f>
        <v>5</v>
      </c>
      <c r="Q181" s="5">
        <f>SUM(Q174:Q180)</f>
        <v>1</v>
      </c>
      <c r="R181" s="5">
        <f>SUM(R174:R180)</f>
        <v>14</v>
      </c>
      <c r="S181" s="5">
        <f>SUM(S174:S180)</f>
        <v>27</v>
      </c>
      <c r="T181" s="5">
        <f>SUM(T174:T180)</f>
        <v>9</v>
      </c>
      <c r="U181" s="5">
        <f>SUM(U174:U180)</f>
        <v>24</v>
      </c>
      <c r="V181" s="5">
        <f>SUM(V174:V180)</f>
        <v>30</v>
      </c>
      <c r="W181" s="5">
        <f>SUM(W174:W180)</f>
        <v>12</v>
      </c>
      <c r="X181" s="5">
        <f>SUM(X174:X180)</f>
        <v>7</v>
      </c>
      <c r="Y181" s="5">
        <f>SUM(Y174:Y180)</f>
        <v>321</v>
      </c>
    </row>
    <row r="182" spans="1:25" x14ac:dyDescent="0.4">
      <c r="A182" s="61"/>
      <c r="B182" s="62"/>
      <c r="C182" s="62"/>
      <c r="D182" s="62"/>
      <c r="E182" s="63"/>
    </row>
    <row r="183" spans="1:25" x14ac:dyDescent="0.4">
      <c r="A183" s="11" t="s">
        <v>48</v>
      </c>
      <c r="B183" s="17" t="s">
        <v>81</v>
      </c>
      <c r="C183" s="59" t="s">
        <v>82</v>
      </c>
      <c r="D183" s="60"/>
      <c r="E183" s="6">
        <v>0</v>
      </c>
      <c r="F183" s="6">
        <v>0</v>
      </c>
      <c r="G183" s="6">
        <v>0</v>
      </c>
      <c r="H183" s="6">
        <v>0</v>
      </c>
      <c r="I183" s="6">
        <v>1</v>
      </c>
      <c r="J183" s="6">
        <v>0</v>
      </c>
      <c r="K183" s="6">
        <v>0</v>
      </c>
      <c r="L183" s="6">
        <v>2</v>
      </c>
      <c r="M183" s="6">
        <v>0</v>
      </c>
      <c r="N183" s="6">
        <v>0</v>
      </c>
      <c r="O183" s="6">
        <v>0</v>
      </c>
      <c r="P183" s="6">
        <v>1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5">
        <f t="shared" ref="Y183:Y184" si="37">SUM(E183:X183)</f>
        <v>4</v>
      </c>
    </row>
    <row r="184" spans="1:25" x14ac:dyDescent="0.4">
      <c r="A184" s="11" t="s">
        <v>50</v>
      </c>
      <c r="B184" s="46"/>
      <c r="C184" s="24" t="s">
        <v>192</v>
      </c>
      <c r="D184" s="47"/>
      <c r="E184" s="6">
        <v>0</v>
      </c>
      <c r="F184" s="6">
        <v>1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2</v>
      </c>
      <c r="M184" s="6">
        <v>0</v>
      </c>
      <c r="N184" s="6">
        <v>0</v>
      </c>
      <c r="O184" s="6">
        <v>2</v>
      </c>
      <c r="P184" s="6">
        <v>0</v>
      </c>
      <c r="Q184" s="6">
        <v>3</v>
      </c>
      <c r="R184" s="6">
        <v>0</v>
      </c>
      <c r="S184" s="6">
        <v>0</v>
      </c>
      <c r="T184" s="6">
        <v>3</v>
      </c>
      <c r="U184" s="6">
        <v>0</v>
      </c>
      <c r="V184" s="6">
        <v>3</v>
      </c>
      <c r="W184" s="6">
        <v>4</v>
      </c>
      <c r="X184" s="6">
        <v>0</v>
      </c>
      <c r="Y184" s="5">
        <f t="shared" si="37"/>
        <v>18</v>
      </c>
    </row>
    <row r="185" spans="1:25" x14ac:dyDescent="0.4">
      <c r="A185" s="6" t="s">
        <v>26</v>
      </c>
      <c r="B185" s="53" t="s">
        <v>51</v>
      </c>
      <c r="C185" s="54"/>
      <c r="D185" s="55"/>
      <c r="E185" s="5">
        <f>SUM(E183:E184)</f>
        <v>0</v>
      </c>
      <c r="F185" s="5">
        <f>SUM(F183:F184)</f>
        <v>1</v>
      </c>
      <c r="G185" s="5">
        <f>SUM(G183:G184)</f>
        <v>0</v>
      </c>
      <c r="H185" s="5">
        <f>SUM(H183:H184)</f>
        <v>0</v>
      </c>
      <c r="I185" s="5">
        <f>SUM(I183:I184)</f>
        <v>1</v>
      </c>
      <c r="J185" s="5">
        <f>SUM(J183:J184)</f>
        <v>0</v>
      </c>
      <c r="K185" s="5">
        <f>SUM(K183:K184)</f>
        <v>0</v>
      </c>
      <c r="L185" s="5">
        <f>SUM(L183:L184)</f>
        <v>4</v>
      </c>
      <c r="M185" s="5">
        <f>SUM(M183:M184)</f>
        <v>0</v>
      </c>
      <c r="N185" s="5">
        <f>SUM(N183:N184)</f>
        <v>0</v>
      </c>
      <c r="O185" s="5">
        <f>SUM(O183:O184)</f>
        <v>2</v>
      </c>
      <c r="P185" s="5">
        <f>SUM(P183:P184)</f>
        <v>1</v>
      </c>
      <c r="Q185" s="5">
        <f>SUM(Q183:Q184)</f>
        <v>3</v>
      </c>
      <c r="R185" s="5">
        <f>SUM(R183:R184)</f>
        <v>0</v>
      </c>
      <c r="S185" s="5">
        <f>SUM(S183:S184)</f>
        <v>0</v>
      </c>
      <c r="T185" s="5">
        <f>SUM(T183:T184)</f>
        <v>3</v>
      </c>
      <c r="U185" s="5">
        <f>SUM(U183:U184)</f>
        <v>0</v>
      </c>
      <c r="V185" s="5">
        <f>SUM(V183:V184)</f>
        <v>3</v>
      </c>
      <c r="W185" s="5">
        <f>SUM(W183:W184)</f>
        <v>4</v>
      </c>
      <c r="X185" s="5">
        <f>SUM(X183:X184)</f>
        <v>0</v>
      </c>
      <c r="Y185" s="5">
        <f>SUM(Y183:Y184)</f>
        <v>22</v>
      </c>
    </row>
    <row r="187" spans="1:25" x14ac:dyDescent="0.4">
      <c r="A187" s="16" t="s">
        <v>83</v>
      </c>
      <c r="B187" s="56" t="s">
        <v>84</v>
      </c>
      <c r="C187" s="57"/>
      <c r="D187" s="58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x14ac:dyDescent="0.4">
      <c r="A188" s="16"/>
      <c r="B188" s="19" t="s">
        <v>85</v>
      </c>
      <c r="C188" s="51" t="s">
        <v>86</v>
      </c>
      <c r="D188" s="52"/>
      <c r="E188" s="6">
        <f>E52+E61+E70+E79+E88+E92+E101+E110+E119+E128+E131+E140+E149+E158+E163+E172+E181+E185</f>
        <v>206</v>
      </c>
      <c r="F188" s="6">
        <f>F52+F61+F70+F79+F88+F92+F101+F110+F119+F128+F131+F140+F149+F158+F163+F172+F181+F185</f>
        <v>222</v>
      </c>
      <c r="G188" s="6">
        <f>G52+G61+G70+G79+G88+G92+G101+G110+G119+G128+G131+G140+G149+G158+G163+G172+G181+G185</f>
        <v>208</v>
      </c>
      <c r="H188" s="6">
        <f>H52+H61+H70+H79+H88+H92+H101+H110+H119+H128+H131+H140+H149+H158+H163+H172+H181+H185</f>
        <v>137</v>
      </c>
      <c r="I188" s="6">
        <f>I52+I61+I70+I79+I88+I92+I101+I110+I119+I128+I131+I140+I149+I158+I163+I172+I181+I185</f>
        <v>220</v>
      </c>
      <c r="J188" s="6">
        <f>J52+J61+J70+J79+J88+J92+J101+J110+J119+J128+J131+J140+J149+J158+J163+J172+J181+J185</f>
        <v>222</v>
      </c>
      <c r="K188" s="6">
        <f>K52+K61+K70+K79+K88+K92+K101+K110+K119+K128+K131+K140+K149+K158+K163+K172+K181+K185</f>
        <v>225</v>
      </c>
      <c r="L188" s="6">
        <f>L52+L61+L70+L79+L88+L92+L101+L110+L119+L128+L131+L140+L149+L158+L163+L172+L181+L185</f>
        <v>185</v>
      </c>
      <c r="M188" s="6">
        <f>M52+M61+M70+M79+M88+M92+M101+M110+M119+M128+M131+M140+M149+M158+M163+M172+M181+M185</f>
        <v>220</v>
      </c>
      <c r="N188" s="6">
        <f>N52+N61+N70+N79+N88+N92+N101+N110+N119+N128+N131+N140+N149+N158+N163+N172+N181+N185</f>
        <v>210</v>
      </c>
      <c r="O188" s="6">
        <f>O52+O61+O70+O79+O88+O92+O101+O110+O119+O128+O131+O140+O149+O158+O163+O172+O181+O185</f>
        <v>156</v>
      </c>
      <c r="P188" s="6">
        <f>P52+P61+P70+P79+P88+P92+P101+P110+P119+P128+P131+P140+P149+P158+P163+P172+P181+P185</f>
        <v>181</v>
      </c>
      <c r="Q188" s="6">
        <f>Q52+Q61+Q70+Q79+Q88+Q92+Q101+Q110+Q119+Q128+Q131+Q140+Q149+Q158+Q163+Q172+Q181+Q185</f>
        <v>212</v>
      </c>
      <c r="R188" s="6">
        <f>R52+R61+R70+R79+R88+R92+R101+R110+R119+R128+R131+R140+R149+R158+R163+R172+R181+R185</f>
        <v>196</v>
      </c>
      <c r="S188" s="6">
        <f>S52+S61+S70+S79+S88+S92+S101+S110+S119+S128+S131+S140+S149+S158+S163+S172+S181+S185</f>
        <v>197</v>
      </c>
      <c r="T188" s="6">
        <f>T52+T61+T70+T79+T88+T92+T101+T110+T119+T128+T131+T140+T149+T158+T163+T172+T181+T185</f>
        <v>200</v>
      </c>
      <c r="U188" s="6">
        <f>U52+U61+U70+U79+U88+U92+U101+U110+U119+U128+U131+U140+U149+U158+U163+U172+U181+U185</f>
        <v>219</v>
      </c>
      <c r="V188" s="6">
        <f>V52+V61+V70+V79+V88+V92+V101+V110+V119+V128+V131+V140+V149+V158+V163+V172+V181+V185</f>
        <v>209</v>
      </c>
      <c r="W188" s="6">
        <f>W52+W61+W70+W79+W88+W92+W101+W110+W119+W128+W131+W140+W149+W158+W163+W172+W181+W185</f>
        <v>206</v>
      </c>
      <c r="X188" s="6">
        <f>X52+X61+X70+X79+X88+X92+X101+X110+X119+X128+X131+X140+X149+X158+X163+X172+X181+X185</f>
        <v>221</v>
      </c>
      <c r="Y188" s="5">
        <f>SUM(E188:X188)</f>
        <v>4052</v>
      </c>
    </row>
    <row r="189" spans="1:25" x14ac:dyDescent="0.4">
      <c r="A189" s="13"/>
      <c r="B189" s="19" t="s">
        <v>87</v>
      </c>
      <c r="C189" s="51" t="s">
        <v>88</v>
      </c>
      <c r="D189" s="52"/>
      <c r="E189" s="6">
        <v>25</v>
      </c>
      <c r="F189" s="6">
        <v>21</v>
      </c>
      <c r="G189" s="6">
        <v>20</v>
      </c>
      <c r="H189" s="6">
        <v>17</v>
      </c>
      <c r="I189" s="6">
        <v>12</v>
      </c>
      <c r="J189" s="6">
        <v>16</v>
      </c>
      <c r="K189" s="6">
        <v>9</v>
      </c>
      <c r="L189" s="6">
        <v>20</v>
      </c>
      <c r="M189" s="6">
        <v>13</v>
      </c>
      <c r="N189" s="6">
        <v>14</v>
      </c>
      <c r="O189" s="6">
        <v>28</v>
      </c>
      <c r="P189" s="6">
        <v>10</v>
      </c>
      <c r="Q189" s="6">
        <v>7</v>
      </c>
      <c r="R189" s="6">
        <v>13</v>
      </c>
      <c r="S189" s="6">
        <v>10</v>
      </c>
      <c r="T189" s="6">
        <v>12</v>
      </c>
      <c r="U189" s="6">
        <v>17</v>
      </c>
      <c r="V189" s="6">
        <v>12</v>
      </c>
      <c r="W189" s="6">
        <v>18</v>
      </c>
      <c r="X189" s="6">
        <v>16</v>
      </c>
      <c r="Y189" s="5">
        <f>SUM(E189:X189)</f>
        <v>310</v>
      </c>
    </row>
    <row r="190" spans="1:25" x14ac:dyDescent="0.4">
      <c r="A190" s="14"/>
      <c r="B190" s="19" t="s">
        <v>89</v>
      </c>
      <c r="C190" s="51" t="s">
        <v>90</v>
      </c>
      <c r="D190" s="52"/>
      <c r="E190" s="5">
        <f>SUM(E188:E189)</f>
        <v>231</v>
      </c>
      <c r="F190" s="5">
        <f t="shared" ref="F190:L190" si="38">SUM(F188:F189)</f>
        <v>243</v>
      </c>
      <c r="G190" s="5">
        <f t="shared" si="38"/>
        <v>228</v>
      </c>
      <c r="H190" s="5">
        <f t="shared" si="38"/>
        <v>154</v>
      </c>
      <c r="I190" s="5">
        <f t="shared" si="38"/>
        <v>232</v>
      </c>
      <c r="J190" s="5">
        <f t="shared" si="38"/>
        <v>238</v>
      </c>
      <c r="K190" s="5">
        <f t="shared" si="38"/>
        <v>234</v>
      </c>
      <c r="L190" s="5">
        <f t="shared" si="38"/>
        <v>205</v>
      </c>
      <c r="M190" s="5">
        <f t="shared" ref="M190:S190" si="39">SUM(M188:M189)</f>
        <v>233</v>
      </c>
      <c r="N190" s="5">
        <f t="shared" si="39"/>
        <v>224</v>
      </c>
      <c r="O190" s="5">
        <f t="shared" si="39"/>
        <v>184</v>
      </c>
      <c r="P190" s="5">
        <f t="shared" si="39"/>
        <v>191</v>
      </c>
      <c r="Q190" s="5">
        <f t="shared" si="39"/>
        <v>219</v>
      </c>
      <c r="R190" s="5">
        <f t="shared" si="39"/>
        <v>209</v>
      </c>
      <c r="S190" s="5">
        <f t="shared" si="39"/>
        <v>207</v>
      </c>
      <c r="T190" s="5">
        <f t="shared" ref="T190:X190" si="40">SUM(T188:T189)</f>
        <v>212</v>
      </c>
      <c r="U190" s="5">
        <f t="shared" si="40"/>
        <v>236</v>
      </c>
      <c r="V190" s="5">
        <f t="shared" si="40"/>
        <v>221</v>
      </c>
      <c r="W190" s="5">
        <f t="shared" si="40"/>
        <v>224</v>
      </c>
      <c r="X190" s="5">
        <f t="shared" si="40"/>
        <v>237</v>
      </c>
      <c r="Y190" s="5">
        <f>SUM(E190:X190)</f>
        <v>4362</v>
      </c>
    </row>
  </sheetData>
  <mergeCells count="87">
    <mergeCell ref="A17:D17"/>
    <mergeCell ref="B12:D12"/>
    <mergeCell ref="E12:X12"/>
    <mergeCell ref="Y12:Y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52:D52"/>
    <mergeCell ref="B35:D35"/>
    <mergeCell ref="B36:D36"/>
    <mergeCell ref="A37:D37"/>
    <mergeCell ref="E37:W37"/>
    <mergeCell ref="B38:D38"/>
    <mergeCell ref="B39:C41"/>
    <mergeCell ref="A42:D42"/>
    <mergeCell ref="E42:W42"/>
    <mergeCell ref="B43:D43"/>
    <mergeCell ref="A44:D44"/>
    <mergeCell ref="C45:D45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B119:D119"/>
    <mergeCell ref="A89:E89"/>
    <mergeCell ref="C90:D90"/>
    <mergeCell ref="B92:D92"/>
    <mergeCell ref="A93:E93"/>
    <mergeCell ref="C94:D94"/>
    <mergeCell ref="B101:D101"/>
    <mergeCell ref="A102:E102"/>
    <mergeCell ref="C103:D103"/>
    <mergeCell ref="B110:D110"/>
    <mergeCell ref="A111:E111"/>
    <mergeCell ref="C112:D112"/>
    <mergeCell ref="C91:D91"/>
    <mergeCell ref="B149:D149"/>
    <mergeCell ref="B140:D140"/>
    <mergeCell ref="A141:E141"/>
    <mergeCell ref="A120:E120"/>
    <mergeCell ref="C121:D121"/>
    <mergeCell ref="B128:D128"/>
    <mergeCell ref="A129:E129"/>
    <mergeCell ref="C130:D130"/>
    <mergeCell ref="C142:D142"/>
    <mergeCell ref="B131:D131"/>
    <mergeCell ref="A132:E132"/>
    <mergeCell ref="C133:D133"/>
    <mergeCell ref="C190:D190"/>
    <mergeCell ref="A182:E182"/>
    <mergeCell ref="C183:D183"/>
    <mergeCell ref="B185:D185"/>
    <mergeCell ref="B187:D187"/>
    <mergeCell ref="C188:D188"/>
    <mergeCell ref="C189:D189"/>
    <mergeCell ref="B181:D181"/>
    <mergeCell ref="A150:E150"/>
    <mergeCell ref="C151:D151"/>
    <mergeCell ref="B158:D158"/>
    <mergeCell ref="A159:E159"/>
    <mergeCell ref="C160:D160"/>
    <mergeCell ref="B163:D163"/>
    <mergeCell ref="A164:E164"/>
    <mergeCell ref="C165:D165"/>
    <mergeCell ref="B172:D172"/>
    <mergeCell ref="A173:E173"/>
    <mergeCell ref="C174:D174"/>
  </mergeCells>
  <phoneticPr fontId="8" type="noConversion"/>
  <conditionalFormatting sqref="E14:X15">
    <cfRule type="containsBlanks" dxfId="61" priority="20">
      <formula>LEN(TRIM(E14))=0</formula>
    </cfRule>
  </conditionalFormatting>
  <conditionalFormatting sqref="E19:X20">
    <cfRule type="containsBlanks" dxfId="60" priority="23">
      <formula>LEN(TRIM(E19))=0</formula>
    </cfRule>
  </conditionalFormatting>
  <conditionalFormatting sqref="E22:X23 E25:X26 E33:X33 E35:X35 E39:X40">
    <cfRule type="containsBlanks" dxfId="59" priority="24">
      <formula>LEN(TRIM(E22))=0</formula>
    </cfRule>
  </conditionalFormatting>
  <conditionalFormatting sqref="E30:X30">
    <cfRule type="expression" dxfId="58" priority="25">
      <formula>E30&lt;&gt;E47</formula>
    </cfRule>
    <cfRule type="expression" dxfId="57" priority="26">
      <formula>E30&lt;&gt;E34</formula>
    </cfRule>
  </conditionalFormatting>
  <conditionalFormatting sqref="E45:X51">
    <cfRule type="containsBlanks" dxfId="56" priority="19">
      <formula>LEN(TRIM(E45))=0</formula>
    </cfRule>
  </conditionalFormatting>
  <conditionalFormatting sqref="E54:X60">
    <cfRule type="containsBlanks" dxfId="55" priority="18">
      <formula>LEN(TRIM(E54))=0</formula>
    </cfRule>
  </conditionalFormatting>
  <conditionalFormatting sqref="E63:X69">
    <cfRule type="containsBlanks" dxfId="54" priority="17">
      <formula>LEN(TRIM(E63))=0</formula>
    </cfRule>
  </conditionalFormatting>
  <conditionalFormatting sqref="E72:X78">
    <cfRule type="containsBlanks" dxfId="53" priority="16">
      <formula>LEN(TRIM(E72))=0</formula>
    </cfRule>
  </conditionalFormatting>
  <conditionalFormatting sqref="E81:X87">
    <cfRule type="containsBlanks" dxfId="52" priority="15">
      <formula>LEN(TRIM(E81))=0</formula>
    </cfRule>
  </conditionalFormatting>
  <conditionalFormatting sqref="E90:X91">
    <cfRule type="containsBlanks" dxfId="51" priority="14">
      <formula>LEN(TRIM(E90))=0</formula>
    </cfRule>
  </conditionalFormatting>
  <conditionalFormatting sqref="E94:X100">
    <cfRule type="containsBlanks" dxfId="50" priority="1">
      <formula>LEN(TRIM(E94))=0</formula>
    </cfRule>
  </conditionalFormatting>
  <conditionalFormatting sqref="E103:X109">
    <cfRule type="containsBlanks" dxfId="49" priority="13">
      <formula>LEN(TRIM(E103))=0</formula>
    </cfRule>
  </conditionalFormatting>
  <conditionalFormatting sqref="E112:X118">
    <cfRule type="containsBlanks" dxfId="48" priority="12">
      <formula>LEN(TRIM(E112))=0</formula>
    </cfRule>
  </conditionalFormatting>
  <conditionalFormatting sqref="E121:X127">
    <cfRule type="containsBlanks" dxfId="47" priority="3">
      <formula>LEN(TRIM(E121))=0</formula>
    </cfRule>
  </conditionalFormatting>
  <conditionalFormatting sqref="E130:X130">
    <cfRule type="containsBlanks" dxfId="46" priority="11">
      <formula>LEN(TRIM(E130))=0</formula>
    </cfRule>
  </conditionalFormatting>
  <conditionalFormatting sqref="E133:X139">
    <cfRule type="containsBlanks" dxfId="45" priority="10">
      <formula>LEN(TRIM(E133))=0</formula>
    </cfRule>
  </conditionalFormatting>
  <conditionalFormatting sqref="E142:X148">
    <cfRule type="containsBlanks" dxfId="44" priority="9">
      <formula>LEN(TRIM(E142))=0</formula>
    </cfRule>
  </conditionalFormatting>
  <conditionalFormatting sqref="E151:X157">
    <cfRule type="containsBlanks" dxfId="43" priority="8">
      <formula>LEN(TRIM(E151))=0</formula>
    </cfRule>
  </conditionalFormatting>
  <conditionalFormatting sqref="E160:X162">
    <cfRule type="containsBlanks" dxfId="42" priority="7">
      <formula>LEN(TRIM(E160))=0</formula>
    </cfRule>
  </conditionalFormatting>
  <conditionalFormatting sqref="E165:X171">
    <cfRule type="containsBlanks" dxfId="41" priority="6">
      <formula>LEN(TRIM(E165))=0</formula>
    </cfRule>
  </conditionalFormatting>
  <conditionalFormatting sqref="E174:X180">
    <cfRule type="containsBlanks" dxfId="40" priority="5">
      <formula>LEN(TRIM(E174))=0</formula>
    </cfRule>
  </conditionalFormatting>
  <conditionalFormatting sqref="E183:X184">
    <cfRule type="containsBlanks" dxfId="39" priority="4">
      <formula>LEN(TRIM(E183))=0</formula>
    </cfRule>
  </conditionalFormatting>
  <conditionalFormatting sqref="E188:X189">
    <cfRule type="containsBlanks" dxfId="38" priority="2">
      <formula>LEN(TRIM(E188))=0</formula>
    </cfRule>
  </conditionalFormatting>
  <conditionalFormatting sqref="E34:X34">
    <cfRule type="expression" dxfId="37" priority="117">
      <formula>E30&lt;&gt;E34</formula>
    </cfRule>
    <cfRule type="expression" dxfId="36" priority="118">
      <formula>E30=E34</formula>
    </cfRule>
    <cfRule type="expression" dxfId="35" priority="119">
      <formula>E34&lt;&gt;E30</formula>
    </cfRule>
    <cfRule type="expression" dxfId="34" priority="120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919A-C800-4DB1-B540-2E6C3C53FC13}">
  <sheetPr>
    <tabColor rgb="FF92D050"/>
  </sheetPr>
  <dimension ref="A2:AM190"/>
  <sheetViews>
    <sheetView topLeftCell="V13" zoomScale="115" zoomScaleNormal="115" workbookViewId="0">
      <pane ySplit="1" topLeftCell="A185" activePane="bottomLeft" state="frozen"/>
      <selection activeCell="E14" sqref="E14"/>
      <selection pane="bottomLeft" activeCell="AM190" sqref="AM190"/>
    </sheetView>
  </sheetViews>
  <sheetFormatPr defaultRowHeight="13.15" x14ac:dyDescent="0.4"/>
  <cols>
    <col min="3" max="3" width="67.140625" bestFit="1" customWidth="1"/>
    <col min="4" max="4" width="5.85546875" bestFit="1" customWidth="1"/>
    <col min="39" max="39" width="13.28515625" customWidth="1"/>
  </cols>
  <sheetData>
    <row r="2" spans="1:39" x14ac:dyDescent="0.4">
      <c r="C2" s="43" t="s">
        <v>98</v>
      </c>
      <c r="D2" s="43" t="s">
        <v>105</v>
      </c>
    </row>
    <row r="3" spans="1:39" x14ac:dyDescent="0.4">
      <c r="C3" s="43" t="s">
        <v>99</v>
      </c>
      <c r="D3" s="43" t="s">
        <v>100</v>
      </c>
    </row>
    <row r="4" spans="1:39" x14ac:dyDescent="0.4">
      <c r="C4" s="43" t="s">
        <v>101</v>
      </c>
      <c r="D4" s="43" t="s">
        <v>102</v>
      </c>
    </row>
    <row r="5" spans="1:39" x14ac:dyDescent="0.4">
      <c r="C5" s="43"/>
      <c r="D5" s="43"/>
    </row>
    <row r="6" spans="1:39" x14ac:dyDescent="0.4">
      <c r="C6" s="43"/>
      <c r="D6" s="43"/>
    </row>
    <row r="7" spans="1:39" x14ac:dyDescent="0.4">
      <c r="C7" s="43"/>
      <c r="D7" s="43"/>
    </row>
    <row r="8" spans="1:39" x14ac:dyDescent="0.4">
      <c r="C8" s="43"/>
      <c r="D8" s="43"/>
    </row>
    <row r="9" spans="1:39" x14ac:dyDescent="0.4">
      <c r="C9" s="43" t="s">
        <v>103</v>
      </c>
      <c r="D9" s="43" t="s">
        <v>105</v>
      </c>
    </row>
    <row r="11" spans="1:3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S11" s="1"/>
      <c r="T11" s="1"/>
      <c r="U11" s="1"/>
      <c r="V11" s="1"/>
      <c r="W11" s="1"/>
      <c r="X11" s="1"/>
      <c r="Y11" s="1"/>
      <c r="Z11" s="1"/>
      <c r="AA11" s="3"/>
      <c r="AF11" s="1"/>
      <c r="AG11" s="3"/>
    </row>
    <row r="12" spans="1:39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2" t="s">
        <v>97</v>
      </c>
    </row>
    <row r="13" spans="1:39" x14ac:dyDescent="0.4">
      <c r="A13" s="6" t="s">
        <v>2</v>
      </c>
      <c r="B13" s="78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202</v>
      </c>
      <c r="AD13" s="5" t="s">
        <v>203</v>
      </c>
      <c r="AE13" s="5" t="s">
        <v>204</v>
      </c>
      <c r="AF13" s="5" t="s">
        <v>205</v>
      </c>
      <c r="AG13" s="5" t="s">
        <v>206</v>
      </c>
      <c r="AH13" s="5" t="s">
        <v>207</v>
      </c>
      <c r="AI13" s="5" t="s">
        <v>208</v>
      </c>
      <c r="AJ13" s="5" t="s">
        <v>209</v>
      </c>
      <c r="AK13" s="5" t="s">
        <v>210</v>
      </c>
      <c r="AL13" s="5" t="s">
        <v>211</v>
      </c>
      <c r="AM13" s="93"/>
    </row>
    <row r="14" spans="1:39" x14ac:dyDescent="0.4">
      <c r="A14" s="7"/>
      <c r="B14" s="81" t="s">
        <v>22</v>
      </c>
      <c r="C14" s="68"/>
      <c r="D14" s="6" t="s">
        <v>23</v>
      </c>
      <c r="E14" s="6">
        <v>135</v>
      </c>
      <c r="F14" s="6">
        <v>140</v>
      </c>
      <c r="G14" s="6">
        <v>111</v>
      </c>
      <c r="H14" s="6">
        <v>115</v>
      </c>
      <c r="I14" s="6">
        <v>132</v>
      </c>
      <c r="J14" s="6">
        <v>112</v>
      </c>
      <c r="K14" s="6">
        <v>130</v>
      </c>
      <c r="L14" s="6">
        <v>127</v>
      </c>
      <c r="M14" s="6">
        <v>130</v>
      </c>
      <c r="N14" s="6">
        <v>141</v>
      </c>
      <c r="O14" s="6">
        <v>131</v>
      </c>
      <c r="P14" s="6">
        <v>122</v>
      </c>
      <c r="Q14" s="6">
        <v>124</v>
      </c>
      <c r="R14" s="6">
        <v>120</v>
      </c>
      <c r="S14" s="6">
        <v>127</v>
      </c>
      <c r="T14" s="6">
        <v>133</v>
      </c>
      <c r="U14" s="6">
        <v>127</v>
      </c>
      <c r="V14" s="6">
        <v>118</v>
      </c>
      <c r="W14" s="6">
        <v>117</v>
      </c>
      <c r="X14" s="6">
        <v>119</v>
      </c>
      <c r="Y14" s="6">
        <v>140</v>
      </c>
      <c r="Z14" s="6">
        <v>78</v>
      </c>
      <c r="AA14" s="6">
        <v>133</v>
      </c>
      <c r="AB14" s="6">
        <v>125</v>
      </c>
      <c r="AC14" s="6">
        <v>137</v>
      </c>
      <c r="AD14" s="6">
        <v>146</v>
      </c>
      <c r="AE14" s="6">
        <v>141</v>
      </c>
      <c r="AF14" s="6">
        <v>138</v>
      </c>
      <c r="AG14" s="6">
        <v>119</v>
      </c>
      <c r="AH14" s="6">
        <v>101</v>
      </c>
      <c r="AI14" s="6">
        <v>119</v>
      </c>
      <c r="AJ14" s="6">
        <v>127</v>
      </c>
      <c r="AK14" s="6">
        <v>129</v>
      </c>
      <c r="AL14" s="6">
        <v>124</v>
      </c>
      <c r="AM14" s="5">
        <f>SUM(E14:AL14)</f>
        <v>4268</v>
      </c>
    </row>
    <row r="15" spans="1:39" x14ac:dyDescent="0.4">
      <c r="A15" s="7"/>
      <c r="B15" s="82"/>
      <c r="C15" s="75"/>
      <c r="D15" s="6" t="s">
        <v>24</v>
      </c>
      <c r="E15" s="6">
        <v>146</v>
      </c>
      <c r="F15" s="6">
        <v>146</v>
      </c>
      <c r="G15" s="6">
        <v>121</v>
      </c>
      <c r="H15" s="6">
        <v>125</v>
      </c>
      <c r="I15" s="6">
        <v>134</v>
      </c>
      <c r="J15" s="6">
        <v>125</v>
      </c>
      <c r="K15" s="6">
        <v>120</v>
      </c>
      <c r="L15" s="6">
        <v>123</v>
      </c>
      <c r="M15" s="6">
        <v>149</v>
      </c>
      <c r="N15" s="6">
        <v>141</v>
      </c>
      <c r="O15" s="6">
        <v>134</v>
      </c>
      <c r="P15" s="6">
        <v>121</v>
      </c>
      <c r="Q15" s="6">
        <v>126</v>
      </c>
      <c r="R15" s="6">
        <v>125</v>
      </c>
      <c r="S15" s="6">
        <v>131</v>
      </c>
      <c r="T15" s="6">
        <v>135</v>
      </c>
      <c r="U15" s="6">
        <v>136</v>
      </c>
      <c r="V15" s="6">
        <v>135</v>
      </c>
      <c r="W15" s="6">
        <v>135</v>
      </c>
      <c r="X15" s="6">
        <v>144</v>
      </c>
      <c r="Y15" s="6">
        <v>140</v>
      </c>
      <c r="Z15" s="6">
        <v>76</v>
      </c>
      <c r="AA15" s="6">
        <v>141</v>
      </c>
      <c r="AB15" s="6">
        <v>143</v>
      </c>
      <c r="AC15" s="6">
        <v>156</v>
      </c>
      <c r="AD15" s="6">
        <v>142</v>
      </c>
      <c r="AE15" s="6">
        <v>153</v>
      </c>
      <c r="AF15" s="6">
        <v>153</v>
      </c>
      <c r="AG15" s="6">
        <v>114</v>
      </c>
      <c r="AH15" s="6">
        <v>128</v>
      </c>
      <c r="AI15" s="6">
        <v>135</v>
      </c>
      <c r="AJ15" s="6">
        <v>142</v>
      </c>
      <c r="AK15" s="6">
        <v>131</v>
      </c>
      <c r="AL15" s="6">
        <v>142</v>
      </c>
      <c r="AM15" s="5">
        <f>SUM(E15:AL15)</f>
        <v>4548</v>
      </c>
    </row>
    <row r="16" spans="1:39" x14ac:dyDescent="0.4">
      <c r="A16" s="8"/>
      <c r="B16" s="80"/>
      <c r="C16" s="76"/>
      <c r="D16" s="5" t="s">
        <v>25</v>
      </c>
      <c r="E16" s="5">
        <f t="shared" ref="E16:AL16" si="0">SUM(E14:E15)</f>
        <v>281</v>
      </c>
      <c r="F16" s="5">
        <f t="shared" ref="F16:R16" si="1">SUM(F14:F15)</f>
        <v>286</v>
      </c>
      <c r="G16" s="5">
        <f t="shared" si="1"/>
        <v>232</v>
      </c>
      <c r="H16" s="5">
        <f t="shared" si="1"/>
        <v>240</v>
      </c>
      <c r="I16" s="5">
        <f t="shared" si="1"/>
        <v>266</v>
      </c>
      <c r="J16" s="5">
        <f t="shared" si="1"/>
        <v>237</v>
      </c>
      <c r="K16" s="5">
        <f t="shared" si="1"/>
        <v>250</v>
      </c>
      <c r="L16" s="5">
        <f t="shared" si="1"/>
        <v>250</v>
      </c>
      <c r="M16" s="5">
        <f t="shared" si="1"/>
        <v>279</v>
      </c>
      <c r="N16" s="5">
        <f t="shared" si="1"/>
        <v>282</v>
      </c>
      <c r="O16" s="5">
        <f t="shared" si="1"/>
        <v>265</v>
      </c>
      <c r="P16" s="5">
        <f t="shared" si="1"/>
        <v>243</v>
      </c>
      <c r="Q16" s="5">
        <f t="shared" si="1"/>
        <v>250</v>
      </c>
      <c r="R16" s="5">
        <f t="shared" si="1"/>
        <v>245</v>
      </c>
      <c r="S16" s="5">
        <f t="shared" si="0"/>
        <v>258</v>
      </c>
      <c r="T16" s="5">
        <f t="shared" si="0"/>
        <v>268</v>
      </c>
      <c r="U16" s="5">
        <f t="shared" si="0"/>
        <v>263</v>
      </c>
      <c r="V16" s="5">
        <f t="shared" si="0"/>
        <v>253</v>
      </c>
      <c r="W16" s="5">
        <f t="shared" si="0"/>
        <v>252</v>
      </c>
      <c r="X16" s="5">
        <f t="shared" si="0"/>
        <v>263</v>
      </c>
      <c r="Y16" s="5">
        <f t="shared" si="0"/>
        <v>280</v>
      </c>
      <c r="Z16" s="5">
        <f t="shared" ref="Z16:AE16" si="2">SUM(Z14:Z15)</f>
        <v>154</v>
      </c>
      <c r="AA16" s="5">
        <f t="shared" si="2"/>
        <v>274</v>
      </c>
      <c r="AB16" s="5">
        <f t="shared" si="2"/>
        <v>268</v>
      </c>
      <c r="AC16" s="5">
        <f t="shared" si="2"/>
        <v>293</v>
      </c>
      <c r="AD16" s="5">
        <f t="shared" si="2"/>
        <v>288</v>
      </c>
      <c r="AE16" s="5">
        <f t="shared" si="2"/>
        <v>294</v>
      </c>
      <c r="AF16" s="5">
        <f t="shared" si="0"/>
        <v>291</v>
      </c>
      <c r="AG16" s="5">
        <f t="shared" si="0"/>
        <v>233</v>
      </c>
      <c r="AH16" s="5">
        <f t="shared" ref="AH16:AI16" si="3">SUM(AH14:AH15)</f>
        <v>229</v>
      </c>
      <c r="AI16" s="5">
        <f t="shared" si="3"/>
        <v>254</v>
      </c>
      <c r="AJ16" s="5">
        <f t="shared" si="0"/>
        <v>269</v>
      </c>
      <c r="AK16" s="5">
        <f t="shared" si="0"/>
        <v>260</v>
      </c>
      <c r="AL16" s="5">
        <f t="shared" si="0"/>
        <v>266</v>
      </c>
      <c r="AM16" s="5">
        <f>SUM(E16:AL16)</f>
        <v>8816</v>
      </c>
    </row>
    <row r="17" spans="1:39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6"/>
      <c r="T17" s="6"/>
      <c r="U17" s="6"/>
      <c r="V17" s="6"/>
      <c r="W17" s="6"/>
      <c r="X17" s="6"/>
      <c r="Y17" s="6"/>
      <c r="Z17" s="6"/>
      <c r="AA17" s="10"/>
      <c r="AB17" s="10"/>
      <c r="AC17" s="10"/>
      <c r="AD17" s="10"/>
      <c r="AE17" s="10"/>
      <c r="AF17" s="6"/>
      <c r="AG17" s="10"/>
      <c r="AH17" s="10"/>
      <c r="AI17" s="10"/>
      <c r="AJ17" s="10"/>
      <c r="AK17" s="10"/>
      <c r="AL17" s="10"/>
      <c r="AM17" s="28"/>
    </row>
    <row r="18" spans="1:39" x14ac:dyDescent="0.4">
      <c r="A18" s="11" t="s">
        <v>26</v>
      </c>
      <c r="B18" s="78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6"/>
      <c r="T18" s="6"/>
      <c r="U18" s="6"/>
      <c r="V18" s="6"/>
      <c r="W18" s="6"/>
      <c r="X18" s="6"/>
      <c r="Y18" s="6"/>
      <c r="Z18" s="6"/>
      <c r="AA18" s="10"/>
      <c r="AB18" s="10"/>
      <c r="AC18" s="10"/>
      <c r="AD18" s="10"/>
      <c r="AE18" s="10"/>
      <c r="AF18" s="6"/>
      <c r="AG18" s="10"/>
      <c r="AH18" s="10"/>
      <c r="AI18" s="10"/>
      <c r="AJ18" s="10"/>
      <c r="AK18" s="10"/>
      <c r="AL18" s="10"/>
      <c r="AM18" s="28"/>
    </row>
    <row r="19" spans="1:39" x14ac:dyDescent="0.4">
      <c r="A19" s="11"/>
      <c r="B19" s="83" t="s">
        <v>28</v>
      </c>
      <c r="C19" s="84" t="s">
        <v>29</v>
      </c>
      <c r="D19" s="6" t="s">
        <v>23</v>
      </c>
      <c r="E19" s="6">
        <v>88</v>
      </c>
      <c r="F19" s="6">
        <v>100</v>
      </c>
      <c r="G19" s="6">
        <v>79</v>
      </c>
      <c r="H19" s="6">
        <v>92</v>
      </c>
      <c r="I19" s="6">
        <v>110</v>
      </c>
      <c r="J19" s="6">
        <v>81</v>
      </c>
      <c r="K19" s="6">
        <v>96</v>
      </c>
      <c r="L19" s="6">
        <v>93</v>
      </c>
      <c r="M19" s="6">
        <v>95</v>
      </c>
      <c r="N19" s="6">
        <v>103</v>
      </c>
      <c r="O19" s="6">
        <v>92</v>
      </c>
      <c r="P19" s="6">
        <v>96</v>
      </c>
      <c r="Q19" s="6">
        <v>100</v>
      </c>
      <c r="R19" s="6">
        <v>93</v>
      </c>
      <c r="S19" s="6">
        <v>98</v>
      </c>
      <c r="T19" s="6">
        <v>106</v>
      </c>
      <c r="U19" s="6">
        <v>100</v>
      </c>
      <c r="V19" s="6">
        <v>88</v>
      </c>
      <c r="W19" s="6">
        <v>99</v>
      </c>
      <c r="X19" s="6">
        <v>95</v>
      </c>
      <c r="Y19" s="6">
        <v>101</v>
      </c>
      <c r="Z19" s="6">
        <v>54</v>
      </c>
      <c r="AA19" s="6">
        <v>98</v>
      </c>
      <c r="AB19" s="6">
        <v>100</v>
      </c>
      <c r="AC19" s="6">
        <v>102</v>
      </c>
      <c r="AD19" s="6">
        <v>104</v>
      </c>
      <c r="AE19" s="6">
        <v>104</v>
      </c>
      <c r="AF19" s="6">
        <v>120</v>
      </c>
      <c r="AG19" s="6">
        <v>91</v>
      </c>
      <c r="AH19" s="6">
        <v>77</v>
      </c>
      <c r="AI19" s="6">
        <v>84</v>
      </c>
      <c r="AJ19" s="6">
        <v>97</v>
      </c>
      <c r="AK19" s="6">
        <v>98</v>
      </c>
      <c r="AL19" s="6">
        <v>93</v>
      </c>
      <c r="AM19" s="5">
        <f t="shared" ref="AM19:AM30" si="4">SUM(E19:AL19)</f>
        <v>3227</v>
      </c>
    </row>
    <row r="20" spans="1:39" x14ac:dyDescent="0.4">
      <c r="A20" s="12"/>
      <c r="B20" s="75"/>
      <c r="C20" s="85"/>
      <c r="D20" s="6" t="s">
        <v>24</v>
      </c>
      <c r="E20" s="6">
        <v>103</v>
      </c>
      <c r="F20" s="6">
        <v>111</v>
      </c>
      <c r="G20" s="6">
        <v>98</v>
      </c>
      <c r="H20" s="6">
        <v>100</v>
      </c>
      <c r="I20" s="6">
        <v>109</v>
      </c>
      <c r="J20" s="6">
        <v>99</v>
      </c>
      <c r="K20" s="6">
        <v>105</v>
      </c>
      <c r="L20" s="6">
        <v>100</v>
      </c>
      <c r="M20" s="6">
        <v>112</v>
      </c>
      <c r="N20" s="6">
        <v>113</v>
      </c>
      <c r="O20" s="6">
        <v>101</v>
      </c>
      <c r="P20" s="6">
        <v>99</v>
      </c>
      <c r="Q20" s="6">
        <v>111</v>
      </c>
      <c r="R20" s="6">
        <v>104</v>
      </c>
      <c r="S20" s="6">
        <v>103</v>
      </c>
      <c r="T20" s="6">
        <v>109</v>
      </c>
      <c r="U20" s="6">
        <v>113</v>
      </c>
      <c r="V20" s="6">
        <v>108</v>
      </c>
      <c r="W20" s="6">
        <v>86</v>
      </c>
      <c r="X20" s="6">
        <v>110</v>
      </c>
      <c r="Y20" s="6">
        <v>118</v>
      </c>
      <c r="Z20" s="6">
        <v>57</v>
      </c>
      <c r="AA20" s="6">
        <v>115</v>
      </c>
      <c r="AB20" s="6">
        <v>102</v>
      </c>
      <c r="AC20" s="6">
        <v>122</v>
      </c>
      <c r="AD20" s="6">
        <v>115</v>
      </c>
      <c r="AE20" s="6">
        <v>112</v>
      </c>
      <c r="AF20" s="6">
        <v>120</v>
      </c>
      <c r="AG20" s="6">
        <v>78</v>
      </c>
      <c r="AH20" s="6">
        <v>102</v>
      </c>
      <c r="AI20" s="6">
        <v>112</v>
      </c>
      <c r="AJ20" s="6">
        <v>123</v>
      </c>
      <c r="AK20" s="6">
        <v>111</v>
      </c>
      <c r="AL20" s="6">
        <v>106</v>
      </c>
      <c r="AM20" s="5">
        <f t="shared" si="4"/>
        <v>3587</v>
      </c>
    </row>
    <row r="21" spans="1:39" x14ac:dyDescent="0.4">
      <c r="A21" s="13"/>
      <c r="B21" s="76"/>
      <c r="C21" s="86"/>
      <c r="D21" s="5" t="s">
        <v>25</v>
      </c>
      <c r="E21" s="5">
        <f t="shared" ref="E21:AL21" si="5">SUM(E19:E20)</f>
        <v>191</v>
      </c>
      <c r="F21" s="5">
        <f t="shared" ref="F21:R21" si="6">SUM(F19:F20)</f>
        <v>211</v>
      </c>
      <c r="G21" s="5">
        <f t="shared" si="6"/>
        <v>177</v>
      </c>
      <c r="H21" s="5">
        <f t="shared" si="6"/>
        <v>192</v>
      </c>
      <c r="I21" s="5">
        <f t="shared" si="6"/>
        <v>219</v>
      </c>
      <c r="J21" s="5">
        <f t="shared" si="6"/>
        <v>180</v>
      </c>
      <c r="K21" s="5">
        <f t="shared" si="6"/>
        <v>201</v>
      </c>
      <c r="L21" s="5">
        <f t="shared" si="6"/>
        <v>193</v>
      </c>
      <c r="M21" s="5">
        <f t="shared" si="6"/>
        <v>207</v>
      </c>
      <c r="N21" s="5">
        <f t="shared" si="6"/>
        <v>216</v>
      </c>
      <c r="O21" s="5">
        <f t="shared" si="6"/>
        <v>193</v>
      </c>
      <c r="P21" s="5">
        <f t="shared" si="6"/>
        <v>195</v>
      </c>
      <c r="Q21" s="5">
        <f t="shared" si="6"/>
        <v>211</v>
      </c>
      <c r="R21" s="5">
        <f t="shared" si="6"/>
        <v>197</v>
      </c>
      <c r="S21" s="5">
        <f t="shared" si="5"/>
        <v>201</v>
      </c>
      <c r="T21" s="5">
        <f t="shared" si="5"/>
        <v>215</v>
      </c>
      <c r="U21" s="5">
        <f t="shared" si="5"/>
        <v>213</v>
      </c>
      <c r="V21" s="5">
        <f t="shared" si="5"/>
        <v>196</v>
      </c>
      <c r="W21" s="5">
        <f t="shared" si="5"/>
        <v>185</v>
      </c>
      <c r="X21" s="5">
        <f t="shared" si="5"/>
        <v>205</v>
      </c>
      <c r="Y21" s="5">
        <f t="shared" si="5"/>
        <v>219</v>
      </c>
      <c r="Z21" s="5">
        <f t="shared" ref="Z21:AE21" si="7">SUM(Z19:Z20)</f>
        <v>111</v>
      </c>
      <c r="AA21" s="5">
        <f t="shared" si="7"/>
        <v>213</v>
      </c>
      <c r="AB21" s="5">
        <f t="shared" si="7"/>
        <v>202</v>
      </c>
      <c r="AC21" s="5">
        <f t="shared" si="7"/>
        <v>224</v>
      </c>
      <c r="AD21" s="5">
        <f t="shared" si="7"/>
        <v>219</v>
      </c>
      <c r="AE21" s="5">
        <f t="shared" si="7"/>
        <v>216</v>
      </c>
      <c r="AF21" s="5">
        <f t="shared" si="5"/>
        <v>240</v>
      </c>
      <c r="AG21" s="5">
        <f t="shared" si="5"/>
        <v>169</v>
      </c>
      <c r="AH21" s="5">
        <f t="shared" ref="AH21:AI21" si="8">SUM(AH19:AH20)</f>
        <v>179</v>
      </c>
      <c r="AI21" s="5">
        <f t="shared" si="8"/>
        <v>196</v>
      </c>
      <c r="AJ21" s="5">
        <f t="shared" si="5"/>
        <v>220</v>
      </c>
      <c r="AK21" s="5">
        <f t="shared" si="5"/>
        <v>209</v>
      </c>
      <c r="AL21" s="5">
        <f t="shared" si="5"/>
        <v>199</v>
      </c>
      <c r="AM21" s="5">
        <f t="shared" si="4"/>
        <v>6814</v>
      </c>
    </row>
    <row r="22" spans="1:39" x14ac:dyDescent="0.4">
      <c r="A22" s="12"/>
      <c r="B22" s="83" t="s">
        <v>30</v>
      </c>
      <c r="C22" s="84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1</v>
      </c>
      <c r="T22" s="6">
        <v>1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5">
        <f t="shared" si="4"/>
        <v>4</v>
      </c>
    </row>
    <row r="23" spans="1:39" x14ac:dyDescent="0.4">
      <c r="A23" s="12"/>
      <c r="B23" s="75"/>
      <c r="C23" s="85"/>
      <c r="D23" s="6" t="s">
        <v>24</v>
      </c>
      <c r="E23" s="6">
        <v>0</v>
      </c>
      <c r="F23" s="6">
        <v>1</v>
      </c>
      <c r="G23" s="6">
        <v>0</v>
      </c>
      <c r="H23" s="6">
        <v>0</v>
      </c>
      <c r="I23" s="6">
        <v>0</v>
      </c>
      <c r="J23" s="6">
        <v>1</v>
      </c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1</v>
      </c>
      <c r="U23" s="6">
        <v>0</v>
      </c>
      <c r="V23" s="6">
        <v>0</v>
      </c>
      <c r="W23" s="6">
        <v>0</v>
      </c>
      <c r="X23" s="6">
        <v>1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5">
        <f t="shared" si="4"/>
        <v>5</v>
      </c>
    </row>
    <row r="24" spans="1:39" x14ac:dyDescent="0.4">
      <c r="A24" s="13"/>
      <c r="B24" s="76"/>
      <c r="C24" s="86"/>
      <c r="D24" s="5" t="s">
        <v>25</v>
      </c>
      <c r="E24" s="5">
        <f t="shared" ref="E24:AL24" si="9">SUM(E22:E23)</f>
        <v>0</v>
      </c>
      <c r="F24" s="5">
        <f t="shared" ref="F24:R24" si="10">SUM(F22:F23)</f>
        <v>1</v>
      </c>
      <c r="G24" s="5">
        <f t="shared" si="10"/>
        <v>0</v>
      </c>
      <c r="H24" s="5">
        <f t="shared" si="10"/>
        <v>0</v>
      </c>
      <c r="I24" s="5">
        <f t="shared" si="10"/>
        <v>0</v>
      </c>
      <c r="J24" s="5">
        <f t="shared" si="10"/>
        <v>2</v>
      </c>
      <c r="K24" s="5">
        <f t="shared" si="10"/>
        <v>0</v>
      </c>
      <c r="L24" s="5">
        <f t="shared" si="10"/>
        <v>0</v>
      </c>
      <c r="M24" s="5">
        <f t="shared" si="10"/>
        <v>0</v>
      </c>
      <c r="N24" s="5">
        <f t="shared" si="10"/>
        <v>2</v>
      </c>
      <c r="O24" s="5">
        <f t="shared" si="10"/>
        <v>0</v>
      </c>
      <c r="P24" s="5">
        <f t="shared" si="10"/>
        <v>0</v>
      </c>
      <c r="Q24" s="5">
        <f t="shared" si="10"/>
        <v>0</v>
      </c>
      <c r="R24" s="5">
        <f t="shared" si="10"/>
        <v>0</v>
      </c>
      <c r="S24" s="5">
        <f t="shared" si="9"/>
        <v>1</v>
      </c>
      <c r="T24" s="5">
        <f t="shared" si="9"/>
        <v>2</v>
      </c>
      <c r="U24" s="5">
        <f t="shared" si="9"/>
        <v>0</v>
      </c>
      <c r="V24" s="5">
        <f t="shared" si="9"/>
        <v>0</v>
      </c>
      <c r="W24" s="5">
        <f t="shared" si="9"/>
        <v>0</v>
      </c>
      <c r="X24" s="5">
        <f t="shared" si="9"/>
        <v>1</v>
      </c>
      <c r="Y24" s="5">
        <f t="shared" si="9"/>
        <v>0</v>
      </c>
      <c r="Z24" s="5">
        <f t="shared" ref="Z24:AE24" si="11">SUM(Z22:Z23)</f>
        <v>0</v>
      </c>
      <c r="AA24" s="5">
        <f t="shared" si="11"/>
        <v>0</v>
      </c>
      <c r="AB24" s="5">
        <f t="shared" si="11"/>
        <v>0</v>
      </c>
      <c r="AC24" s="5">
        <f t="shared" si="11"/>
        <v>0</v>
      </c>
      <c r="AD24" s="5">
        <f t="shared" si="11"/>
        <v>0</v>
      </c>
      <c r="AE24" s="5">
        <f t="shared" si="11"/>
        <v>0</v>
      </c>
      <c r="AF24" s="5">
        <f t="shared" si="9"/>
        <v>0</v>
      </c>
      <c r="AG24" s="5">
        <f t="shared" si="9"/>
        <v>0</v>
      </c>
      <c r="AH24" s="5">
        <f t="shared" ref="AH24:AI24" si="12">SUM(AH22:AH23)</f>
        <v>0</v>
      </c>
      <c r="AI24" s="5">
        <f t="shared" si="12"/>
        <v>0</v>
      </c>
      <c r="AJ24" s="5">
        <f t="shared" si="9"/>
        <v>0</v>
      </c>
      <c r="AK24" s="5">
        <f t="shared" si="9"/>
        <v>0</v>
      </c>
      <c r="AL24" s="5">
        <f t="shared" si="9"/>
        <v>0</v>
      </c>
      <c r="AM24" s="5">
        <f t="shared" si="4"/>
        <v>9</v>
      </c>
    </row>
    <row r="25" spans="1:39" x14ac:dyDescent="0.4">
      <c r="A25" s="12"/>
      <c r="B25" s="83" t="s">
        <v>32</v>
      </c>
      <c r="C25" s="84" t="s">
        <v>33</v>
      </c>
      <c r="D25" s="6" t="s">
        <v>23</v>
      </c>
      <c r="E25" s="6">
        <v>4</v>
      </c>
      <c r="F25" s="6">
        <v>1</v>
      </c>
      <c r="G25" s="6">
        <v>1</v>
      </c>
      <c r="H25" s="6">
        <v>0</v>
      </c>
      <c r="I25" s="6">
        <v>0</v>
      </c>
      <c r="J25" s="6">
        <v>0</v>
      </c>
      <c r="K25" s="6">
        <v>1</v>
      </c>
      <c r="L25" s="6">
        <v>0</v>
      </c>
      <c r="M25" s="6">
        <v>1</v>
      </c>
      <c r="N25" s="6">
        <v>2</v>
      </c>
      <c r="O25" s="6">
        <v>1</v>
      </c>
      <c r="P25" s="6">
        <v>2</v>
      </c>
      <c r="Q25" s="6">
        <v>1</v>
      </c>
      <c r="R25" s="6">
        <v>2</v>
      </c>
      <c r="S25" s="6">
        <v>0</v>
      </c>
      <c r="T25" s="6">
        <v>0</v>
      </c>
      <c r="U25" s="6">
        <v>0</v>
      </c>
      <c r="V25" s="6">
        <v>0</v>
      </c>
      <c r="W25" s="6">
        <v>1</v>
      </c>
      <c r="X25" s="6">
        <v>0</v>
      </c>
      <c r="Y25" s="6">
        <v>0</v>
      </c>
      <c r="Z25" s="6">
        <v>1</v>
      </c>
      <c r="AA25" s="6">
        <v>2</v>
      </c>
      <c r="AB25" s="6">
        <v>1</v>
      </c>
      <c r="AC25" s="6">
        <v>4</v>
      </c>
      <c r="AD25" s="6">
        <v>0</v>
      </c>
      <c r="AE25" s="6">
        <v>0</v>
      </c>
      <c r="AF25" s="6">
        <v>0</v>
      </c>
      <c r="AG25" s="6">
        <v>7</v>
      </c>
      <c r="AH25" s="6">
        <v>2</v>
      </c>
      <c r="AI25" s="6">
        <v>1</v>
      </c>
      <c r="AJ25" s="6">
        <v>1</v>
      </c>
      <c r="AK25" s="6">
        <v>0</v>
      </c>
      <c r="AL25" s="6">
        <v>0</v>
      </c>
      <c r="AM25" s="5">
        <f t="shared" si="4"/>
        <v>36</v>
      </c>
    </row>
    <row r="26" spans="1:39" x14ac:dyDescent="0.4">
      <c r="A26" s="12"/>
      <c r="B26" s="75"/>
      <c r="C26" s="85"/>
      <c r="D26" s="6" t="s">
        <v>24</v>
      </c>
      <c r="E26" s="6">
        <v>0</v>
      </c>
      <c r="F26" s="6">
        <v>0</v>
      </c>
      <c r="G26" s="6">
        <v>0</v>
      </c>
      <c r="H26" s="6">
        <v>1</v>
      </c>
      <c r="I26" s="6">
        <v>0</v>
      </c>
      <c r="J26" s="6">
        <v>0</v>
      </c>
      <c r="K26" s="6">
        <v>2</v>
      </c>
      <c r="L26" s="6">
        <v>0</v>
      </c>
      <c r="M26" s="6">
        <v>1</v>
      </c>
      <c r="N26" s="6">
        <v>1</v>
      </c>
      <c r="O26" s="6">
        <v>3</v>
      </c>
      <c r="P26" s="6">
        <v>1</v>
      </c>
      <c r="Q26" s="6">
        <v>1</v>
      </c>
      <c r="R26" s="6">
        <v>1</v>
      </c>
      <c r="S26" s="6">
        <v>0</v>
      </c>
      <c r="T26" s="6">
        <v>0</v>
      </c>
      <c r="U26" s="6">
        <v>0</v>
      </c>
      <c r="V26" s="6">
        <v>4</v>
      </c>
      <c r="W26" s="6">
        <v>1</v>
      </c>
      <c r="X26" s="6">
        <v>2</v>
      </c>
      <c r="Y26" s="6">
        <v>3</v>
      </c>
      <c r="Z26" s="6">
        <v>2</v>
      </c>
      <c r="AA26" s="6">
        <v>0</v>
      </c>
      <c r="AB26" s="6">
        <v>2</v>
      </c>
      <c r="AC26" s="6">
        <v>3</v>
      </c>
      <c r="AD26" s="6">
        <v>0</v>
      </c>
      <c r="AE26" s="6">
        <v>0</v>
      </c>
      <c r="AF26" s="6">
        <v>0</v>
      </c>
      <c r="AG26" s="6">
        <v>6</v>
      </c>
      <c r="AH26" s="6">
        <v>1</v>
      </c>
      <c r="AI26" s="6">
        <v>0</v>
      </c>
      <c r="AJ26" s="6">
        <v>1</v>
      </c>
      <c r="AK26" s="6">
        <v>0</v>
      </c>
      <c r="AL26" s="6">
        <v>0</v>
      </c>
      <c r="AM26" s="5">
        <f t="shared" si="4"/>
        <v>36</v>
      </c>
    </row>
    <row r="27" spans="1:39" x14ac:dyDescent="0.4">
      <c r="A27" s="13"/>
      <c r="B27" s="76"/>
      <c r="C27" s="86"/>
      <c r="D27" s="5" t="s">
        <v>25</v>
      </c>
      <c r="E27" s="5">
        <f t="shared" ref="E27:AL27" si="13">SUM(E25:E26)</f>
        <v>4</v>
      </c>
      <c r="F27" s="5">
        <f t="shared" ref="F27:R27" si="14">SUM(F25:F26)</f>
        <v>1</v>
      </c>
      <c r="G27" s="5">
        <f t="shared" si="14"/>
        <v>1</v>
      </c>
      <c r="H27" s="5">
        <f t="shared" si="14"/>
        <v>1</v>
      </c>
      <c r="I27" s="5">
        <f t="shared" si="14"/>
        <v>0</v>
      </c>
      <c r="J27" s="5">
        <f t="shared" si="14"/>
        <v>0</v>
      </c>
      <c r="K27" s="5">
        <f t="shared" si="14"/>
        <v>3</v>
      </c>
      <c r="L27" s="5">
        <f t="shared" si="14"/>
        <v>0</v>
      </c>
      <c r="M27" s="5">
        <f t="shared" si="14"/>
        <v>2</v>
      </c>
      <c r="N27" s="5">
        <f t="shared" si="14"/>
        <v>3</v>
      </c>
      <c r="O27" s="5">
        <f t="shared" si="14"/>
        <v>4</v>
      </c>
      <c r="P27" s="5">
        <f t="shared" si="14"/>
        <v>3</v>
      </c>
      <c r="Q27" s="5">
        <f t="shared" si="14"/>
        <v>2</v>
      </c>
      <c r="R27" s="5">
        <f t="shared" si="14"/>
        <v>3</v>
      </c>
      <c r="S27" s="5">
        <f t="shared" si="13"/>
        <v>0</v>
      </c>
      <c r="T27" s="5">
        <f t="shared" si="13"/>
        <v>0</v>
      </c>
      <c r="U27" s="5">
        <f t="shared" si="13"/>
        <v>0</v>
      </c>
      <c r="V27" s="5">
        <f t="shared" si="13"/>
        <v>4</v>
      </c>
      <c r="W27" s="5">
        <f t="shared" si="13"/>
        <v>2</v>
      </c>
      <c r="X27" s="5">
        <f t="shared" si="13"/>
        <v>2</v>
      </c>
      <c r="Y27" s="5">
        <f t="shared" si="13"/>
        <v>3</v>
      </c>
      <c r="Z27" s="5">
        <f t="shared" ref="Z27:AE27" si="15">SUM(Z25:Z26)</f>
        <v>3</v>
      </c>
      <c r="AA27" s="5">
        <f t="shared" si="15"/>
        <v>2</v>
      </c>
      <c r="AB27" s="5">
        <f t="shared" si="15"/>
        <v>3</v>
      </c>
      <c r="AC27" s="5">
        <f t="shared" si="15"/>
        <v>7</v>
      </c>
      <c r="AD27" s="5">
        <f t="shared" si="15"/>
        <v>0</v>
      </c>
      <c r="AE27" s="5">
        <f t="shared" si="15"/>
        <v>0</v>
      </c>
      <c r="AF27" s="5">
        <f t="shared" si="13"/>
        <v>0</v>
      </c>
      <c r="AG27" s="5">
        <f t="shared" si="13"/>
        <v>13</v>
      </c>
      <c r="AH27" s="5">
        <f t="shared" ref="AH27:AI27" si="16">SUM(AH25:AH26)</f>
        <v>3</v>
      </c>
      <c r="AI27" s="5">
        <f t="shared" si="16"/>
        <v>1</v>
      </c>
      <c r="AJ27" s="5">
        <f t="shared" si="13"/>
        <v>2</v>
      </c>
      <c r="AK27" s="5">
        <f t="shared" si="13"/>
        <v>0</v>
      </c>
      <c r="AL27" s="5">
        <f t="shared" si="13"/>
        <v>0</v>
      </c>
      <c r="AM27" s="5">
        <f t="shared" si="4"/>
        <v>72</v>
      </c>
    </row>
    <row r="28" spans="1:39" x14ac:dyDescent="0.4">
      <c r="A28" s="13"/>
      <c r="B28" s="87" t="s">
        <v>34</v>
      </c>
      <c r="C28" s="88" t="s">
        <v>35</v>
      </c>
      <c r="D28" s="5" t="s">
        <v>23</v>
      </c>
      <c r="E28" s="5">
        <f>SUM(E19,E22,E25)</f>
        <v>92</v>
      </c>
      <c r="F28" s="5">
        <f t="shared" ref="F28:R28" si="17">SUM(F19,F22,F25)</f>
        <v>101</v>
      </c>
      <c r="G28" s="5">
        <f t="shared" si="17"/>
        <v>80</v>
      </c>
      <c r="H28" s="5">
        <f t="shared" si="17"/>
        <v>92</v>
      </c>
      <c r="I28" s="5">
        <f t="shared" si="17"/>
        <v>110</v>
      </c>
      <c r="J28" s="5">
        <f t="shared" si="17"/>
        <v>82</v>
      </c>
      <c r="K28" s="5">
        <f t="shared" si="17"/>
        <v>97</v>
      </c>
      <c r="L28" s="5">
        <f t="shared" si="17"/>
        <v>93</v>
      </c>
      <c r="M28" s="5">
        <f t="shared" si="17"/>
        <v>96</v>
      </c>
      <c r="N28" s="5">
        <f t="shared" si="17"/>
        <v>106</v>
      </c>
      <c r="O28" s="5">
        <f t="shared" si="17"/>
        <v>93</v>
      </c>
      <c r="P28" s="5">
        <f t="shared" si="17"/>
        <v>98</v>
      </c>
      <c r="Q28" s="5">
        <f t="shared" si="17"/>
        <v>101</v>
      </c>
      <c r="R28" s="5">
        <f t="shared" si="17"/>
        <v>95</v>
      </c>
      <c r="S28" s="5">
        <f t="shared" ref="S28:AL29" si="18">SUM(S19,S22,S25)</f>
        <v>99</v>
      </c>
      <c r="T28" s="5">
        <f t="shared" si="18"/>
        <v>107</v>
      </c>
      <c r="U28" s="5">
        <f t="shared" si="18"/>
        <v>100</v>
      </c>
      <c r="V28" s="5">
        <f t="shared" si="18"/>
        <v>88</v>
      </c>
      <c r="W28" s="5">
        <f t="shared" si="18"/>
        <v>100</v>
      </c>
      <c r="X28" s="5">
        <f t="shared" si="18"/>
        <v>95</v>
      </c>
      <c r="Y28" s="5">
        <f t="shared" si="18"/>
        <v>101</v>
      </c>
      <c r="Z28" s="5">
        <f t="shared" ref="Z28:AE28" si="19">SUM(Z19,Z22,Z25)</f>
        <v>55</v>
      </c>
      <c r="AA28" s="5">
        <f t="shared" si="19"/>
        <v>100</v>
      </c>
      <c r="AB28" s="5">
        <f t="shared" si="19"/>
        <v>101</v>
      </c>
      <c r="AC28" s="5">
        <f t="shared" si="19"/>
        <v>106</v>
      </c>
      <c r="AD28" s="5">
        <f t="shared" si="19"/>
        <v>104</v>
      </c>
      <c r="AE28" s="5">
        <f t="shared" si="19"/>
        <v>104</v>
      </c>
      <c r="AF28" s="5">
        <f t="shared" si="18"/>
        <v>120</v>
      </c>
      <c r="AG28" s="5">
        <f t="shared" si="18"/>
        <v>98</v>
      </c>
      <c r="AH28" s="5">
        <f t="shared" ref="AH28:AI28" si="20">SUM(AH19,AH22,AH25)</f>
        <v>79</v>
      </c>
      <c r="AI28" s="5">
        <f t="shared" si="20"/>
        <v>85</v>
      </c>
      <c r="AJ28" s="5">
        <f t="shared" si="18"/>
        <v>98</v>
      </c>
      <c r="AK28" s="5">
        <f t="shared" si="18"/>
        <v>98</v>
      </c>
      <c r="AL28" s="5">
        <f t="shared" si="18"/>
        <v>93</v>
      </c>
      <c r="AM28" s="5">
        <f t="shared" si="4"/>
        <v>3267</v>
      </c>
    </row>
    <row r="29" spans="1:39" x14ac:dyDescent="0.4">
      <c r="A29" s="13"/>
      <c r="B29" s="75"/>
      <c r="C29" s="85"/>
      <c r="D29" s="5" t="s">
        <v>24</v>
      </c>
      <c r="E29" s="5">
        <f>SUM(E20,E23,E26)</f>
        <v>103</v>
      </c>
      <c r="F29" s="5">
        <f t="shared" ref="F29:R29" si="21">SUM(F20,F23,F26)</f>
        <v>112</v>
      </c>
      <c r="G29" s="5">
        <f t="shared" si="21"/>
        <v>98</v>
      </c>
      <c r="H29" s="5">
        <f t="shared" si="21"/>
        <v>101</v>
      </c>
      <c r="I29" s="5">
        <f t="shared" si="21"/>
        <v>109</v>
      </c>
      <c r="J29" s="5">
        <f t="shared" si="21"/>
        <v>100</v>
      </c>
      <c r="K29" s="5">
        <f t="shared" si="21"/>
        <v>107</v>
      </c>
      <c r="L29" s="5">
        <f t="shared" si="21"/>
        <v>100</v>
      </c>
      <c r="M29" s="5">
        <f t="shared" si="21"/>
        <v>113</v>
      </c>
      <c r="N29" s="5">
        <f t="shared" si="21"/>
        <v>115</v>
      </c>
      <c r="O29" s="5">
        <f t="shared" si="21"/>
        <v>104</v>
      </c>
      <c r="P29" s="5">
        <f t="shared" si="21"/>
        <v>100</v>
      </c>
      <c r="Q29" s="5">
        <f t="shared" si="21"/>
        <v>112</v>
      </c>
      <c r="R29" s="5">
        <f t="shared" si="21"/>
        <v>105</v>
      </c>
      <c r="S29" s="5">
        <f t="shared" si="18"/>
        <v>103</v>
      </c>
      <c r="T29" s="5">
        <f t="shared" si="18"/>
        <v>110</v>
      </c>
      <c r="U29" s="5">
        <f t="shared" si="18"/>
        <v>113</v>
      </c>
      <c r="V29" s="5">
        <f t="shared" si="18"/>
        <v>112</v>
      </c>
      <c r="W29" s="5">
        <f t="shared" si="18"/>
        <v>87</v>
      </c>
      <c r="X29" s="5">
        <f t="shared" si="18"/>
        <v>113</v>
      </c>
      <c r="Y29" s="5">
        <f t="shared" si="18"/>
        <v>121</v>
      </c>
      <c r="Z29" s="5">
        <f t="shared" ref="Z29:AE29" si="22">SUM(Z20,Z23,Z26)</f>
        <v>59</v>
      </c>
      <c r="AA29" s="5">
        <f t="shared" si="22"/>
        <v>115</v>
      </c>
      <c r="AB29" s="5">
        <f t="shared" si="22"/>
        <v>104</v>
      </c>
      <c r="AC29" s="5">
        <f t="shared" si="22"/>
        <v>125</v>
      </c>
      <c r="AD29" s="5">
        <f t="shared" si="22"/>
        <v>115</v>
      </c>
      <c r="AE29" s="5">
        <f t="shared" si="22"/>
        <v>112</v>
      </c>
      <c r="AF29" s="5">
        <f t="shared" si="18"/>
        <v>120</v>
      </c>
      <c r="AG29" s="5">
        <f t="shared" si="18"/>
        <v>84</v>
      </c>
      <c r="AH29" s="5">
        <f t="shared" ref="AH29:AI29" si="23">SUM(AH20,AH23,AH26)</f>
        <v>103</v>
      </c>
      <c r="AI29" s="5">
        <f t="shared" si="23"/>
        <v>112</v>
      </c>
      <c r="AJ29" s="5">
        <f t="shared" si="18"/>
        <v>124</v>
      </c>
      <c r="AK29" s="5">
        <f t="shared" si="18"/>
        <v>111</v>
      </c>
      <c r="AL29" s="5">
        <f t="shared" si="18"/>
        <v>106</v>
      </c>
      <c r="AM29" s="5">
        <f t="shared" si="4"/>
        <v>3628</v>
      </c>
    </row>
    <row r="30" spans="1:39" x14ac:dyDescent="0.4">
      <c r="A30" s="13"/>
      <c r="B30" s="76"/>
      <c r="C30" s="86"/>
      <c r="D30" s="5" t="s">
        <v>25</v>
      </c>
      <c r="E30" s="5">
        <f t="shared" ref="E30" si="24">SUM(E28:E29)</f>
        <v>195</v>
      </c>
      <c r="F30" s="5">
        <f t="shared" ref="F30:R30" si="25">SUM(F28:F29)</f>
        <v>213</v>
      </c>
      <c r="G30" s="5">
        <f t="shared" si="25"/>
        <v>178</v>
      </c>
      <c r="H30" s="5">
        <f t="shared" si="25"/>
        <v>193</v>
      </c>
      <c r="I30" s="5">
        <f t="shared" si="25"/>
        <v>219</v>
      </c>
      <c r="J30" s="5">
        <f t="shared" si="25"/>
        <v>182</v>
      </c>
      <c r="K30" s="5">
        <f t="shared" si="25"/>
        <v>204</v>
      </c>
      <c r="L30" s="5">
        <f t="shared" si="25"/>
        <v>193</v>
      </c>
      <c r="M30" s="5">
        <f t="shared" si="25"/>
        <v>209</v>
      </c>
      <c r="N30" s="5">
        <f t="shared" si="25"/>
        <v>221</v>
      </c>
      <c r="O30" s="5">
        <f t="shared" si="25"/>
        <v>197</v>
      </c>
      <c r="P30" s="5">
        <f t="shared" si="25"/>
        <v>198</v>
      </c>
      <c r="Q30" s="5">
        <f t="shared" si="25"/>
        <v>213</v>
      </c>
      <c r="R30" s="5">
        <f t="shared" si="25"/>
        <v>200</v>
      </c>
      <c r="S30" s="5">
        <f t="shared" ref="S30:AL30" si="26">SUM(S28:S29)</f>
        <v>202</v>
      </c>
      <c r="T30" s="5">
        <f t="shared" si="26"/>
        <v>217</v>
      </c>
      <c r="U30" s="5">
        <f t="shared" si="26"/>
        <v>213</v>
      </c>
      <c r="V30" s="5">
        <f t="shared" si="26"/>
        <v>200</v>
      </c>
      <c r="W30" s="5">
        <f t="shared" si="26"/>
        <v>187</v>
      </c>
      <c r="X30" s="5">
        <f t="shared" si="26"/>
        <v>208</v>
      </c>
      <c r="Y30" s="5">
        <f t="shared" si="26"/>
        <v>222</v>
      </c>
      <c r="Z30" s="5">
        <f t="shared" ref="Z30:AE30" si="27">SUM(Z28:Z29)</f>
        <v>114</v>
      </c>
      <c r="AA30" s="5">
        <f t="shared" si="27"/>
        <v>215</v>
      </c>
      <c r="AB30" s="5">
        <f t="shared" si="27"/>
        <v>205</v>
      </c>
      <c r="AC30" s="5">
        <f t="shared" si="27"/>
        <v>231</v>
      </c>
      <c r="AD30" s="5">
        <f t="shared" si="27"/>
        <v>219</v>
      </c>
      <c r="AE30" s="5">
        <f t="shared" si="27"/>
        <v>216</v>
      </c>
      <c r="AF30" s="5">
        <f t="shared" si="26"/>
        <v>240</v>
      </c>
      <c r="AG30" s="5">
        <f t="shared" si="26"/>
        <v>182</v>
      </c>
      <c r="AH30" s="5">
        <f t="shared" ref="AH30:AI30" si="28">SUM(AH28:AH29)</f>
        <v>182</v>
      </c>
      <c r="AI30" s="5">
        <f t="shared" si="28"/>
        <v>197</v>
      </c>
      <c r="AJ30" s="5">
        <f t="shared" si="26"/>
        <v>222</v>
      </c>
      <c r="AK30" s="5">
        <f t="shared" si="26"/>
        <v>209</v>
      </c>
      <c r="AL30" s="5">
        <f t="shared" si="26"/>
        <v>199</v>
      </c>
      <c r="AM30" s="5">
        <f t="shared" si="4"/>
        <v>6895</v>
      </c>
    </row>
    <row r="31" spans="1:39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6"/>
      <c r="T31" s="6"/>
      <c r="U31" s="6"/>
      <c r="V31" s="6"/>
      <c r="W31" s="6"/>
      <c r="X31" s="6"/>
      <c r="Y31" s="6"/>
      <c r="Z31" s="6"/>
      <c r="AA31" s="10"/>
      <c r="AB31" s="10"/>
      <c r="AC31" s="10"/>
      <c r="AD31" s="10"/>
      <c r="AE31" s="10"/>
      <c r="AF31" s="6"/>
      <c r="AG31" s="10"/>
      <c r="AH31" s="10"/>
      <c r="AI31" s="10"/>
      <c r="AJ31" s="10"/>
      <c r="AK31" s="10"/>
      <c r="AL31" s="10"/>
      <c r="AM31" s="28"/>
    </row>
    <row r="32" spans="1:39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5"/>
      <c r="T32" s="5"/>
      <c r="U32" s="5"/>
      <c r="V32" s="5"/>
      <c r="W32" s="5"/>
      <c r="X32" s="5"/>
      <c r="Y32" s="5"/>
      <c r="Z32" s="5"/>
      <c r="AA32" s="15"/>
      <c r="AB32" s="15"/>
      <c r="AC32" s="15"/>
      <c r="AD32" s="15"/>
      <c r="AE32" s="15"/>
      <c r="AF32" s="5"/>
      <c r="AG32" s="15"/>
      <c r="AH32" s="15"/>
      <c r="AI32" s="15"/>
      <c r="AJ32" s="15"/>
      <c r="AK32" s="15"/>
      <c r="AL32" s="15"/>
      <c r="AM32" s="28"/>
    </row>
    <row r="33" spans="1:39" x14ac:dyDescent="0.4">
      <c r="A33" s="6">
        <v>1</v>
      </c>
      <c r="B33" s="78" t="s">
        <v>38</v>
      </c>
      <c r="C33" s="69"/>
      <c r="D33" s="60"/>
      <c r="E33" s="6">
        <v>277</v>
      </c>
      <c r="F33" s="6">
        <v>292</v>
      </c>
      <c r="G33" s="6">
        <v>237</v>
      </c>
      <c r="H33" s="6">
        <v>245</v>
      </c>
      <c r="I33" s="6">
        <v>272</v>
      </c>
      <c r="J33" s="6">
        <v>242</v>
      </c>
      <c r="K33" s="6">
        <v>254</v>
      </c>
      <c r="L33" s="6">
        <v>255</v>
      </c>
      <c r="M33" s="6">
        <v>280</v>
      </c>
      <c r="N33" s="6">
        <v>288</v>
      </c>
      <c r="O33" s="6">
        <v>271</v>
      </c>
      <c r="P33" s="6">
        <v>248</v>
      </c>
      <c r="Q33" s="6">
        <v>254</v>
      </c>
      <c r="R33" s="6">
        <v>257</v>
      </c>
      <c r="S33" s="6">
        <v>264</v>
      </c>
      <c r="T33" s="6">
        <v>275</v>
      </c>
      <c r="U33" s="6">
        <v>269</v>
      </c>
      <c r="V33" s="6">
        <v>259</v>
      </c>
      <c r="W33" s="6">
        <v>258</v>
      </c>
      <c r="X33" s="6">
        <v>259</v>
      </c>
      <c r="Y33" s="6">
        <v>286</v>
      </c>
      <c r="Z33" s="6">
        <v>159</v>
      </c>
      <c r="AA33" s="6">
        <v>280</v>
      </c>
      <c r="AB33" s="6">
        <v>274</v>
      </c>
      <c r="AC33" s="6">
        <v>300</v>
      </c>
      <c r="AD33" s="6">
        <v>294</v>
      </c>
      <c r="AE33" s="6">
        <v>299</v>
      </c>
      <c r="AF33" s="6">
        <v>297</v>
      </c>
      <c r="AG33" s="6">
        <v>238</v>
      </c>
      <c r="AH33" s="6">
        <v>234</v>
      </c>
      <c r="AI33" s="6">
        <v>260</v>
      </c>
      <c r="AJ33" s="6">
        <v>276</v>
      </c>
      <c r="AK33" s="6">
        <v>267</v>
      </c>
      <c r="AL33" s="6">
        <v>272</v>
      </c>
      <c r="AM33" s="5">
        <f>SUM(E33:AL33)</f>
        <v>8992</v>
      </c>
    </row>
    <row r="34" spans="1:39" x14ac:dyDescent="0.4">
      <c r="A34" s="6">
        <v>2</v>
      </c>
      <c r="B34" s="78" t="s">
        <v>39</v>
      </c>
      <c r="C34" s="69"/>
      <c r="D34" s="60"/>
      <c r="E34" s="5">
        <v>195</v>
      </c>
      <c r="F34" s="5">
        <v>213</v>
      </c>
      <c r="G34" s="5">
        <v>178</v>
      </c>
      <c r="H34" s="5">
        <v>193</v>
      </c>
      <c r="I34" s="5">
        <v>219</v>
      </c>
      <c r="J34" s="5">
        <v>182</v>
      </c>
      <c r="K34" s="5">
        <v>204</v>
      </c>
      <c r="L34" s="5">
        <v>193</v>
      </c>
      <c r="M34" s="5">
        <v>209</v>
      </c>
      <c r="N34" s="5">
        <v>221</v>
      </c>
      <c r="O34" s="5">
        <v>197</v>
      </c>
      <c r="P34" s="5">
        <v>198</v>
      </c>
      <c r="Q34" s="5">
        <v>213</v>
      </c>
      <c r="R34" s="5">
        <v>200</v>
      </c>
      <c r="S34" s="5">
        <v>202</v>
      </c>
      <c r="T34" s="5">
        <v>217</v>
      </c>
      <c r="U34" s="5">
        <v>213</v>
      </c>
      <c r="V34" s="5">
        <v>200</v>
      </c>
      <c r="W34" s="5">
        <v>187</v>
      </c>
      <c r="X34" s="5">
        <v>208</v>
      </c>
      <c r="Y34" s="5">
        <v>222</v>
      </c>
      <c r="Z34" s="5">
        <v>114</v>
      </c>
      <c r="AA34" s="5">
        <v>215</v>
      </c>
      <c r="AB34" s="5">
        <v>205</v>
      </c>
      <c r="AC34" s="5">
        <v>231</v>
      </c>
      <c r="AD34" s="5">
        <v>219</v>
      </c>
      <c r="AE34" s="5">
        <v>216</v>
      </c>
      <c r="AF34" s="5">
        <v>240</v>
      </c>
      <c r="AG34" s="5">
        <v>182</v>
      </c>
      <c r="AH34" s="5">
        <v>182</v>
      </c>
      <c r="AI34" s="5">
        <v>197</v>
      </c>
      <c r="AJ34" s="5">
        <v>222</v>
      </c>
      <c r="AK34" s="5">
        <v>209</v>
      </c>
      <c r="AL34" s="5">
        <v>199</v>
      </c>
      <c r="AM34" s="5">
        <f>SUM(E34:AL34)</f>
        <v>6895</v>
      </c>
    </row>
    <row r="35" spans="1:39" x14ac:dyDescent="0.4">
      <c r="A35" s="6">
        <v>3</v>
      </c>
      <c r="B35" s="78" t="s">
        <v>40</v>
      </c>
      <c r="C35" s="69"/>
      <c r="D35" s="60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1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1</v>
      </c>
      <c r="AM35" s="5">
        <f>SUM(E35:AL35)</f>
        <v>3</v>
      </c>
    </row>
    <row r="36" spans="1:39" x14ac:dyDescent="0.4">
      <c r="A36" s="6">
        <v>4</v>
      </c>
      <c r="B36" s="78" t="s">
        <v>41</v>
      </c>
      <c r="C36" s="69"/>
      <c r="D36" s="60"/>
      <c r="E36" s="5">
        <f t="shared" ref="E36:AL36" si="29">E33-(E34+E35)</f>
        <v>82</v>
      </c>
      <c r="F36" s="5">
        <f t="shared" ref="F36:R36" si="30">F33-(F34+F35)</f>
        <v>79</v>
      </c>
      <c r="G36" s="5">
        <f t="shared" si="30"/>
        <v>59</v>
      </c>
      <c r="H36" s="5">
        <f t="shared" si="30"/>
        <v>52</v>
      </c>
      <c r="I36" s="5">
        <f t="shared" si="30"/>
        <v>53</v>
      </c>
      <c r="J36" s="5">
        <f t="shared" si="30"/>
        <v>60</v>
      </c>
      <c r="K36" s="5">
        <f t="shared" si="30"/>
        <v>49</v>
      </c>
      <c r="L36" s="5">
        <f t="shared" si="30"/>
        <v>62</v>
      </c>
      <c r="M36" s="5">
        <f t="shared" si="30"/>
        <v>71</v>
      </c>
      <c r="N36" s="5">
        <f t="shared" si="30"/>
        <v>67</v>
      </c>
      <c r="O36" s="5">
        <f t="shared" si="30"/>
        <v>74</v>
      </c>
      <c r="P36" s="5">
        <f t="shared" si="30"/>
        <v>50</v>
      </c>
      <c r="Q36" s="5">
        <f t="shared" si="30"/>
        <v>41</v>
      </c>
      <c r="R36" s="5">
        <f t="shared" si="30"/>
        <v>57</v>
      </c>
      <c r="S36" s="5">
        <f t="shared" si="29"/>
        <v>62</v>
      </c>
      <c r="T36" s="5">
        <f t="shared" si="29"/>
        <v>58</v>
      </c>
      <c r="U36" s="5">
        <f t="shared" si="29"/>
        <v>55</v>
      </c>
      <c r="V36" s="5">
        <f t="shared" si="29"/>
        <v>59</v>
      </c>
      <c r="W36" s="5">
        <f t="shared" si="29"/>
        <v>71</v>
      </c>
      <c r="X36" s="5">
        <f t="shared" si="29"/>
        <v>51</v>
      </c>
      <c r="Y36" s="5">
        <f t="shared" si="29"/>
        <v>64</v>
      </c>
      <c r="Z36" s="5">
        <f t="shared" ref="Z36:AE36" si="31">Z33-(Z34+Z35)</f>
        <v>45</v>
      </c>
      <c r="AA36" s="5">
        <f t="shared" si="31"/>
        <v>65</v>
      </c>
      <c r="AB36" s="5">
        <f t="shared" si="31"/>
        <v>69</v>
      </c>
      <c r="AC36" s="5">
        <f t="shared" si="31"/>
        <v>69</v>
      </c>
      <c r="AD36" s="5">
        <f t="shared" si="31"/>
        <v>75</v>
      </c>
      <c r="AE36" s="5">
        <f t="shared" si="31"/>
        <v>83</v>
      </c>
      <c r="AF36" s="5">
        <f t="shared" si="29"/>
        <v>57</v>
      </c>
      <c r="AG36" s="5">
        <f t="shared" si="29"/>
        <v>56</v>
      </c>
      <c r="AH36" s="5">
        <f t="shared" ref="AH36:AI36" si="32">AH33-(AH34+AH35)</f>
        <v>52</v>
      </c>
      <c r="AI36" s="5">
        <f t="shared" si="32"/>
        <v>63</v>
      </c>
      <c r="AJ36" s="5">
        <f t="shared" si="29"/>
        <v>54</v>
      </c>
      <c r="AK36" s="5">
        <f t="shared" si="29"/>
        <v>58</v>
      </c>
      <c r="AL36" s="5">
        <f t="shared" si="29"/>
        <v>72</v>
      </c>
      <c r="AM36" s="5">
        <f>SUM(E36:AL36)</f>
        <v>2094</v>
      </c>
    </row>
    <row r="37" spans="1:39" x14ac:dyDescent="0.4">
      <c r="A37" s="61"/>
      <c r="B37" s="69"/>
      <c r="C37" s="69"/>
      <c r="D37" s="69"/>
      <c r="E37" s="61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89"/>
      <c r="T37" s="89"/>
      <c r="U37" s="89"/>
      <c r="V37" s="94"/>
      <c r="W37" s="6"/>
      <c r="X37" s="6"/>
      <c r="Y37" s="6"/>
      <c r="Z37" s="6"/>
      <c r="AA37" s="10"/>
      <c r="AB37" s="26"/>
      <c r="AC37" s="26"/>
      <c r="AD37" s="26"/>
      <c r="AE37" s="26"/>
      <c r="AF37" s="6"/>
      <c r="AG37" s="10"/>
      <c r="AH37" s="26"/>
      <c r="AI37" s="26"/>
      <c r="AJ37" s="26"/>
      <c r="AK37" s="26"/>
      <c r="AL37" s="26"/>
      <c r="AM37" s="28"/>
    </row>
    <row r="38" spans="1:39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5"/>
      <c r="T38" s="5"/>
      <c r="U38" s="5"/>
      <c r="V38" s="5"/>
      <c r="W38" s="5"/>
      <c r="X38" s="5"/>
      <c r="Y38" s="5"/>
      <c r="Z38" s="5"/>
      <c r="AA38" s="15"/>
      <c r="AB38" s="15"/>
      <c r="AC38" s="15"/>
      <c r="AD38" s="15"/>
      <c r="AE38" s="15"/>
      <c r="AF38" s="5"/>
      <c r="AG38" s="15"/>
      <c r="AH38" s="15"/>
      <c r="AI38" s="15"/>
      <c r="AJ38" s="15"/>
      <c r="AK38" s="15"/>
      <c r="AL38" s="15"/>
      <c r="AM38" s="28"/>
    </row>
    <row r="39" spans="1:39" x14ac:dyDescent="0.4">
      <c r="A39" s="11"/>
      <c r="B39" s="73" t="s">
        <v>44</v>
      </c>
      <c r="C39" s="68"/>
      <c r="D39" s="6" t="s">
        <v>23</v>
      </c>
      <c r="E39" s="6">
        <v>1</v>
      </c>
      <c r="F39" s="6">
        <v>1</v>
      </c>
      <c r="G39" s="6">
        <v>0</v>
      </c>
      <c r="H39" s="6">
        <v>0</v>
      </c>
      <c r="I39" s="6">
        <v>0</v>
      </c>
      <c r="J39" s="6">
        <v>0</v>
      </c>
      <c r="K39" s="6">
        <v>1</v>
      </c>
      <c r="L39" s="6">
        <v>0</v>
      </c>
      <c r="M39" s="6">
        <v>1</v>
      </c>
      <c r="N39" s="6">
        <v>0</v>
      </c>
      <c r="O39" s="6">
        <v>0</v>
      </c>
      <c r="P39" s="6">
        <v>0</v>
      </c>
      <c r="Q39" s="6">
        <v>0</v>
      </c>
      <c r="R39" s="6">
        <v>1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1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5">
        <f>SUM(E39:AL39)</f>
        <v>6</v>
      </c>
    </row>
    <row r="40" spans="1:39" x14ac:dyDescent="0.4">
      <c r="A40" s="12"/>
      <c r="B40" s="74"/>
      <c r="C40" s="75"/>
      <c r="D40" s="6" t="s">
        <v>24</v>
      </c>
      <c r="E40" s="6">
        <v>1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4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3</v>
      </c>
      <c r="AM40" s="5">
        <f>SUM(E40:AL40)</f>
        <v>8</v>
      </c>
    </row>
    <row r="41" spans="1:39" x14ac:dyDescent="0.4">
      <c r="A41" s="14"/>
      <c r="B41" s="71"/>
      <c r="C41" s="76"/>
      <c r="D41" s="5" t="s">
        <v>25</v>
      </c>
      <c r="E41" s="5">
        <f t="shared" ref="E41:AL41" si="33">SUM(E39:E40)</f>
        <v>2</v>
      </c>
      <c r="F41" s="5">
        <f t="shared" ref="F41:R41" si="34">SUM(F39:F40)</f>
        <v>1</v>
      </c>
      <c r="G41" s="5">
        <f t="shared" si="34"/>
        <v>0</v>
      </c>
      <c r="H41" s="5">
        <f t="shared" si="34"/>
        <v>0</v>
      </c>
      <c r="I41" s="5">
        <f t="shared" si="34"/>
        <v>0</v>
      </c>
      <c r="J41" s="5">
        <f t="shared" si="34"/>
        <v>0</v>
      </c>
      <c r="K41" s="5">
        <f t="shared" si="34"/>
        <v>1</v>
      </c>
      <c r="L41" s="5">
        <f t="shared" si="34"/>
        <v>0</v>
      </c>
      <c r="M41" s="5">
        <f t="shared" si="34"/>
        <v>5</v>
      </c>
      <c r="N41" s="5">
        <f t="shared" si="34"/>
        <v>0</v>
      </c>
      <c r="O41" s="5">
        <f t="shared" si="34"/>
        <v>0</v>
      </c>
      <c r="P41" s="5">
        <f t="shared" si="34"/>
        <v>0</v>
      </c>
      <c r="Q41" s="5">
        <f t="shared" si="34"/>
        <v>0</v>
      </c>
      <c r="R41" s="5">
        <f t="shared" si="34"/>
        <v>1</v>
      </c>
      <c r="S41" s="5">
        <f t="shared" si="33"/>
        <v>0</v>
      </c>
      <c r="T41" s="5">
        <f t="shared" si="33"/>
        <v>0</v>
      </c>
      <c r="U41" s="5">
        <f t="shared" si="33"/>
        <v>0</v>
      </c>
      <c r="V41" s="5">
        <f t="shared" si="33"/>
        <v>0</v>
      </c>
      <c r="W41" s="5">
        <f t="shared" si="33"/>
        <v>0</v>
      </c>
      <c r="X41" s="5">
        <f t="shared" si="33"/>
        <v>0</v>
      </c>
      <c r="Y41" s="5">
        <f t="shared" si="33"/>
        <v>0</v>
      </c>
      <c r="Z41" s="5">
        <f t="shared" ref="Z41:AE41" si="35">SUM(Z39:Z40)</f>
        <v>0</v>
      </c>
      <c r="AA41" s="5">
        <f t="shared" si="35"/>
        <v>1</v>
      </c>
      <c r="AB41" s="5">
        <f t="shared" si="35"/>
        <v>0</v>
      </c>
      <c r="AC41" s="5">
        <f t="shared" si="35"/>
        <v>0</v>
      </c>
      <c r="AD41" s="5">
        <f t="shared" si="35"/>
        <v>0</v>
      </c>
      <c r="AE41" s="5">
        <f t="shared" si="35"/>
        <v>0</v>
      </c>
      <c r="AF41" s="5">
        <f t="shared" si="33"/>
        <v>0</v>
      </c>
      <c r="AG41" s="5">
        <f t="shared" si="33"/>
        <v>0</v>
      </c>
      <c r="AH41" s="5">
        <f t="shared" ref="AH41:AI41" si="36">SUM(AH39:AH40)</f>
        <v>0</v>
      </c>
      <c r="AI41" s="5">
        <f t="shared" si="36"/>
        <v>0</v>
      </c>
      <c r="AJ41" s="5">
        <f t="shared" si="33"/>
        <v>0</v>
      </c>
      <c r="AK41" s="5">
        <f t="shared" si="33"/>
        <v>0</v>
      </c>
      <c r="AL41" s="5">
        <f t="shared" si="33"/>
        <v>3</v>
      </c>
      <c r="AM41" s="5">
        <f>SUM(E41:AL41)</f>
        <v>14</v>
      </c>
    </row>
    <row r="42" spans="1:39" x14ac:dyDescent="0.4">
      <c r="A42" s="70"/>
      <c r="B42" s="71"/>
      <c r="C42" s="71"/>
      <c r="D42" s="76"/>
      <c r="E42" s="61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9"/>
      <c r="T42" s="69"/>
      <c r="U42" s="69"/>
      <c r="V42" s="60"/>
      <c r="W42" s="6"/>
      <c r="X42" s="6"/>
      <c r="Y42" s="6"/>
      <c r="Z42" s="6"/>
      <c r="AA42" s="10"/>
      <c r="AB42" s="6"/>
      <c r="AC42" s="10"/>
      <c r="AD42" s="6"/>
      <c r="AE42" s="10"/>
      <c r="AF42" s="6"/>
      <c r="AG42" s="10"/>
      <c r="AH42" s="6"/>
      <c r="AI42" s="10"/>
      <c r="AJ42" s="6"/>
      <c r="AK42" s="10"/>
      <c r="AL42" s="6"/>
      <c r="AM42" s="5"/>
    </row>
    <row r="43" spans="1:39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5"/>
      <c r="U43" s="5"/>
      <c r="V43" s="5"/>
      <c r="W43" s="5"/>
      <c r="X43" s="5"/>
      <c r="Y43" s="5"/>
      <c r="Z43" s="5"/>
      <c r="AA43" s="15"/>
      <c r="AB43" s="5"/>
      <c r="AC43" s="15"/>
      <c r="AD43" s="5"/>
      <c r="AE43" s="15"/>
      <c r="AF43" s="5"/>
      <c r="AG43" s="15"/>
      <c r="AH43" s="5"/>
      <c r="AI43" s="15"/>
      <c r="AJ43" s="5"/>
      <c r="AK43" s="15"/>
      <c r="AL43" s="5"/>
      <c r="AM43" s="5"/>
    </row>
    <row r="44" spans="1:39" ht="13.15" customHeight="1" x14ac:dyDescent="0.4">
      <c r="A44" s="73" t="s">
        <v>47</v>
      </c>
      <c r="B44" s="77"/>
      <c r="C44" s="77"/>
      <c r="D44" s="6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6"/>
      <c r="U44" s="6"/>
      <c r="V44" s="6"/>
      <c r="W44" s="6"/>
      <c r="X44" s="6"/>
      <c r="Y44" s="6"/>
      <c r="Z44" s="6"/>
      <c r="AA44" s="10"/>
      <c r="AB44" s="6"/>
      <c r="AC44" s="10"/>
      <c r="AD44" s="6"/>
      <c r="AE44" s="10"/>
      <c r="AF44" s="6"/>
      <c r="AG44" s="10"/>
      <c r="AH44" s="6"/>
      <c r="AI44" s="10"/>
      <c r="AJ44" s="6"/>
      <c r="AK44" s="10"/>
      <c r="AL44" s="6"/>
      <c r="AM44" s="5"/>
    </row>
    <row r="45" spans="1:39" x14ac:dyDescent="0.4">
      <c r="A45" s="11" t="s">
        <v>48</v>
      </c>
      <c r="B45" s="17" t="s">
        <v>28</v>
      </c>
      <c r="C45" s="59" t="s">
        <v>49</v>
      </c>
      <c r="D45" s="60"/>
      <c r="E45" s="6">
        <v>7</v>
      </c>
      <c r="F45" s="6">
        <v>6</v>
      </c>
      <c r="G45" s="6">
        <v>3</v>
      </c>
      <c r="H45" s="6">
        <v>4</v>
      </c>
      <c r="I45" s="6">
        <v>7</v>
      </c>
      <c r="J45" s="6">
        <v>10</v>
      </c>
      <c r="K45" s="6">
        <v>4</v>
      </c>
      <c r="L45" s="6">
        <v>4</v>
      </c>
      <c r="M45" s="6">
        <v>12</v>
      </c>
      <c r="N45" s="6">
        <v>1</v>
      </c>
      <c r="O45" s="6">
        <v>6</v>
      </c>
      <c r="P45" s="6">
        <v>17</v>
      </c>
      <c r="Q45" s="6">
        <v>5</v>
      </c>
      <c r="R45" s="6">
        <v>4</v>
      </c>
      <c r="S45" s="6">
        <v>4</v>
      </c>
      <c r="T45" s="6">
        <v>4</v>
      </c>
      <c r="U45" s="6">
        <v>8</v>
      </c>
      <c r="V45" s="6">
        <v>3</v>
      </c>
      <c r="W45" s="6">
        <v>8</v>
      </c>
      <c r="X45" s="6">
        <v>7</v>
      </c>
      <c r="Y45" s="6">
        <v>5</v>
      </c>
      <c r="Z45" s="6">
        <v>5</v>
      </c>
      <c r="AA45" s="6">
        <v>2</v>
      </c>
      <c r="AB45" s="6">
        <v>7</v>
      </c>
      <c r="AC45" s="6">
        <v>1</v>
      </c>
      <c r="AD45" s="6">
        <v>2</v>
      </c>
      <c r="AE45" s="6">
        <v>3</v>
      </c>
      <c r="AF45" s="6">
        <v>0</v>
      </c>
      <c r="AG45" s="6">
        <v>5</v>
      </c>
      <c r="AH45" s="6">
        <v>4</v>
      </c>
      <c r="AI45" s="6">
        <v>0</v>
      </c>
      <c r="AJ45" s="6">
        <v>2</v>
      </c>
      <c r="AK45" s="6">
        <v>1</v>
      </c>
      <c r="AL45" s="6">
        <v>4</v>
      </c>
      <c r="AM45" s="5">
        <f t="shared" ref="AM45:AM51" si="37">SUM(E45:AL45)</f>
        <v>165</v>
      </c>
    </row>
    <row r="46" spans="1:39" x14ac:dyDescent="0.4">
      <c r="A46" s="11" t="s">
        <v>50</v>
      </c>
      <c r="B46" s="46"/>
      <c r="C46" s="24" t="s">
        <v>106</v>
      </c>
      <c r="D46" s="47"/>
      <c r="E46" s="6">
        <v>16</v>
      </c>
      <c r="F46" s="6">
        <v>26</v>
      </c>
      <c r="G46" s="6">
        <v>21</v>
      </c>
      <c r="H46" s="6">
        <v>7</v>
      </c>
      <c r="I46" s="6">
        <v>11</v>
      </c>
      <c r="J46" s="6">
        <v>31</v>
      </c>
      <c r="K46" s="6">
        <v>9</v>
      </c>
      <c r="L46" s="6">
        <v>14</v>
      </c>
      <c r="M46" s="6">
        <v>12</v>
      </c>
      <c r="N46" s="6">
        <v>7</v>
      </c>
      <c r="O46" s="6">
        <v>13</v>
      </c>
      <c r="P46" s="6">
        <v>35</v>
      </c>
      <c r="Q46" s="6">
        <v>16</v>
      </c>
      <c r="R46" s="6">
        <v>8</v>
      </c>
      <c r="S46" s="6">
        <v>0</v>
      </c>
      <c r="T46" s="6">
        <v>3</v>
      </c>
      <c r="U46" s="6">
        <v>8</v>
      </c>
      <c r="V46" s="6">
        <v>6</v>
      </c>
      <c r="W46" s="6">
        <v>13</v>
      </c>
      <c r="X46" s="6">
        <v>19</v>
      </c>
      <c r="Y46" s="6">
        <v>24</v>
      </c>
      <c r="Z46" s="6">
        <v>16</v>
      </c>
      <c r="AA46" s="6">
        <v>43</v>
      </c>
      <c r="AB46" s="6">
        <v>32</v>
      </c>
      <c r="AC46" s="6">
        <v>8</v>
      </c>
      <c r="AD46" s="6">
        <v>4</v>
      </c>
      <c r="AE46" s="6">
        <v>2</v>
      </c>
      <c r="AF46" s="6">
        <v>0</v>
      </c>
      <c r="AG46" s="6">
        <v>11</v>
      </c>
      <c r="AH46" s="6">
        <v>12</v>
      </c>
      <c r="AI46" s="6">
        <v>14</v>
      </c>
      <c r="AJ46" s="6">
        <v>10</v>
      </c>
      <c r="AK46" s="6">
        <v>7</v>
      </c>
      <c r="AL46" s="6">
        <v>16</v>
      </c>
      <c r="AM46" s="5">
        <f t="shared" si="37"/>
        <v>474</v>
      </c>
    </row>
    <row r="47" spans="1:39" x14ac:dyDescent="0.4">
      <c r="A47" s="7"/>
      <c r="B47" s="46"/>
      <c r="C47" s="24" t="s">
        <v>107</v>
      </c>
      <c r="D47" s="47"/>
      <c r="E47" s="6">
        <v>18</v>
      </c>
      <c r="F47" s="6">
        <v>16</v>
      </c>
      <c r="G47" s="6">
        <v>20</v>
      </c>
      <c r="H47" s="6">
        <v>44</v>
      </c>
      <c r="I47" s="6">
        <v>21</v>
      </c>
      <c r="J47" s="6">
        <v>22</v>
      </c>
      <c r="K47" s="6">
        <v>17</v>
      </c>
      <c r="L47" s="6">
        <v>26</v>
      </c>
      <c r="M47" s="6">
        <v>15</v>
      </c>
      <c r="N47" s="6">
        <v>12</v>
      </c>
      <c r="O47" s="6">
        <v>32</v>
      </c>
      <c r="P47" s="6">
        <v>11</v>
      </c>
      <c r="Q47" s="6">
        <v>65</v>
      </c>
      <c r="R47" s="6">
        <v>11</v>
      </c>
      <c r="S47" s="6">
        <v>3</v>
      </c>
      <c r="T47" s="6">
        <v>3</v>
      </c>
      <c r="U47" s="6">
        <v>7</v>
      </c>
      <c r="V47" s="6">
        <v>3</v>
      </c>
      <c r="W47" s="6">
        <v>6</v>
      </c>
      <c r="X47" s="6">
        <v>4</v>
      </c>
      <c r="Y47" s="6">
        <v>3</v>
      </c>
      <c r="Z47" s="6">
        <v>2</v>
      </c>
      <c r="AA47" s="6">
        <v>4</v>
      </c>
      <c r="AB47" s="6">
        <v>49</v>
      </c>
      <c r="AC47" s="6">
        <v>5</v>
      </c>
      <c r="AD47" s="6">
        <v>3</v>
      </c>
      <c r="AE47" s="6">
        <v>9</v>
      </c>
      <c r="AF47" s="6">
        <v>2</v>
      </c>
      <c r="AG47" s="6">
        <v>4</v>
      </c>
      <c r="AH47" s="6">
        <v>3</v>
      </c>
      <c r="AI47" s="6">
        <v>4</v>
      </c>
      <c r="AJ47" s="6">
        <v>5</v>
      </c>
      <c r="AK47" s="6">
        <v>3</v>
      </c>
      <c r="AL47" s="6">
        <v>12</v>
      </c>
      <c r="AM47" s="5">
        <f t="shared" si="37"/>
        <v>464</v>
      </c>
    </row>
    <row r="48" spans="1:39" x14ac:dyDescent="0.4">
      <c r="A48" s="7"/>
      <c r="B48" s="46"/>
      <c r="C48" s="24" t="s">
        <v>108</v>
      </c>
      <c r="D48" s="47"/>
      <c r="E48" s="6">
        <v>0</v>
      </c>
      <c r="F48" s="6">
        <v>1</v>
      </c>
      <c r="G48" s="6">
        <v>3</v>
      </c>
      <c r="H48" s="6">
        <v>0</v>
      </c>
      <c r="I48" s="6">
        <v>0</v>
      </c>
      <c r="J48" s="6">
        <v>1</v>
      </c>
      <c r="K48" s="6">
        <v>0</v>
      </c>
      <c r="L48" s="6">
        <v>1</v>
      </c>
      <c r="M48" s="6">
        <v>0</v>
      </c>
      <c r="N48" s="6">
        <v>1</v>
      </c>
      <c r="O48" s="6">
        <v>0</v>
      </c>
      <c r="P48" s="6">
        <v>0</v>
      </c>
      <c r="Q48" s="6">
        <v>2</v>
      </c>
      <c r="R48" s="6">
        <v>1</v>
      </c>
      <c r="S48" s="6">
        <v>0</v>
      </c>
      <c r="T48" s="6">
        <v>1</v>
      </c>
      <c r="U48" s="6">
        <v>0</v>
      </c>
      <c r="V48" s="6">
        <v>2</v>
      </c>
      <c r="W48" s="6">
        <v>0</v>
      </c>
      <c r="X48" s="6">
        <v>0</v>
      </c>
      <c r="Y48" s="6">
        <v>0</v>
      </c>
      <c r="Z48" s="6">
        <v>1</v>
      </c>
      <c r="AA48" s="6">
        <v>0</v>
      </c>
      <c r="AB48" s="6">
        <v>0</v>
      </c>
      <c r="AC48" s="6">
        <v>1</v>
      </c>
      <c r="AD48" s="6">
        <v>0</v>
      </c>
      <c r="AE48" s="6">
        <v>0</v>
      </c>
      <c r="AF48" s="6">
        <v>0</v>
      </c>
      <c r="AG48" s="6">
        <v>1</v>
      </c>
      <c r="AH48" s="6">
        <v>0</v>
      </c>
      <c r="AI48" s="6">
        <v>0</v>
      </c>
      <c r="AJ48" s="6">
        <v>2</v>
      </c>
      <c r="AK48" s="6">
        <v>0</v>
      </c>
      <c r="AL48" s="6">
        <v>1</v>
      </c>
      <c r="AM48" s="5">
        <f t="shared" si="37"/>
        <v>19</v>
      </c>
    </row>
    <row r="49" spans="1:39" x14ac:dyDescent="0.4">
      <c r="A49" s="7"/>
      <c r="B49" s="46"/>
      <c r="C49" s="24" t="s">
        <v>109</v>
      </c>
      <c r="D49" s="47"/>
      <c r="E49" s="6">
        <v>1</v>
      </c>
      <c r="F49" s="6">
        <v>1</v>
      </c>
      <c r="G49" s="6">
        <v>0</v>
      </c>
      <c r="H49" s="6">
        <v>2</v>
      </c>
      <c r="I49" s="6">
        <v>0</v>
      </c>
      <c r="J49" s="6">
        <v>0</v>
      </c>
      <c r="K49" s="6">
        <v>0</v>
      </c>
      <c r="L49" s="6">
        <v>0</v>
      </c>
      <c r="M49" s="6">
        <v>3</v>
      </c>
      <c r="N49" s="6">
        <v>0</v>
      </c>
      <c r="O49" s="6">
        <v>1</v>
      </c>
      <c r="P49" s="6">
        <v>0</v>
      </c>
      <c r="Q49" s="6">
        <v>0</v>
      </c>
      <c r="R49" s="6">
        <v>1</v>
      </c>
      <c r="S49" s="6">
        <v>0</v>
      </c>
      <c r="T49" s="6">
        <v>0</v>
      </c>
      <c r="U49" s="6">
        <v>0</v>
      </c>
      <c r="V49" s="6">
        <v>1</v>
      </c>
      <c r="W49" s="6">
        <v>0</v>
      </c>
      <c r="X49" s="6">
        <v>0</v>
      </c>
      <c r="Y49" s="6">
        <v>0</v>
      </c>
      <c r="Z49" s="6">
        <v>0</v>
      </c>
      <c r="AA49" s="6">
        <v>1</v>
      </c>
      <c r="AB49" s="6">
        <v>2</v>
      </c>
      <c r="AC49" s="6">
        <v>0</v>
      </c>
      <c r="AD49" s="6">
        <v>0</v>
      </c>
      <c r="AE49" s="6">
        <v>1</v>
      </c>
      <c r="AF49" s="6">
        <v>0</v>
      </c>
      <c r="AG49" s="6">
        <v>4</v>
      </c>
      <c r="AH49" s="6">
        <v>0</v>
      </c>
      <c r="AI49" s="6">
        <v>0</v>
      </c>
      <c r="AJ49" s="6">
        <v>1</v>
      </c>
      <c r="AK49" s="6">
        <v>1</v>
      </c>
      <c r="AL49" s="6">
        <v>0</v>
      </c>
      <c r="AM49" s="5">
        <f t="shared" si="37"/>
        <v>20</v>
      </c>
    </row>
    <row r="50" spans="1:39" x14ac:dyDescent="0.4">
      <c r="A50" s="7"/>
      <c r="B50" s="46"/>
      <c r="C50" s="24" t="s">
        <v>110</v>
      </c>
      <c r="D50" s="47"/>
      <c r="E50" s="6">
        <v>1</v>
      </c>
      <c r="F50" s="6">
        <v>3</v>
      </c>
      <c r="G50" s="6">
        <v>0</v>
      </c>
      <c r="H50" s="6">
        <v>1</v>
      </c>
      <c r="I50" s="6">
        <v>0</v>
      </c>
      <c r="J50" s="6">
        <v>0</v>
      </c>
      <c r="K50" s="6">
        <v>2</v>
      </c>
      <c r="L50" s="6">
        <v>3</v>
      </c>
      <c r="M50" s="6">
        <v>3</v>
      </c>
      <c r="N50" s="6">
        <v>3</v>
      </c>
      <c r="O50" s="6">
        <v>1</v>
      </c>
      <c r="P50" s="6">
        <v>0</v>
      </c>
      <c r="Q50" s="6">
        <v>2</v>
      </c>
      <c r="R50" s="6">
        <v>13</v>
      </c>
      <c r="S50" s="6">
        <v>3</v>
      </c>
      <c r="T50" s="6">
        <v>0</v>
      </c>
      <c r="U50" s="6">
        <v>2</v>
      </c>
      <c r="V50" s="6">
        <v>1</v>
      </c>
      <c r="W50" s="6">
        <v>0</v>
      </c>
      <c r="X50" s="6">
        <v>3</v>
      </c>
      <c r="Y50" s="6">
        <v>0</v>
      </c>
      <c r="Z50" s="6">
        <v>0</v>
      </c>
      <c r="AA50" s="6">
        <v>4</v>
      </c>
      <c r="AB50" s="6">
        <v>18</v>
      </c>
      <c r="AC50" s="6">
        <v>3</v>
      </c>
      <c r="AD50" s="6">
        <v>2</v>
      </c>
      <c r="AE50" s="6">
        <v>0</v>
      </c>
      <c r="AF50" s="6">
        <v>0</v>
      </c>
      <c r="AG50" s="6">
        <v>1</v>
      </c>
      <c r="AH50" s="6">
        <v>2</v>
      </c>
      <c r="AI50" s="6">
        <v>0</v>
      </c>
      <c r="AJ50" s="6">
        <v>1</v>
      </c>
      <c r="AK50" s="6">
        <v>0</v>
      </c>
      <c r="AL50" s="6">
        <v>2</v>
      </c>
      <c r="AM50" s="5">
        <f t="shared" si="37"/>
        <v>74</v>
      </c>
    </row>
    <row r="51" spans="1:39" x14ac:dyDescent="0.4">
      <c r="A51" s="7"/>
      <c r="B51" s="46"/>
      <c r="C51" s="24" t="s">
        <v>111</v>
      </c>
      <c r="D51" s="47"/>
      <c r="E51" s="6">
        <v>2</v>
      </c>
      <c r="F51" s="6">
        <v>0</v>
      </c>
      <c r="G51" s="6">
        <v>1</v>
      </c>
      <c r="H51" s="6">
        <v>0</v>
      </c>
      <c r="I51" s="6">
        <v>1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1</v>
      </c>
      <c r="Q51" s="6">
        <v>0</v>
      </c>
      <c r="R51" s="6">
        <v>0</v>
      </c>
      <c r="S51" s="6">
        <v>1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2</v>
      </c>
      <c r="AE51" s="6">
        <v>2</v>
      </c>
      <c r="AF51" s="6">
        <v>1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5">
        <f t="shared" si="37"/>
        <v>11</v>
      </c>
    </row>
    <row r="52" spans="1:39" x14ac:dyDescent="0.4">
      <c r="A52" s="6" t="s">
        <v>26</v>
      </c>
      <c r="B52" s="53" t="s">
        <v>51</v>
      </c>
      <c r="C52" s="69"/>
      <c r="D52" s="60"/>
      <c r="E52" s="5">
        <f>SUM(E45:E51)</f>
        <v>45</v>
      </c>
      <c r="F52" s="5">
        <f>SUM(F45:F51)</f>
        <v>53</v>
      </c>
      <c r="G52" s="5">
        <f>SUM(G45:G51)</f>
        <v>48</v>
      </c>
      <c r="H52" s="5">
        <f>SUM(H45:H51)</f>
        <v>58</v>
      </c>
      <c r="I52" s="5">
        <f>SUM(I45:I51)</f>
        <v>40</v>
      </c>
      <c r="J52" s="5">
        <f>SUM(J45:J51)</f>
        <v>64</v>
      </c>
      <c r="K52" s="5">
        <f>SUM(K45:K51)</f>
        <v>32</v>
      </c>
      <c r="L52" s="5">
        <f>SUM(L45:L51)</f>
        <v>48</v>
      </c>
      <c r="M52" s="5">
        <f>SUM(M45:M51)</f>
        <v>45</v>
      </c>
      <c r="N52" s="5">
        <f>SUM(N45:N51)</f>
        <v>24</v>
      </c>
      <c r="O52" s="5">
        <f>SUM(O45:O51)</f>
        <v>53</v>
      </c>
      <c r="P52" s="5">
        <f>SUM(P45:P51)</f>
        <v>64</v>
      </c>
      <c r="Q52" s="5">
        <f>SUM(Q45:Q51)</f>
        <v>90</v>
      </c>
      <c r="R52" s="5">
        <f>SUM(R45:R51)</f>
        <v>38</v>
      </c>
      <c r="S52" s="5">
        <f>SUM(S45:S51)</f>
        <v>11</v>
      </c>
      <c r="T52" s="5">
        <f>SUM(T45:T51)</f>
        <v>11</v>
      </c>
      <c r="U52" s="5">
        <f>SUM(U45:U51)</f>
        <v>25</v>
      </c>
      <c r="V52" s="5">
        <f>SUM(V45:V51)</f>
        <v>16</v>
      </c>
      <c r="W52" s="5">
        <f>SUM(W45:W51)</f>
        <v>27</v>
      </c>
      <c r="X52" s="5">
        <f>SUM(X45:X51)</f>
        <v>33</v>
      </c>
      <c r="Y52" s="5">
        <f>SUM(Y45:Y51)</f>
        <v>32</v>
      </c>
      <c r="Z52" s="5">
        <f>SUM(Z45:Z51)</f>
        <v>24</v>
      </c>
      <c r="AA52" s="5">
        <f>SUM(AA45:AA51)</f>
        <v>54</v>
      </c>
      <c r="AB52" s="5">
        <f>SUM(AB45:AB51)</f>
        <v>108</v>
      </c>
      <c r="AC52" s="5">
        <f>SUM(AC45:AC51)</f>
        <v>18</v>
      </c>
      <c r="AD52" s="5">
        <f>SUM(AD45:AD51)</f>
        <v>13</v>
      </c>
      <c r="AE52" s="5">
        <f>SUM(AE45:AE51)</f>
        <v>17</v>
      </c>
      <c r="AF52" s="5">
        <f>SUM(AF45:AF51)</f>
        <v>3</v>
      </c>
      <c r="AG52" s="5">
        <f>SUM(AG45:AG51)</f>
        <v>26</v>
      </c>
      <c r="AH52" s="5">
        <f>SUM(AH45:AH51)</f>
        <v>21</v>
      </c>
      <c r="AI52" s="5">
        <f>SUM(AI45:AI51)</f>
        <v>18</v>
      </c>
      <c r="AJ52" s="5">
        <f>SUM(AJ45:AJ51)</f>
        <v>21</v>
      </c>
      <c r="AK52" s="5">
        <f>SUM(AK45:AK51)</f>
        <v>12</v>
      </c>
      <c r="AL52" s="5">
        <f>SUM(AL45:AL51)</f>
        <v>35</v>
      </c>
      <c r="AM52" s="5">
        <f>SUM(AM45:AM51)</f>
        <v>1227</v>
      </c>
    </row>
    <row r="53" spans="1:39" x14ac:dyDescent="0.4">
      <c r="A53" s="70"/>
      <c r="B53" s="71"/>
      <c r="C53" s="71"/>
      <c r="D53" s="71"/>
      <c r="E53" s="71"/>
      <c r="AM53" s="5"/>
    </row>
    <row r="54" spans="1:39" x14ac:dyDescent="0.4">
      <c r="A54" s="11" t="s">
        <v>48</v>
      </c>
      <c r="B54" s="17" t="s">
        <v>30</v>
      </c>
      <c r="C54" s="59" t="s">
        <v>52</v>
      </c>
      <c r="D54" s="60"/>
      <c r="E54" s="6">
        <v>7</v>
      </c>
      <c r="F54" s="6">
        <v>7</v>
      </c>
      <c r="G54" s="6">
        <v>2</v>
      </c>
      <c r="H54" s="6">
        <v>5</v>
      </c>
      <c r="I54" s="6">
        <v>2</v>
      </c>
      <c r="J54" s="6">
        <v>2</v>
      </c>
      <c r="K54" s="6">
        <v>7</v>
      </c>
      <c r="L54" s="6">
        <v>3</v>
      </c>
      <c r="M54" s="6">
        <v>10</v>
      </c>
      <c r="N54" s="6">
        <v>7</v>
      </c>
      <c r="O54" s="6">
        <v>8</v>
      </c>
      <c r="P54" s="6">
        <v>2</v>
      </c>
      <c r="Q54" s="6">
        <v>9</v>
      </c>
      <c r="R54" s="6">
        <v>5</v>
      </c>
      <c r="S54" s="6">
        <v>6</v>
      </c>
      <c r="T54" s="6">
        <v>10</v>
      </c>
      <c r="U54" s="6">
        <v>7</v>
      </c>
      <c r="V54" s="6">
        <v>8</v>
      </c>
      <c r="W54" s="6">
        <v>14</v>
      </c>
      <c r="X54" s="6">
        <v>11</v>
      </c>
      <c r="Y54" s="6">
        <v>3</v>
      </c>
      <c r="Z54" s="6">
        <v>2</v>
      </c>
      <c r="AA54" s="6">
        <v>5</v>
      </c>
      <c r="AB54" s="6">
        <v>1</v>
      </c>
      <c r="AC54" s="6">
        <v>8</v>
      </c>
      <c r="AD54" s="6">
        <v>11</v>
      </c>
      <c r="AE54" s="6">
        <v>8</v>
      </c>
      <c r="AF54" s="6">
        <v>6</v>
      </c>
      <c r="AG54" s="6">
        <v>5</v>
      </c>
      <c r="AH54" s="6">
        <v>6</v>
      </c>
      <c r="AI54" s="6">
        <v>6</v>
      </c>
      <c r="AJ54" s="6">
        <v>8</v>
      </c>
      <c r="AK54" s="6">
        <v>2</v>
      </c>
      <c r="AL54" s="6">
        <v>4</v>
      </c>
      <c r="AM54" s="5">
        <f t="shared" ref="AM54:AM60" si="38">SUM(E54:AL54)</f>
        <v>207</v>
      </c>
    </row>
    <row r="55" spans="1:39" x14ac:dyDescent="0.4">
      <c r="A55" s="11" t="s">
        <v>50</v>
      </c>
      <c r="B55" s="46"/>
      <c r="C55" s="24" t="s">
        <v>112</v>
      </c>
      <c r="D55" s="47"/>
      <c r="E55" s="6">
        <v>1</v>
      </c>
      <c r="F55" s="6">
        <v>4</v>
      </c>
      <c r="G55" s="6">
        <v>2</v>
      </c>
      <c r="H55" s="6">
        <v>0</v>
      </c>
      <c r="I55" s="6">
        <v>0</v>
      </c>
      <c r="J55" s="6">
        <v>0</v>
      </c>
      <c r="K55" s="6">
        <v>6</v>
      </c>
      <c r="L55" s="6">
        <v>0</v>
      </c>
      <c r="M55" s="6">
        <v>2</v>
      </c>
      <c r="N55" s="6">
        <v>2</v>
      </c>
      <c r="O55" s="6">
        <v>1</v>
      </c>
      <c r="P55" s="6">
        <v>2</v>
      </c>
      <c r="Q55" s="6">
        <v>2</v>
      </c>
      <c r="R55" s="6">
        <v>2</v>
      </c>
      <c r="S55" s="6">
        <v>0</v>
      </c>
      <c r="T55" s="6">
        <v>4</v>
      </c>
      <c r="U55" s="6">
        <v>3</v>
      </c>
      <c r="V55" s="6">
        <v>0</v>
      </c>
      <c r="W55" s="6">
        <v>0</v>
      </c>
      <c r="X55" s="6">
        <v>0</v>
      </c>
      <c r="Y55" s="6">
        <v>1</v>
      </c>
      <c r="Z55" s="6">
        <v>1</v>
      </c>
      <c r="AA55" s="6">
        <v>3</v>
      </c>
      <c r="AB55" s="6">
        <v>1</v>
      </c>
      <c r="AC55" s="6">
        <v>1</v>
      </c>
      <c r="AD55" s="6">
        <v>0</v>
      </c>
      <c r="AE55" s="6">
        <v>1</v>
      </c>
      <c r="AF55" s="6">
        <v>1</v>
      </c>
      <c r="AG55" s="6">
        <v>1</v>
      </c>
      <c r="AH55" s="6">
        <v>1</v>
      </c>
      <c r="AI55" s="6">
        <v>0</v>
      </c>
      <c r="AJ55" s="6">
        <v>3</v>
      </c>
      <c r="AK55" s="6">
        <v>0</v>
      </c>
      <c r="AL55" s="6">
        <v>0</v>
      </c>
      <c r="AM55" s="5">
        <f t="shared" si="38"/>
        <v>45</v>
      </c>
    </row>
    <row r="56" spans="1:39" x14ac:dyDescent="0.4">
      <c r="A56" s="7"/>
      <c r="B56" s="46"/>
      <c r="C56" s="24" t="s">
        <v>113</v>
      </c>
      <c r="D56" s="47"/>
      <c r="E56" s="6">
        <v>0</v>
      </c>
      <c r="F56" s="6">
        <v>3</v>
      </c>
      <c r="G56" s="6">
        <v>0</v>
      </c>
      <c r="H56" s="6">
        <v>0</v>
      </c>
      <c r="I56" s="6">
        <v>0</v>
      </c>
      <c r="J56" s="6">
        <v>0</v>
      </c>
      <c r="K56" s="6">
        <v>1</v>
      </c>
      <c r="L56" s="6">
        <v>0</v>
      </c>
      <c r="M56" s="6">
        <v>1</v>
      </c>
      <c r="N56" s="6">
        <v>0</v>
      </c>
      <c r="O56" s="6">
        <v>2</v>
      </c>
      <c r="P56" s="6">
        <v>0</v>
      </c>
      <c r="Q56" s="6">
        <v>0</v>
      </c>
      <c r="R56" s="6">
        <v>1</v>
      </c>
      <c r="S56" s="6">
        <v>0</v>
      </c>
      <c r="T56" s="6">
        <v>2</v>
      </c>
      <c r="U56" s="6">
        <v>2</v>
      </c>
      <c r="V56" s="6">
        <v>1</v>
      </c>
      <c r="W56" s="6">
        <v>0</v>
      </c>
      <c r="X56" s="6">
        <v>1</v>
      </c>
      <c r="Y56" s="6">
        <v>3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2</v>
      </c>
      <c r="AF56" s="6">
        <v>0</v>
      </c>
      <c r="AG56" s="6">
        <v>1</v>
      </c>
      <c r="AH56" s="6">
        <v>3</v>
      </c>
      <c r="AI56" s="6">
        <v>2</v>
      </c>
      <c r="AJ56" s="6">
        <v>3</v>
      </c>
      <c r="AK56" s="6">
        <v>0</v>
      </c>
      <c r="AL56" s="6">
        <v>0</v>
      </c>
      <c r="AM56" s="5">
        <f t="shared" si="38"/>
        <v>28</v>
      </c>
    </row>
    <row r="57" spans="1:39" x14ac:dyDescent="0.4">
      <c r="A57" s="7"/>
      <c r="B57" s="46"/>
      <c r="C57" s="24" t="s">
        <v>114</v>
      </c>
      <c r="D57" s="47"/>
      <c r="E57" s="6">
        <v>1</v>
      </c>
      <c r="F57" s="6">
        <v>1</v>
      </c>
      <c r="G57" s="6">
        <v>0</v>
      </c>
      <c r="H57" s="6">
        <v>5</v>
      </c>
      <c r="I57" s="6">
        <v>1</v>
      </c>
      <c r="J57" s="6">
        <v>0</v>
      </c>
      <c r="K57" s="6">
        <v>4</v>
      </c>
      <c r="L57" s="6">
        <v>7</v>
      </c>
      <c r="M57" s="6">
        <v>0</v>
      </c>
      <c r="N57" s="6">
        <v>2</v>
      </c>
      <c r="O57" s="6">
        <v>0</v>
      </c>
      <c r="P57" s="6">
        <v>0</v>
      </c>
      <c r="Q57" s="6">
        <v>1</v>
      </c>
      <c r="R57" s="6">
        <v>0</v>
      </c>
      <c r="S57" s="6">
        <v>0</v>
      </c>
      <c r="T57" s="6">
        <v>1</v>
      </c>
      <c r="U57" s="6">
        <v>0</v>
      </c>
      <c r="V57" s="6">
        <v>1</v>
      </c>
      <c r="W57" s="6">
        <v>0</v>
      </c>
      <c r="X57" s="6">
        <v>1</v>
      </c>
      <c r="Y57" s="6">
        <v>0</v>
      </c>
      <c r="Z57" s="6">
        <v>0</v>
      </c>
      <c r="AA57" s="6">
        <v>1</v>
      </c>
      <c r="AB57" s="6">
        <v>0</v>
      </c>
      <c r="AC57" s="6">
        <v>1</v>
      </c>
      <c r="AD57" s="6">
        <v>0</v>
      </c>
      <c r="AE57" s="6">
        <v>0</v>
      </c>
      <c r="AF57" s="6">
        <v>3</v>
      </c>
      <c r="AG57" s="6">
        <v>1</v>
      </c>
      <c r="AH57" s="6">
        <v>0</v>
      </c>
      <c r="AI57" s="6">
        <v>1</v>
      </c>
      <c r="AJ57" s="6">
        <v>0</v>
      </c>
      <c r="AK57" s="6">
        <v>0</v>
      </c>
      <c r="AL57" s="6">
        <v>0</v>
      </c>
      <c r="AM57" s="5">
        <f t="shared" si="38"/>
        <v>32</v>
      </c>
    </row>
    <row r="58" spans="1:39" x14ac:dyDescent="0.4">
      <c r="A58" s="7"/>
      <c r="B58" s="46"/>
      <c r="C58" s="24" t="s">
        <v>115</v>
      </c>
      <c r="D58" s="47"/>
      <c r="E58" s="6">
        <v>1</v>
      </c>
      <c r="F58" s="6">
        <v>2</v>
      </c>
      <c r="G58" s="6">
        <v>1</v>
      </c>
      <c r="H58" s="6">
        <v>0</v>
      </c>
      <c r="I58" s="6">
        <v>0</v>
      </c>
      <c r="J58" s="6">
        <v>0</v>
      </c>
      <c r="K58" s="6">
        <v>1</v>
      </c>
      <c r="L58" s="6">
        <v>2</v>
      </c>
      <c r="M58" s="6">
        <v>1</v>
      </c>
      <c r="N58" s="6">
        <v>3</v>
      </c>
      <c r="O58" s="6">
        <v>1</v>
      </c>
      <c r="P58" s="6">
        <v>2</v>
      </c>
      <c r="Q58" s="6">
        <v>1</v>
      </c>
      <c r="R58" s="6">
        <v>1</v>
      </c>
      <c r="S58" s="6">
        <v>3</v>
      </c>
      <c r="T58" s="6">
        <v>0</v>
      </c>
      <c r="U58" s="6">
        <v>0</v>
      </c>
      <c r="V58" s="6">
        <v>1</v>
      </c>
      <c r="W58" s="6">
        <v>1</v>
      </c>
      <c r="X58" s="6">
        <v>0</v>
      </c>
      <c r="Y58" s="6">
        <v>3</v>
      </c>
      <c r="Z58" s="6">
        <v>0</v>
      </c>
      <c r="AA58" s="6">
        <v>1</v>
      </c>
      <c r="AB58" s="6">
        <v>0</v>
      </c>
      <c r="AC58" s="6">
        <v>2</v>
      </c>
      <c r="AD58" s="6">
        <v>1</v>
      </c>
      <c r="AE58" s="6">
        <v>1</v>
      </c>
      <c r="AF58" s="6">
        <v>2</v>
      </c>
      <c r="AG58" s="6">
        <v>1</v>
      </c>
      <c r="AH58" s="6">
        <v>1</v>
      </c>
      <c r="AI58" s="6">
        <v>2</v>
      </c>
      <c r="AJ58" s="6">
        <v>6</v>
      </c>
      <c r="AK58" s="6">
        <v>0</v>
      </c>
      <c r="AL58" s="6">
        <v>1</v>
      </c>
      <c r="AM58" s="5">
        <f t="shared" si="38"/>
        <v>42</v>
      </c>
    </row>
    <row r="59" spans="1:39" x14ac:dyDescent="0.4">
      <c r="A59" s="7"/>
      <c r="B59" s="46"/>
      <c r="C59" s="24" t="s">
        <v>116</v>
      </c>
      <c r="D59" s="47"/>
      <c r="E59" s="6">
        <v>1</v>
      </c>
      <c r="F59" s="6">
        <v>1</v>
      </c>
      <c r="G59" s="6">
        <v>0</v>
      </c>
      <c r="H59" s="6">
        <v>0</v>
      </c>
      <c r="I59" s="6">
        <v>1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1</v>
      </c>
      <c r="P59" s="6">
        <v>0</v>
      </c>
      <c r="Q59" s="6">
        <v>0</v>
      </c>
      <c r="R59" s="6">
        <v>0</v>
      </c>
      <c r="S59" s="6">
        <v>0</v>
      </c>
      <c r="T59" s="6">
        <v>1</v>
      </c>
      <c r="U59" s="6">
        <v>1</v>
      </c>
      <c r="V59" s="6">
        <v>0</v>
      </c>
      <c r="W59" s="6">
        <v>2</v>
      </c>
      <c r="X59" s="6">
        <v>1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1</v>
      </c>
      <c r="AJ59" s="6">
        <v>0</v>
      </c>
      <c r="AK59" s="6">
        <v>0</v>
      </c>
      <c r="AL59" s="6">
        <v>0</v>
      </c>
      <c r="AM59" s="5">
        <f t="shared" si="38"/>
        <v>10</v>
      </c>
    </row>
    <row r="60" spans="1:39" ht="13.15" customHeight="1" x14ac:dyDescent="0.4">
      <c r="A60" s="7"/>
      <c r="B60" s="46"/>
      <c r="C60" s="24" t="s">
        <v>117</v>
      </c>
      <c r="D60" s="47"/>
      <c r="E60" s="6">
        <v>11</v>
      </c>
      <c r="F60" s="6">
        <v>10</v>
      </c>
      <c r="G60" s="6">
        <v>3</v>
      </c>
      <c r="H60" s="6">
        <v>13</v>
      </c>
      <c r="I60" s="6">
        <v>5</v>
      </c>
      <c r="J60" s="6">
        <v>3</v>
      </c>
      <c r="K60" s="6">
        <v>7</v>
      </c>
      <c r="L60" s="6">
        <v>14</v>
      </c>
      <c r="M60" s="6">
        <v>10</v>
      </c>
      <c r="N60" s="6">
        <v>8</v>
      </c>
      <c r="O60" s="6">
        <v>7</v>
      </c>
      <c r="P60" s="6">
        <v>1</v>
      </c>
      <c r="Q60" s="6">
        <v>3</v>
      </c>
      <c r="R60" s="6">
        <v>2</v>
      </c>
      <c r="S60" s="6">
        <v>13</v>
      </c>
      <c r="T60" s="6">
        <v>5</v>
      </c>
      <c r="U60" s="6">
        <v>20</v>
      </c>
      <c r="V60" s="6">
        <v>14</v>
      </c>
      <c r="W60" s="6">
        <v>12</v>
      </c>
      <c r="X60" s="6">
        <v>30</v>
      </c>
      <c r="Y60" s="6">
        <v>12</v>
      </c>
      <c r="Z60" s="6">
        <v>7</v>
      </c>
      <c r="AA60" s="6">
        <v>35</v>
      </c>
      <c r="AB60" s="6">
        <v>26</v>
      </c>
      <c r="AC60" s="6">
        <v>97</v>
      </c>
      <c r="AD60" s="6">
        <v>51</v>
      </c>
      <c r="AE60" s="6">
        <v>22</v>
      </c>
      <c r="AF60" s="6">
        <v>22</v>
      </c>
      <c r="AG60" s="6">
        <v>20</v>
      </c>
      <c r="AH60" s="6">
        <v>17</v>
      </c>
      <c r="AI60" s="6">
        <v>3</v>
      </c>
      <c r="AJ60" s="6">
        <v>12</v>
      </c>
      <c r="AK60" s="6">
        <v>2</v>
      </c>
      <c r="AL60" s="6">
        <v>1</v>
      </c>
      <c r="AM60" s="5">
        <f t="shared" si="38"/>
        <v>518</v>
      </c>
    </row>
    <row r="61" spans="1:39" x14ac:dyDescent="0.4">
      <c r="A61" s="6" t="s">
        <v>26</v>
      </c>
      <c r="B61" s="53" t="s">
        <v>51</v>
      </c>
      <c r="C61" s="69"/>
      <c r="D61" s="60"/>
      <c r="E61" s="5">
        <f>SUM(E54:E60)</f>
        <v>22</v>
      </c>
      <c r="F61" s="5">
        <f>SUM(F54:F60)</f>
        <v>28</v>
      </c>
      <c r="G61" s="5">
        <f>SUM(G54:G60)</f>
        <v>8</v>
      </c>
      <c r="H61" s="5">
        <f>SUM(H54:H60)</f>
        <v>23</v>
      </c>
      <c r="I61" s="5">
        <f>SUM(I54:I60)</f>
        <v>9</v>
      </c>
      <c r="J61" s="5">
        <f>SUM(J54:J60)</f>
        <v>5</v>
      </c>
      <c r="K61" s="5">
        <f>SUM(K54:K60)</f>
        <v>26</v>
      </c>
      <c r="L61" s="5">
        <f>SUM(L54:L60)</f>
        <v>26</v>
      </c>
      <c r="M61" s="5">
        <f>SUM(M54:M60)</f>
        <v>24</v>
      </c>
      <c r="N61" s="5">
        <f>SUM(N54:N60)</f>
        <v>22</v>
      </c>
      <c r="O61" s="5">
        <f>SUM(O54:O60)</f>
        <v>20</v>
      </c>
      <c r="P61" s="5">
        <f>SUM(P54:P60)</f>
        <v>7</v>
      </c>
      <c r="Q61" s="5">
        <f>SUM(Q54:Q60)</f>
        <v>16</v>
      </c>
      <c r="R61" s="5">
        <f>SUM(R54:R60)</f>
        <v>11</v>
      </c>
      <c r="S61" s="5">
        <f>SUM(S54:S60)</f>
        <v>22</v>
      </c>
      <c r="T61" s="5">
        <f>SUM(T54:T60)</f>
        <v>23</v>
      </c>
      <c r="U61" s="5">
        <f>SUM(U54:U60)</f>
        <v>33</v>
      </c>
      <c r="V61" s="5">
        <f>SUM(V54:V60)</f>
        <v>25</v>
      </c>
      <c r="W61" s="5">
        <f>SUM(W54:W60)</f>
        <v>29</v>
      </c>
      <c r="X61" s="5">
        <f>SUM(X54:X60)</f>
        <v>44</v>
      </c>
      <c r="Y61" s="5">
        <f>SUM(Y54:Y60)</f>
        <v>22</v>
      </c>
      <c r="Z61" s="5">
        <f>SUM(Z54:Z60)</f>
        <v>10</v>
      </c>
      <c r="AA61" s="5">
        <f>SUM(AA54:AA60)</f>
        <v>45</v>
      </c>
      <c r="AB61" s="5">
        <f>SUM(AB54:AB60)</f>
        <v>28</v>
      </c>
      <c r="AC61" s="5">
        <f>SUM(AC54:AC60)</f>
        <v>109</v>
      </c>
      <c r="AD61" s="5">
        <f>SUM(AD54:AD60)</f>
        <v>63</v>
      </c>
      <c r="AE61" s="5">
        <f>SUM(AE54:AE60)</f>
        <v>34</v>
      </c>
      <c r="AF61" s="5">
        <f>SUM(AF54:AF60)</f>
        <v>34</v>
      </c>
      <c r="AG61" s="5">
        <f>SUM(AG54:AG60)</f>
        <v>29</v>
      </c>
      <c r="AH61" s="5">
        <f>SUM(AH54:AH60)</f>
        <v>28</v>
      </c>
      <c r="AI61" s="5">
        <f>SUM(AI54:AI60)</f>
        <v>15</v>
      </c>
      <c r="AJ61" s="5">
        <f>SUM(AJ54:AJ60)</f>
        <v>32</v>
      </c>
      <c r="AK61" s="5">
        <f>SUM(AK54:AK60)</f>
        <v>4</v>
      </c>
      <c r="AL61" s="5">
        <f>SUM(AL54:AL60)</f>
        <v>6</v>
      </c>
      <c r="AM61" s="5">
        <f>SUM(AM54:AM60)</f>
        <v>882</v>
      </c>
    </row>
    <row r="62" spans="1:39" x14ac:dyDescent="0.4">
      <c r="A62" s="70"/>
      <c r="B62" s="71"/>
      <c r="C62" s="71"/>
      <c r="D62" s="71"/>
      <c r="E62" s="71"/>
    </row>
    <row r="63" spans="1:39" x14ac:dyDescent="0.4">
      <c r="A63" s="11" t="s">
        <v>48</v>
      </c>
      <c r="B63" s="17" t="s">
        <v>32</v>
      </c>
      <c r="C63" s="59" t="s">
        <v>53</v>
      </c>
      <c r="D63" s="60"/>
      <c r="E63" s="6">
        <v>0</v>
      </c>
      <c r="F63" s="6">
        <v>3</v>
      </c>
      <c r="G63" s="6">
        <v>6</v>
      </c>
      <c r="H63" s="6">
        <v>3</v>
      </c>
      <c r="I63" s="6">
        <v>10</v>
      </c>
      <c r="J63" s="6">
        <v>12</v>
      </c>
      <c r="K63" s="6">
        <v>7</v>
      </c>
      <c r="L63" s="6">
        <v>6</v>
      </c>
      <c r="M63" s="6">
        <v>6</v>
      </c>
      <c r="N63" s="6">
        <v>1</v>
      </c>
      <c r="O63" s="6">
        <v>5</v>
      </c>
      <c r="P63" s="6">
        <v>3</v>
      </c>
      <c r="Q63" s="6">
        <v>6</v>
      </c>
      <c r="R63" s="6">
        <v>15</v>
      </c>
      <c r="S63" s="6">
        <v>5</v>
      </c>
      <c r="T63" s="6">
        <v>10</v>
      </c>
      <c r="U63" s="6">
        <v>9</v>
      </c>
      <c r="V63" s="6">
        <v>14</v>
      </c>
      <c r="W63" s="6">
        <v>21</v>
      </c>
      <c r="X63" s="6">
        <v>6</v>
      </c>
      <c r="Y63" s="6">
        <v>7</v>
      </c>
      <c r="Z63" s="6">
        <v>4</v>
      </c>
      <c r="AA63" s="6">
        <v>6</v>
      </c>
      <c r="AB63" s="6">
        <v>9</v>
      </c>
      <c r="AC63" s="6">
        <v>2</v>
      </c>
      <c r="AD63" s="6">
        <v>2</v>
      </c>
      <c r="AE63" s="6">
        <v>16</v>
      </c>
      <c r="AF63" s="6">
        <v>21</v>
      </c>
      <c r="AG63" s="6">
        <v>3</v>
      </c>
      <c r="AH63" s="6">
        <v>1</v>
      </c>
      <c r="AI63" s="6">
        <v>9</v>
      </c>
      <c r="AJ63" s="6">
        <v>5</v>
      </c>
      <c r="AK63" s="6">
        <v>0</v>
      </c>
      <c r="AL63" s="6">
        <v>9</v>
      </c>
      <c r="AM63" s="5">
        <f t="shared" ref="AM63:AM69" si="39">SUM(E63:AL63)</f>
        <v>242</v>
      </c>
    </row>
    <row r="64" spans="1:39" x14ac:dyDescent="0.4">
      <c r="A64" s="11" t="s">
        <v>50</v>
      </c>
      <c r="B64" s="46"/>
      <c r="C64" s="24" t="s">
        <v>118</v>
      </c>
      <c r="D64" s="47"/>
      <c r="E64" s="6">
        <v>5</v>
      </c>
      <c r="F64" s="6">
        <v>2</v>
      </c>
      <c r="G64" s="6">
        <v>1</v>
      </c>
      <c r="H64" s="6">
        <v>1</v>
      </c>
      <c r="I64" s="6">
        <v>3</v>
      </c>
      <c r="J64" s="6">
        <v>0</v>
      </c>
      <c r="K64" s="6">
        <v>3</v>
      </c>
      <c r="L64" s="6">
        <v>2</v>
      </c>
      <c r="M64" s="6">
        <v>1</v>
      </c>
      <c r="N64" s="6">
        <v>1</v>
      </c>
      <c r="O64" s="6">
        <v>2</v>
      </c>
      <c r="P64" s="6">
        <v>3</v>
      </c>
      <c r="Q64" s="6">
        <v>0</v>
      </c>
      <c r="R64" s="6">
        <v>6</v>
      </c>
      <c r="S64" s="6">
        <v>5</v>
      </c>
      <c r="T64" s="6">
        <v>2</v>
      </c>
      <c r="U64" s="6">
        <v>4</v>
      </c>
      <c r="V64" s="6">
        <v>3</v>
      </c>
      <c r="W64" s="6">
        <v>5</v>
      </c>
      <c r="X64" s="6">
        <v>1</v>
      </c>
      <c r="Y64" s="6">
        <v>2</v>
      </c>
      <c r="Z64" s="6">
        <v>0</v>
      </c>
      <c r="AA64" s="6">
        <v>2</v>
      </c>
      <c r="AB64" s="6">
        <v>0</v>
      </c>
      <c r="AC64" s="6">
        <v>0</v>
      </c>
      <c r="AD64" s="6">
        <v>2</v>
      </c>
      <c r="AE64" s="6">
        <v>1</v>
      </c>
      <c r="AF64" s="6">
        <v>3</v>
      </c>
      <c r="AG64" s="6">
        <v>3</v>
      </c>
      <c r="AH64" s="6">
        <v>0</v>
      </c>
      <c r="AI64" s="6">
        <v>2</v>
      </c>
      <c r="AJ64" s="6">
        <v>0</v>
      </c>
      <c r="AK64" s="6">
        <v>1</v>
      </c>
      <c r="AL64" s="6">
        <v>1</v>
      </c>
      <c r="AM64" s="5">
        <f t="shared" si="39"/>
        <v>67</v>
      </c>
    </row>
    <row r="65" spans="1:39" x14ac:dyDescent="0.4">
      <c r="A65" s="7"/>
      <c r="B65" s="46"/>
      <c r="C65" s="24" t="s">
        <v>119</v>
      </c>
      <c r="D65" s="47"/>
      <c r="E65" s="6">
        <v>6</v>
      </c>
      <c r="F65" s="6">
        <v>1</v>
      </c>
      <c r="G65" s="6">
        <v>1</v>
      </c>
      <c r="H65" s="6">
        <v>2</v>
      </c>
      <c r="I65" s="6">
        <v>2</v>
      </c>
      <c r="J65" s="6">
        <v>5</v>
      </c>
      <c r="K65" s="6">
        <v>12</v>
      </c>
      <c r="L65" s="6">
        <v>6</v>
      </c>
      <c r="M65" s="6">
        <v>2</v>
      </c>
      <c r="N65" s="6">
        <v>7</v>
      </c>
      <c r="O65" s="6">
        <v>2</v>
      </c>
      <c r="P65" s="6">
        <v>4</v>
      </c>
      <c r="Q65" s="6">
        <v>4</v>
      </c>
      <c r="R65" s="6">
        <v>6</v>
      </c>
      <c r="S65" s="6">
        <v>5</v>
      </c>
      <c r="T65" s="6">
        <v>4</v>
      </c>
      <c r="U65" s="6">
        <v>3</v>
      </c>
      <c r="V65" s="6">
        <v>3</v>
      </c>
      <c r="W65" s="6">
        <v>7</v>
      </c>
      <c r="X65" s="6">
        <v>4</v>
      </c>
      <c r="Y65" s="6">
        <v>6</v>
      </c>
      <c r="Z65" s="6">
        <v>0</v>
      </c>
      <c r="AA65" s="6">
        <v>5</v>
      </c>
      <c r="AB65" s="6">
        <v>2</v>
      </c>
      <c r="AC65" s="6">
        <v>7</v>
      </c>
      <c r="AD65" s="6">
        <v>8</v>
      </c>
      <c r="AE65" s="6">
        <v>9</v>
      </c>
      <c r="AF65" s="6">
        <v>3</v>
      </c>
      <c r="AG65" s="6">
        <v>6</v>
      </c>
      <c r="AH65" s="6">
        <v>1</v>
      </c>
      <c r="AI65" s="6">
        <v>2</v>
      </c>
      <c r="AJ65" s="6">
        <v>1</v>
      </c>
      <c r="AK65" s="6">
        <v>0</v>
      </c>
      <c r="AL65" s="6">
        <v>1</v>
      </c>
      <c r="AM65" s="5">
        <f t="shared" si="39"/>
        <v>137</v>
      </c>
    </row>
    <row r="66" spans="1:39" x14ac:dyDescent="0.4">
      <c r="A66" s="7"/>
      <c r="B66" s="46"/>
      <c r="C66" s="24" t="s">
        <v>120</v>
      </c>
      <c r="D66" s="47"/>
      <c r="E66" s="6">
        <v>2</v>
      </c>
      <c r="F66" s="6">
        <v>2</v>
      </c>
      <c r="G66" s="6">
        <v>11</v>
      </c>
      <c r="H66" s="6">
        <v>33</v>
      </c>
      <c r="I66" s="6">
        <v>32</v>
      </c>
      <c r="J66" s="6">
        <v>41</v>
      </c>
      <c r="K66" s="6">
        <v>10</v>
      </c>
      <c r="L66" s="6">
        <v>14</v>
      </c>
      <c r="M66" s="6">
        <v>4</v>
      </c>
      <c r="N66" s="6">
        <v>5</v>
      </c>
      <c r="O66" s="6">
        <v>2</v>
      </c>
      <c r="P66" s="6">
        <v>4</v>
      </c>
      <c r="Q66" s="6">
        <v>17</v>
      </c>
      <c r="R66" s="6">
        <v>2</v>
      </c>
      <c r="S66" s="6">
        <v>1</v>
      </c>
      <c r="T66" s="6">
        <v>11</v>
      </c>
      <c r="U66" s="6">
        <v>4</v>
      </c>
      <c r="V66" s="6">
        <v>4</v>
      </c>
      <c r="W66" s="6">
        <v>10</v>
      </c>
      <c r="X66" s="6">
        <v>6</v>
      </c>
      <c r="Y66" s="6">
        <v>52</v>
      </c>
      <c r="Z66" s="6">
        <v>19</v>
      </c>
      <c r="AA66" s="6">
        <v>27</v>
      </c>
      <c r="AB66" s="6">
        <v>2</v>
      </c>
      <c r="AC66" s="6">
        <v>1</v>
      </c>
      <c r="AD66" s="6">
        <v>0</v>
      </c>
      <c r="AE66" s="6">
        <v>4</v>
      </c>
      <c r="AF66" s="6">
        <v>45</v>
      </c>
      <c r="AG66" s="6">
        <v>9</v>
      </c>
      <c r="AH66" s="6">
        <v>8</v>
      </c>
      <c r="AI66" s="6">
        <v>13</v>
      </c>
      <c r="AJ66" s="6">
        <v>12</v>
      </c>
      <c r="AK66" s="6">
        <v>6</v>
      </c>
      <c r="AL66" s="6">
        <v>3</v>
      </c>
      <c r="AM66" s="5">
        <f t="shared" si="39"/>
        <v>416</v>
      </c>
    </row>
    <row r="67" spans="1:39" x14ac:dyDescent="0.4">
      <c r="A67" s="7"/>
      <c r="B67" s="46"/>
      <c r="C67" s="24" t="s">
        <v>121</v>
      </c>
      <c r="D67" s="47"/>
      <c r="E67" s="6">
        <v>6</v>
      </c>
      <c r="F67" s="6">
        <v>12</v>
      </c>
      <c r="G67" s="6">
        <v>26</v>
      </c>
      <c r="H67" s="6">
        <v>4</v>
      </c>
      <c r="I67" s="6">
        <v>42</v>
      </c>
      <c r="J67" s="6">
        <v>17</v>
      </c>
      <c r="K67" s="6">
        <v>11</v>
      </c>
      <c r="L67" s="6">
        <v>17</v>
      </c>
      <c r="M67" s="6">
        <v>5</v>
      </c>
      <c r="N67" s="6">
        <v>11</v>
      </c>
      <c r="O67" s="6">
        <v>2</v>
      </c>
      <c r="P67" s="6">
        <v>3</v>
      </c>
      <c r="Q67" s="6">
        <v>2</v>
      </c>
      <c r="R67" s="6">
        <v>4</v>
      </c>
      <c r="S67" s="6">
        <v>0</v>
      </c>
      <c r="T67" s="6">
        <v>6</v>
      </c>
      <c r="U67" s="6">
        <v>2</v>
      </c>
      <c r="V67" s="6">
        <v>2</v>
      </c>
      <c r="W67" s="6">
        <v>4</v>
      </c>
      <c r="X67" s="6">
        <v>2</v>
      </c>
      <c r="Y67" s="6">
        <v>1</v>
      </c>
      <c r="Z67" s="6">
        <v>19</v>
      </c>
      <c r="AA67" s="6">
        <v>3</v>
      </c>
      <c r="AB67" s="6">
        <v>0</v>
      </c>
      <c r="AC67" s="6">
        <v>3</v>
      </c>
      <c r="AD67" s="6">
        <v>1</v>
      </c>
      <c r="AE67" s="6">
        <v>1</v>
      </c>
      <c r="AF67" s="6">
        <v>0</v>
      </c>
      <c r="AG67" s="6">
        <v>1</v>
      </c>
      <c r="AH67" s="6">
        <v>0</v>
      </c>
      <c r="AI67" s="6">
        <v>3</v>
      </c>
      <c r="AJ67" s="6">
        <v>0</v>
      </c>
      <c r="AK67" s="6">
        <v>0</v>
      </c>
      <c r="AL67" s="6">
        <v>0</v>
      </c>
      <c r="AM67" s="5">
        <f t="shared" si="39"/>
        <v>210</v>
      </c>
    </row>
    <row r="68" spans="1:39" ht="13.15" customHeight="1" x14ac:dyDescent="0.4">
      <c r="A68" s="7"/>
      <c r="B68" s="46"/>
      <c r="C68" s="24" t="s">
        <v>122</v>
      </c>
      <c r="D68" s="47"/>
      <c r="E68" s="6">
        <v>4</v>
      </c>
      <c r="F68" s="6">
        <v>1</v>
      </c>
      <c r="G68" s="6">
        <v>2</v>
      </c>
      <c r="H68" s="6">
        <v>0</v>
      </c>
      <c r="I68" s="6">
        <v>2</v>
      </c>
      <c r="J68" s="6">
        <v>0</v>
      </c>
      <c r="K68" s="6">
        <v>0</v>
      </c>
      <c r="L68" s="6">
        <v>1</v>
      </c>
      <c r="M68" s="6">
        <v>2</v>
      </c>
      <c r="N68" s="6">
        <v>2</v>
      </c>
      <c r="O68" s="6">
        <v>1</v>
      </c>
      <c r="P68" s="6">
        <v>0</v>
      </c>
      <c r="Q68" s="6">
        <v>0</v>
      </c>
      <c r="R68" s="6">
        <v>2</v>
      </c>
      <c r="S68" s="6">
        <v>1</v>
      </c>
      <c r="T68" s="6">
        <v>0</v>
      </c>
      <c r="U68" s="6">
        <v>2</v>
      </c>
      <c r="V68" s="6">
        <v>0</v>
      </c>
      <c r="W68" s="6">
        <v>0</v>
      </c>
      <c r="X68" s="6">
        <v>0</v>
      </c>
      <c r="Y68" s="6">
        <v>1</v>
      </c>
      <c r="Z68" s="6">
        <v>0</v>
      </c>
      <c r="AA68" s="6">
        <v>1</v>
      </c>
      <c r="AB68" s="6">
        <v>0</v>
      </c>
      <c r="AC68" s="6">
        <v>1</v>
      </c>
      <c r="AD68" s="6">
        <v>1</v>
      </c>
      <c r="AE68" s="6">
        <v>1</v>
      </c>
      <c r="AF68" s="6">
        <v>4</v>
      </c>
      <c r="AG68" s="6">
        <v>0</v>
      </c>
      <c r="AH68" s="6">
        <v>0</v>
      </c>
      <c r="AI68" s="6">
        <v>0</v>
      </c>
      <c r="AJ68" s="6">
        <v>0</v>
      </c>
      <c r="AK68" s="6">
        <v>2</v>
      </c>
      <c r="AL68" s="6">
        <v>0</v>
      </c>
      <c r="AM68" s="5">
        <f t="shared" si="39"/>
        <v>31</v>
      </c>
    </row>
    <row r="69" spans="1:39" x14ac:dyDescent="0.4">
      <c r="A69" s="7"/>
      <c r="B69" s="46"/>
      <c r="C69" s="24" t="s">
        <v>123</v>
      </c>
      <c r="D69" s="47"/>
      <c r="E69" s="6">
        <v>0</v>
      </c>
      <c r="F69" s="6">
        <v>2</v>
      </c>
      <c r="G69" s="6">
        <v>0</v>
      </c>
      <c r="H69" s="6">
        <v>1</v>
      </c>
      <c r="I69" s="6">
        <v>0</v>
      </c>
      <c r="J69" s="6">
        <v>0</v>
      </c>
      <c r="K69" s="6">
        <v>0</v>
      </c>
      <c r="L69" s="6">
        <v>2</v>
      </c>
      <c r="M69" s="6">
        <v>0</v>
      </c>
      <c r="N69" s="6">
        <v>0</v>
      </c>
      <c r="O69" s="6">
        <v>1</v>
      </c>
      <c r="P69" s="6">
        <v>1</v>
      </c>
      <c r="Q69" s="6">
        <v>0</v>
      </c>
      <c r="R69" s="6">
        <v>1</v>
      </c>
      <c r="S69" s="6">
        <v>0</v>
      </c>
      <c r="T69" s="6">
        <v>0</v>
      </c>
      <c r="U69" s="6">
        <v>1</v>
      </c>
      <c r="V69" s="6">
        <v>0</v>
      </c>
      <c r="W69" s="6">
        <v>1</v>
      </c>
      <c r="X69" s="6">
        <v>0</v>
      </c>
      <c r="Y69" s="6">
        <v>0</v>
      </c>
      <c r="Z69" s="6">
        <v>1</v>
      </c>
      <c r="AA69" s="6">
        <v>0</v>
      </c>
      <c r="AB69" s="6">
        <v>1</v>
      </c>
      <c r="AC69" s="6">
        <v>0</v>
      </c>
      <c r="AD69" s="6">
        <v>1</v>
      </c>
      <c r="AE69" s="6">
        <v>0</v>
      </c>
      <c r="AF69" s="6">
        <v>3</v>
      </c>
      <c r="AG69" s="6">
        <v>0</v>
      </c>
      <c r="AH69" s="6">
        <v>0</v>
      </c>
      <c r="AI69" s="6">
        <v>0</v>
      </c>
      <c r="AJ69" s="6">
        <v>0</v>
      </c>
      <c r="AK69" s="6">
        <v>1</v>
      </c>
      <c r="AL69" s="6">
        <v>1</v>
      </c>
      <c r="AM69" s="5">
        <f t="shared" si="39"/>
        <v>18</v>
      </c>
    </row>
    <row r="70" spans="1:39" x14ac:dyDescent="0.4">
      <c r="A70" s="6" t="s">
        <v>26</v>
      </c>
      <c r="B70" s="53" t="s">
        <v>51</v>
      </c>
      <c r="C70" s="69"/>
      <c r="D70" s="60"/>
      <c r="E70" s="5">
        <f>SUM(E63:E69)</f>
        <v>23</v>
      </c>
      <c r="F70" s="5">
        <f>SUM(F63:F69)</f>
        <v>23</v>
      </c>
      <c r="G70" s="5">
        <f>SUM(G63:G69)</f>
        <v>47</v>
      </c>
      <c r="H70" s="5">
        <f>SUM(H63:H69)</f>
        <v>44</v>
      </c>
      <c r="I70" s="5">
        <f>SUM(I63:I69)</f>
        <v>91</v>
      </c>
      <c r="J70" s="5">
        <f>SUM(J63:J69)</f>
        <v>75</v>
      </c>
      <c r="K70" s="5">
        <f>SUM(K63:K69)</f>
        <v>43</v>
      </c>
      <c r="L70" s="5">
        <f>SUM(L63:L69)</f>
        <v>48</v>
      </c>
      <c r="M70" s="5">
        <f>SUM(M63:M69)</f>
        <v>20</v>
      </c>
      <c r="N70" s="5">
        <f>SUM(N63:N69)</f>
        <v>27</v>
      </c>
      <c r="O70" s="5">
        <f>SUM(O63:O69)</f>
        <v>15</v>
      </c>
      <c r="P70" s="5">
        <f>SUM(P63:P69)</f>
        <v>18</v>
      </c>
      <c r="Q70" s="5">
        <f>SUM(Q63:Q69)</f>
        <v>29</v>
      </c>
      <c r="R70" s="5">
        <f>SUM(R63:R69)</f>
        <v>36</v>
      </c>
      <c r="S70" s="5">
        <f>SUM(S63:S69)</f>
        <v>17</v>
      </c>
      <c r="T70" s="5">
        <f>SUM(T63:T69)</f>
        <v>33</v>
      </c>
      <c r="U70" s="5">
        <f>SUM(U63:U69)</f>
        <v>25</v>
      </c>
      <c r="V70" s="5">
        <f>SUM(V63:V69)</f>
        <v>26</v>
      </c>
      <c r="W70" s="5">
        <f>SUM(W63:W69)</f>
        <v>48</v>
      </c>
      <c r="X70" s="5">
        <f>SUM(X63:X69)</f>
        <v>19</v>
      </c>
      <c r="Y70" s="5">
        <f>SUM(Y63:Y69)</f>
        <v>69</v>
      </c>
      <c r="Z70" s="5">
        <f>SUM(Z63:Z69)</f>
        <v>43</v>
      </c>
      <c r="AA70" s="5">
        <f>SUM(AA63:AA69)</f>
        <v>44</v>
      </c>
      <c r="AB70" s="5">
        <f>SUM(AB63:AB69)</f>
        <v>14</v>
      </c>
      <c r="AC70" s="5">
        <f>SUM(AC63:AC69)</f>
        <v>14</v>
      </c>
      <c r="AD70" s="5">
        <f>SUM(AD63:AD69)</f>
        <v>15</v>
      </c>
      <c r="AE70" s="5">
        <f>SUM(AE63:AE69)</f>
        <v>32</v>
      </c>
      <c r="AF70" s="5">
        <f>SUM(AF63:AF69)</f>
        <v>79</v>
      </c>
      <c r="AG70" s="5">
        <f>SUM(AG63:AG69)</f>
        <v>22</v>
      </c>
      <c r="AH70" s="5">
        <f>SUM(AH63:AH69)</f>
        <v>10</v>
      </c>
      <c r="AI70" s="5">
        <f>SUM(AI63:AI69)</f>
        <v>29</v>
      </c>
      <c r="AJ70" s="5">
        <f>SUM(AJ63:AJ69)</f>
        <v>18</v>
      </c>
      <c r="AK70" s="5">
        <f>SUM(AK63:AK69)</f>
        <v>10</v>
      </c>
      <c r="AL70" s="5">
        <f>SUM(AL63:AL69)</f>
        <v>15</v>
      </c>
      <c r="AM70" s="5">
        <f>SUM(AM63:AM69)</f>
        <v>1121</v>
      </c>
    </row>
    <row r="71" spans="1:39" x14ac:dyDescent="0.4">
      <c r="A71" s="70"/>
      <c r="B71" s="71"/>
      <c r="C71" s="71"/>
      <c r="D71" s="71"/>
      <c r="E71" s="71"/>
    </row>
    <row r="72" spans="1:39" x14ac:dyDescent="0.4">
      <c r="A72" s="11" t="s">
        <v>48</v>
      </c>
      <c r="B72" s="17" t="s">
        <v>34</v>
      </c>
      <c r="C72" s="59" t="s">
        <v>54</v>
      </c>
      <c r="D72" s="60"/>
      <c r="E72" s="6">
        <v>1</v>
      </c>
      <c r="F72" s="6">
        <v>2</v>
      </c>
      <c r="G72" s="6">
        <v>3</v>
      </c>
      <c r="H72" s="6">
        <v>0</v>
      </c>
      <c r="I72" s="6">
        <v>1</v>
      </c>
      <c r="J72" s="6">
        <v>1</v>
      </c>
      <c r="K72" s="6">
        <v>1</v>
      </c>
      <c r="L72" s="6">
        <v>0</v>
      </c>
      <c r="M72" s="6">
        <v>0</v>
      </c>
      <c r="N72" s="6">
        <v>1</v>
      </c>
      <c r="O72" s="6">
        <v>2</v>
      </c>
      <c r="P72" s="6">
        <v>0</v>
      </c>
      <c r="Q72" s="6">
        <v>2</v>
      </c>
      <c r="R72" s="6">
        <v>3</v>
      </c>
      <c r="S72" s="6">
        <v>1</v>
      </c>
      <c r="T72" s="6">
        <v>0</v>
      </c>
      <c r="U72" s="6">
        <v>4</v>
      </c>
      <c r="V72" s="6">
        <v>1</v>
      </c>
      <c r="W72" s="6">
        <v>4</v>
      </c>
      <c r="X72" s="6">
        <v>3</v>
      </c>
      <c r="Y72" s="6">
        <v>1</v>
      </c>
      <c r="Z72" s="6">
        <v>2</v>
      </c>
      <c r="AA72" s="6">
        <v>0</v>
      </c>
      <c r="AB72" s="6">
        <v>0</v>
      </c>
      <c r="AC72" s="6">
        <v>2</v>
      </c>
      <c r="AD72" s="6">
        <v>2</v>
      </c>
      <c r="AE72" s="6">
        <v>3</v>
      </c>
      <c r="AF72" s="6">
        <v>1</v>
      </c>
      <c r="AG72" s="6">
        <v>1</v>
      </c>
      <c r="AH72" s="6">
        <v>2</v>
      </c>
      <c r="AI72" s="6">
        <v>1</v>
      </c>
      <c r="AJ72" s="6">
        <v>2</v>
      </c>
      <c r="AK72" s="6">
        <v>0</v>
      </c>
      <c r="AL72" s="6">
        <v>5</v>
      </c>
      <c r="AM72" s="5">
        <f t="shared" ref="AM72:AM78" si="40">SUM(E72:AL72)</f>
        <v>52</v>
      </c>
    </row>
    <row r="73" spans="1:39" x14ac:dyDescent="0.4">
      <c r="A73" s="11" t="s">
        <v>50</v>
      </c>
      <c r="B73" s="46"/>
      <c r="C73" s="24" t="s">
        <v>124</v>
      </c>
      <c r="D73" s="47"/>
      <c r="E73" s="6">
        <v>1</v>
      </c>
      <c r="F73" s="6">
        <v>4</v>
      </c>
      <c r="G73" s="6">
        <v>4</v>
      </c>
      <c r="H73" s="6">
        <v>0</v>
      </c>
      <c r="I73" s="6">
        <v>0</v>
      </c>
      <c r="J73" s="6">
        <v>1</v>
      </c>
      <c r="K73" s="6">
        <v>1</v>
      </c>
      <c r="L73" s="6">
        <v>0</v>
      </c>
      <c r="M73" s="6">
        <v>1</v>
      </c>
      <c r="N73" s="6">
        <v>5</v>
      </c>
      <c r="O73" s="6">
        <v>1</v>
      </c>
      <c r="P73" s="6">
        <v>0</v>
      </c>
      <c r="Q73" s="6">
        <v>0</v>
      </c>
      <c r="R73" s="6">
        <v>0</v>
      </c>
      <c r="S73" s="6">
        <v>1</v>
      </c>
      <c r="T73" s="6">
        <v>3</v>
      </c>
      <c r="U73" s="6">
        <v>2</v>
      </c>
      <c r="V73" s="6">
        <v>0</v>
      </c>
      <c r="W73" s="6">
        <v>1</v>
      </c>
      <c r="X73" s="6">
        <v>1</v>
      </c>
      <c r="Y73" s="6">
        <v>5</v>
      </c>
      <c r="Z73" s="6">
        <v>0</v>
      </c>
      <c r="AA73" s="6">
        <v>6</v>
      </c>
      <c r="AB73" s="6">
        <v>1</v>
      </c>
      <c r="AC73" s="6">
        <v>1</v>
      </c>
      <c r="AD73" s="6">
        <v>6</v>
      </c>
      <c r="AE73" s="6">
        <v>3</v>
      </c>
      <c r="AF73" s="6">
        <v>2</v>
      </c>
      <c r="AG73" s="6">
        <v>6</v>
      </c>
      <c r="AH73" s="6">
        <v>12</v>
      </c>
      <c r="AI73" s="6">
        <v>7</v>
      </c>
      <c r="AJ73" s="6">
        <v>10</v>
      </c>
      <c r="AK73" s="6">
        <v>1</v>
      </c>
      <c r="AL73" s="6">
        <v>3</v>
      </c>
      <c r="AM73" s="5">
        <f t="shared" si="40"/>
        <v>89</v>
      </c>
    </row>
    <row r="74" spans="1:39" x14ac:dyDescent="0.4">
      <c r="A74" s="7"/>
      <c r="B74" s="46"/>
      <c r="C74" s="24" t="s">
        <v>125</v>
      </c>
      <c r="D74" s="47"/>
      <c r="E74" s="6">
        <v>1</v>
      </c>
      <c r="F74" s="6">
        <v>2</v>
      </c>
      <c r="G74" s="6">
        <v>1</v>
      </c>
      <c r="H74" s="6">
        <v>1</v>
      </c>
      <c r="I74" s="6">
        <v>0</v>
      </c>
      <c r="J74" s="6">
        <v>1</v>
      </c>
      <c r="K74" s="6">
        <v>0</v>
      </c>
      <c r="L74" s="6">
        <v>0</v>
      </c>
      <c r="M74" s="6">
        <v>0</v>
      </c>
      <c r="N74" s="6">
        <v>1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1</v>
      </c>
      <c r="AD74" s="6">
        <v>0</v>
      </c>
      <c r="AE74" s="6">
        <v>0</v>
      </c>
      <c r="AF74" s="6">
        <v>0</v>
      </c>
      <c r="AG74" s="6">
        <v>0</v>
      </c>
      <c r="AH74" s="6">
        <v>1</v>
      </c>
      <c r="AI74" s="6">
        <v>0</v>
      </c>
      <c r="AJ74" s="6">
        <v>0</v>
      </c>
      <c r="AK74" s="6">
        <v>1</v>
      </c>
      <c r="AL74" s="6">
        <v>0</v>
      </c>
      <c r="AM74" s="5">
        <f t="shared" si="40"/>
        <v>10</v>
      </c>
    </row>
    <row r="75" spans="1:39" x14ac:dyDescent="0.4">
      <c r="A75" s="7"/>
      <c r="B75" s="46"/>
      <c r="C75" s="24" t="s">
        <v>126</v>
      </c>
      <c r="D75" s="47"/>
      <c r="E75" s="6">
        <v>0</v>
      </c>
      <c r="F75" s="6">
        <v>1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1</v>
      </c>
      <c r="P75" s="6">
        <v>0</v>
      </c>
      <c r="Q75" s="6">
        <v>0</v>
      </c>
      <c r="R75" s="6">
        <v>1</v>
      </c>
      <c r="S75" s="6">
        <v>0</v>
      </c>
      <c r="T75" s="6">
        <v>0</v>
      </c>
      <c r="U75" s="6">
        <v>0</v>
      </c>
      <c r="V75" s="6">
        <v>0</v>
      </c>
      <c r="W75" s="6">
        <v>2</v>
      </c>
      <c r="X75" s="6">
        <v>0</v>
      </c>
      <c r="Y75" s="6">
        <v>0</v>
      </c>
      <c r="Z75" s="6">
        <v>0</v>
      </c>
      <c r="AA75" s="6">
        <v>1</v>
      </c>
      <c r="AB75" s="6">
        <v>0</v>
      </c>
      <c r="AC75" s="6">
        <v>0</v>
      </c>
      <c r="AD75" s="6">
        <v>0</v>
      </c>
      <c r="AE75" s="6">
        <v>0</v>
      </c>
      <c r="AF75" s="6">
        <v>1</v>
      </c>
      <c r="AG75" s="6">
        <v>0</v>
      </c>
      <c r="AH75" s="6">
        <v>0</v>
      </c>
      <c r="AI75" s="6">
        <v>1</v>
      </c>
      <c r="AJ75" s="6">
        <v>1</v>
      </c>
      <c r="AK75" s="6">
        <v>0</v>
      </c>
      <c r="AL75" s="6">
        <v>0</v>
      </c>
      <c r="AM75" s="5">
        <f t="shared" si="40"/>
        <v>9</v>
      </c>
    </row>
    <row r="76" spans="1:39" ht="13.15" customHeight="1" x14ac:dyDescent="0.4">
      <c r="A76" s="7"/>
      <c r="B76" s="46"/>
      <c r="C76" s="24" t="s">
        <v>127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1</v>
      </c>
      <c r="Q76" s="6">
        <v>0</v>
      </c>
      <c r="R76" s="6">
        <v>1</v>
      </c>
      <c r="S76" s="6">
        <v>0</v>
      </c>
      <c r="T76" s="6">
        <v>0</v>
      </c>
      <c r="U76" s="6">
        <v>0</v>
      </c>
      <c r="V76" s="6">
        <v>1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1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1</v>
      </c>
      <c r="AK76" s="6">
        <v>0</v>
      </c>
      <c r="AL76" s="6">
        <v>0</v>
      </c>
      <c r="AM76" s="5">
        <f t="shared" si="40"/>
        <v>5</v>
      </c>
    </row>
    <row r="77" spans="1:39" x14ac:dyDescent="0.4">
      <c r="A77" s="7"/>
      <c r="B77" s="46"/>
      <c r="C77" s="24" t="s">
        <v>128</v>
      </c>
      <c r="D77" s="47"/>
      <c r="E77" s="6">
        <v>0</v>
      </c>
      <c r="F77" s="6">
        <v>0</v>
      </c>
      <c r="G77" s="6">
        <v>2</v>
      </c>
      <c r="H77" s="6">
        <v>0</v>
      </c>
      <c r="I77" s="6">
        <v>1</v>
      </c>
      <c r="J77" s="6">
        <v>0</v>
      </c>
      <c r="K77" s="6">
        <v>1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1</v>
      </c>
      <c r="Y77" s="6">
        <v>1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1</v>
      </c>
      <c r="AI77" s="6">
        <v>0</v>
      </c>
      <c r="AJ77" s="6">
        <v>0</v>
      </c>
      <c r="AK77" s="6">
        <v>1</v>
      </c>
      <c r="AL77" s="6">
        <v>0</v>
      </c>
      <c r="AM77" s="5">
        <f t="shared" si="40"/>
        <v>8</v>
      </c>
    </row>
    <row r="78" spans="1:39" x14ac:dyDescent="0.4">
      <c r="A78" s="7"/>
      <c r="B78" s="46"/>
      <c r="C78" s="24" t="s">
        <v>129</v>
      </c>
      <c r="D78" s="47"/>
      <c r="E78" s="6">
        <v>2</v>
      </c>
      <c r="F78" s="6">
        <v>3</v>
      </c>
      <c r="G78" s="6">
        <v>1</v>
      </c>
      <c r="H78" s="6">
        <v>1</v>
      </c>
      <c r="I78" s="6">
        <v>0</v>
      </c>
      <c r="J78" s="6">
        <v>0</v>
      </c>
      <c r="K78" s="6">
        <v>0</v>
      </c>
      <c r="L78" s="6">
        <v>0</v>
      </c>
      <c r="M78" s="6">
        <v>7</v>
      </c>
      <c r="N78" s="6">
        <v>3</v>
      </c>
      <c r="O78" s="6">
        <v>0</v>
      </c>
      <c r="P78" s="6">
        <v>2</v>
      </c>
      <c r="Q78" s="6">
        <v>1</v>
      </c>
      <c r="R78" s="6">
        <v>4</v>
      </c>
      <c r="S78" s="6">
        <v>1</v>
      </c>
      <c r="T78" s="6">
        <v>1</v>
      </c>
      <c r="U78" s="6">
        <v>2</v>
      </c>
      <c r="V78" s="6">
        <v>2</v>
      </c>
      <c r="W78" s="6">
        <v>2</v>
      </c>
      <c r="X78" s="6">
        <v>5</v>
      </c>
      <c r="Y78" s="6">
        <v>9</v>
      </c>
      <c r="Z78" s="6">
        <v>2</v>
      </c>
      <c r="AA78" s="6">
        <v>1</v>
      </c>
      <c r="AB78" s="6">
        <v>1</v>
      </c>
      <c r="AC78" s="6">
        <v>12</v>
      </c>
      <c r="AD78" s="6">
        <v>0</v>
      </c>
      <c r="AE78" s="6">
        <v>2</v>
      </c>
      <c r="AF78" s="6">
        <v>0</v>
      </c>
      <c r="AG78" s="6">
        <v>1</v>
      </c>
      <c r="AH78" s="6">
        <v>1</v>
      </c>
      <c r="AI78" s="6">
        <v>1</v>
      </c>
      <c r="AJ78" s="6">
        <v>2</v>
      </c>
      <c r="AK78" s="6">
        <v>4</v>
      </c>
      <c r="AL78" s="6">
        <v>0</v>
      </c>
      <c r="AM78" s="5">
        <f t="shared" si="40"/>
        <v>73</v>
      </c>
    </row>
    <row r="79" spans="1:39" x14ac:dyDescent="0.4">
      <c r="A79" s="6" t="s">
        <v>26</v>
      </c>
      <c r="B79" s="53" t="s">
        <v>51</v>
      </c>
      <c r="C79" s="69"/>
      <c r="D79" s="60"/>
      <c r="E79" s="5">
        <f>SUM(E72:E78)</f>
        <v>5</v>
      </c>
      <c r="F79" s="5">
        <f>SUM(F72:F78)</f>
        <v>12</v>
      </c>
      <c r="G79" s="5">
        <f>SUM(G72:G78)</f>
        <v>11</v>
      </c>
      <c r="H79" s="5">
        <f>SUM(H72:H78)</f>
        <v>2</v>
      </c>
      <c r="I79" s="5">
        <f>SUM(I72:I78)</f>
        <v>2</v>
      </c>
      <c r="J79" s="5">
        <f>SUM(J72:J78)</f>
        <v>3</v>
      </c>
      <c r="K79" s="5">
        <f>SUM(K72:K78)</f>
        <v>3</v>
      </c>
      <c r="L79" s="5">
        <f>SUM(L72:L78)</f>
        <v>0</v>
      </c>
      <c r="M79" s="5">
        <f>SUM(M72:M78)</f>
        <v>8</v>
      </c>
      <c r="N79" s="5">
        <f>SUM(N72:N78)</f>
        <v>10</v>
      </c>
      <c r="O79" s="5">
        <f>SUM(O72:O78)</f>
        <v>4</v>
      </c>
      <c r="P79" s="5">
        <f>SUM(P72:P78)</f>
        <v>3</v>
      </c>
      <c r="Q79" s="5">
        <f>SUM(Q72:Q78)</f>
        <v>3</v>
      </c>
      <c r="R79" s="5">
        <f>SUM(R72:R78)</f>
        <v>9</v>
      </c>
      <c r="S79" s="5">
        <f>SUM(S72:S78)</f>
        <v>3</v>
      </c>
      <c r="T79" s="5">
        <f>SUM(T72:T78)</f>
        <v>4</v>
      </c>
      <c r="U79" s="5">
        <f>SUM(U72:U78)</f>
        <v>8</v>
      </c>
      <c r="V79" s="5">
        <f>SUM(V72:V78)</f>
        <v>4</v>
      </c>
      <c r="W79" s="5">
        <f>SUM(W72:W78)</f>
        <v>9</v>
      </c>
      <c r="X79" s="5">
        <f>SUM(X72:X78)</f>
        <v>10</v>
      </c>
      <c r="Y79" s="5">
        <f>SUM(Y72:Y78)</f>
        <v>16</v>
      </c>
      <c r="Z79" s="5">
        <f>SUM(Z72:Z78)</f>
        <v>4</v>
      </c>
      <c r="AA79" s="5">
        <f>SUM(AA72:AA78)</f>
        <v>8</v>
      </c>
      <c r="AB79" s="5">
        <f>SUM(AB72:AB78)</f>
        <v>2</v>
      </c>
      <c r="AC79" s="5">
        <f>SUM(AC72:AC78)</f>
        <v>16</v>
      </c>
      <c r="AD79" s="5">
        <f>SUM(AD72:AD78)</f>
        <v>9</v>
      </c>
      <c r="AE79" s="5">
        <f>SUM(AE72:AE78)</f>
        <v>8</v>
      </c>
      <c r="AF79" s="5">
        <f>SUM(AF72:AF78)</f>
        <v>4</v>
      </c>
      <c r="AG79" s="5">
        <f>SUM(AG72:AG78)</f>
        <v>8</v>
      </c>
      <c r="AH79" s="5">
        <f>SUM(AH72:AH78)</f>
        <v>17</v>
      </c>
      <c r="AI79" s="5">
        <f>SUM(AI72:AI78)</f>
        <v>10</v>
      </c>
      <c r="AJ79" s="5">
        <f>SUM(AJ72:AJ78)</f>
        <v>16</v>
      </c>
      <c r="AK79" s="5">
        <f>SUM(AK72:AK78)</f>
        <v>7</v>
      </c>
      <c r="AL79" s="5">
        <f>SUM(AL72:AL78)</f>
        <v>8</v>
      </c>
      <c r="AM79" s="5">
        <f>SUM(AM72:AM78)</f>
        <v>246</v>
      </c>
    </row>
    <row r="80" spans="1:39" x14ac:dyDescent="0.4">
      <c r="A80" s="70"/>
      <c r="B80" s="71"/>
      <c r="C80" s="71"/>
      <c r="D80" s="71"/>
      <c r="E80" s="71"/>
    </row>
    <row r="81" spans="1:39" x14ac:dyDescent="0.4">
      <c r="A81" s="11" t="s">
        <v>48</v>
      </c>
      <c r="B81" s="17" t="s">
        <v>55</v>
      </c>
      <c r="C81" s="59" t="s">
        <v>56</v>
      </c>
      <c r="D81" s="60"/>
      <c r="E81" s="6">
        <v>1</v>
      </c>
      <c r="F81" s="6">
        <v>0</v>
      </c>
      <c r="G81" s="6">
        <v>0</v>
      </c>
      <c r="H81" s="6">
        <v>0</v>
      </c>
      <c r="I81" s="6">
        <v>3</v>
      </c>
      <c r="J81" s="6">
        <v>0</v>
      </c>
      <c r="K81" s="6">
        <v>1</v>
      </c>
      <c r="L81" s="6">
        <v>0</v>
      </c>
      <c r="M81" s="6">
        <v>3</v>
      </c>
      <c r="N81" s="6">
        <v>1</v>
      </c>
      <c r="O81" s="6">
        <v>2</v>
      </c>
      <c r="P81" s="6">
        <v>4</v>
      </c>
      <c r="Q81" s="6">
        <v>2</v>
      </c>
      <c r="R81" s="6">
        <v>0</v>
      </c>
      <c r="S81" s="6">
        <v>1</v>
      </c>
      <c r="T81" s="6">
        <v>0</v>
      </c>
      <c r="U81" s="6">
        <v>4</v>
      </c>
      <c r="V81" s="6">
        <v>1</v>
      </c>
      <c r="W81" s="6">
        <v>2</v>
      </c>
      <c r="X81" s="6">
        <v>1</v>
      </c>
      <c r="Y81" s="6">
        <v>0</v>
      </c>
      <c r="Z81" s="6">
        <v>0</v>
      </c>
      <c r="AA81" s="6">
        <v>2</v>
      </c>
      <c r="AB81" s="6">
        <v>1</v>
      </c>
      <c r="AC81" s="6">
        <v>0</v>
      </c>
      <c r="AD81" s="6">
        <v>0</v>
      </c>
      <c r="AE81" s="6">
        <v>0</v>
      </c>
      <c r="AF81" s="6">
        <v>1</v>
      </c>
      <c r="AG81" s="6">
        <v>4</v>
      </c>
      <c r="AH81" s="6">
        <v>1</v>
      </c>
      <c r="AI81" s="6">
        <v>0</v>
      </c>
      <c r="AJ81" s="6">
        <v>2</v>
      </c>
      <c r="AK81" s="6">
        <v>0</v>
      </c>
      <c r="AL81" s="6">
        <v>0</v>
      </c>
      <c r="AM81" s="5">
        <f t="shared" ref="AM81:AM87" si="41">SUM(E81:AL81)</f>
        <v>37</v>
      </c>
    </row>
    <row r="82" spans="1:39" x14ac:dyDescent="0.4">
      <c r="A82" s="11" t="s">
        <v>50</v>
      </c>
      <c r="B82" s="46"/>
      <c r="C82" s="24" t="s">
        <v>130</v>
      </c>
      <c r="D82" s="47"/>
      <c r="E82" s="6">
        <v>1</v>
      </c>
      <c r="F82" s="6">
        <v>1</v>
      </c>
      <c r="G82" s="6">
        <v>0</v>
      </c>
      <c r="H82" s="6">
        <v>1</v>
      </c>
      <c r="I82" s="6">
        <v>20</v>
      </c>
      <c r="J82" s="6">
        <v>0</v>
      </c>
      <c r="K82" s="6">
        <v>1</v>
      </c>
      <c r="L82" s="6">
        <v>1</v>
      </c>
      <c r="M82" s="6">
        <v>0</v>
      </c>
      <c r="N82" s="6">
        <v>4</v>
      </c>
      <c r="O82" s="6">
        <v>2</v>
      </c>
      <c r="P82" s="6">
        <v>4</v>
      </c>
      <c r="Q82" s="6">
        <v>0</v>
      </c>
      <c r="R82" s="6">
        <v>13</v>
      </c>
      <c r="S82" s="6">
        <v>6</v>
      </c>
      <c r="T82" s="6">
        <v>8</v>
      </c>
      <c r="U82" s="6">
        <v>12</v>
      </c>
      <c r="V82" s="6">
        <v>1</v>
      </c>
      <c r="W82" s="6">
        <v>0</v>
      </c>
      <c r="X82" s="6">
        <v>0</v>
      </c>
      <c r="Y82" s="6">
        <v>2</v>
      </c>
      <c r="Z82" s="6">
        <v>0</v>
      </c>
      <c r="AA82" s="6">
        <v>0</v>
      </c>
      <c r="AB82" s="6">
        <v>2</v>
      </c>
      <c r="AC82" s="6">
        <v>0</v>
      </c>
      <c r="AD82" s="6">
        <v>0</v>
      </c>
      <c r="AE82" s="6">
        <v>1</v>
      </c>
      <c r="AF82" s="6">
        <v>0</v>
      </c>
      <c r="AG82" s="6">
        <v>0</v>
      </c>
      <c r="AH82" s="6">
        <v>0</v>
      </c>
      <c r="AI82" s="6">
        <v>2</v>
      </c>
      <c r="AJ82" s="6">
        <v>3</v>
      </c>
      <c r="AK82" s="6">
        <v>0</v>
      </c>
      <c r="AL82" s="6">
        <v>0</v>
      </c>
      <c r="AM82" s="5">
        <f t="shared" si="41"/>
        <v>85</v>
      </c>
    </row>
    <row r="83" spans="1:39" x14ac:dyDescent="0.4">
      <c r="A83" s="7"/>
      <c r="B83" s="46"/>
      <c r="C83" s="24" t="s">
        <v>131</v>
      </c>
      <c r="D83" s="47"/>
      <c r="E83" s="6">
        <v>1</v>
      </c>
      <c r="F83" s="6">
        <v>0</v>
      </c>
      <c r="G83" s="6">
        <v>0</v>
      </c>
      <c r="H83" s="6">
        <v>0</v>
      </c>
      <c r="I83" s="6">
        <v>0</v>
      </c>
      <c r="J83" s="6">
        <v>2</v>
      </c>
      <c r="K83" s="6">
        <v>0</v>
      </c>
      <c r="L83" s="6">
        <v>0</v>
      </c>
      <c r="M83" s="6">
        <v>2</v>
      </c>
      <c r="N83" s="6">
        <v>2</v>
      </c>
      <c r="O83" s="6">
        <v>1</v>
      </c>
      <c r="P83" s="6">
        <v>32</v>
      </c>
      <c r="Q83" s="6">
        <v>29</v>
      </c>
      <c r="R83" s="6">
        <v>0</v>
      </c>
      <c r="S83" s="6">
        <v>4</v>
      </c>
      <c r="T83" s="6">
        <v>1</v>
      </c>
      <c r="U83" s="6">
        <v>6</v>
      </c>
      <c r="V83" s="6">
        <v>2</v>
      </c>
      <c r="W83" s="6">
        <v>1</v>
      </c>
      <c r="X83" s="6">
        <v>8</v>
      </c>
      <c r="Y83" s="6">
        <v>0</v>
      </c>
      <c r="Z83" s="6">
        <v>0</v>
      </c>
      <c r="AA83" s="6">
        <v>0</v>
      </c>
      <c r="AB83" s="6">
        <v>0</v>
      </c>
      <c r="AC83" s="6">
        <v>2</v>
      </c>
      <c r="AD83" s="6">
        <v>0</v>
      </c>
      <c r="AE83" s="6">
        <v>1</v>
      </c>
      <c r="AF83" s="6">
        <v>0</v>
      </c>
      <c r="AG83" s="6">
        <v>0</v>
      </c>
      <c r="AH83" s="6">
        <v>0</v>
      </c>
      <c r="AI83" s="6">
        <v>2</v>
      </c>
      <c r="AJ83" s="6">
        <v>1</v>
      </c>
      <c r="AK83" s="6">
        <v>0</v>
      </c>
      <c r="AL83" s="6">
        <v>0</v>
      </c>
      <c r="AM83" s="5">
        <f t="shared" si="41"/>
        <v>97</v>
      </c>
    </row>
    <row r="84" spans="1:39" ht="13.15" customHeight="1" x14ac:dyDescent="0.4">
      <c r="A84" s="7"/>
      <c r="B84" s="46"/>
      <c r="C84" s="24" t="s">
        <v>132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1</v>
      </c>
      <c r="S84" s="6">
        <v>2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1</v>
      </c>
      <c r="AL84" s="6">
        <v>0</v>
      </c>
      <c r="AM84" s="5">
        <f t="shared" si="41"/>
        <v>5</v>
      </c>
    </row>
    <row r="85" spans="1:39" x14ac:dyDescent="0.4">
      <c r="A85" s="7"/>
      <c r="B85" s="46"/>
      <c r="C85" s="24" t="s">
        <v>133</v>
      </c>
      <c r="D85" s="47"/>
      <c r="E85" s="6">
        <v>1</v>
      </c>
      <c r="F85" s="6">
        <v>0</v>
      </c>
      <c r="G85" s="6">
        <v>0</v>
      </c>
      <c r="H85" s="6">
        <v>1</v>
      </c>
      <c r="I85" s="6">
        <v>0</v>
      </c>
      <c r="J85" s="6">
        <v>0</v>
      </c>
      <c r="K85" s="6">
        <v>0</v>
      </c>
      <c r="L85" s="6">
        <v>0</v>
      </c>
      <c r="M85" s="6">
        <v>1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1</v>
      </c>
      <c r="AK85" s="6">
        <v>0</v>
      </c>
      <c r="AL85" s="6">
        <v>0</v>
      </c>
      <c r="AM85" s="5">
        <f t="shared" si="41"/>
        <v>4</v>
      </c>
    </row>
    <row r="86" spans="1:39" x14ac:dyDescent="0.4">
      <c r="A86" s="7"/>
      <c r="B86" s="46"/>
      <c r="C86" s="24" t="s">
        <v>134</v>
      </c>
      <c r="D86" s="47"/>
      <c r="E86" s="6">
        <v>17</v>
      </c>
      <c r="F86" s="6">
        <v>27</v>
      </c>
      <c r="G86" s="6">
        <v>9</v>
      </c>
      <c r="H86" s="6">
        <v>12</v>
      </c>
      <c r="I86" s="6">
        <v>9</v>
      </c>
      <c r="J86" s="6">
        <v>3</v>
      </c>
      <c r="K86" s="6">
        <v>2</v>
      </c>
      <c r="L86" s="6">
        <v>3</v>
      </c>
      <c r="M86" s="6">
        <v>2</v>
      </c>
      <c r="N86" s="6">
        <v>2</v>
      </c>
      <c r="O86" s="6">
        <v>2</v>
      </c>
      <c r="P86" s="6">
        <v>2</v>
      </c>
      <c r="Q86" s="6">
        <v>0</v>
      </c>
      <c r="R86" s="6">
        <v>1</v>
      </c>
      <c r="S86" s="6">
        <v>0</v>
      </c>
      <c r="T86" s="6">
        <v>0</v>
      </c>
      <c r="U86" s="6">
        <v>2</v>
      </c>
      <c r="V86" s="6">
        <v>4</v>
      </c>
      <c r="W86" s="6">
        <v>0</v>
      </c>
      <c r="X86" s="6">
        <v>5</v>
      </c>
      <c r="Y86" s="6">
        <v>0</v>
      </c>
      <c r="Z86" s="6">
        <v>1</v>
      </c>
      <c r="AA86" s="6">
        <v>3</v>
      </c>
      <c r="AB86" s="6">
        <v>1</v>
      </c>
      <c r="AC86" s="6">
        <v>4</v>
      </c>
      <c r="AD86" s="6">
        <v>0</v>
      </c>
      <c r="AE86" s="6">
        <v>0</v>
      </c>
      <c r="AF86" s="6">
        <v>3</v>
      </c>
      <c r="AG86" s="6">
        <v>2</v>
      </c>
      <c r="AH86" s="6">
        <v>3</v>
      </c>
      <c r="AI86" s="6">
        <v>0</v>
      </c>
      <c r="AJ86" s="6">
        <v>4</v>
      </c>
      <c r="AK86" s="6">
        <v>1</v>
      </c>
      <c r="AL86" s="6">
        <v>3</v>
      </c>
      <c r="AM86" s="5">
        <f t="shared" si="41"/>
        <v>127</v>
      </c>
    </row>
    <row r="87" spans="1:39" x14ac:dyDescent="0.4">
      <c r="A87" s="7"/>
      <c r="B87" s="46"/>
      <c r="C87" s="24" t="s">
        <v>135</v>
      </c>
      <c r="D87" s="47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5">
        <f t="shared" si="41"/>
        <v>0</v>
      </c>
    </row>
    <row r="88" spans="1:39" x14ac:dyDescent="0.4">
      <c r="A88" s="6" t="s">
        <v>26</v>
      </c>
      <c r="B88" s="53" t="s">
        <v>51</v>
      </c>
      <c r="C88" s="69"/>
      <c r="D88" s="60"/>
      <c r="E88" s="5">
        <f>SUM(E81:E87)</f>
        <v>21</v>
      </c>
      <c r="F88" s="5">
        <f>SUM(F81:F87)</f>
        <v>28</v>
      </c>
      <c r="G88" s="5">
        <f>SUM(G81:G87)</f>
        <v>9</v>
      </c>
      <c r="H88" s="5">
        <f>SUM(H81:H87)</f>
        <v>14</v>
      </c>
      <c r="I88" s="5">
        <f>SUM(I81:I87)</f>
        <v>32</v>
      </c>
      <c r="J88" s="5">
        <f>SUM(J81:J87)</f>
        <v>5</v>
      </c>
      <c r="K88" s="5">
        <f>SUM(K81:K87)</f>
        <v>4</v>
      </c>
      <c r="L88" s="5">
        <f>SUM(L81:L87)</f>
        <v>4</v>
      </c>
      <c r="M88" s="5">
        <f>SUM(M81:M87)</f>
        <v>8</v>
      </c>
      <c r="N88" s="5">
        <f>SUM(N81:N87)</f>
        <v>10</v>
      </c>
      <c r="O88" s="5">
        <f>SUM(O81:O87)</f>
        <v>7</v>
      </c>
      <c r="P88" s="5">
        <f>SUM(P81:P87)</f>
        <v>42</v>
      </c>
      <c r="Q88" s="5">
        <f>SUM(Q81:Q87)</f>
        <v>31</v>
      </c>
      <c r="R88" s="5">
        <f>SUM(R81:R87)</f>
        <v>15</v>
      </c>
      <c r="S88" s="5">
        <f>SUM(S81:S87)</f>
        <v>13</v>
      </c>
      <c r="T88" s="5">
        <f>SUM(T81:T87)</f>
        <v>9</v>
      </c>
      <c r="U88" s="5">
        <f>SUM(U81:U87)</f>
        <v>24</v>
      </c>
      <c r="V88" s="5">
        <f>SUM(V81:V87)</f>
        <v>8</v>
      </c>
      <c r="W88" s="5">
        <f>SUM(W81:W87)</f>
        <v>3</v>
      </c>
      <c r="X88" s="5">
        <f>SUM(X81:X87)</f>
        <v>14</v>
      </c>
      <c r="Y88" s="5">
        <f>SUM(Y81:Y87)</f>
        <v>2</v>
      </c>
      <c r="Z88" s="5">
        <f>SUM(Z81:Z87)</f>
        <v>1</v>
      </c>
      <c r="AA88" s="5">
        <f>SUM(AA81:AA87)</f>
        <v>5</v>
      </c>
      <c r="AB88" s="5">
        <f>SUM(AB81:AB87)</f>
        <v>4</v>
      </c>
      <c r="AC88" s="5">
        <f>SUM(AC81:AC87)</f>
        <v>6</v>
      </c>
      <c r="AD88" s="5">
        <f>SUM(AD81:AD87)</f>
        <v>0</v>
      </c>
      <c r="AE88" s="5">
        <f>SUM(AE81:AE87)</f>
        <v>2</v>
      </c>
      <c r="AF88" s="5">
        <f>SUM(AF81:AF87)</f>
        <v>4</v>
      </c>
      <c r="AG88" s="5">
        <f>SUM(AG81:AG87)</f>
        <v>6</v>
      </c>
      <c r="AH88" s="5">
        <f>SUM(AH81:AH87)</f>
        <v>4</v>
      </c>
      <c r="AI88" s="5">
        <f>SUM(AI81:AI87)</f>
        <v>4</v>
      </c>
      <c r="AJ88" s="5">
        <f>SUM(AJ81:AJ87)</f>
        <v>11</v>
      </c>
      <c r="AK88" s="5">
        <f>SUM(AK81:AK87)</f>
        <v>2</v>
      </c>
      <c r="AL88" s="5">
        <f>SUM(AL81:AL87)</f>
        <v>3</v>
      </c>
      <c r="AM88" s="5">
        <f>SUM(AM81:AM87)</f>
        <v>355</v>
      </c>
    </row>
    <row r="89" spans="1:39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</row>
    <row r="90" spans="1:39" x14ac:dyDescent="0.4">
      <c r="A90" s="11" t="s">
        <v>48</v>
      </c>
      <c r="B90" s="17" t="s">
        <v>57</v>
      </c>
      <c r="C90" s="59" t="s">
        <v>58</v>
      </c>
      <c r="D90" s="60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1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1</v>
      </c>
      <c r="S90" s="6">
        <v>1</v>
      </c>
      <c r="T90" s="6">
        <v>1</v>
      </c>
      <c r="U90" s="6">
        <v>0</v>
      </c>
      <c r="V90" s="6">
        <v>1</v>
      </c>
      <c r="W90" s="6">
        <v>2</v>
      </c>
      <c r="X90" s="6">
        <v>1</v>
      </c>
      <c r="Y90" s="6">
        <v>0</v>
      </c>
      <c r="Z90" s="6">
        <v>0</v>
      </c>
      <c r="AA90" s="6">
        <v>2</v>
      </c>
      <c r="AB90" s="6">
        <v>0</v>
      </c>
      <c r="AC90" s="6">
        <v>2</v>
      </c>
      <c r="AD90" s="6">
        <v>0</v>
      </c>
      <c r="AE90" s="6">
        <v>0</v>
      </c>
      <c r="AF90" s="6">
        <v>1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5">
        <f>SUM(E90:AL90)</f>
        <v>13</v>
      </c>
    </row>
    <row r="91" spans="1:39" x14ac:dyDescent="0.4">
      <c r="A91" s="11" t="s">
        <v>50</v>
      </c>
      <c r="B91" s="46"/>
      <c r="C91" s="72" t="s">
        <v>136</v>
      </c>
      <c r="D91" s="60"/>
      <c r="E91" s="6">
        <v>0</v>
      </c>
      <c r="F91" s="6">
        <v>0</v>
      </c>
      <c r="G91" s="6">
        <v>0</v>
      </c>
      <c r="H91" s="6">
        <v>0</v>
      </c>
      <c r="I91" s="6">
        <v>1</v>
      </c>
      <c r="J91" s="6">
        <v>0</v>
      </c>
      <c r="K91" s="6">
        <v>0</v>
      </c>
      <c r="L91" s="6">
        <v>1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1</v>
      </c>
      <c r="T91" s="6">
        <v>2</v>
      </c>
      <c r="U91" s="6">
        <v>0</v>
      </c>
      <c r="V91" s="6">
        <v>0</v>
      </c>
      <c r="W91" s="6">
        <v>0</v>
      </c>
      <c r="X91" s="6">
        <v>3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2</v>
      </c>
      <c r="AE91" s="6">
        <v>2</v>
      </c>
      <c r="AF91" s="6">
        <v>0</v>
      </c>
      <c r="AG91" s="6">
        <v>0</v>
      </c>
      <c r="AH91" s="6">
        <v>0</v>
      </c>
      <c r="AI91" s="6">
        <v>0</v>
      </c>
      <c r="AJ91" s="6">
        <v>1</v>
      </c>
      <c r="AK91" s="6">
        <v>0</v>
      </c>
      <c r="AL91" s="6">
        <v>0</v>
      </c>
      <c r="AM91" s="5">
        <f>SUM(E91:AL91)</f>
        <v>13</v>
      </c>
    </row>
    <row r="92" spans="1:39" ht="13.15" customHeight="1" x14ac:dyDescent="0.4">
      <c r="A92" s="6" t="s">
        <v>26</v>
      </c>
      <c r="B92" s="53" t="s">
        <v>51</v>
      </c>
      <c r="C92" s="54"/>
      <c r="D92" s="55"/>
      <c r="E92" s="5">
        <f>SUM(E90:E91)</f>
        <v>0</v>
      </c>
      <c r="F92" s="5">
        <f>SUM(F90:F91)</f>
        <v>0</v>
      </c>
      <c r="G92" s="5">
        <f>SUM(G90:G91)</f>
        <v>0</v>
      </c>
      <c r="H92" s="5">
        <f>SUM(H90:H91)</f>
        <v>0</v>
      </c>
      <c r="I92" s="5">
        <f>SUM(I90:I91)</f>
        <v>1</v>
      </c>
      <c r="J92" s="5">
        <f>SUM(J90:J91)</f>
        <v>0</v>
      </c>
      <c r="K92" s="5">
        <f>SUM(K90:K91)</f>
        <v>0</v>
      </c>
      <c r="L92" s="5">
        <f>SUM(L90:L91)</f>
        <v>2</v>
      </c>
      <c r="M92" s="5">
        <f>SUM(M90:M91)</f>
        <v>0</v>
      </c>
      <c r="N92" s="5">
        <f>SUM(N90:N91)</f>
        <v>0</v>
      </c>
      <c r="O92" s="5">
        <f>SUM(O90:O91)</f>
        <v>0</v>
      </c>
      <c r="P92" s="5">
        <f>SUM(P90:P91)</f>
        <v>0</v>
      </c>
      <c r="Q92" s="5">
        <f>SUM(Q90:Q91)</f>
        <v>0</v>
      </c>
      <c r="R92" s="5">
        <f>SUM(R90:R91)</f>
        <v>1</v>
      </c>
      <c r="S92" s="5">
        <f>SUM(S90:S91)</f>
        <v>2</v>
      </c>
      <c r="T92" s="5">
        <f>SUM(T90:T91)</f>
        <v>3</v>
      </c>
      <c r="U92" s="5">
        <f>SUM(U90:U91)</f>
        <v>0</v>
      </c>
      <c r="V92" s="5">
        <f>SUM(V90:V91)</f>
        <v>1</v>
      </c>
      <c r="W92" s="5">
        <f>SUM(W90:W91)</f>
        <v>2</v>
      </c>
      <c r="X92" s="5">
        <f>SUM(X90:X91)</f>
        <v>4</v>
      </c>
      <c r="Y92" s="5">
        <f>SUM(Y90:Y91)</f>
        <v>0</v>
      </c>
      <c r="Z92" s="5">
        <f>SUM(Z90:Z91)</f>
        <v>0</v>
      </c>
      <c r="AA92" s="5">
        <f>SUM(AA90:AA91)</f>
        <v>2</v>
      </c>
      <c r="AB92" s="5">
        <f>SUM(AB90:AB91)</f>
        <v>0</v>
      </c>
      <c r="AC92" s="5">
        <f>SUM(AC90:AC91)</f>
        <v>2</v>
      </c>
      <c r="AD92" s="5">
        <f>SUM(AD90:AD91)</f>
        <v>2</v>
      </c>
      <c r="AE92" s="5">
        <f>SUM(AE90:AE91)</f>
        <v>2</v>
      </c>
      <c r="AF92" s="5">
        <f>SUM(AF90:AF91)</f>
        <v>1</v>
      </c>
      <c r="AG92" s="5">
        <f>SUM(AG90:AG91)</f>
        <v>0</v>
      </c>
      <c r="AH92" s="5">
        <f>SUM(AH90:AH91)</f>
        <v>0</v>
      </c>
      <c r="AI92" s="5">
        <f>SUM(AI90:AI91)</f>
        <v>0</v>
      </c>
      <c r="AJ92" s="5">
        <f>SUM(AJ90:AJ91)</f>
        <v>1</v>
      </c>
      <c r="AK92" s="5">
        <f>SUM(AK90:AK91)</f>
        <v>0</v>
      </c>
      <c r="AL92" s="5">
        <f>SUM(AL90:AL91)</f>
        <v>0</v>
      </c>
      <c r="AM92" s="5">
        <f>SUM(AM90:AM91)</f>
        <v>26</v>
      </c>
    </row>
    <row r="93" spans="1:39" x14ac:dyDescent="0.4">
      <c r="A93" s="61"/>
      <c r="B93" s="62"/>
      <c r="C93" s="62"/>
      <c r="D93" s="62"/>
      <c r="E93" s="63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5"/>
    </row>
    <row r="94" spans="1:39" x14ac:dyDescent="0.4">
      <c r="A94" s="11" t="s">
        <v>48</v>
      </c>
      <c r="B94" s="17" t="s">
        <v>59</v>
      </c>
      <c r="C94" s="59" t="s">
        <v>60</v>
      </c>
      <c r="D94" s="60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1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1</v>
      </c>
      <c r="U94" s="6">
        <v>0</v>
      </c>
      <c r="V94" s="6">
        <v>3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1</v>
      </c>
      <c r="AK94" s="6">
        <v>0</v>
      </c>
      <c r="AL94" s="6">
        <v>1</v>
      </c>
      <c r="AM94" s="5">
        <f t="shared" ref="AM94:AM100" si="42">SUM(E94:AL94)</f>
        <v>8</v>
      </c>
    </row>
    <row r="95" spans="1:39" x14ac:dyDescent="0.4">
      <c r="A95" s="11" t="s">
        <v>50</v>
      </c>
      <c r="B95" s="46"/>
      <c r="C95" s="24" t="s">
        <v>137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1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1</v>
      </c>
      <c r="AK95" s="6">
        <v>0</v>
      </c>
      <c r="AL95" s="6">
        <v>0</v>
      </c>
      <c r="AM95" s="5">
        <f t="shared" si="42"/>
        <v>2</v>
      </c>
    </row>
    <row r="96" spans="1:39" x14ac:dyDescent="0.4">
      <c r="A96" s="7"/>
      <c r="B96" s="46"/>
      <c r="C96" s="24" t="s">
        <v>138</v>
      </c>
      <c r="D96" s="47"/>
      <c r="E96" s="6">
        <v>1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1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2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5">
        <f t="shared" si="42"/>
        <v>4</v>
      </c>
    </row>
    <row r="97" spans="1:39" x14ac:dyDescent="0.4">
      <c r="A97" s="7"/>
      <c r="B97" s="46"/>
      <c r="C97" s="24" t="s">
        <v>139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1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1</v>
      </c>
      <c r="AJ97" s="6">
        <v>0</v>
      </c>
      <c r="AK97" s="6">
        <v>0</v>
      </c>
      <c r="AL97" s="6">
        <v>2</v>
      </c>
      <c r="AM97" s="5">
        <f t="shared" si="42"/>
        <v>4</v>
      </c>
    </row>
    <row r="98" spans="1:39" x14ac:dyDescent="0.4">
      <c r="A98" s="7"/>
      <c r="B98" s="46"/>
      <c r="C98" s="24" t="s">
        <v>140</v>
      </c>
      <c r="D98" s="47"/>
      <c r="E98" s="6">
        <v>0</v>
      </c>
      <c r="F98" s="6">
        <v>0</v>
      </c>
      <c r="G98" s="6">
        <v>3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2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1</v>
      </c>
      <c r="AM98" s="5">
        <f t="shared" si="42"/>
        <v>6</v>
      </c>
    </row>
    <row r="99" spans="1:39" x14ac:dyDescent="0.4">
      <c r="A99" s="7"/>
      <c r="B99" s="46"/>
      <c r="C99" s="24" t="s">
        <v>141</v>
      </c>
      <c r="D99" s="47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1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5">
        <f t="shared" si="42"/>
        <v>1</v>
      </c>
    </row>
    <row r="100" spans="1:39" x14ac:dyDescent="0.4">
      <c r="A100" s="7"/>
      <c r="B100" s="46"/>
      <c r="C100" s="24" t="s">
        <v>142</v>
      </c>
      <c r="D100" s="47"/>
      <c r="E100" s="50">
        <v>0</v>
      </c>
      <c r="F100" s="29">
        <v>0</v>
      </c>
      <c r="G100" s="29">
        <v>0</v>
      </c>
      <c r="H100" s="29">
        <v>0</v>
      </c>
      <c r="I100" s="29">
        <v>0</v>
      </c>
      <c r="J100" s="29">
        <v>0</v>
      </c>
      <c r="K100" s="29">
        <v>1</v>
      </c>
      <c r="L100" s="29">
        <v>1</v>
      </c>
      <c r="M100" s="29">
        <v>0</v>
      </c>
      <c r="N100" s="29">
        <v>0</v>
      </c>
      <c r="O100" s="29">
        <v>0</v>
      </c>
      <c r="P100" s="29">
        <v>0</v>
      </c>
      <c r="Q100" s="29">
        <v>0</v>
      </c>
      <c r="R100" s="29">
        <v>1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>
        <v>0</v>
      </c>
      <c r="AC100" s="29">
        <v>0</v>
      </c>
      <c r="AD100" s="29">
        <v>1</v>
      </c>
      <c r="AE100" s="29">
        <v>0</v>
      </c>
      <c r="AF100" s="29">
        <v>0</v>
      </c>
      <c r="AG100" s="29">
        <v>0</v>
      </c>
      <c r="AH100" s="29">
        <v>1</v>
      </c>
      <c r="AI100" s="29">
        <v>2</v>
      </c>
      <c r="AJ100" s="29">
        <v>0</v>
      </c>
      <c r="AK100" s="29">
        <v>1</v>
      </c>
      <c r="AL100" s="29">
        <v>0</v>
      </c>
      <c r="AM100" s="5">
        <f t="shared" si="42"/>
        <v>8</v>
      </c>
    </row>
    <row r="101" spans="1:39" x14ac:dyDescent="0.4">
      <c r="A101" s="6" t="s">
        <v>26</v>
      </c>
      <c r="B101" s="53" t="s">
        <v>51</v>
      </c>
      <c r="C101" s="54"/>
      <c r="D101" s="55"/>
      <c r="E101" s="5">
        <f>SUM(E94:E100)</f>
        <v>1</v>
      </c>
      <c r="F101" s="5">
        <f>SUM(F94:F100)</f>
        <v>0</v>
      </c>
      <c r="G101" s="5">
        <f>SUM(G94:G100)</f>
        <v>3</v>
      </c>
      <c r="H101" s="5">
        <f>SUM(H94:H100)</f>
        <v>0</v>
      </c>
      <c r="I101" s="5">
        <f>SUM(I94:I100)</f>
        <v>0</v>
      </c>
      <c r="J101" s="5">
        <f>SUM(J94:J100)</f>
        <v>0</v>
      </c>
      <c r="K101" s="5">
        <f>SUM(K94:K100)</f>
        <v>2</v>
      </c>
      <c r="L101" s="5">
        <f>SUM(L94:L100)</f>
        <v>1</v>
      </c>
      <c r="M101" s="5">
        <f>SUM(M94:M100)</f>
        <v>1</v>
      </c>
      <c r="N101" s="5">
        <f>SUM(N94:N100)</f>
        <v>1</v>
      </c>
      <c r="O101" s="5">
        <f>SUM(O94:O100)</f>
        <v>0</v>
      </c>
      <c r="P101" s="5">
        <f>SUM(P94:P100)</f>
        <v>0</v>
      </c>
      <c r="Q101" s="5">
        <f>SUM(Q94:Q100)</f>
        <v>0</v>
      </c>
      <c r="R101" s="5">
        <f>SUM(R94:R100)</f>
        <v>2</v>
      </c>
      <c r="S101" s="5">
        <f>SUM(S94:S100)</f>
        <v>0</v>
      </c>
      <c r="T101" s="5">
        <f>SUM(T94:T100)</f>
        <v>1</v>
      </c>
      <c r="U101" s="5">
        <f>SUM(U94:U100)</f>
        <v>0</v>
      </c>
      <c r="V101" s="5">
        <f>SUM(V94:V100)</f>
        <v>4</v>
      </c>
      <c r="W101" s="5">
        <f>SUM(W94:W100)</f>
        <v>1</v>
      </c>
      <c r="X101" s="5">
        <f>SUM(X94:X100)</f>
        <v>0</v>
      </c>
      <c r="Y101" s="5">
        <f>SUM(Y94:Y100)</f>
        <v>0</v>
      </c>
      <c r="Z101" s="5">
        <f>SUM(Z94:Z100)</f>
        <v>0</v>
      </c>
      <c r="AA101" s="5">
        <f>SUM(AA94:AA100)</f>
        <v>0</v>
      </c>
      <c r="AB101" s="5">
        <f>SUM(AB94:AB100)</f>
        <v>0</v>
      </c>
      <c r="AC101" s="5">
        <f>SUM(AC94:AC100)</f>
        <v>0</v>
      </c>
      <c r="AD101" s="5">
        <f>SUM(AD94:AD100)</f>
        <v>3</v>
      </c>
      <c r="AE101" s="5">
        <f>SUM(AE94:AE100)</f>
        <v>0</v>
      </c>
      <c r="AF101" s="5">
        <f>SUM(AF94:AF100)</f>
        <v>2</v>
      </c>
      <c r="AG101" s="5">
        <f>SUM(AG94:AG100)</f>
        <v>0</v>
      </c>
      <c r="AH101" s="5">
        <f>SUM(AH94:AH100)</f>
        <v>1</v>
      </c>
      <c r="AI101" s="5">
        <f>SUM(AI94:AI100)</f>
        <v>3</v>
      </c>
      <c r="AJ101" s="5">
        <f>SUM(AJ94:AJ100)</f>
        <v>2</v>
      </c>
      <c r="AK101" s="5">
        <f>SUM(AK94:AK100)</f>
        <v>1</v>
      </c>
      <c r="AL101" s="5">
        <f>SUM(AL94:AL100)</f>
        <v>4</v>
      </c>
      <c r="AM101" s="5">
        <f>SUM(AM94:AM100)</f>
        <v>33</v>
      </c>
    </row>
    <row r="102" spans="1:39" x14ac:dyDescent="0.4">
      <c r="A102" s="61"/>
      <c r="B102" s="62"/>
      <c r="C102" s="62"/>
      <c r="D102" s="62"/>
      <c r="E102" s="63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</row>
    <row r="103" spans="1:39" x14ac:dyDescent="0.4">
      <c r="A103" s="11" t="s">
        <v>48</v>
      </c>
      <c r="B103" s="17" t="s">
        <v>61</v>
      </c>
      <c r="C103" s="59" t="s">
        <v>62</v>
      </c>
      <c r="D103" s="60"/>
      <c r="E103" s="6">
        <v>1</v>
      </c>
      <c r="F103" s="6">
        <v>1</v>
      </c>
      <c r="G103" s="6">
        <v>1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5</v>
      </c>
      <c r="N103" s="6">
        <v>1</v>
      </c>
      <c r="O103" s="6">
        <v>1</v>
      </c>
      <c r="P103" s="6">
        <v>1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2</v>
      </c>
      <c r="W103" s="6">
        <v>0</v>
      </c>
      <c r="X103" s="6">
        <v>5</v>
      </c>
      <c r="Y103" s="6">
        <v>0</v>
      </c>
      <c r="Z103" s="6">
        <v>0</v>
      </c>
      <c r="AA103" s="6">
        <v>3</v>
      </c>
      <c r="AB103" s="6">
        <v>1</v>
      </c>
      <c r="AC103" s="6">
        <v>2</v>
      </c>
      <c r="AD103" s="6">
        <v>0</v>
      </c>
      <c r="AE103" s="6">
        <v>1</v>
      </c>
      <c r="AF103" s="6">
        <v>0</v>
      </c>
      <c r="AG103" s="6">
        <v>3</v>
      </c>
      <c r="AH103" s="6">
        <v>0</v>
      </c>
      <c r="AI103" s="6">
        <v>1</v>
      </c>
      <c r="AJ103" s="6">
        <v>0</v>
      </c>
      <c r="AK103" s="6">
        <v>0</v>
      </c>
      <c r="AL103" s="6">
        <v>1</v>
      </c>
      <c r="AM103" s="5">
        <f t="shared" ref="AM103:AM109" si="43">SUM(E103:AL103)</f>
        <v>30</v>
      </c>
    </row>
    <row r="104" spans="1:39" ht="13.15" customHeight="1" x14ac:dyDescent="0.4">
      <c r="A104" s="11" t="s">
        <v>50</v>
      </c>
      <c r="B104" s="46"/>
      <c r="C104" s="24" t="s">
        <v>143</v>
      </c>
      <c r="D104" s="47"/>
      <c r="E104" s="6">
        <v>4</v>
      </c>
      <c r="F104" s="6">
        <v>4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2</v>
      </c>
      <c r="N104" s="6">
        <v>2</v>
      </c>
      <c r="O104" s="6">
        <v>3</v>
      </c>
      <c r="P104" s="6">
        <v>0</v>
      </c>
      <c r="Q104" s="6">
        <v>1</v>
      </c>
      <c r="R104" s="6">
        <v>2</v>
      </c>
      <c r="S104" s="6">
        <v>0</v>
      </c>
      <c r="T104" s="6">
        <v>0</v>
      </c>
      <c r="U104" s="6">
        <v>0</v>
      </c>
      <c r="V104" s="6">
        <v>1</v>
      </c>
      <c r="W104" s="6">
        <v>6</v>
      </c>
      <c r="X104" s="6">
        <v>25</v>
      </c>
      <c r="Y104" s="6">
        <v>0</v>
      </c>
      <c r="Z104" s="6">
        <v>1</v>
      </c>
      <c r="AA104" s="6">
        <v>2</v>
      </c>
      <c r="AB104" s="6">
        <v>1</v>
      </c>
      <c r="AC104" s="6">
        <v>1</v>
      </c>
      <c r="AD104" s="6">
        <v>4</v>
      </c>
      <c r="AE104" s="6">
        <v>5</v>
      </c>
      <c r="AF104" s="6">
        <v>10</v>
      </c>
      <c r="AG104" s="6">
        <v>3</v>
      </c>
      <c r="AH104" s="6">
        <v>1</v>
      </c>
      <c r="AI104" s="6">
        <v>1</v>
      </c>
      <c r="AJ104" s="6">
        <v>0</v>
      </c>
      <c r="AK104" s="6">
        <v>3</v>
      </c>
      <c r="AL104" s="6">
        <v>4</v>
      </c>
      <c r="AM104" s="5">
        <f t="shared" si="43"/>
        <v>86</v>
      </c>
    </row>
    <row r="105" spans="1:39" x14ac:dyDescent="0.4">
      <c r="A105" s="7"/>
      <c r="B105" s="46"/>
      <c r="C105" s="24" t="s">
        <v>144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1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2</v>
      </c>
      <c r="AE105" s="6">
        <v>0</v>
      </c>
      <c r="AF105" s="6">
        <v>0</v>
      </c>
      <c r="AG105" s="6">
        <v>0</v>
      </c>
      <c r="AH105" s="6">
        <v>1</v>
      </c>
      <c r="AI105" s="6">
        <v>0</v>
      </c>
      <c r="AJ105" s="6">
        <v>0</v>
      </c>
      <c r="AK105" s="6">
        <v>0</v>
      </c>
      <c r="AL105" s="6">
        <v>0</v>
      </c>
      <c r="AM105" s="5">
        <f t="shared" si="43"/>
        <v>4</v>
      </c>
    </row>
    <row r="106" spans="1:39" x14ac:dyDescent="0.4">
      <c r="A106" s="7"/>
      <c r="B106" s="46"/>
      <c r="C106" s="24" t="s">
        <v>145</v>
      </c>
      <c r="D106" s="47"/>
      <c r="E106" s="6">
        <v>1</v>
      </c>
      <c r="F106" s="6">
        <v>1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1</v>
      </c>
      <c r="N106" s="6">
        <v>0</v>
      </c>
      <c r="O106" s="6">
        <v>0</v>
      </c>
      <c r="P106" s="6">
        <v>0</v>
      </c>
      <c r="Q106" s="6">
        <v>1</v>
      </c>
      <c r="R106" s="6">
        <v>0</v>
      </c>
      <c r="S106" s="6">
        <v>1</v>
      </c>
      <c r="T106" s="6">
        <v>0</v>
      </c>
      <c r="U106" s="6">
        <v>0</v>
      </c>
      <c r="V106" s="6">
        <v>0</v>
      </c>
      <c r="W106" s="6">
        <v>0</v>
      </c>
      <c r="X106" s="6">
        <v>1</v>
      </c>
      <c r="Y106" s="6">
        <v>0</v>
      </c>
      <c r="Z106" s="6">
        <v>0</v>
      </c>
      <c r="AA106" s="6">
        <v>0</v>
      </c>
      <c r="AB106" s="6">
        <v>0</v>
      </c>
      <c r="AC106" s="6">
        <v>1</v>
      </c>
      <c r="AD106" s="6">
        <v>1</v>
      </c>
      <c r="AE106" s="6">
        <v>1</v>
      </c>
      <c r="AF106" s="6">
        <v>0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1</v>
      </c>
      <c r="AM106" s="5">
        <f t="shared" si="43"/>
        <v>11</v>
      </c>
    </row>
    <row r="107" spans="1:39" x14ac:dyDescent="0.4">
      <c r="A107" s="7"/>
      <c r="B107" s="46"/>
      <c r="C107" s="24" t="s">
        <v>146</v>
      </c>
      <c r="D107" s="47"/>
      <c r="E107" s="6">
        <v>0</v>
      </c>
      <c r="F107" s="6">
        <v>0</v>
      </c>
      <c r="G107" s="6">
        <v>0</v>
      </c>
      <c r="H107" s="6">
        <v>1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1</v>
      </c>
      <c r="AB107" s="6">
        <v>0</v>
      </c>
      <c r="AC107" s="6">
        <v>0</v>
      </c>
      <c r="AD107" s="6">
        <v>0</v>
      </c>
      <c r="AE107" s="6">
        <v>0</v>
      </c>
      <c r="AF107" s="6">
        <v>2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5">
        <f t="shared" si="43"/>
        <v>4</v>
      </c>
    </row>
    <row r="108" spans="1:39" x14ac:dyDescent="0.4">
      <c r="A108" s="7"/>
      <c r="B108" s="46"/>
      <c r="C108" s="24" t="s">
        <v>147</v>
      </c>
      <c r="D108" s="47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1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5">
        <f t="shared" si="43"/>
        <v>1</v>
      </c>
    </row>
    <row r="109" spans="1:39" x14ac:dyDescent="0.4">
      <c r="A109" s="7"/>
      <c r="B109" s="46"/>
      <c r="C109" s="24" t="s">
        <v>148</v>
      </c>
      <c r="D109" s="47"/>
      <c r="E109" s="6">
        <v>1</v>
      </c>
      <c r="F109" s="6">
        <v>0</v>
      </c>
      <c r="G109" s="6">
        <v>0</v>
      </c>
      <c r="H109" s="6">
        <v>0</v>
      </c>
      <c r="I109" s="6">
        <v>1</v>
      </c>
      <c r="J109" s="6">
        <v>0</v>
      </c>
      <c r="K109" s="6">
        <v>1</v>
      </c>
      <c r="L109" s="6">
        <v>0</v>
      </c>
      <c r="M109" s="6">
        <v>0</v>
      </c>
      <c r="N109" s="6">
        <v>0</v>
      </c>
      <c r="O109" s="6">
        <v>2</v>
      </c>
      <c r="P109" s="6">
        <v>0</v>
      </c>
      <c r="Q109" s="6">
        <v>0</v>
      </c>
      <c r="R109" s="6">
        <v>1</v>
      </c>
      <c r="S109" s="6">
        <v>0</v>
      </c>
      <c r="T109" s="6">
        <v>0</v>
      </c>
      <c r="U109" s="6">
        <v>2</v>
      </c>
      <c r="V109" s="6">
        <v>1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1</v>
      </c>
      <c r="AD109" s="6">
        <v>0</v>
      </c>
      <c r="AE109" s="6">
        <v>0</v>
      </c>
      <c r="AF109" s="6">
        <v>1</v>
      </c>
      <c r="AG109" s="6">
        <v>1</v>
      </c>
      <c r="AH109" s="6">
        <v>0</v>
      </c>
      <c r="AI109" s="6">
        <v>0</v>
      </c>
      <c r="AJ109" s="6">
        <v>1</v>
      </c>
      <c r="AK109" s="6">
        <v>0</v>
      </c>
      <c r="AL109" s="6">
        <v>0</v>
      </c>
      <c r="AM109" s="5">
        <f t="shared" si="43"/>
        <v>13</v>
      </c>
    </row>
    <row r="110" spans="1:39" x14ac:dyDescent="0.4">
      <c r="A110" s="6" t="s">
        <v>26</v>
      </c>
      <c r="B110" s="53" t="s">
        <v>51</v>
      </c>
      <c r="C110" s="54"/>
      <c r="D110" s="55"/>
      <c r="E110" s="5">
        <f>SUM(E103:E109)</f>
        <v>7</v>
      </c>
      <c r="F110" s="5">
        <f>SUM(F103:F109)</f>
        <v>6</v>
      </c>
      <c r="G110" s="5">
        <f>SUM(G103:G109)</f>
        <v>1</v>
      </c>
      <c r="H110" s="5">
        <f>SUM(H103:H109)</f>
        <v>1</v>
      </c>
      <c r="I110" s="5">
        <f>SUM(I103:I109)</f>
        <v>2</v>
      </c>
      <c r="J110" s="5">
        <f>SUM(J103:J109)</f>
        <v>0</v>
      </c>
      <c r="K110" s="5">
        <f>SUM(K103:K109)</f>
        <v>1</v>
      </c>
      <c r="L110" s="5">
        <f>SUM(L103:L109)</f>
        <v>0</v>
      </c>
      <c r="M110" s="5">
        <f>SUM(M103:M109)</f>
        <v>9</v>
      </c>
      <c r="N110" s="5">
        <f>SUM(N103:N109)</f>
        <v>3</v>
      </c>
      <c r="O110" s="5">
        <f>SUM(O103:O109)</f>
        <v>6</v>
      </c>
      <c r="P110" s="5">
        <f>SUM(P103:P109)</f>
        <v>1</v>
      </c>
      <c r="Q110" s="5">
        <f>SUM(Q103:Q109)</f>
        <v>2</v>
      </c>
      <c r="R110" s="5">
        <f>SUM(R103:R109)</f>
        <v>3</v>
      </c>
      <c r="S110" s="5">
        <f>SUM(S103:S109)</f>
        <v>1</v>
      </c>
      <c r="T110" s="5">
        <f>SUM(T103:T109)</f>
        <v>0</v>
      </c>
      <c r="U110" s="5">
        <f>SUM(U103:U109)</f>
        <v>2</v>
      </c>
      <c r="V110" s="5">
        <f>SUM(V103:V109)</f>
        <v>4</v>
      </c>
      <c r="W110" s="5">
        <f>SUM(W103:W109)</f>
        <v>6</v>
      </c>
      <c r="X110" s="5">
        <f>SUM(X103:X109)</f>
        <v>31</v>
      </c>
      <c r="Y110" s="5">
        <f>SUM(Y103:Y109)</f>
        <v>0</v>
      </c>
      <c r="Z110" s="5">
        <f>SUM(Z103:Z109)</f>
        <v>1</v>
      </c>
      <c r="AA110" s="5">
        <f>SUM(AA103:AA109)</f>
        <v>6</v>
      </c>
      <c r="AB110" s="5">
        <f>SUM(AB103:AB109)</f>
        <v>2</v>
      </c>
      <c r="AC110" s="5">
        <f>SUM(AC103:AC109)</f>
        <v>5</v>
      </c>
      <c r="AD110" s="5">
        <f>SUM(AD103:AD109)</f>
        <v>7</v>
      </c>
      <c r="AE110" s="5">
        <f>SUM(AE103:AE109)</f>
        <v>7</v>
      </c>
      <c r="AF110" s="5">
        <f>SUM(AF103:AF109)</f>
        <v>13</v>
      </c>
      <c r="AG110" s="5">
        <f>SUM(AG103:AG109)</f>
        <v>7</v>
      </c>
      <c r="AH110" s="5">
        <f>SUM(AH103:AH109)</f>
        <v>3</v>
      </c>
      <c r="AI110" s="5">
        <f>SUM(AI103:AI109)</f>
        <v>2</v>
      </c>
      <c r="AJ110" s="5">
        <f>SUM(AJ103:AJ109)</f>
        <v>1</v>
      </c>
      <c r="AK110" s="5">
        <f>SUM(AK103:AK109)</f>
        <v>3</v>
      </c>
      <c r="AL110" s="5">
        <f>SUM(AL103:AL109)</f>
        <v>6</v>
      </c>
      <c r="AM110" s="5">
        <f>SUM(AM103:AM109)</f>
        <v>149</v>
      </c>
    </row>
    <row r="111" spans="1:39" x14ac:dyDescent="0.4">
      <c r="A111" s="61"/>
      <c r="B111" s="62"/>
      <c r="C111" s="62"/>
      <c r="D111" s="62"/>
      <c r="E111" s="6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</row>
    <row r="112" spans="1:39" ht="13.15" customHeight="1" x14ac:dyDescent="0.4">
      <c r="A112" s="11" t="s">
        <v>48</v>
      </c>
      <c r="B112" s="17" t="s">
        <v>63</v>
      </c>
      <c r="C112" s="59" t="s">
        <v>64</v>
      </c>
      <c r="D112" s="60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1</v>
      </c>
      <c r="AJ112" s="6">
        <v>0</v>
      </c>
      <c r="AK112" s="6">
        <v>0</v>
      </c>
      <c r="AL112" s="6">
        <v>0</v>
      </c>
      <c r="AM112" s="5">
        <f>SUM(E112:AL112)</f>
        <v>1</v>
      </c>
    </row>
    <row r="113" spans="1:39" x14ac:dyDescent="0.4">
      <c r="A113" s="11" t="s">
        <v>50</v>
      </c>
      <c r="B113" s="17"/>
      <c r="C113" s="24" t="s">
        <v>104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1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5">
        <f>SUM(E113:AL113)</f>
        <v>1</v>
      </c>
    </row>
    <row r="114" spans="1:39" x14ac:dyDescent="0.4">
      <c r="A114" s="7"/>
      <c r="B114" s="17"/>
      <c r="C114" s="24" t="s">
        <v>149</v>
      </c>
      <c r="D114" s="45"/>
      <c r="E114" s="6">
        <v>1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1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1</v>
      </c>
      <c r="AI114" s="6">
        <v>3</v>
      </c>
      <c r="AJ114" s="6">
        <v>0</v>
      </c>
      <c r="AK114" s="6">
        <v>0</v>
      </c>
      <c r="AL114" s="6">
        <v>0</v>
      </c>
      <c r="AM114" s="5">
        <f>SUM(E114:AL114)</f>
        <v>6</v>
      </c>
    </row>
    <row r="115" spans="1:39" x14ac:dyDescent="0.4">
      <c r="A115" s="7"/>
      <c r="B115" s="17"/>
      <c r="C115" s="24" t="s">
        <v>150</v>
      </c>
      <c r="D115" s="45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1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5">
        <f t="shared" ref="AM115:AM118" si="44">SUM(E115:AL115)</f>
        <v>1</v>
      </c>
    </row>
    <row r="116" spans="1:39" x14ac:dyDescent="0.4">
      <c r="A116" s="7"/>
      <c r="B116" s="46"/>
      <c r="C116" s="24" t="s">
        <v>151</v>
      </c>
      <c r="D116" s="47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5">
        <f t="shared" si="44"/>
        <v>0</v>
      </c>
    </row>
    <row r="117" spans="1:39" x14ac:dyDescent="0.4">
      <c r="A117" s="7"/>
      <c r="B117" s="46"/>
      <c r="C117" s="24" t="s">
        <v>152</v>
      </c>
      <c r="D117" s="47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1</v>
      </c>
      <c r="AI117" s="6">
        <v>0</v>
      </c>
      <c r="AJ117" s="6">
        <v>0</v>
      </c>
      <c r="AK117" s="6">
        <v>0</v>
      </c>
      <c r="AL117" s="6">
        <v>0</v>
      </c>
      <c r="AM117" s="5">
        <f t="shared" si="44"/>
        <v>1</v>
      </c>
    </row>
    <row r="118" spans="1:39" x14ac:dyDescent="0.4">
      <c r="A118" s="7"/>
      <c r="B118" s="46"/>
      <c r="C118" s="24" t="s">
        <v>153</v>
      </c>
      <c r="D118" s="47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1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5">
        <f t="shared" si="44"/>
        <v>1</v>
      </c>
    </row>
    <row r="119" spans="1:39" ht="13.15" customHeight="1" x14ac:dyDescent="0.4">
      <c r="A119" s="6" t="s">
        <v>26</v>
      </c>
      <c r="B119" s="53" t="s">
        <v>51</v>
      </c>
      <c r="C119" s="54"/>
      <c r="D119" s="55"/>
      <c r="E119" s="5">
        <f>SUM(E112:E118)</f>
        <v>1</v>
      </c>
      <c r="F119" s="5">
        <f>SUM(F112:F118)</f>
        <v>0</v>
      </c>
      <c r="G119" s="5">
        <f>SUM(G112:G118)</f>
        <v>0</v>
      </c>
      <c r="H119" s="5">
        <f>SUM(H112:H118)</f>
        <v>0</v>
      </c>
      <c r="I119" s="5">
        <f>SUM(I112:I118)</f>
        <v>0</v>
      </c>
      <c r="J119" s="5">
        <f>SUM(J112:J118)</f>
        <v>0</v>
      </c>
      <c r="K119" s="5">
        <f>SUM(K112:K118)</f>
        <v>0</v>
      </c>
      <c r="L119" s="5">
        <f>SUM(L112:L118)</f>
        <v>0</v>
      </c>
      <c r="M119" s="5">
        <f>SUM(M112:M118)</f>
        <v>1</v>
      </c>
      <c r="N119" s="5">
        <f>SUM(N112:N118)</f>
        <v>0</v>
      </c>
      <c r="O119" s="5">
        <f>SUM(O112:O118)</f>
        <v>0</v>
      </c>
      <c r="P119" s="5">
        <f>SUM(P112:P118)</f>
        <v>0</v>
      </c>
      <c r="Q119" s="5">
        <f>SUM(Q112:Q118)</f>
        <v>1</v>
      </c>
      <c r="R119" s="5">
        <f>SUM(R112:R118)</f>
        <v>1</v>
      </c>
      <c r="S119" s="5">
        <f>SUM(S112:S118)</f>
        <v>0</v>
      </c>
      <c r="T119" s="5">
        <f>SUM(T112:T118)</f>
        <v>0</v>
      </c>
      <c r="U119" s="5">
        <f>SUM(U112:U118)</f>
        <v>0</v>
      </c>
      <c r="V119" s="5">
        <f>SUM(V112:V118)</f>
        <v>0</v>
      </c>
      <c r="W119" s="5">
        <f>SUM(W112:W118)</f>
        <v>0</v>
      </c>
      <c r="X119" s="5">
        <f>SUM(X112:X118)</f>
        <v>0</v>
      </c>
      <c r="Y119" s="5">
        <f>SUM(Y112:Y118)</f>
        <v>0</v>
      </c>
      <c r="Z119" s="5">
        <f>SUM(Z112:Z118)</f>
        <v>0</v>
      </c>
      <c r="AA119" s="5">
        <f>SUM(AA112:AA118)</f>
        <v>0</v>
      </c>
      <c r="AB119" s="5">
        <f>SUM(AB112:AB118)</f>
        <v>0</v>
      </c>
      <c r="AC119" s="5">
        <f>SUM(AC112:AC118)</f>
        <v>0</v>
      </c>
      <c r="AD119" s="5">
        <f>SUM(AD112:AD118)</f>
        <v>0</v>
      </c>
      <c r="AE119" s="5">
        <f>SUM(AE112:AE118)</f>
        <v>1</v>
      </c>
      <c r="AF119" s="5">
        <f>SUM(AF112:AF118)</f>
        <v>0</v>
      </c>
      <c r="AG119" s="5">
        <f>SUM(AG112:AG118)</f>
        <v>0</v>
      </c>
      <c r="AH119" s="5">
        <f>SUM(AH112:AH118)</f>
        <v>2</v>
      </c>
      <c r="AI119" s="5">
        <f>SUM(AI112:AI118)</f>
        <v>4</v>
      </c>
      <c r="AJ119" s="5">
        <f>SUM(AJ112:AJ118)</f>
        <v>0</v>
      </c>
      <c r="AK119" s="5">
        <f>SUM(AK112:AK118)</f>
        <v>0</v>
      </c>
      <c r="AL119" s="5">
        <f>SUM(AL112:AL118)</f>
        <v>0</v>
      </c>
      <c r="AM119" s="5">
        <f>SUM(AM112:AM118)</f>
        <v>11</v>
      </c>
    </row>
    <row r="120" spans="1:39" x14ac:dyDescent="0.4">
      <c r="A120" s="61"/>
      <c r="B120" s="62"/>
      <c r="C120" s="62"/>
      <c r="D120" s="62"/>
      <c r="E120" s="6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5"/>
    </row>
    <row r="121" spans="1:39" x14ac:dyDescent="0.4">
      <c r="A121" s="11" t="s">
        <v>48</v>
      </c>
      <c r="B121" s="44" t="s">
        <v>65</v>
      </c>
      <c r="C121" s="67" t="s">
        <v>66</v>
      </c>
      <c r="D121" s="68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1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1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5">
        <f>SUM(E122:AL122)</f>
        <v>5</v>
      </c>
    </row>
    <row r="122" spans="1:39" x14ac:dyDescent="0.4">
      <c r="A122" s="48" t="s">
        <v>50</v>
      </c>
      <c r="B122" s="46"/>
      <c r="C122" s="24" t="s">
        <v>154</v>
      </c>
      <c r="D122" s="47"/>
      <c r="E122" s="49">
        <v>3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1</v>
      </c>
      <c r="O122" s="6">
        <v>1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5">
        <f>SUM(E123:AL123)</f>
        <v>74</v>
      </c>
    </row>
    <row r="123" spans="1:39" x14ac:dyDescent="0.4">
      <c r="A123" s="7"/>
      <c r="B123" s="46"/>
      <c r="C123" s="24" t="s">
        <v>155</v>
      </c>
      <c r="D123" s="47"/>
      <c r="E123" s="49">
        <v>1</v>
      </c>
      <c r="F123" s="6">
        <v>0</v>
      </c>
      <c r="G123" s="6">
        <v>4</v>
      </c>
      <c r="H123" s="6">
        <v>1</v>
      </c>
      <c r="I123" s="6">
        <v>0</v>
      </c>
      <c r="J123" s="6">
        <v>0</v>
      </c>
      <c r="K123" s="6">
        <v>0</v>
      </c>
      <c r="L123" s="6">
        <v>3</v>
      </c>
      <c r="M123" s="6">
        <v>0</v>
      </c>
      <c r="N123" s="6">
        <v>2</v>
      </c>
      <c r="O123" s="6">
        <v>1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1</v>
      </c>
      <c r="X123" s="6">
        <v>2</v>
      </c>
      <c r="Y123" s="6">
        <v>4</v>
      </c>
      <c r="Z123" s="6">
        <v>0</v>
      </c>
      <c r="AA123" s="6">
        <v>1</v>
      </c>
      <c r="AB123" s="6">
        <v>0</v>
      </c>
      <c r="AC123" s="6">
        <v>1</v>
      </c>
      <c r="AD123" s="6">
        <v>34</v>
      </c>
      <c r="AE123" s="6">
        <v>15</v>
      </c>
      <c r="AF123" s="6">
        <v>0</v>
      </c>
      <c r="AG123" s="6">
        <v>2</v>
      </c>
      <c r="AH123" s="6">
        <v>0</v>
      </c>
      <c r="AI123" s="6">
        <v>0</v>
      </c>
      <c r="AJ123" s="6">
        <v>0</v>
      </c>
      <c r="AK123" s="6">
        <v>2</v>
      </c>
      <c r="AL123" s="6">
        <v>0</v>
      </c>
      <c r="AM123" s="5">
        <f>SUM(E124:AL124)</f>
        <v>6</v>
      </c>
    </row>
    <row r="124" spans="1:39" x14ac:dyDescent="0.4">
      <c r="A124" s="7"/>
      <c r="B124" s="46"/>
      <c r="C124" s="24" t="s">
        <v>156</v>
      </c>
      <c r="D124" s="47"/>
      <c r="E124" s="49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1</v>
      </c>
      <c r="Q124" s="6">
        <v>0</v>
      </c>
      <c r="R124" s="6">
        <v>0</v>
      </c>
      <c r="S124" s="6">
        <v>1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2</v>
      </c>
      <c r="AG124" s="6">
        <v>0</v>
      </c>
      <c r="AH124" s="6">
        <v>2</v>
      </c>
      <c r="AI124" s="6">
        <v>0</v>
      </c>
      <c r="AJ124" s="6">
        <v>0</v>
      </c>
      <c r="AK124" s="6">
        <v>0</v>
      </c>
      <c r="AL124" s="6">
        <v>0</v>
      </c>
      <c r="AM124" s="5">
        <f>SUM(E125:AL125)</f>
        <v>3</v>
      </c>
    </row>
    <row r="125" spans="1:39" x14ac:dyDescent="0.4">
      <c r="A125" s="7"/>
      <c r="B125" s="46"/>
      <c r="C125" s="24" t="s">
        <v>157</v>
      </c>
      <c r="D125" s="47"/>
      <c r="E125" s="49">
        <v>0</v>
      </c>
      <c r="F125" s="6">
        <v>2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1</v>
      </c>
      <c r="AI125" s="6">
        <v>0</v>
      </c>
      <c r="AJ125" s="6">
        <v>0</v>
      </c>
      <c r="AK125" s="6">
        <v>0</v>
      </c>
      <c r="AL125" s="6">
        <v>0</v>
      </c>
      <c r="AM125" s="5">
        <f>SUM(E128:AL128)</f>
        <v>94</v>
      </c>
    </row>
    <row r="126" spans="1:39" x14ac:dyDescent="0.4">
      <c r="A126" s="7"/>
      <c r="B126" s="46"/>
      <c r="C126" s="24" t="s">
        <v>158</v>
      </c>
      <c r="D126" s="47"/>
      <c r="E126" s="49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2</v>
      </c>
      <c r="AJ126" s="6">
        <v>0</v>
      </c>
      <c r="AK126" s="6">
        <v>0</v>
      </c>
      <c r="AL126" s="6">
        <v>0</v>
      </c>
      <c r="AM126" s="5">
        <f>SUM(E129:AL129)</f>
        <v>0</v>
      </c>
    </row>
    <row r="127" spans="1:39" x14ac:dyDescent="0.4">
      <c r="A127" s="7"/>
      <c r="B127" s="46"/>
      <c r="C127" s="24" t="s">
        <v>159</v>
      </c>
      <c r="D127" s="47"/>
      <c r="E127" s="49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1</v>
      </c>
      <c r="O127" s="6">
        <v>1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5">
        <f>SUM(E130:AL130)</f>
        <v>4</v>
      </c>
    </row>
    <row r="128" spans="1:39" x14ac:dyDescent="0.4">
      <c r="A128" s="6" t="s">
        <v>26</v>
      </c>
      <c r="B128" s="64" t="s">
        <v>51</v>
      </c>
      <c r="C128" s="65"/>
      <c r="D128" s="66"/>
      <c r="E128" s="5">
        <f>SUM(E121:E127)</f>
        <v>4</v>
      </c>
      <c r="F128" s="5">
        <f>SUM(F121:F127)</f>
        <v>2</v>
      </c>
      <c r="G128" s="5">
        <f>SUM(G121:G127)</f>
        <v>4</v>
      </c>
      <c r="H128" s="5">
        <f>SUM(H121:H127)</f>
        <v>1</v>
      </c>
      <c r="I128" s="5">
        <f>SUM(I121:I127)</f>
        <v>0</v>
      </c>
      <c r="J128" s="5">
        <f>SUM(J121:J127)</f>
        <v>0</v>
      </c>
      <c r="K128" s="5">
        <f>SUM(K121:K127)</f>
        <v>0</v>
      </c>
      <c r="L128" s="5">
        <f>SUM(L121:L127)</f>
        <v>3</v>
      </c>
      <c r="M128" s="5">
        <f>SUM(M121:M127)</f>
        <v>0</v>
      </c>
      <c r="N128" s="5">
        <f>SUM(N121:N127)</f>
        <v>4</v>
      </c>
      <c r="O128" s="5">
        <f>SUM(O121:O127)</f>
        <v>3</v>
      </c>
      <c r="P128" s="5">
        <f>SUM(P121:P127)</f>
        <v>1</v>
      </c>
      <c r="Q128" s="5">
        <f>SUM(Q121:Q127)</f>
        <v>0</v>
      </c>
      <c r="R128" s="5">
        <f>SUM(R121:R127)</f>
        <v>0</v>
      </c>
      <c r="S128" s="5">
        <f>SUM(S121:S127)</f>
        <v>1</v>
      </c>
      <c r="T128" s="5">
        <f>SUM(T121:T127)</f>
        <v>0</v>
      </c>
      <c r="U128" s="5">
        <f>SUM(U121:U127)</f>
        <v>0</v>
      </c>
      <c r="V128" s="5">
        <f>SUM(V121:V127)</f>
        <v>0</v>
      </c>
      <c r="W128" s="5">
        <f>SUM(W121:W127)</f>
        <v>2</v>
      </c>
      <c r="X128" s="5">
        <f>SUM(X121:X127)</f>
        <v>2</v>
      </c>
      <c r="Y128" s="5">
        <f>SUM(Y121:Y127)</f>
        <v>4</v>
      </c>
      <c r="Z128" s="5">
        <f>SUM(Z121:Z127)</f>
        <v>0</v>
      </c>
      <c r="AA128" s="5">
        <f>SUM(AA121:AA127)</f>
        <v>1</v>
      </c>
      <c r="AB128" s="5">
        <f>SUM(AB121:AB127)</f>
        <v>0</v>
      </c>
      <c r="AC128" s="5">
        <f>SUM(AC121:AC127)</f>
        <v>1</v>
      </c>
      <c r="AD128" s="5">
        <f>SUM(AD121:AD127)</f>
        <v>35</v>
      </c>
      <c r="AE128" s="5">
        <f>SUM(AE121:AE127)</f>
        <v>15</v>
      </c>
      <c r="AF128" s="5">
        <f>SUM(AF121:AF127)</f>
        <v>2</v>
      </c>
      <c r="AG128" s="5">
        <f>SUM(AG121:AG127)</f>
        <v>2</v>
      </c>
      <c r="AH128" s="5">
        <f>SUM(AH121:AH127)</f>
        <v>3</v>
      </c>
      <c r="AI128" s="5">
        <f>SUM(AI121:AI127)</f>
        <v>2</v>
      </c>
      <c r="AJ128" s="5">
        <f>SUM(AJ121:AJ127)</f>
        <v>0</v>
      </c>
      <c r="AK128" s="5">
        <f>SUM(AK121:AK127)</f>
        <v>2</v>
      </c>
      <c r="AL128" s="5">
        <f>SUM(AL121:AL127)</f>
        <v>0</v>
      </c>
      <c r="AM128" s="5">
        <f>SUM(AM121:AM127)</f>
        <v>186</v>
      </c>
    </row>
    <row r="129" spans="1:39" x14ac:dyDescent="0.4">
      <c r="A129" s="61"/>
      <c r="B129" s="62"/>
      <c r="C129" s="62"/>
      <c r="D129" s="62"/>
      <c r="E129" s="63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</row>
    <row r="130" spans="1:39" ht="13.15" customHeight="1" x14ac:dyDescent="0.4">
      <c r="A130" s="11" t="s">
        <v>48</v>
      </c>
      <c r="B130" s="17" t="s">
        <v>67</v>
      </c>
      <c r="C130" s="59" t="s">
        <v>68</v>
      </c>
      <c r="D130" s="60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1</v>
      </c>
      <c r="M130" s="6">
        <v>0</v>
      </c>
      <c r="N130" s="6">
        <v>1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1</v>
      </c>
      <c r="AG130" s="6">
        <v>0</v>
      </c>
      <c r="AH130" s="6">
        <v>0</v>
      </c>
      <c r="AI130" s="6">
        <v>0</v>
      </c>
      <c r="AJ130" s="6">
        <v>1</v>
      </c>
      <c r="AK130" s="6">
        <v>0</v>
      </c>
      <c r="AL130" s="6">
        <v>0</v>
      </c>
      <c r="AM130" s="5">
        <f>SUM(E130:AL130)</f>
        <v>4</v>
      </c>
    </row>
    <row r="131" spans="1:39" x14ac:dyDescent="0.4">
      <c r="A131" s="6" t="s">
        <v>26</v>
      </c>
      <c r="B131" s="53" t="s">
        <v>51</v>
      </c>
      <c r="C131" s="54"/>
      <c r="D131" s="55"/>
      <c r="E131" s="5">
        <f>SUM(E130:E130)</f>
        <v>0</v>
      </c>
      <c r="F131" s="5">
        <f>SUM(F130:F130)</f>
        <v>0</v>
      </c>
      <c r="G131" s="5">
        <f>SUM(G130:G130)</f>
        <v>0</v>
      </c>
      <c r="H131" s="5">
        <f>SUM(H130:H130)</f>
        <v>0</v>
      </c>
      <c r="I131" s="5">
        <f>SUM(I130:I130)</f>
        <v>0</v>
      </c>
      <c r="J131" s="5">
        <f>SUM(J130:J130)</f>
        <v>0</v>
      </c>
      <c r="K131" s="5">
        <f>SUM(K130:K130)</f>
        <v>0</v>
      </c>
      <c r="L131" s="5">
        <f>SUM(L130:L130)</f>
        <v>1</v>
      </c>
      <c r="M131" s="5">
        <f>SUM(M130:M130)</f>
        <v>0</v>
      </c>
      <c r="N131" s="5">
        <f>SUM(N130:N130)</f>
        <v>1</v>
      </c>
      <c r="O131" s="5">
        <f>SUM(O130:O130)</f>
        <v>0</v>
      </c>
      <c r="P131" s="5">
        <f>SUM(P130:P130)</f>
        <v>0</v>
      </c>
      <c r="Q131" s="5">
        <f>SUM(Q130:Q130)</f>
        <v>0</v>
      </c>
      <c r="R131" s="5">
        <f>SUM(R130:R130)</f>
        <v>0</v>
      </c>
      <c r="S131" s="5">
        <f>SUM(S130:S130)</f>
        <v>0</v>
      </c>
      <c r="T131" s="5">
        <f>SUM(T130:T130)</f>
        <v>0</v>
      </c>
      <c r="U131" s="5">
        <f>SUM(U130:U130)</f>
        <v>0</v>
      </c>
      <c r="V131" s="5">
        <f>SUM(V130:V130)</f>
        <v>0</v>
      </c>
      <c r="W131" s="5">
        <f>SUM(W130:W130)</f>
        <v>0</v>
      </c>
      <c r="X131" s="5">
        <f>SUM(X130:X130)</f>
        <v>0</v>
      </c>
      <c r="Y131" s="5">
        <f>SUM(Y130:Y130)</f>
        <v>0</v>
      </c>
      <c r="Z131" s="5">
        <f>SUM(Z130:Z130)</f>
        <v>0</v>
      </c>
      <c r="AA131" s="5">
        <f>SUM(AA130:AA130)</f>
        <v>0</v>
      </c>
      <c r="AB131" s="5">
        <f>SUM(AB130:AB130)</f>
        <v>0</v>
      </c>
      <c r="AC131" s="5">
        <f>SUM(AC130:AC130)</f>
        <v>0</v>
      </c>
      <c r="AD131" s="5">
        <f>SUM(AD130:AD130)</f>
        <v>0</v>
      </c>
      <c r="AE131" s="5">
        <f>SUM(AE130:AE130)</f>
        <v>0</v>
      </c>
      <c r="AF131" s="5">
        <f>SUM(AF130:AF130)</f>
        <v>1</v>
      </c>
      <c r="AG131" s="5">
        <f>SUM(AG130:AG130)</f>
        <v>0</v>
      </c>
      <c r="AH131" s="5">
        <f>SUM(AH130:AH130)</f>
        <v>0</v>
      </c>
      <c r="AI131" s="5">
        <f>SUM(AI130:AI130)</f>
        <v>0</v>
      </c>
      <c r="AJ131" s="5">
        <f>SUM(AJ130:AJ130)</f>
        <v>1</v>
      </c>
      <c r="AK131" s="5">
        <f>SUM(AK130:AK130)</f>
        <v>0</v>
      </c>
      <c r="AL131" s="5">
        <f>SUM(AL130:AL130)</f>
        <v>0</v>
      </c>
      <c r="AM131" s="5">
        <f>SUM(AM130:AM130)</f>
        <v>4</v>
      </c>
    </row>
    <row r="132" spans="1:39" ht="13.15" customHeight="1" x14ac:dyDescent="0.4">
      <c r="A132" s="61"/>
      <c r="B132" s="62"/>
      <c r="C132" s="62"/>
      <c r="D132" s="62"/>
      <c r="E132" s="63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</row>
    <row r="133" spans="1:39" x14ac:dyDescent="0.4">
      <c r="A133" s="11" t="s">
        <v>48</v>
      </c>
      <c r="B133" s="17" t="s">
        <v>69</v>
      </c>
      <c r="C133" s="59" t="s">
        <v>70</v>
      </c>
      <c r="D133" s="60"/>
      <c r="E133" s="6">
        <v>1</v>
      </c>
      <c r="F133" s="6">
        <v>2</v>
      </c>
      <c r="G133" s="6">
        <v>1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2</v>
      </c>
      <c r="N133" s="6">
        <v>1</v>
      </c>
      <c r="O133" s="6">
        <v>0</v>
      </c>
      <c r="P133" s="6">
        <v>0</v>
      </c>
      <c r="Q133" s="6">
        <v>0</v>
      </c>
      <c r="R133" s="6">
        <v>0</v>
      </c>
      <c r="S133" s="6">
        <v>3</v>
      </c>
      <c r="T133" s="6">
        <v>0</v>
      </c>
      <c r="U133" s="6">
        <v>1</v>
      </c>
      <c r="V133" s="6">
        <v>1</v>
      </c>
      <c r="W133" s="6">
        <v>1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1</v>
      </c>
      <c r="AD133" s="6">
        <v>1</v>
      </c>
      <c r="AE133" s="6">
        <v>0</v>
      </c>
      <c r="AF133" s="6">
        <v>1</v>
      </c>
      <c r="AG133" s="6">
        <v>0</v>
      </c>
      <c r="AH133" s="6">
        <v>1</v>
      </c>
      <c r="AI133" s="6">
        <v>0</v>
      </c>
      <c r="AJ133" s="6">
        <v>0</v>
      </c>
      <c r="AK133" s="6">
        <v>0</v>
      </c>
      <c r="AL133" s="6">
        <v>0</v>
      </c>
      <c r="AM133" s="5">
        <f t="shared" ref="AM133:AM139" si="45">SUM(E133:AL133)</f>
        <v>17</v>
      </c>
    </row>
    <row r="134" spans="1:39" x14ac:dyDescent="0.4">
      <c r="A134" s="11" t="s">
        <v>50</v>
      </c>
      <c r="B134" s="46"/>
      <c r="C134" s="24" t="s">
        <v>160</v>
      </c>
      <c r="D134" s="47"/>
      <c r="E134" s="6">
        <v>1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1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1</v>
      </c>
      <c r="X134" s="6">
        <v>0</v>
      </c>
      <c r="Y134" s="6">
        <v>1</v>
      </c>
      <c r="Z134" s="6">
        <v>0</v>
      </c>
      <c r="AA134" s="6">
        <v>0</v>
      </c>
      <c r="AB134" s="6">
        <v>0</v>
      </c>
      <c r="AC134" s="6">
        <v>1</v>
      </c>
      <c r="AD134" s="6">
        <v>0</v>
      </c>
      <c r="AE134" s="6">
        <v>1</v>
      </c>
      <c r="AF134" s="6">
        <v>0</v>
      </c>
      <c r="AG134" s="6">
        <v>0</v>
      </c>
      <c r="AH134" s="6">
        <v>0</v>
      </c>
      <c r="AI134" s="6">
        <v>1</v>
      </c>
      <c r="AJ134" s="6">
        <v>0</v>
      </c>
      <c r="AK134" s="6">
        <v>0</v>
      </c>
      <c r="AL134" s="6">
        <v>0</v>
      </c>
      <c r="AM134" s="5">
        <f t="shared" si="45"/>
        <v>7</v>
      </c>
    </row>
    <row r="135" spans="1:39" x14ac:dyDescent="0.4">
      <c r="A135" s="7"/>
      <c r="B135" s="46"/>
      <c r="C135" s="24" t="s">
        <v>161</v>
      </c>
      <c r="D135" s="47"/>
      <c r="E135" s="6">
        <v>0</v>
      </c>
      <c r="F135" s="6">
        <v>1</v>
      </c>
      <c r="G135" s="6">
        <v>0</v>
      </c>
      <c r="H135" s="6">
        <v>0</v>
      </c>
      <c r="I135" s="6">
        <v>0</v>
      </c>
      <c r="J135" s="6">
        <v>0</v>
      </c>
      <c r="K135" s="6">
        <v>1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2</v>
      </c>
      <c r="T135" s="6">
        <v>1</v>
      </c>
      <c r="U135" s="6">
        <v>4</v>
      </c>
      <c r="V135" s="6">
        <v>0</v>
      </c>
      <c r="W135" s="6">
        <v>0</v>
      </c>
      <c r="X135" s="6">
        <v>0</v>
      </c>
      <c r="Y135" s="6">
        <v>1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0</v>
      </c>
      <c r="AM135" s="5">
        <f t="shared" si="45"/>
        <v>11</v>
      </c>
    </row>
    <row r="136" spans="1:39" x14ac:dyDescent="0.4">
      <c r="A136" s="7"/>
      <c r="B136" s="46"/>
      <c r="C136" s="24" t="s">
        <v>162</v>
      </c>
      <c r="D136" s="47"/>
      <c r="E136" s="6">
        <v>0</v>
      </c>
      <c r="F136" s="6">
        <v>1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1</v>
      </c>
      <c r="Q136" s="6">
        <v>0</v>
      </c>
      <c r="R136" s="6">
        <v>1</v>
      </c>
      <c r="S136" s="6">
        <v>1</v>
      </c>
      <c r="T136" s="6">
        <v>2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5">
        <f t="shared" si="45"/>
        <v>6</v>
      </c>
    </row>
    <row r="137" spans="1:39" x14ac:dyDescent="0.4">
      <c r="A137" s="7"/>
      <c r="B137" s="46"/>
      <c r="C137" s="24" t="s">
        <v>163</v>
      </c>
      <c r="D137" s="47"/>
      <c r="E137" s="6">
        <v>0</v>
      </c>
      <c r="F137" s="6">
        <v>1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1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5">
        <f t="shared" si="45"/>
        <v>2</v>
      </c>
    </row>
    <row r="138" spans="1:39" x14ac:dyDescent="0.4">
      <c r="A138" s="7"/>
      <c r="B138" s="46"/>
      <c r="C138" s="24" t="s">
        <v>164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1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1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5">
        <f t="shared" si="45"/>
        <v>2</v>
      </c>
    </row>
    <row r="139" spans="1:39" x14ac:dyDescent="0.4">
      <c r="A139" s="7"/>
      <c r="B139" s="46"/>
      <c r="C139" s="24" t="s">
        <v>165</v>
      </c>
      <c r="D139" s="47"/>
      <c r="E139" s="6">
        <v>0</v>
      </c>
      <c r="F139" s="6">
        <v>1</v>
      </c>
      <c r="G139" s="6">
        <v>0</v>
      </c>
      <c r="H139" s="6">
        <v>2</v>
      </c>
      <c r="I139" s="6">
        <v>0</v>
      </c>
      <c r="J139" s="6">
        <v>0</v>
      </c>
      <c r="K139" s="6">
        <v>2</v>
      </c>
      <c r="L139" s="6">
        <v>0</v>
      </c>
      <c r="M139" s="6">
        <v>0</v>
      </c>
      <c r="N139" s="6">
        <v>1</v>
      </c>
      <c r="O139" s="6">
        <v>4</v>
      </c>
      <c r="P139" s="6">
        <v>4</v>
      </c>
      <c r="Q139" s="6">
        <v>0</v>
      </c>
      <c r="R139" s="6">
        <v>10</v>
      </c>
      <c r="S139" s="6">
        <v>21</v>
      </c>
      <c r="T139" s="6">
        <v>1</v>
      </c>
      <c r="U139" s="6">
        <v>5</v>
      </c>
      <c r="V139" s="6">
        <v>1</v>
      </c>
      <c r="W139" s="6">
        <v>2</v>
      </c>
      <c r="X139" s="6">
        <v>1</v>
      </c>
      <c r="Y139" s="6">
        <v>0</v>
      </c>
      <c r="Z139" s="6">
        <v>1</v>
      </c>
      <c r="AA139" s="6">
        <v>0</v>
      </c>
      <c r="AB139" s="6">
        <v>0</v>
      </c>
      <c r="AC139" s="6">
        <v>2</v>
      </c>
      <c r="AD139" s="6">
        <v>1</v>
      </c>
      <c r="AE139" s="6">
        <v>0</v>
      </c>
      <c r="AF139" s="6">
        <v>1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5">
        <f t="shared" si="45"/>
        <v>60</v>
      </c>
    </row>
    <row r="140" spans="1:39" ht="13.15" customHeight="1" x14ac:dyDescent="0.4">
      <c r="A140" s="6" t="s">
        <v>26</v>
      </c>
      <c r="B140" s="53" t="s">
        <v>51</v>
      </c>
      <c r="C140" s="54"/>
      <c r="D140" s="55"/>
      <c r="E140" s="5">
        <f>SUM(E133:E139)</f>
        <v>2</v>
      </c>
      <c r="F140" s="5">
        <f>SUM(F133:F139)</f>
        <v>6</v>
      </c>
      <c r="G140" s="5">
        <f>SUM(G133:G139)</f>
        <v>1</v>
      </c>
      <c r="H140" s="5">
        <f>SUM(H133:H139)</f>
        <v>2</v>
      </c>
      <c r="I140" s="5">
        <f>SUM(I133:I139)</f>
        <v>0</v>
      </c>
      <c r="J140" s="5">
        <f>SUM(J133:J139)</f>
        <v>0</v>
      </c>
      <c r="K140" s="5">
        <f>SUM(K133:K139)</f>
        <v>3</v>
      </c>
      <c r="L140" s="5">
        <f>SUM(L133:L139)</f>
        <v>0</v>
      </c>
      <c r="M140" s="5">
        <f>SUM(M133:M139)</f>
        <v>4</v>
      </c>
      <c r="N140" s="5">
        <f>SUM(N133:N139)</f>
        <v>2</v>
      </c>
      <c r="O140" s="5">
        <f>SUM(O133:O139)</f>
        <v>4</v>
      </c>
      <c r="P140" s="5">
        <f>SUM(P133:P139)</f>
        <v>5</v>
      </c>
      <c r="Q140" s="5">
        <f>SUM(Q133:Q139)</f>
        <v>0</v>
      </c>
      <c r="R140" s="5">
        <f>SUM(R133:R139)</f>
        <v>11</v>
      </c>
      <c r="S140" s="5">
        <f>SUM(S133:S139)</f>
        <v>27</v>
      </c>
      <c r="T140" s="5">
        <f t="shared" ref="T140:AL140" si="46">SUM(T133:T139)</f>
        <v>4</v>
      </c>
      <c r="U140" s="5">
        <f t="shared" si="46"/>
        <v>10</v>
      </c>
      <c r="V140" s="5">
        <f t="shared" si="46"/>
        <v>2</v>
      </c>
      <c r="W140" s="5">
        <f t="shared" si="46"/>
        <v>4</v>
      </c>
      <c r="X140" s="5">
        <f t="shared" si="46"/>
        <v>1</v>
      </c>
      <c r="Y140" s="5">
        <f t="shared" si="46"/>
        <v>2</v>
      </c>
      <c r="Z140" s="5">
        <f t="shared" si="46"/>
        <v>1</v>
      </c>
      <c r="AA140" s="5">
        <f t="shared" si="46"/>
        <v>1</v>
      </c>
      <c r="AB140" s="5">
        <f t="shared" si="46"/>
        <v>0</v>
      </c>
      <c r="AC140" s="5">
        <f t="shared" si="46"/>
        <v>4</v>
      </c>
      <c r="AD140" s="5">
        <f t="shared" si="46"/>
        <v>3</v>
      </c>
      <c r="AE140" s="5">
        <f t="shared" si="46"/>
        <v>1</v>
      </c>
      <c r="AF140" s="5">
        <f t="shared" si="46"/>
        <v>2</v>
      </c>
      <c r="AG140" s="5">
        <f t="shared" si="46"/>
        <v>0</v>
      </c>
      <c r="AH140" s="5">
        <f t="shared" si="46"/>
        <v>1</v>
      </c>
      <c r="AI140" s="5">
        <f t="shared" si="46"/>
        <v>1</v>
      </c>
      <c r="AJ140" s="5">
        <f t="shared" si="46"/>
        <v>0</v>
      </c>
      <c r="AK140" s="5">
        <f t="shared" si="46"/>
        <v>1</v>
      </c>
      <c r="AL140" s="5">
        <f t="shared" si="46"/>
        <v>0</v>
      </c>
      <c r="AM140" s="5">
        <f>SUM(AM133:AM139)</f>
        <v>105</v>
      </c>
    </row>
    <row r="141" spans="1:39" x14ac:dyDescent="0.4">
      <c r="A141" s="61"/>
      <c r="B141" s="62"/>
      <c r="C141" s="62"/>
      <c r="D141" s="62"/>
      <c r="E141" s="63"/>
      <c r="F141" s="18"/>
      <c r="G141" s="18"/>
      <c r="H141" s="18"/>
      <c r="I141" s="18"/>
      <c r="J141" s="18"/>
      <c r="K141" s="18"/>
      <c r="L141" s="18"/>
      <c r="M141" s="18"/>
      <c r="N141" s="18"/>
      <c r="S141" s="18"/>
      <c r="T141" s="18"/>
      <c r="U141" s="18"/>
      <c r="V141" s="18"/>
      <c r="W141" s="18"/>
      <c r="X141" s="18"/>
      <c r="Y141" s="18"/>
      <c r="Z141" s="18"/>
      <c r="AA141" s="18"/>
      <c r="AF141" s="18"/>
      <c r="AG141" s="18"/>
      <c r="AM141" s="5"/>
    </row>
    <row r="142" spans="1:39" x14ac:dyDescent="0.4">
      <c r="A142" s="11" t="s">
        <v>48</v>
      </c>
      <c r="B142" s="17" t="s">
        <v>71</v>
      </c>
      <c r="C142" s="59" t="s">
        <v>72</v>
      </c>
      <c r="D142" s="6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2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5">
        <f t="shared" ref="AM142:AM148" si="47">SUM(E142:AL142)</f>
        <v>2</v>
      </c>
    </row>
    <row r="143" spans="1:39" x14ac:dyDescent="0.4">
      <c r="A143" s="11" t="s">
        <v>50</v>
      </c>
      <c r="B143" s="46"/>
      <c r="C143" s="24" t="s">
        <v>166</v>
      </c>
      <c r="D143" s="47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1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10</v>
      </c>
      <c r="S143" s="6">
        <v>11</v>
      </c>
      <c r="T143" s="6">
        <v>7</v>
      </c>
      <c r="U143" s="6">
        <v>6</v>
      </c>
      <c r="V143" s="6">
        <v>2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5">
        <f t="shared" si="47"/>
        <v>37</v>
      </c>
    </row>
    <row r="144" spans="1:39" x14ac:dyDescent="0.4">
      <c r="A144" s="7"/>
      <c r="B144" s="46"/>
      <c r="C144" s="24" t="s">
        <v>167</v>
      </c>
      <c r="D144" s="47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1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1</v>
      </c>
      <c r="AM144" s="5">
        <f t="shared" si="47"/>
        <v>2</v>
      </c>
    </row>
    <row r="145" spans="1:39" x14ac:dyDescent="0.4">
      <c r="A145" s="7"/>
      <c r="B145" s="46"/>
      <c r="C145" s="24" t="s">
        <v>168</v>
      </c>
      <c r="D145" s="47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5">
        <f t="shared" si="47"/>
        <v>0</v>
      </c>
    </row>
    <row r="146" spans="1:39" x14ac:dyDescent="0.4">
      <c r="A146" s="7"/>
      <c r="B146" s="46"/>
      <c r="C146" s="24" t="s">
        <v>169</v>
      </c>
      <c r="D146" s="47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1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1</v>
      </c>
      <c r="T146" s="6">
        <v>0</v>
      </c>
      <c r="U146" s="6">
        <v>0</v>
      </c>
      <c r="V146" s="6">
        <v>1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5">
        <f t="shared" si="47"/>
        <v>3</v>
      </c>
    </row>
    <row r="147" spans="1:39" x14ac:dyDescent="0.4">
      <c r="A147" s="7"/>
      <c r="B147" s="46"/>
      <c r="C147" s="24" t="s">
        <v>170</v>
      </c>
      <c r="D147" s="47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5">
        <f t="shared" si="47"/>
        <v>0</v>
      </c>
    </row>
    <row r="148" spans="1:39" x14ac:dyDescent="0.4">
      <c r="A148" s="7"/>
      <c r="B148" s="46"/>
      <c r="C148" s="24" t="s">
        <v>171</v>
      </c>
      <c r="D148" s="47"/>
      <c r="E148" s="6">
        <v>0</v>
      </c>
      <c r="F148" s="6">
        <v>0</v>
      </c>
      <c r="G148" s="6">
        <v>1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5">
        <f t="shared" si="47"/>
        <v>1</v>
      </c>
    </row>
    <row r="149" spans="1:39" x14ac:dyDescent="0.4">
      <c r="A149" s="6" t="s">
        <v>26</v>
      </c>
      <c r="B149" s="53" t="s">
        <v>51</v>
      </c>
      <c r="C149" s="54"/>
      <c r="D149" s="55"/>
      <c r="E149" s="5">
        <f>SUM(E142:E148)</f>
        <v>0</v>
      </c>
      <c r="F149" s="5">
        <f>SUM(F142:F148)</f>
        <v>0</v>
      </c>
      <c r="G149" s="5">
        <f>SUM(G142:G148)</f>
        <v>1</v>
      </c>
      <c r="H149" s="5">
        <f>SUM(H142:H148)</f>
        <v>0</v>
      </c>
      <c r="I149" s="5">
        <f>SUM(I142:I148)</f>
        <v>0</v>
      </c>
      <c r="J149" s="5">
        <f>SUM(J142:J148)</f>
        <v>0</v>
      </c>
      <c r="K149" s="5">
        <f>SUM(K142:K148)</f>
        <v>2</v>
      </c>
      <c r="L149" s="5">
        <f>SUM(L142:L148)</f>
        <v>0</v>
      </c>
      <c r="M149" s="5">
        <f>SUM(M142:M148)</f>
        <v>0</v>
      </c>
      <c r="N149" s="5">
        <f>SUM(N142:N148)</f>
        <v>0</v>
      </c>
      <c r="O149" s="5">
        <f>SUM(O142:O148)</f>
        <v>0</v>
      </c>
      <c r="P149" s="5">
        <f>SUM(P142:P148)</f>
        <v>0</v>
      </c>
      <c r="Q149" s="5">
        <f>SUM(Q142:Q148)</f>
        <v>0</v>
      </c>
      <c r="R149" s="5">
        <f>SUM(R142:R148)</f>
        <v>10</v>
      </c>
      <c r="S149" s="5">
        <f>SUM(S142:S148)</f>
        <v>14</v>
      </c>
      <c r="T149" s="5">
        <f>SUM(T142:T148)</f>
        <v>7</v>
      </c>
      <c r="U149" s="5">
        <f>SUM(U142:U148)</f>
        <v>7</v>
      </c>
      <c r="V149" s="5">
        <f>SUM(V142:V148)</f>
        <v>3</v>
      </c>
      <c r="W149" s="5">
        <f>SUM(W142:W148)</f>
        <v>0</v>
      </c>
      <c r="X149" s="5">
        <f>SUM(X142:X148)</f>
        <v>0</v>
      </c>
      <c r="Y149" s="5">
        <f>SUM(Y142:Y148)</f>
        <v>0</v>
      </c>
      <c r="Z149" s="5">
        <f>SUM(Z142:Z148)</f>
        <v>0</v>
      </c>
      <c r="AA149" s="5">
        <f>SUM(AA142:AA148)</f>
        <v>0</v>
      </c>
      <c r="AB149" s="5">
        <f>SUM(AB142:AB148)</f>
        <v>0</v>
      </c>
      <c r="AC149" s="5">
        <f>SUM(AC142:AC148)</f>
        <v>0</v>
      </c>
      <c r="AD149" s="5">
        <f>SUM(AD142:AD148)</f>
        <v>0</v>
      </c>
      <c r="AE149" s="5">
        <f>SUM(AE142:AE148)</f>
        <v>0</v>
      </c>
      <c r="AF149" s="5">
        <f>SUM(AF142:AF148)</f>
        <v>0</v>
      </c>
      <c r="AG149" s="5">
        <f>SUM(AG142:AG148)</f>
        <v>0</v>
      </c>
      <c r="AH149" s="5">
        <f>SUM(AH142:AH148)</f>
        <v>0</v>
      </c>
      <c r="AI149" s="5">
        <f>SUM(AI142:AI148)</f>
        <v>0</v>
      </c>
      <c r="AJ149" s="5">
        <f>SUM(AJ142:AJ148)</f>
        <v>0</v>
      </c>
      <c r="AK149" s="5">
        <f>SUM(AK142:AK148)</f>
        <v>0</v>
      </c>
      <c r="AL149" s="5">
        <f>SUM(AL142:AL148)</f>
        <v>1</v>
      </c>
      <c r="AM149" s="5">
        <f>SUM(AM142:AM148)</f>
        <v>45</v>
      </c>
    </row>
    <row r="150" spans="1:39" x14ac:dyDescent="0.4">
      <c r="A150" s="61"/>
      <c r="B150" s="62"/>
      <c r="C150" s="62"/>
      <c r="D150" s="62"/>
      <c r="E150" s="63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</row>
    <row r="151" spans="1:39" x14ac:dyDescent="0.4">
      <c r="A151" s="11" t="s">
        <v>48</v>
      </c>
      <c r="B151" s="17" t="s">
        <v>73</v>
      </c>
      <c r="C151" s="59" t="s">
        <v>74</v>
      </c>
      <c r="D151" s="60"/>
      <c r="E151" s="6">
        <v>3</v>
      </c>
      <c r="F151" s="6">
        <v>2</v>
      </c>
      <c r="G151" s="6">
        <v>2</v>
      </c>
      <c r="H151" s="6">
        <v>6</v>
      </c>
      <c r="I151" s="6">
        <v>3</v>
      </c>
      <c r="J151" s="6">
        <v>1</v>
      </c>
      <c r="K151" s="6">
        <v>5</v>
      </c>
      <c r="L151" s="6">
        <v>5</v>
      </c>
      <c r="M151" s="6">
        <v>8</v>
      </c>
      <c r="N151" s="6">
        <v>17</v>
      </c>
      <c r="O151" s="6">
        <v>13</v>
      </c>
      <c r="P151" s="6">
        <v>11</v>
      </c>
      <c r="Q151" s="6">
        <v>4</v>
      </c>
      <c r="R151" s="6">
        <v>2</v>
      </c>
      <c r="S151" s="6">
        <v>7</v>
      </c>
      <c r="T151" s="6">
        <v>11</v>
      </c>
      <c r="U151" s="6">
        <v>13</v>
      </c>
      <c r="V151" s="6">
        <v>17</v>
      </c>
      <c r="W151" s="6">
        <v>6</v>
      </c>
      <c r="X151" s="6">
        <v>3</v>
      </c>
      <c r="Y151" s="6">
        <v>0</v>
      </c>
      <c r="Z151" s="6">
        <v>5</v>
      </c>
      <c r="AA151" s="6">
        <v>1</v>
      </c>
      <c r="AB151" s="6">
        <v>1</v>
      </c>
      <c r="AC151" s="6">
        <v>2</v>
      </c>
      <c r="AD151" s="6">
        <v>4</v>
      </c>
      <c r="AE151" s="6">
        <v>4</v>
      </c>
      <c r="AF151" s="6">
        <v>4</v>
      </c>
      <c r="AG151" s="6">
        <v>7</v>
      </c>
      <c r="AH151" s="6">
        <v>4</v>
      </c>
      <c r="AI151" s="6">
        <v>12</v>
      </c>
      <c r="AJ151" s="6">
        <v>7</v>
      </c>
      <c r="AK151" s="6">
        <v>6</v>
      </c>
      <c r="AL151" s="6">
        <v>7</v>
      </c>
      <c r="AM151" s="5">
        <f t="shared" ref="AM151:AM157" si="48">SUM(E151:AL151)</f>
        <v>203</v>
      </c>
    </row>
    <row r="152" spans="1:39" x14ac:dyDescent="0.4">
      <c r="A152" s="11" t="s">
        <v>50</v>
      </c>
      <c r="B152" s="46"/>
      <c r="C152" s="24" t="s">
        <v>172</v>
      </c>
      <c r="D152" s="47"/>
      <c r="E152" s="6">
        <v>2</v>
      </c>
      <c r="F152" s="6">
        <v>4</v>
      </c>
      <c r="G152" s="6">
        <v>4</v>
      </c>
      <c r="H152" s="6">
        <v>2</v>
      </c>
      <c r="I152" s="6">
        <v>14</v>
      </c>
      <c r="J152" s="6">
        <v>0</v>
      </c>
      <c r="K152" s="6">
        <v>39</v>
      </c>
      <c r="L152" s="6">
        <v>12</v>
      </c>
      <c r="M152" s="6">
        <v>10</v>
      </c>
      <c r="N152" s="6">
        <v>5</v>
      </c>
      <c r="O152" s="6">
        <v>10</v>
      </c>
      <c r="P152" s="6">
        <v>1</v>
      </c>
      <c r="Q152" s="6">
        <v>2</v>
      </c>
      <c r="R152" s="6">
        <v>2</v>
      </c>
      <c r="S152" s="6">
        <v>3</v>
      </c>
      <c r="T152" s="6">
        <v>3</v>
      </c>
      <c r="U152" s="6">
        <v>2</v>
      </c>
      <c r="V152" s="6">
        <v>2</v>
      </c>
      <c r="W152" s="6">
        <v>3</v>
      </c>
      <c r="X152" s="6">
        <v>2</v>
      </c>
      <c r="Y152" s="6">
        <v>1</v>
      </c>
      <c r="Z152" s="6">
        <v>0</v>
      </c>
      <c r="AA152" s="6">
        <v>0</v>
      </c>
      <c r="AB152" s="6">
        <v>4</v>
      </c>
      <c r="AC152" s="6">
        <v>2</v>
      </c>
      <c r="AD152" s="6">
        <v>0</v>
      </c>
      <c r="AE152" s="6">
        <v>0</v>
      </c>
      <c r="AF152" s="6">
        <v>1</v>
      </c>
      <c r="AG152" s="6">
        <v>1</v>
      </c>
      <c r="AH152" s="6">
        <v>2</v>
      </c>
      <c r="AI152" s="6">
        <v>2</v>
      </c>
      <c r="AJ152" s="6">
        <v>3</v>
      </c>
      <c r="AK152" s="6">
        <v>2</v>
      </c>
      <c r="AL152" s="6">
        <v>4</v>
      </c>
      <c r="AM152" s="5">
        <f t="shared" si="48"/>
        <v>144</v>
      </c>
    </row>
    <row r="153" spans="1:39" x14ac:dyDescent="0.4">
      <c r="A153" s="7"/>
      <c r="B153" s="46"/>
      <c r="C153" s="24" t="s">
        <v>173</v>
      </c>
      <c r="D153" s="47"/>
      <c r="E153" s="6">
        <v>26</v>
      </c>
      <c r="F153" s="6">
        <v>18</v>
      </c>
      <c r="G153" s="6">
        <v>20</v>
      </c>
      <c r="H153" s="6">
        <v>27</v>
      </c>
      <c r="I153" s="6">
        <v>11</v>
      </c>
      <c r="J153" s="6">
        <v>16</v>
      </c>
      <c r="K153" s="6">
        <v>14</v>
      </c>
      <c r="L153" s="6">
        <v>21</v>
      </c>
      <c r="M153" s="6">
        <v>33</v>
      </c>
      <c r="N153" s="6">
        <v>51</v>
      </c>
      <c r="O153" s="6">
        <v>47</v>
      </c>
      <c r="P153" s="6">
        <v>37</v>
      </c>
      <c r="Q153" s="6">
        <v>15</v>
      </c>
      <c r="R153" s="6">
        <v>30</v>
      </c>
      <c r="S153" s="6">
        <v>57</v>
      </c>
      <c r="T153" s="6">
        <v>84</v>
      </c>
      <c r="U153" s="6">
        <v>33</v>
      </c>
      <c r="V153" s="6">
        <v>50</v>
      </c>
      <c r="W153" s="6">
        <v>16</v>
      </c>
      <c r="X153" s="6">
        <v>14</v>
      </c>
      <c r="Y153" s="6">
        <v>24</v>
      </c>
      <c r="Z153" s="6">
        <v>1</v>
      </c>
      <c r="AA153" s="6">
        <v>5</v>
      </c>
      <c r="AB153" s="6">
        <v>7</v>
      </c>
      <c r="AC153" s="6">
        <v>16</v>
      </c>
      <c r="AD153" s="6">
        <v>27</v>
      </c>
      <c r="AE153" s="6">
        <v>65</v>
      </c>
      <c r="AF153" s="6">
        <v>58</v>
      </c>
      <c r="AG153" s="6">
        <v>50</v>
      </c>
      <c r="AH153" s="6">
        <v>67</v>
      </c>
      <c r="AI153" s="6">
        <v>77</v>
      </c>
      <c r="AJ153" s="6">
        <v>87</v>
      </c>
      <c r="AK153" s="6">
        <v>140</v>
      </c>
      <c r="AL153" s="6">
        <v>88</v>
      </c>
      <c r="AM153" s="5">
        <f t="shared" si="48"/>
        <v>1332</v>
      </c>
    </row>
    <row r="154" spans="1:39" x14ac:dyDescent="0.4">
      <c r="A154" s="7"/>
      <c r="B154" s="46"/>
      <c r="C154" s="24" t="s">
        <v>174</v>
      </c>
      <c r="D154" s="47"/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1</v>
      </c>
      <c r="R154" s="6">
        <v>1</v>
      </c>
      <c r="S154" s="6">
        <v>0</v>
      </c>
      <c r="T154" s="6">
        <v>0</v>
      </c>
      <c r="U154" s="6">
        <v>2</v>
      </c>
      <c r="V154" s="6">
        <v>1</v>
      </c>
      <c r="W154" s="6">
        <v>1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1</v>
      </c>
      <c r="AG154" s="6">
        <v>1</v>
      </c>
      <c r="AH154" s="6">
        <v>0</v>
      </c>
      <c r="AI154" s="6">
        <v>0</v>
      </c>
      <c r="AJ154" s="6">
        <v>0</v>
      </c>
      <c r="AK154" s="6">
        <v>2</v>
      </c>
      <c r="AL154" s="6">
        <v>0</v>
      </c>
      <c r="AM154" s="5">
        <f t="shared" si="48"/>
        <v>10</v>
      </c>
    </row>
    <row r="155" spans="1:39" x14ac:dyDescent="0.4">
      <c r="A155" s="7"/>
      <c r="B155" s="46"/>
      <c r="C155" s="24" t="s">
        <v>175</v>
      </c>
      <c r="D155" s="47"/>
      <c r="E155" s="6">
        <v>1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1</v>
      </c>
      <c r="L155" s="6">
        <v>0</v>
      </c>
      <c r="M155" s="6">
        <v>0</v>
      </c>
      <c r="N155" s="6">
        <v>2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1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2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5">
        <f t="shared" si="48"/>
        <v>7</v>
      </c>
    </row>
    <row r="156" spans="1:39" x14ac:dyDescent="0.4">
      <c r="A156" s="7"/>
      <c r="B156" s="46"/>
      <c r="C156" s="24" t="s">
        <v>176</v>
      </c>
      <c r="D156" s="47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1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5">
        <f t="shared" si="48"/>
        <v>1</v>
      </c>
    </row>
    <row r="157" spans="1:39" ht="13.15" customHeight="1" x14ac:dyDescent="0.4">
      <c r="A157" s="7"/>
      <c r="B157" s="46"/>
      <c r="C157" s="24" t="s">
        <v>177</v>
      </c>
      <c r="D157" s="47"/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1</v>
      </c>
      <c r="K157" s="6">
        <v>1</v>
      </c>
      <c r="L157" s="6">
        <v>0</v>
      </c>
      <c r="M157" s="6">
        <v>0</v>
      </c>
      <c r="N157" s="6">
        <v>0</v>
      </c>
      <c r="O157" s="6">
        <v>1</v>
      </c>
      <c r="P157" s="6">
        <v>0</v>
      </c>
      <c r="Q157" s="6">
        <v>0</v>
      </c>
      <c r="R157" s="6">
        <v>2</v>
      </c>
      <c r="S157" s="6">
        <v>2</v>
      </c>
      <c r="T157" s="6">
        <v>1</v>
      </c>
      <c r="U157" s="6">
        <v>1</v>
      </c>
      <c r="V157" s="6">
        <v>3</v>
      </c>
      <c r="W157" s="6">
        <v>0</v>
      </c>
      <c r="X157" s="6">
        <v>1</v>
      </c>
      <c r="Y157" s="6">
        <v>1</v>
      </c>
      <c r="Z157" s="6">
        <v>0</v>
      </c>
      <c r="AA157" s="6">
        <v>0</v>
      </c>
      <c r="AB157" s="6">
        <v>0</v>
      </c>
      <c r="AC157" s="6">
        <v>2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5">
        <f t="shared" si="48"/>
        <v>16</v>
      </c>
    </row>
    <row r="158" spans="1:39" x14ac:dyDescent="0.4">
      <c r="A158" s="6" t="s">
        <v>26</v>
      </c>
      <c r="B158" s="53" t="s">
        <v>51</v>
      </c>
      <c r="C158" s="54"/>
      <c r="D158" s="55"/>
      <c r="E158" s="5">
        <f>SUM(E151:E157)</f>
        <v>32</v>
      </c>
      <c r="F158" s="5">
        <f>SUM(F151:F157)</f>
        <v>24</v>
      </c>
      <c r="G158" s="5">
        <f>SUM(G151:G157)</f>
        <v>26</v>
      </c>
      <c r="H158" s="5">
        <f>SUM(H151:H157)</f>
        <v>35</v>
      </c>
      <c r="I158" s="5">
        <f>SUM(I151:I157)</f>
        <v>28</v>
      </c>
      <c r="J158" s="5">
        <f>SUM(J151:J157)</f>
        <v>18</v>
      </c>
      <c r="K158" s="5">
        <f>SUM(K151:K157)</f>
        <v>60</v>
      </c>
      <c r="L158" s="5">
        <f>SUM(L151:L157)</f>
        <v>38</v>
      </c>
      <c r="M158" s="5">
        <f>SUM(M151:M157)</f>
        <v>51</v>
      </c>
      <c r="N158" s="5">
        <f>SUM(N151:N157)</f>
        <v>75</v>
      </c>
      <c r="O158" s="5">
        <f>SUM(O151:O157)</f>
        <v>71</v>
      </c>
      <c r="P158" s="5">
        <f>SUM(P151:P157)</f>
        <v>49</v>
      </c>
      <c r="Q158" s="5">
        <f>SUM(Q151:Q157)</f>
        <v>22</v>
      </c>
      <c r="R158" s="5">
        <f>SUM(R151:R157)</f>
        <v>38</v>
      </c>
      <c r="S158" s="5">
        <f>SUM(S151:S157)</f>
        <v>69</v>
      </c>
      <c r="T158" s="5">
        <f>SUM(T151:T157)</f>
        <v>99</v>
      </c>
      <c r="U158" s="5">
        <f>SUM(U151:U157)</f>
        <v>52</v>
      </c>
      <c r="V158" s="5">
        <f>SUM(V151:V157)</f>
        <v>73</v>
      </c>
      <c r="W158" s="5">
        <f>SUM(W151:W157)</f>
        <v>26</v>
      </c>
      <c r="X158" s="5">
        <f>SUM(X151:X157)</f>
        <v>20</v>
      </c>
      <c r="Y158" s="5">
        <f>SUM(Y151:Y157)</f>
        <v>26</v>
      </c>
      <c r="Z158" s="5">
        <f>SUM(Z151:Z157)</f>
        <v>6</v>
      </c>
      <c r="AA158" s="5">
        <f>SUM(AA151:AA157)</f>
        <v>6</v>
      </c>
      <c r="AB158" s="5">
        <f>SUM(AB151:AB157)</f>
        <v>12</v>
      </c>
      <c r="AC158" s="5">
        <f>SUM(AC151:AC157)</f>
        <v>22</v>
      </c>
      <c r="AD158" s="5">
        <f>SUM(AD151:AD157)</f>
        <v>31</v>
      </c>
      <c r="AE158" s="5">
        <f>SUM(AE151:AE157)</f>
        <v>71</v>
      </c>
      <c r="AF158" s="5">
        <f>SUM(AF151:AF157)</f>
        <v>64</v>
      </c>
      <c r="AG158" s="5">
        <f>SUM(AG151:AG157)</f>
        <v>59</v>
      </c>
      <c r="AH158" s="5">
        <f>SUM(AH151:AH157)</f>
        <v>73</v>
      </c>
      <c r="AI158" s="5">
        <f>SUM(AI151:AI157)</f>
        <v>91</v>
      </c>
      <c r="AJ158" s="5">
        <f>SUM(AJ151:AJ157)</f>
        <v>97</v>
      </c>
      <c r="AK158" s="5">
        <f>SUM(AK151:AK157)</f>
        <v>150</v>
      </c>
      <c r="AL158" s="5">
        <f>SUM(AL151:AL157)</f>
        <v>99</v>
      </c>
      <c r="AM158" s="5">
        <f>SUM(AM151:AM157)</f>
        <v>1713</v>
      </c>
    </row>
    <row r="159" spans="1:39" x14ac:dyDescent="0.4">
      <c r="A159" s="61"/>
      <c r="B159" s="62"/>
      <c r="C159" s="62"/>
      <c r="D159" s="62"/>
      <c r="E159" s="63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</row>
    <row r="160" spans="1:39" x14ac:dyDescent="0.4">
      <c r="A160" s="11" t="s">
        <v>48</v>
      </c>
      <c r="B160" s="17" t="s">
        <v>75</v>
      </c>
      <c r="C160" s="59" t="s">
        <v>76</v>
      </c>
      <c r="D160" s="60"/>
      <c r="E160" s="6">
        <v>5</v>
      </c>
      <c r="F160" s="6">
        <v>0</v>
      </c>
      <c r="G160" s="6">
        <v>1</v>
      </c>
      <c r="H160" s="6">
        <v>0</v>
      </c>
      <c r="I160" s="6">
        <v>2</v>
      </c>
      <c r="J160" s="6">
        <v>1</v>
      </c>
      <c r="K160" s="6">
        <v>0</v>
      </c>
      <c r="L160" s="6">
        <v>2</v>
      </c>
      <c r="M160" s="6">
        <v>2</v>
      </c>
      <c r="N160" s="6">
        <v>0</v>
      </c>
      <c r="O160" s="6">
        <v>0</v>
      </c>
      <c r="P160" s="6">
        <v>0</v>
      </c>
      <c r="Q160" s="6">
        <v>1</v>
      </c>
      <c r="R160" s="6">
        <v>0</v>
      </c>
      <c r="S160" s="6">
        <v>2</v>
      </c>
      <c r="T160" s="6">
        <v>2</v>
      </c>
      <c r="U160" s="6">
        <v>2</v>
      </c>
      <c r="V160" s="6">
        <v>2</v>
      </c>
      <c r="W160" s="6">
        <v>3</v>
      </c>
      <c r="X160" s="6">
        <v>2</v>
      </c>
      <c r="Y160" s="6">
        <v>1</v>
      </c>
      <c r="Z160" s="6">
        <v>1</v>
      </c>
      <c r="AA160" s="6">
        <v>0</v>
      </c>
      <c r="AB160" s="6">
        <v>0</v>
      </c>
      <c r="AC160" s="6">
        <v>4</v>
      </c>
      <c r="AD160" s="6">
        <v>1</v>
      </c>
      <c r="AE160" s="6">
        <v>1</v>
      </c>
      <c r="AF160" s="6">
        <v>2</v>
      </c>
      <c r="AG160" s="6">
        <v>1</v>
      </c>
      <c r="AH160" s="6">
        <v>0</v>
      </c>
      <c r="AI160" s="6">
        <v>2</v>
      </c>
      <c r="AJ160" s="6">
        <v>0</v>
      </c>
      <c r="AK160" s="6">
        <v>2</v>
      </c>
      <c r="AL160" s="6">
        <v>0</v>
      </c>
      <c r="AM160" s="5">
        <f>SUM(E160:AL160)</f>
        <v>42</v>
      </c>
    </row>
    <row r="161" spans="1:39" x14ac:dyDescent="0.4">
      <c r="A161" s="11" t="s">
        <v>50</v>
      </c>
      <c r="B161" s="46"/>
      <c r="C161" s="24" t="s">
        <v>178</v>
      </c>
      <c r="D161" s="47"/>
      <c r="E161" s="6">
        <v>1</v>
      </c>
      <c r="F161" s="6">
        <v>3</v>
      </c>
      <c r="G161" s="6">
        <v>1</v>
      </c>
      <c r="H161" s="6">
        <v>0</v>
      </c>
      <c r="I161" s="6">
        <v>0</v>
      </c>
      <c r="J161" s="6">
        <v>0</v>
      </c>
      <c r="K161" s="6">
        <v>3</v>
      </c>
      <c r="L161" s="6">
        <v>2</v>
      </c>
      <c r="M161" s="6">
        <v>0</v>
      </c>
      <c r="N161" s="6">
        <v>1</v>
      </c>
      <c r="O161" s="6">
        <v>1</v>
      </c>
      <c r="P161" s="6">
        <v>1</v>
      </c>
      <c r="Q161" s="6">
        <v>3</v>
      </c>
      <c r="R161" s="6">
        <v>2</v>
      </c>
      <c r="S161" s="6">
        <v>2</v>
      </c>
      <c r="T161" s="6">
        <v>1</v>
      </c>
      <c r="U161" s="6">
        <v>1</v>
      </c>
      <c r="V161" s="6">
        <v>1</v>
      </c>
      <c r="W161" s="6">
        <v>2</v>
      </c>
      <c r="X161" s="6">
        <v>0</v>
      </c>
      <c r="Y161" s="6">
        <v>3</v>
      </c>
      <c r="Z161" s="6">
        <v>0</v>
      </c>
      <c r="AA161" s="6">
        <v>3</v>
      </c>
      <c r="AB161" s="6">
        <v>2</v>
      </c>
      <c r="AC161" s="6">
        <v>2</v>
      </c>
      <c r="AD161" s="6">
        <v>1</v>
      </c>
      <c r="AE161" s="6">
        <v>2</v>
      </c>
      <c r="AF161" s="6">
        <v>1</v>
      </c>
      <c r="AG161" s="6">
        <v>1</v>
      </c>
      <c r="AH161" s="6">
        <v>1</v>
      </c>
      <c r="AI161" s="6">
        <v>1</v>
      </c>
      <c r="AJ161" s="6">
        <v>5</v>
      </c>
      <c r="AK161" s="6">
        <v>2</v>
      </c>
      <c r="AL161" s="6">
        <v>0</v>
      </c>
      <c r="AM161" s="5">
        <f>SUM(E161:AL161)</f>
        <v>49</v>
      </c>
    </row>
    <row r="162" spans="1:39" x14ac:dyDescent="0.4">
      <c r="A162" s="7"/>
      <c r="B162" s="46"/>
      <c r="C162" s="24" t="s">
        <v>179</v>
      </c>
      <c r="D162" s="47"/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1</v>
      </c>
      <c r="N162" s="6">
        <v>0</v>
      </c>
      <c r="O162" s="6">
        <v>0</v>
      </c>
      <c r="P162" s="6">
        <v>0</v>
      </c>
      <c r="Q162" s="6">
        <v>1</v>
      </c>
      <c r="R162" s="6">
        <v>0</v>
      </c>
      <c r="S162" s="6">
        <v>0</v>
      </c>
      <c r="T162" s="6">
        <v>0</v>
      </c>
      <c r="U162" s="6">
        <v>0</v>
      </c>
      <c r="V162" s="6">
        <v>1</v>
      </c>
      <c r="W162" s="6">
        <v>2</v>
      </c>
      <c r="X162" s="6">
        <v>0</v>
      </c>
      <c r="Y162" s="6">
        <v>0</v>
      </c>
      <c r="Z162" s="6">
        <v>0</v>
      </c>
      <c r="AA162" s="6">
        <v>0</v>
      </c>
      <c r="AB162" s="6">
        <v>1</v>
      </c>
      <c r="AC162" s="6">
        <v>1</v>
      </c>
      <c r="AD162" s="6">
        <v>0</v>
      </c>
      <c r="AE162" s="6">
        <v>2</v>
      </c>
      <c r="AF162" s="6">
        <v>1</v>
      </c>
      <c r="AG162" s="6">
        <v>3</v>
      </c>
      <c r="AH162" s="6">
        <v>0</v>
      </c>
      <c r="AI162" s="6">
        <v>1</v>
      </c>
      <c r="AJ162" s="6">
        <v>1</v>
      </c>
      <c r="AK162" s="6">
        <v>0</v>
      </c>
      <c r="AL162" s="6">
        <v>1</v>
      </c>
      <c r="AM162" s="5">
        <f t="shared" ref="AM162" si="49">SUM(E162:AL162)</f>
        <v>16</v>
      </c>
    </row>
    <row r="163" spans="1:39" x14ac:dyDescent="0.4">
      <c r="A163" s="6" t="s">
        <v>26</v>
      </c>
      <c r="B163" s="53" t="s">
        <v>51</v>
      </c>
      <c r="C163" s="54"/>
      <c r="D163" s="55"/>
      <c r="E163" s="5">
        <f>SUM(E160:E162)</f>
        <v>6</v>
      </c>
      <c r="F163" s="5">
        <f>SUM(F160:F162)</f>
        <v>3</v>
      </c>
      <c r="G163" s="5">
        <f>SUM(G160:G162)</f>
        <v>2</v>
      </c>
      <c r="H163" s="5">
        <f>SUM(H160:H162)</f>
        <v>0</v>
      </c>
      <c r="I163" s="5">
        <f>SUM(I160:I162)</f>
        <v>2</v>
      </c>
      <c r="J163" s="5">
        <f>SUM(J160:J162)</f>
        <v>1</v>
      </c>
      <c r="K163" s="5">
        <f>SUM(K160:K162)</f>
        <v>3</v>
      </c>
      <c r="L163" s="5">
        <f>SUM(L160:L162)</f>
        <v>4</v>
      </c>
      <c r="M163" s="5">
        <f>SUM(M160:M162)</f>
        <v>3</v>
      </c>
      <c r="N163" s="5">
        <f>SUM(N160:N162)</f>
        <v>1</v>
      </c>
      <c r="O163" s="5">
        <f>SUM(O160:O162)</f>
        <v>1</v>
      </c>
      <c r="P163" s="5">
        <f>SUM(P160:P162)</f>
        <v>1</v>
      </c>
      <c r="Q163" s="5">
        <f>SUM(Q160:Q162)</f>
        <v>5</v>
      </c>
      <c r="R163" s="5">
        <f>SUM(R160:R162)</f>
        <v>2</v>
      </c>
      <c r="S163" s="5">
        <f>SUM(S160:S162)</f>
        <v>4</v>
      </c>
      <c r="T163" s="5">
        <f>SUM(T160:T162)</f>
        <v>3</v>
      </c>
      <c r="U163" s="5">
        <f>SUM(U160:U162)</f>
        <v>3</v>
      </c>
      <c r="V163" s="5">
        <f>SUM(V160:V162)</f>
        <v>4</v>
      </c>
      <c r="W163" s="5">
        <f>SUM(W160:W162)</f>
        <v>7</v>
      </c>
      <c r="X163" s="5">
        <f>SUM(X160:X162)</f>
        <v>2</v>
      </c>
      <c r="Y163" s="5">
        <f>SUM(Y160:Y162)</f>
        <v>4</v>
      </c>
      <c r="Z163" s="5">
        <f>SUM(Z160:Z162)</f>
        <v>1</v>
      </c>
      <c r="AA163" s="5">
        <f>SUM(AA160:AA162)</f>
        <v>3</v>
      </c>
      <c r="AB163" s="5">
        <f>SUM(AB160:AB162)</f>
        <v>3</v>
      </c>
      <c r="AC163" s="5">
        <f>SUM(AC160:AC162)</f>
        <v>7</v>
      </c>
      <c r="AD163" s="5">
        <f>SUM(AD160:AD162)</f>
        <v>2</v>
      </c>
      <c r="AE163" s="5">
        <f>SUM(AE160:AE162)</f>
        <v>5</v>
      </c>
      <c r="AF163" s="5">
        <f>SUM(AF160:AF162)</f>
        <v>4</v>
      </c>
      <c r="AG163" s="5">
        <f>SUM(AG160:AG162)</f>
        <v>5</v>
      </c>
      <c r="AH163" s="5">
        <f>SUM(AH160:AH162)</f>
        <v>1</v>
      </c>
      <c r="AI163" s="5">
        <f>SUM(AI160:AI162)</f>
        <v>4</v>
      </c>
      <c r="AJ163" s="5">
        <f>SUM(AJ160:AJ162)</f>
        <v>6</v>
      </c>
      <c r="AK163" s="5">
        <f>SUM(AK160:AK162)</f>
        <v>4</v>
      </c>
      <c r="AL163" s="5">
        <f>SUM(AL160:AL162)</f>
        <v>1</v>
      </c>
      <c r="AM163" s="5">
        <f>SUM(AM160:AM162)</f>
        <v>107</v>
      </c>
    </row>
    <row r="164" spans="1:39" x14ac:dyDescent="0.4">
      <c r="A164" s="61"/>
      <c r="B164" s="62"/>
      <c r="C164" s="62"/>
      <c r="D164" s="62"/>
      <c r="E164" s="6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</row>
    <row r="165" spans="1:39" x14ac:dyDescent="0.4">
      <c r="A165" s="11" t="s">
        <v>48</v>
      </c>
      <c r="B165" s="17" t="s">
        <v>77</v>
      </c>
      <c r="C165" s="59" t="s">
        <v>78</v>
      </c>
      <c r="D165" s="60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1</v>
      </c>
      <c r="P165" s="6">
        <v>0</v>
      </c>
      <c r="Q165" s="6">
        <v>0</v>
      </c>
      <c r="R165" s="6">
        <v>0</v>
      </c>
      <c r="S165" s="6">
        <v>0</v>
      </c>
      <c r="T165" s="6">
        <v>1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1</v>
      </c>
      <c r="AD165" s="6">
        <v>0</v>
      </c>
      <c r="AE165" s="6">
        <v>1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5">
        <f>SUM(E165:AL165)</f>
        <v>4</v>
      </c>
    </row>
    <row r="166" spans="1:39" x14ac:dyDescent="0.4">
      <c r="A166" s="11" t="s">
        <v>50</v>
      </c>
      <c r="B166" s="17"/>
      <c r="C166" s="24" t="s">
        <v>180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1</v>
      </c>
      <c r="T166" s="6">
        <v>2</v>
      </c>
      <c r="U166" s="6">
        <v>2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1</v>
      </c>
      <c r="AK166" s="6">
        <v>3</v>
      </c>
      <c r="AL166" s="6">
        <v>0</v>
      </c>
      <c r="AM166" s="5">
        <f>SUM(E166:AL166)</f>
        <v>9</v>
      </c>
    </row>
    <row r="167" spans="1:39" x14ac:dyDescent="0.4">
      <c r="A167" s="7"/>
      <c r="B167" s="17"/>
      <c r="C167" s="24" t="s">
        <v>181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1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5">
        <f>SUM(E167:AL167)</f>
        <v>1</v>
      </c>
    </row>
    <row r="168" spans="1:39" x14ac:dyDescent="0.4">
      <c r="A168" s="7"/>
      <c r="B168" s="17"/>
      <c r="C168" s="24" t="s">
        <v>182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5">
        <f t="shared" ref="AM168:AM171" si="50">SUM(E168:AL168)</f>
        <v>0</v>
      </c>
    </row>
    <row r="169" spans="1:39" ht="13.15" customHeight="1" x14ac:dyDescent="0.4">
      <c r="A169" s="7"/>
      <c r="B169" s="46"/>
      <c r="C169" s="24" t="s">
        <v>183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3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1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5">
        <f t="shared" si="50"/>
        <v>4</v>
      </c>
    </row>
    <row r="170" spans="1:39" x14ac:dyDescent="0.4">
      <c r="A170" s="7"/>
      <c r="B170" s="46"/>
      <c r="C170" s="24" t="s">
        <v>184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5">
        <f t="shared" si="50"/>
        <v>0</v>
      </c>
    </row>
    <row r="171" spans="1:39" x14ac:dyDescent="0.4">
      <c r="A171" s="7"/>
      <c r="B171" s="46"/>
      <c r="C171" s="24" t="s">
        <v>185</v>
      </c>
      <c r="D171" s="47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1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5">
        <f t="shared" si="50"/>
        <v>1</v>
      </c>
    </row>
    <row r="172" spans="1:39" x14ac:dyDescent="0.4">
      <c r="A172" s="6" t="s">
        <v>26</v>
      </c>
      <c r="B172" s="53" t="s">
        <v>51</v>
      </c>
      <c r="C172" s="54"/>
      <c r="D172" s="55"/>
      <c r="E172" s="5">
        <f>SUM(E165:E171)</f>
        <v>0</v>
      </c>
      <c r="F172" s="5">
        <f>SUM(F165:F171)</f>
        <v>0</v>
      </c>
      <c r="G172" s="5">
        <f>SUM(G165:G171)</f>
        <v>0</v>
      </c>
      <c r="H172" s="5">
        <f>SUM(H165:H171)</f>
        <v>0</v>
      </c>
      <c r="I172" s="5">
        <f>SUM(I165:I171)</f>
        <v>0</v>
      </c>
      <c r="J172" s="5">
        <f>SUM(J165:J171)</f>
        <v>0</v>
      </c>
      <c r="K172" s="5">
        <f>SUM(K165:K171)</f>
        <v>0</v>
      </c>
      <c r="L172" s="5">
        <f>SUM(L165:L171)</f>
        <v>0</v>
      </c>
      <c r="M172" s="5">
        <f>SUM(M165:M171)</f>
        <v>0</v>
      </c>
      <c r="N172" s="5">
        <f>SUM(N165:N171)</f>
        <v>3</v>
      </c>
      <c r="O172" s="5">
        <f>SUM(O165:O171)</f>
        <v>1</v>
      </c>
      <c r="P172" s="5">
        <f>SUM(P165:P171)</f>
        <v>0</v>
      </c>
      <c r="Q172" s="5">
        <f>SUM(Q165:Q171)</f>
        <v>0</v>
      </c>
      <c r="R172" s="5">
        <f>SUM(R165:R171)</f>
        <v>0</v>
      </c>
      <c r="S172" s="5">
        <f>SUM(S165:S171)</f>
        <v>1</v>
      </c>
      <c r="T172" s="5">
        <f>SUM(T165:T171)</f>
        <v>3</v>
      </c>
      <c r="U172" s="5">
        <f>SUM(U165:U171)</f>
        <v>3</v>
      </c>
      <c r="V172" s="5">
        <f>SUM(V165:V171)</f>
        <v>1</v>
      </c>
      <c r="W172" s="5">
        <f>SUM(W165:W171)</f>
        <v>0</v>
      </c>
      <c r="X172" s="5">
        <f>SUM(X165:X171)</f>
        <v>0</v>
      </c>
      <c r="Y172" s="5">
        <f>SUM(Y165:Y171)</f>
        <v>0</v>
      </c>
      <c r="Z172" s="5">
        <f>SUM(Z165:Z171)</f>
        <v>0</v>
      </c>
      <c r="AA172" s="5">
        <f>SUM(AA165:AA171)</f>
        <v>0</v>
      </c>
      <c r="AB172" s="5">
        <f>SUM(AB165:AB171)</f>
        <v>1</v>
      </c>
      <c r="AC172" s="5">
        <f>SUM(AC165:AC171)</f>
        <v>1</v>
      </c>
      <c r="AD172" s="5">
        <f>SUM(AD165:AD171)</f>
        <v>0</v>
      </c>
      <c r="AE172" s="5">
        <f>SUM(AE165:AE171)</f>
        <v>1</v>
      </c>
      <c r="AF172" s="5">
        <f>SUM(AF165:AF171)</f>
        <v>0</v>
      </c>
      <c r="AG172" s="5">
        <f>SUM(AG165:AG171)</f>
        <v>0</v>
      </c>
      <c r="AH172" s="5">
        <f>SUM(AH165:AH171)</f>
        <v>0</v>
      </c>
      <c r="AI172" s="5">
        <f>SUM(AI165:AI171)</f>
        <v>0</v>
      </c>
      <c r="AJ172" s="5">
        <f>SUM(AJ165:AJ171)</f>
        <v>1</v>
      </c>
      <c r="AK172" s="5">
        <f>SUM(AK165:AK171)</f>
        <v>3</v>
      </c>
      <c r="AL172" s="5">
        <f>SUM(AL165:AL171)</f>
        <v>0</v>
      </c>
      <c r="AM172" s="5">
        <f>SUM(AM165:AM171)</f>
        <v>19</v>
      </c>
    </row>
    <row r="173" spans="1:39" x14ac:dyDescent="0.4">
      <c r="A173" s="61"/>
      <c r="B173" s="62"/>
      <c r="C173" s="62"/>
      <c r="D173" s="62"/>
      <c r="E173" s="63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</row>
    <row r="174" spans="1:39" x14ac:dyDescent="0.4">
      <c r="A174" s="11" t="s">
        <v>48</v>
      </c>
      <c r="B174" s="17" t="s">
        <v>79</v>
      </c>
      <c r="C174" s="59" t="s">
        <v>80</v>
      </c>
      <c r="D174" s="60"/>
      <c r="E174" s="6">
        <v>0</v>
      </c>
      <c r="F174" s="6">
        <v>0</v>
      </c>
      <c r="G174" s="6">
        <v>3</v>
      </c>
      <c r="H174" s="6">
        <v>0</v>
      </c>
      <c r="I174" s="6">
        <v>0</v>
      </c>
      <c r="J174" s="6">
        <v>0</v>
      </c>
      <c r="K174" s="6">
        <v>0</v>
      </c>
      <c r="L174" s="6">
        <v>1</v>
      </c>
      <c r="M174" s="6">
        <v>1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1</v>
      </c>
      <c r="W174" s="6">
        <v>0</v>
      </c>
      <c r="X174" s="6">
        <v>0</v>
      </c>
      <c r="Y174" s="6">
        <v>0</v>
      </c>
      <c r="Z174" s="6">
        <v>3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1</v>
      </c>
      <c r="AG174" s="6">
        <v>0</v>
      </c>
      <c r="AH174" s="6">
        <v>1</v>
      </c>
      <c r="AI174" s="6">
        <v>1</v>
      </c>
      <c r="AJ174" s="6">
        <v>1</v>
      </c>
      <c r="AK174" s="6">
        <v>3</v>
      </c>
      <c r="AL174" s="6">
        <v>1</v>
      </c>
      <c r="AM174" s="5">
        <f t="shared" ref="AM174:AM180" si="51">SUM(E174:AL174)</f>
        <v>17</v>
      </c>
    </row>
    <row r="175" spans="1:39" x14ac:dyDescent="0.4">
      <c r="A175" s="11" t="s">
        <v>50</v>
      </c>
      <c r="B175" s="46"/>
      <c r="C175" s="24" t="s">
        <v>186</v>
      </c>
      <c r="D175" s="47"/>
      <c r="E175" s="6">
        <v>0</v>
      </c>
      <c r="F175" s="6">
        <v>1</v>
      </c>
      <c r="G175" s="6">
        <v>1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1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1</v>
      </c>
      <c r="T175" s="6">
        <v>1</v>
      </c>
      <c r="U175" s="6">
        <v>0</v>
      </c>
      <c r="V175" s="6">
        <v>0</v>
      </c>
      <c r="W175" s="6">
        <v>0</v>
      </c>
      <c r="X175" s="6">
        <v>0</v>
      </c>
      <c r="Y175" s="6">
        <v>2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0</v>
      </c>
      <c r="AL175" s="6">
        <v>1</v>
      </c>
      <c r="AM175" s="5">
        <f t="shared" si="51"/>
        <v>9</v>
      </c>
    </row>
    <row r="176" spans="1:39" x14ac:dyDescent="0.4">
      <c r="A176" s="7"/>
      <c r="B176" s="46"/>
      <c r="C176" s="24" t="s">
        <v>187</v>
      </c>
      <c r="D176" s="47"/>
      <c r="E176" s="6">
        <v>1</v>
      </c>
      <c r="F176" s="6">
        <v>2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4</v>
      </c>
      <c r="M176" s="6">
        <v>7</v>
      </c>
      <c r="N176" s="6">
        <v>8</v>
      </c>
      <c r="O176" s="6">
        <v>1</v>
      </c>
      <c r="P176" s="6">
        <v>0</v>
      </c>
      <c r="Q176" s="6">
        <v>1</v>
      </c>
      <c r="R176" s="6">
        <v>3</v>
      </c>
      <c r="S176" s="6">
        <v>0</v>
      </c>
      <c r="T176" s="6">
        <v>1</v>
      </c>
      <c r="U176" s="6">
        <v>5</v>
      </c>
      <c r="V176" s="6">
        <v>2</v>
      </c>
      <c r="W176" s="6">
        <v>3</v>
      </c>
      <c r="X176" s="6">
        <v>1</v>
      </c>
      <c r="Y176" s="6">
        <v>23</v>
      </c>
      <c r="Z176" s="6">
        <v>7</v>
      </c>
      <c r="AA176" s="6">
        <v>22</v>
      </c>
      <c r="AB176" s="6">
        <v>22</v>
      </c>
      <c r="AC176" s="6">
        <v>17</v>
      </c>
      <c r="AD176" s="6">
        <v>11</v>
      </c>
      <c r="AE176" s="6">
        <v>0</v>
      </c>
      <c r="AF176" s="6">
        <v>1</v>
      </c>
      <c r="AG176" s="6">
        <v>3</v>
      </c>
      <c r="AH176" s="6">
        <v>1</v>
      </c>
      <c r="AI176" s="6">
        <v>2</v>
      </c>
      <c r="AJ176" s="6">
        <v>1</v>
      </c>
      <c r="AK176" s="6">
        <v>0</v>
      </c>
      <c r="AL176" s="6">
        <v>2</v>
      </c>
      <c r="AM176" s="5">
        <f t="shared" si="51"/>
        <v>151</v>
      </c>
    </row>
    <row r="177" spans="1:39" ht="13.15" customHeight="1" x14ac:dyDescent="0.4">
      <c r="A177" s="7"/>
      <c r="B177" s="46"/>
      <c r="C177" s="24" t="s">
        <v>188</v>
      </c>
      <c r="D177" s="47"/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1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1</v>
      </c>
      <c r="AB177" s="6">
        <v>0</v>
      </c>
      <c r="AC177" s="6">
        <v>0</v>
      </c>
      <c r="AD177" s="6">
        <v>0</v>
      </c>
      <c r="AE177" s="6">
        <v>3</v>
      </c>
      <c r="AF177" s="6">
        <v>0</v>
      </c>
      <c r="AG177" s="6">
        <v>2</v>
      </c>
      <c r="AH177" s="6">
        <v>0</v>
      </c>
      <c r="AI177" s="6">
        <v>0</v>
      </c>
      <c r="AJ177" s="6">
        <v>2</v>
      </c>
      <c r="AK177" s="6">
        <v>0</v>
      </c>
      <c r="AL177" s="6">
        <v>1</v>
      </c>
      <c r="AM177" s="5">
        <f t="shared" si="51"/>
        <v>10</v>
      </c>
    </row>
    <row r="178" spans="1:39" x14ac:dyDescent="0.4">
      <c r="A178" s="7"/>
      <c r="B178" s="46"/>
      <c r="C178" s="24" t="s">
        <v>189</v>
      </c>
      <c r="D178" s="47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1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5">
        <f t="shared" si="51"/>
        <v>1</v>
      </c>
    </row>
    <row r="179" spans="1:39" ht="12.75" customHeight="1" x14ac:dyDescent="0.4">
      <c r="A179" s="7"/>
      <c r="B179" s="46"/>
      <c r="C179" s="24" t="s">
        <v>190</v>
      </c>
      <c r="D179" s="47"/>
      <c r="E179" s="6">
        <v>1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1</v>
      </c>
      <c r="U179" s="6">
        <v>2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1</v>
      </c>
      <c r="AM179" s="5">
        <f t="shared" si="51"/>
        <v>5</v>
      </c>
    </row>
    <row r="180" spans="1:39" x14ac:dyDescent="0.4">
      <c r="A180" s="7"/>
      <c r="B180" s="46"/>
      <c r="C180" s="24" t="s">
        <v>191</v>
      </c>
      <c r="D180" s="47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1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5">
        <f t="shared" si="51"/>
        <v>1</v>
      </c>
    </row>
    <row r="181" spans="1:39" ht="12.75" customHeight="1" x14ac:dyDescent="0.4">
      <c r="A181" s="6" t="s">
        <v>26</v>
      </c>
      <c r="B181" s="53" t="s">
        <v>51</v>
      </c>
      <c r="C181" s="54"/>
      <c r="D181" s="55"/>
      <c r="E181" s="5">
        <f>SUM(E174:E180)</f>
        <v>2</v>
      </c>
      <c r="F181" s="5">
        <f>SUM(F174:F180)</f>
        <v>3</v>
      </c>
      <c r="G181" s="5">
        <f>SUM(G174:G180)</f>
        <v>4</v>
      </c>
      <c r="H181" s="5">
        <f>SUM(H174:H180)</f>
        <v>0</v>
      </c>
      <c r="I181" s="5">
        <f>SUM(I174:I180)</f>
        <v>0</v>
      </c>
      <c r="J181" s="5">
        <f>SUM(J174:J180)</f>
        <v>0</v>
      </c>
      <c r="K181" s="5">
        <f>SUM(K174:K180)</f>
        <v>0</v>
      </c>
      <c r="L181" s="5">
        <f>SUM(L174:L180)</f>
        <v>5</v>
      </c>
      <c r="M181" s="5">
        <f>SUM(M174:M180)</f>
        <v>10</v>
      </c>
      <c r="N181" s="5">
        <f>SUM(N174:N180)</f>
        <v>8</v>
      </c>
      <c r="O181" s="5">
        <f>SUM(O174:O180)</f>
        <v>1</v>
      </c>
      <c r="P181" s="5">
        <f>SUM(P174:P180)</f>
        <v>0</v>
      </c>
      <c r="Q181" s="5">
        <f>SUM(Q174:Q180)</f>
        <v>2</v>
      </c>
      <c r="R181" s="5">
        <f>SUM(R174:R180)</f>
        <v>3</v>
      </c>
      <c r="S181" s="5">
        <f>SUM(S174:S180)</f>
        <v>1</v>
      </c>
      <c r="T181" s="5">
        <f>SUM(T174:T180)</f>
        <v>3</v>
      </c>
      <c r="U181" s="5">
        <f>SUM(U174:U180)</f>
        <v>7</v>
      </c>
      <c r="V181" s="5">
        <f>SUM(V174:V180)</f>
        <v>3</v>
      </c>
      <c r="W181" s="5">
        <f>SUM(W174:W180)</f>
        <v>3</v>
      </c>
      <c r="X181" s="5">
        <f>SUM(X174:X180)</f>
        <v>1</v>
      </c>
      <c r="Y181" s="5">
        <f>SUM(Y174:Y180)</f>
        <v>25</v>
      </c>
      <c r="Z181" s="5">
        <f>SUM(Z174:Z180)</f>
        <v>10</v>
      </c>
      <c r="AA181" s="5">
        <f>SUM(AA174:AA180)</f>
        <v>23</v>
      </c>
      <c r="AB181" s="5">
        <f>SUM(AB174:AB180)</f>
        <v>22</v>
      </c>
      <c r="AC181" s="5">
        <f>SUM(AC174:AC180)</f>
        <v>17</v>
      </c>
      <c r="AD181" s="5">
        <f>SUM(AD174:AD180)</f>
        <v>11</v>
      </c>
      <c r="AE181" s="5">
        <f>SUM(AE174:AE180)</f>
        <v>4</v>
      </c>
      <c r="AF181" s="5">
        <f>SUM(AF174:AF180)</f>
        <v>2</v>
      </c>
      <c r="AG181" s="5">
        <f>SUM(AG174:AG180)</f>
        <v>5</v>
      </c>
      <c r="AH181" s="5">
        <f>SUM(AH174:AH180)</f>
        <v>3</v>
      </c>
      <c r="AI181" s="5">
        <f>SUM(AI174:AI180)</f>
        <v>3</v>
      </c>
      <c r="AJ181" s="5">
        <f>SUM(AJ174:AJ180)</f>
        <v>4</v>
      </c>
      <c r="AK181" s="5">
        <f>SUM(AK174:AK180)</f>
        <v>3</v>
      </c>
      <c r="AL181" s="5">
        <f>SUM(AL174:AL180)</f>
        <v>6</v>
      </c>
      <c r="AM181" s="5">
        <f>SUM(AM174:AM180)</f>
        <v>194</v>
      </c>
    </row>
    <row r="182" spans="1:39" x14ac:dyDescent="0.4">
      <c r="A182" s="61"/>
      <c r="B182" s="62"/>
      <c r="C182" s="62"/>
      <c r="D182" s="62"/>
      <c r="E182" s="63"/>
    </row>
    <row r="183" spans="1:39" x14ac:dyDescent="0.4">
      <c r="A183" s="11" t="s">
        <v>48</v>
      </c>
      <c r="B183" s="17" t="s">
        <v>81</v>
      </c>
      <c r="C183" s="59" t="s">
        <v>82</v>
      </c>
      <c r="D183" s="60"/>
      <c r="E183" s="6">
        <v>0</v>
      </c>
      <c r="F183" s="6">
        <v>2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2</v>
      </c>
      <c r="N183" s="6">
        <v>0</v>
      </c>
      <c r="O183" s="6">
        <v>0</v>
      </c>
      <c r="P183" s="6">
        <v>1</v>
      </c>
      <c r="Q183" s="6">
        <v>0</v>
      </c>
      <c r="R183" s="6">
        <v>2</v>
      </c>
      <c r="S183" s="6">
        <v>0</v>
      </c>
      <c r="T183" s="6">
        <v>0</v>
      </c>
      <c r="U183" s="6">
        <v>0</v>
      </c>
      <c r="V183" s="6">
        <v>0</v>
      </c>
      <c r="W183" s="6">
        <v>1</v>
      </c>
      <c r="X183" s="6">
        <v>1</v>
      </c>
      <c r="Y183" s="6">
        <v>1</v>
      </c>
      <c r="Z183" s="6">
        <v>0</v>
      </c>
      <c r="AA183" s="6">
        <v>0</v>
      </c>
      <c r="AB183" s="6">
        <v>0</v>
      </c>
      <c r="AC183" s="6">
        <v>1</v>
      </c>
      <c r="AD183" s="6">
        <v>0</v>
      </c>
      <c r="AE183" s="6">
        <v>0</v>
      </c>
      <c r="AF183" s="6">
        <v>1</v>
      </c>
      <c r="AG183" s="6">
        <v>1</v>
      </c>
      <c r="AH183" s="6">
        <v>3</v>
      </c>
      <c r="AI183" s="6">
        <v>0</v>
      </c>
      <c r="AJ183" s="6">
        <v>0</v>
      </c>
      <c r="AK183" s="6">
        <v>0</v>
      </c>
      <c r="AL183" s="6">
        <v>0</v>
      </c>
      <c r="AM183" s="5">
        <f>SUM(E183:AL183)</f>
        <v>16</v>
      </c>
    </row>
    <row r="184" spans="1:39" x14ac:dyDescent="0.4">
      <c r="A184" s="11" t="s">
        <v>50</v>
      </c>
      <c r="B184" s="46"/>
      <c r="C184" s="24" t="s">
        <v>192</v>
      </c>
      <c r="D184" s="47"/>
      <c r="E184" s="6">
        <v>9</v>
      </c>
      <c r="F184" s="6">
        <v>5</v>
      </c>
      <c r="G184" s="6">
        <v>0</v>
      </c>
      <c r="H184" s="6">
        <v>2</v>
      </c>
      <c r="I184" s="6">
        <v>1</v>
      </c>
      <c r="J184" s="6">
        <v>0</v>
      </c>
      <c r="K184" s="6">
        <v>0</v>
      </c>
      <c r="L184" s="6">
        <v>1</v>
      </c>
      <c r="M184" s="6">
        <v>9</v>
      </c>
      <c r="N184" s="6">
        <v>3</v>
      </c>
      <c r="O184" s="6">
        <v>4</v>
      </c>
      <c r="P184" s="6">
        <v>0</v>
      </c>
      <c r="Q184" s="6">
        <v>0</v>
      </c>
      <c r="R184" s="6">
        <v>7</v>
      </c>
      <c r="S184" s="6">
        <v>1</v>
      </c>
      <c r="T184" s="6">
        <v>1</v>
      </c>
      <c r="U184" s="6">
        <v>0</v>
      </c>
      <c r="V184" s="6">
        <v>1</v>
      </c>
      <c r="W184" s="6">
        <v>2</v>
      </c>
      <c r="X184" s="6">
        <v>2</v>
      </c>
      <c r="Y184" s="6">
        <v>0</v>
      </c>
      <c r="Z184" s="6">
        <v>0</v>
      </c>
      <c r="AA184" s="6">
        <v>0</v>
      </c>
      <c r="AB184" s="6">
        <v>0</v>
      </c>
      <c r="AC184" s="6">
        <v>1</v>
      </c>
      <c r="AD184" s="6">
        <v>3</v>
      </c>
      <c r="AE184" s="6">
        <v>0</v>
      </c>
      <c r="AF184" s="6">
        <v>5</v>
      </c>
      <c r="AG184" s="6">
        <v>2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5">
        <f>SUM(E184:AL184)</f>
        <v>59</v>
      </c>
    </row>
    <row r="185" spans="1:39" x14ac:dyDescent="0.4">
      <c r="A185" s="6" t="s">
        <v>26</v>
      </c>
      <c r="B185" s="53" t="s">
        <v>51</v>
      </c>
      <c r="C185" s="54"/>
      <c r="D185" s="55"/>
      <c r="E185" s="5">
        <f>SUM(E183:E184)</f>
        <v>9</v>
      </c>
      <c r="F185" s="5">
        <f>SUM(F183:F184)</f>
        <v>7</v>
      </c>
      <c r="G185" s="5">
        <f>SUM(G183:G184)</f>
        <v>0</v>
      </c>
      <c r="H185" s="5">
        <f>SUM(H183:H184)</f>
        <v>2</v>
      </c>
      <c r="I185" s="5">
        <f>SUM(I183:I184)</f>
        <v>1</v>
      </c>
      <c r="J185" s="5">
        <f>SUM(J183:J184)</f>
        <v>0</v>
      </c>
      <c r="K185" s="5">
        <f>SUM(K183:K184)</f>
        <v>0</v>
      </c>
      <c r="L185" s="5">
        <f>SUM(L183:L184)</f>
        <v>1</v>
      </c>
      <c r="M185" s="5">
        <f>SUM(M183:M184)</f>
        <v>11</v>
      </c>
      <c r="N185" s="5">
        <f>SUM(N183:N184)</f>
        <v>3</v>
      </c>
      <c r="O185" s="5">
        <f>SUM(O183:O184)</f>
        <v>4</v>
      </c>
      <c r="P185" s="5">
        <f>SUM(P183:P184)</f>
        <v>1</v>
      </c>
      <c r="Q185" s="5">
        <f>SUM(Q183:Q184)</f>
        <v>0</v>
      </c>
      <c r="R185" s="5">
        <f>SUM(R183:R184)</f>
        <v>9</v>
      </c>
      <c r="S185" s="5">
        <f>SUM(S183:S184)</f>
        <v>1</v>
      </c>
      <c r="T185" s="5">
        <f>SUM(T183:T184)</f>
        <v>1</v>
      </c>
      <c r="U185" s="5">
        <f>SUM(U183:U184)</f>
        <v>0</v>
      </c>
      <c r="V185" s="5">
        <f>SUM(V183:V184)</f>
        <v>1</v>
      </c>
      <c r="W185" s="5">
        <f>SUM(W183:W184)</f>
        <v>3</v>
      </c>
      <c r="X185" s="5">
        <f>SUM(X183:X184)</f>
        <v>3</v>
      </c>
      <c r="Y185" s="5">
        <f>SUM(Y183:Y184)</f>
        <v>1</v>
      </c>
      <c r="Z185" s="5">
        <f>SUM(Z183:Z184)</f>
        <v>0</v>
      </c>
      <c r="AA185" s="5">
        <f>SUM(AA183:AA184)</f>
        <v>0</v>
      </c>
      <c r="AB185" s="5">
        <f>SUM(AB183:AB184)</f>
        <v>0</v>
      </c>
      <c r="AC185" s="5">
        <f>SUM(AC183:AC184)</f>
        <v>2</v>
      </c>
      <c r="AD185" s="5">
        <f>SUM(AD183:AD184)</f>
        <v>3</v>
      </c>
      <c r="AE185" s="5">
        <f>SUM(AE183:AE184)</f>
        <v>0</v>
      </c>
      <c r="AF185" s="5">
        <f>SUM(AF183:AF184)</f>
        <v>6</v>
      </c>
      <c r="AG185" s="5">
        <f>SUM(AG183:AG184)</f>
        <v>3</v>
      </c>
      <c r="AH185" s="5">
        <f>SUM(AH183:AH184)</f>
        <v>3</v>
      </c>
      <c r="AI185" s="5">
        <f>SUM(AI183:AI184)</f>
        <v>0</v>
      </c>
      <c r="AJ185" s="5">
        <f>SUM(AJ183:AJ184)</f>
        <v>0</v>
      </c>
      <c r="AK185" s="5">
        <f>SUM(AK183:AK184)</f>
        <v>0</v>
      </c>
      <c r="AL185" s="5">
        <f>SUM(AL183:AL184)</f>
        <v>0</v>
      </c>
      <c r="AM185" s="5">
        <f>SUM(AM183:AM184)</f>
        <v>75</v>
      </c>
    </row>
    <row r="187" spans="1:39" x14ac:dyDescent="0.4">
      <c r="A187" s="16" t="s">
        <v>83</v>
      </c>
      <c r="B187" s="56" t="s">
        <v>84</v>
      </c>
      <c r="C187" s="57"/>
      <c r="D187" s="58"/>
      <c r="E187" s="5"/>
      <c r="F187" s="5"/>
      <c r="G187" s="5"/>
      <c r="H187" s="5"/>
      <c r="I187" s="5"/>
      <c r="J187" s="5"/>
      <c r="K187" s="5"/>
      <c r="L187" s="5"/>
      <c r="M187" s="5"/>
      <c r="N187" s="15"/>
      <c r="O187" s="15"/>
      <c r="P187" s="15"/>
      <c r="Q187" s="15"/>
      <c r="R187" s="15"/>
      <c r="S187" s="5"/>
      <c r="T187" s="5"/>
      <c r="U187" s="5"/>
      <c r="V187" s="5"/>
      <c r="W187" s="5"/>
      <c r="X187" s="5"/>
      <c r="Y187" s="5"/>
      <c r="Z187" s="5"/>
      <c r="AA187" s="15"/>
      <c r="AB187" s="15"/>
      <c r="AC187" s="15"/>
      <c r="AD187" s="15"/>
      <c r="AE187" s="15"/>
      <c r="AF187" s="5"/>
      <c r="AG187" s="15"/>
      <c r="AH187" s="15"/>
      <c r="AI187" s="15"/>
      <c r="AJ187" s="15"/>
      <c r="AK187" s="15"/>
      <c r="AL187" s="15"/>
      <c r="AM187" s="5"/>
    </row>
    <row r="188" spans="1:39" x14ac:dyDescent="0.4">
      <c r="A188" s="16"/>
      <c r="B188" s="19" t="s">
        <v>85</v>
      </c>
      <c r="C188" s="51" t="s">
        <v>86</v>
      </c>
      <c r="D188" s="52"/>
      <c r="E188" s="6">
        <f>E52+E61+E70+E79+E88+E92+E101+E110+E119+E128+E131+E140+E149+E158+E163+E172+E181+E185</f>
        <v>180</v>
      </c>
      <c r="F188" s="6">
        <f>F52+F61+F70+F79+F88+F92+F101+F110+F119+F128+F131+F140+F149+F158+F163+F172+F181+F185</f>
        <v>195</v>
      </c>
      <c r="G188" s="6">
        <f>G52+G61+G70+G79+G88+G92+G101+G110+G119+G128+G131+G140+G149+G158+G163+G172+G181+G185</f>
        <v>165</v>
      </c>
      <c r="H188" s="6">
        <f>H52+H61+H70+H79+H88+H92+H101+H110+H119+H128+H131+H140+H149+H158+H163+H172+H181+H185</f>
        <v>182</v>
      </c>
      <c r="I188" s="6">
        <f>I52+I61+I70+I79+I88+I92+I101+I110+I119+I128+I131+I140+I149+I158+I163+I172+I181+I185</f>
        <v>208</v>
      </c>
      <c r="J188" s="6">
        <f>J52+J61+J70+J79+J88+J92+J101+J110+J119+J128+J131+J140+J149+J158+J163+J172+J181+J185</f>
        <v>171</v>
      </c>
      <c r="K188" s="6">
        <f>K52+K61+K70+K79+K88+K92+K101+K110+K119+K128+K131+K140+K149+K158+K163+K172+K181+K185</f>
        <v>179</v>
      </c>
      <c r="L188" s="6">
        <f>L52+L61+L70+L79+L88+L92+L101+L110+L119+L128+L131+L140+L149+L158+L163+L172+L181+L185</f>
        <v>181</v>
      </c>
      <c r="M188" s="6">
        <f>M52+M61+M70+M79+M88+M92+M101+M110+M119+M128+M131+M140+M149+M158+M163+M172+M181+M185</f>
        <v>195</v>
      </c>
      <c r="N188" s="6">
        <f>N52+N61+N70+N79+N88+N92+N101+N110+N119+N128+N131+N140+N149+N158+N163+N172+N181+N185</f>
        <v>194</v>
      </c>
      <c r="O188" s="6">
        <f>O52+O61+O70+O79+O88+O92+O101+O110+O119+O128+O131+O140+O149+O158+O163+O172+O181+O185</f>
        <v>190</v>
      </c>
      <c r="P188" s="6">
        <f>P52+P61+P70+P79+P88+P92+P101+P110+P119+P128+P131+P140+P149+P158+P163+P172+P181+P185</f>
        <v>192</v>
      </c>
      <c r="Q188" s="6">
        <f>Q52+Q61+Q70+Q79+Q88+Q92+Q101+Q110+Q119+Q128+Q131+Q140+Q149+Q158+Q163+Q172+Q181+Q185</f>
        <v>201</v>
      </c>
      <c r="R188" s="6">
        <f>R52+R61+R70+R79+R88+R92+R101+R110+R119+R128+R131+R140+R149+R158+R163+R172+R181+R185</f>
        <v>189</v>
      </c>
      <c r="S188" s="6">
        <f>S52+S61+S70+S79+S88+S92+S101+S110+S119+S128+S131+S140+S149+S158+S163+S172+S181+S185</f>
        <v>187</v>
      </c>
      <c r="T188" s="6">
        <f>T52+T61+T70+T79+T88+T92+T101+T110+T119+T128+T131+T140+T149+T158+T163+T172+T181+T185</f>
        <v>204</v>
      </c>
      <c r="U188" s="6">
        <f>U52+U61+U70+U79+U88+U92+U101+U110+U119+U128+U131+U140+U149+U158+U163+U172+U181+U185</f>
        <v>199</v>
      </c>
      <c r="V188" s="6">
        <f>V52+V61+V70+V79+V88+V92+V101+V110+V119+V128+V131+V140+V149+V158+V163+V172+V181+V185</f>
        <v>175</v>
      </c>
      <c r="W188" s="6">
        <f>W52+W61+W70+W79+W88+W92+W101+W110+W119+W128+W131+W140+W149+W158+W163+W172+W181+W185</f>
        <v>170</v>
      </c>
      <c r="X188" s="6">
        <f>X52+X61+X70+X79+X88+X92+X101+X110+X119+X128+X131+X140+X149+X158+X163+X172+X181+X185</f>
        <v>184</v>
      </c>
      <c r="Y188" s="6">
        <f>Y52+Y61+Y70+Y79+Y88+Y92+Y101+Y110+Y119+Y128+Y131+Y140+Y149+Y158+Y163+Y172+Y181+Y185</f>
        <v>203</v>
      </c>
      <c r="Z188" s="6">
        <f>Z52+Z61+Z70+Z79+Z88+Z92+Z101+Z110+Z119+Z128+Z131+Z140+Z149+Z158+Z163+Z172+Z181+Z185</f>
        <v>101</v>
      </c>
      <c r="AA188" s="6">
        <f>AA52+AA61+AA70+AA79+AA88+AA92+AA101+AA110+AA119+AA128+AA131+AA140+AA149+AA158+AA163+AA172+AA181+AA185</f>
        <v>198</v>
      </c>
      <c r="AB188" s="6">
        <f>AB52+AB61+AB70+AB79+AB88+AB92+AB101+AB110+AB119+AB128+AB131+AB140+AB149+AB158+AB163+AB172+AB181+AB185</f>
        <v>196</v>
      </c>
      <c r="AC188" s="6">
        <f>AC52+AC61+AC70+AC79+AC88+AC92+AC101+AC110+AC119+AC128+AC131+AC140+AC149+AC158+AC163+AC172+AC181+AC185</f>
        <v>224</v>
      </c>
      <c r="AD188" s="6">
        <f>AD52+AD61+AD70+AD79+AD88+AD92+AD101+AD110+AD119+AD128+AD131+AD140+AD149+AD158+AD163+AD172+AD181+AD185</f>
        <v>197</v>
      </c>
      <c r="AE188" s="6">
        <f>AE52+AE61+AE70+AE79+AE88+AE92+AE101+AE110+AE119+AE128+AE131+AE140+AE149+AE158+AE163+AE172+AE181+AE185</f>
        <v>200</v>
      </c>
      <c r="AF188" s="6">
        <f>AF52+AF61+AF70+AF79+AF88+AF92+AF101+AF110+AF119+AF128+AF131+AF140+AF149+AF158+AF163+AF172+AF181+AF185</f>
        <v>221</v>
      </c>
      <c r="AG188" s="6">
        <f>AG52+AG61+AG70+AG79+AG88+AG92+AG101+AG110+AG119+AG128+AG131+AG140+AG149+AG158+AG163+AG172+AG181+AG185</f>
        <v>172</v>
      </c>
      <c r="AH188" s="6">
        <f>AH52+AH61+AH70+AH79+AH88+AH92+AH101+AH110+AH119+AH128+AH131+AH140+AH149+AH158+AH163+AH172+AH181+AH185</f>
        <v>170</v>
      </c>
      <c r="AI188" s="6">
        <f>AI52+AI61+AI70+AI79+AI88+AI92+AI101+AI110+AI119+AI128+AI131+AI140+AI149+AI158+AI163+AI172+AI181+AI185</f>
        <v>186</v>
      </c>
      <c r="AJ188" s="6">
        <f>AJ52+AJ61+AJ70+AJ79+AJ88+AJ92+AJ101+AJ110+AJ119+AJ128+AJ131+AJ140+AJ149+AJ158+AJ163+AJ172+AJ181+AJ185</f>
        <v>211</v>
      </c>
      <c r="AK188" s="6">
        <f>AK52+AK61+AK70+AK79+AK88+AK92+AK101+AK110+AK119+AK128+AK131+AK140+AK149+AK158+AK163+AK172+AK181+AK185</f>
        <v>202</v>
      </c>
      <c r="AL188" s="6">
        <f>AL52+AL61+AL70+AL79+AL88+AL92+AL101+AL110+AL119+AL128+AL131+AL140+AL149+AL158+AL163+AL172+AL181+AL185</f>
        <v>184</v>
      </c>
      <c r="AM188" s="5">
        <f>SUM(E188:AL188)</f>
        <v>6406</v>
      </c>
    </row>
    <row r="189" spans="1:39" x14ac:dyDescent="0.4">
      <c r="A189" s="13"/>
      <c r="B189" s="19" t="s">
        <v>87</v>
      </c>
      <c r="C189" s="51" t="s">
        <v>88</v>
      </c>
      <c r="D189" s="52"/>
      <c r="E189" s="6">
        <v>15</v>
      </c>
      <c r="F189" s="6">
        <v>18</v>
      </c>
      <c r="G189" s="6">
        <v>13</v>
      </c>
      <c r="H189" s="6">
        <v>11</v>
      </c>
      <c r="I189" s="6">
        <v>11</v>
      </c>
      <c r="J189" s="6">
        <v>11</v>
      </c>
      <c r="K189" s="6">
        <v>25</v>
      </c>
      <c r="L189" s="6">
        <v>12</v>
      </c>
      <c r="M189" s="6">
        <v>14</v>
      </c>
      <c r="N189" s="6">
        <v>27</v>
      </c>
      <c r="O189" s="6">
        <v>7</v>
      </c>
      <c r="P189" s="6">
        <v>6</v>
      </c>
      <c r="Q189" s="6">
        <v>12</v>
      </c>
      <c r="R189" s="6">
        <v>11</v>
      </c>
      <c r="S189" s="6">
        <v>15</v>
      </c>
      <c r="T189" s="6">
        <v>13</v>
      </c>
      <c r="U189" s="6">
        <v>14</v>
      </c>
      <c r="V189" s="6">
        <v>25</v>
      </c>
      <c r="W189" s="6">
        <v>17</v>
      </c>
      <c r="X189" s="6">
        <v>24</v>
      </c>
      <c r="Y189" s="6">
        <v>19</v>
      </c>
      <c r="Z189" s="6">
        <v>13</v>
      </c>
      <c r="AA189" s="6">
        <v>17</v>
      </c>
      <c r="AB189" s="6">
        <v>9</v>
      </c>
      <c r="AC189" s="6">
        <v>7</v>
      </c>
      <c r="AD189" s="6">
        <v>22</v>
      </c>
      <c r="AE189" s="6">
        <v>16</v>
      </c>
      <c r="AF189" s="6">
        <v>19</v>
      </c>
      <c r="AG189" s="6">
        <v>10</v>
      </c>
      <c r="AH189" s="6">
        <v>12</v>
      </c>
      <c r="AI189" s="6">
        <v>11</v>
      </c>
      <c r="AJ189" s="6">
        <v>11</v>
      </c>
      <c r="AK189" s="6">
        <v>7</v>
      </c>
      <c r="AL189" s="6">
        <v>15</v>
      </c>
      <c r="AM189" s="5">
        <f>SUM(E189:AL189)</f>
        <v>489</v>
      </c>
    </row>
    <row r="190" spans="1:39" x14ac:dyDescent="0.4">
      <c r="A190" s="14"/>
      <c r="B190" s="19" t="s">
        <v>89</v>
      </c>
      <c r="C190" s="51" t="s">
        <v>90</v>
      </c>
      <c r="D190" s="52"/>
      <c r="E190" s="5">
        <f>SUM(E188:E189)</f>
        <v>195</v>
      </c>
      <c r="F190" s="5">
        <f t="shared" ref="F190:R190" si="52">SUM(F188:F189)</f>
        <v>213</v>
      </c>
      <c r="G190" s="5">
        <f t="shared" si="52"/>
        <v>178</v>
      </c>
      <c r="H190" s="5">
        <f t="shared" si="52"/>
        <v>193</v>
      </c>
      <c r="I190" s="5">
        <f t="shared" si="52"/>
        <v>219</v>
      </c>
      <c r="J190" s="5">
        <f t="shared" si="52"/>
        <v>182</v>
      </c>
      <c r="K190" s="5">
        <f t="shared" si="52"/>
        <v>204</v>
      </c>
      <c r="L190" s="5">
        <f t="shared" si="52"/>
        <v>193</v>
      </c>
      <c r="M190" s="5">
        <f t="shared" si="52"/>
        <v>209</v>
      </c>
      <c r="N190" s="5">
        <f t="shared" si="52"/>
        <v>221</v>
      </c>
      <c r="O190" s="5">
        <f t="shared" si="52"/>
        <v>197</v>
      </c>
      <c r="P190" s="5">
        <f t="shared" si="52"/>
        <v>198</v>
      </c>
      <c r="Q190" s="5">
        <f t="shared" si="52"/>
        <v>213</v>
      </c>
      <c r="R190" s="5">
        <f t="shared" si="52"/>
        <v>200</v>
      </c>
      <c r="S190" s="5">
        <f t="shared" ref="S190:AL190" si="53">SUM(S188:S189)</f>
        <v>202</v>
      </c>
      <c r="T190" s="5">
        <f t="shared" si="53"/>
        <v>217</v>
      </c>
      <c r="U190" s="5">
        <f t="shared" si="53"/>
        <v>213</v>
      </c>
      <c r="V190" s="5">
        <f t="shared" si="53"/>
        <v>200</v>
      </c>
      <c r="W190" s="5">
        <f t="shared" si="53"/>
        <v>187</v>
      </c>
      <c r="X190" s="5">
        <f t="shared" si="53"/>
        <v>208</v>
      </c>
      <c r="Y190" s="5">
        <f t="shared" si="53"/>
        <v>222</v>
      </c>
      <c r="Z190" s="5">
        <f t="shared" ref="Z190:AE190" si="54">SUM(Z188:Z189)</f>
        <v>114</v>
      </c>
      <c r="AA190" s="5">
        <f t="shared" si="54"/>
        <v>215</v>
      </c>
      <c r="AB190" s="5">
        <f t="shared" si="54"/>
        <v>205</v>
      </c>
      <c r="AC190" s="5">
        <f t="shared" si="54"/>
        <v>231</v>
      </c>
      <c r="AD190" s="5">
        <f t="shared" si="54"/>
        <v>219</v>
      </c>
      <c r="AE190" s="5">
        <f t="shared" si="54"/>
        <v>216</v>
      </c>
      <c r="AF190" s="5">
        <f t="shared" si="53"/>
        <v>240</v>
      </c>
      <c r="AG190" s="5">
        <f t="shared" si="53"/>
        <v>182</v>
      </c>
      <c r="AH190" s="5">
        <f t="shared" ref="AH190:AI190" si="55">SUM(AH188:AH189)</f>
        <v>182</v>
      </c>
      <c r="AI190" s="5">
        <f t="shared" si="55"/>
        <v>197</v>
      </c>
      <c r="AJ190" s="5">
        <f t="shared" si="53"/>
        <v>222</v>
      </c>
      <c r="AK190" s="5">
        <f t="shared" si="53"/>
        <v>209</v>
      </c>
      <c r="AL190" s="5">
        <f t="shared" si="53"/>
        <v>199</v>
      </c>
      <c r="AM190" s="5">
        <f>SUM(E190:AL190)</f>
        <v>6895</v>
      </c>
    </row>
  </sheetData>
  <mergeCells count="87">
    <mergeCell ref="A17:D17"/>
    <mergeCell ref="B12:D12"/>
    <mergeCell ref="E12:AL12"/>
    <mergeCell ref="AM12:AM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52:D52"/>
    <mergeCell ref="B35:D35"/>
    <mergeCell ref="B36:D36"/>
    <mergeCell ref="A37:D37"/>
    <mergeCell ref="E37:V37"/>
    <mergeCell ref="B38:D38"/>
    <mergeCell ref="B39:C41"/>
    <mergeCell ref="A42:D42"/>
    <mergeCell ref="E42:V42"/>
    <mergeCell ref="B43:D43"/>
    <mergeCell ref="A44:D44"/>
    <mergeCell ref="C45:D45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B119:D119"/>
    <mergeCell ref="A89:E89"/>
    <mergeCell ref="C90:D90"/>
    <mergeCell ref="B92:D92"/>
    <mergeCell ref="A93:E93"/>
    <mergeCell ref="C94:D94"/>
    <mergeCell ref="B101:D101"/>
    <mergeCell ref="A102:E102"/>
    <mergeCell ref="C103:D103"/>
    <mergeCell ref="B110:D110"/>
    <mergeCell ref="A111:E111"/>
    <mergeCell ref="C112:D112"/>
    <mergeCell ref="C91:D91"/>
    <mergeCell ref="B149:D149"/>
    <mergeCell ref="B140:D140"/>
    <mergeCell ref="A141:E141"/>
    <mergeCell ref="A120:E120"/>
    <mergeCell ref="C121:D121"/>
    <mergeCell ref="B128:D128"/>
    <mergeCell ref="A129:E129"/>
    <mergeCell ref="C130:D130"/>
    <mergeCell ref="C142:D142"/>
    <mergeCell ref="B131:D131"/>
    <mergeCell ref="A132:E132"/>
    <mergeCell ref="C133:D133"/>
    <mergeCell ref="C190:D190"/>
    <mergeCell ref="A182:E182"/>
    <mergeCell ref="C183:D183"/>
    <mergeCell ref="B185:D185"/>
    <mergeCell ref="B187:D187"/>
    <mergeCell ref="C188:D188"/>
    <mergeCell ref="C189:D189"/>
    <mergeCell ref="B181:D181"/>
    <mergeCell ref="A150:E150"/>
    <mergeCell ref="C151:D151"/>
    <mergeCell ref="B158:D158"/>
    <mergeCell ref="A159:E159"/>
    <mergeCell ref="C160:D160"/>
    <mergeCell ref="B163:D163"/>
    <mergeCell ref="A164:E164"/>
    <mergeCell ref="C165:D165"/>
    <mergeCell ref="B172:D172"/>
    <mergeCell ref="A173:E173"/>
    <mergeCell ref="C174:D174"/>
  </mergeCells>
  <phoneticPr fontId="8" type="noConversion"/>
  <conditionalFormatting sqref="E14:AL15">
    <cfRule type="containsBlanks" dxfId="33" priority="20">
      <formula>LEN(TRIM(E14))=0</formula>
    </cfRule>
  </conditionalFormatting>
  <conditionalFormatting sqref="E19:AL20">
    <cfRule type="containsBlanks" dxfId="32" priority="23">
      <formula>LEN(TRIM(E19))=0</formula>
    </cfRule>
  </conditionalFormatting>
  <conditionalFormatting sqref="E25:AL26 E33:AL33 E35:AL35 E22:AL23 E39:AL40">
    <cfRule type="containsBlanks" dxfId="31" priority="24">
      <formula>LEN(TRIM(E22))=0</formula>
    </cfRule>
  </conditionalFormatting>
  <conditionalFormatting sqref="E30:AL30">
    <cfRule type="expression" dxfId="30" priority="25">
      <formula>E30&lt;&gt;E47</formula>
    </cfRule>
    <cfRule type="expression" dxfId="29" priority="26">
      <formula>E30&lt;&gt;E34</formula>
    </cfRule>
  </conditionalFormatting>
  <conditionalFormatting sqref="E45:AL51">
    <cfRule type="containsBlanks" dxfId="28" priority="19">
      <formula>LEN(TRIM(E45))=0</formula>
    </cfRule>
  </conditionalFormatting>
  <conditionalFormatting sqref="E54:AL60">
    <cfRule type="containsBlanks" dxfId="27" priority="18">
      <formula>LEN(TRIM(E54))=0</formula>
    </cfRule>
  </conditionalFormatting>
  <conditionalFormatting sqref="E63:AL69">
    <cfRule type="containsBlanks" dxfId="26" priority="17">
      <formula>LEN(TRIM(E63))=0</formula>
    </cfRule>
  </conditionalFormatting>
  <conditionalFormatting sqref="E72:AL78">
    <cfRule type="containsBlanks" dxfId="25" priority="16">
      <formula>LEN(TRIM(E72))=0</formula>
    </cfRule>
  </conditionalFormatting>
  <conditionalFormatting sqref="E81:AL87">
    <cfRule type="containsBlanks" dxfId="24" priority="15">
      <formula>LEN(TRIM(E81))=0</formula>
    </cfRule>
  </conditionalFormatting>
  <conditionalFormatting sqref="E90:AL91">
    <cfRule type="containsBlanks" dxfId="23" priority="14">
      <formula>LEN(TRIM(E90))=0</formula>
    </cfRule>
  </conditionalFormatting>
  <conditionalFormatting sqref="E94:AL100">
    <cfRule type="containsBlanks" dxfId="22" priority="1">
      <formula>LEN(TRIM(E94))=0</formula>
    </cfRule>
  </conditionalFormatting>
  <conditionalFormatting sqref="E103:AL109">
    <cfRule type="containsBlanks" dxfId="21" priority="13">
      <formula>LEN(TRIM(E103))=0</formula>
    </cfRule>
  </conditionalFormatting>
  <conditionalFormatting sqref="E112:AL118">
    <cfRule type="containsBlanks" dxfId="20" priority="12">
      <formula>LEN(TRIM(E112))=0</formula>
    </cfRule>
  </conditionalFormatting>
  <conditionalFormatting sqref="E121:AL127">
    <cfRule type="containsBlanks" dxfId="19" priority="3">
      <formula>LEN(TRIM(E121))=0</formula>
    </cfRule>
  </conditionalFormatting>
  <conditionalFormatting sqref="E130:AL130">
    <cfRule type="containsBlanks" dxfId="18" priority="11">
      <formula>LEN(TRIM(E130))=0</formula>
    </cfRule>
  </conditionalFormatting>
  <conditionalFormatting sqref="E133:AL139">
    <cfRule type="containsBlanks" dxfId="17" priority="10">
      <formula>LEN(TRIM(E133))=0</formula>
    </cfRule>
  </conditionalFormatting>
  <conditionalFormatting sqref="E142:AL148">
    <cfRule type="containsBlanks" dxfId="16" priority="9">
      <formula>LEN(TRIM(E142))=0</formula>
    </cfRule>
  </conditionalFormatting>
  <conditionalFormatting sqref="E151:AL157">
    <cfRule type="containsBlanks" dxfId="15" priority="8">
      <formula>LEN(TRIM(E151))=0</formula>
    </cfRule>
  </conditionalFormatting>
  <conditionalFormatting sqref="E160:AL162">
    <cfRule type="containsBlanks" dxfId="14" priority="7">
      <formula>LEN(TRIM(E160))=0</formula>
    </cfRule>
  </conditionalFormatting>
  <conditionalFormatting sqref="E165:AL171">
    <cfRule type="containsBlanks" dxfId="13" priority="6">
      <formula>LEN(TRIM(E165))=0</formula>
    </cfRule>
  </conditionalFormatting>
  <conditionalFormatting sqref="E174:AL180">
    <cfRule type="containsBlanks" dxfId="12" priority="5">
      <formula>LEN(TRIM(E174))=0</formula>
    </cfRule>
  </conditionalFormatting>
  <conditionalFormatting sqref="E183:AL184">
    <cfRule type="containsBlanks" dxfId="11" priority="4">
      <formula>LEN(TRIM(E183))=0</formula>
    </cfRule>
  </conditionalFormatting>
  <conditionalFormatting sqref="E188:AL189">
    <cfRule type="containsBlanks" dxfId="10" priority="2">
      <formula>LEN(TRIM(E188))=0</formula>
    </cfRule>
  </conditionalFormatting>
  <conditionalFormatting sqref="E34:AL34">
    <cfRule type="expression" dxfId="9" priority="113">
      <formula>E30&lt;&gt;E34</formula>
    </cfRule>
    <cfRule type="expression" dxfId="8" priority="114">
      <formula>E30=E34</formula>
    </cfRule>
    <cfRule type="expression" dxfId="7" priority="115">
      <formula>E34&lt;&gt;E30</formula>
    </cfRule>
    <cfRule type="expression" dxfId="6" priority="116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DPRD KABUPATEN</vt:lpstr>
      <vt:lpstr>ALIYAN</vt:lpstr>
      <vt:lpstr>BUBUK</vt:lpstr>
      <vt:lpstr>GITIK</vt:lpstr>
      <vt:lpstr>GLADAG</vt:lpstr>
      <vt:lpstr>KARANGBENDO</vt:lpstr>
      <vt:lpstr>KEDALEMAN</vt:lpstr>
      <vt:lpstr>LEMAHBANGDEWO</vt:lpstr>
      <vt:lpstr>MANGIR</vt:lpstr>
      <vt:lpstr>PENGATIGAN</vt:lpstr>
      <vt:lpstr>ROGOJAMPI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dokumentasi.kpubwi@gmail.com</cp:lastModifiedBy>
  <dcterms:created xsi:type="dcterms:W3CDTF">2026-01-14T02:26:01Z</dcterms:created>
  <dcterms:modified xsi:type="dcterms:W3CDTF">2026-02-03T05:45:55Z</dcterms:modified>
</cp:coreProperties>
</file>