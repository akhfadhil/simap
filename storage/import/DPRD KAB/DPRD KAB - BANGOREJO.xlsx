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eko\Downloads\"/>
    </mc:Choice>
  </mc:AlternateContent>
  <xr:revisionPtr revIDLastSave="0" documentId="13_ncr:1_{B39AFC0D-03BE-4676-84F7-A3E8591C39E0}" xr6:coauthVersionLast="47" xr6:coauthVersionMax="47" xr10:uidLastSave="{00000000-0000-0000-0000-000000000000}"/>
  <bookViews>
    <workbookView xWindow="-110" yWindow="-110" windowWidth="19420" windowHeight="11500" firstSheet="3" activeTab="3" xr2:uid="{00000000-000D-0000-FFFF-FFFF00000000}"/>
  </bookViews>
  <sheets>
    <sheet name="DPRD KAB" sheetId="1" r:id="rId1"/>
    <sheet name="BANGOREJO" sheetId="2" r:id="rId2"/>
    <sheet name="KEBONDALEM" sheetId="3" r:id="rId3"/>
    <sheet name="RINGINTELU" sheetId="4" r:id="rId4"/>
    <sheet name="SAMBIMULYO" sheetId="5" r:id="rId5"/>
    <sheet name="SAMBIREJO" sheetId="6" r:id="rId6"/>
    <sheet name="SUKOREJO" sheetId="7" r:id="rId7"/>
    <sheet name="TEMUREJ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DcAtX6nfNsV07Hmp9xpgxRTbsPjtuLH3WrR6Oteoy+w="/>
    </ext>
  </extLst>
</workbook>
</file>

<file path=xl/calcChain.xml><?xml version="1.0" encoding="utf-8"?>
<calcChain xmlns="http://schemas.openxmlformats.org/spreadsheetml/2006/main">
  <c r="E136" i="3" l="1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E175" i="2"/>
  <c r="E181" i="2"/>
  <c r="E184" i="2"/>
  <c r="E186" i="2"/>
  <c r="AF14" i="6"/>
  <c r="T53" i="7"/>
  <c r="U53" i="7"/>
  <c r="V53" i="7"/>
  <c r="W53" i="7"/>
  <c r="X53" i="7"/>
  <c r="Y53" i="7"/>
  <c r="Z53" i="7"/>
  <c r="AA53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4" i="7"/>
  <c r="AB55" i="7"/>
  <c r="AB56" i="7"/>
  <c r="AB57" i="7"/>
  <c r="AB58" i="7"/>
  <c r="AB59" i="7"/>
  <c r="AB60" i="7"/>
  <c r="AB61" i="7"/>
  <c r="AB62" i="7"/>
  <c r="AB64" i="7"/>
  <c r="AB65" i="7"/>
  <c r="AB66" i="7"/>
  <c r="AB67" i="7"/>
  <c r="AB68" i="7"/>
  <c r="AB69" i="7"/>
  <c r="AB70" i="7"/>
  <c r="AB71" i="7"/>
  <c r="AB72" i="7"/>
  <c r="AB74" i="7"/>
  <c r="AB75" i="7"/>
  <c r="AB76" i="7"/>
  <c r="AB77" i="7"/>
  <c r="AB78" i="7"/>
  <c r="AB79" i="7"/>
  <c r="AB80" i="7"/>
  <c r="AB81" i="7"/>
  <c r="AB82" i="7"/>
  <c r="AB84" i="7"/>
  <c r="AB85" i="7"/>
  <c r="AB86" i="7"/>
  <c r="AB87" i="7"/>
  <c r="AB88" i="7"/>
  <c r="AB89" i="7"/>
  <c r="AB90" i="7"/>
  <c r="AB91" i="7"/>
  <c r="AB92" i="7"/>
  <c r="AB94" i="7"/>
  <c r="AB95" i="7"/>
  <c r="AB96" i="7"/>
  <c r="AB98" i="7"/>
  <c r="AB99" i="7"/>
  <c r="AB100" i="7"/>
  <c r="AB102" i="7"/>
  <c r="AB103" i="7"/>
  <c r="AB104" i="7"/>
  <c r="AB105" i="7"/>
  <c r="AB106" i="7"/>
  <c r="AB107" i="7"/>
  <c r="AB108" i="7"/>
  <c r="AB109" i="7"/>
  <c r="AB110" i="7"/>
  <c r="AB112" i="7"/>
  <c r="AB113" i="7"/>
  <c r="AB114" i="7"/>
  <c r="AB116" i="7"/>
  <c r="AB117" i="7"/>
  <c r="AB118" i="7"/>
  <c r="AB119" i="7"/>
  <c r="AB120" i="7"/>
  <c r="AB121" i="7"/>
  <c r="AB122" i="7"/>
  <c r="AB123" i="7"/>
  <c r="AB124" i="7"/>
  <c r="AB126" i="7"/>
  <c r="AB127" i="7"/>
  <c r="AB128" i="7"/>
  <c r="AB130" i="7"/>
  <c r="AB131" i="7"/>
  <c r="AB132" i="7"/>
  <c r="AB133" i="7"/>
  <c r="AB134" i="7"/>
  <c r="AB135" i="7"/>
  <c r="AB137" i="7"/>
  <c r="AB138" i="7"/>
  <c r="AB139" i="7"/>
  <c r="AB140" i="7"/>
  <c r="AB141" i="7"/>
  <c r="AB142" i="7"/>
  <c r="AB143" i="7"/>
  <c r="AB144" i="7"/>
  <c r="AB145" i="7"/>
  <c r="AB147" i="7"/>
  <c r="AB148" i="7"/>
  <c r="AB149" i="7"/>
  <c r="AB150" i="7"/>
  <c r="AB151" i="7"/>
  <c r="AB152" i="7"/>
  <c r="AB153" i="7"/>
  <c r="AB154" i="7"/>
  <c r="AB155" i="7"/>
  <c r="AB157" i="7"/>
  <c r="AB158" i="7"/>
  <c r="AB159" i="7"/>
  <c r="AB160" i="7"/>
  <c r="AB162" i="7"/>
  <c r="AB163" i="7"/>
  <c r="AB164" i="7"/>
  <c r="AB166" i="7"/>
  <c r="AB167" i="7"/>
  <c r="AB168" i="7"/>
  <c r="AB169" i="7"/>
  <c r="AB170" i="7"/>
  <c r="AB171" i="7"/>
  <c r="AB172" i="7"/>
  <c r="AB173" i="7"/>
  <c r="AB174" i="7"/>
  <c r="AB176" i="7"/>
  <c r="AB177" i="7"/>
  <c r="AB178" i="7"/>
  <c r="AB179" i="7"/>
  <c r="AB180" i="7"/>
  <c r="AB182" i="7"/>
  <c r="AB183" i="7"/>
  <c r="AB185" i="7"/>
  <c r="AB14" i="7"/>
  <c r="E111" i="7"/>
  <c r="E97" i="7"/>
  <c r="E93" i="7"/>
  <c r="E73" i="7"/>
  <c r="E63" i="7"/>
  <c r="E53" i="7"/>
  <c r="AB53" i="7" s="1"/>
  <c r="AU185" i="8"/>
  <c r="AU183" i="8"/>
  <c r="AU182" i="8"/>
  <c r="AT181" i="8"/>
  <c r="AS181" i="8"/>
  <c r="AR181" i="8"/>
  <c r="AQ181" i="8"/>
  <c r="AP181" i="8"/>
  <c r="AO181" i="8"/>
  <c r="AN181" i="8"/>
  <c r="AM181" i="8"/>
  <c r="AL181" i="8"/>
  <c r="AK181" i="8"/>
  <c r="AJ181" i="8"/>
  <c r="AI181" i="8"/>
  <c r="AH181" i="8"/>
  <c r="AG181" i="8"/>
  <c r="AF181" i="8"/>
  <c r="AE181" i="8"/>
  <c r="AD181" i="8"/>
  <c r="AC181" i="8"/>
  <c r="AB181" i="8"/>
  <c r="AA181" i="8"/>
  <c r="Z181" i="8"/>
  <c r="Y181" i="8"/>
  <c r="X181" i="8"/>
  <c r="W181" i="8"/>
  <c r="V181" i="8"/>
  <c r="U181" i="8"/>
  <c r="T181" i="8"/>
  <c r="S181" i="8"/>
  <c r="R181" i="8"/>
  <c r="Q181" i="8"/>
  <c r="P181" i="8"/>
  <c r="O181" i="8"/>
  <c r="N181" i="8"/>
  <c r="M181" i="8"/>
  <c r="L181" i="8"/>
  <c r="K181" i="8"/>
  <c r="J181" i="8"/>
  <c r="I181" i="8"/>
  <c r="H181" i="8"/>
  <c r="G181" i="8"/>
  <c r="F181" i="8"/>
  <c r="E181" i="8"/>
  <c r="AU180" i="8"/>
  <c r="AU179" i="8"/>
  <c r="AU178" i="8"/>
  <c r="AU177" i="8"/>
  <c r="AU176" i="8"/>
  <c r="AT175" i="8"/>
  <c r="AS175" i="8"/>
  <c r="AR175" i="8"/>
  <c r="AQ175" i="8"/>
  <c r="AP175" i="8"/>
  <c r="AO175" i="8"/>
  <c r="AN175" i="8"/>
  <c r="AM175" i="8"/>
  <c r="AL175" i="8"/>
  <c r="AK175" i="8"/>
  <c r="AJ175" i="8"/>
  <c r="AI175" i="8"/>
  <c r="AH175" i="8"/>
  <c r="AG175" i="8"/>
  <c r="AF175" i="8"/>
  <c r="AE175" i="8"/>
  <c r="AD175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I175" i="8"/>
  <c r="H175" i="8"/>
  <c r="G175" i="8"/>
  <c r="F175" i="8"/>
  <c r="E175" i="8"/>
  <c r="AU174" i="8"/>
  <c r="AU173" i="8"/>
  <c r="AU172" i="8"/>
  <c r="AU171" i="8"/>
  <c r="AU170" i="8"/>
  <c r="AU169" i="8"/>
  <c r="AU168" i="8"/>
  <c r="AU167" i="8"/>
  <c r="AU166" i="8"/>
  <c r="AT165" i="8"/>
  <c r="AS165" i="8"/>
  <c r="AR165" i="8"/>
  <c r="AQ165" i="8"/>
  <c r="AP165" i="8"/>
  <c r="AO165" i="8"/>
  <c r="AN165" i="8"/>
  <c r="AM165" i="8"/>
  <c r="AL165" i="8"/>
  <c r="AK165" i="8"/>
  <c r="AJ165" i="8"/>
  <c r="AI165" i="8"/>
  <c r="AH165" i="8"/>
  <c r="AG165" i="8"/>
  <c r="AF165" i="8"/>
  <c r="AE165" i="8"/>
  <c r="AD165" i="8"/>
  <c r="AC165" i="8"/>
  <c r="AB165" i="8"/>
  <c r="AA165" i="8"/>
  <c r="Z165" i="8"/>
  <c r="Y165" i="8"/>
  <c r="X165" i="8"/>
  <c r="W165" i="8"/>
  <c r="V165" i="8"/>
  <c r="U165" i="8"/>
  <c r="T165" i="8"/>
  <c r="S165" i="8"/>
  <c r="R165" i="8"/>
  <c r="Q165" i="8"/>
  <c r="P165" i="8"/>
  <c r="O165" i="8"/>
  <c r="N165" i="8"/>
  <c r="M165" i="8"/>
  <c r="L165" i="8"/>
  <c r="K165" i="8"/>
  <c r="J165" i="8"/>
  <c r="I165" i="8"/>
  <c r="H165" i="8"/>
  <c r="G165" i="8"/>
  <c r="F165" i="8"/>
  <c r="E165" i="8"/>
  <c r="AU165" i="8" s="1"/>
  <c r="AU164" i="8"/>
  <c r="AU163" i="8"/>
  <c r="AU162" i="8"/>
  <c r="AT161" i="8"/>
  <c r="AS161" i="8"/>
  <c r="AR161" i="8"/>
  <c r="AQ161" i="8"/>
  <c r="AP161" i="8"/>
  <c r="AO161" i="8"/>
  <c r="AN161" i="8"/>
  <c r="AM161" i="8"/>
  <c r="AL161" i="8"/>
  <c r="AK161" i="8"/>
  <c r="AJ161" i="8"/>
  <c r="AI161" i="8"/>
  <c r="AH161" i="8"/>
  <c r="AG161" i="8"/>
  <c r="AF161" i="8"/>
  <c r="AE161" i="8"/>
  <c r="AD161" i="8"/>
  <c r="AC161" i="8"/>
  <c r="AB161" i="8"/>
  <c r="AA161" i="8"/>
  <c r="Z161" i="8"/>
  <c r="Y161" i="8"/>
  <c r="X161" i="8"/>
  <c r="W161" i="8"/>
  <c r="V161" i="8"/>
  <c r="U161" i="8"/>
  <c r="T161" i="8"/>
  <c r="S161" i="8"/>
  <c r="R161" i="8"/>
  <c r="Q161" i="8"/>
  <c r="P161" i="8"/>
  <c r="O161" i="8"/>
  <c r="N161" i="8"/>
  <c r="M161" i="8"/>
  <c r="L161" i="8"/>
  <c r="K161" i="8"/>
  <c r="J161" i="8"/>
  <c r="I161" i="8"/>
  <c r="H161" i="8"/>
  <c r="G161" i="8"/>
  <c r="F161" i="8"/>
  <c r="E161" i="8"/>
  <c r="AU160" i="8"/>
  <c r="AU159" i="8"/>
  <c r="AU158" i="8"/>
  <c r="AU157" i="8"/>
  <c r="AT156" i="8"/>
  <c r="AS156" i="8"/>
  <c r="AR156" i="8"/>
  <c r="AQ156" i="8"/>
  <c r="AP156" i="8"/>
  <c r="AO156" i="8"/>
  <c r="AN156" i="8"/>
  <c r="AM156" i="8"/>
  <c r="AL156" i="8"/>
  <c r="AK156" i="8"/>
  <c r="AJ156" i="8"/>
  <c r="AI156" i="8"/>
  <c r="AH156" i="8"/>
  <c r="AG156" i="8"/>
  <c r="AF156" i="8"/>
  <c r="AE156" i="8"/>
  <c r="AD156" i="8"/>
  <c r="AC156" i="8"/>
  <c r="AB156" i="8"/>
  <c r="AA156" i="8"/>
  <c r="Z156" i="8"/>
  <c r="Y156" i="8"/>
  <c r="X156" i="8"/>
  <c r="W156" i="8"/>
  <c r="V156" i="8"/>
  <c r="U156" i="8"/>
  <c r="T156" i="8"/>
  <c r="S156" i="8"/>
  <c r="R156" i="8"/>
  <c r="Q156" i="8"/>
  <c r="P156" i="8"/>
  <c r="O156" i="8"/>
  <c r="N156" i="8"/>
  <c r="M156" i="8"/>
  <c r="L156" i="8"/>
  <c r="K156" i="8"/>
  <c r="J156" i="8"/>
  <c r="I156" i="8"/>
  <c r="H156" i="8"/>
  <c r="G156" i="8"/>
  <c r="F156" i="8"/>
  <c r="E156" i="8"/>
  <c r="AU155" i="8"/>
  <c r="AU154" i="8"/>
  <c r="AU153" i="8"/>
  <c r="AU152" i="8"/>
  <c r="AU151" i="8"/>
  <c r="AU150" i="8"/>
  <c r="AU149" i="8"/>
  <c r="AU148" i="8"/>
  <c r="AU147" i="8"/>
  <c r="AT146" i="8"/>
  <c r="AS146" i="8"/>
  <c r="AR146" i="8"/>
  <c r="AQ146" i="8"/>
  <c r="AP146" i="8"/>
  <c r="AO146" i="8"/>
  <c r="AN146" i="8"/>
  <c r="AM146" i="8"/>
  <c r="AL146" i="8"/>
  <c r="AK146" i="8"/>
  <c r="AJ146" i="8"/>
  <c r="AI146" i="8"/>
  <c r="AH146" i="8"/>
  <c r="AG146" i="8"/>
  <c r="AF146" i="8"/>
  <c r="AE146" i="8"/>
  <c r="AD146" i="8"/>
  <c r="AC146" i="8"/>
  <c r="AB146" i="8"/>
  <c r="AA146" i="8"/>
  <c r="Z146" i="8"/>
  <c r="Y146" i="8"/>
  <c r="X146" i="8"/>
  <c r="W146" i="8"/>
  <c r="V146" i="8"/>
  <c r="U146" i="8"/>
  <c r="T146" i="8"/>
  <c r="S146" i="8"/>
  <c r="R146" i="8"/>
  <c r="Q146" i="8"/>
  <c r="P146" i="8"/>
  <c r="O146" i="8"/>
  <c r="N146" i="8"/>
  <c r="M146" i="8"/>
  <c r="L146" i="8"/>
  <c r="K146" i="8"/>
  <c r="J146" i="8"/>
  <c r="I146" i="8"/>
  <c r="H146" i="8"/>
  <c r="G146" i="8"/>
  <c r="F146" i="8"/>
  <c r="E146" i="8"/>
  <c r="AU145" i="8"/>
  <c r="AU144" i="8"/>
  <c r="AU143" i="8"/>
  <c r="AU142" i="8"/>
  <c r="AU141" i="8"/>
  <c r="AU140" i="8"/>
  <c r="AU139" i="8"/>
  <c r="AU138" i="8"/>
  <c r="AU137" i="8"/>
  <c r="AT136" i="8"/>
  <c r="AS136" i="8"/>
  <c r="AR136" i="8"/>
  <c r="AQ136" i="8"/>
  <c r="AP136" i="8"/>
  <c r="AO136" i="8"/>
  <c r="AN136" i="8"/>
  <c r="AM136" i="8"/>
  <c r="AL136" i="8"/>
  <c r="AK136" i="8"/>
  <c r="AJ136" i="8"/>
  <c r="AI136" i="8"/>
  <c r="AH136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I136" i="8"/>
  <c r="H136" i="8"/>
  <c r="G136" i="8"/>
  <c r="F136" i="8"/>
  <c r="E136" i="8"/>
  <c r="AU135" i="8"/>
  <c r="AU134" i="8"/>
  <c r="AU133" i="8"/>
  <c r="AU132" i="8"/>
  <c r="AU131" i="8"/>
  <c r="AU130" i="8"/>
  <c r="AT129" i="8"/>
  <c r="AS129" i="8"/>
  <c r="AR129" i="8"/>
  <c r="AQ129" i="8"/>
  <c r="AP129" i="8"/>
  <c r="AO129" i="8"/>
  <c r="AN129" i="8"/>
  <c r="AM129" i="8"/>
  <c r="AL129" i="8"/>
  <c r="AK129" i="8"/>
  <c r="AJ129" i="8"/>
  <c r="AI129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I129" i="8"/>
  <c r="AU129" i="8" s="1"/>
  <c r="H129" i="8"/>
  <c r="G129" i="8"/>
  <c r="F129" i="8"/>
  <c r="E129" i="8"/>
  <c r="AU128" i="8"/>
  <c r="AU127" i="8"/>
  <c r="AU126" i="8"/>
  <c r="AT125" i="8"/>
  <c r="AS125" i="8"/>
  <c r="AR125" i="8"/>
  <c r="AQ125" i="8"/>
  <c r="AP125" i="8"/>
  <c r="AO125" i="8"/>
  <c r="AN125" i="8"/>
  <c r="AM125" i="8"/>
  <c r="AL125" i="8"/>
  <c r="AK125" i="8"/>
  <c r="AJ125" i="8"/>
  <c r="AI125" i="8"/>
  <c r="AH125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I125" i="8"/>
  <c r="H125" i="8"/>
  <c r="G125" i="8"/>
  <c r="F125" i="8"/>
  <c r="E125" i="8"/>
  <c r="AU124" i="8"/>
  <c r="AU123" i="8"/>
  <c r="AU122" i="8"/>
  <c r="AU121" i="8"/>
  <c r="AU120" i="8"/>
  <c r="AU119" i="8"/>
  <c r="AU118" i="8"/>
  <c r="AU117" i="8"/>
  <c r="AU116" i="8"/>
  <c r="AT115" i="8"/>
  <c r="AS115" i="8"/>
  <c r="AR115" i="8"/>
  <c r="AQ115" i="8"/>
  <c r="AP115" i="8"/>
  <c r="AO115" i="8"/>
  <c r="AN115" i="8"/>
  <c r="AM115" i="8"/>
  <c r="AL115" i="8"/>
  <c r="AK115" i="8"/>
  <c r="AJ115" i="8"/>
  <c r="AI115" i="8"/>
  <c r="AH115" i="8"/>
  <c r="AG115" i="8"/>
  <c r="AF115" i="8"/>
  <c r="AE115" i="8"/>
  <c r="AD115" i="8"/>
  <c r="AC115" i="8"/>
  <c r="AB115" i="8"/>
  <c r="AA115" i="8"/>
  <c r="Z115" i="8"/>
  <c r="Y115" i="8"/>
  <c r="X115" i="8"/>
  <c r="W115" i="8"/>
  <c r="V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I115" i="8"/>
  <c r="H115" i="8"/>
  <c r="G115" i="8"/>
  <c r="F115" i="8"/>
  <c r="E115" i="8"/>
  <c r="AU114" i="8"/>
  <c r="AU113" i="8"/>
  <c r="AU112" i="8"/>
  <c r="AT111" i="8"/>
  <c r="AS111" i="8"/>
  <c r="AR111" i="8"/>
  <c r="AQ111" i="8"/>
  <c r="AP111" i="8"/>
  <c r="AO111" i="8"/>
  <c r="AN111" i="8"/>
  <c r="AM111" i="8"/>
  <c r="AL111" i="8"/>
  <c r="AK111" i="8"/>
  <c r="AJ111" i="8"/>
  <c r="AI111" i="8"/>
  <c r="AH111" i="8"/>
  <c r="AG111" i="8"/>
  <c r="AF111" i="8"/>
  <c r="AE111" i="8"/>
  <c r="AD111" i="8"/>
  <c r="AC111" i="8"/>
  <c r="AB111" i="8"/>
  <c r="AA111" i="8"/>
  <c r="Z111" i="8"/>
  <c r="Y111" i="8"/>
  <c r="X111" i="8"/>
  <c r="W111" i="8"/>
  <c r="V111" i="8"/>
  <c r="U111" i="8"/>
  <c r="T111" i="8"/>
  <c r="S111" i="8"/>
  <c r="R111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AU110" i="8"/>
  <c r="AU109" i="8"/>
  <c r="AU108" i="8"/>
  <c r="AU107" i="8"/>
  <c r="AU106" i="8"/>
  <c r="AU105" i="8"/>
  <c r="AU104" i="8"/>
  <c r="AU103" i="8"/>
  <c r="AU102" i="8"/>
  <c r="AT101" i="8"/>
  <c r="AS101" i="8"/>
  <c r="AR101" i="8"/>
  <c r="AQ101" i="8"/>
  <c r="AP101" i="8"/>
  <c r="AO101" i="8"/>
  <c r="AN101" i="8"/>
  <c r="AM101" i="8"/>
  <c r="AL101" i="8"/>
  <c r="AK101" i="8"/>
  <c r="AJ101" i="8"/>
  <c r="AI101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AU100" i="8"/>
  <c r="AU99" i="8"/>
  <c r="AU98" i="8"/>
  <c r="AT97" i="8"/>
  <c r="AS97" i="8"/>
  <c r="AR97" i="8"/>
  <c r="AQ97" i="8"/>
  <c r="AP97" i="8"/>
  <c r="AO97" i="8"/>
  <c r="AN97" i="8"/>
  <c r="AM97" i="8"/>
  <c r="AL97" i="8"/>
  <c r="AK97" i="8"/>
  <c r="AJ97" i="8"/>
  <c r="AI97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I97" i="8"/>
  <c r="H97" i="8"/>
  <c r="G97" i="8"/>
  <c r="F97" i="8"/>
  <c r="E97" i="8"/>
  <c r="AU96" i="8"/>
  <c r="AU95" i="8"/>
  <c r="AU94" i="8"/>
  <c r="AT93" i="8"/>
  <c r="AS93" i="8"/>
  <c r="AR93" i="8"/>
  <c r="AQ93" i="8"/>
  <c r="AP93" i="8"/>
  <c r="AO93" i="8"/>
  <c r="AN93" i="8"/>
  <c r="AM93" i="8"/>
  <c r="AL93" i="8"/>
  <c r="AK93" i="8"/>
  <c r="AJ93" i="8"/>
  <c r="AI93" i="8"/>
  <c r="AH93" i="8"/>
  <c r="AG93" i="8"/>
  <c r="AF93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AU92" i="8"/>
  <c r="AU91" i="8"/>
  <c r="AU90" i="8"/>
  <c r="AU89" i="8"/>
  <c r="AU88" i="8"/>
  <c r="AU87" i="8"/>
  <c r="AU86" i="8"/>
  <c r="AU85" i="8"/>
  <c r="AU84" i="8"/>
  <c r="AT83" i="8"/>
  <c r="AS83" i="8"/>
  <c r="AR83" i="8"/>
  <c r="AQ83" i="8"/>
  <c r="AP83" i="8"/>
  <c r="AO83" i="8"/>
  <c r="AN83" i="8"/>
  <c r="AM83" i="8"/>
  <c r="AL83" i="8"/>
  <c r="AK83" i="8"/>
  <c r="AJ83" i="8"/>
  <c r="AI83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AU82" i="8"/>
  <c r="AU81" i="8"/>
  <c r="AU80" i="8"/>
  <c r="AU79" i="8"/>
  <c r="AU78" i="8"/>
  <c r="AU77" i="8"/>
  <c r="AU76" i="8"/>
  <c r="AU75" i="8"/>
  <c r="AU74" i="8"/>
  <c r="AT73" i="8"/>
  <c r="AS73" i="8"/>
  <c r="AR73" i="8"/>
  <c r="AQ73" i="8"/>
  <c r="AP73" i="8"/>
  <c r="AO73" i="8"/>
  <c r="AN73" i="8"/>
  <c r="AM73" i="8"/>
  <c r="AL73" i="8"/>
  <c r="AK73" i="8"/>
  <c r="AJ73" i="8"/>
  <c r="AI73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AU72" i="8"/>
  <c r="AU71" i="8"/>
  <c r="AU70" i="8"/>
  <c r="AU69" i="8"/>
  <c r="AU68" i="8"/>
  <c r="AU67" i="8"/>
  <c r="AU66" i="8"/>
  <c r="AU65" i="8"/>
  <c r="AU64" i="8"/>
  <c r="AT63" i="8"/>
  <c r="AT184" i="8" s="1"/>
  <c r="AT186" i="8" s="1"/>
  <c r="AS63" i="8"/>
  <c r="AR63" i="8"/>
  <c r="AQ63" i="8"/>
  <c r="AP63" i="8"/>
  <c r="AO63" i="8"/>
  <c r="AN63" i="8"/>
  <c r="AM63" i="8"/>
  <c r="AL63" i="8"/>
  <c r="AK63" i="8"/>
  <c r="AJ63" i="8"/>
  <c r="AI63" i="8"/>
  <c r="AH63" i="8"/>
  <c r="AH184" i="8" s="1"/>
  <c r="AH186" i="8" s="1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E63" i="8"/>
  <c r="AU62" i="8"/>
  <c r="AU61" i="8"/>
  <c r="AU60" i="8"/>
  <c r="AU59" i="8"/>
  <c r="AU58" i="8"/>
  <c r="AU57" i="8"/>
  <c r="AU56" i="8"/>
  <c r="AU55" i="8"/>
  <c r="AU54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M184" i="8" s="1"/>
  <c r="M186" i="8" s="1"/>
  <c r="L53" i="8"/>
  <c r="L184" i="8" s="1"/>
  <c r="L186" i="8" s="1"/>
  <c r="K53" i="8"/>
  <c r="J53" i="8"/>
  <c r="I53" i="8"/>
  <c r="H53" i="8"/>
  <c r="G53" i="8"/>
  <c r="F53" i="8"/>
  <c r="E53" i="8"/>
  <c r="AU52" i="8"/>
  <c r="AU51" i="8"/>
  <c r="AU50" i="8"/>
  <c r="AU49" i="8"/>
  <c r="AU48" i="8"/>
  <c r="AU47" i="8"/>
  <c r="AU46" i="8"/>
  <c r="AU45" i="8"/>
  <c r="AT41" i="8"/>
  <c r="AS41" i="8"/>
  <c r="AR41" i="8"/>
  <c r="AQ41" i="8"/>
  <c r="AP41" i="8"/>
  <c r="AO41" i="8"/>
  <c r="AN41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AU40" i="8"/>
  <c r="AU39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AU35" i="8"/>
  <c r="AU34" i="8"/>
  <c r="AU33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D30" i="8" s="1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AT28" i="8"/>
  <c r="AS28" i="8"/>
  <c r="AS30" i="8" s="1"/>
  <c r="AR28" i="8"/>
  <c r="AR30" i="8" s="1"/>
  <c r="AQ28" i="8"/>
  <c r="AQ30" i="8" s="1"/>
  <c r="AP28" i="8"/>
  <c r="AO28" i="8"/>
  <c r="AO30" i="8" s="1"/>
  <c r="AN28" i="8"/>
  <c r="AN30" i="8" s="1"/>
  <c r="AM28" i="8"/>
  <c r="AM30" i="8" s="1"/>
  <c r="AL28" i="8"/>
  <c r="AL30" i="8" s="1"/>
  <c r="AK28" i="8"/>
  <c r="AJ28" i="8"/>
  <c r="AI28" i="8"/>
  <c r="AH28" i="8"/>
  <c r="AH30" i="8" s="1"/>
  <c r="AG28" i="8"/>
  <c r="AG30" i="8" s="1"/>
  <c r="AF28" i="8"/>
  <c r="AF30" i="8" s="1"/>
  <c r="AE28" i="8"/>
  <c r="AD28" i="8"/>
  <c r="AC28" i="8"/>
  <c r="AC30" i="8" s="1"/>
  <c r="AB28" i="8"/>
  <c r="AA28" i="8"/>
  <c r="Z28" i="8"/>
  <c r="Y28" i="8"/>
  <c r="X28" i="8"/>
  <c r="X30" i="8" s="1"/>
  <c r="W28" i="8"/>
  <c r="W30" i="8" s="1"/>
  <c r="V28" i="8"/>
  <c r="V30" i="8" s="1"/>
  <c r="U28" i="8"/>
  <c r="U30" i="8" s="1"/>
  <c r="T28" i="8"/>
  <c r="T30" i="8" s="1"/>
  <c r="S28" i="8"/>
  <c r="S30" i="8" s="1"/>
  <c r="R28" i="8"/>
  <c r="Q28" i="8"/>
  <c r="P28" i="8"/>
  <c r="O28" i="8"/>
  <c r="N28" i="8"/>
  <c r="N30" i="8" s="1"/>
  <c r="M28" i="8"/>
  <c r="L28" i="8"/>
  <c r="L30" i="8" s="1"/>
  <c r="K28" i="8"/>
  <c r="K30" i="8" s="1"/>
  <c r="J28" i="8"/>
  <c r="I28" i="8"/>
  <c r="H28" i="8"/>
  <c r="G28" i="8"/>
  <c r="G30" i="8" s="1"/>
  <c r="F28" i="8"/>
  <c r="E28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AU26" i="8"/>
  <c r="AU25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AU23" i="8"/>
  <c r="AU22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AU20" i="8"/>
  <c r="AU19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AU15" i="8"/>
  <c r="AU14" i="8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AB129" i="7" s="1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AA97" i="7"/>
  <c r="Z97" i="7"/>
  <c r="Y97" i="7"/>
  <c r="X97" i="7"/>
  <c r="W97" i="7"/>
  <c r="V97" i="7"/>
  <c r="U97" i="7"/>
  <c r="T97" i="7"/>
  <c r="AB97" i="7" s="1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K184" i="7" s="1"/>
  <c r="K186" i="7" s="1"/>
  <c r="J63" i="7"/>
  <c r="I63" i="7"/>
  <c r="H63" i="7"/>
  <c r="G63" i="7"/>
  <c r="F6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AA28" i="7"/>
  <c r="Z28" i="7"/>
  <c r="Y28" i="7"/>
  <c r="X28" i="7"/>
  <c r="W28" i="7"/>
  <c r="W30" i="7" s="1"/>
  <c r="V28" i="7"/>
  <c r="U28" i="7"/>
  <c r="U30" i="7" s="1"/>
  <c r="T28" i="7"/>
  <c r="S28" i="7"/>
  <c r="R28" i="7"/>
  <c r="Q28" i="7"/>
  <c r="P28" i="7"/>
  <c r="O28" i="7"/>
  <c r="N28" i="7"/>
  <c r="M28" i="7"/>
  <c r="L28" i="7"/>
  <c r="L30" i="7" s="1"/>
  <c r="K28" i="7"/>
  <c r="J28" i="7"/>
  <c r="J30" i="7" s="1"/>
  <c r="I28" i="7"/>
  <c r="H28" i="7"/>
  <c r="G28" i="7"/>
  <c r="F28" i="7"/>
  <c r="E28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AF185" i="6"/>
  <c r="AF183" i="6"/>
  <c r="AF182" i="6"/>
  <c r="AE181" i="6"/>
  <c r="AD181" i="6"/>
  <c r="AC181" i="6"/>
  <c r="AB181" i="6"/>
  <c r="AA181" i="6"/>
  <c r="Z181" i="6"/>
  <c r="Y181" i="6"/>
  <c r="X181" i="6"/>
  <c r="W181" i="6"/>
  <c r="V181" i="6"/>
  <c r="U181" i="6"/>
  <c r="T181" i="6"/>
  <c r="S181" i="6"/>
  <c r="R181" i="6"/>
  <c r="Q181" i="6"/>
  <c r="P181" i="6"/>
  <c r="O181" i="6"/>
  <c r="N181" i="6"/>
  <c r="M181" i="6"/>
  <c r="L181" i="6"/>
  <c r="K181" i="6"/>
  <c r="J181" i="6"/>
  <c r="I181" i="6"/>
  <c r="H181" i="6"/>
  <c r="G181" i="6"/>
  <c r="F181" i="6"/>
  <c r="E181" i="6"/>
  <c r="AF180" i="6"/>
  <c r="AF179" i="6"/>
  <c r="AF178" i="6"/>
  <c r="AF177" i="6"/>
  <c r="AF176" i="6"/>
  <c r="AE175" i="6"/>
  <c r="AD175" i="6"/>
  <c r="AC175" i="6"/>
  <c r="AB175" i="6"/>
  <c r="AA175" i="6"/>
  <c r="Z175" i="6"/>
  <c r="Y175" i="6"/>
  <c r="X175" i="6"/>
  <c r="W175" i="6"/>
  <c r="V175" i="6"/>
  <c r="U175" i="6"/>
  <c r="T175" i="6"/>
  <c r="S175" i="6"/>
  <c r="R175" i="6"/>
  <c r="Q175" i="6"/>
  <c r="P175" i="6"/>
  <c r="O175" i="6"/>
  <c r="N175" i="6"/>
  <c r="M175" i="6"/>
  <c r="L175" i="6"/>
  <c r="K175" i="6"/>
  <c r="J175" i="6"/>
  <c r="I175" i="6"/>
  <c r="H175" i="6"/>
  <c r="G175" i="6"/>
  <c r="F175" i="6"/>
  <c r="E175" i="6"/>
  <c r="AF174" i="6"/>
  <c r="AF173" i="6"/>
  <c r="AF172" i="6"/>
  <c r="AF171" i="6"/>
  <c r="AF170" i="6"/>
  <c r="AF169" i="6"/>
  <c r="AF168" i="6"/>
  <c r="AF167" i="6"/>
  <c r="AF166" i="6"/>
  <c r="AE165" i="6"/>
  <c r="AD165" i="6"/>
  <c r="AC165" i="6"/>
  <c r="AB165" i="6"/>
  <c r="AA165" i="6"/>
  <c r="Z165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H165" i="6"/>
  <c r="G165" i="6"/>
  <c r="F165" i="6"/>
  <c r="E165" i="6"/>
  <c r="AF164" i="6"/>
  <c r="AF163" i="6"/>
  <c r="AF162" i="6"/>
  <c r="AE161" i="6"/>
  <c r="AD161" i="6"/>
  <c r="AC161" i="6"/>
  <c r="AB161" i="6"/>
  <c r="AA161" i="6"/>
  <c r="Z161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H161" i="6"/>
  <c r="G161" i="6"/>
  <c r="F161" i="6"/>
  <c r="E161" i="6"/>
  <c r="AF160" i="6"/>
  <c r="AF159" i="6"/>
  <c r="AF158" i="6"/>
  <c r="AF157" i="6"/>
  <c r="AE156" i="6"/>
  <c r="AD156" i="6"/>
  <c r="AC156" i="6"/>
  <c r="AB156" i="6"/>
  <c r="AA156" i="6"/>
  <c r="Z156" i="6"/>
  <c r="Y156" i="6"/>
  <c r="X156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H156" i="6"/>
  <c r="G156" i="6"/>
  <c r="F156" i="6"/>
  <c r="E156" i="6"/>
  <c r="AF155" i="6"/>
  <c r="AF154" i="6"/>
  <c r="AF153" i="6"/>
  <c r="AF152" i="6"/>
  <c r="AF151" i="6"/>
  <c r="AF150" i="6"/>
  <c r="AF149" i="6"/>
  <c r="AF148" i="6"/>
  <c r="AF147" i="6"/>
  <c r="AE146" i="6"/>
  <c r="AD146" i="6"/>
  <c r="AC146" i="6"/>
  <c r="AB146" i="6"/>
  <c r="AA146" i="6"/>
  <c r="Z146" i="6"/>
  <c r="Y146" i="6"/>
  <c r="X146" i="6"/>
  <c r="W146" i="6"/>
  <c r="V146" i="6"/>
  <c r="U146" i="6"/>
  <c r="T146" i="6"/>
  <c r="S146" i="6"/>
  <c r="R146" i="6"/>
  <c r="Q146" i="6"/>
  <c r="P146" i="6"/>
  <c r="O146" i="6"/>
  <c r="N146" i="6"/>
  <c r="M146" i="6"/>
  <c r="L146" i="6"/>
  <c r="K146" i="6"/>
  <c r="J146" i="6"/>
  <c r="I146" i="6"/>
  <c r="H146" i="6"/>
  <c r="G146" i="6"/>
  <c r="F146" i="6"/>
  <c r="E146" i="6"/>
  <c r="AF145" i="6"/>
  <c r="AF144" i="6"/>
  <c r="AF143" i="6"/>
  <c r="AF142" i="6"/>
  <c r="AF141" i="6"/>
  <c r="AF140" i="6"/>
  <c r="AF139" i="6"/>
  <c r="AF138" i="6"/>
  <c r="AF137" i="6"/>
  <c r="AE136" i="6"/>
  <c r="AD136" i="6"/>
  <c r="AC136" i="6"/>
  <c r="AB136" i="6"/>
  <c r="AA136" i="6"/>
  <c r="Z136" i="6"/>
  <c r="Y136" i="6"/>
  <c r="X136" i="6"/>
  <c r="W136" i="6"/>
  <c r="V136" i="6"/>
  <c r="U136" i="6"/>
  <c r="T136" i="6"/>
  <c r="S136" i="6"/>
  <c r="R136" i="6"/>
  <c r="Q136" i="6"/>
  <c r="P136" i="6"/>
  <c r="O136" i="6"/>
  <c r="N136" i="6"/>
  <c r="M136" i="6"/>
  <c r="L136" i="6"/>
  <c r="K136" i="6"/>
  <c r="J136" i="6"/>
  <c r="I136" i="6"/>
  <c r="H136" i="6"/>
  <c r="G136" i="6"/>
  <c r="F136" i="6"/>
  <c r="E136" i="6"/>
  <c r="AF135" i="6"/>
  <c r="AF134" i="6"/>
  <c r="AF133" i="6"/>
  <c r="AF132" i="6"/>
  <c r="AF131" i="6"/>
  <c r="AF130" i="6"/>
  <c r="AE129" i="6"/>
  <c r="AD129" i="6"/>
  <c r="AC129" i="6"/>
  <c r="AB129" i="6"/>
  <c r="AA129" i="6"/>
  <c r="Z129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H129" i="6"/>
  <c r="G129" i="6"/>
  <c r="F129" i="6"/>
  <c r="E129" i="6"/>
  <c r="AF128" i="6"/>
  <c r="AF127" i="6"/>
  <c r="AF126" i="6"/>
  <c r="AE125" i="6"/>
  <c r="AD125" i="6"/>
  <c r="AC125" i="6"/>
  <c r="AB125" i="6"/>
  <c r="AA125" i="6"/>
  <c r="Z125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H125" i="6"/>
  <c r="G125" i="6"/>
  <c r="F125" i="6"/>
  <c r="E125" i="6"/>
  <c r="AF124" i="6"/>
  <c r="AF123" i="6"/>
  <c r="AF122" i="6"/>
  <c r="AF121" i="6"/>
  <c r="AF120" i="6"/>
  <c r="AF119" i="6"/>
  <c r="AF118" i="6"/>
  <c r="AF117" i="6"/>
  <c r="AF116" i="6"/>
  <c r="AE115" i="6"/>
  <c r="AD115" i="6"/>
  <c r="AC115" i="6"/>
  <c r="AB115" i="6"/>
  <c r="AA115" i="6"/>
  <c r="Z115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H115" i="6"/>
  <c r="G115" i="6"/>
  <c r="F115" i="6"/>
  <c r="E115" i="6"/>
  <c r="AF114" i="6"/>
  <c r="AF113" i="6"/>
  <c r="AF112" i="6"/>
  <c r="AE111" i="6"/>
  <c r="AD111" i="6"/>
  <c r="AC111" i="6"/>
  <c r="AB111" i="6"/>
  <c r="AA111" i="6"/>
  <c r="Z111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H111" i="6"/>
  <c r="G111" i="6"/>
  <c r="F111" i="6"/>
  <c r="E111" i="6"/>
  <c r="AF110" i="6"/>
  <c r="AF109" i="6"/>
  <c r="AF108" i="6"/>
  <c r="AF107" i="6"/>
  <c r="AF106" i="6"/>
  <c r="AF105" i="6"/>
  <c r="AF104" i="6"/>
  <c r="AF103" i="6"/>
  <c r="AF102" i="6"/>
  <c r="AE101" i="6"/>
  <c r="AD101" i="6"/>
  <c r="AC101" i="6"/>
  <c r="AB101" i="6"/>
  <c r="AA101" i="6"/>
  <c r="Z101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AF100" i="6"/>
  <c r="AF99" i="6"/>
  <c r="AF98" i="6"/>
  <c r="AE97" i="6"/>
  <c r="AD97" i="6"/>
  <c r="AC97" i="6"/>
  <c r="AB97" i="6"/>
  <c r="AA97" i="6"/>
  <c r="Z97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H97" i="6"/>
  <c r="G97" i="6"/>
  <c r="F97" i="6"/>
  <c r="E97" i="6"/>
  <c r="AF96" i="6"/>
  <c r="AF95" i="6"/>
  <c r="AF94" i="6"/>
  <c r="AE93" i="6"/>
  <c r="AD93" i="6"/>
  <c r="AC93" i="6"/>
  <c r="AB93" i="6"/>
  <c r="AA93" i="6"/>
  <c r="Z93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AF92" i="6"/>
  <c r="AF91" i="6"/>
  <c r="AF90" i="6"/>
  <c r="AF89" i="6"/>
  <c r="AF88" i="6"/>
  <c r="AF87" i="6"/>
  <c r="AF86" i="6"/>
  <c r="AF85" i="6"/>
  <c r="AF84" i="6"/>
  <c r="AE83" i="6"/>
  <c r="AD83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AF82" i="6"/>
  <c r="AF81" i="6"/>
  <c r="AF80" i="6"/>
  <c r="AF79" i="6"/>
  <c r="AF78" i="6"/>
  <c r="AF77" i="6"/>
  <c r="AF76" i="6"/>
  <c r="AF75" i="6"/>
  <c r="AF74" i="6"/>
  <c r="AE73" i="6"/>
  <c r="AD73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AF72" i="6"/>
  <c r="AF71" i="6"/>
  <c r="AF70" i="6"/>
  <c r="AF69" i="6"/>
  <c r="AF68" i="6"/>
  <c r="AF67" i="6"/>
  <c r="AF66" i="6"/>
  <c r="AF65" i="6"/>
  <c r="AF64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AF62" i="6"/>
  <c r="AF61" i="6"/>
  <c r="AF60" i="6"/>
  <c r="AF59" i="6"/>
  <c r="AF58" i="6"/>
  <c r="AF57" i="6"/>
  <c r="AF56" i="6"/>
  <c r="AF55" i="6"/>
  <c r="AF54" i="6"/>
  <c r="AE53" i="6"/>
  <c r="AD53" i="6"/>
  <c r="AC53" i="6"/>
  <c r="AB53" i="6"/>
  <c r="AA53" i="6"/>
  <c r="Z53" i="6"/>
  <c r="Y53" i="6"/>
  <c r="X53" i="6"/>
  <c r="W53" i="6"/>
  <c r="W184" i="6" s="1"/>
  <c r="W186" i="6" s="1"/>
  <c r="V53" i="6"/>
  <c r="U53" i="6"/>
  <c r="T53" i="6"/>
  <c r="T184" i="6" s="1"/>
  <c r="T186" i="6" s="1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AF52" i="6"/>
  <c r="AF51" i="6"/>
  <c r="AF50" i="6"/>
  <c r="AF49" i="6"/>
  <c r="AF48" i="6"/>
  <c r="AF47" i="6"/>
  <c r="AF46" i="6"/>
  <c r="AF45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AF40" i="6"/>
  <c r="AF39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AF35" i="6"/>
  <c r="AF34" i="6"/>
  <c r="AF33" i="6"/>
  <c r="AD30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Q30" i="6" s="1"/>
  <c r="P29" i="6"/>
  <c r="O29" i="6"/>
  <c r="N29" i="6"/>
  <c r="M29" i="6"/>
  <c r="L29" i="6"/>
  <c r="K29" i="6"/>
  <c r="J29" i="6"/>
  <c r="I29" i="6"/>
  <c r="H29" i="6"/>
  <c r="G29" i="6"/>
  <c r="F29" i="6"/>
  <c r="E29" i="6"/>
  <c r="AE28" i="6"/>
  <c r="AE30" i="6" s="1"/>
  <c r="AD28" i="6"/>
  <c r="AC28" i="6"/>
  <c r="AC30" i="6" s="1"/>
  <c r="AB28" i="6"/>
  <c r="AB30" i="6" s="1"/>
  <c r="AA28" i="6"/>
  <c r="AA30" i="6" s="1"/>
  <c r="Z28" i="6"/>
  <c r="Z30" i="6" s="1"/>
  <c r="Y28" i="6"/>
  <c r="Y30" i="6" s="1"/>
  <c r="X28" i="6"/>
  <c r="X30" i="6" s="1"/>
  <c r="W28" i="6"/>
  <c r="W30" i="6" s="1"/>
  <c r="V28" i="6"/>
  <c r="U28" i="6"/>
  <c r="T28" i="6"/>
  <c r="S28" i="6"/>
  <c r="S30" i="6" s="1"/>
  <c r="R28" i="6"/>
  <c r="R30" i="6" s="1"/>
  <c r="Q28" i="6"/>
  <c r="P28" i="6"/>
  <c r="P30" i="6" s="1"/>
  <c r="O28" i="6"/>
  <c r="O30" i="6" s="1"/>
  <c r="N28" i="6"/>
  <c r="N30" i="6" s="1"/>
  <c r="M28" i="6"/>
  <c r="L28" i="6"/>
  <c r="L30" i="6" s="1"/>
  <c r="K28" i="6"/>
  <c r="J28" i="6"/>
  <c r="I28" i="6"/>
  <c r="I30" i="6" s="1"/>
  <c r="H28" i="6"/>
  <c r="H30" i="6" s="1"/>
  <c r="G28" i="6"/>
  <c r="F28" i="6"/>
  <c r="F30" i="6" s="1"/>
  <c r="E28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AF26" i="6"/>
  <c r="AF25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AF23" i="6"/>
  <c r="AF22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AF20" i="6"/>
  <c r="AF19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AF15" i="6"/>
  <c r="AF185" i="5"/>
  <c r="AF183" i="5"/>
  <c r="AF182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AF180" i="5"/>
  <c r="AF179" i="5"/>
  <c r="AF178" i="5"/>
  <c r="AF177" i="5"/>
  <c r="AF176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AF174" i="5"/>
  <c r="AF173" i="5"/>
  <c r="AF172" i="5"/>
  <c r="AF171" i="5"/>
  <c r="AF170" i="5"/>
  <c r="AF169" i="5"/>
  <c r="AF168" i="5"/>
  <c r="AF167" i="5"/>
  <c r="AF166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AF164" i="5"/>
  <c r="AF163" i="5"/>
  <c r="AF162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AF160" i="5"/>
  <c r="AF159" i="5"/>
  <c r="AF158" i="5"/>
  <c r="AF157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AF155" i="5"/>
  <c r="AF154" i="5"/>
  <c r="AF153" i="5"/>
  <c r="AF152" i="5"/>
  <c r="AF151" i="5"/>
  <c r="AF150" i="5"/>
  <c r="AF149" i="5"/>
  <c r="AF148" i="5"/>
  <c r="AF147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AF145" i="5"/>
  <c r="AF144" i="5"/>
  <c r="AF143" i="5"/>
  <c r="AF142" i="5"/>
  <c r="AF141" i="5"/>
  <c r="AF140" i="5"/>
  <c r="AF139" i="5"/>
  <c r="AF138" i="5"/>
  <c r="AF137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AF135" i="5"/>
  <c r="AF134" i="5"/>
  <c r="AF133" i="5"/>
  <c r="AF132" i="5"/>
  <c r="AF131" i="5"/>
  <c r="AF130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AF129" i="5" s="1"/>
  <c r="G129" i="5"/>
  <c r="F129" i="5"/>
  <c r="E129" i="5"/>
  <c r="AF128" i="5"/>
  <c r="AF127" i="5"/>
  <c r="AF126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AF124" i="5"/>
  <c r="AF123" i="5"/>
  <c r="AF122" i="5"/>
  <c r="AF121" i="5"/>
  <c r="AF120" i="5"/>
  <c r="AF119" i="5"/>
  <c r="AF118" i="5"/>
  <c r="AF117" i="5"/>
  <c r="AF116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AF114" i="5"/>
  <c r="AF113" i="5"/>
  <c r="AF112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AF110" i="5"/>
  <c r="AF109" i="5"/>
  <c r="AF108" i="5"/>
  <c r="AF107" i="5"/>
  <c r="AF106" i="5"/>
  <c r="AF105" i="5"/>
  <c r="AF104" i="5"/>
  <c r="AF103" i="5"/>
  <c r="AF102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AF100" i="5"/>
  <c r="AF99" i="5"/>
  <c r="AF98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AF96" i="5"/>
  <c r="AF95" i="5"/>
  <c r="AF94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AF93" i="5" s="1"/>
  <c r="G93" i="5"/>
  <c r="F93" i="5"/>
  <c r="E93" i="5"/>
  <c r="AF92" i="5"/>
  <c r="AF91" i="5"/>
  <c r="AF90" i="5"/>
  <c r="AF89" i="5"/>
  <c r="AF88" i="5"/>
  <c r="AF87" i="5"/>
  <c r="AF86" i="5"/>
  <c r="AF85" i="5"/>
  <c r="AF84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AF82" i="5"/>
  <c r="AF81" i="5"/>
  <c r="AF80" i="5"/>
  <c r="AF79" i="5"/>
  <c r="AF78" i="5"/>
  <c r="AF77" i="5"/>
  <c r="AF76" i="5"/>
  <c r="AF75" i="5"/>
  <c r="AF74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AF72" i="5"/>
  <c r="AF71" i="5"/>
  <c r="AF70" i="5"/>
  <c r="AF69" i="5"/>
  <c r="AF68" i="5"/>
  <c r="AF67" i="5"/>
  <c r="AF66" i="5"/>
  <c r="AF65" i="5"/>
  <c r="AF64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AF62" i="5"/>
  <c r="AF61" i="5"/>
  <c r="AF60" i="5"/>
  <c r="AF59" i="5"/>
  <c r="AF58" i="5"/>
  <c r="AF57" i="5"/>
  <c r="AF56" i="5"/>
  <c r="AF55" i="5"/>
  <c r="AF54" i="5"/>
  <c r="AE53" i="5"/>
  <c r="AD53" i="5"/>
  <c r="AC53" i="5"/>
  <c r="AB53" i="5"/>
  <c r="AA53" i="5"/>
  <c r="Z53" i="5"/>
  <c r="Y53" i="5"/>
  <c r="X53" i="5"/>
  <c r="W53" i="5"/>
  <c r="V53" i="5"/>
  <c r="U53" i="5"/>
  <c r="U184" i="5" s="1"/>
  <c r="U186" i="5" s="1"/>
  <c r="T53" i="5"/>
  <c r="T184" i="5" s="1"/>
  <c r="T186" i="5" s="1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AF52" i="5"/>
  <c r="AF51" i="5"/>
  <c r="AF50" i="5"/>
  <c r="AF49" i="5"/>
  <c r="AF48" i="5"/>
  <c r="AF47" i="5"/>
  <c r="AF46" i="5"/>
  <c r="AF45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AF40" i="5"/>
  <c r="AF39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AF35" i="5"/>
  <c r="AF34" i="5"/>
  <c r="AF33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AE28" i="5"/>
  <c r="AE30" i="5" s="1"/>
  <c r="AD28" i="5"/>
  <c r="AD30" i="5" s="1"/>
  <c r="AC28" i="5"/>
  <c r="AC30" i="5" s="1"/>
  <c r="AB28" i="5"/>
  <c r="AA28" i="5"/>
  <c r="Z28" i="5"/>
  <c r="Y28" i="5"/>
  <c r="Y30" i="5" s="1"/>
  <c r="X28" i="5"/>
  <c r="W28" i="5"/>
  <c r="V28" i="5"/>
  <c r="U28" i="5"/>
  <c r="U30" i="5" s="1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AF26" i="5"/>
  <c r="AF25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AF23" i="5"/>
  <c r="AF22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AF20" i="5"/>
  <c r="AF19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AF15" i="5"/>
  <c r="AF14" i="5"/>
  <c r="Z185" i="4"/>
  <c r="Z183" i="4"/>
  <c r="Z182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Z181" i="4" s="1"/>
  <c r="Z180" i="4"/>
  <c r="Z179" i="4"/>
  <c r="Z178" i="4"/>
  <c r="Z177" i="4"/>
  <c r="Z176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Z174" i="4"/>
  <c r="Z173" i="4"/>
  <c r="Z172" i="4"/>
  <c r="Z171" i="4"/>
  <c r="Z170" i="4"/>
  <c r="Z169" i="4"/>
  <c r="Z168" i="4"/>
  <c r="Z167" i="4"/>
  <c r="Z166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Z164" i="4"/>
  <c r="Z163" i="4"/>
  <c r="Z162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Z160" i="4"/>
  <c r="Z159" i="4"/>
  <c r="Z158" i="4"/>
  <c r="Z157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Z155" i="4"/>
  <c r="Z154" i="4"/>
  <c r="Z153" i="4"/>
  <c r="Z152" i="4"/>
  <c r="Z151" i="4"/>
  <c r="Z150" i="4"/>
  <c r="Z149" i="4"/>
  <c r="Z148" i="4"/>
  <c r="Z147" i="4"/>
  <c r="Y146" i="4"/>
  <c r="X146" i="4"/>
  <c r="W146" i="4"/>
  <c r="V146" i="4"/>
  <c r="U146" i="4"/>
  <c r="T146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Z145" i="4"/>
  <c r="Z144" i="4"/>
  <c r="Z143" i="4"/>
  <c r="Z142" i="4"/>
  <c r="Z141" i="4"/>
  <c r="Z140" i="4"/>
  <c r="Z139" i="4"/>
  <c r="Z138" i="4"/>
  <c r="Z137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Z135" i="4"/>
  <c r="Z134" i="4"/>
  <c r="Z133" i="4"/>
  <c r="Z132" i="4"/>
  <c r="Z131" i="4"/>
  <c r="Z130" i="4"/>
  <c r="Y129" i="4"/>
  <c r="X129" i="4"/>
  <c r="W129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Z129" i="4" s="1"/>
  <c r="Z128" i="4"/>
  <c r="E128" i="1" s="1"/>
  <c r="Z127" i="4"/>
  <c r="Z126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Z124" i="4"/>
  <c r="Z123" i="4"/>
  <c r="Z122" i="4"/>
  <c r="Z121" i="4"/>
  <c r="Z120" i="4"/>
  <c r="Z119" i="4"/>
  <c r="Z118" i="4"/>
  <c r="Z117" i="4"/>
  <c r="Z116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Z114" i="4"/>
  <c r="Z113" i="4"/>
  <c r="Z112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Z110" i="4"/>
  <c r="Z109" i="4"/>
  <c r="Z108" i="4"/>
  <c r="Z107" i="4"/>
  <c r="Z106" i="4"/>
  <c r="Z105" i="4"/>
  <c r="Z104" i="4"/>
  <c r="Z103" i="4"/>
  <c r="Z102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Z100" i="4"/>
  <c r="Z99" i="4"/>
  <c r="Z98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Z96" i="4"/>
  <c r="Z95" i="4"/>
  <c r="Z94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Z92" i="4"/>
  <c r="Z91" i="4"/>
  <c r="Z90" i="4"/>
  <c r="Z89" i="4"/>
  <c r="Z88" i="4"/>
  <c r="Z87" i="4"/>
  <c r="Z86" i="4"/>
  <c r="Z85" i="4"/>
  <c r="Z84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Z82" i="4"/>
  <c r="Z81" i="4"/>
  <c r="Z80" i="4"/>
  <c r="Z79" i="4"/>
  <c r="Z78" i="4"/>
  <c r="Z77" i="4"/>
  <c r="Z76" i="4"/>
  <c r="Z75" i="4"/>
  <c r="Z74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Z72" i="4"/>
  <c r="Z71" i="4"/>
  <c r="Z70" i="4"/>
  <c r="Z69" i="4"/>
  <c r="Z68" i="4"/>
  <c r="Z67" i="4"/>
  <c r="Z66" i="4"/>
  <c r="Z65" i="4"/>
  <c r="Z64" i="4"/>
  <c r="Y63" i="4"/>
  <c r="X63" i="4"/>
  <c r="W63" i="4"/>
  <c r="V63" i="4"/>
  <c r="U63" i="4"/>
  <c r="T63" i="4"/>
  <c r="S63" i="4"/>
  <c r="R63" i="4"/>
  <c r="R184" i="4" s="1"/>
  <c r="R186" i="4" s="1"/>
  <c r="Q63" i="4"/>
  <c r="P63" i="4"/>
  <c r="O63" i="4"/>
  <c r="N63" i="4"/>
  <c r="M63" i="4"/>
  <c r="L63" i="4"/>
  <c r="K63" i="4"/>
  <c r="K184" i="4" s="1"/>
  <c r="K186" i="4" s="1"/>
  <c r="J63" i="4"/>
  <c r="I63" i="4"/>
  <c r="H63" i="4"/>
  <c r="G63" i="4"/>
  <c r="F63" i="4"/>
  <c r="F184" i="4" s="1"/>
  <c r="F186" i="4" s="1"/>
  <c r="E63" i="4"/>
  <c r="Z62" i="4"/>
  <c r="Z61" i="4"/>
  <c r="Z60" i="4"/>
  <c r="Z59" i="4"/>
  <c r="Z58" i="4"/>
  <c r="Z57" i="4"/>
  <c r="Z56" i="4"/>
  <c r="Z55" i="4"/>
  <c r="Z54" i="4"/>
  <c r="Y53" i="4"/>
  <c r="X53" i="4"/>
  <c r="W53" i="4"/>
  <c r="V53" i="4"/>
  <c r="U53" i="4"/>
  <c r="T53" i="4"/>
  <c r="S53" i="4"/>
  <c r="R53" i="4"/>
  <c r="Q53" i="4"/>
  <c r="Q184" i="4" s="1"/>
  <c r="Q186" i="4" s="1"/>
  <c r="P53" i="4"/>
  <c r="O53" i="4"/>
  <c r="N53" i="4"/>
  <c r="M53" i="4"/>
  <c r="L53" i="4"/>
  <c r="K53" i="4"/>
  <c r="J53" i="4"/>
  <c r="J184" i="4" s="1"/>
  <c r="J186" i="4" s="1"/>
  <c r="I53" i="4"/>
  <c r="H53" i="4"/>
  <c r="G53" i="4"/>
  <c r="F53" i="4"/>
  <c r="E53" i="4"/>
  <c r="Z52" i="4"/>
  <c r="Z51" i="4"/>
  <c r="Z50" i="4"/>
  <c r="Z49" i="4"/>
  <c r="Z48" i="4"/>
  <c r="Z47" i="4"/>
  <c r="Z46" i="4"/>
  <c r="Z45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Z41" i="4" s="1"/>
  <c r="G41" i="4"/>
  <c r="F41" i="4"/>
  <c r="E41" i="4"/>
  <c r="Z40" i="4"/>
  <c r="Z39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Z35" i="4"/>
  <c r="Z34" i="4"/>
  <c r="Z33" i="4"/>
  <c r="Y29" i="4"/>
  <c r="X29" i="4"/>
  <c r="W29" i="4"/>
  <c r="V29" i="4"/>
  <c r="U29" i="4"/>
  <c r="T29" i="4"/>
  <c r="S29" i="4"/>
  <c r="R29" i="4"/>
  <c r="Q29" i="4"/>
  <c r="P29" i="4"/>
  <c r="P30" i="4" s="1"/>
  <c r="O29" i="4"/>
  <c r="N29" i="4"/>
  <c r="M29" i="4"/>
  <c r="L29" i="4"/>
  <c r="K29" i="4"/>
  <c r="J29" i="4"/>
  <c r="I29" i="4"/>
  <c r="H29" i="4"/>
  <c r="G29" i="4"/>
  <c r="F29" i="4"/>
  <c r="E29" i="4"/>
  <c r="Y28" i="4"/>
  <c r="X28" i="4"/>
  <c r="W28" i="4"/>
  <c r="V28" i="4"/>
  <c r="U28" i="4"/>
  <c r="T28" i="4"/>
  <c r="S28" i="4"/>
  <c r="S30" i="4" s="1"/>
  <c r="R28" i="4"/>
  <c r="Q28" i="4"/>
  <c r="P28" i="4"/>
  <c r="O28" i="4"/>
  <c r="N28" i="4"/>
  <c r="M28" i="4"/>
  <c r="L28" i="4"/>
  <c r="K28" i="4"/>
  <c r="J28" i="4"/>
  <c r="I28" i="4"/>
  <c r="H28" i="4"/>
  <c r="H30" i="4" s="1"/>
  <c r="G28" i="4"/>
  <c r="G30" i="4" s="1"/>
  <c r="F28" i="4"/>
  <c r="E28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Z26" i="4"/>
  <c r="Z25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Z23" i="4"/>
  <c r="Z22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Z20" i="4"/>
  <c r="Z19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Z15" i="4"/>
  <c r="Z14" i="4"/>
  <c r="AH185" i="3"/>
  <c r="AH183" i="3"/>
  <c r="AH182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AH180" i="3"/>
  <c r="AH179" i="3"/>
  <c r="AH178" i="3"/>
  <c r="AH177" i="3"/>
  <c r="AH176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AH174" i="3"/>
  <c r="AH173" i="3"/>
  <c r="AH172" i="3"/>
  <c r="AH171" i="3"/>
  <c r="AH170" i="3"/>
  <c r="AH169" i="3"/>
  <c r="AH168" i="3"/>
  <c r="AH167" i="3"/>
  <c r="AH166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AH164" i="3"/>
  <c r="AH163" i="3"/>
  <c r="AH162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AH160" i="3"/>
  <c r="AH159" i="3"/>
  <c r="AH158" i="3"/>
  <c r="AH157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AH155" i="3"/>
  <c r="AH154" i="3"/>
  <c r="AH153" i="3"/>
  <c r="AH152" i="3"/>
  <c r="AH151" i="3"/>
  <c r="AH150" i="3"/>
  <c r="AH149" i="3"/>
  <c r="AH148" i="3"/>
  <c r="AH147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AH145" i="3"/>
  <c r="AH144" i="3"/>
  <c r="AH143" i="3"/>
  <c r="AH142" i="3"/>
  <c r="AH141" i="3"/>
  <c r="AH140" i="3"/>
  <c r="AH139" i="3"/>
  <c r="AH138" i="3"/>
  <c r="AH137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AH135" i="3"/>
  <c r="AH134" i="3"/>
  <c r="AH133" i="3"/>
  <c r="AH132" i="3"/>
  <c r="AH131" i="3"/>
  <c r="AH130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AH129" i="3" s="1"/>
  <c r="AH128" i="3"/>
  <c r="AH127" i="3"/>
  <c r="AH126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AH124" i="3"/>
  <c r="AH123" i="3"/>
  <c r="AH122" i="3"/>
  <c r="AH121" i="3"/>
  <c r="AH120" i="3"/>
  <c r="AH119" i="3"/>
  <c r="AH118" i="3"/>
  <c r="AH117" i="3"/>
  <c r="AH116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AH114" i="3"/>
  <c r="AH113" i="3"/>
  <c r="AH112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AH110" i="3"/>
  <c r="AH109" i="3"/>
  <c r="AH108" i="3"/>
  <c r="AH107" i="3"/>
  <c r="AH106" i="3"/>
  <c r="AH105" i="3"/>
  <c r="AH104" i="3"/>
  <c r="AH103" i="3"/>
  <c r="AH102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AH100" i="3"/>
  <c r="AH99" i="3"/>
  <c r="AH98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AH96" i="3"/>
  <c r="AH95" i="3"/>
  <c r="AH94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AH92" i="3"/>
  <c r="AH91" i="3"/>
  <c r="AH90" i="3"/>
  <c r="AH89" i="3"/>
  <c r="AH88" i="3"/>
  <c r="AH87" i="3"/>
  <c r="AH86" i="3"/>
  <c r="AH85" i="3"/>
  <c r="AH84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AH82" i="3"/>
  <c r="AH81" i="3"/>
  <c r="AH80" i="3"/>
  <c r="AH79" i="3"/>
  <c r="AH78" i="3"/>
  <c r="AH77" i="3"/>
  <c r="AH76" i="3"/>
  <c r="AH75" i="3"/>
  <c r="AH74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AH72" i="3"/>
  <c r="AH71" i="3"/>
  <c r="AH70" i="3"/>
  <c r="AH69" i="3"/>
  <c r="AH68" i="3"/>
  <c r="AH67" i="3"/>
  <c r="AH66" i="3"/>
  <c r="AH65" i="3"/>
  <c r="AH64" i="3"/>
  <c r="AG63" i="3"/>
  <c r="AF63" i="3"/>
  <c r="AE63" i="3"/>
  <c r="AD63" i="3"/>
  <c r="AD184" i="3" s="1"/>
  <c r="AD186" i="3" s="1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AH62" i="3"/>
  <c r="AH61" i="3"/>
  <c r="AH60" i="3"/>
  <c r="AH59" i="3"/>
  <c r="AH58" i="3"/>
  <c r="AH57" i="3"/>
  <c r="AH56" i="3"/>
  <c r="AH55" i="3"/>
  <c r="AH54" i="3"/>
  <c r="AG53" i="3"/>
  <c r="AF53" i="3"/>
  <c r="AE53" i="3"/>
  <c r="AD53" i="3"/>
  <c r="AC53" i="3"/>
  <c r="AB53" i="3"/>
  <c r="AA53" i="3"/>
  <c r="Z53" i="3"/>
  <c r="Y53" i="3"/>
  <c r="X53" i="3"/>
  <c r="W53" i="3"/>
  <c r="W184" i="3" s="1"/>
  <c r="W186" i="3" s="1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AH52" i="3"/>
  <c r="AH51" i="3"/>
  <c r="AH50" i="3"/>
  <c r="AH49" i="3"/>
  <c r="AH48" i="3"/>
  <c r="AH47" i="3"/>
  <c r="AH46" i="3"/>
  <c r="AH45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AH40" i="3"/>
  <c r="AH39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AH35" i="3"/>
  <c r="AH34" i="3"/>
  <c r="AH33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AG28" i="3"/>
  <c r="AF28" i="3"/>
  <c r="AF30" i="3" s="1"/>
  <c r="AE28" i="3"/>
  <c r="AE30" i="3" s="1"/>
  <c r="AD28" i="3"/>
  <c r="AD30" i="3" s="1"/>
  <c r="AC28" i="3"/>
  <c r="AC30" i="3" s="1"/>
  <c r="AB28" i="3"/>
  <c r="AB30" i="3" s="1"/>
  <c r="AA28" i="3"/>
  <c r="AA30" i="3" s="1"/>
  <c r="Z28" i="3"/>
  <c r="Z30" i="3" s="1"/>
  <c r="Y28" i="3"/>
  <c r="X28" i="3"/>
  <c r="W28" i="3"/>
  <c r="V28" i="3"/>
  <c r="U28" i="3"/>
  <c r="T28" i="3"/>
  <c r="T30" i="3" s="1"/>
  <c r="S28" i="3"/>
  <c r="R28" i="3"/>
  <c r="R30" i="3" s="1"/>
  <c r="Q28" i="3"/>
  <c r="Q30" i="3" s="1"/>
  <c r="P28" i="3"/>
  <c r="O28" i="3"/>
  <c r="N28" i="3"/>
  <c r="M28" i="3"/>
  <c r="L28" i="3"/>
  <c r="K28" i="3"/>
  <c r="J28" i="3"/>
  <c r="I28" i="3"/>
  <c r="H28" i="3"/>
  <c r="H30" i="3" s="1"/>
  <c r="G28" i="3"/>
  <c r="G30" i="3" s="1"/>
  <c r="F28" i="3"/>
  <c r="F30" i="3" s="1"/>
  <c r="E28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AH27" i="3" s="1"/>
  <c r="F27" i="3"/>
  <c r="E27" i="3"/>
  <c r="AH26" i="3"/>
  <c r="AH25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AH23" i="3"/>
  <c r="AH22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AH20" i="3"/>
  <c r="AH19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AH15" i="3"/>
  <c r="AH14" i="3"/>
  <c r="AG185" i="2"/>
  <c r="AG183" i="2"/>
  <c r="AG182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AG180" i="2"/>
  <c r="AG179" i="2"/>
  <c r="AG178" i="2"/>
  <c r="AG177" i="2"/>
  <c r="AG176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AG174" i="2"/>
  <c r="AG173" i="2"/>
  <c r="E173" i="1" s="1"/>
  <c r="AG172" i="2"/>
  <c r="AG171" i="2"/>
  <c r="AG170" i="2"/>
  <c r="AG169" i="2"/>
  <c r="AG168" i="2"/>
  <c r="AG167" i="2"/>
  <c r="AG166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AG164" i="2"/>
  <c r="AG163" i="2"/>
  <c r="AG162" i="2"/>
  <c r="AF161" i="2"/>
  <c r="AE161" i="2"/>
  <c r="AD161" i="2"/>
  <c r="AC161" i="2"/>
  <c r="AB161" i="2"/>
  <c r="AA161" i="2"/>
  <c r="Z161" i="2"/>
  <c r="Y161" i="2"/>
  <c r="X161" i="2"/>
  <c r="W161" i="2"/>
  <c r="V161" i="2"/>
  <c r="U161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G161" i="2"/>
  <c r="F161" i="2"/>
  <c r="E161" i="2"/>
  <c r="AG160" i="2"/>
  <c r="AG159" i="2"/>
  <c r="AG158" i="2"/>
  <c r="AG157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AG155" i="2"/>
  <c r="AG154" i="2"/>
  <c r="AG153" i="2"/>
  <c r="AG152" i="2"/>
  <c r="AG151" i="2"/>
  <c r="AG150" i="2"/>
  <c r="AG149" i="2"/>
  <c r="AG148" i="2"/>
  <c r="AG147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AG145" i="2"/>
  <c r="AG144" i="2"/>
  <c r="AG143" i="2"/>
  <c r="AG142" i="2"/>
  <c r="AG141" i="2"/>
  <c r="E141" i="1" s="1"/>
  <c r="AG140" i="2"/>
  <c r="AG139" i="2"/>
  <c r="AG138" i="2"/>
  <c r="AG137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AG135" i="2"/>
  <c r="AG134" i="2"/>
  <c r="AG133" i="2"/>
  <c r="AG132" i="2"/>
  <c r="AG131" i="2"/>
  <c r="AG130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AG128" i="2"/>
  <c r="AG127" i="2"/>
  <c r="AG126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AG124" i="2"/>
  <c r="AG123" i="2"/>
  <c r="AG122" i="2"/>
  <c r="AG121" i="2"/>
  <c r="AG120" i="2"/>
  <c r="AG119" i="2"/>
  <c r="AG118" i="2"/>
  <c r="E118" i="1" s="1"/>
  <c r="AG117" i="2"/>
  <c r="AG116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AG114" i="2"/>
  <c r="AG113" i="2"/>
  <c r="AG112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AG110" i="2"/>
  <c r="AG109" i="2"/>
  <c r="AG108" i="2"/>
  <c r="AG107" i="2"/>
  <c r="AG106" i="2"/>
  <c r="AG105" i="2"/>
  <c r="AG104" i="2"/>
  <c r="AG103" i="2"/>
  <c r="AG102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AG100" i="2"/>
  <c r="AG99" i="2"/>
  <c r="AG98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AG96" i="2"/>
  <c r="AG95" i="2"/>
  <c r="AG94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AG92" i="2"/>
  <c r="AG91" i="2"/>
  <c r="AG90" i="2"/>
  <c r="AG89" i="2"/>
  <c r="AG88" i="2"/>
  <c r="AG87" i="2"/>
  <c r="AG86" i="2"/>
  <c r="AG85" i="2"/>
  <c r="AG84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AG82" i="2"/>
  <c r="AG81" i="2"/>
  <c r="AG80" i="2"/>
  <c r="AG79" i="2"/>
  <c r="AG78" i="2"/>
  <c r="AG77" i="2"/>
  <c r="AG76" i="2"/>
  <c r="AG75" i="2"/>
  <c r="AG74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AG72" i="2"/>
  <c r="AG71" i="2"/>
  <c r="AG70" i="2"/>
  <c r="AG69" i="2"/>
  <c r="AG68" i="2"/>
  <c r="AG67" i="2"/>
  <c r="AG66" i="2"/>
  <c r="AG65" i="2"/>
  <c r="AG64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AG62" i="2"/>
  <c r="AG61" i="2"/>
  <c r="AG60" i="2"/>
  <c r="AG59" i="2"/>
  <c r="AG58" i="2"/>
  <c r="AG57" i="2"/>
  <c r="AG56" i="2"/>
  <c r="AG55" i="2"/>
  <c r="AG54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AG52" i="2"/>
  <c r="AG51" i="2"/>
  <c r="AG50" i="2"/>
  <c r="AG49" i="2"/>
  <c r="AG48" i="2"/>
  <c r="AG47" i="2"/>
  <c r="AG46" i="2"/>
  <c r="AG45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AG40" i="2"/>
  <c r="AG39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AG35" i="2"/>
  <c r="AG34" i="2"/>
  <c r="AG33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AF28" i="2"/>
  <c r="AF30" i="2" s="1"/>
  <c r="AE28" i="2"/>
  <c r="AE30" i="2" s="1"/>
  <c r="AD28" i="2"/>
  <c r="AD30" i="2" s="1"/>
  <c r="AC28" i="2"/>
  <c r="AC30" i="2" s="1"/>
  <c r="AB28" i="2"/>
  <c r="AB30" i="2" s="1"/>
  <c r="AA28" i="2"/>
  <c r="Z28" i="2"/>
  <c r="Y28" i="2"/>
  <c r="X28" i="2"/>
  <c r="W28" i="2"/>
  <c r="W30" i="2" s="1"/>
  <c r="V28" i="2"/>
  <c r="U28" i="2"/>
  <c r="U30" i="2" s="1"/>
  <c r="T28" i="2"/>
  <c r="T30" i="2" s="1"/>
  <c r="S28" i="2"/>
  <c r="S30" i="2" s="1"/>
  <c r="R28" i="2"/>
  <c r="Q28" i="2"/>
  <c r="Q30" i="2" s="1"/>
  <c r="P28" i="2"/>
  <c r="P30" i="2" s="1"/>
  <c r="O28" i="2"/>
  <c r="N28" i="2"/>
  <c r="M28" i="2"/>
  <c r="L28" i="2"/>
  <c r="L30" i="2" s="1"/>
  <c r="K28" i="2"/>
  <c r="K30" i="2" s="1"/>
  <c r="J28" i="2"/>
  <c r="J30" i="2" s="1"/>
  <c r="I28" i="2"/>
  <c r="I30" i="2" s="1"/>
  <c r="H28" i="2"/>
  <c r="H30" i="2" s="1"/>
  <c r="G28" i="2"/>
  <c r="G30" i="2" s="1"/>
  <c r="F28" i="2"/>
  <c r="E28" i="2"/>
  <c r="E30" i="2" s="1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AG26" i="2"/>
  <c r="AG25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AG23" i="2"/>
  <c r="AG22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AG20" i="2"/>
  <c r="AG19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AG15" i="2"/>
  <c r="AG14" i="2"/>
  <c r="G184" i="4" l="1"/>
  <c r="G186" i="4" s="1"/>
  <c r="S184" i="4"/>
  <c r="S186" i="4" s="1"/>
  <c r="Z175" i="4"/>
  <c r="Z165" i="4"/>
  <c r="Z161" i="4"/>
  <c r="Z156" i="4"/>
  <c r="E149" i="1"/>
  <c r="E148" i="1"/>
  <c r="E138" i="1"/>
  <c r="H184" i="4"/>
  <c r="H186" i="4" s="1"/>
  <c r="Z146" i="4"/>
  <c r="Z136" i="4"/>
  <c r="Z125" i="4"/>
  <c r="Z115" i="4"/>
  <c r="Z111" i="4"/>
  <c r="O184" i="4"/>
  <c r="O186" i="4" s="1"/>
  <c r="Z101" i="4"/>
  <c r="Z97" i="4"/>
  <c r="Y184" i="4"/>
  <c r="Y186" i="4" s="1"/>
  <c r="Z93" i="4"/>
  <c r="W184" i="4"/>
  <c r="W186" i="4" s="1"/>
  <c r="X184" i="4"/>
  <c r="X186" i="4" s="1"/>
  <c r="Z83" i="4"/>
  <c r="Z73" i="4"/>
  <c r="I184" i="4"/>
  <c r="I186" i="4" s="1"/>
  <c r="P184" i="4"/>
  <c r="P186" i="4" s="1"/>
  <c r="T184" i="4"/>
  <c r="T186" i="4" s="1"/>
  <c r="U184" i="4"/>
  <c r="U186" i="4" s="1"/>
  <c r="V184" i="4"/>
  <c r="V186" i="4" s="1"/>
  <c r="Z53" i="4"/>
  <c r="M184" i="4"/>
  <c r="M186" i="4" s="1"/>
  <c r="N184" i="4"/>
  <c r="N186" i="4" s="1"/>
  <c r="L184" i="4"/>
  <c r="L186" i="4" s="1"/>
  <c r="E184" i="4"/>
  <c r="E186" i="4" s="1"/>
  <c r="Z63" i="4"/>
  <c r="T30" i="4"/>
  <c r="U30" i="4"/>
  <c r="V30" i="4"/>
  <c r="X30" i="4"/>
  <c r="Y30" i="4"/>
  <c r="W30" i="4"/>
  <c r="E39" i="1"/>
  <c r="Z36" i="4"/>
  <c r="Z27" i="4"/>
  <c r="I30" i="4"/>
  <c r="N30" i="4"/>
  <c r="O30" i="4"/>
  <c r="J30" i="4"/>
  <c r="K30" i="4"/>
  <c r="L30" i="4"/>
  <c r="Z24" i="4"/>
  <c r="Z21" i="4"/>
  <c r="M30" i="4"/>
  <c r="Z29" i="4"/>
  <c r="Z28" i="4"/>
  <c r="Q30" i="4"/>
  <c r="F30" i="4"/>
  <c r="R30" i="4"/>
  <c r="Z16" i="4"/>
  <c r="AF181" i="5"/>
  <c r="E169" i="1"/>
  <c r="AF175" i="5"/>
  <c r="E174" i="1"/>
  <c r="V184" i="5"/>
  <c r="V186" i="5" s="1"/>
  <c r="AF165" i="5"/>
  <c r="J184" i="5"/>
  <c r="J186" i="5" s="1"/>
  <c r="AF161" i="5"/>
  <c r="E143" i="1"/>
  <c r="AF146" i="5"/>
  <c r="AF156" i="5"/>
  <c r="X184" i="5"/>
  <c r="X186" i="5" s="1"/>
  <c r="W184" i="5"/>
  <c r="W186" i="5" s="1"/>
  <c r="M184" i="5"/>
  <c r="M186" i="5" s="1"/>
  <c r="AF136" i="5"/>
  <c r="AC184" i="5"/>
  <c r="AC186" i="5" s="1"/>
  <c r="AF125" i="5"/>
  <c r="AF115" i="5"/>
  <c r="AF111" i="5"/>
  <c r="AF101" i="5"/>
  <c r="AB184" i="5"/>
  <c r="AB186" i="5" s="1"/>
  <c r="AD184" i="5"/>
  <c r="AD186" i="5" s="1"/>
  <c r="Z184" i="5"/>
  <c r="Z186" i="5" s="1"/>
  <c r="AA184" i="5"/>
  <c r="AA186" i="5" s="1"/>
  <c r="AE184" i="5"/>
  <c r="AE186" i="5" s="1"/>
  <c r="AF97" i="5"/>
  <c r="O184" i="5"/>
  <c r="O186" i="5" s="1"/>
  <c r="P184" i="5"/>
  <c r="P186" i="5" s="1"/>
  <c r="E85" i="1"/>
  <c r="Y184" i="5"/>
  <c r="Y186" i="5" s="1"/>
  <c r="AF83" i="5"/>
  <c r="E76" i="1"/>
  <c r="E70" i="1"/>
  <c r="AF73" i="5"/>
  <c r="AF63" i="5"/>
  <c r="E52" i="1"/>
  <c r="I184" i="5"/>
  <c r="I186" i="5" s="1"/>
  <c r="K184" i="5"/>
  <c r="K186" i="5" s="1"/>
  <c r="H184" i="5"/>
  <c r="H186" i="5" s="1"/>
  <c r="L184" i="5"/>
  <c r="L186" i="5" s="1"/>
  <c r="AF53" i="5"/>
  <c r="Q184" i="5"/>
  <c r="Q186" i="5" s="1"/>
  <c r="N184" i="5"/>
  <c r="N186" i="5" s="1"/>
  <c r="F184" i="5"/>
  <c r="F186" i="5" s="1"/>
  <c r="R184" i="5"/>
  <c r="R186" i="5" s="1"/>
  <c r="G184" i="5"/>
  <c r="G186" i="5" s="1"/>
  <c r="S184" i="5"/>
  <c r="S186" i="5" s="1"/>
  <c r="E184" i="5"/>
  <c r="E186" i="5" s="1"/>
  <c r="V30" i="5"/>
  <c r="AF24" i="5"/>
  <c r="Z30" i="5"/>
  <c r="W30" i="5"/>
  <c r="X30" i="5"/>
  <c r="E35" i="1"/>
  <c r="M30" i="5"/>
  <c r="AH181" i="3"/>
  <c r="AH175" i="3"/>
  <c r="E168" i="1"/>
  <c r="AH165" i="3"/>
  <c r="AH161" i="3"/>
  <c r="AH156" i="3"/>
  <c r="E150" i="1"/>
  <c r="AH146" i="3"/>
  <c r="AH136" i="3"/>
  <c r="E122" i="1"/>
  <c r="AH125" i="3"/>
  <c r="E117" i="1"/>
  <c r="AH115" i="3"/>
  <c r="E99" i="1"/>
  <c r="E100" i="1"/>
  <c r="K184" i="3"/>
  <c r="K186" i="3" s="1"/>
  <c r="AH111" i="3"/>
  <c r="E108" i="1"/>
  <c r="E107" i="1"/>
  <c r="AH101" i="3"/>
  <c r="AH97" i="3"/>
  <c r="L184" i="3"/>
  <c r="L186" i="3" s="1"/>
  <c r="M184" i="3"/>
  <c r="M186" i="3" s="1"/>
  <c r="AH93" i="3"/>
  <c r="F184" i="3"/>
  <c r="F186" i="3" s="1"/>
  <c r="R184" i="3"/>
  <c r="R186" i="3" s="1"/>
  <c r="AA184" i="3"/>
  <c r="AA186" i="3" s="1"/>
  <c r="Z184" i="3"/>
  <c r="Z186" i="3" s="1"/>
  <c r="T184" i="3"/>
  <c r="T186" i="3" s="1"/>
  <c r="AF184" i="3"/>
  <c r="AF186" i="3" s="1"/>
  <c r="U184" i="3"/>
  <c r="U186" i="3" s="1"/>
  <c r="AG184" i="3"/>
  <c r="AG186" i="3" s="1"/>
  <c r="AE184" i="3"/>
  <c r="AE186" i="3" s="1"/>
  <c r="V184" i="3"/>
  <c r="V186" i="3" s="1"/>
  <c r="AB184" i="3"/>
  <c r="AB186" i="3" s="1"/>
  <c r="AC184" i="3"/>
  <c r="AC186" i="3" s="1"/>
  <c r="N184" i="3"/>
  <c r="N186" i="3" s="1"/>
  <c r="E80" i="1"/>
  <c r="AH83" i="3"/>
  <c r="O184" i="3"/>
  <c r="O186" i="3" s="1"/>
  <c r="I184" i="3"/>
  <c r="I186" i="3" s="1"/>
  <c r="AH73" i="3"/>
  <c r="J184" i="3"/>
  <c r="J186" i="3" s="1"/>
  <c r="Q184" i="3"/>
  <c r="Q186" i="3" s="1"/>
  <c r="P184" i="3"/>
  <c r="P186" i="3" s="1"/>
  <c r="E59" i="1"/>
  <c r="X184" i="3"/>
  <c r="X186" i="3" s="1"/>
  <c r="Y184" i="3"/>
  <c r="Y186" i="3" s="1"/>
  <c r="E50" i="1"/>
  <c r="G184" i="3"/>
  <c r="G186" i="3" s="1"/>
  <c r="S184" i="3"/>
  <c r="S186" i="3" s="1"/>
  <c r="AH63" i="3"/>
  <c r="H184" i="3"/>
  <c r="H186" i="3" s="1"/>
  <c r="E46" i="1"/>
  <c r="AH53" i="3"/>
  <c r="E184" i="3"/>
  <c r="E186" i="3" s="1"/>
  <c r="AH24" i="3"/>
  <c r="U30" i="3"/>
  <c r="AG30" i="3"/>
  <c r="W30" i="3"/>
  <c r="X30" i="3"/>
  <c r="V30" i="3"/>
  <c r="Y30" i="3"/>
  <c r="AH41" i="3"/>
  <c r="AH36" i="3"/>
  <c r="K30" i="3"/>
  <c r="S30" i="3"/>
  <c r="N30" i="3"/>
  <c r="O30" i="3"/>
  <c r="P30" i="3"/>
  <c r="AH21" i="3"/>
  <c r="J30" i="3"/>
  <c r="I30" i="3"/>
  <c r="AH28" i="3"/>
  <c r="L30" i="3"/>
  <c r="AH29" i="3"/>
  <c r="M30" i="3"/>
  <c r="AH16" i="3"/>
  <c r="T30" i="5"/>
  <c r="N30" i="5"/>
  <c r="AA30" i="5"/>
  <c r="AB30" i="5"/>
  <c r="H30" i="5"/>
  <c r="I30" i="5"/>
  <c r="AF41" i="5"/>
  <c r="AF36" i="5"/>
  <c r="AF27" i="5"/>
  <c r="F30" i="5"/>
  <c r="R30" i="5"/>
  <c r="G30" i="5"/>
  <c r="S30" i="5"/>
  <c r="O30" i="5"/>
  <c r="P30" i="5"/>
  <c r="AF28" i="5"/>
  <c r="Q30" i="5"/>
  <c r="AF29" i="5"/>
  <c r="J30" i="5"/>
  <c r="AF21" i="5"/>
  <c r="K30" i="5"/>
  <c r="L30" i="5"/>
  <c r="AF16" i="5"/>
  <c r="E177" i="1"/>
  <c r="Z184" i="2"/>
  <c r="Z186" i="2" s="1"/>
  <c r="AA184" i="2"/>
  <c r="AA186" i="2" s="1"/>
  <c r="AG175" i="2"/>
  <c r="AG181" i="2"/>
  <c r="N184" i="2"/>
  <c r="N186" i="2" s="1"/>
  <c r="E164" i="1"/>
  <c r="Y184" i="2"/>
  <c r="Y186" i="2" s="1"/>
  <c r="E163" i="1"/>
  <c r="E165" i="1" s="1"/>
  <c r="AG165" i="2"/>
  <c r="AG161" i="2"/>
  <c r="AB184" i="2"/>
  <c r="AB186" i="2" s="1"/>
  <c r="AC184" i="2"/>
  <c r="AC186" i="2" s="1"/>
  <c r="E152" i="1"/>
  <c r="AG156" i="2"/>
  <c r="Q184" i="2"/>
  <c r="Q186" i="2" s="1"/>
  <c r="AG146" i="2"/>
  <c r="P184" i="2"/>
  <c r="P186" i="2" s="1"/>
  <c r="AG129" i="2"/>
  <c r="E135" i="1"/>
  <c r="AG136" i="2"/>
  <c r="R184" i="2"/>
  <c r="R186" i="2" s="1"/>
  <c r="F184" i="2"/>
  <c r="F186" i="2" s="1"/>
  <c r="E121" i="1"/>
  <c r="E119" i="1"/>
  <c r="AG125" i="2"/>
  <c r="AG115" i="2"/>
  <c r="E114" i="1"/>
  <c r="E113" i="1"/>
  <c r="AE184" i="2"/>
  <c r="AE186" i="2" s="1"/>
  <c r="G184" i="2"/>
  <c r="G186" i="2" s="1"/>
  <c r="E105" i="1"/>
  <c r="E106" i="1"/>
  <c r="AG111" i="2"/>
  <c r="AG101" i="2"/>
  <c r="V184" i="2"/>
  <c r="V186" i="2" s="1"/>
  <c r="AG97" i="2"/>
  <c r="E92" i="1"/>
  <c r="AG93" i="2"/>
  <c r="W184" i="2"/>
  <c r="W186" i="2" s="1"/>
  <c r="T184" i="2"/>
  <c r="T186" i="2" s="1"/>
  <c r="AF184" i="2"/>
  <c r="AF186" i="2" s="1"/>
  <c r="U184" i="2"/>
  <c r="U186" i="2" s="1"/>
  <c r="X184" i="2"/>
  <c r="X186" i="2" s="1"/>
  <c r="AG73" i="2"/>
  <c r="L184" i="2"/>
  <c r="L186" i="2" s="1"/>
  <c r="E79" i="1"/>
  <c r="K184" i="2"/>
  <c r="K186" i="2" s="1"/>
  <c r="AG83" i="2"/>
  <c r="AD184" i="2"/>
  <c r="AD186" i="2" s="1"/>
  <c r="AG53" i="2"/>
  <c r="AG63" i="2"/>
  <c r="S184" i="2"/>
  <c r="S186" i="2" s="1"/>
  <c r="H184" i="2"/>
  <c r="H186" i="2" s="1"/>
  <c r="J184" i="2"/>
  <c r="J186" i="2" s="1"/>
  <c r="M184" i="2"/>
  <c r="M186" i="2" s="1"/>
  <c r="O184" i="2"/>
  <c r="O186" i="2" s="1"/>
  <c r="E48" i="1"/>
  <c r="I184" i="2"/>
  <c r="I186" i="2" s="1"/>
  <c r="AG24" i="2"/>
  <c r="E22" i="1"/>
  <c r="V30" i="2"/>
  <c r="X30" i="2"/>
  <c r="AA30" i="2"/>
  <c r="Y30" i="2"/>
  <c r="Z30" i="2"/>
  <c r="AG41" i="2"/>
  <c r="AG36" i="2"/>
  <c r="AG27" i="2"/>
  <c r="O30" i="2"/>
  <c r="AG21" i="2"/>
  <c r="M30" i="2"/>
  <c r="F30" i="2"/>
  <c r="R30" i="2"/>
  <c r="N30" i="2"/>
  <c r="AG29" i="2"/>
  <c r="AG16" i="2"/>
  <c r="E178" i="1"/>
  <c r="AK184" i="8"/>
  <c r="AK186" i="8" s="1"/>
  <c r="AL184" i="8"/>
  <c r="AL186" i="8" s="1"/>
  <c r="AU181" i="8"/>
  <c r="AU175" i="8"/>
  <c r="Z184" i="8"/>
  <c r="Z186" i="8" s="1"/>
  <c r="N184" i="8"/>
  <c r="N186" i="8" s="1"/>
  <c r="AU161" i="8"/>
  <c r="E153" i="1"/>
  <c r="E155" i="1"/>
  <c r="AU146" i="8"/>
  <c r="E144" i="1"/>
  <c r="AU156" i="8"/>
  <c r="AU136" i="8"/>
  <c r="AU115" i="8"/>
  <c r="AU125" i="8"/>
  <c r="AS184" i="8"/>
  <c r="AS186" i="8" s="1"/>
  <c r="AU111" i="8"/>
  <c r="AU101" i="8"/>
  <c r="AU93" i="8"/>
  <c r="AU97" i="8"/>
  <c r="AR184" i="8"/>
  <c r="AR186" i="8" s="1"/>
  <c r="AM184" i="8"/>
  <c r="AM186" i="8" s="1"/>
  <c r="AN184" i="8"/>
  <c r="AN186" i="8" s="1"/>
  <c r="AO184" i="8"/>
  <c r="AO186" i="8" s="1"/>
  <c r="AQ184" i="8"/>
  <c r="AQ186" i="8" s="1"/>
  <c r="T184" i="8"/>
  <c r="T186" i="8" s="1"/>
  <c r="AF184" i="8"/>
  <c r="AF186" i="8" s="1"/>
  <c r="AD184" i="8"/>
  <c r="AD186" i="8" s="1"/>
  <c r="V184" i="8"/>
  <c r="V186" i="8" s="1"/>
  <c r="AA184" i="8"/>
  <c r="AA186" i="8" s="1"/>
  <c r="AB184" i="8"/>
  <c r="AB186" i="8" s="1"/>
  <c r="AC184" i="8"/>
  <c r="AC186" i="8" s="1"/>
  <c r="U184" i="8"/>
  <c r="U186" i="8" s="1"/>
  <c r="AG184" i="8"/>
  <c r="AG186" i="8" s="1"/>
  <c r="AE184" i="8"/>
  <c r="AE186" i="8" s="1"/>
  <c r="E82" i="1"/>
  <c r="AU83" i="8"/>
  <c r="O184" i="8"/>
  <c r="O186" i="8" s="1"/>
  <c r="P184" i="8"/>
  <c r="P186" i="8" s="1"/>
  <c r="E184" i="8"/>
  <c r="E186" i="8" s="1"/>
  <c r="Q184" i="8"/>
  <c r="Q186" i="8" s="1"/>
  <c r="F184" i="8"/>
  <c r="F186" i="8" s="1"/>
  <c r="R184" i="8"/>
  <c r="R186" i="8" s="1"/>
  <c r="G184" i="8"/>
  <c r="G186" i="8" s="1"/>
  <c r="S184" i="8"/>
  <c r="S186" i="8" s="1"/>
  <c r="H184" i="8"/>
  <c r="H186" i="8" s="1"/>
  <c r="AU73" i="8"/>
  <c r="E56" i="1"/>
  <c r="AP184" i="8"/>
  <c r="AP186" i="8" s="1"/>
  <c r="AI184" i="8"/>
  <c r="AI186" i="8" s="1"/>
  <c r="AJ184" i="8"/>
  <c r="AJ186" i="8" s="1"/>
  <c r="E58" i="1"/>
  <c r="W184" i="8"/>
  <c r="W186" i="8" s="1"/>
  <c r="X184" i="8"/>
  <c r="X186" i="8" s="1"/>
  <c r="AU63" i="8"/>
  <c r="Y184" i="8"/>
  <c r="Y186" i="8" s="1"/>
  <c r="I184" i="8"/>
  <c r="I186" i="8" s="1"/>
  <c r="J184" i="8"/>
  <c r="J186" i="8" s="1"/>
  <c r="K184" i="8"/>
  <c r="K186" i="8" s="1"/>
  <c r="E51" i="1"/>
  <c r="AU53" i="8"/>
  <c r="AT30" i="8"/>
  <c r="AI30" i="8"/>
  <c r="AJ30" i="8"/>
  <c r="AP30" i="8"/>
  <c r="AK30" i="8"/>
  <c r="AU41" i="8"/>
  <c r="AA30" i="8"/>
  <c r="Y30" i="8"/>
  <c r="Z30" i="8"/>
  <c r="AU24" i="8"/>
  <c r="AB30" i="8"/>
  <c r="AE30" i="8"/>
  <c r="AU36" i="8"/>
  <c r="AU27" i="8"/>
  <c r="O30" i="8"/>
  <c r="P30" i="8"/>
  <c r="Q30" i="8"/>
  <c r="AU28" i="8"/>
  <c r="E30" i="8"/>
  <c r="AU21" i="8"/>
  <c r="H30" i="8"/>
  <c r="I30" i="8"/>
  <c r="J30" i="8"/>
  <c r="AU29" i="8"/>
  <c r="F30" i="8"/>
  <c r="R30" i="8"/>
  <c r="M30" i="8"/>
  <c r="AU16" i="8"/>
  <c r="E185" i="1"/>
  <c r="AF181" i="6"/>
  <c r="AF175" i="6"/>
  <c r="X184" i="6"/>
  <c r="X186" i="6" s="1"/>
  <c r="AF165" i="6"/>
  <c r="AD184" i="6"/>
  <c r="AD186" i="6" s="1"/>
  <c r="AF161" i="6"/>
  <c r="E154" i="1"/>
  <c r="AF146" i="6"/>
  <c r="E142" i="1"/>
  <c r="AF156" i="6"/>
  <c r="Z184" i="6"/>
  <c r="Z186" i="6" s="1"/>
  <c r="N184" i="6"/>
  <c r="N186" i="6" s="1"/>
  <c r="O184" i="6"/>
  <c r="O186" i="6" s="1"/>
  <c r="AF136" i="6"/>
  <c r="AF129" i="6"/>
  <c r="AB184" i="6"/>
  <c r="AB186" i="6" s="1"/>
  <c r="AC184" i="6"/>
  <c r="AC186" i="6" s="1"/>
  <c r="U184" i="6"/>
  <c r="U186" i="6" s="1"/>
  <c r="AF125" i="6"/>
  <c r="E124" i="1"/>
  <c r="AF115" i="6"/>
  <c r="AA184" i="6"/>
  <c r="AA186" i="6" s="1"/>
  <c r="AF101" i="6"/>
  <c r="AF111" i="6"/>
  <c r="AE184" i="6"/>
  <c r="AE186" i="6" s="1"/>
  <c r="AF93" i="6"/>
  <c r="AF97" i="6"/>
  <c r="P184" i="6"/>
  <c r="P186" i="6" s="1"/>
  <c r="V184" i="6"/>
  <c r="V186" i="6" s="1"/>
  <c r="AF83" i="6"/>
  <c r="E66" i="1"/>
  <c r="E72" i="1"/>
  <c r="AF73" i="6"/>
  <c r="Y184" i="6"/>
  <c r="Y186" i="6" s="1"/>
  <c r="E57" i="1"/>
  <c r="J184" i="6"/>
  <c r="J186" i="6" s="1"/>
  <c r="K184" i="6"/>
  <c r="K186" i="6" s="1"/>
  <c r="L184" i="6"/>
  <c r="L186" i="6" s="1"/>
  <c r="E47" i="1"/>
  <c r="M184" i="6"/>
  <c r="M186" i="6" s="1"/>
  <c r="I184" i="6"/>
  <c r="I186" i="6" s="1"/>
  <c r="AF53" i="6"/>
  <c r="E184" i="6"/>
  <c r="E186" i="6" s="1"/>
  <c r="Q184" i="6"/>
  <c r="Q186" i="6" s="1"/>
  <c r="F184" i="6"/>
  <c r="F186" i="6" s="1"/>
  <c r="R184" i="6"/>
  <c r="R186" i="6" s="1"/>
  <c r="G184" i="6"/>
  <c r="G186" i="6" s="1"/>
  <c r="S184" i="6"/>
  <c r="S186" i="6" s="1"/>
  <c r="H184" i="6"/>
  <c r="H186" i="6" s="1"/>
  <c r="AF63" i="6"/>
  <c r="V30" i="6"/>
  <c r="T30" i="6"/>
  <c r="U30" i="6"/>
  <c r="E20" i="1"/>
  <c r="AF41" i="6"/>
  <c r="AF36" i="6"/>
  <c r="AF27" i="6"/>
  <c r="M30" i="6"/>
  <c r="E30" i="6"/>
  <c r="AF29" i="6"/>
  <c r="AF24" i="6"/>
  <c r="K30" i="6"/>
  <c r="J30" i="6"/>
  <c r="AF21" i="6"/>
  <c r="AF28" i="6"/>
  <c r="AF16" i="6"/>
  <c r="AB181" i="7"/>
  <c r="AB175" i="7"/>
  <c r="E172" i="1"/>
  <c r="E171" i="1"/>
  <c r="AB165" i="7"/>
  <c r="AB161" i="7"/>
  <c r="E160" i="1"/>
  <c r="E159" i="1"/>
  <c r="AB156" i="7"/>
  <c r="E151" i="1"/>
  <c r="AB146" i="7"/>
  <c r="AB136" i="7"/>
  <c r="AB125" i="7"/>
  <c r="AB115" i="7"/>
  <c r="U184" i="7"/>
  <c r="U186" i="7" s="1"/>
  <c r="E123" i="1"/>
  <c r="AB111" i="7"/>
  <c r="AB101" i="7"/>
  <c r="L184" i="7"/>
  <c r="L186" i="7" s="1"/>
  <c r="E103" i="1"/>
  <c r="E104" i="1"/>
  <c r="Z184" i="7"/>
  <c r="Z186" i="7" s="1"/>
  <c r="T184" i="7"/>
  <c r="T186" i="7" s="1"/>
  <c r="AB93" i="7"/>
  <c r="V184" i="7"/>
  <c r="V186" i="7" s="1"/>
  <c r="E90" i="1"/>
  <c r="E88" i="1"/>
  <c r="E87" i="1"/>
  <c r="E89" i="1"/>
  <c r="E75" i="1"/>
  <c r="AB83" i="7"/>
  <c r="AA184" i="7"/>
  <c r="AA186" i="7" s="1"/>
  <c r="E65" i="1"/>
  <c r="X184" i="7"/>
  <c r="X186" i="7" s="1"/>
  <c r="E69" i="1"/>
  <c r="Y184" i="7"/>
  <c r="Y186" i="7" s="1"/>
  <c r="AB73" i="7"/>
  <c r="W184" i="7"/>
  <c r="W186" i="7" s="1"/>
  <c r="Q184" i="7"/>
  <c r="Q186" i="7" s="1"/>
  <c r="F184" i="7"/>
  <c r="F186" i="7" s="1"/>
  <c r="E78" i="1"/>
  <c r="N184" i="7"/>
  <c r="N186" i="7" s="1"/>
  <c r="O184" i="7"/>
  <c r="O186" i="7" s="1"/>
  <c r="E77" i="1"/>
  <c r="R184" i="7"/>
  <c r="R186" i="7" s="1"/>
  <c r="E81" i="1"/>
  <c r="E67" i="1"/>
  <c r="E68" i="1"/>
  <c r="I184" i="7"/>
  <c r="I186" i="7" s="1"/>
  <c r="J184" i="7"/>
  <c r="J186" i="7" s="1"/>
  <c r="AB63" i="7"/>
  <c r="E55" i="1"/>
  <c r="E45" i="1"/>
  <c r="S184" i="7"/>
  <c r="S186" i="7" s="1"/>
  <c r="AB184" i="7"/>
  <c r="G184" i="7"/>
  <c r="G186" i="7" s="1"/>
  <c r="M184" i="7"/>
  <c r="M186" i="7" s="1"/>
  <c r="H184" i="7"/>
  <c r="H186" i="7" s="1"/>
  <c r="P184" i="7"/>
  <c r="P186" i="7" s="1"/>
  <c r="E184" i="7"/>
  <c r="E186" i="7" s="1"/>
  <c r="E145" i="1"/>
  <c r="E60" i="1"/>
  <c r="E61" i="1"/>
  <c r="E62" i="1"/>
  <c r="E91" i="1"/>
  <c r="E127" i="1"/>
  <c r="E129" i="1" s="1"/>
  <c r="E158" i="1"/>
  <c r="E23" i="1"/>
  <c r="E71" i="1"/>
  <c r="E95" i="1"/>
  <c r="E131" i="1"/>
  <c r="E139" i="1"/>
  <c r="E179" i="1"/>
  <c r="E86" i="1"/>
  <c r="E170" i="1"/>
  <c r="E109" i="1"/>
  <c r="E96" i="1"/>
  <c r="E132" i="1"/>
  <c r="E140" i="1"/>
  <c r="E180" i="1"/>
  <c r="E25" i="1"/>
  <c r="E34" i="1"/>
  <c r="E110" i="1"/>
  <c r="E26" i="1"/>
  <c r="E133" i="1"/>
  <c r="E120" i="1"/>
  <c r="E49" i="1"/>
  <c r="E134" i="1"/>
  <c r="E167" i="1"/>
  <c r="AA30" i="7"/>
  <c r="V30" i="7"/>
  <c r="Z30" i="7"/>
  <c r="Y30" i="7"/>
  <c r="X30" i="7"/>
  <c r="T30" i="7"/>
  <c r="E40" i="1"/>
  <c r="E41" i="1" s="1"/>
  <c r="E33" i="1"/>
  <c r="F30" i="7"/>
  <c r="R30" i="7"/>
  <c r="K30" i="7"/>
  <c r="Q30" i="7"/>
  <c r="G30" i="7"/>
  <c r="S30" i="7"/>
  <c r="H30" i="7"/>
  <c r="O30" i="7"/>
  <c r="P30" i="7"/>
  <c r="E30" i="7"/>
  <c r="M30" i="7"/>
  <c r="N30" i="7"/>
  <c r="E19" i="1"/>
  <c r="E15" i="1"/>
  <c r="E14" i="1"/>
  <c r="AG28" i="2"/>
  <c r="E30" i="3"/>
  <c r="E30" i="5"/>
  <c r="G30" i="6"/>
  <c r="I30" i="7"/>
  <c r="E30" i="4"/>
  <c r="Z186" i="4" l="1"/>
  <c r="Z184" i="4"/>
  <c r="Z30" i="4"/>
  <c r="E101" i="1"/>
  <c r="AF184" i="5"/>
  <c r="AF186" i="5"/>
  <c r="E161" i="1"/>
  <c r="E115" i="1"/>
  <c r="AH186" i="3"/>
  <c r="AH184" i="3"/>
  <c r="E27" i="1"/>
  <c r="AH30" i="3"/>
  <c r="E21" i="1"/>
  <c r="AF30" i="5"/>
  <c r="AG184" i="2"/>
  <c r="AG186" i="2"/>
  <c r="AG30" i="2"/>
  <c r="E156" i="1"/>
  <c r="E146" i="1"/>
  <c r="AU186" i="8"/>
  <c r="AU184" i="8"/>
  <c r="E53" i="1"/>
  <c r="AU30" i="8"/>
  <c r="E175" i="1"/>
  <c r="E125" i="1"/>
  <c r="E93" i="1"/>
  <c r="E83" i="1"/>
  <c r="E73" i="1"/>
  <c r="AF186" i="6"/>
  <c r="AF184" i="6"/>
  <c r="E36" i="1"/>
  <c r="E29" i="1"/>
  <c r="AF30" i="6"/>
  <c r="E181" i="1"/>
  <c r="E136" i="1"/>
  <c r="E111" i="1"/>
  <c r="E97" i="1"/>
  <c r="AB186" i="7"/>
  <c r="E63" i="1"/>
  <c r="E24" i="1"/>
  <c r="E16" i="1"/>
  <c r="E28" i="1"/>
  <c r="E184" i="1" l="1"/>
  <c r="E186" i="1" s="1"/>
  <c r="E30" i="1"/>
</calcChain>
</file>

<file path=xl/sharedStrings.xml><?xml version="1.0" encoding="utf-8"?>
<sst xmlns="http://schemas.openxmlformats.org/spreadsheetml/2006/main" count="2227" uniqueCount="212">
  <si>
    <t>Kecamatan</t>
  </si>
  <si>
    <t>BANGOREJO</t>
  </si>
  <si>
    <t>Kabupaten</t>
  </si>
  <si>
    <t>BANYUWANGI</t>
  </si>
  <si>
    <t>Provinsi</t>
  </si>
  <si>
    <t>JAWA TIMUR</t>
  </si>
  <si>
    <t>I</t>
  </si>
  <si>
    <t>DATA PEMILIH DAN PENGGUNAAN HAK PILIH</t>
  </si>
  <si>
    <t>JUMLAH AKHIR</t>
  </si>
  <si>
    <t>A</t>
  </si>
  <si>
    <t xml:space="preserve">DATA PEMILIH  </t>
  </si>
  <si>
    <t>Jumlah Pemilih dalam Daftar Pemilih Tetap (DPT)</t>
  </si>
  <si>
    <t>LK</t>
  </si>
  <si>
    <t>PR</t>
  </si>
  <si>
    <t>JML</t>
  </si>
  <si>
    <t>B</t>
  </si>
  <si>
    <t>PENGGUNA HAK PILIH</t>
  </si>
  <si>
    <t>1.</t>
  </si>
  <si>
    <t>Jumlah pengguna hak pilih dalam Daftar Pemilih Tetap (DPT)</t>
  </si>
  <si>
    <t>2.</t>
  </si>
  <si>
    <t>Jumlah pengguna hak pilih dalam Daftar Pemilih Tambahan (DPTb)</t>
  </si>
  <si>
    <t>3.</t>
  </si>
  <si>
    <t>Jumlah pengguna hak pilih dalam Daftar Pemilih Khusus (DPK)</t>
  </si>
  <si>
    <t>4.</t>
  </si>
  <si>
    <t>Jumlah Pengguna Hak Pilih (B.1+B.2+B.3)</t>
  </si>
  <si>
    <t>II</t>
  </si>
  <si>
    <t>DATA PENGGUNAAN SURAT SUARA</t>
  </si>
  <si>
    <t>Jumlah surat suara yang diterima, termasuk surat suara cadangan 2,5% dari DPT</t>
  </si>
  <si>
    <t>Jumlah surat suara yang digunakan</t>
  </si>
  <si>
    <t>Jumlah surat suara dikembalikan oleh pemilih (karena rusak atau keliru coblos)</t>
  </si>
  <si>
    <t>Jumlah surat suara yang tidak digunakan/tidak terpakai, termasuk sisa surat suara cadangan</t>
  </si>
  <si>
    <t>III</t>
  </si>
  <si>
    <t>DATA PEMILIH DISABILITAS</t>
  </si>
  <si>
    <t>Jumlah seluruh Pemilih disabilitas yang menggunakan hak pilih</t>
  </si>
  <si>
    <t>IV</t>
  </si>
  <si>
    <t>DATA RINCIAN PEROLEHAN SUARA PASANGAN CALON BUPATI DAN WAKIL BUPATI</t>
  </si>
  <si>
    <t>NOMOR DAN NAMA CALON</t>
  </si>
  <si>
    <t>A.1</t>
  </si>
  <si>
    <t>Partai Kebangkitan Bangsa</t>
  </si>
  <si>
    <t>A.2</t>
  </si>
  <si>
    <t>1. MUKHTAR NABALI MUFAUWIQ</t>
  </si>
  <si>
    <t>2. H. SUSIYANTO</t>
  </si>
  <si>
    <t>3. DUWI HASTRENI, S.H.</t>
  </si>
  <si>
    <t>4. MIFTAKHODIN</t>
  </si>
  <si>
    <t>5. SITI MUSTIKAH</t>
  </si>
  <si>
    <t>6. ABDUL GHOFUR</t>
  </si>
  <si>
    <t>7. ABDUL ROHMAN, S.Pd.</t>
  </si>
  <si>
    <t>JUMLAH SUARA SAH PARTAI POLITIK DAN CALON (A1 + A2)</t>
  </si>
  <si>
    <t>Partai Gerakan Indonesia Raya</t>
  </si>
  <si>
    <t>1. Drs. H. SUPRAYOGIN</t>
  </si>
  <si>
    <t>2. MAHFUD SYAMSUL HADI</t>
  </si>
  <si>
    <t>3. NUR AINI</t>
  </si>
  <si>
    <t>4. ACHMAD ALI WAFFA</t>
  </si>
  <si>
    <t>5. SRI HARTATIK</t>
  </si>
  <si>
    <t>6. MAKIK SIHOMBING</t>
  </si>
  <si>
    <t>7. LIDYA OKTAVIANA</t>
  </si>
  <si>
    <t>Partai Demokrasi Indonesia Perjuangan</t>
  </si>
  <si>
    <t>1. PATEMO</t>
  </si>
  <si>
    <t>2. EKO HARIYONO</t>
  </si>
  <si>
    <t>3. SRI RUSMAWATI</t>
  </si>
  <si>
    <t>4. SUGIYANTO</t>
  </si>
  <si>
    <t>5. DHEA SARTIKA</t>
  </si>
  <si>
    <t>6. WIDIAWATI</t>
  </si>
  <si>
    <t>7. ARIF NUR CAHYO</t>
  </si>
  <si>
    <t>Partai Golongan Karya</t>
  </si>
  <si>
    <t>1. MOCHAMMAD ZAENUL ARIFIN, S.M.</t>
  </si>
  <si>
    <t>2. NANANG EDY SUPRIYONO</t>
  </si>
  <si>
    <t>3. SITI MUNAWAROH</t>
  </si>
  <si>
    <t>4. SINUNG TEGUH SANTOSO, S.H., M.H.</t>
  </si>
  <si>
    <t>5. Drs. ALI MUKHSIN</t>
  </si>
  <si>
    <t>6. JUMIA KAMSISKA</t>
  </si>
  <si>
    <t>7. Dra. DYAH PURWANINGSIH</t>
  </si>
  <si>
    <t>5.</t>
  </si>
  <si>
    <t>Partai NasDem</t>
  </si>
  <si>
    <t>1. AGUNG SETYO WIBOWO, S.E.</t>
  </si>
  <si>
    <t>2. M. AGHISTNI MAULANA S.</t>
  </si>
  <si>
    <t>3. MUJIATI</t>
  </si>
  <si>
    <t>4. MOH. ALI MAGHFUR, S.S., M.Si.</t>
  </si>
  <si>
    <t>5. NUR HIDAYAH, S.H.</t>
  </si>
  <si>
    <t>6. NUR FATMAWATI</t>
  </si>
  <si>
    <t>7. BAMBANG AGUS SANTOSO</t>
  </si>
  <si>
    <t>6.</t>
  </si>
  <si>
    <t>Partai Buruh</t>
  </si>
  <si>
    <t>1. YULIANTO</t>
  </si>
  <si>
    <t>7.</t>
  </si>
  <si>
    <t>Partai Gelombang Rakyat Indonesia</t>
  </si>
  <si>
    <t>1. AGUNG TUTUKO</t>
  </si>
  <si>
    <t>8.</t>
  </si>
  <si>
    <t>Partai Keadilan Sejahtera</t>
  </si>
  <si>
    <t>1. IMRON EFFENDI, S.Pd.I.</t>
  </si>
  <si>
    <t>2. RIYANTO</t>
  </si>
  <si>
    <t>3. DYAH RATNAWATI, S.P.</t>
  </si>
  <si>
    <t>4. SLAMET EFENDI, S.Pd.I.</t>
  </si>
  <si>
    <t>5. NIDA'UL A'DILAH</t>
  </si>
  <si>
    <t>6. FUJI ARIANTI, S.Pd.</t>
  </si>
  <si>
    <t>7. PUJI LEGA CAHYONO</t>
  </si>
  <si>
    <t>9.</t>
  </si>
  <si>
    <t>Partai Kebangkitan Nusantara</t>
  </si>
  <si>
    <t>1. NANIN LINDYAWATI</t>
  </si>
  <si>
    <t>10.</t>
  </si>
  <si>
    <t>Partai Hati Nurani Rakyat</t>
  </si>
  <si>
    <t>1. WAWAN KRISDIANTO, S.T.</t>
  </si>
  <si>
    <t>2. Drs. SUGIYO</t>
  </si>
  <si>
    <t>3. AGUS WIJAYANTI, S.T.</t>
  </si>
  <si>
    <t>4. IMAM SIBAWEH, S.Pd.I., M.H.</t>
  </si>
  <si>
    <t>5. AGUS SANTOSO</t>
  </si>
  <si>
    <t>6. SYLVIA INDAH SETYOWATI, S.Farm.</t>
  </si>
  <si>
    <t>7. JON ADI BATAM</t>
  </si>
  <si>
    <t>11.</t>
  </si>
  <si>
    <t>Partai Garda Republik Indonesia</t>
  </si>
  <si>
    <t>12.</t>
  </si>
  <si>
    <t>Partai Amanat Nasional</t>
  </si>
  <si>
    <t>1. M. MAFTUH AHNAN</t>
  </si>
  <si>
    <t>2. KHUSNUL KHOTIMAH</t>
  </si>
  <si>
    <t>3. SUBANDRIYO</t>
  </si>
  <si>
    <t>4. HANI HANDINI</t>
  </si>
  <si>
    <t>13.</t>
  </si>
  <si>
    <t>Partai Bulan Bintang</t>
  </si>
  <si>
    <t>1. FITRI HIDAYATUL MAULIDA</t>
  </si>
  <si>
    <t>2. SITI MUSALAMAH</t>
  </si>
  <si>
    <t>3. MUHAMAD SOIM</t>
  </si>
  <si>
    <t>4. SITA NUR AZIZAH</t>
  </si>
  <si>
    <t>5. MOCH RIZQIAN ROMADHON</t>
  </si>
  <si>
    <t>6. SAMA'I</t>
  </si>
  <si>
    <t>7. NAHARINA ULFATIN</t>
  </si>
  <si>
    <t>14.</t>
  </si>
  <si>
    <t>Partai Demokrat</t>
  </si>
  <si>
    <t>1. NILUH EKA AGUSTINA</t>
  </si>
  <si>
    <t>2. IWAN RUDIYANTO, S.H.</t>
  </si>
  <si>
    <t>3. NOVIANTO SANJAYA, S.Tr.Pel.</t>
  </si>
  <si>
    <t>4. YANCE WATTIMURY, S.T., MACM.</t>
  </si>
  <si>
    <t>5. REZA EKA INDRIANI</t>
  </si>
  <si>
    <t>6. WAHYUDI</t>
  </si>
  <si>
    <t>7. YUSIENI</t>
  </si>
  <si>
    <t>15.</t>
  </si>
  <si>
    <t>Partai Solidaritas Indonesia</t>
  </si>
  <si>
    <t>1. ALLING ANDINI, S.Si.</t>
  </si>
  <si>
    <t>2. FURRY AKHWAN HADI</t>
  </si>
  <si>
    <t>16.</t>
  </si>
  <si>
    <t>PARTAI PERINDO</t>
  </si>
  <si>
    <t>1. MADRUS</t>
  </si>
  <si>
    <t>17.</t>
  </si>
  <si>
    <t>Partai Persatuan Pembangunan</t>
  </si>
  <si>
    <t>1. Dr. H. ABDUL KADIR, M.Si.</t>
  </si>
  <si>
    <t>2. MISBAHUL ULUM</t>
  </si>
  <si>
    <t>3. NOVIA ANGGI ALVIONITA SARI</t>
  </si>
  <si>
    <t>4. M. MUNIF HASBALLAH A'LA</t>
  </si>
  <si>
    <t>5. MOH. RISYAFAI SAID AL AZHAR, S.Pd.</t>
  </si>
  <si>
    <t>6. SRI WEDARI</t>
  </si>
  <si>
    <t>7. CELVIN M FAIZAL</t>
  </si>
  <si>
    <t>18.</t>
  </si>
  <si>
    <t>Partai Ummat</t>
  </si>
  <si>
    <t>1. SIGIT PURNOMO</t>
  </si>
  <si>
    <t>2. NURKOMARIA INDAH</t>
  </si>
  <si>
    <t>3. Drs. UBAID FATHONI, M.M.</t>
  </si>
  <si>
    <t>V</t>
  </si>
  <si>
    <t>DATA SUARA SAH DAN TIDAK SAH</t>
  </si>
  <si>
    <t>A.</t>
  </si>
  <si>
    <t>JUMLAH SELURUH SUARA SAH</t>
  </si>
  <si>
    <t>B.</t>
  </si>
  <si>
    <t>JUMLAH SUARA TIDAK SAH</t>
  </si>
  <si>
    <t>C.</t>
  </si>
  <si>
    <t>JUMLAH SELURUH SUARA SAH DAN SUARA TIDAK SAH (V.A + V.B)</t>
  </si>
  <si>
    <t>Kelurahan</t>
  </si>
  <si>
    <t>TPS 001</t>
  </si>
  <si>
    <t>TPS 002</t>
  </si>
  <si>
    <t>TPS 003</t>
  </si>
  <si>
    <t>TPS 004</t>
  </si>
  <si>
    <t>TPS 005</t>
  </si>
  <si>
    <t>TPS 006</t>
  </si>
  <si>
    <t>TPS 007</t>
  </si>
  <si>
    <t>TPS 008</t>
  </si>
  <si>
    <t>TPS 009</t>
  </si>
  <si>
    <t>TPS 010</t>
  </si>
  <si>
    <t>TPS 011</t>
  </si>
  <si>
    <t>TPS 012</t>
  </si>
  <si>
    <t>TPS 013</t>
  </si>
  <si>
    <t>TPS 014</t>
  </si>
  <si>
    <t>TPS 015</t>
  </si>
  <si>
    <t>TPS 016</t>
  </si>
  <si>
    <t>TPS 017</t>
  </si>
  <si>
    <t>TPS 018</t>
  </si>
  <si>
    <t>TPS 019</t>
  </si>
  <si>
    <t>TPS 020</t>
  </si>
  <si>
    <t>TPS 021</t>
  </si>
  <si>
    <t>TPS 022</t>
  </si>
  <si>
    <t>TPS 023</t>
  </si>
  <si>
    <t>TPS 024</t>
  </si>
  <si>
    <t>TPS 025</t>
  </si>
  <si>
    <t>TPS 026</t>
  </si>
  <si>
    <t>TPS 027</t>
  </si>
  <si>
    <t>TPS 028</t>
  </si>
  <si>
    <t>KEBONDALEM</t>
  </si>
  <si>
    <t>TPS 029</t>
  </si>
  <si>
    <t>RINGINTELU</t>
  </si>
  <si>
    <t>SAMBIMULYO</t>
  </si>
  <si>
    <t>SAMBIREJO</t>
  </si>
  <si>
    <t>SUKOREJO</t>
  </si>
  <si>
    <t>TEMUREJO</t>
  </si>
  <si>
    <t>TPS 030</t>
  </si>
  <si>
    <t>TPS 031</t>
  </si>
  <si>
    <t>TPS 032</t>
  </si>
  <si>
    <t>TPS 033</t>
  </si>
  <si>
    <t>TPS 034</t>
  </si>
  <si>
    <t>TPS 035</t>
  </si>
  <si>
    <t>TPS 036</t>
  </si>
  <si>
    <t>TPS 037</t>
  </si>
  <si>
    <t>TPS 038</t>
  </si>
  <si>
    <t>TPS 039</t>
  </si>
  <si>
    <t>TPS 040</t>
  </si>
  <si>
    <t>TPS 041</t>
  </si>
  <si>
    <t>TPS 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</si>
</sst>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b/>
      <sz val="10"/>
      <color theme="1"/>
      <name val="Bookman Old Style"/>
    </font>
    <font>
      <sz val="10"/>
      <color theme="1"/>
      <name val="Arial"/>
    </font>
    <font>
      <sz val="10"/>
      <color theme="1"/>
      <name val="Bookman Old Style"/>
    </font>
    <font>
      <sz val="10"/>
      <color rgb="FF000000"/>
      <name val="Bookman Old Style"/>
    </font>
    <font>
      <sz val="10"/>
      <name val="Calibri"/>
    </font>
    <font>
      <b/>
      <sz val="10"/>
      <color rgb="FF000000"/>
      <name val="Bookman Old Style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3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3" fontId="2" fillId="0" borderId="0" xfId="0" applyNumberFormat="1" applyFont="1"/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3" fontId="2" fillId="2" borderId="17" xfId="0" applyNumberFormat="1" applyFont="1" applyFill="1" applyBorder="1"/>
    <xf numFmtId="0" fontId="2" fillId="2" borderId="17" xfId="0" applyFont="1" applyFill="1" applyBorder="1"/>
    <xf numFmtId="0" fontId="1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2" fillId="0" borderId="15" xfId="0" applyFont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4" xfId="0" applyFont="1" applyBorder="1"/>
    <xf numFmtId="0" fontId="2" fillId="0" borderId="10" xfId="0" applyFont="1" applyBorder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7" fillId="0" borderId="1" xfId="0" applyFon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1" fillId="0" borderId="3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7" xfId="0" applyFont="1" applyBorder="1"/>
    <xf numFmtId="0" fontId="3" fillId="0" borderId="2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5" fillId="0" borderId="8" xfId="0" applyFont="1" applyBorder="1"/>
    <xf numFmtId="0" fontId="5" fillId="0" borderId="6" xfId="0" applyFont="1" applyBorder="1"/>
    <xf numFmtId="0" fontId="5" fillId="0" borderId="9" xfId="0" applyFont="1" applyBorder="1"/>
    <xf numFmtId="0" fontId="5" fillId="0" borderId="10" xfId="0" applyFont="1" applyBorder="1"/>
    <xf numFmtId="0" fontId="3" fillId="0" borderId="2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5" fillId="0" borderId="12" xfId="0" applyFont="1" applyBorder="1"/>
    <xf numFmtId="0" fontId="5" fillId="0" borderId="13" xfId="0" applyFont="1" applyBorder="1"/>
    <xf numFmtId="0" fontId="3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 wrapText="1"/>
    </xf>
    <xf numFmtId="0" fontId="0" fillId="0" borderId="0" xfId="0"/>
    <xf numFmtId="0" fontId="5" fillId="0" borderId="15" xfId="0" applyFont="1" applyBorder="1"/>
    <xf numFmtId="0" fontId="3" fillId="0" borderId="7" xfId="0" applyFont="1" applyBorder="1" applyAlignment="1">
      <alignment horizontal="center" vertical="center"/>
    </xf>
    <xf numFmtId="0" fontId="5" fillId="0" borderId="14" xfId="0" applyFont="1" applyBorder="1"/>
    <xf numFmtId="0" fontId="1" fillId="0" borderId="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wrapText="1"/>
    </xf>
  </cellXfs>
  <cellStyles count="1">
    <cellStyle name="Normal" xfId="0" builtinId="0"/>
  </cellStyles>
  <dxfs count="235"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5:Z922"/>
  <sheetViews>
    <sheetView workbookViewId="0">
      <selection activeCell="A159" sqref="A159"/>
    </sheetView>
  </sheetViews>
  <sheetFormatPr defaultColWidth="14.3984375" defaultRowHeight="15" customHeight="1" x14ac:dyDescent="0.3"/>
  <cols>
    <col min="1" max="1" width="3.59765625" customWidth="1"/>
    <col min="2" max="2" width="4" customWidth="1"/>
    <col min="3" max="3" width="64.59765625" customWidth="1"/>
    <col min="4" max="4" width="6.59765625" customWidth="1"/>
    <col min="5" max="5" width="18.8984375" customWidth="1"/>
    <col min="6" max="7" width="10.09765625" customWidth="1"/>
    <col min="8" max="16" width="10.09765625" hidden="1" customWidth="1"/>
    <col min="17" max="25" width="8.69921875" hidden="1" customWidth="1"/>
    <col min="26" max="26" width="8.69921875" customWidth="1"/>
  </cols>
  <sheetData>
    <row r="5" spans="1:26" ht="15.75" customHeight="1" x14ac:dyDescent="0.3">
      <c r="F5" s="1"/>
      <c r="G5" s="1"/>
      <c r="H5" s="1"/>
      <c r="I5" s="1"/>
      <c r="J5" s="1"/>
      <c r="K5" s="1"/>
      <c r="L5" s="1"/>
      <c r="M5" s="1"/>
      <c r="N5" s="1"/>
      <c r="O5" s="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3">
      <c r="F6" s="1"/>
      <c r="G6" s="1"/>
      <c r="H6" s="1"/>
      <c r="I6" s="1"/>
      <c r="J6" s="1"/>
      <c r="K6" s="1"/>
      <c r="L6" s="1"/>
      <c r="M6" s="1"/>
      <c r="N6" s="1"/>
      <c r="O6" s="1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">
      <c r="F7" s="5"/>
      <c r="G7" s="5"/>
      <c r="H7" s="5"/>
      <c r="I7" s="5"/>
      <c r="J7" s="5"/>
      <c r="K7" s="5"/>
      <c r="L7" s="5"/>
      <c r="M7" s="5"/>
      <c r="N7" s="5"/>
      <c r="O7" s="5"/>
      <c r="P7" s="6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3">
      <c r="C8" s="8" t="s">
        <v>0</v>
      </c>
      <c r="D8" s="8" t="s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6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3">
      <c r="C9" s="8" t="s">
        <v>2</v>
      </c>
      <c r="D9" s="8" t="s">
        <v>3</v>
      </c>
      <c r="F9" s="1"/>
      <c r="G9" s="1"/>
      <c r="H9" s="1"/>
      <c r="I9" s="1"/>
      <c r="J9" s="1"/>
      <c r="K9" s="1"/>
      <c r="L9" s="1"/>
      <c r="M9" s="1"/>
      <c r="N9" s="1"/>
      <c r="O9" s="1"/>
      <c r="P9" s="9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">
      <c r="C10" s="8" t="s">
        <v>4</v>
      </c>
      <c r="D10" s="8" t="s">
        <v>5</v>
      </c>
      <c r="F10" s="5"/>
      <c r="G10" s="5"/>
      <c r="H10" s="5"/>
      <c r="I10" s="5"/>
      <c r="J10" s="5"/>
      <c r="K10" s="5"/>
      <c r="L10" s="5"/>
      <c r="M10" s="5"/>
      <c r="N10" s="5"/>
      <c r="O10" s="10"/>
      <c r="P10" s="11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3">
      <c r="A11" s="1"/>
      <c r="B11" s="12"/>
      <c r="C11" s="12"/>
      <c r="D11" s="12"/>
      <c r="E11" s="1"/>
      <c r="F11" s="5"/>
      <c r="G11" s="5"/>
      <c r="H11" s="5"/>
      <c r="I11" s="5"/>
      <c r="J11" s="5"/>
      <c r="K11" s="5"/>
      <c r="L11" s="5"/>
      <c r="M11" s="5"/>
      <c r="N11" s="5"/>
      <c r="O11" s="10"/>
      <c r="P11" s="11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3">
      <c r="A12" s="13" t="s">
        <v>6</v>
      </c>
      <c r="B12" s="53" t="s">
        <v>7</v>
      </c>
      <c r="C12" s="49"/>
      <c r="D12" s="50"/>
      <c r="E12" s="54" t="s">
        <v>8</v>
      </c>
      <c r="F12" s="14"/>
      <c r="G12" s="5"/>
      <c r="H12" s="5"/>
      <c r="I12" s="5"/>
      <c r="J12" s="5"/>
      <c r="K12" s="5"/>
      <c r="L12" s="5"/>
      <c r="M12" s="5"/>
      <c r="N12" s="5"/>
      <c r="O12" s="5"/>
      <c r="P12" s="6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3">
      <c r="A13" s="15" t="s">
        <v>9</v>
      </c>
      <c r="B13" s="56" t="s">
        <v>10</v>
      </c>
      <c r="C13" s="49"/>
      <c r="D13" s="50"/>
      <c r="E13" s="55"/>
      <c r="F13" s="14"/>
      <c r="G13" s="5"/>
      <c r="H13" s="5"/>
      <c r="I13" s="5"/>
      <c r="J13" s="5"/>
      <c r="K13" s="5"/>
      <c r="L13" s="5"/>
      <c r="M13" s="5"/>
      <c r="N13" s="5"/>
      <c r="O13" s="5"/>
      <c r="P13" s="6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3">
      <c r="A14" s="14"/>
      <c r="B14" s="57" t="s">
        <v>11</v>
      </c>
      <c r="C14" s="58"/>
      <c r="D14" s="15" t="s">
        <v>12</v>
      </c>
      <c r="E14" s="16">
        <f>BANGOREJO!AG14+KEBONDALEM!AH14+RINGINTELU!Z14+SAMBIMULYO!AF14+SAMBIREJO!AF14+SUKOREJO!AB14+TEMUREJO!AU14</f>
        <v>26100</v>
      </c>
      <c r="F14" s="17"/>
      <c r="G14" s="1"/>
      <c r="H14" s="1"/>
      <c r="I14" s="1"/>
      <c r="J14" s="1"/>
      <c r="K14" s="1"/>
      <c r="L14" s="1"/>
      <c r="M14" s="1"/>
      <c r="N14" s="1"/>
      <c r="O14" s="1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">
      <c r="A15" s="14"/>
      <c r="B15" s="59"/>
      <c r="C15" s="60"/>
      <c r="D15" s="15" t="s">
        <v>13</v>
      </c>
      <c r="E15" s="16">
        <f>BANGOREJO!AG15+KEBONDALEM!AH15+RINGINTELU!Z15+SAMBIMULYO!AF15+SAMBIREJO!AF15+SUKOREJO!AB15+TEMUREJO!AU15</f>
        <v>25979</v>
      </c>
      <c r="F15" s="14"/>
      <c r="G15" s="5"/>
      <c r="H15" s="5"/>
      <c r="I15" s="5"/>
      <c r="J15" s="5"/>
      <c r="K15" s="5"/>
      <c r="L15" s="5"/>
      <c r="M15" s="5"/>
      <c r="N15" s="5"/>
      <c r="O15" s="5"/>
      <c r="P15" s="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3">
      <c r="A16" s="17"/>
      <c r="B16" s="55"/>
      <c r="C16" s="61"/>
      <c r="D16" s="13" t="s">
        <v>14</v>
      </c>
      <c r="E16" s="18">
        <f>SUM(E14:E15)</f>
        <v>52079</v>
      </c>
      <c r="F16" s="14"/>
      <c r="G16" s="5"/>
      <c r="H16" s="5"/>
      <c r="I16" s="5"/>
      <c r="J16" s="5"/>
      <c r="K16" s="5"/>
      <c r="L16" s="5"/>
      <c r="M16" s="5"/>
      <c r="N16" s="5"/>
      <c r="O16" s="5"/>
      <c r="P16" s="6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3">
      <c r="A17" s="62"/>
      <c r="B17" s="49"/>
      <c r="C17" s="49"/>
      <c r="D17" s="50"/>
      <c r="E17" s="16"/>
      <c r="F17" s="17"/>
      <c r="G17" s="1"/>
      <c r="H17" s="1"/>
      <c r="I17" s="1"/>
      <c r="J17" s="1"/>
      <c r="K17" s="1"/>
      <c r="L17" s="1"/>
      <c r="M17" s="1"/>
      <c r="N17" s="1"/>
      <c r="O17" s="1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">
      <c r="A18" s="19" t="s">
        <v>15</v>
      </c>
      <c r="B18" s="56" t="s">
        <v>16</v>
      </c>
      <c r="C18" s="49"/>
      <c r="D18" s="50"/>
      <c r="E18" s="16"/>
      <c r="F18" s="14"/>
      <c r="G18" s="5"/>
      <c r="H18" s="5"/>
      <c r="I18" s="5"/>
      <c r="J18" s="5"/>
      <c r="K18" s="5"/>
      <c r="L18" s="5"/>
      <c r="M18" s="5"/>
      <c r="N18" s="5"/>
      <c r="O18" s="5"/>
      <c r="P18" s="6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3">
      <c r="A19" s="19"/>
      <c r="B19" s="66" t="s">
        <v>17</v>
      </c>
      <c r="C19" s="63" t="s">
        <v>18</v>
      </c>
      <c r="D19" s="15" t="s">
        <v>12</v>
      </c>
      <c r="E19" s="16">
        <f>BANGOREJO!AG19+KEBONDALEM!AH19+RINGINTELU!Z19+SAMBIMULYO!AF19+SAMBIREJO!AF19+SUKOREJO!AB19+TEMUREJO!AU19</f>
        <v>19808</v>
      </c>
      <c r="F19" s="14"/>
      <c r="G19" s="5"/>
      <c r="H19" s="5"/>
      <c r="I19" s="5"/>
      <c r="J19" s="5"/>
      <c r="K19" s="5"/>
      <c r="L19" s="5"/>
      <c r="M19" s="5"/>
      <c r="N19" s="5"/>
      <c r="O19" s="5"/>
      <c r="P19" s="6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3">
      <c r="A20" s="20"/>
      <c r="B20" s="60"/>
      <c r="C20" s="64"/>
      <c r="D20" s="15" t="s">
        <v>13</v>
      </c>
      <c r="E20" s="16">
        <f>BANGOREJO!AG20+KEBONDALEM!AH20+RINGINTELU!Z20+SAMBIMULYO!AF20+SAMBIREJO!AF20+SUKOREJO!AB20+TEMUREJO!AU20</f>
        <v>20559</v>
      </c>
      <c r="F20" s="17"/>
      <c r="G20" s="1"/>
      <c r="H20" s="1"/>
      <c r="I20" s="1"/>
      <c r="J20" s="1"/>
      <c r="K20" s="1"/>
      <c r="L20" s="1"/>
      <c r="M20" s="1"/>
      <c r="N20" s="1"/>
      <c r="O20" s="1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21"/>
      <c r="B21" s="61"/>
      <c r="C21" s="65"/>
      <c r="D21" s="13" t="s">
        <v>14</v>
      </c>
      <c r="E21" s="18">
        <f>SUM(E19:E20)</f>
        <v>40367</v>
      </c>
      <c r="F21" s="17"/>
      <c r="G21" s="1"/>
      <c r="H21" s="1"/>
      <c r="I21" s="1"/>
      <c r="J21" s="1"/>
      <c r="K21" s="1"/>
      <c r="L21" s="1"/>
      <c r="M21" s="1"/>
      <c r="N21" s="1"/>
      <c r="O21" s="1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20"/>
      <c r="B22" s="66" t="s">
        <v>19</v>
      </c>
      <c r="C22" s="63" t="s">
        <v>20</v>
      </c>
      <c r="D22" s="15" t="s">
        <v>12</v>
      </c>
      <c r="E22" s="16">
        <f>BANGOREJO!AG22+KEBONDALEM!AH22+RINGINTELU!Z22+SAMBIMULYO!AF22+SAMBIREJO!AF22+SUKOREJO!AB22+TEMUREJO!AU22</f>
        <v>10</v>
      </c>
      <c r="F22" s="17"/>
      <c r="G22" s="1"/>
      <c r="H22" s="1"/>
      <c r="I22" s="1"/>
      <c r="J22" s="1"/>
      <c r="K22" s="1"/>
      <c r="L22" s="1"/>
      <c r="M22" s="1"/>
      <c r="N22" s="1"/>
      <c r="O22" s="1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20"/>
      <c r="B23" s="60"/>
      <c r="C23" s="64"/>
      <c r="D23" s="15" t="s">
        <v>13</v>
      </c>
      <c r="E23" s="16">
        <f>BANGOREJO!AG23+KEBONDALEM!AH23+RINGINTELU!Z23+SAMBIMULYO!AF23+SAMBIREJO!AF23+SUKOREJO!AB23+TEMUREJO!AU23</f>
        <v>12</v>
      </c>
      <c r="F23" s="17"/>
      <c r="G23" s="1"/>
      <c r="H23" s="1"/>
      <c r="I23" s="1"/>
      <c r="J23" s="1"/>
      <c r="K23" s="1"/>
      <c r="L23" s="1"/>
      <c r="M23" s="1"/>
      <c r="N23" s="1"/>
      <c r="O23" s="1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21"/>
      <c r="B24" s="61"/>
      <c r="C24" s="65"/>
      <c r="D24" s="13" t="s">
        <v>14</v>
      </c>
      <c r="E24" s="18">
        <f>SUM(E22:E23)</f>
        <v>22</v>
      </c>
      <c r="F24" s="14"/>
      <c r="G24" s="5"/>
      <c r="H24" s="5"/>
      <c r="I24" s="5"/>
      <c r="J24" s="5"/>
      <c r="K24" s="5"/>
      <c r="L24" s="5"/>
      <c r="M24" s="5"/>
      <c r="N24" s="5"/>
      <c r="O24" s="10"/>
      <c r="P24" s="11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3">
      <c r="A25" s="20"/>
      <c r="B25" s="66" t="s">
        <v>21</v>
      </c>
      <c r="C25" s="63" t="s">
        <v>22</v>
      </c>
      <c r="D25" s="15" t="s">
        <v>12</v>
      </c>
      <c r="E25" s="16">
        <f>BANGOREJO!AG25+KEBONDALEM!AH25+RINGINTELU!Z25+SAMBIMULYO!AF25+SAMBIREJO!AF25+SUKOREJO!AB25+TEMUREJO!AU25</f>
        <v>186</v>
      </c>
      <c r="F25" s="17"/>
      <c r="G25" s="1"/>
      <c r="H25" s="1"/>
      <c r="I25" s="1"/>
      <c r="J25" s="1"/>
      <c r="K25" s="1"/>
      <c r="L25" s="1"/>
      <c r="M25" s="1"/>
      <c r="N25" s="1"/>
      <c r="O25" s="2"/>
      <c r="P25" s="11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3">
      <c r="A26" s="20"/>
      <c r="B26" s="60"/>
      <c r="C26" s="64"/>
      <c r="D26" s="15" t="s">
        <v>13</v>
      </c>
      <c r="E26" s="16">
        <f>BANGOREJO!AG26+KEBONDALEM!AH26+RINGINTELU!Z26+SAMBIMULYO!AF26+SAMBIREJO!AF26+SUKOREJO!AB26+TEMUREJO!AU26</f>
        <v>211</v>
      </c>
      <c r="F26" s="14"/>
      <c r="G26" s="5"/>
      <c r="H26" s="5"/>
      <c r="I26" s="5"/>
      <c r="J26" s="5"/>
      <c r="K26" s="5"/>
      <c r="L26" s="5"/>
      <c r="M26" s="5"/>
      <c r="N26" s="5"/>
      <c r="O26" s="5"/>
      <c r="P26" s="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3">
      <c r="A27" s="21"/>
      <c r="B27" s="61"/>
      <c r="C27" s="65"/>
      <c r="D27" s="13" t="s">
        <v>14</v>
      </c>
      <c r="E27" s="18">
        <f>SUM(E25:E26)</f>
        <v>397</v>
      </c>
      <c r="F27" s="17"/>
      <c r="G27" s="1"/>
      <c r="H27" s="1"/>
      <c r="I27" s="1"/>
      <c r="J27" s="1"/>
      <c r="K27" s="1"/>
      <c r="L27" s="1"/>
      <c r="M27" s="1"/>
      <c r="N27" s="1"/>
      <c r="O27" s="1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21"/>
      <c r="B28" s="67" t="s">
        <v>23</v>
      </c>
      <c r="C28" s="68" t="s">
        <v>24</v>
      </c>
      <c r="D28" s="13" t="s">
        <v>12</v>
      </c>
      <c r="E28" s="18">
        <f t="shared" ref="E28:E29" si="0">E19+E22+E25</f>
        <v>20004</v>
      </c>
      <c r="F28" s="14"/>
      <c r="G28" s="5"/>
      <c r="H28" s="5"/>
      <c r="I28" s="5"/>
      <c r="J28" s="5"/>
      <c r="K28" s="5"/>
      <c r="L28" s="5"/>
      <c r="M28" s="5"/>
      <c r="N28" s="5"/>
      <c r="O28" s="5"/>
      <c r="P28" s="6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3">
      <c r="A29" s="21"/>
      <c r="B29" s="60"/>
      <c r="C29" s="64"/>
      <c r="D29" s="13" t="s">
        <v>13</v>
      </c>
      <c r="E29" s="18">
        <f t="shared" si="0"/>
        <v>20782</v>
      </c>
      <c r="F29" s="17"/>
      <c r="G29" s="1"/>
      <c r="H29" s="1"/>
      <c r="I29" s="1"/>
      <c r="J29" s="1"/>
      <c r="K29" s="1"/>
      <c r="L29" s="1"/>
      <c r="M29" s="1"/>
      <c r="N29" s="1"/>
      <c r="O29" s="1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21"/>
      <c r="B30" s="61"/>
      <c r="C30" s="65"/>
      <c r="D30" s="13" t="s">
        <v>14</v>
      </c>
      <c r="E30" s="18">
        <f>SUM(E28:E29)</f>
        <v>40786</v>
      </c>
      <c r="F30" s="22"/>
      <c r="G30" s="3"/>
      <c r="H30" s="3"/>
      <c r="I30" s="3"/>
      <c r="J30" s="3"/>
      <c r="K30" s="5"/>
      <c r="L30" s="5"/>
      <c r="M30" s="5"/>
      <c r="N30" s="5"/>
      <c r="O30" s="10"/>
      <c r="P30" s="11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3">
      <c r="A31" s="62"/>
      <c r="B31" s="49"/>
      <c r="C31" s="49"/>
      <c r="D31" s="50"/>
      <c r="E31" s="23"/>
      <c r="F31" s="17"/>
      <c r="G31" s="1"/>
      <c r="H31" s="1"/>
      <c r="I31" s="1"/>
      <c r="J31" s="1"/>
      <c r="K31" s="1"/>
      <c r="L31" s="1"/>
      <c r="M31" s="1"/>
      <c r="N31" s="1"/>
      <c r="O31" s="2"/>
      <c r="P31" s="11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3">
      <c r="A32" s="24" t="s">
        <v>25</v>
      </c>
      <c r="B32" s="53" t="s">
        <v>26</v>
      </c>
      <c r="C32" s="49"/>
      <c r="D32" s="50"/>
      <c r="E32" s="18"/>
      <c r="F32" s="14"/>
      <c r="G32" s="5"/>
      <c r="H32" s="5"/>
      <c r="I32" s="5"/>
      <c r="J32" s="5"/>
      <c r="K32" s="5"/>
      <c r="L32" s="5"/>
      <c r="M32" s="5"/>
      <c r="N32" s="5"/>
      <c r="O32" s="5"/>
      <c r="P32" s="6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8" customHeight="1" x14ac:dyDescent="0.3">
      <c r="A33" s="15">
        <v>1</v>
      </c>
      <c r="B33" s="56" t="s">
        <v>27</v>
      </c>
      <c r="C33" s="49"/>
      <c r="D33" s="50"/>
      <c r="E33" s="16">
        <f>BANGOREJO!AG33+KEBONDALEM!AH33+RINGINTELU!Z33+SAMBIMULYO!AF33+SAMBIREJO!AF33+SUKOREJO!AB33+TEMUREJO!AU33</f>
        <v>53175</v>
      </c>
      <c r="F33" s="14"/>
      <c r="G33" s="5"/>
      <c r="H33" s="5"/>
      <c r="I33" s="5"/>
      <c r="J33" s="5"/>
      <c r="K33" s="5"/>
      <c r="L33" s="5"/>
      <c r="M33" s="5"/>
      <c r="N33" s="5"/>
      <c r="O33" s="5"/>
      <c r="P33" s="6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3">
      <c r="A34" s="15">
        <v>2</v>
      </c>
      <c r="B34" s="56" t="s">
        <v>28</v>
      </c>
      <c r="C34" s="49"/>
      <c r="D34" s="50"/>
      <c r="E34" s="16">
        <f>BANGOREJO!AG34+KEBONDALEM!AH34+RINGINTELU!Z34+SAMBIMULYO!AF34+SAMBIREJO!AF34+SUKOREJO!AB34+TEMUREJO!AU34</f>
        <v>40786</v>
      </c>
      <c r="F34" s="17"/>
      <c r="G34" s="1"/>
      <c r="H34" s="1"/>
      <c r="I34" s="1"/>
      <c r="J34" s="1"/>
      <c r="K34" s="1"/>
      <c r="L34" s="1"/>
      <c r="M34" s="1"/>
      <c r="N34" s="1"/>
      <c r="O34" s="1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30" customHeight="1" x14ac:dyDescent="0.3">
      <c r="A35" s="15">
        <v>3</v>
      </c>
      <c r="B35" s="56" t="s">
        <v>29</v>
      </c>
      <c r="C35" s="49"/>
      <c r="D35" s="50"/>
      <c r="E35" s="16">
        <f>BANGOREJO!AG35+KEBONDALEM!AH35+RINGINTELU!Z35+SAMBIMULYO!AF35+SAMBIREJO!AF35+SUKOREJO!AB35+TEMUREJO!AU35</f>
        <v>157</v>
      </c>
      <c r="F35" s="22"/>
      <c r="G35" s="3"/>
      <c r="H35" s="3"/>
      <c r="I35" s="3"/>
      <c r="J35" s="3"/>
      <c r="K35" s="5"/>
      <c r="L35" s="5"/>
      <c r="M35" s="5"/>
      <c r="N35" s="5"/>
      <c r="O35" s="10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35" customHeight="1" x14ac:dyDescent="0.3">
      <c r="A36" s="15">
        <v>4</v>
      </c>
      <c r="B36" s="56" t="s">
        <v>30</v>
      </c>
      <c r="C36" s="49"/>
      <c r="D36" s="50"/>
      <c r="E36" s="18">
        <f>E33-(E34+E35)</f>
        <v>12232</v>
      </c>
      <c r="F36" s="17"/>
      <c r="G36" s="1"/>
      <c r="H36" s="1"/>
      <c r="I36" s="1"/>
      <c r="J36" s="1"/>
      <c r="K36" s="1"/>
      <c r="L36" s="1"/>
      <c r="M36" s="1"/>
      <c r="N36" s="1"/>
      <c r="O36" s="2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3">
      <c r="A37" s="62"/>
      <c r="B37" s="49"/>
      <c r="C37" s="49"/>
      <c r="D37" s="49"/>
      <c r="E37" s="49"/>
      <c r="F37" s="14"/>
      <c r="G37" s="5"/>
      <c r="H37" s="5"/>
      <c r="I37" s="5"/>
      <c r="J37" s="5"/>
      <c r="K37" s="5"/>
      <c r="L37" s="5"/>
      <c r="M37" s="5"/>
      <c r="N37" s="5"/>
      <c r="O37" s="10"/>
      <c r="P37" s="11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3">
      <c r="A38" s="25" t="s">
        <v>31</v>
      </c>
      <c r="B38" s="53" t="s">
        <v>32</v>
      </c>
      <c r="C38" s="49"/>
      <c r="D38" s="50"/>
      <c r="E38" s="18"/>
      <c r="F38" s="14"/>
      <c r="G38" s="5"/>
      <c r="H38" s="5"/>
      <c r="I38" s="5"/>
      <c r="J38" s="5"/>
      <c r="K38" s="5"/>
      <c r="L38" s="5"/>
      <c r="M38" s="5"/>
      <c r="N38" s="5"/>
      <c r="O38" s="5"/>
      <c r="P38" s="6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3">
      <c r="A39" s="19"/>
      <c r="B39" s="69" t="s">
        <v>33</v>
      </c>
      <c r="C39" s="58"/>
      <c r="D39" s="15" t="s">
        <v>12</v>
      </c>
      <c r="E39" s="16">
        <f>BANGOREJO!AG39+KEBONDALEM!AH39+RINGINTELU!Z39+SAMBIMULYO!AF39+SAMBIREJO!AF39+SUKOREJO!AB39+TEMUREJO!AU39</f>
        <v>33</v>
      </c>
      <c r="F39" s="14"/>
      <c r="G39" s="5"/>
      <c r="H39" s="5"/>
      <c r="I39" s="5"/>
      <c r="J39" s="5"/>
      <c r="K39" s="5"/>
      <c r="L39" s="5"/>
      <c r="M39" s="5"/>
      <c r="N39" s="5"/>
      <c r="O39" s="5"/>
      <c r="P39" s="6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3">
      <c r="A40" s="20"/>
      <c r="B40" s="70"/>
      <c r="C40" s="60"/>
      <c r="D40" s="15" t="s">
        <v>13</v>
      </c>
      <c r="E40" s="16">
        <f>BANGOREJO!AG40+KEBONDALEM!AH40+RINGINTELU!Z40+SAMBIMULYO!AF40+SAMBIREJO!AF40+SUKOREJO!AB40+TEMUREJO!AU40</f>
        <v>38</v>
      </c>
      <c r="F40" s="14"/>
      <c r="G40" s="5"/>
      <c r="H40" s="5"/>
      <c r="I40" s="5"/>
      <c r="J40" s="5"/>
      <c r="K40" s="5"/>
      <c r="L40" s="5"/>
      <c r="M40" s="5"/>
      <c r="N40" s="5"/>
      <c r="O40" s="5"/>
      <c r="P40" s="6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3">
      <c r="A41" s="24"/>
      <c r="B41" s="71"/>
      <c r="C41" s="61"/>
      <c r="D41" s="13" t="s">
        <v>14</v>
      </c>
      <c r="E41" s="18">
        <f>SUM(E39:E40)</f>
        <v>71</v>
      </c>
      <c r="F41" s="14"/>
      <c r="G41" s="5"/>
      <c r="H41" s="5"/>
      <c r="I41" s="5"/>
      <c r="J41" s="5"/>
      <c r="K41" s="5"/>
      <c r="L41" s="5"/>
      <c r="M41" s="5"/>
      <c r="N41" s="5"/>
      <c r="O41" s="5"/>
      <c r="P41" s="6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3">
      <c r="A42" s="72"/>
      <c r="B42" s="71"/>
      <c r="C42" s="71"/>
      <c r="D42" s="61"/>
      <c r="E42" s="16"/>
      <c r="F42" s="14"/>
      <c r="G42" s="5"/>
      <c r="H42" s="5"/>
      <c r="I42" s="5"/>
      <c r="J42" s="5"/>
      <c r="K42" s="5"/>
      <c r="L42" s="5"/>
      <c r="M42" s="5"/>
      <c r="N42" s="5"/>
      <c r="O42" s="5"/>
      <c r="P42" s="6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27.5" customHeight="1" x14ac:dyDescent="0.3">
      <c r="A43" s="25" t="s">
        <v>34</v>
      </c>
      <c r="B43" s="53" t="s">
        <v>35</v>
      </c>
      <c r="C43" s="49"/>
      <c r="D43" s="50"/>
      <c r="E43" s="18"/>
      <c r="F43" s="14"/>
      <c r="G43" s="5"/>
      <c r="H43" s="5"/>
      <c r="I43" s="5"/>
      <c r="J43" s="5"/>
      <c r="K43" s="5"/>
      <c r="L43" s="5"/>
      <c r="M43" s="5"/>
      <c r="N43" s="5"/>
      <c r="O43" s="5"/>
      <c r="P43" s="6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3">
      <c r="A44" s="69" t="s">
        <v>36</v>
      </c>
      <c r="B44" s="73"/>
      <c r="C44" s="73"/>
      <c r="D44" s="58"/>
      <c r="E44" s="16"/>
      <c r="F44" s="14"/>
      <c r="G44" s="5"/>
      <c r="H44" s="5"/>
      <c r="I44" s="5"/>
      <c r="J44" s="5"/>
      <c r="K44" s="5"/>
      <c r="L44" s="5"/>
      <c r="M44" s="5"/>
      <c r="N44" s="5"/>
      <c r="O44" s="5"/>
      <c r="P44" s="6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3">
      <c r="A45" s="19" t="s">
        <v>37</v>
      </c>
      <c r="B45" s="26" t="s">
        <v>17</v>
      </c>
      <c r="C45" s="51" t="s">
        <v>38</v>
      </c>
      <c r="D45" s="50"/>
      <c r="E45" s="16">
        <f>BANGOREJO!AG45+KEBONDALEM!AH45+RINGINTELU!Z45+SAMBIMULYO!AF45+SAMBIREJO!AF45+SUKOREJO!AB45+TEMUREJO!AU45</f>
        <v>700</v>
      </c>
      <c r="F45" s="17"/>
      <c r="G45" s="1"/>
      <c r="H45" s="1"/>
      <c r="I45" s="1"/>
      <c r="J45" s="1"/>
      <c r="K45" s="1"/>
      <c r="L45" s="1"/>
      <c r="M45" s="1"/>
      <c r="N45" s="1"/>
      <c r="O45" s="1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19" t="s">
        <v>39</v>
      </c>
      <c r="B46" s="27"/>
      <c r="C46" s="28" t="s">
        <v>40</v>
      </c>
      <c r="D46" s="29"/>
      <c r="E46" s="16">
        <f>BANGOREJO!AG46+KEBONDALEM!AH46+RINGINTELU!Z46+SAMBIMULYO!AF46+SAMBIREJO!AF46+SUKOREJO!AB46+TEMUREJO!AU46</f>
        <v>1539</v>
      </c>
      <c r="F46" s="30"/>
      <c r="G46" s="31"/>
      <c r="H46" s="31"/>
      <c r="I46" s="31"/>
      <c r="J46" s="31"/>
      <c r="K46" s="31"/>
      <c r="L46" s="31"/>
      <c r="M46" s="31"/>
      <c r="N46" s="31"/>
      <c r="O46" s="31"/>
      <c r="P46" s="32"/>
      <c r="Q46" s="3"/>
      <c r="R46" s="3"/>
      <c r="S46" s="3"/>
      <c r="T46" s="3"/>
      <c r="U46" s="3"/>
      <c r="V46" s="3"/>
      <c r="W46" s="33"/>
      <c r="X46" s="3"/>
      <c r="Y46" s="3"/>
      <c r="Z46" s="3"/>
    </row>
    <row r="47" spans="1:26" ht="15.75" customHeight="1" x14ac:dyDescent="0.3">
      <c r="A47" s="14"/>
      <c r="B47" s="27"/>
      <c r="C47" s="28" t="s">
        <v>41</v>
      </c>
      <c r="D47" s="29"/>
      <c r="E47" s="16">
        <f>BANGOREJO!AG47+KEBONDALEM!AH47+RINGINTELU!Z47+SAMBIMULYO!AF47+SAMBIREJO!AF47+SUKOREJO!AB47+TEMUREJO!AU47</f>
        <v>517</v>
      </c>
      <c r="F47" s="14"/>
      <c r="G47" s="5"/>
      <c r="H47" s="5"/>
      <c r="I47" s="5"/>
      <c r="J47" s="5"/>
      <c r="K47" s="5"/>
      <c r="L47" s="5"/>
      <c r="M47" s="5"/>
      <c r="N47" s="5"/>
      <c r="O47" s="5"/>
      <c r="P47" s="6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3">
      <c r="A48" s="14"/>
      <c r="B48" s="27"/>
      <c r="C48" s="28" t="s">
        <v>42</v>
      </c>
      <c r="D48" s="29"/>
      <c r="E48" s="16">
        <f>BANGOREJO!AG48+KEBONDALEM!AH48+RINGINTELU!Z48+SAMBIMULYO!AF48+SAMBIREJO!AF48+SUKOREJO!AB48+TEMUREJO!AU48</f>
        <v>277</v>
      </c>
      <c r="F48" s="14"/>
      <c r="G48" s="5"/>
      <c r="H48" s="5"/>
      <c r="I48" s="5"/>
      <c r="J48" s="5"/>
      <c r="K48" s="5"/>
      <c r="L48" s="5"/>
      <c r="M48" s="5"/>
      <c r="N48" s="5"/>
      <c r="O48" s="5"/>
      <c r="P48" s="6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3">
      <c r="A49" s="14"/>
      <c r="B49" s="27"/>
      <c r="C49" s="28" t="s">
        <v>43</v>
      </c>
      <c r="D49" s="29"/>
      <c r="E49" s="16">
        <f>BANGOREJO!AG49+KEBONDALEM!AH49+RINGINTELU!Z49+SAMBIMULYO!AF49+SAMBIREJO!AF49+SUKOREJO!AB49+TEMUREJO!AU49</f>
        <v>753</v>
      </c>
      <c r="F49" s="14"/>
      <c r="G49" s="5"/>
      <c r="H49" s="5"/>
      <c r="I49" s="5"/>
      <c r="J49" s="5"/>
      <c r="K49" s="5"/>
      <c r="L49" s="5"/>
      <c r="M49" s="5"/>
      <c r="N49" s="5"/>
      <c r="O49" s="5"/>
      <c r="P49" s="6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3">
      <c r="A50" s="14"/>
      <c r="B50" s="27"/>
      <c r="C50" s="28" t="s">
        <v>44</v>
      </c>
      <c r="D50" s="29"/>
      <c r="E50" s="16">
        <f>BANGOREJO!AG50+KEBONDALEM!AH50+RINGINTELU!Z50+SAMBIMULYO!AF50+SAMBIREJO!AF50+SUKOREJO!AB50+TEMUREJO!AU50</f>
        <v>44</v>
      </c>
      <c r="F50" s="14"/>
      <c r="G50" s="5"/>
      <c r="H50" s="5"/>
      <c r="I50" s="5"/>
      <c r="J50" s="5"/>
      <c r="K50" s="5"/>
      <c r="L50" s="5"/>
      <c r="M50" s="5"/>
      <c r="N50" s="5"/>
      <c r="O50" s="5"/>
      <c r="P50" s="6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3">
      <c r="A51" s="14"/>
      <c r="B51" s="27"/>
      <c r="C51" s="28" t="s">
        <v>45</v>
      </c>
      <c r="D51" s="29"/>
      <c r="E51" s="16">
        <f>BANGOREJO!AG51+KEBONDALEM!AH51+RINGINTELU!Z51+SAMBIMULYO!AF51+SAMBIREJO!AF51+SUKOREJO!AB51+TEMUREJO!AU51</f>
        <v>37</v>
      </c>
      <c r="F51" s="14"/>
      <c r="G51" s="5"/>
      <c r="H51" s="5"/>
      <c r="I51" s="5"/>
      <c r="J51" s="5"/>
      <c r="K51" s="5"/>
      <c r="L51" s="5"/>
      <c r="M51" s="5"/>
      <c r="N51" s="5"/>
      <c r="O51" s="5"/>
      <c r="P51" s="6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3">
      <c r="A52" s="14"/>
      <c r="B52" s="27"/>
      <c r="C52" s="28" t="s">
        <v>46</v>
      </c>
      <c r="D52" s="29"/>
      <c r="E52" s="16">
        <f>BANGOREJO!AG52+KEBONDALEM!AH52+RINGINTELU!Z52+SAMBIMULYO!AF52+SAMBIREJO!AF52+SUKOREJO!AB52+TEMUREJO!AU52</f>
        <v>310</v>
      </c>
      <c r="F52" s="14"/>
      <c r="G52" s="5"/>
      <c r="H52" s="5"/>
      <c r="I52" s="5"/>
      <c r="J52" s="5"/>
      <c r="K52" s="5"/>
      <c r="L52" s="5"/>
      <c r="M52" s="5"/>
      <c r="N52" s="5"/>
      <c r="O52" s="5"/>
      <c r="P52" s="6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3">
      <c r="A53" s="15" t="s">
        <v>15</v>
      </c>
      <c r="B53" s="48" t="s">
        <v>47</v>
      </c>
      <c r="C53" s="49"/>
      <c r="D53" s="50"/>
      <c r="E53" s="34">
        <f>SUM(E45:E52)</f>
        <v>4177</v>
      </c>
      <c r="F53" s="14"/>
      <c r="G53" s="5"/>
      <c r="H53" s="5"/>
      <c r="I53" s="5"/>
      <c r="J53" s="5"/>
      <c r="K53" s="5"/>
      <c r="L53" s="5"/>
      <c r="M53" s="5"/>
      <c r="N53" s="5"/>
      <c r="O53" s="5"/>
      <c r="P53" s="6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3">
      <c r="A54" s="35"/>
      <c r="B54" s="36"/>
      <c r="C54" s="36"/>
      <c r="D54" s="36"/>
      <c r="E54" s="36"/>
      <c r="F54" s="14"/>
      <c r="G54" s="5"/>
      <c r="H54" s="5"/>
      <c r="I54" s="5"/>
      <c r="J54" s="5"/>
      <c r="K54" s="5"/>
      <c r="L54" s="5"/>
      <c r="M54" s="5"/>
      <c r="N54" s="5"/>
      <c r="O54" s="5"/>
      <c r="P54" s="6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3">
      <c r="A55" s="19" t="s">
        <v>37</v>
      </c>
      <c r="B55" s="26" t="s">
        <v>19</v>
      </c>
      <c r="C55" s="51" t="s">
        <v>48</v>
      </c>
      <c r="D55" s="50"/>
      <c r="E55" s="16">
        <f>BANGOREJO!AG55+KEBONDALEM!AH55+RINGINTELU!Z55+SAMBIMULYO!AF55+SAMBIREJO!AF55+SUKOREJO!AB55+TEMUREJO!AU55</f>
        <v>1022</v>
      </c>
      <c r="F55" s="14"/>
      <c r="G55" s="5"/>
      <c r="H55" s="5"/>
      <c r="I55" s="5"/>
      <c r="J55" s="5"/>
      <c r="K55" s="5"/>
      <c r="L55" s="5"/>
      <c r="M55" s="5"/>
      <c r="N55" s="5"/>
      <c r="O55" s="5"/>
      <c r="P55" s="6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3">
      <c r="A56" s="19" t="s">
        <v>39</v>
      </c>
      <c r="B56" s="27"/>
      <c r="C56" s="28" t="s">
        <v>49</v>
      </c>
      <c r="D56" s="29"/>
      <c r="E56" s="16">
        <f>BANGOREJO!AG56+KEBONDALEM!AH56+RINGINTELU!Z56+SAMBIMULYO!AF56+SAMBIREJO!AF56+SUKOREJO!AB56+TEMUREJO!AU56</f>
        <v>947</v>
      </c>
      <c r="F56" s="14"/>
      <c r="G56" s="5"/>
      <c r="H56" s="5"/>
      <c r="I56" s="5"/>
      <c r="J56" s="5"/>
      <c r="K56" s="5"/>
      <c r="L56" s="5"/>
      <c r="M56" s="5"/>
      <c r="N56" s="5"/>
      <c r="O56" s="5"/>
      <c r="P56" s="6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3">
      <c r="A57" s="14"/>
      <c r="B57" s="27"/>
      <c r="C57" s="28" t="s">
        <v>50</v>
      </c>
      <c r="D57" s="29"/>
      <c r="E57" s="16">
        <f>BANGOREJO!AG57+KEBONDALEM!AH57+RINGINTELU!Z57+SAMBIMULYO!AF57+SAMBIREJO!AF57+SUKOREJO!AB57+TEMUREJO!AU57</f>
        <v>1244</v>
      </c>
      <c r="F57" s="17"/>
      <c r="G57" s="1"/>
      <c r="H57" s="1"/>
      <c r="I57" s="1"/>
      <c r="J57" s="1"/>
      <c r="K57" s="1"/>
      <c r="L57" s="1"/>
      <c r="M57" s="1"/>
      <c r="N57" s="1"/>
      <c r="O57" s="1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14"/>
      <c r="B58" s="27"/>
      <c r="C58" s="28" t="s">
        <v>51</v>
      </c>
      <c r="D58" s="29"/>
      <c r="E58" s="16">
        <f>BANGOREJO!AG58+KEBONDALEM!AH58+RINGINTELU!Z58+SAMBIMULYO!AF58+SAMBIREJO!AF58+SUKOREJO!AB58+TEMUREJO!AU58</f>
        <v>362</v>
      </c>
      <c r="F58" s="30"/>
      <c r="G58" s="31"/>
      <c r="H58" s="31"/>
      <c r="I58" s="31"/>
      <c r="J58" s="31"/>
      <c r="K58" s="31"/>
      <c r="L58" s="31"/>
      <c r="M58" s="31"/>
      <c r="N58" s="31"/>
      <c r="O58" s="31"/>
      <c r="P58" s="32"/>
      <c r="Q58" s="3"/>
      <c r="R58" s="3"/>
      <c r="S58" s="3"/>
      <c r="T58" s="3"/>
      <c r="U58" s="3"/>
      <c r="V58" s="3"/>
      <c r="W58" s="33"/>
      <c r="X58" s="3"/>
      <c r="Y58" s="3"/>
      <c r="Z58" s="3"/>
    </row>
    <row r="59" spans="1:26" ht="15.75" customHeight="1" x14ac:dyDescent="0.3">
      <c r="A59" s="14"/>
      <c r="B59" s="27"/>
      <c r="C59" s="28" t="s">
        <v>52</v>
      </c>
      <c r="D59" s="29"/>
      <c r="E59" s="16">
        <f>BANGOREJO!AG59+KEBONDALEM!AH59+RINGINTELU!Z59+SAMBIMULYO!AF59+SAMBIREJO!AF59+SUKOREJO!AB59+TEMUREJO!AU59</f>
        <v>200</v>
      </c>
      <c r="F59" s="14"/>
      <c r="G59" s="5"/>
      <c r="H59" s="5"/>
      <c r="I59" s="5"/>
      <c r="J59" s="5"/>
      <c r="K59" s="5"/>
      <c r="L59" s="5"/>
      <c r="M59" s="5"/>
      <c r="N59" s="5"/>
      <c r="O59" s="5"/>
      <c r="P59" s="6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3">
      <c r="A60" s="14"/>
      <c r="B60" s="27"/>
      <c r="C60" s="28" t="s">
        <v>53</v>
      </c>
      <c r="D60" s="29"/>
      <c r="E60" s="16">
        <f>BANGOREJO!AG60+KEBONDALEM!AH60+RINGINTELU!Z60+SAMBIMULYO!AF60+SAMBIREJO!AF60+SUKOREJO!AB60+TEMUREJO!AU60</f>
        <v>48</v>
      </c>
      <c r="F60" s="14"/>
      <c r="G60" s="5"/>
      <c r="H60" s="5"/>
      <c r="I60" s="5"/>
      <c r="J60" s="5"/>
      <c r="K60" s="5"/>
      <c r="L60" s="5"/>
      <c r="M60" s="5"/>
      <c r="N60" s="5"/>
      <c r="O60" s="5"/>
      <c r="P60" s="6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3">
      <c r="A61" s="14"/>
      <c r="B61" s="27"/>
      <c r="C61" s="28" t="s">
        <v>54</v>
      </c>
      <c r="D61" s="29"/>
      <c r="E61" s="16">
        <f>BANGOREJO!AG61+KEBONDALEM!AH61+RINGINTELU!Z61+SAMBIMULYO!AF61+SAMBIREJO!AF61+SUKOREJO!AB61+TEMUREJO!AU61</f>
        <v>5</v>
      </c>
      <c r="F61" s="14"/>
      <c r="G61" s="5"/>
      <c r="H61" s="5"/>
      <c r="I61" s="5"/>
      <c r="J61" s="5"/>
      <c r="K61" s="5"/>
      <c r="L61" s="5"/>
      <c r="M61" s="5"/>
      <c r="N61" s="5"/>
      <c r="O61" s="5"/>
      <c r="P61" s="6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3">
      <c r="A62" s="14"/>
      <c r="B62" s="27"/>
      <c r="C62" s="28" t="s">
        <v>55</v>
      </c>
      <c r="D62" s="29"/>
      <c r="E62" s="16">
        <f>BANGOREJO!AG62+KEBONDALEM!AH62+RINGINTELU!Z62+SAMBIMULYO!AF62+SAMBIREJO!AF62+SUKOREJO!AB62+TEMUREJO!AU62</f>
        <v>35</v>
      </c>
      <c r="F62" s="14"/>
      <c r="G62" s="5"/>
      <c r="H62" s="5"/>
      <c r="I62" s="5"/>
      <c r="J62" s="5"/>
      <c r="K62" s="5"/>
      <c r="L62" s="5"/>
      <c r="M62" s="5"/>
      <c r="N62" s="5"/>
      <c r="O62" s="5"/>
      <c r="P62" s="6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3">
      <c r="A63" s="15" t="s">
        <v>15</v>
      </c>
      <c r="B63" s="48" t="s">
        <v>47</v>
      </c>
      <c r="C63" s="49"/>
      <c r="D63" s="50"/>
      <c r="E63" s="34">
        <f>SUM(E55:E62)</f>
        <v>3863</v>
      </c>
      <c r="F63" s="14"/>
      <c r="G63" s="5"/>
      <c r="H63" s="5"/>
      <c r="I63" s="5"/>
      <c r="J63" s="5"/>
      <c r="K63" s="5"/>
      <c r="L63" s="5"/>
      <c r="M63" s="5"/>
      <c r="N63" s="5"/>
      <c r="O63" s="5"/>
      <c r="P63" s="6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3">
      <c r="A64" s="37"/>
      <c r="B64" s="38"/>
      <c r="C64" s="38"/>
      <c r="D64" s="38"/>
      <c r="E64" s="39"/>
      <c r="F64" s="14"/>
      <c r="G64" s="5"/>
      <c r="H64" s="5"/>
      <c r="I64" s="5"/>
      <c r="J64" s="5"/>
      <c r="K64" s="5"/>
      <c r="L64" s="5"/>
      <c r="M64" s="5"/>
      <c r="N64" s="5"/>
      <c r="O64" s="5"/>
      <c r="P64" s="6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3">
      <c r="A65" s="19" t="s">
        <v>37</v>
      </c>
      <c r="B65" s="26" t="s">
        <v>21</v>
      </c>
      <c r="C65" s="51" t="s">
        <v>56</v>
      </c>
      <c r="D65" s="50"/>
      <c r="E65" s="16">
        <f>BANGOREJO!AG65+KEBONDALEM!AH65+RINGINTELU!Z65+SAMBIMULYO!AF65+SAMBIREJO!AF65+SUKOREJO!AB65+TEMUREJO!AU65</f>
        <v>1197</v>
      </c>
      <c r="F65" s="14"/>
      <c r="G65" s="5"/>
      <c r="H65" s="5"/>
      <c r="I65" s="5"/>
      <c r="J65" s="5"/>
      <c r="K65" s="5"/>
      <c r="L65" s="5"/>
      <c r="M65" s="5"/>
      <c r="N65" s="5"/>
      <c r="O65" s="5"/>
      <c r="P65" s="6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3">
      <c r="A66" s="19" t="s">
        <v>39</v>
      </c>
      <c r="B66" s="27"/>
      <c r="C66" s="28" t="s">
        <v>57</v>
      </c>
      <c r="D66" s="29"/>
      <c r="E66" s="16">
        <f>BANGOREJO!AG66+KEBONDALEM!AH66+RINGINTELU!Z66+SAMBIMULYO!AF66+SAMBIREJO!AF66+SUKOREJO!AB66+TEMUREJO!AU66</f>
        <v>5510</v>
      </c>
      <c r="F66" s="14"/>
      <c r="G66" s="5"/>
      <c r="H66" s="5"/>
      <c r="I66" s="5"/>
      <c r="J66" s="5"/>
      <c r="K66" s="5"/>
      <c r="L66" s="5"/>
      <c r="M66" s="5"/>
      <c r="N66" s="5"/>
      <c r="O66" s="5"/>
      <c r="P66" s="6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3">
      <c r="A67" s="14"/>
      <c r="B67" s="27"/>
      <c r="C67" s="28" t="s">
        <v>58</v>
      </c>
      <c r="D67" s="29"/>
      <c r="E67" s="16">
        <f>BANGOREJO!AG67+KEBONDALEM!AH67+RINGINTELU!Z67+SAMBIMULYO!AF67+SAMBIREJO!AF67+SUKOREJO!AB67+TEMUREJO!AU67</f>
        <v>783</v>
      </c>
      <c r="F67" s="14"/>
      <c r="G67" s="5"/>
      <c r="H67" s="5"/>
      <c r="I67" s="5"/>
      <c r="J67" s="5"/>
      <c r="K67" s="5"/>
      <c r="L67" s="5"/>
      <c r="M67" s="5"/>
      <c r="N67" s="5"/>
      <c r="O67" s="5"/>
      <c r="P67" s="6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3">
      <c r="A68" s="14"/>
      <c r="B68" s="27"/>
      <c r="C68" s="28" t="s">
        <v>59</v>
      </c>
      <c r="D68" s="29"/>
      <c r="E68" s="16">
        <f>BANGOREJO!AG68+KEBONDALEM!AH68+RINGINTELU!Z68+SAMBIMULYO!AF68+SAMBIREJO!AF68+SUKOREJO!AB68+TEMUREJO!AU68</f>
        <v>106</v>
      </c>
      <c r="F68" s="14"/>
      <c r="G68" s="5"/>
      <c r="H68" s="5"/>
      <c r="I68" s="5"/>
      <c r="J68" s="5"/>
      <c r="K68" s="5"/>
      <c r="L68" s="5"/>
      <c r="M68" s="5"/>
      <c r="N68" s="5"/>
      <c r="O68" s="5"/>
      <c r="P68" s="6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3">
      <c r="A69" s="14"/>
      <c r="B69" s="27"/>
      <c r="C69" s="28" t="s">
        <v>60</v>
      </c>
      <c r="D69" s="29"/>
      <c r="E69" s="16">
        <f>BANGOREJO!AG69+KEBONDALEM!AH69+RINGINTELU!Z69+SAMBIMULYO!AF69+SAMBIREJO!AF69+SUKOREJO!AB69+TEMUREJO!AU69</f>
        <v>81</v>
      </c>
      <c r="F69" s="17"/>
      <c r="G69" s="1"/>
      <c r="H69" s="1"/>
      <c r="I69" s="1"/>
      <c r="J69" s="1"/>
      <c r="K69" s="1"/>
      <c r="L69" s="1"/>
      <c r="M69" s="1"/>
      <c r="N69" s="1"/>
      <c r="O69" s="1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14"/>
      <c r="B70" s="27"/>
      <c r="C70" s="28" t="s">
        <v>61</v>
      </c>
      <c r="D70" s="29"/>
      <c r="E70" s="16">
        <f>BANGOREJO!AG70+KEBONDALEM!AH70+RINGINTELU!Z70+SAMBIMULYO!AF70+SAMBIREJO!AF70+SUKOREJO!AB70+TEMUREJO!AU70</f>
        <v>4152</v>
      </c>
      <c r="F70" s="30"/>
      <c r="G70" s="31"/>
      <c r="H70" s="31"/>
      <c r="I70" s="31"/>
      <c r="J70" s="31"/>
      <c r="K70" s="31"/>
      <c r="L70" s="31"/>
      <c r="M70" s="31"/>
      <c r="N70" s="31"/>
      <c r="O70" s="31"/>
      <c r="P70" s="32"/>
      <c r="Q70" s="3"/>
      <c r="R70" s="3"/>
      <c r="S70" s="3"/>
      <c r="T70" s="3"/>
      <c r="U70" s="3"/>
      <c r="V70" s="3"/>
      <c r="W70" s="33"/>
      <c r="X70" s="3"/>
      <c r="Y70" s="3"/>
      <c r="Z70" s="3"/>
    </row>
    <row r="71" spans="1:26" ht="15.75" customHeight="1" x14ac:dyDescent="0.3">
      <c r="A71" s="14"/>
      <c r="B71" s="27"/>
      <c r="C71" s="28" t="s">
        <v>62</v>
      </c>
      <c r="D71" s="29"/>
      <c r="E71" s="16">
        <f>BANGOREJO!AG71+KEBONDALEM!AH71+RINGINTELU!Z71+SAMBIMULYO!AF71+SAMBIREJO!AF71+SUKOREJO!AB71+TEMUREJO!AU71</f>
        <v>49</v>
      </c>
      <c r="F71" s="14"/>
      <c r="G71" s="5"/>
      <c r="H71" s="5"/>
      <c r="I71" s="5"/>
      <c r="J71" s="5"/>
      <c r="K71" s="5"/>
      <c r="L71" s="5"/>
      <c r="M71" s="5"/>
      <c r="N71" s="5"/>
      <c r="O71" s="5"/>
      <c r="P71" s="6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3">
      <c r="A72" s="14"/>
      <c r="B72" s="27"/>
      <c r="C72" s="28" t="s">
        <v>63</v>
      </c>
      <c r="D72" s="29"/>
      <c r="E72" s="16">
        <f>BANGOREJO!AG72+KEBONDALEM!AH72+RINGINTELU!Z72+SAMBIMULYO!AF72+SAMBIREJO!AF72+SUKOREJO!AB72+TEMUREJO!AU72</f>
        <v>1554</v>
      </c>
      <c r="F72" s="14"/>
      <c r="G72" s="5"/>
      <c r="H72" s="5"/>
      <c r="I72" s="5"/>
      <c r="J72" s="5"/>
      <c r="K72" s="5"/>
      <c r="L72" s="5"/>
      <c r="M72" s="5"/>
      <c r="N72" s="5"/>
      <c r="O72" s="5"/>
      <c r="P72" s="6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3">
      <c r="A73" s="15" t="s">
        <v>15</v>
      </c>
      <c r="B73" s="48" t="s">
        <v>47</v>
      </c>
      <c r="C73" s="49"/>
      <c r="D73" s="50"/>
      <c r="E73" s="34">
        <f>SUM(E65:E72)</f>
        <v>13432</v>
      </c>
      <c r="F73" s="14"/>
      <c r="G73" s="5"/>
      <c r="H73" s="5"/>
      <c r="I73" s="5"/>
      <c r="J73" s="5"/>
      <c r="K73" s="5"/>
      <c r="L73" s="5"/>
      <c r="M73" s="5"/>
      <c r="N73" s="5"/>
      <c r="O73" s="5"/>
      <c r="P73" s="6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3">
      <c r="A74" s="35"/>
      <c r="B74" s="36"/>
      <c r="C74" s="36"/>
      <c r="D74" s="36"/>
      <c r="E74" s="36"/>
      <c r="F74" s="14"/>
      <c r="G74" s="5"/>
      <c r="H74" s="5"/>
      <c r="I74" s="5"/>
      <c r="J74" s="5"/>
      <c r="K74" s="5"/>
      <c r="L74" s="5"/>
      <c r="M74" s="5"/>
      <c r="N74" s="5"/>
      <c r="O74" s="5"/>
      <c r="P74" s="6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3">
      <c r="A75" s="19" t="s">
        <v>37</v>
      </c>
      <c r="B75" s="26" t="s">
        <v>23</v>
      </c>
      <c r="C75" s="51" t="s">
        <v>64</v>
      </c>
      <c r="D75" s="50"/>
      <c r="E75" s="16">
        <f>BANGOREJO!AG75+KEBONDALEM!AH75+RINGINTELU!Z75+SAMBIMULYO!AF75+SAMBIREJO!AF75+SUKOREJO!AB75+TEMUREJO!AU75</f>
        <v>702</v>
      </c>
      <c r="F75" s="14"/>
      <c r="G75" s="5"/>
      <c r="H75" s="5"/>
      <c r="I75" s="5"/>
      <c r="J75" s="5"/>
      <c r="K75" s="5"/>
      <c r="L75" s="5"/>
      <c r="M75" s="5"/>
      <c r="N75" s="5"/>
      <c r="O75" s="5"/>
      <c r="P75" s="6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3">
      <c r="A76" s="19" t="s">
        <v>39</v>
      </c>
      <c r="B76" s="27"/>
      <c r="C76" s="28" t="s">
        <v>65</v>
      </c>
      <c r="D76" s="29"/>
      <c r="E76" s="16">
        <f>BANGOREJO!AG76+KEBONDALEM!AH76+RINGINTELU!Z76+SAMBIMULYO!AF76+SAMBIREJO!AF76+SUKOREJO!AB76+TEMUREJO!AU76</f>
        <v>3613</v>
      </c>
      <c r="F76" s="14"/>
      <c r="G76" s="5"/>
      <c r="H76" s="5"/>
      <c r="I76" s="5"/>
      <c r="J76" s="5"/>
      <c r="K76" s="5"/>
      <c r="L76" s="5"/>
      <c r="M76" s="5"/>
      <c r="N76" s="5"/>
      <c r="O76" s="5"/>
      <c r="P76" s="6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3">
      <c r="A77" s="14"/>
      <c r="B77" s="27"/>
      <c r="C77" s="28" t="s">
        <v>66</v>
      </c>
      <c r="D77" s="29"/>
      <c r="E77" s="16">
        <f>BANGOREJO!AG77+KEBONDALEM!AH77+RINGINTELU!Z77+SAMBIMULYO!AF77+SAMBIREJO!AF77+SUKOREJO!AB77+TEMUREJO!AU77</f>
        <v>288</v>
      </c>
      <c r="F77" s="14"/>
      <c r="G77" s="5"/>
      <c r="H77" s="5"/>
      <c r="I77" s="5"/>
      <c r="J77" s="5"/>
      <c r="K77" s="5"/>
      <c r="L77" s="5"/>
      <c r="M77" s="5"/>
      <c r="N77" s="5"/>
      <c r="O77" s="5"/>
      <c r="P77" s="6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3">
      <c r="A78" s="14"/>
      <c r="B78" s="27"/>
      <c r="C78" s="28" t="s">
        <v>67</v>
      </c>
      <c r="D78" s="29"/>
      <c r="E78" s="16">
        <f>BANGOREJO!AG78+KEBONDALEM!AH78+RINGINTELU!Z78+SAMBIMULYO!AF78+SAMBIREJO!AF78+SUKOREJO!AB78+TEMUREJO!AU78</f>
        <v>40</v>
      </c>
      <c r="F78" s="14"/>
      <c r="G78" s="5"/>
      <c r="H78" s="5"/>
      <c r="I78" s="5"/>
      <c r="J78" s="5"/>
      <c r="K78" s="5"/>
      <c r="L78" s="5"/>
      <c r="M78" s="5"/>
      <c r="N78" s="5"/>
      <c r="O78" s="5"/>
      <c r="P78" s="6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3">
      <c r="A79" s="14"/>
      <c r="B79" s="27"/>
      <c r="C79" s="28" t="s">
        <v>68</v>
      </c>
      <c r="D79" s="29"/>
      <c r="E79" s="16">
        <f>BANGOREJO!AG79+KEBONDALEM!AH79+RINGINTELU!Z79+SAMBIMULYO!AF79+SAMBIREJO!AF79+SUKOREJO!AB79+TEMUREJO!AU79</f>
        <v>53</v>
      </c>
      <c r="F79" s="14"/>
      <c r="G79" s="5"/>
      <c r="H79" s="5"/>
      <c r="I79" s="5"/>
      <c r="J79" s="5"/>
      <c r="K79" s="5"/>
      <c r="L79" s="5"/>
      <c r="M79" s="5"/>
      <c r="N79" s="5"/>
      <c r="O79" s="5"/>
      <c r="P79" s="6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3">
      <c r="A80" s="14"/>
      <c r="B80" s="27"/>
      <c r="C80" s="28" t="s">
        <v>69</v>
      </c>
      <c r="D80" s="29"/>
      <c r="E80" s="16">
        <f>BANGOREJO!AG80+KEBONDALEM!AH80+RINGINTELU!Z80+SAMBIMULYO!AF80+SAMBIREJO!AF80+SUKOREJO!AB80+TEMUREJO!AU80</f>
        <v>21</v>
      </c>
      <c r="F80" s="14"/>
      <c r="G80" s="5"/>
      <c r="H80" s="5"/>
      <c r="I80" s="5"/>
      <c r="J80" s="5"/>
      <c r="K80" s="5"/>
      <c r="L80" s="5"/>
      <c r="M80" s="5"/>
      <c r="N80" s="5"/>
      <c r="O80" s="5"/>
      <c r="P80" s="6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3">
      <c r="A81" s="14"/>
      <c r="B81" s="27"/>
      <c r="C81" s="28" t="s">
        <v>70</v>
      </c>
      <c r="D81" s="29"/>
      <c r="E81" s="16">
        <f>BANGOREJO!AG81+KEBONDALEM!AH81+RINGINTELU!Z81+SAMBIMULYO!AF81+SAMBIREJO!AF81+SUKOREJO!AB81+TEMUREJO!AU81</f>
        <v>3</v>
      </c>
      <c r="F81" s="17"/>
      <c r="G81" s="1"/>
      <c r="H81" s="1"/>
      <c r="I81" s="1"/>
      <c r="J81" s="1"/>
      <c r="K81" s="1"/>
      <c r="L81" s="1"/>
      <c r="M81" s="1"/>
      <c r="N81" s="1"/>
      <c r="O81" s="1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14"/>
      <c r="B82" s="27"/>
      <c r="C82" s="28" t="s">
        <v>71</v>
      </c>
      <c r="D82" s="29"/>
      <c r="E82" s="16">
        <f>BANGOREJO!AG82+KEBONDALEM!AH82+RINGINTELU!Z82+SAMBIMULYO!AF82+SAMBIREJO!AF82+SUKOREJO!AB82+TEMUREJO!AU82</f>
        <v>182</v>
      </c>
      <c r="F82" s="30"/>
      <c r="G82" s="31"/>
      <c r="H82" s="31"/>
      <c r="I82" s="31"/>
      <c r="J82" s="31"/>
      <c r="K82" s="31"/>
      <c r="L82" s="31"/>
      <c r="M82" s="31"/>
      <c r="N82" s="31"/>
      <c r="O82" s="31"/>
      <c r="P82" s="32"/>
      <c r="Q82" s="3"/>
      <c r="R82" s="3"/>
      <c r="S82" s="3"/>
      <c r="T82" s="3"/>
      <c r="U82" s="3"/>
      <c r="V82" s="3"/>
      <c r="W82" s="33"/>
      <c r="X82" s="3"/>
      <c r="Y82" s="3"/>
      <c r="Z82" s="3"/>
    </row>
    <row r="83" spans="1:26" ht="15.75" customHeight="1" x14ac:dyDescent="0.3">
      <c r="A83" s="15" t="s">
        <v>15</v>
      </c>
      <c r="B83" s="48" t="s">
        <v>47</v>
      </c>
      <c r="C83" s="49"/>
      <c r="D83" s="50"/>
      <c r="E83" s="34">
        <f>SUM(E75:E82)</f>
        <v>4902</v>
      </c>
      <c r="F83" s="14"/>
      <c r="G83" s="5"/>
      <c r="H83" s="5"/>
      <c r="I83" s="5"/>
      <c r="J83" s="5"/>
      <c r="K83" s="5"/>
      <c r="L83" s="5"/>
      <c r="M83" s="5"/>
      <c r="N83" s="5"/>
      <c r="O83" s="5"/>
      <c r="P83" s="6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3">
      <c r="A84" s="35"/>
      <c r="B84" s="36"/>
      <c r="C84" s="36"/>
      <c r="D84" s="36"/>
      <c r="E84" s="36"/>
      <c r="F84" s="14"/>
      <c r="G84" s="5"/>
      <c r="H84" s="5"/>
      <c r="I84" s="5"/>
      <c r="J84" s="5"/>
      <c r="K84" s="5"/>
      <c r="L84" s="5"/>
      <c r="M84" s="5"/>
      <c r="N84" s="5"/>
      <c r="O84" s="5"/>
      <c r="P84" s="6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3">
      <c r="A85" s="19" t="s">
        <v>37</v>
      </c>
      <c r="B85" s="26" t="s">
        <v>72</v>
      </c>
      <c r="C85" s="51" t="s">
        <v>73</v>
      </c>
      <c r="D85" s="50"/>
      <c r="E85" s="16">
        <f>BANGOREJO!AG85+KEBONDALEM!AH85+RINGINTELU!Z85+SAMBIMULYO!AF85+SAMBIREJO!AF85+SUKOREJO!AB85+TEMUREJO!AU85</f>
        <v>545</v>
      </c>
      <c r="F85" s="14"/>
      <c r="G85" s="5"/>
      <c r="H85" s="5"/>
      <c r="I85" s="5"/>
      <c r="J85" s="5"/>
      <c r="K85" s="5"/>
      <c r="L85" s="5"/>
      <c r="M85" s="5"/>
      <c r="N85" s="5"/>
      <c r="O85" s="5"/>
      <c r="P85" s="6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3">
      <c r="A86" s="19" t="s">
        <v>39</v>
      </c>
      <c r="B86" s="27"/>
      <c r="C86" s="28" t="s">
        <v>74</v>
      </c>
      <c r="D86" s="29"/>
      <c r="E86" s="16">
        <f>BANGOREJO!AG86+KEBONDALEM!AH86+RINGINTELU!Z86+SAMBIMULYO!AF86+SAMBIREJO!AF86+SUKOREJO!AB86+TEMUREJO!AU86</f>
        <v>849</v>
      </c>
      <c r="F86" s="14"/>
      <c r="G86" s="5"/>
      <c r="H86" s="5"/>
      <c r="I86" s="5"/>
      <c r="J86" s="5"/>
      <c r="K86" s="5"/>
      <c r="L86" s="5"/>
      <c r="M86" s="5"/>
      <c r="N86" s="5"/>
      <c r="O86" s="5"/>
      <c r="P86" s="6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3">
      <c r="A87" s="14"/>
      <c r="B87" s="27"/>
      <c r="C87" s="28" t="s">
        <v>75</v>
      </c>
      <c r="D87" s="29"/>
      <c r="E87" s="16">
        <f>BANGOREJO!AG87+KEBONDALEM!AH87+RINGINTELU!Z87+SAMBIMULYO!AF87+SAMBIREJO!AF87+SUKOREJO!AB87+TEMUREJO!AU87</f>
        <v>294</v>
      </c>
      <c r="F87" s="14"/>
      <c r="G87" s="5"/>
      <c r="H87" s="5"/>
      <c r="I87" s="5"/>
      <c r="J87" s="5"/>
      <c r="K87" s="5"/>
      <c r="L87" s="5"/>
      <c r="M87" s="5"/>
      <c r="N87" s="5"/>
      <c r="O87" s="5"/>
      <c r="P87" s="6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3">
      <c r="A88" s="14"/>
      <c r="B88" s="27"/>
      <c r="C88" s="28" t="s">
        <v>76</v>
      </c>
      <c r="D88" s="29"/>
      <c r="E88" s="16">
        <f>BANGOREJO!AG88+KEBONDALEM!AH88+RINGINTELU!Z88+SAMBIMULYO!AF88+SAMBIREJO!AF88+SUKOREJO!AB88+TEMUREJO!AU88</f>
        <v>252</v>
      </c>
      <c r="F88" s="14"/>
      <c r="G88" s="5"/>
      <c r="H88" s="5"/>
      <c r="I88" s="5"/>
      <c r="J88" s="5"/>
      <c r="K88" s="5"/>
      <c r="L88" s="5"/>
      <c r="M88" s="5"/>
      <c r="N88" s="5"/>
      <c r="O88" s="5"/>
      <c r="P88" s="6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3">
      <c r="A89" s="14"/>
      <c r="B89" s="27"/>
      <c r="C89" s="28" t="s">
        <v>77</v>
      </c>
      <c r="D89" s="29"/>
      <c r="E89" s="16">
        <f>BANGOREJO!AG89+KEBONDALEM!AH89+RINGINTELU!Z89+SAMBIMULYO!AF89+SAMBIREJO!AF89+SUKOREJO!AB89+TEMUREJO!AU89</f>
        <v>47</v>
      </c>
      <c r="F89" s="14"/>
      <c r="G89" s="5"/>
      <c r="H89" s="5"/>
      <c r="I89" s="5"/>
      <c r="J89" s="5"/>
      <c r="K89" s="5"/>
      <c r="L89" s="5"/>
      <c r="M89" s="5"/>
      <c r="N89" s="5"/>
      <c r="O89" s="5"/>
      <c r="P89" s="6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3">
      <c r="A90" s="14"/>
      <c r="B90" s="27"/>
      <c r="C90" s="28" t="s">
        <v>78</v>
      </c>
      <c r="D90" s="29"/>
      <c r="E90" s="16">
        <f>BANGOREJO!AG90+KEBONDALEM!AH90+RINGINTELU!Z90+SAMBIMULYO!AF90+SAMBIREJO!AF90+SUKOREJO!AB90+TEMUREJO!AU90</f>
        <v>3391</v>
      </c>
      <c r="F90" s="14"/>
      <c r="G90" s="5"/>
      <c r="H90" s="5"/>
      <c r="I90" s="5"/>
      <c r="J90" s="5"/>
      <c r="K90" s="5"/>
      <c r="L90" s="5"/>
      <c r="M90" s="5"/>
      <c r="N90" s="5"/>
      <c r="O90" s="5"/>
      <c r="P90" s="6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3">
      <c r="A91" s="14"/>
      <c r="B91" s="27"/>
      <c r="C91" s="28" t="s">
        <v>79</v>
      </c>
      <c r="D91" s="29"/>
      <c r="E91" s="16">
        <f>BANGOREJO!AG91+KEBONDALEM!AH91+RINGINTELU!Z91+SAMBIMULYO!AF91+SAMBIREJO!AF91+SUKOREJO!AB91+TEMUREJO!AU91</f>
        <v>35</v>
      </c>
      <c r="F91" s="14"/>
      <c r="G91" s="5"/>
      <c r="H91" s="5"/>
      <c r="I91" s="5"/>
      <c r="J91" s="5"/>
      <c r="K91" s="5"/>
      <c r="L91" s="5"/>
      <c r="M91" s="5"/>
      <c r="N91" s="5"/>
      <c r="O91" s="5"/>
      <c r="P91" s="6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3">
      <c r="A92" s="14"/>
      <c r="B92" s="27"/>
      <c r="C92" s="28" t="s">
        <v>80</v>
      </c>
      <c r="D92" s="29"/>
      <c r="E92" s="16">
        <f>BANGOREJO!AG92+KEBONDALEM!AH92+RINGINTELU!Z92+SAMBIMULYO!AF92+SAMBIREJO!AF92+SUKOREJO!AB92+TEMUREJO!AU92</f>
        <v>40</v>
      </c>
      <c r="F92" s="14"/>
      <c r="G92" s="5"/>
      <c r="H92" s="5"/>
      <c r="I92" s="5"/>
      <c r="J92" s="5"/>
      <c r="K92" s="5"/>
      <c r="L92" s="5"/>
      <c r="M92" s="5"/>
      <c r="N92" s="5"/>
      <c r="O92" s="5"/>
      <c r="P92" s="6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3">
      <c r="A93" s="15" t="s">
        <v>15</v>
      </c>
      <c r="B93" s="48" t="s">
        <v>47</v>
      </c>
      <c r="C93" s="49"/>
      <c r="D93" s="50"/>
      <c r="E93" s="34">
        <f>SUM(E85:E92)</f>
        <v>5453</v>
      </c>
      <c r="F93" s="17"/>
      <c r="G93" s="1"/>
      <c r="H93" s="1"/>
      <c r="I93" s="1"/>
      <c r="J93" s="1"/>
      <c r="K93" s="1"/>
      <c r="L93" s="1"/>
      <c r="M93" s="1"/>
      <c r="N93" s="1"/>
      <c r="O93" s="1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35"/>
      <c r="B94" s="36"/>
      <c r="C94" s="36"/>
      <c r="D94" s="36"/>
      <c r="E94" s="36"/>
      <c r="F94" s="30"/>
      <c r="G94" s="31"/>
      <c r="H94" s="31"/>
      <c r="I94" s="31"/>
      <c r="J94" s="31"/>
      <c r="K94" s="31"/>
      <c r="L94" s="31"/>
      <c r="M94" s="31"/>
      <c r="N94" s="31"/>
      <c r="O94" s="31"/>
      <c r="P94" s="32"/>
      <c r="Q94" s="3"/>
      <c r="R94" s="3"/>
      <c r="S94" s="3"/>
      <c r="T94" s="3"/>
      <c r="U94" s="3"/>
      <c r="V94" s="3"/>
      <c r="W94" s="33"/>
      <c r="X94" s="3"/>
      <c r="Y94" s="3"/>
      <c r="Z94" s="3"/>
    </row>
    <row r="95" spans="1:26" ht="15.75" customHeight="1" x14ac:dyDescent="0.3">
      <c r="A95" s="19" t="s">
        <v>37</v>
      </c>
      <c r="B95" s="26" t="s">
        <v>81</v>
      </c>
      <c r="C95" s="51" t="s">
        <v>82</v>
      </c>
      <c r="D95" s="50"/>
      <c r="E95" s="16">
        <f>BANGOREJO!AG95+KEBONDALEM!AH95+RINGINTELU!Z95+SAMBIMULYO!AF95+SAMBIREJO!AF95+SUKOREJO!AB95+TEMUREJO!AU95</f>
        <v>28</v>
      </c>
      <c r="F95" s="14"/>
      <c r="G95" s="5"/>
      <c r="H95" s="5"/>
      <c r="I95" s="5"/>
      <c r="J95" s="5"/>
      <c r="K95" s="5"/>
      <c r="L95" s="5"/>
      <c r="M95" s="5"/>
      <c r="N95" s="5"/>
      <c r="O95" s="5"/>
      <c r="P95" s="6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3">
      <c r="A96" s="19" t="s">
        <v>39</v>
      </c>
      <c r="B96" s="27"/>
      <c r="C96" s="28" t="s">
        <v>83</v>
      </c>
      <c r="D96" s="40"/>
      <c r="E96" s="16">
        <f>BANGOREJO!AG96+KEBONDALEM!AH96+RINGINTELU!Z96+SAMBIMULYO!AF96+SAMBIREJO!AF96+SUKOREJO!AB96+TEMUREJO!AU96</f>
        <v>25</v>
      </c>
      <c r="F96" s="14"/>
      <c r="G96" s="5"/>
      <c r="H96" s="5"/>
      <c r="I96" s="5"/>
      <c r="J96" s="5"/>
      <c r="K96" s="5"/>
      <c r="L96" s="5"/>
      <c r="M96" s="5"/>
      <c r="N96" s="5"/>
      <c r="O96" s="5"/>
      <c r="P96" s="6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3">
      <c r="A97" s="15" t="s">
        <v>15</v>
      </c>
      <c r="B97" s="48" t="s">
        <v>47</v>
      </c>
      <c r="C97" s="49"/>
      <c r="D97" s="50"/>
      <c r="E97" s="34">
        <f>SUM(E95:E96)</f>
        <v>53</v>
      </c>
      <c r="F97" s="14"/>
      <c r="G97" s="5"/>
      <c r="H97" s="5"/>
      <c r="I97" s="5"/>
      <c r="J97" s="5"/>
      <c r="K97" s="5"/>
      <c r="L97" s="5"/>
      <c r="M97" s="5"/>
      <c r="N97" s="5"/>
      <c r="O97" s="5"/>
      <c r="P97" s="6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3">
      <c r="A98" s="35"/>
      <c r="B98" s="36"/>
      <c r="C98" s="36"/>
      <c r="D98" s="36"/>
      <c r="E98" s="36"/>
      <c r="F98" s="14"/>
      <c r="G98" s="5"/>
      <c r="H98" s="5"/>
      <c r="I98" s="5"/>
      <c r="J98" s="5"/>
      <c r="K98" s="5"/>
      <c r="L98" s="5"/>
      <c r="M98" s="5"/>
      <c r="N98" s="5"/>
      <c r="O98" s="5"/>
      <c r="P98" s="6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3">
      <c r="A99" s="19" t="s">
        <v>37</v>
      </c>
      <c r="B99" s="26" t="s">
        <v>84</v>
      </c>
      <c r="C99" s="51" t="s">
        <v>85</v>
      </c>
      <c r="D99" s="50"/>
      <c r="E99" s="16">
        <f>BANGOREJO!AG99+KEBONDALEM!AH99+RINGINTELU!Z99+SAMBIMULYO!AF99+SAMBIREJO!AF99+SUKOREJO!AB99+TEMUREJO!AU99</f>
        <v>179</v>
      </c>
      <c r="F99" s="14"/>
      <c r="G99" s="5"/>
      <c r="H99" s="5"/>
      <c r="I99" s="5"/>
      <c r="J99" s="5"/>
      <c r="K99" s="5"/>
      <c r="L99" s="5"/>
      <c r="M99" s="5"/>
      <c r="N99" s="5"/>
      <c r="O99" s="5"/>
      <c r="P99" s="6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3">
      <c r="A100" s="19" t="s">
        <v>39</v>
      </c>
      <c r="B100" s="27"/>
      <c r="C100" s="28" t="s">
        <v>86</v>
      </c>
      <c r="D100" s="29"/>
      <c r="E100" s="16">
        <f>BANGOREJO!AG100+KEBONDALEM!AH100+RINGINTELU!Z100+SAMBIMULYO!AF100+SAMBIREJO!AF100+SUKOREJO!AB100+TEMUREJO!AU100</f>
        <v>37</v>
      </c>
      <c r="F100" s="14"/>
      <c r="G100" s="5"/>
      <c r="H100" s="5"/>
      <c r="I100" s="5"/>
      <c r="J100" s="5"/>
      <c r="K100" s="5"/>
      <c r="L100" s="5"/>
      <c r="M100" s="5"/>
      <c r="N100" s="5"/>
      <c r="O100" s="5"/>
      <c r="P100" s="6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3">
      <c r="A101" s="15" t="s">
        <v>15</v>
      </c>
      <c r="B101" s="48" t="s">
        <v>47</v>
      </c>
      <c r="C101" s="49"/>
      <c r="D101" s="50"/>
      <c r="E101" s="34">
        <f>SUM(E99:E100)</f>
        <v>216</v>
      </c>
      <c r="F101" s="14"/>
      <c r="G101" s="5"/>
      <c r="H101" s="5"/>
      <c r="I101" s="5"/>
      <c r="J101" s="5"/>
      <c r="K101" s="5"/>
      <c r="L101" s="5"/>
      <c r="M101" s="5"/>
      <c r="N101" s="5"/>
      <c r="O101" s="5"/>
      <c r="P101" s="6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3">
      <c r="A102" s="35"/>
      <c r="B102" s="36"/>
      <c r="C102" s="36"/>
      <c r="D102" s="36"/>
      <c r="E102" s="36"/>
      <c r="F102" s="14"/>
      <c r="G102" s="5"/>
      <c r="H102" s="5"/>
      <c r="I102" s="5"/>
      <c r="J102" s="5"/>
      <c r="K102" s="5"/>
      <c r="L102" s="5"/>
      <c r="M102" s="5"/>
      <c r="N102" s="5"/>
      <c r="O102" s="5"/>
      <c r="P102" s="6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3">
      <c r="A103" s="19" t="s">
        <v>37</v>
      </c>
      <c r="B103" s="26" t="s">
        <v>87</v>
      </c>
      <c r="C103" s="51" t="s">
        <v>88</v>
      </c>
      <c r="D103" s="50"/>
      <c r="E103" s="16">
        <f>BANGOREJO!AG103+KEBONDALEM!AH103+RINGINTELU!Z103+SAMBIMULYO!AF103+SAMBIREJO!AF103+SUKOREJO!AB103+TEMUREJO!AU103</f>
        <v>49</v>
      </c>
      <c r="F103" s="14"/>
      <c r="G103" s="5"/>
      <c r="H103" s="5"/>
      <c r="I103" s="5"/>
      <c r="J103" s="5"/>
      <c r="K103" s="5"/>
      <c r="L103" s="5"/>
      <c r="M103" s="5"/>
      <c r="N103" s="5"/>
      <c r="O103" s="5"/>
      <c r="P103" s="6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3">
      <c r="A104" s="19" t="s">
        <v>39</v>
      </c>
      <c r="B104" s="27"/>
      <c r="C104" s="28" t="s">
        <v>89</v>
      </c>
      <c r="D104" s="29"/>
      <c r="E104" s="16">
        <f>BANGOREJO!AG104+KEBONDALEM!AH104+RINGINTELU!Z104+SAMBIMULYO!AF104+SAMBIREJO!AF104+SUKOREJO!AB104+TEMUREJO!AU104</f>
        <v>42</v>
      </c>
      <c r="F104" s="14"/>
      <c r="G104" s="5"/>
      <c r="H104" s="5"/>
      <c r="I104" s="5"/>
      <c r="J104" s="5"/>
      <c r="K104" s="5"/>
      <c r="L104" s="5"/>
      <c r="M104" s="5"/>
      <c r="N104" s="5"/>
      <c r="O104" s="5"/>
      <c r="P104" s="6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3">
      <c r="A105" s="14"/>
      <c r="B105" s="27"/>
      <c r="C105" s="28" t="s">
        <v>90</v>
      </c>
      <c r="D105" s="29"/>
      <c r="E105" s="16">
        <f>BANGOREJO!AG105+KEBONDALEM!AH105+RINGINTELU!Z105+SAMBIMULYO!AF105+SAMBIREJO!AF105+SUKOREJO!AB105+TEMUREJO!AU105</f>
        <v>43</v>
      </c>
      <c r="F105" s="17"/>
      <c r="G105" s="1"/>
      <c r="H105" s="1"/>
      <c r="I105" s="1"/>
      <c r="J105" s="1"/>
      <c r="K105" s="1"/>
      <c r="L105" s="1"/>
      <c r="M105" s="1"/>
      <c r="N105" s="1"/>
      <c r="O105" s="1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14"/>
      <c r="B106" s="27"/>
      <c r="C106" s="28" t="s">
        <v>91</v>
      </c>
      <c r="D106" s="29"/>
      <c r="E106" s="16">
        <f>BANGOREJO!AG106+KEBONDALEM!AH106+RINGINTELU!Z106+SAMBIMULYO!AF106+SAMBIREJO!AF106+SUKOREJO!AB106+TEMUREJO!AU106</f>
        <v>11</v>
      </c>
      <c r="F106" s="30"/>
      <c r="G106" s="31"/>
      <c r="H106" s="31"/>
      <c r="I106" s="31"/>
      <c r="J106" s="31"/>
      <c r="K106" s="31"/>
      <c r="L106" s="31"/>
      <c r="M106" s="31"/>
      <c r="N106" s="31"/>
      <c r="O106" s="31"/>
      <c r="P106" s="32"/>
      <c r="Q106" s="3"/>
      <c r="R106" s="3"/>
      <c r="S106" s="3"/>
      <c r="T106" s="3"/>
      <c r="U106" s="3"/>
      <c r="V106" s="3"/>
      <c r="W106" s="33"/>
      <c r="X106" s="3"/>
      <c r="Y106" s="3"/>
      <c r="Z106" s="3"/>
    </row>
    <row r="107" spans="1:26" ht="15.75" customHeight="1" x14ac:dyDescent="0.3">
      <c r="A107" s="14"/>
      <c r="B107" s="27"/>
      <c r="C107" s="28" t="s">
        <v>92</v>
      </c>
      <c r="D107" s="29"/>
      <c r="E107" s="16">
        <f>BANGOREJO!AG107+KEBONDALEM!AH107+RINGINTELU!Z107+SAMBIMULYO!AF107+SAMBIREJO!AF107+SUKOREJO!AB107+TEMUREJO!AU107</f>
        <v>115</v>
      </c>
      <c r="F107" s="14"/>
      <c r="G107" s="5"/>
      <c r="H107" s="5"/>
      <c r="I107" s="5"/>
      <c r="J107" s="5"/>
      <c r="K107" s="5"/>
      <c r="L107" s="5"/>
      <c r="M107" s="5"/>
      <c r="N107" s="5"/>
      <c r="O107" s="5"/>
      <c r="P107" s="6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3">
      <c r="A108" s="14"/>
      <c r="B108" s="27"/>
      <c r="C108" s="28" t="s">
        <v>93</v>
      </c>
      <c r="D108" s="29"/>
      <c r="E108" s="16">
        <f>BANGOREJO!AG108+KEBONDALEM!AH108+RINGINTELU!Z108+SAMBIMULYO!AF108+SAMBIREJO!AF108+SUKOREJO!AB108+TEMUREJO!AU108</f>
        <v>8</v>
      </c>
      <c r="F108" s="14"/>
      <c r="G108" s="5"/>
      <c r="H108" s="5"/>
      <c r="I108" s="5"/>
      <c r="J108" s="5"/>
      <c r="K108" s="5"/>
      <c r="L108" s="5"/>
      <c r="M108" s="5"/>
      <c r="N108" s="5"/>
      <c r="O108" s="5"/>
      <c r="P108" s="6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3">
      <c r="A109" s="14"/>
      <c r="B109" s="27"/>
      <c r="C109" s="28" t="s">
        <v>94</v>
      </c>
      <c r="D109" s="29"/>
      <c r="E109" s="16">
        <f>BANGOREJO!AG109+KEBONDALEM!AH109+RINGINTELU!Z109+SAMBIMULYO!AF109+SAMBIREJO!AF109+SUKOREJO!AB109+TEMUREJO!AU109</f>
        <v>2</v>
      </c>
      <c r="F109" s="14"/>
      <c r="G109" s="5"/>
      <c r="H109" s="5"/>
      <c r="I109" s="5"/>
      <c r="J109" s="5"/>
      <c r="K109" s="5"/>
      <c r="L109" s="5"/>
      <c r="M109" s="5"/>
      <c r="N109" s="5"/>
      <c r="O109" s="5"/>
      <c r="P109" s="6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3">
      <c r="A110" s="14"/>
      <c r="B110" s="27"/>
      <c r="C110" s="28" t="s">
        <v>95</v>
      </c>
      <c r="D110" s="29"/>
      <c r="E110" s="16">
        <f>BANGOREJO!AG110+KEBONDALEM!AH110+RINGINTELU!Z110+SAMBIMULYO!AF110+SAMBIREJO!AF110+SUKOREJO!AB110+TEMUREJO!AU110</f>
        <v>2</v>
      </c>
      <c r="F110" s="14"/>
      <c r="G110" s="5"/>
      <c r="H110" s="5"/>
      <c r="I110" s="5"/>
      <c r="J110" s="5"/>
      <c r="K110" s="5"/>
      <c r="L110" s="5"/>
      <c r="M110" s="5"/>
      <c r="N110" s="5"/>
      <c r="O110" s="5"/>
      <c r="P110" s="6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3">
      <c r="A111" s="15" t="s">
        <v>15</v>
      </c>
      <c r="B111" s="48" t="s">
        <v>47</v>
      </c>
      <c r="C111" s="49"/>
      <c r="D111" s="50"/>
      <c r="E111" s="34">
        <f>SUM(E103:E110)</f>
        <v>272</v>
      </c>
      <c r="F111" s="14"/>
      <c r="G111" s="5"/>
      <c r="H111" s="5"/>
      <c r="I111" s="5"/>
      <c r="J111" s="5"/>
      <c r="K111" s="5"/>
      <c r="L111" s="5"/>
      <c r="M111" s="5"/>
      <c r="N111" s="5"/>
      <c r="O111" s="5"/>
      <c r="P111" s="6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3">
      <c r="A112" s="35"/>
      <c r="B112" s="36"/>
      <c r="C112" s="36"/>
      <c r="D112" s="36"/>
      <c r="E112" s="36"/>
      <c r="F112" s="17"/>
      <c r="G112" s="1"/>
      <c r="H112" s="1"/>
      <c r="I112" s="1"/>
      <c r="J112" s="1"/>
      <c r="K112" s="1"/>
      <c r="L112" s="1"/>
      <c r="M112" s="1"/>
      <c r="N112" s="1"/>
      <c r="O112" s="1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19" t="s">
        <v>37</v>
      </c>
      <c r="B113" s="26" t="s">
        <v>96</v>
      </c>
      <c r="C113" s="51" t="s">
        <v>97</v>
      </c>
      <c r="D113" s="50"/>
      <c r="E113" s="16">
        <f>BANGOREJO!AG113+KEBONDALEM!AH113+RINGINTELU!Z113+SAMBIMULYO!AF113+SAMBIREJO!AF113+SUKOREJO!AB113+TEMUREJO!AU113</f>
        <v>67</v>
      </c>
      <c r="F113" s="17"/>
      <c r="G113" s="1"/>
      <c r="H113" s="1"/>
      <c r="I113" s="1"/>
      <c r="J113" s="1"/>
      <c r="K113" s="1"/>
      <c r="L113" s="1"/>
      <c r="M113" s="1"/>
      <c r="N113" s="1"/>
      <c r="O113" s="1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19" t="s">
        <v>39</v>
      </c>
      <c r="B114" s="26"/>
      <c r="C114" s="28" t="s">
        <v>98</v>
      </c>
      <c r="D114" s="40"/>
      <c r="E114" s="16">
        <f>BANGOREJO!AG114+KEBONDALEM!AH114+RINGINTELU!Z114+SAMBIMULYO!AF114+SAMBIREJO!AF114+SUKOREJO!AB114+TEMUREJO!AU114</f>
        <v>122</v>
      </c>
      <c r="F114" s="17"/>
      <c r="G114" s="1"/>
      <c r="H114" s="1"/>
      <c r="I114" s="1"/>
      <c r="J114" s="1"/>
      <c r="K114" s="1"/>
      <c r="L114" s="1"/>
      <c r="M114" s="1"/>
      <c r="N114" s="1"/>
      <c r="O114" s="1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15" t="s">
        <v>15</v>
      </c>
      <c r="B115" s="48" t="s">
        <v>47</v>
      </c>
      <c r="C115" s="49"/>
      <c r="D115" s="50"/>
      <c r="E115" s="34">
        <f>SUM(E113:E114)</f>
        <v>189</v>
      </c>
      <c r="F115" s="30"/>
      <c r="G115" s="31"/>
      <c r="H115" s="31"/>
      <c r="I115" s="31"/>
      <c r="J115" s="31"/>
      <c r="K115" s="31"/>
      <c r="L115" s="31"/>
      <c r="M115" s="31"/>
      <c r="N115" s="31"/>
      <c r="O115" s="31"/>
      <c r="P115" s="32"/>
      <c r="Q115" s="3"/>
      <c r="R115" s="3"/>
      <c r="S115" s="3"/>
      <c r="T115" s="3"/>
      <c r="U115" s="3"/>
      <c r="V115" s="3"/>
      <c r="W115" s="33"/>
      <c r="X115" s="3"/>
      <c r="Y115" s="3"/>
      <c r="Z115" s="3"/>
    </row>
    <row r="116" spans="1:26" ht="15.75" customHeight="1" x14ac:dyDescent="0.3">
      <c r="A116" s="35"/>
      <c r="B116" s="36"/>
      <c r="C116" s="36"/>
      <c r="D116" s="36"/>
      <c r="E116" s="36"/>
      <c r="F116" s="14"/>
      <c r="G116" s="5"/>
      <c r="H116" s="5"/>
      <c r="I116" s="5"/>
      <c r="J116" s="5"/>
      <c r="K116" s="5"/>
      <c r="L116" s="5"/>
      <c r="M116" s="5"/>
      <c r="N116" s="5"/>
      <c r="O116" s="5"/>
      <c r="P116" s="6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3">
      <c r="A117" s="19" t="s">
        <v>37</v>
      </c>
      <c r="B117" s="26" t="s">
        <v>99</v>
      </c>
      <c r="C117" s="51" t="s">
        <v>100</v>
      </c>
      <c r="D117" s="50"/>
      <c r="E117" s="16">
        <f>BANGOREJO!AG117+KEBONDALEM!AH117+RINGINTELU!Z117+SAMBIMULYO!AF117+SAMBIREJO!AF117+SUKOREJO!AB117+TEMUREJO!AU117</f>
        <v>11</v>
      </c>
      <c r="F117" s="14"/>
      <c r="G117" s="5"/>
      <c r="H117" s="5"/>
      <c r="I117" s="5"/>
      <c r="J117" s="5"/>
      <c r="K117" s="5"/>
      <c r="L117" s="5"/>
      <c r="M117" s="5"/>
      <c r="N117" s="5"/>
      <c r="O117" s="5"/>
      <c r="P117" s="6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3">
      <c r="A118" s="19" t="s">
        <v>39</v>
      </c>
      <c r="B118" s="27" t="s">
        <v>39</v>
      </c>
      <c r="C118" s="28" t="s">
        <v>101</v>
      </c>
      <c r="D118" s="29"/>
      <c r="E118" s="16">
        <f>BANGOREJO!AG118+KEBONDALEM!AH118+RINGINTELU!Z118+SAMBIMULYO!AF118+SAMBIREJO!AF118+SUKOREJO!AB118+TEMUREJO!AU118</f>
        <v>21</v>
      </c>
      <c r="F118" s="14"/>
      <c r="G118" s="5"/>
      <c r="H118" s="5"/>
      <c r="I118" s="5"/>
      <c r="J118" s="5"/>
      <c r="K118" s="5"/>
      <c r="L118" s="5"/>
      <c r="M118" s="5"/>
      <c r="N118" s="5"/>
      <c r="O118" s="5"/>
      <c r="P118" s="6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3">
      <c r="A119" s="14"/>
      <c r="B119" s="27"/>
      <c r="C119" s="28" t="s">
        <v>102</v>
      </c>
      <c r="D119" s="29"/>
      <c r="E119" s="16">
        <f>BANGOREJO!AG119+KEBONDALEM!AH119+RINGINTELU!Z119+SAMBIMULYO!AF119+SAMBIREJO!AF119+SUKOREJO!AB119+TEMUREJO!AU119</f>
        <v>11</v>
      </c>
      <c r="F119" s="14"/>
      <c r="G119" s="5"/>
      <c r="H119" s="5"/>
      <c r="I119" s="5"/>
      <c r="J119" s="5"/>
      <c r="K119" s="5"/>
      <c r="L119" s="5"/>
      <c r="M119" s="5"/>
      <c r="N119" s="5"/>
      <c r="O119" s="5"/>
      <c r="P119" s="6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3">
      <c r="A120" s="14"/>
      <c r="B120" s="27"/>
      <c r="C120" s="28" t="s">
        <v>103</v>
      </c>
      <c r="D120" s="29"/>
      <c r="E120" s="16">
        <f>BANGOREJO!AG120+KEBONDALEM!AH120+RINGINTELU!Z120+SAMBIMULYO!AF120+SAMBIREJO!AF120+SUKOREJO!AB120+TEMUREJO!AU120</f>
        <v>6</v>
      </c>
      <c r="F120" s="14"/>
      <c r="G120" s="5"/>
      <c r="H120" s="5"/>
      <c r="I120" s="5"/>
      <c r="J120" s="5"/>
      <c r="K120" s="5"/>
      <c r="L120" s="5"/>
      <c r="M120" s="5"/>
      <c r="N120" s="5"/>
      <c r="O120" s="5"/>
      <c r="P120" s="6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3">
      <c r="A121" s="14"/>
      <c r="B121" s="27"/>
      <c r="C121" s="28" t="s">
        <v>104</v>
      </c>
      <c r="D121" s="29"/>
      <c r="E121" s="16">
        <f>BANGOREJO!AG121+KEBONDALEM!AH121+RINGINTELU!Z121+SAMBIMULYO!AF121+SAMBIREJO!AF121+SUKOREJO!AB121+TEMUREJO!AU121</f>
        <v>4</v>
      </c>
      <c r="F121" s="14"/>
      <c r="G121" s="5"/>
      <c r="H121" s="5"/>
      <c r="I121" s="5"/>
      <c r="J121" s="5"/>
      <c r="K121" s="5"/>
      <c r="L121" s="5"/>
      <c r="M121" s="5"/>
      <c r="N121" s="5"/>
      <c r="O121" s="5"/>
      <c r="P121" s="6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3">
      <c r="A122" s="14"/>
      <c r="B122" s="27"/>
      <c r="C122" s="28" t="s">
        <v>105</v>
      </c>
      <c r="D122" s="29"/>
      <c r="E122" s="16">
        <f>BANGOREJO!AG122+KEBONDALEM!AH122+RINGINTELU!Z122+SAMBIMULYO!AF122+SAMBIREJO!AF122+SUKOREJO!AB122+TEMUREJO!AU122</f>
        <v>26</v>
      </c>
      <c r="F122" s="14"/>
      <c r="G122" s="5"/>
      <c r="H122" s="5"/>
      <c r="I122" s="5"/>
      <c r="J122" s="5"/>
      <c r="K122" s="5"/>
      <c r="L122" s="5"/>
      <c r="M122" s="5"/>
      <c r="N122" s="5"/>
      <c r="O122" s="5"/>
      <c r="P122" s="6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3">
      <c r="A123" s="14"/>
      <c r="B123" s="27"/>
      <c r="C123" s="28" t="s">
        <v>106</v>
      </c>
      <c r="D123" s="29"/>
      <c r="E123" s="16">
        <f>BANGOREJO!AG123+KEBONDALEM!AH123+RINGINTELU!Z123+SAMBIMULYO!AF123+SAMBIREJO!AF123+SUKOREJO!AB123+TEMUREJO!AU123</f>
        <v>10</v>
      </c>
      <c r="F123" s="14"/>
      <c r="G123" s="5"/>
      <c r="H123" s="5"/>
      <c r="I123" s="5"/>
      <c r="J123" s="5"/>
      <c r="K123" s="5"/>
      <c r="L123" s="5"/>
      <c r="M123" s="5"/>
      <c r="N123" s="5"/>
      <c r="O123" s="5"/>
      <c r="P123" s="6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3">
      <c r="A124" s="14"/>
      <c r="B124" s="27"/>
      <c r="C124" s="28" t="s">
        <v>107</v>
      </c>
      <c r="D124" s="29"/>
      <c r="E124" s="16">
        <f>BANGOREJO!AG124+KEBONDALEM!AH124+RINGINTELU!Z124+SAMBIMULYO!AF124+SAMBIREJO!AF124+SUKOREJO!AB124+TEMUREJO!AU124</f>
        <v>1</v>
      </c>
      <c r="F124" s="14"/>
      <c r="G124" s="5"/>
      <c r="H124" s="5"/>
      <c r="I124" s="5"/>
      <c r="J124" s="5"/>
      <c r="K124" s="5"/>
      <c r="L124" s="5"/>
      <c r="M124" s="5"/>
      <c r="N124" s="5"/>
      <c r="O124" s="5"/>
      <c r="P124" s="6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3">
      <c r="A125" s="15" t="s">
        <v>15</v>
      </c>
      <c r="B125" s="48" t="s">
        <v>47</v>
      </c>
      <c r="C125" s="49"/>
      <c r="D125" s="50"/>
      <c r="E125" s="34">
        <f>SUM(E117:E124)</f>
        <v>90</v>
      </c>
      <c r="F125" s="14"/>
      <c r="G125" s="5"/>
      <c r="H125" s="5"/>
      <c r="I125" s="5"/>
      <c r="J125" s="5"/>
      <c r="K125" s="5"/>
      <c r="L125" s="5"/>
      <c r="M125" s="5"/>
      <c r="N125" s="5"/>
      <c r="O125" s="5"/>
      <c r="P125" s="6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3">
      <c r="A126" s="35"/>
      <c r="B126" s="36"/>
      <c r="C126" s="36"/>
      <c r="D126" s="36"/>
      <c r="E126" s="36"/>
      <c r="F126" s="14"/>
      <c r="G126" s="5"/>
      <c r="H126" s="5"/>
      <c r="I126" s="5"/>
      <c r="J126" s="5"/>
      <c r="K126" s="5"/>
      <c r="L126" s="5"/>
      <c r="M126" s="5"/>
      <c r="N126" s="5"/>
      <c r="O126" s="5"/>
      <c r="P126" s="6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31" customHeight="1" x14ac:dyDescent="0.3">
      <c r="A127" s="19" t="s">
        <v>37</v>
      </c>
      <c r="B127" s="26" t="s">
        <v>108</v>
      </c>
      <c r="C127" s="51" t="s">
        <v>109</v>
      </c>
      <c r="D127" s="50"/>
      <c r="E127" s="16">
        <f>BANGOREJO!AG127+KEBONDALEM!AH127+RINGINTELU!Z127+SAMBIMULYO!AF127+SAMBIREJO!AF127+SUKOREJO!AB127+TEMUREJO!AU127</f>
        <v>20</v>
      </c>
      <c r="F127" s="14"/>
      <c r="G127" s="5"/>
      <c r="H127" s="5"/>
      <c r="I127" s="5"/>
      <c r="J127" s="5"/>
      <c r="K127" s="5"/>
      <c r="L127" s="5"/>
      <c r="M127" s="5"/>
      <c r="N127" s="5"/>
      <c r="O127" s="5"/>
      <c r="P127" s="6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3">
      <c r="A128" s="19" t="s">
        <v>39</v>
      </c>
      <c r="B128" s="27"/>
      <c r="C128" s="28"/>
      <c r="D128" s="29"/>
      <c r="E128" s="16">
        <f>BANGOREJO!AG128+KEBONDALEM!AH128+RINGINTELU!Z128+SAMBIMULYO!AF128+SAMBIREJO!AF128+SUKOREJO!AB128+TEMUREJO!AU128</f>
        <v>0</v>
      </c>
      <c r="F128" s="14"/>
      <c r="G128" s="5"/>
      <c r="H128" s="5"/>
      <c r="I128" s="5"/>
      <c r="J128" s="5"/>
      <c r="K128" s="5"/>
      <c r="L128" s="5"/>
      <c r="M128" s="5"/>
      <c r="N128" s="5"/>
      <c r="O128" s="5"/>
      <c r="P128" s="6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3">
      <c r="A129" s="15" t="s">
        <v>15</v>
      </c>
      <c r="B129" s="48" t="s">
        <v>47</v>
      </c>
      <c r="C129" s="49"/>
      <c r="D129" s="50"/>
      <c r="E129" s="34">
        <f>SUM(E127:E128)</f>
        <v>20</v>
      </c>
      <c r="F129" s="17"/>
      <c r="G129" s="1"/>
      <c r="H129" s="1"/>
      <c r="I129" s="1"/>
      <c r="J129" s="1"/>
      <c r="K129" s="1"/>
      <c r="L129" s="1"/>
      <c r="M129" s="1"/>
      <c r="N129" s="1"/>
      <c r="O129" s="1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35"/>
      <c r="B130" s="36"/>
      <c r="C130" s="36"/>
      <c r="D130" s="36"/>
      <c r="E130" s="36"/>
      <c r="F130" s="30"/>
      <c r="G130" s="31"/>
      <c r="H130" s="31"/>
      <c r="I130" s="31"/>
      <c r="J130" s="31"/>
      <c r="K130" s="31"/>
      <c r="L130" s="31"/>
      <c r="M130" s="31"/>
      <c r="N130" s="31"/>
      <c r="O130" s="31"/>
      <c r="P130" s="32"/>
      <c r="Q130" s="3"/>
      <c r="R130" s="3"/>
      <c r="S130" s="3"/>
      <c r="T130" s="3"/>
      <c r="U130" s="3"/>
      <c r="V130" s="3"/>
      <c r="W130" s="33"/>
      <c r="X130" s="3"/>
      <c r="Y130" s="3"/>
      <c r="Z130" s="3"/>
    </row>
    <row r="131" spans="1:26" ht="28.5" customHeight="1" x14ac:dyDescent="0.3">
      <c r="A131" s="19" t="s">
        <v>37</v>
      </c>
      <c r="B131" s="26" t="s">
        <v>110</v>
      </c>
      <c r="C131" s="51" t="s">
        <v>111</v>
      </c>
      <c r="D131" s="50"/>
      <c r="E131" s="16">
        <f>BANGOREJO!AG131+KEBONDALEM!AH131+RINGINTELU!Z131+SAMBIMULYO!AF131+SAMBIREJO!AF131+SUKOREJO!AB131+TEMUREJO!AU131</f>
        <v>41</v>
      </c>
      <c r="F131" s="14"/>
      <c r="G131" s="5"/>
      <c r="H131" s="5"/>
      <c r="I131" s="5"/>
      <c r="J131" s="5"/>
      <c r="K131" s="5"/>
      <c r="L131" s="5"/>
      <c r="M131" s="5"/>
      <c r="N131" s="5"/>
      <c r="O131" s="5"/>
      <c r="P131" s="6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3">
      <c r="A132" s="19" t="s">
        <v>39</v>
      </c>
      <c r="B132" s="27"/>
      <c r="C132" s="28" t="s">
        <v>112</v>
      </c>
      <c r="D132" s="29"/>
      <c r="E132" s="16">
        <f>BANGOREJO!AG132+KEBONDALEM!AH132+RINGINTELU!Z132+SAMBIMULYO!AF132+SAMBIREJO!AF132+SUKOREJO!AB132+TEMUREJO!AU132</f>
        <v>31</v>
      </c>
      <c r="F132" s="14"/>
      <c r="G132" s="5"/>
      <c r="H132" s="5"/>
      <c r="I132" s="5"/>
      <c r="J132" s="5"/>
      <c r="K132" s="5"/>
      <c r="L132" s="5"/>
      <c r="M132" s="5"/>
      <c r="N132" s="5"/>
      <c r="O132" s="5"/>
      <c r="P132" s="6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3">
      <c r="A133" s="14"/>
      <c r="B133" s="27"/>
      <c r="C133" s="28" t="s">
        <v>113</v>
      </c>
      <c r="D133" s="29"/>
      <c r="E133" s="16">
        <f>BANGOREJO!AG133+KEBONDALEM!AH133+RINGINTELU!Z133+SAMBIMULYO!AF133+SAMBIREJO!AF133+SUKOREJO!AB133+TEMUREJO!AU133</f>
        <v>18</v>
      </c>
      <c r="F133" s="14"/>
      <c r="G133" s="5"/>
      <c r="H133" s="5"/>
      <c r="I133" s="5"/>
      <c r="J133" s="5"/>
      <c r="K133" s="5"/>
      <c r="L133" s="5"/>
      <c r="M133" s="5"/>
      <c r="N133" s="5"/>
      <c r="O133" s="5"/>
      <c r="P133" s="6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3">
      <c r="A134" s="14"/>
      <c r="B134" s="27"/>
      <c r="C134" s="28" t="s">
        <v>114</v>
      </c>
      <c r="D134" s="29"/>
      <c r="E134" s="16">
        <f>BANGOREJO!AG134+KEBONDALEM!AH134+RINGINTELU!Z134+SAMBIMULYO!AF134+SAMBIREJO!AF134+SUKOREJO!AB134+TEMUREJO!AU134</f>
        <v>8</v>
      </c>
      <c r="F134" s="14"/>
      <c r="G134" s="5"/>
      <c r="H134" s="5"/>
      <c r="I134" s="5"/>
      <c r="J134" s="5"/>
      <c r="K134" s="5"/>
      <c r="L134" s="5"/>
      <c r="M134" s="5"/>
      <c r="N134" s="5"/>
      <c r="O134" s="5"/>
      <c r="P134" s="6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3">
      <c r="A135" s="14"/>
      <c r="B135" s="27"/>
      <c r="C135" s="28" t="s">
        <v>115</v>
      </c>
      <c r="D135" s="29"/>
      <c r="E135" s="16">
        <f>BANGOREJO!AG135+KEBONDALEM!AH135+RINGINTELU!Z135+SAMBIMULYO!AF135+SAMBIREJO!AF135+SUKOREJO!AB135+TEMUREJO!AU135</f>
        <v>4</v>
      </c>
      <c r="F135" s="14"/>
      <c r="G135" s="5"/>
      <c r="H135" s="5"/>
      <c r="I135" s="5"/>
      <c r="J135" s="5"/>
      <c r="K135" s="5"/>
      <c r="L135" s="5"/>
      <c r="M135" s="5"/>
      <c r="N135" s="5"/>
      <c r="O135" s="5"/>
      <c r="P135" s="6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3">
      <c r="A136" s="15" t="s">
        <v>15</v>
      </c>
      <c r="B136" s="48" t="s">
        <v>47</v>
      </c>
      <c r="C136" s="49"/>
      <c r="D136" s="50"/>
      <c r="E136" s="34">
        <f>SUM(E131:E135)</f>
        <v>102</v>
      </c>
      <c r="F136" s="14"/>
      <c r="G136" s="5"/>
      <c r="H136" s="5"/>
      <c r="I136" s="5"/>
      <c r="J136" s="5"/>
      <c r="K136" s="5"/>
      <c r="L136" s="5"/>
      <c r="M136" s="5"/>
      <c r="N136" s="5"/>
      <c r="O136" s="5"/>
      <c r="P136" s="6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3">
      <c r="A137" s="35"/>
      <c r="B137" s="36"/>
      <c r="C137" s="36"/>
      <c r="D137" s="36"/>
      <c r="E137" s="36"/>
      <c r="F137" s="14"/>
      <c r="G137" s="5"/>
      <c r="H137" s="5"/>
      <c r="I137" s="5"/>
      <c r="J137" s="5"/>
      <c r="K137" s="5"/>
      <c r="L137" s="5"/>
      <c r="M137" s="5"/>
      <c r="N137" s="5"/>
      <c r="O137" s="5"/>
      <c r="P137" s="6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33.5" customHeight="1" x14ac:dyDescent="0.3">
      <c r="A138" s="19" t="s">
        <v>37</v>
      </c>
      <c r="B138" s="26" t="s">
        <v>116</v>
      </c>
      <c r="C138" s="51" t="s">
        <v>117</v>
      </c>
      <c r="D138" s="50"/>
      <c r="E138" s="16">
        <f>BANGOREJO!AG138+KEBONDALEM!AH138+RINGINTELU!Z138+SAMBIMULYO!AF138+SAMBIREJO!AF138+SUKOREJO!AB138+TEMUREJO!AU138</f>
        <v>6</v>
      </c>
      <c r="F138" s="14"/>
      <c r="G138" s="5"/>
      <c r="H138" s="5"/>
      <c r="I138" s="5"/>
      <c r="J138" s="5"/>
      <c r="K138" s="5"/>
      <c r="L138" s="5"/>
      <c r="M138" s="5"/>
      <c r="N138" s="5"/>
      <c r="O138" s="5"/>
      <c r="P138" s="6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3">
      <c r="A139" s="19" t="s">
        <v>39</v>
      </c>
      <c r="B139" s="27"/>
      <c r="C139" s="28" t="s">
        <v>118</v>
      </c>
      <c r="D139" s="29"/>
      <c r="E139" s="16">
        <f>BANGOREJO!AG139+KEBONDALEM!AH139+RINGINTELU!Z139+SAMBIMULYO!AF139+SAMBIREJO!AF139+SUKOREJO!AB139+TEMUREJO!AU139</f>
        <v>1</v>
      </c>
      <c r="F139" s="14"/>
      <c r="G139" s="5"/>
      <c r="H139" s="5"/>
      <c r="I139" s="5"/>
      <c r="J139" s="5"/>
      <c r="K139" s="5"/>
      <c r="L139" s="5"/>
      <c r="M139" s="5"/>
      <c r="N139" s="5"/>
      <c r="O139" s="5"/>
      <c r="P139" s="6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3">
      <c r="A140" s="14"/>
      <c r="B140" s="27"/>
      <c r="C140" s="28" t="s">
        <v>119</v>
      </c>
      <c r="D140" s="29"/>
      <c r="E140" s="16">
        <f>BANGOREJO!AG140+KEBONDALEM!AH140+RINGINTELU!Z140+SAMBIMULYO!AF140+SAMBIREJO!AF140+SUKOREJO!AB140+TEMUREJO!AU140</f>
        <v>12</v>
      </c>
      <c r="F140" s="14"/>
      <c r="G140" s="5"/>
      <c r="H140" s="5"/>
      <c r="I140" s="5"/>
      <c r="J140" s="5"/>
      <c r="K140" s="5"/>
      <c r="L140" s="5"/>
      <c r="M140" s="5"/>
      <c r="N140" s="5"/>
      <c r="O140" s="5"/>
      <c r="P140" s="6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3">
      <c r="A141" s="14"/>
      <c r="B141" s="27"/>
      <c r="C141" s="28" t="s">
        <v>120</v>
      </c>
      <c r="D141" s="29"/>
      <c r="E141" s="16">
        <f>BANGOREJO!AG141+KEBONDALEM!AH141+RINGINTELU!Z141+SAMBIMULYO!AF141+SAMBIREJO!AF141+SUKOREJO!AB141+TEMUREJO!AU141</f>
        <v>1</v>
      </c>
      <c r="F141" s="17"/>
      <c r="G141" s="1"/>
      <c r="H141" s="1"/>
      <c r="I141" s="1"/>
      <c r="J141" s="1"/>
      <c r="K141" s="1"/>
      <c r="L141" s="1"/>
      <c r="M141" s="1"/>
      <c r="N141" s="1"/>
      <c r="O141" s="1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14"/>
      <c r="B142" s="27"/>
      <c r="C142" s="28" t="s">
        <v>121</v>
      </c>
      <c r="D142" s="29"/>
      <c r="E142" s="16">
        <f>BANGOREJO!AG142+KEBONDALEM!AH142+RINGINTELU!Z142+SAMBIMULYO!AF142+SAMBIREJO!AF142+SUKOREJO!AB142+TEMUREJO!AU142</f>
        <v>3</v>
      </c>
      <c r="F142" s="30"/>
      <c r="G142" s="31"/>
      <c r="H142" s="31"/>
      <c r="I142" s="31"/>
      <c r="J142" s="31"/>
      <c r="K142" s="31"/>
      <c r="L142" s="31"/>
      <c r="M142" s="31"/>
      <c r="N142" s="31"/>
      <c r="O142" s="31"/>
      <c r="P142" s="32"/>
      <c r="Q142" s="3"/>
      <c r="R142" s="3"/>
      <c r="S142" s="3"/>
      <c r="T142" s="3"/>
      <c r="U142" s="3"/>
      <c r="V142" s="3"/>
      <c r="W142" s="33"/>
      <c r="X142" s="3"/>
      <c r="Y142" s="3"/>
      <c r="Z142" s="3"/>
    </row>
    <row r="143" spans="1:26" ht="15.75" customHeight="1" x14ac:dyDescent="0.3">
      <c r="A143" s="14"/>
      <c r="B143" s="27"/>
      <c r="C143" s="28" t="s">
        <v>122</v>
      </c>
      <c r="D143" s="29"/>
      <c r="E143" s="16">
        <f>BANGOREJO!AG143+KEBONDALEM!AH143+RINGINTELU!Z143+SAMBIMULYO!AF143+SAMBIREJO!AF143+SUKOREJO!AB143+TEMUREJO!AU143</f>
        <v>3</v>
      </c>
      <c r="F143" s="14"/>
      <c r="G143" s="5"/>
      <c r="H143" s="5"/>
      <c r="I143" s="5"/>
      <c r="J143" s="5"/>
      <c r="K143" s="5"/>
      <c r="L143" s="5"/>
      <c r="M143" s="5"/>
      <c r="N143" s="5"/>
      <c r="O143" s="5"/>
      <c r="P143" s="6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3">
      <c r="A144" s="14"/>
      <c r="B144" s="27"/>
      <c r="C144" s="28" t="s">
        <v>123</v>
      </c>
      <c r="D144" s="29"/>
      <c r="E144" s="16">
        <f>BANGOREJO!AG144+KEBONDALEM!AH144+RINGINTELU!Z144+SAMBIMULYO!AF144+SAMBIREJO!AF144+SUKOREJO!AB144+TEMUREJO!AU144</f>
        <v>1</v>
      </c>
      <c r="F144" s="14"/>
      <c r="G144" s="5"/>
      <c r="H144" s="5"/>
      <c r="I144" s="5"/>
      <c r="J144" s="5"/>
      <c r="K144" s="5"/>
      <c r="L144" s="5"/>
      <c r="M144" s="5"/>
      <c r="N144" s="5"/>
      <c r="O144" s="5"/>
      <c r="P144" s="6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3">
      <c r="A145" s="14"/>
      <c r="B145" s="27"/>
      <c r="C145" s="28" t="s">
        <v>124</v>
      </c>
      <c r="D145" s="29"/>
      <c r="E145" s="16">
        <f>BANGOREJO!AG145+KEBONDALEM!AH145+RINGINTELU!Z145+SAMBIMULYO!AF145+SAMBIREJO!AF145+SUKOREJO!AB145+TEMUREJO!AU145</f>
        <v>0</v>
      </c>
      <c r="F145" s="14"/>
      <c r="G145" s="5"/>
      <c r="H145" s="5"/>
      <c r="I145" s="5"/>
      <c r="J145" s="5"/>
      <c r="K145" s="5"/>
      <c r="L145" s="5"/>
      <c r="M145" s="5"/>
      <c r="N145" s="5"/>
      <c r="O145" s="5"/>
      <c r="P145" s="6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3">
      <c r="A146" s="15" t="s">
        <v>15</v>
      </c>
      <c r="B146" s="48" t="s">
        <v>47</v>
      </c>
      <c r="C146" s="49"/>
      <c r="D146" s="50"/>
      <c r="E146" s="34">
        <f>SUM(E138:E145)</f>
        <v>27</v>
      </c>
      <c r="F146" s="14"/>
      <c r="G146" s="5"/>
      <c r="H146" s="5"/>
      <c r="I146" s="5"/>
      <c r="J146" s="5"/>
      <c r="K146" s="5"/>
      <c r="L146" s="5"/>
      <c r="M146" s="5"/>
      <c r="N146" s="5"/>
      <c r="O146" s="5"/>
      <c r="P146" s="6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3">
      <c r="A147" s="35"/>
      <c r="B147" s="36"/>
      <c r="C147" s="36"/>
      <c r="D147" s="36"/>
      <c r="E147" s="36"/>
      <c r="F147" s="14"/>
      <c r="G147" s="5"/>
      <c r="H147" s="5"/>
      <c r="I147" s="5"/>
      <c r="J147" s="5"/>
      <c r="K147" s="5"/>
      <c r="L147" s="5"/>
      <c r="M147" s="5"/>
      <c r="N147" s="5"/>
      <c r="O147" s="5"/>
      <c r="P147" s="6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27" customHeight="1" x14ac:dyDescent="0.3">
      <c r="A148" s="19" t="s">
        <v>37</v>
      </c>
      <c r="B148" s="26" t="s">
        <v>125</v>
      </c>
      <c r="C148" s="51" t="s">
        <v>126</v>
      </c>
      <c r="D148" s="50"/>
      <c r="E148" s="16">
        <f>BANGOREJO!AG148+KEBONDALEM!AH148+RINGINTELU!Z148+SAMBIMULYO!AF148+SAMBIREJO!AF148+SUKOREJO!AB148+TEMUREJO!AU148</f>
        <v>304</v>
      </c>
      <c r="F148" s="14"/>
      <c r="G148" s="5"/>
      <c r="H148" s="5"/>
      <c r="I148" s="5"/>
      <c r="J148" s="5"/>
      <c r="K148" s="5"/>
      <c r="L148" s="5"/>
      <c r="M148" s="5"/>
      <c r="N148" s="5"/>
      <c r="O148" s="5"/>
      <c r="P148" s="6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3">
      <c r="A149" s="19" t="s">
        <v>39</v>
      </c>
      <c r="B149" s="27"/>
      <c r="C149" s="28" t="s">
        <v>127</v>
      </c>
      <c r="D149" s="29"/>
      <c r="E149" s="16">
        <f>BANGOREJO!AG149+KEBONDALEM!AH149+RINGINTELU!Z149+SAMBIMULYO!AF149+SAMBIREJO!AF149+SUKOREJO!AB149+TEMUREJO!AU149</f>
        <v>585</v>
      </c>
      <c r="F149" s="14"/>
      <c r="G149" s="5"/>
      <c r="H149" s="5"/>
      <c r="I149" s="5"/>
      <c r="J149" s="5"/>
      <c r="K149" s="5"/>
      <c r="L149" s="5"/>
      <c r="M149" s="5"/>
      <c r="N149" s="5"/>
      <c r="O149" s="5"/>
      <c r="P149" s="6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3">
      <c r="A150" s="14"/>
      <c r="B150" s="27"/>
      <c r="C150" s="28" t="s">
        <v>128</v>
      </c>
      <c r="D150" s="29"/>
      <c r="E150" s="16">
        <f>BANGOREJO!AG150+KEBONDALEM!AH150+RINGINTELU!Z150+SAMBIMULYO!AF150+SAMBIREJO!AF150+SUKOREJO!AB150+TEMUREJO!AU150</f>
        <v>211</v>
      </c>
      <c r="F150" s="14"/>
      <c r="G150" s="5"/>
      <c r="H150" s="5"/>
      <c r="I150" s="5"/>
      <c r="J150" s="5"/>
      <c r="K150" s="5"/>
      <c r="L150" s="5"/>
      <c r="M150" s="5"/>
      <c r="N150" s="5"/>
      <c r="O150" s="5"/>
      <c r="P150" s="6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3">
      <c r="A151" s="14"/>
      <c r="B151" s="27"/>
      <c r="C151" s="28" t="s">
        <v>129</v>
      </c>
      <c r="D151" s="29"/>
      <c r="E151" s="16">
        <f>BANGOREJO!AG151+KEBONDALEM!AH151+RINGINTELU!Z151+SAMBIMULYO!AF151+SAMBIREJO!AF151+SUKOREJO!AB151+TEMUREJO!AU151</f>
        <v>36</v>
      </c>
      <c r="F151" s="14"/>
      <c r="G151" s="5"/>
      <c r="H151" s="5"/>
      <c r="I151" s="5"/>
      <c r="J151" s="5"/>
      <c r="K151" s="5"/>
      <c r="L151" s="5"/>
      <c r="M151" s="5"/>
      <c r="N151" s="5"/>
      <c r="O151" s="5"/>
      <c r="P151" s="6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3">
      <c r="A152" s="14"/>
      <c r="B152" s="27"/>
      <c r="C152" s="28" t="s">
        <v>130</v>
      </c>
      <c r="D152" s="29"/>
      <c r="E152" s="16">
        <f>BANGOREJO!AG152+KEBONDALEM!AH152+RINGINTELU!Z152+SAMBIMULYO!AF152+SAMBIREJO!AF152+SUKOREJO!AB152+TEMUREJO!AU152</f>
        <v>115</v>
      </c>
      <c r="F152" s="17"/>
      <c r="G152" s="1"/>
      <c r="H152" s="1"/>
      <c r="I152" s="1"/>
      <c r="J152" s="1"/>
      <c r="K152" s="1"/>
      <c r="L152" s="1"/>
      <c r="M152" s="1"/>
      <c r="N152" s="1"/>
      <c r="O152" s="1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14"/>
      <c r="B153" s="27"/>
      <c r="C153" s="28" t="s">
        <v>131</v>
      </c>
      <c r="D153" s="29"/>
      <c r="E153" s="16">
        <f>BANGOREJO!AG153+KEBONDALEM!AH153+RINGINTELU!Z153+SAMBIMULYO!AF153+SAMBIREJO!AF153+SUKOREJO!AB153+TEMUREJO!AU153</f>
        <v>25</v>
      </c>
      <c r="F153" s="30"/>
      <c r="G153" s="31"/>
      <c r="H153" s="31"/>
      <c r="I153" s="31"/>
      <c r="J153" s="31"/>
      <c r="K153" s="31"/>
      <c r="L153" s="31"/>
      <c r="M153" s="31"/>
      <c r="N153" s="31"/>
      <c r="O153" s="31"/>
      <c r="P153" s="32"/>
      <c r="Q153" s="3"/>
      <c r="R153" s="3"/>
      <c r="S153" s="3"/>
      <c r="T153" s="3"/>
      <c r="U153" s="3"/>
      <c r="V153" s="3"/>
      <c r="W153" s="33"/>
      <c r="X153" s="3"/>
      <c r="Y153" s="3"/>
      <c r="Z153" s="3"/>
    </row>
    <row r="154" spans="1:26" ht="15.75" customHeight="1" x14ac:dyDescent="0.3">
      <c r="A154" s="14"/>
      <c r="B154" s="27"/>
      <c r="C154" s="28" t="s">
        <v>132</v>
      </c>
      <c r="D154" s="29"/>
      <c r="E154" s="16">
        <f>BANGOREJO!AG154+KEBONDALEM!AH154+RINGINTELU!Z154+SAMBIMULYO!AF154+SAMBIREJO!AF154+SUKOREJO!AB154+TEMUREJO!AU154</f>
        <v>17</v>
      </c>
      <c r="F154" s="14"/>
      <c r="G154" s="5"/>
      <c r="H154" s="5"/>
      <c r="I154" s="5"/>
      <c r="J154" s="5"/>
      <c r="K154" s="5"/>
      <c r="L154" s="5"/>
      <c r="M154" s="5"/>
      <c r="N154" s="5"/>
      <c r="O154" s="5"/>
      <c r="P154" s="6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3">
      <c r="A155" s="14"/>
      <c r="B155" s="27"/>
      <c r="C155" s="28" t="s">
        <v>133</v>
      </c>
      <c r="D155" s="29"/>
      <c r="E155" s="16">
        <f>BANGOREJO!AG155+KEBONDALEM!AH155+RINGINTELU!Z155+SAMBIMULYO!AF155+SAMBIREJO!AF155+SUKOREJO!AB155+TEMUREJO!AU155</f>
        <v>3105</v>
      </c>
      <c r="F155" s="14"/>
      <c r="G155" s="5"/>
      <c r="H155" s="5"/>
      <c r="I155" s="5"/>
      <c r="J155" s="5"/>
      <c r="K155" s="5"/>
      <c r="L155" s="5"/>
      <c r="M155" s="5"/>
      <c r="N155" s="5"/>
      <c r="O155" s="5"/>
      <c r="P155" s="6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3">
      <c r="A156" s="15" t="s">
        <v>15</v>
      </c>
      <c r="B156" s="48" t="s">
        <v>47</v>
      </c>
      <c r="C156" s="49"/>
      <c r="D156" s="50"/>
      <c r="E156" s="34">
        <f>SUM(E148:E155)</f>
        <v>4398</v>
      </c>
      <c r="F156" s="14"/>
      <c r="G156" s="5"/>
      <c r="H156" s="5"/>
      <c r="I156" s="5"/>
      <c r="J156" s="5"/>
      <c r="K156" s="5"/>
      <c r="L156" s="5"/>
      <c r="M156" s="5"/>
      <c r="N156" s="5"/>
      <c r="O156" s="5"/>
      <c r="P156" s="6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3">
      <c r="A157" s="35"/>
      <c r="B157" s="36"/>
      <c r="C157" s="36"/>
      <c r="D157" s="36"/>
      <c r="E157" s="36"/>
      <c r="F157" s="14"/>
      <c r="G157" s="5"/>
      <c r="H157" s="5"/>
      <c r="I157" s="5"/>
      <c r="J157" s="5"/>
      <c r="K157" s="5"/>
      <c r="L157" s="5"/>
      <c r="M157" s="5"/>
      <c r="N157" s="5"/>
      <c r="O157" s="5"/>
      <c r="P157" s="6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25.5" customHeight="1" x14ac:dyDescent="0.3">
      <c r="A158" s="19" t="s">
        <v>37</v>
      </c>
      <c r="B158" s="26" t="s">
        <v>134</v>
      </c>
      <c r="C158" s="51" t="s">
        <v>135</v>
      </c>
      <c r="D158" s="50"/>
      <c r="E158" s="16">
        <f>BANGOREJO!AG158+KEBONDALEM!AH158+RINGINTELU!Z158+SAMBIMULYO!AF158+SAMBIREJO!AF158+SUKOREJO!AB158+TEMUREJO!AU158</f>
        <v>107</v>
      </c>
      <c r="F158" s="14"/>
      <c r="G158" s="5"/>
      <c r="H158" s="5"/>
      <c r="I158" s="5"/>
      <c r="J158" s="5"/>
      <c r="K158" s="5"/>
      <c r="L158" s="5"/>
      <c r="M158" s="5"/>
      <c r="N158" s="5"/>
      <c r="O158" s="5"/>
      <c r="P158" s="6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3">
      <c r="A159" s="19" t="s">
        <v>39</v>
      </c>
      <c r="B159" s="27"/>
      <c r="C159" s="28" t="s">
        <v>136</v>
      </c>
      <c r="D159" s="29"/>
      <c r="E159" s="16">
        <f>BANGOREJO!AG159+KEBONDALEM!AH159+RINGINTELU!Z159+SAMBIMULYO!AF159+SAMBIREJO!AF159+SUKOREJO!AB159+TEMUREJO!AU159</f>
        <v>119</v>
      </c>
      <c r="F159" s="14"/>
      <c r="G159" s="5"/>
      <c r="H159" s="5"/>
      <c r="I159" s="5"/>
      <c r="J159" s="5"/>
      <c r="K159" s="5"/>
      <c r="L159" s="5"/>
      <c r="M159" s="5"/>
      <c r="N159" s="5"/>
      <c r="O159" s="5"/>
      <c r="P159" s="6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3">
      <c r="A160" s="19"/>
      <c r="B160" s="27"/>
      <c r="C160" s="28" t="s">
        <v>137</v>
      </c>
      <c r="D160" s="29"/>
      <c r="E160" s="16">
        <f>BANGOREJO!AG160+KEBONDALEM!AH160+RINGINTELU!Z160+SAMBIMULYO!AF160+SAMBIREJO!AF160+SUKOREJO!AB160+TEMUREJO!AU160</f>
        <v>38</v>
      </c>
      <c r="F160" s="14"/>
      <c r="G160" s="5"/>
      <c r="H160" s="5"/>
      <c r="I160" s="5"/>
      <c r="J160" s="5"/>
      <c r="K160" s="5"/>
      <c r="L160" s="5"/>
      <c r="M160" s="5"/>
      <c r="N160" s="5"/>
      <c r="O160" s="5"/>
      <c r="P160" s="6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3">
      <c r="A161" s="15" t="s">
        <v>15</v>
      </c>
      <c r="B161" s="48" t="s">
        <v>47</v>
      </c>
      <c r="C161" s="49"/>
      <c r="D161" s="50"/>
      <c r="E161" s="34">
        <f>SUM(E158:E160)</f>
        <v>264</v>
      </c>
      <c r="F161" s="14"/>
      <c r="G161" s="5"/>
      <c r="H161" s="5"/>
      <c r="I161" s="5"/>
      <c r="J161" s="5"/>
      <c r="K161" s="5"/>
      <c r="L161" s="5"/>
      <c r="M161" s="5"/>
      <c r="N161" s="5"/>
      <c r="O161" s="5"/>
      <c r="P161" s="6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3">
      <c r="A162" s="35"/>
      <c r="B162" s="36"/>
      <c r="C162" s="36"/>
      <c r="D162" s="36"/>
      <c r="E162" s="36"/>
      <c r="F162" s="14"/>
      <c r="G162" s="5"/>
      <c r="H162" s="5"/>
      <c r="I162" s="5"/>
      <c r="J162" s="5"/>
      <c r="K162" s="5"/>
      <c r="L162" s="5"/>
      <c r="M162" s="5"/>
      <c r="N162" s="5"/>
      <c r="O162" s="5"/>
      <c r="P162" s="6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29" customHeight="1" x14ac:dyDescent="0.3">
      <c r="A163" s="19" t="s">
        <v>37</v>
      </c>
      <c r="B163" s="26" t="s">
        <v>138</v>
      </c>
      <c r="C163" s="51" t="s">
        <v>139</v>
      </c>
      <c r="D163" s="50"/>
      <c r="E163" s="16">
        <f>BANGOREJO!AG163+KEBONDALEM!AH163+RINGINTELU!Z163+SAMBIMULYO!AF163+SAMBIREJO!AF163+SUKOREJO!AB163+TEMUREJO!AU163</f>
        <v>22</v>
      </c>
      <c r="F163" s="14"/>
      <c r="G163" s="5"/>
      <c r="H163" s="5"/>
      <c r="I163" s="5"/>
      <c r="J163" s="5"/>
      <c r="K163" s="5"/>
      <c r="L163" s="5"/>
      <c r="M163" s="5"/>
      <c r="N163" s="5"/>
      <c r="O163" s="5"/>
      <c r="P163" s="6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3">
      <c r="A164" s="19" t="s">
        <v>39</v>
      </c>
      <c r="B164" s="26"/>
      <c r="C164" s="28" t="s">
        <v>140</v>
      </c>
      <c r="D164" s="40"/>
      <c r="E164" s="16">
        <f>BANGOREJO!AG164+KEBONDALEM!AH164+RINGINTELU!Z164+SAMBIMULYO!AF164+SAMBIREJO!AF164+SUKOREJO!AB164+TEMUREJO!AU164</f>
        <v>28</v>
      </c>
      <c r="F164" s="14"/>
      <c r="G164" s="5"/>
      <c r="H164" s="5"/>
      <c r="I164" s="5"/>
      <c r="J164" s="5"/>
      <c r="K164" s="5"/>
      <c r="L164" s="5"/>
      <c r="M164" s="5"/>
      <c r="N164" s="5"/>
      <c r="O164" s="5"/>
      <c r="P164" s="6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3">
      <c r="A165" s="15" t="s">
        <v>15</v>
      </c>
      <c r="B165" s="48" t="s">
        <v>47</v>
      </c>
      <c r="C165" s="49"/>
      <c r="D165" s="50"/>
      <c r="E165" s="34">
        <f>SUM(E163:E164)</f>
        <v>50</v>
      </c>
      <c r="F165" s="17"/>
      <c r="G165" s="1"/>
      <c r="H165" s="1"/>
      <c r="I165" s="1"/>
      <c r="J165" s="1"/>
      <c r="K165" s="1"/>
      <c r="L165" s="1"/>
      <c r="M165" s="1"/>
      <c r="N165" s="1"/>
      <c r="O165" s="1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35"/>
      <c r="B166" s="36"/>
      <c r="C166" s="36"/>
      <c r="D166" s="36"/>
      <c r="E166" s="36"/>
      <c r="F166" s="30"/>
      <c r="G166" s="31"/>
      <c r="H166" s="31"/>
      <c r="I166" s="31"/>
      <c r="J166" s="31"/>
      <c r="K166" s="31"/>
      <c r="L166" s="31"/>
      <c r="M166" s="31"/>
      <c r="N166" s="31"/>
      <c r="O166" s="31"/>
      <c r="P166" s="32"/>
      <c r="Q166" s="3"/>
      <c r="R166" s="3"/>
      <c r="S166" s="3"/>
      <c r="T166" s="3"/>
      <c r="U166" s="3"/>
      <c r="V166" s="3"/>
      <c r="W166" s="33"/>
      <c r="X166" s="3"/>
      <c r="Y166" s="3"/>
      <c r="Z166" s="3"/>
    </row>
    <row r="167" spans="1:26" ht="27" customHeight="1" x14ac:dyDescent="0.3">
      <c r="A167" s="19" t="s">
        <v>37</v>
      </c>
      <c r="B167" s="26" t="s">
        <v>141</v>
      </c>
      <c r="C167" s="51" t="s">
        <v>142</v>
      </c>
      <c r="D167" s="50"/>
      <c r="E167" s="16">
        <f>BANGOREJO!AG167+KEBONDALEM!AH167+RINGINTELU!Z167+SAMBIMULYO!AF167+SAMBIREJO!AF167+SUKOREJO!AB167+TEMUREJO!AU167</f>
        <v>132</v>
      </c>
      <c r="F167" s="14"/>
      <c r="G167" s="5"/>
      <c r="H167" s="5"/>
      <c r="I167" s="5"/>
      <c r="J167" s="5"/>
      <c r="K167" s="5"/>
      <c r="L167" s="5"/>
      <c r="M167" s="5"/>
      <c r="N167" s="5"/>
      <c r="O167" s="5"/>
      <c r="P167" s="6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3">
      <c r="A168" s="19" t="s">
        <v>39</v>
      </c>
      <c r="B168" s="27"/>
      <c r="C168" s="28" t="s">
        <v>143</v>
      </c>
      <c r="D168" s="29"/>
      <c r="E168" s="16">
        <f>BANGOREJO!AG168+KEBONDALEM!AH168+RINGINTELU!Z168+SAMBIMULYO!AF168+SAMBIREJO!AF168+SUKOREJO!AB168+TEMUREJO!AU168</f>
        <v>588</v>
      </c>
      <c r="F168" s="14"/>
      <c r="G168" s="5"/>
      <c r="H168" s="5"/>
      <c r="I168" s="5"/>
      <c r="J168" s="5"/>
      <c r="K168" s="5"/>
      <c r="L168" s="5"/>
      <c r="M168" s="5"/>
      <c r="N168" s="5"/>
      <c r="O168" s="5"/>
      <c r="P168" s="6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3">
      <c r="A169" s="14"/>
      <c r="B169" s="27"/>
      <c r="C169" s="28" t="s">
        <v>144</v>
      </c>
      <c r="D169" s="29"/>
      <c r="E169" s="16">
        <f>BANGOREJO!AG169+KEBONDALEM!AH169+RINGINTELU!Z169+SAMBIMULYO!AF169+SAMBIREJO!AF169+SUKOREJO!AB169+TEMUREJO!AU169</f>
        <v>38</v>
      </c>
      <c r="F169" s="14"/>
      <c r="G169" s="5"/>
      <c r="H169" s="5"/>
      <c r="I169" s="5"/>
      <c r="J169" s="5"/>
      <c r="K169" s="5"/>
      <c r="L169" s="5"/>
      <c r="M169" s="5"/>
      <c r="N169" s="5"/>
      <c r="O169" s="5"/>
      <c r="P169" s="6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3">
      <c r="A170" s="14"/>
      <c r="B170" s="27"/>
      <c r="C170" s="28" t="s">
        <v>145</v>
      </c>
      <c r="D170" s="29"/>
      <c r="E170" s="16">
        <f>BANGOREJO!AG170+KEBONDALEM!AH170+RINGINTELU!Z170+SAMBIMULYO!AF170+SAMBIREJO!AF170+SUKOREJO!AB170+TEMUREJO!AU170</f>
        <v>9</v>
      </c>
      <c r="F170" s="14"/>
      <c r="G170" s="5"/>
      <c r="H170" s="5"/>
      <c r="I170" s="5"/>
      <c r="J170" s="5"/>
      <c r="K170" s="5"/>
      <c r="L170" s="5"/>
      <c r="M170" s="5"/>
      <c r="N170" s="5"/>
      <c r="O170" s="5"/>
      <c r="P170" s="6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3">
      <c r="A171" s="14"/>
      <c r="B171" s="27"/>
      <c r="C171" s="28" t="s">
        <v>146</v>
      </c>
      <c r="D171" s="29"/>
      <c r="E171" s="16">
        <f>BANGOREJO!AG171+KEBONDALEM!AH171+RINGINTELU!Z171+SAMBIMULYO!AF171+SAMBIREJO!AF171+SUKOREJO!AB171+TEMUREJO!AU171</f>
        <v>14</v>
      </c>
      <c r="F171" s="14"/>
      <c r="G171" s="5"/>
      <c r="H171" s="5"/>
      <c r="I171" s="5"/>
      <c r="J171" s="5"/>
      <c r="K171" s="5"/>
      <c r="L171" s="5"/>
      <c r="M171" s="5"/>
      <c r="N171" s="5"/>
      <c r="O171" s="5"/>
      <c r="P171" s="6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3">
      <c r="A172" s="14"/>
      <c r="B172" s="27"/>
      <c r="C172" s="28" t="s">
        <v>147</v>
      </c>
      <c r="D172" s="29"/>
      <c r="E172" s="16">
        <f>BANGOREJO!AG172+KEBONDALEM!AH172+RINGINTELU!Z172+SAMBIMULYO!AF172+SAMBIREJO!AF172+SUKOREJO!AB172+TEMUREJO!AU172</f>
        <v>12</v>
      </c>
      <c r="F172" s="14"/>
      <c r="G172" s="5"/>
      <c r="H172" s="5"/>
      <c r="I172" s="5"/>
      <c r="J172" s="5"/>
      <c r="K172" s="5"/>
      <c r="L172" s="5"/>
      <c r="M172" s="5"/>
      <c r="N172" s="5"/>
      <c r="O172" s="5"/>
      <c r="P172" s="6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3">
      <c r="A173" s="14"/>
      <c r="B173" s="27"/>
      <c r="C173" s="28" t="s">
        <v>148</v>
      </c>
      <c r="D173" s="29"/>
      <c r="E173" s="16">
        <f>BANGOREJO!AG173+KEBONDALEM!AH173+RINGINTELU!Z173+SAMBIMULYO!AF173+SAMBIREJO!AF173+SUKOREJO!AB173+TEMUREJO!AU173</f>
        <v>529</v>
      </c>
      <c r="F173" s="14"/>
      <c r="G173" s="5"/>
      <c r="H173" s="5"/>
      <c r="I173" s="5"/>
      <c r="J173" s="5"/>
      <c r="K173" s="5"/>
      <c r="L173" s="5"/>
      <c r="M173" s="5"/>
      <c r="N173" s="5"/>
      <c r="O173" s="5"/>
      <c r="P173" s="6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3">
      <c r="A174" s="14"/>
      <c r="B174" s="27"/>
      <c r="C174" s="28" t="s">
        <v>149</v>
      </c>
      <c r="D174" s="29"/>
      <c r="E174" s="16">
        <f>BANGOREJO!AG174+KEBONDALEM!AH174+RINGINTELU!Z174+SAMBIMULYO!AF174+SAMBIREJO!AF174+SUKOREJO!AB174+TEMUREJO!AU174</f>
        <v>40</v>
      </c>
      <c r="F174" s="14"/>
      <c r="G174" s="5"/>
      <c r="H174" s="5"/>
      <c r="I174" s="5"/>
      <c r="J174" s="5"/>
      <c r="K174" s="5"/>
      <c r="L174" s="5"/>
      <c r="M174" s="5"/>
      <c r="N174" s="5"/>
      <c r="O174" s="5"/>
      <c r="P174" s="6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3">
      <c r="A175" s="15" t="s">
        <v>15</v>
      </c>
      <c r="B175" s="48" t="s">
        <v>47</v>
      </c>
      <c r="C175" s="49"/>
      <c r="D175" s="50"/>
      <c r="E175" s="34">
        <f>SUM(E167:E174)</f>
        <v>1362</v>
      </c>
      <c r="F175" s="14"/>
      <c r="G175" s="5"/>
      <c r="H175" s="5"/>
      <c r="I175" s="5"/>
      <c r="J175" s="5"/>
      <c r="K175" s="5"/>
      <c r="L175" s="5"/>
      <c r="M175" s="5"/>
      <c r="N175" s="5"/>
      <c r="O175" s="5"/>
      <c r="P175" s="6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3">
      <c r="A176" s="35"/>
      <c r="B176" s="36"/>
      <c r="C176" s="36"/>
      <c r="D176" s="36"/>
      <c r="E176" s="36"/>
      <c r="F176" s="14"/>
      <c r="G176" s="5"/>
      <c r="H176" s="5"/>
      <c r="I176" s="5"/>
      <c r="J176" s="5"/>
      <c r="K176" s="5"/>
      <c r="L176" s="5"/>
      <c r="M176" s="5"/>
      <c r="N176" s="5"/>
      <c r="O176" s="5"/>
      <c r="P176" s="6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29" customHeight="1" x14ac:dyDescent="0.3">
      <c r="A177" s="19" t="s">
        <v>37</v>
      </c>
      <c r="B177" s="26" t="s">
        <v>150</v>
      </c>
      <c r="C177" s="51" t="s">
        <v>151</v>
      </c>
      <c r="D177" s="50"/>
      <c r="E177" s="16">
        <f>BANGOREJO!AG177+KEBONDALEM!AH177+RINGINTELU!Z177+SAMBIMULYO!AF177+SAMBIREJO!AF177+SUKOREJO!AB177+TEMUREJO!AU177</f>
        <v>21</v>
      </c>
      <c r="F177" s="17"/>
      <c r="G177" s="1"/>
      <c r="H177" s="1"/>
      <c r="I177" s="1"/>
      <c r="J177" s="1"/>
      <c r="K177" s="1"/>
      <c r="L177" s="1"/>
      <c r="M177" s="1"/>
      <c r="N177" s="1"/>
      <c r="O177" s="1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19"/>
      <c r="B178" s="26"/>
      <c r="C178" s="28" t="s">
        <v>152</v>
      </c>
      <c r="D178" s="40"/>
      <c r="E178" s="16">
        <f>BANGOREJO!AG178+KEBONDALEM!AH178+RINGINTELU!Z178+SAMBIMULYO!AF178+SAMBIREJO!AF178+SUKOREJO!AB178+TEMUREJO!AU178</f>
        <v>15</v>
      </c>
      <c r="F178" s="30"/>
      <c r="G178" s="31"/>
      <c r="H178" s="31"/>
      <c r="I178" s="31"/>
      <c r="J178" s="31"/>
      <c r="K178" s="31"/>
      <c r="L178" s="31"/>
      <c r="M178" s="31"/>
      <c r="N178" s="31"/>
      <c r="O178" s="31"/>
      <c r="P178" s="32"/>
      <c r="Q178" s="3"/>
      <c r="R178" s="3"/>
      <c r="S178" s="3"/>
      <c r="T178" s="3"/>
      <c r="U178" s="3"/>
      <c r="V178" s="3"/>
      <c r="W178" s="33"/>
      <c r="X178" s="3"/>
      <c r="Y178" s="3"/>
      <c r="Z178" s="3"/>
    </row>
    <row r="179" spans="1:26" ht="15.75" customHeight="1" x14ac:dyDescent="0.3">
      <c r="A179" s="19"/>
      <c r="B179" s="26"/>
      <c r="C179" s="28" t="s">
        <v>153</v>
      </c>
      <c r="D179" s="40"/>
      <c r="E179" s="16">
        <f>BANGOREJO!AG179+KEBONDALEM!AH179+RINGINTELU!Z179+SAMBIMULYO!AF179+SAMBIREJO!AF179+SUKOREJO!AB179+TEMUREJO!AU179</f>
        <v>6</v>
      </c>
      <c r="F179" s="14"/>
      <c r="G179" s="5"/>
      <c r="H179" s="5"/>
      <c r="I179" s="5"/>
      <c r="J179" s="5"/>
      <c r="K179" s="5"/>
      <c r="L179" s="5"/>
      <c r="M179" s="5"/>
      <c r="N179" s="5"/>
      <c r="O179" s="5"/>
      <c r="P179" s="6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3">
      <c r="A180" s="19" t="s">
        <v>39</v>
      </c>
      <c r="B180" s="27"/>
      <c r="C180" s="28" t="s">
        <v>154</v>
      </c>
      <c r="D180" s="29"/>
      <c r="E180" s="16">
        <f>BANGOREJO!AG180+KEBONDALEM!AH180+RINGINTELU!Z180+SAMBIMULYO!AF180+SAMBIREJO!AF180+SUKOREJO!AB180+TEMUREJO!AU180</f>
        <v>3</v>
      </c>
      <c r="F180" s="14"/>
      <c r="G180" s="5"/>
      <c r="H180" s="5"/>
      <c r="I180" s="5"/>
      <c r="J180" s="5"/>
      <c r="K180" s="5"/>
      <c r="L180" s="5"/>
      <c r="M180" s="5"/>
      <c r="N180" s="5"/>
      <c r="O180" s="5"/>
      <c r="P180" s="6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3">
      <c r="A181" s="15" t="s">
        <v>15</v>
      </c>
      <c r="B181" s="48" t="s">
        <v>47</v>
      </c>
      <c r="C181" s="49"/>
      <c r="D181" s="50"/>
      <c r="E181" s="34">
        <f>SUM(E177:E180)</f>
        <v>45</v>
      </c>
      <c r="F181" s="14"/>
      <c r="G181" s="5"/>
      <c r="H181" s="5"/>
      <c r="I181" s="5"/>
      <c r="J181" s="5"/>
      <c r="K181" s="5"/>
      <c r="L181" s="5"/>
      <c r="M181" s="5"/>
      <c r="N181" s="5"/>
      <c r="O181" s="5"/>
      <c r="P181" s="6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3">
      <c r="A182" s="35"/>
      <c r="B182" s="36"/>
      <c r="C182" s="36"/>
      <c r="D182" s="41"/>
      <c r="E182" s="16"/>
      <c r="F182" s="14"/>
      <c r="G182" s="5"/>
      <c r="H182" s="5"/>
      <c r="I182" s="5"/>
      <c r="J182" s="5"/>
      <c r="K182" s="5"/>
      <c r="L182" s="5"/>
      <c r="M182" s="5"/>
      <c r="N182" s="5"/>
      <c r="O182" s="5"/>
      <c r="P182" s="6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3">
      <c r="A183" s="25" t="s">
        <v>155</v>
      </c>
      <c r="B183" s="53" t="s">
        <v>156</v>
      </c>
      <c r="C183" s="49"/>
      <c r="D183" s="50"/>
      <c r="E183" s="13"/>
      <c r="F183" s="14"/>
      <c r="G183" s="5"/>
      <c r="H183" s="5"/>
      <c r="I183" s="5"/>
      <c r="J183" s="5"/>
      <c r="K183" s="5"/>
      <c r="L183" s="5"/>
      <c r="M183" s="5"/>
      <c r="N183" s="5"/>
      <c r="O183" s="5"/>
      <c r="P183" s="6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3">
      <c r="A184" s="25"/>
      <c r="B184" s="42" t="s">
        <v>157</v>
      </c>
      <c r="C184" s="52" t="s">
        <v>158</v>
      </c>
      <c r="D184" s="50"/>
      <c r="E184" s="16">
        <f>BANGOREJO!AG184+KEBONDALEM!AH184+RINGINTELU!Z184+SAMBIMULYO!AF184+SAMBIREJO!AF184+SUKOREJO!AB184+TEMUREJO!AU184</f>
        <v>38915</v>
      </c>
      <c r="F184" s="14"/>
      <c r="G184" s="5"/>
      <c r="H184" s="5"/>
      <c r="I184" s="5"/>
      <c r="J184" s="5"/>
      <c r="K184" s="5"/>
      <c r="L184" s="5"/>
      <c r="M184" s="5"/>
      <c r="N184" s="5"/>
      <c r="O184" s="5"/>
      <c r="P184" s="6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3">
      <c r="A185" s="21"/>
      <c r="B185" s="42" t="s">
        <v>159</v>
      </c>
      <c r="C185" s="52" t="s">
        <v>160</v>
      </c>
      <c r="D185" s="50"/>
      <c r="E185" s="16">
        <f>BANGOREJO!AG185+KEBONDALEM!AH185+RINGINTELU!Z185+SAMBIMULYO!AF185+SAMBIREJO!AF185+SUKOREJO!AB185+TEMUREJO!AU185</f>
        <v>1665</v>
      </c>
      <c r="F185" s="14"/>
      <c r="G185" s="5"/>
      <c r="H185" s="5"/>
      <c r="I185" s="5"/>
      <c r="J185" s="5"/>
      <c r="K185" s="5"/>
      <c r="L185" s="5"/>
      <c r="M185" s="5"/>
      <c r="N185" s="5"/>
      <c r="O185" s="5"/>
      <c r="P185" s="6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3">
      <c r="A186" s="24"/>
      <c r="B186" s="42" t="s">
        <v>161</v>
      </c>
      <c r="C186" s="52" t="s">
        <v>162</v>
      </c>
      <c r="D186" s="50"/>
      <c r="E186" s="13">
        <f>SUM(E184:E185)</f>
        <v>40580</v>
      </c>
      <c r="F186" s="14"/>
      <c r="G186" s="5"/>
      <c r="H186" s="5"/>
      <c r="I186" s="5"/>
      <c r="J186" s="5"/>
      <c r="K186" s="5"/>
      <c r="L186" s="5"/>
      <c r="M186" s="5"/>
      <c r="N186" s="5"/>
      <c r="O186" s="5"/>
      <c r="P186" s="6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3">
      <c r="A187" s="5"/>
      <c r="B187" s="43"/>
      <c r="C187" s="44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10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3">
      <c r="A188" s="5"/>
      <c r="B188" s="43"/>
      <c r="C188" s="44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10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3">
      <c r="A189" s="5"/>
      <c r="B189" s="43"/>
      <c r="C189" s="44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10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hidden="1" customHeight="1" x14ac:dyDescent="0.3">
      <c r="A190" s="5"/>
      <c r="B190" s="43"/>
      <c r="C190" s="44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10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hidden="1" customHeight="1" x14ac:dyDescent="0.3">
      <c r="A191" s="5"/>
      <c r="B191" s="43"/>
      <c r="C191" s="44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10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hidden="1" customHeight="1" x14ac:dyDescent="0.3">
      <c r="A192" s="5"/>
      <c r="B192" s="43"/>
      <c r="C192" s="44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10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hidden="1" customHeight="1" x14ac:dyDescent="0.3">
      <c r="A193" s="5"/>
      <c r="B193" s="43"/>
      <c r="C193" s="44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10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hidden="1" customHeight="1" x14ac:dyDescent="0.3">
      <c r="A194" s="5"/>
      <c r="B194" s="43"/>
      <c r="C194" s="44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10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hidden="1" customHeight="1" x14ac:dyDescent="0.3">
      <c r="A195" s="5"/>
      <c r="B195" s="43"/>
      <c r="C195" s="44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10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hidden="1" customHeight="1" x14ac:dyDescent="0.3">
      <c r="A196" s="5"/>
      <c r="B196" s="43"/>
      <c r="C196" s="44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10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hidden="1" customHeight="1" x14ac:dyDescent="0.3">
      <c r="A197" s="5"/>
      <c r="B197" s="43"/>
      <c r="C197" s="44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10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hidden="1" customHeight="1" x14ac:dyDescent="0.3">
      <c r="A198" s="5"/>
      <c r="B198" s="43"/>
      <c r="C198" s="44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10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hidden="1" customHeight="1" x14ac:dyDescent="0.3">
      <c r="A199" s="5"/>
      <c r="B199" s="43"/>
      <c r="C199" s="44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10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hidden="1" customHeight="1" x14ac:dyDescent="0.3">
      <c r="A200" s="5"/>
      <c r="B200" s="43"/>
      <c r="C200" s="44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10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hidden="1" customHeight="1" x14ac:dyDescent="0.3">
      <c r="A201" s="5"/>
      <c r="B201" s="43"/>
      <c r="C201" s="44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10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hidden="1" customHeight="1" x14ac:dyDescent="0.3">
      <c r="A202" s="5"/>
      <c r="B202" s="43"/>
      <c r="C202" s="44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10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hidden="1" customHeight="1" x14ac:dyDescent="0.3">
      <c r="A203" s="5"/>
      <c r="B203" s="43"/>
      <c r="C203" s="44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10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hidden="1" customHeight="1" x14ac:dyDescent="0.3">
      <c r="A204" s="5"/>
      <c r="B204" s="43"/>
      <c r="C204" s="44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10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hidden="1" customHeight="1" x14ac:dyDescent="0.3">
      <c r="A205" s="5"/>
      <c r="B205" s="43"/>
      <c r="C205" s="44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10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hidden="1" customHeight="1" x14ac:dyDescent="0.3">
      <c r="A206" s="5"/>
      <c r="B206" s="43"/>
      <c r="C206" s="44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10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hidden="1" customHeight="1" x14ac:dyDescent="0.3">
      <c r="A207" s="5"/>
      <c r="B207" s="43"/>
      <c r="C207" s="44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10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hidden="1" customHeight="1" x14ac:dyDescent="0.3">
      <c r="A208" s="5"/>
      <c r="B208" s="43"/>
      <c r="C208" s="44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10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hidden="1" customHeight="1" x14ac:dyDescent="0.3">
      <c r="A209" s="5"/>
      <c r="B209" s="43"/>
      <c r="C209" s="44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10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hidden="1" customHeight="1" x14ac:dyDescent="0.3">
      <c r="A210" s="5"/>
      <c r="B210" s="43"/>
      <c r="C210" s="44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10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hidden="1" customHeight="1" x14ac:dyDescent="0.3">
      <c r="A211" s="5"/>
      <c r="B211" s="43"/>
      <c r="C211" s="44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10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hidden="1" customHeight="1" x14ac:dyDescent="0.3">
      <c r="A212" s="5"/>
      <c r="B212" s="43"/>
      <c r="C212" s="44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10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hidden="1" customHeight="1" x14ac:dyDescent="0.3">
      <c r="A213" s="5"/>
      <c r="B213" s="43"/>
      <c r="C213" s="44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10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hidden="1" customHeight="1" x14ac:dyDescent="0.3">
      <c r="A214" s="5"/>
      <c r="B214" s="43"/>
      <c r="C214" s="44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10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hidden="1" customHeight="1" x14ac:dyDescent="0.3">
      <c r="A215" s="5"/>
      <c r="B215" s="43"/>
      <c r="C215" s="44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10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hidden="1" customHeight="1" x14ac:dyDescent="0.3">
      <c r="A216" s="5"/>
      <c r="B216" s="43"/>
      <c r="C216" s="44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10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hidden="1" customHeight="1" x14ac:dyDescent="0.3">
      <c r="A217" s="5"/>
      <c r="B217" s="43"/>
      <c r="C217" s="44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10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hidden="1" customHeight="1" x14ac:dyDescent="0.3">
      <c r="A218" s="5"/>
      <c r="B218" s="43"/>
      <c r="C218" s="44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10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hidden="1" customHeight="1" x14ac:dyDescent="0.3">
      <c r="A219" s="5"/>
      <c r="B219" s="43"/>
      <c r="C219" s="44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10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hidden="1" customHeight="1" x14ac:dyDescent="0.3">
      <c r="A220" s="5"/>
      <c r="B220" s="43"/>
      <c r="C220" s="44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10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hidden="1" customHeight="1" x14ac:dyDescent="0.3">
      <c r="A221" s="5"/>
      <c r="B221" s="43"/>
      <c r="C221" s="44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10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hidden="1" customHeight="1" x14ac:dyDescent="0.3">
      <c r="A222" s="5"/>
      <c r="B222" s="43"/>
      <c r="C222" s="44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10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hidden="1" customHeight="1" x14ac:dyDescent="0.3">
      <c r="A223" s="5"/>
      <c r="B223" s="43"/>
      <c r="C223" s="44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10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hidden="1" customHeight="1" x14ac:dyDescent="0.3">
      <c r="A224" s="5"/>
      <c r="B224" s="43"/>
      <c r="C224" s="44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10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hidden="1" customHeight="1" x14ac:dyDescent="0.3">
      <c r="A225" s="5"/>
      <c r="B225" s="43"/>
      <c r="C225" s="44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10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hidden="1" customHeight="1" x14ac:dyDescent="0.3">
      <c r="A226" s="5"/>
      <c r="B226" s="43"/>
      <c r="C226" s="44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10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hidden="1" customHeight="1" x14ac:dyDescent="0.3">
      <c r="A227" s="5"/>
      <c r="B227" s="43"/>
      <c r="C227" s="44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10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hidden="1" customHeight="1" x14ac:dyDescent="0.3">
      <c r="A228" s="5"/>
      <c r="B228" s="43"/>
      <c r="C228" s="44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10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hidden="1" customHeight="1" x14ac:dyDescent="0.3">
      <c r="A229" s="5"/>
      <c r="B229" s="43"/>
      <c r="C229" s="44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10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hidden="1" customHeight="1" x14ac:dyDescent="0.3">
      <c r="A230" s="5"/>
      <c r="B230" s="43"/>
      <c r="C230" s="44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10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hidden="1" customHeight="1" x14ac:dyDescent="0.3">
      <c r="A231" s="5"/>
      <c r="B231" s="43"/>
      <c r="C231" s="44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10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hidden="1" customHeight="1" x14ac:dyDescent="0.3">
      <c r="A232" s="5"/>
      <c r="B232" s="43"/>
      <c r="C232" s="44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10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hidden="1" customHeight="1" x14ac:dyDescent="0.3">
      <c r="A233" s="5"/>
      <c r="B233" s="43"/>
      <c r="C233" s="44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10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hidden="1" customHeight="1" x14ac:dyDescent="0.3">
      <c r="A234" s="5"/>
      <c r="B234" s="43"/>
      <c r="C234" s="44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10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hidden="1" customHeight="1" x14ac:dyDescent="0.3">
      <c r="A235" s="5"/>
      <c r="B235" s="43"/>
      <c r="C235" s="44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10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hidden="1" customHeight="1" x14ac:dyDescent="0.3">
      <c r="A236" s="5"/>
      <c r="B236" s="43"/>
      <c r="C236" s="44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10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hidden="1" customHeight="1" x14ac:dyDescent="0.3">
      <c r="A237" s="5"/>
      <c r="B237" s="43"/>
      <c r="C237" s="44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10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hidden="1" customHeight="1" x14ac:dyDescent="0.3">
      <c r="A238" s="5"/>
      <c r="B238" s="43"/>
      <c r="C238" s="44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10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hidden="1" customHeight="1" x14ac:dyDescent="0.3">
      <c r="A239" s="5"/>
      <c r="B239" s="43"/>
      <c r="C239" s="44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10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hidden="1" customHeight="1" x14ac:dyDescent="0.3">
      <c r="A240" s="5"/>
      <c r="B240" s="43"/>
      <c r="C240" s="44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10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hidden="1" customHeight="1" x14ac:dyDescent="0.3">
      <c r="A241" s="5"/>
      <c r="B241" s="43"/>
      <c r="C241" s="44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10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hidden="1" customHeight="1" x14ac:dyDescent="0.3">
      <c r="A242" s="5"/>
      <c r="B242" s="43"/>
      <c r="C242" s="44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10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hidden="1" customHeight="1" x14ac:dyDescent="0.3">
      <c r="A243" s="5"/>
      <c r="B243" s="43"/>
      <c r="C243" s="44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10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hidden="1" customHeight="1" x14ac:dyDescent="0.3">
      <c r="A244" s="5"/>
      <c r="B244" s="43"/>
      <c r="C244" s="44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10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hidden="1" customHeight="1" x14ac:dyDescent="0.3">
      <c r="A245" s="5"/>
      <c r="B245" s="43"/>
      <c r="C245" s="44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10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hidden="1" customHeight="1" x14ac:dyDescent="0.3">
      <c r="A246" s="5"/>
      <c r="B246" s="43"/>
      <c r="C246" s="44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10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hidden="1" customHeight="1" x14ac:dyDescent="0.3">
      <c r="A247" s="5"/>
      <c r="B247" s="43"/>
      <c r="C247" s="44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10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hidden="1" customHeight="1" x14ac:dyDescent="0.3">
      <c r="A248" s="5"/>
      <c r="B248" s="43"/>
      <c r="C248" s="44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10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hidden="1" customHeight="1" x14ac:dyDescent="0.3">
      <c r="A249" s="5"/>
      <c r="B249" s="43"/>
      <c r="C249" s="44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10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hidden="1" customHeight="1" x14ac:dyDescent="0.3">
      <c r="A250" s="5"/>
      <c r="B250" s="43"/>
      <c r="C250" s="44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10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hidden="1" customHeight="1" x14ac:dyDescent="0.3">
      <c r="A251" s="5"/>
      <c r="B251" s="43"/>
      <c r="C251" s="44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10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hidden="1" customHeight="1" x14ac:dyDescent="0.3">
      <c r="A252" s="5"/>
      <c r="B252" s="43"/>
      <c r="C252" s="44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10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hidden="1" customHeight="1" x14ac:dyDescent="0.3">
      <c r="A253" s="5"/>
      <c r="B253" s="43"/>
      <c r="C253" s="44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10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hidden="1" customHeight="1" x14ac:dyDescent="0.3">
      <c r="A254" s="5"/>
      <c r="B254" s="43"/>
      <c r="C254" s="44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10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hidden="1" customHeight="1" x14ac:dyDescent="0.3">
      <c r="A255" s="5"/>
      <c r="B255" s="43"/>
      <c r="C255" s="44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10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hidden="1" customHeight="1" x14ac:dyDescent="0.3">
      <c r="A256" s="5"/>
      <c r="B256" s="43"/>
      <c r="C256" s="44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10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hidden="1" customHeight="1" x14ac:dyDescent="0.3">
      <c r="A257" s="5"/>
      <c r="B257" s="43"/>
      <c r="C257" s="44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10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hidden="1" customHeight="1" x14ac:dyDescent="0.3">
      <c r="A258" s="5"/>
      <c r="B258" s="43"/>
      <c r="C258" s="44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10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hidden="1" customHeight="1" x14ac:dyDescent="0.3">
      <c r="A259" s="5"/>
      <c r="B259" s="43"/>
      <c r="C259" s="44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10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hidden="1" customHeight="1" x14ac:dyDescent="0.3">
      <c r="A260" s="5"/>
      <c r="B260" s="43"/>
      <c r="C260" s="44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10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hidden="1" customHeight="1" x14ac:dyDescent="0.3">
      <c r="A261" s="5"/>
      <c r="B261" s="43"/>
      <c r="C261" s="44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10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hidden="1" customHeight="1" x14ac:dyDescent="0.3">
      <c r="A262" s="5"/>
      <c r="B262" s="43"/>
      <c r="C262" s="44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10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hidden="1" customHeight="1" x14ac:dyDescent="0.3">
      <c r="A263" s="5"/>
      <c r="B263" s="43"/>
      <c r="C263" s="44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10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hidden="1" customHeight="1" x14ac:dyDescent="0.3">
      <c r="A264" s="5"/>
      <c r="B264" s="43"/>
      <c r="C264" s="44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10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hidden="1" customHeight="1" x14ac:dyDescent="0.3">
      <c r="A265" s="5"/>
      <c r="B265" s="43"/>
      <c r="C265" s="44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10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hidden="1" customHeight="1" x14ac:dyDescent="0.3">
      <c r="A266" s="5"/>
      <c r="B266" s="43"/>
      <c r="C266" s="44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10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hidden="1" customHeight="1" x14ac:dyDescent="0.3">
      <c r="A267" s="5"/>
      <c r="B267" s="43"/>
      <c r="C267" s="44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10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hidden="1" customHeight="1" x14ac:dyDescent="0.3">
      <c r="A268" s="5"/>
      <c r="B268" s="43"/>
      <c r="C268" s="44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10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hidden="1" customHeight="1" x14ac:dyDescent="0.3">
      <c r="A269" s="5"/>
      <c r="B269" s="43"/>
      <c r="C269" s="44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10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hidden="1" customHeight="1" x14ac:dyDescent="0.3">
      <c r="A270" s="5"/>
      <c r="B270" s="43"/>
      <c r="C270" s="44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10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hidden="1" customHeight="1" x14ac:dyDescent="0.3">
      <c r="A271" s="5"/>
      <c r="B271" s="43"/>
      <c r="C271" s="44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10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hidden="1" customHeight="1" x14ac:dyDescent="0.3">
      <c r="A272" s="5"/>
      <c r="B272" s="43"/>
      <c r="C272" s="44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10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hidden="1" customHeight="1" x14ac:dyDescent="0.3">
      <c r="A273" s="5"/>
      <c r="B273" s="43"/>
      <c r="C273" s="44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10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hidden="1" customHeight="1" x14ac:dyDescent="0.3">
      <c r="A274" s="5"/>
      <c r="B274" s="43"/>
      <c r="C274" s="44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10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hidden="1" customHeight="1" x14ac:dyDescent="0.3">
      <c r="A275" s="5"/>
      <c r="B275" s="43"/>
      <c r="C275" s="44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10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hidden="1" customHeight="1" x14ac:dyDescent="0.3">
      <c r="A276" s="5"/>
      <c r="B276" s="43"/>
      <c r="C276" s="44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10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hidden="1" customHeight="1" x14ac:dyDescent="0.3">
      <c r="A277" s="5"/>
      <c r="B277" s="43"/>
      <c r="C277" s="44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10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hidden="1" customHeight="1" x14ac:dyDescent="0.3">
      <c r="A278" s="5"/>
      <c r="B278" s="43"/>
      <c r="C278" s="44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10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hidden="1" customHeight="1" x14ac:dyDescent="0.3">
      <c r="A279" s="5"/>
      <c r="B279" s="43"/>
      <c r="C279" s="44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10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hidden="1" customHeight="1" x14ac:dyDescent="0.3">
      <c r="A280" s="5"/>
      <c r="B280" s="43"/>
      <c r="C280" s="44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10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hidden="1" customHeight="1" x14ac:dyDescent="0.3">
      <c r="A281" s="5"/>
      <c r="B281" s="43"/>
      <c r="C281" s="44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10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hidden="1" customHeight="1" x14ac:dyDescent="0.3">
      <c r="A282" s="5"/>
      <c r="B282" s="43"/>
      <c r="C282" s="44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10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hidden="1" customHeight="1" x14ac:dyDescent="0.3">
      <c r="A283" s="5"/>
      <c r="B283" s="43"/>
      <c r="C283" s="44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10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hidden="1" customHeight="1" x14ac:dyDescent="0.3">
      <c r="A284" s="5"/>
      <c r="B284" s="43"/>
      <c r="C284" s="44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10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hidden="1" customHeight="1" x14ac:dyDescent="0.3">
      <c r="A285" s="5"/>
      <c r="B285" s="43"/>
      <c r="C285" s="44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10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hidden="1" customHeight="1" x14ac:dyDescent="0.3">
      <c r="A286" s="5"/>
      <c r="B286" s="43"/>
      <c r="C286" s="44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10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hidden="1" customHeight="1" x14ac:dyDescent="0.3">
      <c r="A287" s="5"/>
      <c r="B287" s="43"/>
      <c r="C287" s="44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10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hidden="1" customHeight="1" x14ac:dyDescent="0.3">
      <c r="A288" s="5"/>
      <c r="B288" s="43"/>
      <c r="C288" s="44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10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hidden="1" customHeight="1" x14ac:dyDescent="0.3">
      <c r="A289" s="5"/>
      <c r="B289" s="43"/>
      <c r="C289" s="44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10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hidden="1" customHeight="1" x14ac:dyDescent="0.3">
      <c r="A290" s="5"/>
      <c r="B290" s="43"/>
      <c r="C290" s="44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10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hidden="1" customHeight="1" x14ac:dyDescent="0.3">
      <c r="A291" s="5"/>
      <c r="B291" s="43"/>
      <c r="C291" s="44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10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hidden="1" customHeight="1" x14ac:dyDescent="0.3">
      <c r="A292" s="5"/>
      <c r="B292" s="43"/>
      <c r="C292" s="44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10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hidden="1" customHeight="1" x14ac:dyDescent="0.3">
      <c r="A293" s="5"/>
      <c r="B293" s="43"/>
      <c r="C293" s="44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10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hidden="1" customHeight="1" x14ac:dyDescent="0.3">
      <c r="A294" s="5"/>
      <c r="B294" s="43"/>
      <c r="C294" s="44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10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hidden="1" customHeight="1" x14ac:dyDescent="0.3">
      <c r="A295" s="5"/>
      <c r="B295" s="43"/>
      <c r="C295" s="44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10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hidden="1" customHeight="1" x14ac:dyDescent="0.3">
      <c r="A296" s="5"/>
      <c r="B296" s="43"/>
      <c r="C296" s="44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10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hidden="1" customHeight="1" x14ac:dyDescent="0.3">
      <c r="A297" s="5"/>
      <c r="B297" s="43"/>
      <c r="C297" s="44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10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hidden="1" customHeight="1" x14ac:dyDescent="0.3">
      <c r="A298" s="5"/>
      <c r="B298" s="43"/>
      <c r="C298" s="44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10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hidden="1" customHeight="1" x14ac:dyDescent="0.3">
      <c r="A299" s="5"/>
      <c r="B299" s="43"/>
      <c r="C299" s="44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10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hidden="1" customHeight="1" x14ac:dyDescent="0.3">
      <c r="A300" s="5"/>
      <c r="B300" s="43"/>
      <c r="C300" s="44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10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hidden="1" customHeight="1" x14ac:dyDescent="0.3">
      <c r="A301" s="5"/>
      <c r="B301" s="43"/>
      <c r="C301" s="44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10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hidden="1" customHeight="1" x14ac:dyDescent="0.3">
      <c r="A302" s="5"/>
      <c r="B302" s="43"/>
      <c r="C302" s="44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10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hidden="1" customHeight="1" x14ac:dyDescent="0.3">
      <c r="A303" s="5"/>
      <c r="B303" s="43"/>
      <c r="C303" s="44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10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hidden="1" customHeight="1" x14ac:dyDescent="0.3">
      <c r="A304" s="5"/>
      <c r="B304" s="43"/>
      <c r="C304" s="44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10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hidden="1" customHeight="1" x14ac:dyDescent="0.3">
      <c r="A305" s="5"/>
      <c r="B305" s="43"/>
      <c r="C305" s="44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10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hidden="1" customHeight="1" x14ac:dyDescent="0.3">
      <c r="A306" s="5"/>
      <c r="B306" s="43"/>
      <c r="C306" s="44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10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hidden="1" customHeight="1" x14ac:dyDescent="0.3">
      <c r="A307" s="5"/>
      <c r="B307" s="43"/>
      <c r="C307" s="44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10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hidden="1" customHeight="1" x14ac:dyDescent="0.3">
      <c r="A308" s="5"/>
      <c r="B308" s="43"/>
      <c r="C308" s="44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10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hidden="1" customHeight="1" x14ac:dyDescent="0.3">
      <c r="A309" s="5"/>
      <c r="B309" s="43"/>
      <c r="C309" s="44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10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hidden="1" customHeight="1" x14ac:dyDescent="0.3">
      <c r="A310" s="5"/>
      <c r="B310" s="43"/>
      <c r="C310" s="44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10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hidden="1" customHeight="1" x14ac:dyDescent="0.3">
      <c r="A311" s="5"/>
      <c r="B311" s="43"/>
      <c r="C311" s="44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10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hidden="1" customHeight="1" x14ac:dyDescent="0.3">
      <c r="A312" s="5"/>
      <c r="B312" s="43"/>
      <c r="C312" s="44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10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hidden="1" customHeight="1" x14ac:dyDescent="0.3">
      <c r="A313" s="5"/>
      <c r="B313" s="43"/>
      <c r="C313" s="44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10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hidden="1" customHeight="1" x14ac:dyDescent="0.3">
      <c r="A314" s="5"/>
      <c r="B314" s="43"/>
      <c r="C314" s="44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10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hidden="1" customHeight="1" x14ac:dyDescent="0.3">
      <c r="A315" s="5"/>
      <c r="B315" s="43"/>
      <c r="C315" s="44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10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hidden="1" customHeight="1" x14ac:dyDescent="0.3">
      <c r="A316" s="5"/>
      <c r="B316" s="43"/>
      <c r="C316" s="44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10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hidden="1" customHeight="1" x14ac:dyDescent="0.3">
      <c r="A317" s="5"/>
      <c r="B317" s="43"/>
      <c r="C317" s="44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10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hidden="1" customHeight="1" x14ac:dyDescent="0.3">
      <c r="A318" s="5"/>
      <c r="B318" s="43"/>
      <c r="C318" s="44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10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hidden="1" customHeight="1" x14ac:dyDescent="0.3">
      <c r="A319" s="5"/>
      <c r="B319" s="43"/>
      <c r="C319" s="44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10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hidden="1" customHeight="1" x14ac:dyDescent="0.3">
      <c r="A320" s="5"/>
      <c r="B320" s="43"/>
      <c r="C320" s="44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10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hidden="1" customHeight="1" x14ac:dyDescent="0.3">
      <c r="A321" s="5"/>
      <c r="B321" s="43"/>
      <c r="C321" s="44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10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hidden="1" customHeight="1" x14ac:dyDescent="0.3">
      <c r="A322" s="5"/>
      <c r="B322" s="43"/>
      <c r="C322" s="44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10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hidden="1" customHeight="1" x14ac:dyDescent="0.3">
      <c r="A323" s="5"/>
      <c r="B323" s="43"/>
      <c r="C323" s="44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10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hidden="1" customHeight="1" x14ac:dyDescent="0.3">
      <c r="A324" s="5"/>
      <c r="B324" s="43"/>
      <c r="C324" s="44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10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hidden="1" customHeight="1" x14ac:dyDescent="0.3">
      <c r="A325" s="5"/>
      <c r="B325" s="43"/>
      <c r="C325" s="44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10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hidden="1" customHeight="1" x14ac:dyDescent="0.3">
      <c r="A326" s="5"/>
      <c r="B326" s="43"/>
      <c r="C326" s="44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10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hidden="1" customHeight="1" x14ac:dyDescent="0.3">
      <c r="A327" s="5"/>
      <c r="B327" s="43"/>
      <c r="C327" s="44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10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hidden="1" customHeight="1" x14ac:dyDescent="0.3">
      <c r="A328" s="5"/>
      <c r="B328" s="43"/>
      <c r="C328" s="44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10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hidden="1" customHeight="1" x14ac:dyDescent="0.3">
      <c r="A329" s="5"/>
      <c r="B329" s="43"/>
      <c r="C329" s="44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10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hidden="1" customHeight="1" x14ac:dyDescent="0.3">
      <c r="A330" s="5"/>
      <c r="B330" s="43"/>
      <c r="C330" s="44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10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hidden="1" customHeight="1" x14ac:dyDescent="0.3">
      <c r="A331" s="5"/>
      <c r="B331" s="43"/>
      <c r="C331" s="44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10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hidden="1" customHeight="1" x14ac:dyDescent="0.3">
      <c r="A332" s="5"/>
      <c r="B332" s="43"/>
      <c r="C332" s="44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10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hidden="1" customHeight="1" x14ac:dyDescent="0.3">
      <c r="A333" s="5"/>
      <c r="B333" s="43"/>
      <c r="C333" s="44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10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hidden="1" customHeight="1" x14ac:dyDescent="0.3">
      <c r="A334" s="5"/>
      <c r="B334" s="43"/>
      <c r="C334" s="44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10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hidden="1" customHeight="1" x14ac:dyDescent="0.3">
      <c r="A335" s="5"/>
      <c r="B335" s="43"/>
      <c r="C335" s="44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10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hidden="1" customHeight="1" x14ac:dyDescent="0.3">
      <c r="A336" s="5"/>
      <c r="B336" s="43"/>
      <c r="C336" s="44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10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hidden="1" customHeight="1" x14ac:dyDescent="0.3">
      <c r="A337" s="5"/>
      <c r="B337" s="43"/>
      <c r="C337" s="44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10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hidden="1" customHeight="1" x14ac:dyDescent="0.3">
      <c r="A338" s="5"/>
      <c r="B338" s="43"/>
      <c r="C338" s="44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10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hidden="1" customHeight="1" x14ac:dyDescent="0.3">
      <c r="A339" s="5"/>
      <c r="B339" s="43"/>
      <c r="C339" s="44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10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hidden="1" customHeight="1" x14ac:dyDescent="0.3">
      <c r="A340" s="5"/>
      <c r="B340" s="43"/>
      <c r="C340" s="44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10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hidden="1" customHeight="1" x14ac:dyDescent="0.3">
      <c r="A341" s="5"/>
      <c r="B341" s="43"/>
      <c r="C341" s="44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10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hidden="1" customHeight="1" x14ac:dyDescent="0.3">
      <c r="A342" s="5"/>
      <c r="B342" s="43"/>
      <c r="C342" s="44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10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hidden="1" customHeight="1" x14ac:dyDescent="0.3">
      <c r="A343" s="5"/>
      <c r="B343" s="43"/>
      <c r="C343" s="44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10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hidden="1" customHeight="1" x14ac:dyDescent="0.3">
      <c r="A344" s="5"/>
      <c r="B344" s="43"/>
      <c r="C344" s="44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10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hidden="1" customHeight="1" x14ac:dyDescent="0.3">
      <c r="A345" s="5"/>
      <c r="B345" s="43"/>
      <c r="C345" s="44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10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hidden="1" customHeight="1" x14ac:dyDescent="0.3">
      <c r="A346" s="5"/>
      <c r="B346" s="43"/>
      <c r="C346" s="44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10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hidden="1" customHeight="1" x14ac:dyDescent="0.3">
      <c r="A347" s="5"/>
      <c r="B347" s="43"/>
      <c r="C347" s="44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10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hidden="1" customHeight="1" x14ac:dyDescent="0.3">
      <c r="A348" s="5"/>
      <c r="B348" s="43"/>
      <c r="C348" s="44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10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hidden="1" customHeight="1" x14ac:dyDescent="0.3">
      <c r="A349" s="5"/>
      <c r="B349" s="43"/>
      <c r="C349" s="44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10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hidden="1" customHeight="1" x14ac:dyDescent="0.3">
      <c r="A350" s="5"/>
      <c r="B350" s="43"/>
      <c r="C350" s="44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10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hidden="1" customHeight="1" x14ac:dyDescent="0.3">
      <c r="A351" s="5"/>
      <c r="B351" s="43"/>
      <c r="C351" s="44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10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hidden="1" customHeight="1" x14ac:dyDescent="0.3">
      <c r="A352" s="5"/>
      <c r="B352" s="43"/>
      <c r="C352" s="44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10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hidden="1" customHeight="1" x14ac:dyDescent="0.3">
      <c r="A353" s="5"/>
      <c r="B353" s="43"/>
      <c r="C353" s="44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10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hidden="1" customHeight="1" x14ac:dyDescent="0.3">
      <c r="A354" s="5"/>
      <c r="B354" s="43"/>
      <c r="C354" s="44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10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hidden="1" customHeight="1" x14ac:dyDescent="0.3">
      <c r="A355" s="5"/>
      <c r="B355" s="43"/>
      <c r="C355" s="44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10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hidden="1" customHeight="1" x14ac:dyDescent="0.3">
      <c r="A356" s="5"/>
      <c r="B356" s="43"/>
      <c r="C356" s="44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10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hidden="1" customHeight="1" x14ac:dyDescent="0.3">
      <c r="A357" s="5"/>
      <c r="B357" s="43"/>
      <c r="C357" s="44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10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hidden="1" customHeight="1" x14ac:dyDescent="0.3">
      <c r="A358" s="5"/>
      <c r="B358" s="43"/>
      <c r="C358" s="44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10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hidden="1" customHeight="1" x14ac:dyDescent="0.3">
      <c r="A359" s="5"/>
      <c r="B359" s="43"/>
      <c r="C359" s="44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10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hidden="1" customHeight="1" x14ac:dyDescent="0.3">
      <c r="A360" s="5"/>
      <c r="B360" s="43"/>
      <c r="C360" s="44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10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hidden="1" customHeight="1" x14ac:dyDescent="0.3">
      <c r="A361" s="5"/>
      <c r="B361" s="43"/>
      <c r="C361" s="44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10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hidden="1" customHeight="1" x14ac:dyDescent="0.3">
      <c r="A362" s="5"/>
      <c r="B362" s="43"/>
      <c r="C362" s="44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10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hidden="1" customHeight="1" x14ac:dyDescent="0.3">
      <c r="A363" s="5"/>
      <c r="B363" s="43"/>
      <c r="C363" s="44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10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hidden="1" customHeight="1" x14ac:dyDescent="0.3">
      <c r="A364" s="5"/>
      <c r="B364" s="43"/>
      <c r="C364" s="44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10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hidden="1" customHeight="1" x14ac:dyDescent="0.3">
      <c r="A365" s="5"/>
      <c r="B365" s="43"/>
      <c r="C365" s="44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10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hidden="1" customHeight="1" x14ac:dyDescent="0.3">
      <c r="A366" s="5"/>
      <c r="B366" s="43"/>
      <c r="C366" s="44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10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hidden="1" customHeight="1" x14ac:dyDescent="0.3">
      <c r="A367" s="5"/>
      <c r="B367" s="43"/>
      <c r="C367" s="44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10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hidden="1" customHeight="1" x14ac:dyDescent="0.3">
      <c r="A368" s="5"/>
      <c r="B368" s="43"/>
      <c r="C368" s="44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10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hidden="1" customHeight="1" x14ac:dyDescent="0.3">
      <c r="A369" s="5"/>
      <c r="B369" s="43"/>
      <c r="C369" s="44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10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hidden="1" customHeight="1" x14ac:dyDescent="0.3">
      <c r="A370" s="5"/>
      <c r="B370" s="43"/>
      <c r="C370" s="44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10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hidden="1" customHeight="1" x14ac:dyDescent="0.3">
      <c r="A371" s="5"/>
      <c r="B371" s="43"/>
      <c r="C371" s="44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10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hidden="1" customHeight="1" x14ac:dyDescent="0.3">
      <c r="A372" s="5"/>
      <c r="B372" s="43"/>
      <c r="C372" s="44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10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hidden="1" customHeight="1" x14ac:dyDescent="0.3">
      <c r="A373" s="5"/>
      <c r="B373" s="43"/>
      <c r="C373" s="44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10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hidden="1" customHeight="1" x14ac:dyDescent="0.3">
      <c r="A374" s="5"/>
      <c r="B374" s="43"/>
      <c r="C374" s="44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10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hidden="1" customHeight="1" x14ac:dyDescent="0.3">
      <c r="A375" s="5"/>
      <c r="B375" s="43"/>
      <c r="C375" s="44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10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hidden="1" customHeight="1" x14ac:dyDescent="0.3">
      <c r="A376" s="5"/>
      <c r="B376" s="43"/>
      <c r="C376" s="44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10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hidden="1" customHeight="1" x14ac:dyDescent="0.3">
      <c r="A377" s="5"/>
      <c r="B377" s="43"/>
      <c r="C377" s="44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10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hidden="1" customHeight="1" x14ac:dyDescent="0.3">
      <c r="A378" s="5"/>
      <c r="B378" s="43"/>
      <c r="C378" s="44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10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hidden="1" customHeight="1" x14ac:dyDescent="0.3">
      <c r="A379" s="5"/>
      <c r="B379" s="43"/>
      <c r="C379" s="44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10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hidden="1" customHeight="1" x14ac:dyDescent="0.3">
      <c r="A380" s="5"/>
      <c r="B380" s="43"/>
      <c r="C380" s="44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10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hidden="1" customHeight="1" x14ac:dyDescent="0.3">
      <c r="A381" s="5"/>
      <c r="B381" s="43"/>
      <c r="C381" s="44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10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hidden="1" customHeight="1" x14ac:dyDescent="0.3">
      <c r="A382" s="5"/>
      <c r="B382" s="43"/>
      <c r="C382" s="44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10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hidden="1" customHeight="1" x14ac:dyDescent="0.3">
      <c r="A383" s="5"/>
      <c r="B383" s="43"/>
      <c r="C383" s="44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10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hidden="1" customHeight="1" x14ac:dyDescent="0.3">
      <c r="A384" s="5"/>
      <c r="B384" s="43"/>
      <c r="C384" s="44"/>
      <c r="D384" s="5"/>
      <c r="E384" s="5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hidden="1" customHeight="1" x14ac:dyDescent="0.3">
      <c r="A385" s="5"/>
      <c r="B385" s="43"/>
      <c r="C385" s="44"/>
      <c r="D385" s="5"/>
      <c r="E385" s="5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hidden="1" customHeight="1" x14ac:dyDescent="0.3">
      <c r="A386" s="5"/>
      <c r="B386" s="43"/>
      <c r="C386" s="44"/>
      <c r="D386" s="5"/>
      <c r="E386" s="5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/>
    <row r="388" spans="1:26" ht="15.75" customHeight="1" x14ac:dyDescent="0.3"/>
    <row r="389" spans="1:26" ht="15.75" customHeight="1" x14ac:dyDescent="0.3"/>
    <row r="390" spans="1:26" ht="15.75" customHeight="1" x14ac:dyDescent="0.3"/>
    <row r="391" spans="1:26" ht="15.75" customHeight="1" x14ac:dyDescent="0.3"/>
    <row r="392" spans="1:26" ht="15.75" customHeight="1" x14ac:dyDescent="0.3"/>
    <row r="393" spans="1:26" ht="15.75" customHeight="1" x14ac:dyDescent="0.3"/>
    <row r="394" spans="1:26" ht="15.75" customHeight="1" x14ac:dyDescent="0.3"/>
    <row r="395" spans="1:26" ht="15.75" customHeight="1" x14ac:dyDescent="0.3"/>
    <row r="396" spans="1:26" ht="15.75" customHeight="1" x14ac:dyDescent="0.3"/>
    <row r="397" spans="1:26" ht="15.75" customHeight="1" x14ac:dyDescent="0.3"/>
    <row r="398" spans="1:26" ht="15.75" customHeight="1" x14ac:dyDescent="0.3"/>
    <row r="399" spans="1:26" ht="15.75" customHeight="1" x14ac:dyDescent="0.3"/>
    <row r="400" spans="1:26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</sheetData>
  <mergeCells count="66">
    <mergeCell ref="B125:D125"/>
    <mergeCell ref="C127:D127"/>
    <mergeCell ref="B129:D129"/>
    <mergeCell ref="C131:D131"/>
    <mergeCell ref="C103:D103"/>
    <mergeCell ref="B111:D111"/>
    <mergeCell ref="C113:D113"/>
    <mergeCell ref="B115:D115"/>
    <mergeCell ref="C117:D117"/>
    <mergeCell ref="B93:D93"/>
    <mergeCell ref="C95:D95"/>
    <mergeCell ref="B97:D97"/>
    <mergeCell ref="C99:D99"/>
    <mergeCell ref="B101:D101"/>
    <mergeCell ref="C65:D65"/>
    <mergeCell ref="B73:D73"/>
    <mergeCell ref="C75:D75"/>
    <mergeCell ref="B83:D83"/>
    <mergeCell ref="C85:D85"/>
    <mergeCell ref="A44:D44"/>
    <mergeCell ref="C45:D45"/>
    <mergeCell ref="B53:D53"/>
    <mergeCell ref="C55:D55"/>
    <mergeCell ref="B63:D63"/>
    <mergeCell ref="A37:E37"/>
    <mergeCell ref="B38:D38"/>
    <mergeCell ref="B39:C41"/>
    <mergeCell ref="A42:D42"/>
    <mergeCell ref="B43:D43"/>
    <mergeCell ref="B32:D32"/>
    <mergeCell ref="B33:D33"/>
    <mergeCell ref="B34:D34"/>
    <mergeCell ref="B35:D35"/>
    <mergeCell ref="B36:D36"/>
    <mergeCell ref="B25:B27"/>
    <mergeCell ref="C25:C27"/>
    <mergeCell ref="B28:B30"/>
    <mergeCell ref="C28:C30"/>
    <mergeCell ref="A31:D31"/>
    <mergeCell ref="B18:D18"/>
    <mergeCell ref="C19:C21"/>
    <mergeCell ref="B19:B21"/>
    <mergeCell ref="B22:B24"/>
    <mergeCell ref="C22:C24"/>
    <mergeCell ref="B12:D12"/>
    <mergeCell ref="E12:E13"/>
    <mergeCell ref="B13:D13"/>
    <mergeCell ref="B14:C16"/>
    <mergeCell ref="A17:D17"/>
    <mergeCell ref="C158:D158"/>
    <mergeCell ref="B161:D161"/>
    <mergeCell ref="C184:D184"/>
    <mergeCell ref="C185:D185"/>
    <mergeCell ref="C186:D186"/>
    <mergeCell ref="C163:D163"/>
    <mergeCell ref="B165:D165"/>
    <mergeCell ref="C167:D167"/>
    <mergeCell ref="B175:D175"/>
    <mergeCell ref="C177:D177"/>
    <mergeCell ref="B181:D181"/>
    <mergeCell ref="B183:D183"/>
    <mergeCell ref="B136:D136"/>
    <mergeCell ref="C138:D138"/>
    <mergeCell ref="B146:D146"/>
    <mergeCell ref="C148:D148"/>
    <mergeCell ref="B156:D156"/>
  </mergeCells>
  <conditionalFormatting sqref="E30">
    <cfRule type="expression" dxfId="234" priority="4">
      <formula>E30&lt;&gt;#REF!</formula>
    </cfRule>
    <cfRule type="expression" dxfId="233" priority="5">
      <formula>E30&lt;&gt;E34</formula>
    </cfRule>
  </conditionalFormatting>
  <conditionalFormatting sqref="E186">
    <cfRule type="expression" dxfId="232" priority="1">
      <formula>E186&lt;&gt;#REF!</formula>
    </cfRule>
    <cfRule type="expression" dxfId="231" priority="2">
      <formula>#REF!&lt;&gt;E186</formula>
    </cfRule>
    <cfRule type="expression" dxfId="230" priority="3">
      <formula>#REF!=E186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I922"/>
  <sheetViews>
    <sheetView topLeftCell="A159" workbookViewId="0">
      <selection activeCell="E184" sqref="E184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5" width="11.69921875" customWidth="1"/>
    <col min="6" max="32" width="8.69921875" customWidth="1"/>
    <col min="33" max="33" width="13.296875" customWidth="1"/>
    <col min="34" max="35" width="8.69921875" customWidth="1"/>
  </cols>
  <sheetData>
    <row r="1" spans="1:33" ht="12.75" customHeight="1" x14ac:dyDescent="0.3"/>
    <row r="2" spans="1:33" ht="12.75" customHeight="1" x14ac:dyDescent="0.3">
      <c r="C2" s="8" t="s">
        <v>0</v>
      </c>
      <c r="D2" s="8" t="s">
        <v>1</v>
      </c>
    </row>
    <row r="3" spans="1:33" ht="12.75" customHeight="1" x14ac:dyDescent="0.3">
      <c r="C3" s="8" t="s">
        <v>2</v>
      </c>
      <c r="D3" s="8" t="s">
        <v>3</v>
      </c>
    </row>
    <row r="4" spans="1:33" ht="12.75" customHeight="1" x14ac:dyDescent="0.3">
      <c r="C4" s="8" t="s">
        <v>4</v>
      </c>
      <c r="D4" s="8" t="s">
        <v>5</v>
      </c>
    </row>
    <row r="5" spans="1:33" ht="12.75" customHeight="1" x14ac:dyDescent="0.3">
      <c r="C5" s="8"/>
      <c r="D5" s="8"/>
    </row>
    <row r="6" spans="1:33" ht="12.75" customHeight="1" x14ac:dyDescent="0.3">
      <c r="C6" s="8"/>
      <c r="D6" s="8"/>
    </row>
    <row r="7" spans="1:33" ht="12.75" customHeight="1" x14ac:dyDescent="0.3">
      <c r="C7" s="8"/>
      <c r="D7" s="8"/>
    </row>
    <row r="8" spans="1:33" ht="12.75" customHeight="1" x14ac:dyDescent="0.3">
      <c r="C8" s="8"/>
      <c r="D8" s="8"/>
    </row>
    <row r="9" spans="1:33" ht="12.75" customHeight="1" x14ac:dyDescent="0.3">
      <c r="C9" s="8" t="s">
        <v>163</v>
      </c>
      <c r="D9" s="8" t="s">
        <v>1</v>
      </c>
    </row>
    <row r="10" spans="1:33" ht="12.75" customHeight="1" x14ac:dyDescent="0.3"/>
    <row r="11" spans="1:33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3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75" t="s">
        <v>8</v>
      </c>
    </row>
    <row r="13" spans="1:33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13" t="s">
        <v>187</v>
      </c>
      <c r="AC13" s="13" t="s">
        <v>188</v>
      </c>
      <c r="AD13" s="13" t="s">
        <v>189</v>
      </c>
      <c r="AE13" s="13" t="s">
        <v>190</v>
      </c>
      <c r="AF13" s="13" t="s">
        <v>191</v>
      </c>
      <c r="AG13" s="65"/>
    </row>
    <row r="14" spans="1:33" ht="12.75" customHeight="1" x14ac:dyDescent="0.3">
      <c r="A14" s="14"/>
      <c r="B14" s="57" t="s">
        <v>11</v>
      </c>
      <c r="C14" s="58"/>
      <c r="D14" s="15" t="s">
        <v>12</v>
      </c>
      <c r="E14" s="15">
        <v>129</v>
      </c>
      <c r="F14" s="15">
        <v>130</v>
      </c>
      <c r="G14" s="15">
        <v>151</v>
      </c>
      <c r="H14" s="15">
        <v>139</v>
      </c>
      <c r="I14" s="15">
        <v>144</v>
      </c>
      <c r="J14" s="15">
        <v>124</v>
      </c>
      <c r="K14" s="15">
        <v>119</v>
      </c>
      <c r="L14" s="15">
        <v>140</v>
      </c>
      <c r="M14" s="15">
        <v>147</v>
      </c>
      <c r="N14" s="15">
        <v>146</v>
      </c>
      <c r="O14" s="15">
        <v>130</v>
      </c>
      <c r="P14" s="15">
        <v>144</v>
      </c>
      <c r="Q14" s="15">
        <v>144</v>
      </c>
      <c r="R14" s="15">
        <v>139</v>
      </c>
      <c r="S14" s="15">
        <v>145</v>
      </c>
      <c r="T14" s="15">
        <v>135</v>
      </c>
      <c r="U14" s="15">
        <v>123</v>
      </c>
      <c r="V14" s="15">
        <v>140</v>
      </c>
      <c r="W14" s="15">
        <v>134</v>
      </c>
      <c r="X14" s="15">
        <v>140</v>
      </c>
      <c r="Y14" s="15">
        <v>116</v>
      </c>
      <c r="Z14" s="15">
        <v>122</v>
      </c>
      <c r="AA14" s="15">
        <v>126</v>
      </c>
      <c r="AB14" s="15">
        <v>120</v>
      </c>
      <c r="AC14" s="15">
        <v>144</v>
      </c>
      <c r="AD14" s="15">
        <v>112</v>
      </c>
      <c r="AE14" s="15">
        <v>86</v>
      </c>
      <c r="AF14" s="15">
        <v>101</v>
      </c>
      <c r="AG14" s="13">
        <f t="shared" ref="AG14:AG16" si="0">SUM(E14:AF14)</f>
        <v>3670</v>
      </c>
    </row>
    <row r="15" spans="1:33" ht="12.75" customHeight="1" x14ac:dyDescent="0.3">
      <c r="A15" s="14"/>
      <c r="B15" s="59"/>
      <c r="C15" s="60"/>
      <c r="D15" s="15" t="s">
        <v>13</v>
      </c>
      <c r="E15" s="15">
        <v>136</v>
      </c>
      <c r="F15" s="15">
        <v>138</v>
      </c>
      <c r="G15" s="15">
        <v>145</v>
      </c>
      <c r="H15" s="15">
        <v>128</v>
      </c>
      <c r="I15" s="15">
        <v>145</v>
      </c>
      <c r="J15" s="15">
        <v>137</v>
      </c>
      <c r="K15" s="15">
        <v>134</v>
      </c>
      <c r="L15" s="15">
        <v>140</v>
      </c>
      <c r="M15" s="15">
        <v>151</v>
      </c>
      <c r="N15" s="15">
        <v>147</v>
      </c>
      <c r="O15" s="15">
        <v>143</v>
      </c>
      <c r="P15" s="15">
        <v>140</v>
      </c>
      <c r="Q15" s="15">
        <v>145</v>
      </c>
      <c r="R15" s="15">
        <v>147</v>
      </c>
      <c r="S15" s="15">
        <v>149</v>
      </c>
      <c r="T15" s="15">
        <v>108</v>
      </c>
      <c r="U15" s="15">
        <v>118</v>
      </c>
      <c r="V15" s="15">
        <v>157</v>
      </c>
      <c r="W15" s="15">
        <v>155</v>
      </c>
      <c r="X15" s="15">
        <v>131</v>
      </c>
      <c r="Y15" s="15">
        <v>104</v>
      </c>
      <c r="Z15" s="15">
        <v>111</v>
      </c>
      <c r="AA15" s="15">
        <v>123</v>
      </c>
      <c r="AB15" s="15">
        <v>122</v>
      </c>
      <c r="AC15" s="15">
        <v>139</v>
      </c>
      <c r="AD15" s="15">
        <v>124</v>
      </c>
      <c r="AE15" s="15">
        <v>87</v>
      </c>
      <c r="AF15" s="15">
        <v>115</v>
      </c>
      <c r="AG15" s="13">
        <f t="shared" si="0"/>
        <v>3719</v>
      </c>
    </row>
    <row r="16" spans="1:33" ht="12.75" customHeight="1" x14ac:dyDescent="0.3">
      <c r="A16" s="17"/>
      <c r="B16" s="55"/>
      <c r="C16" s="61"/>
      <c r="D16" s="13" t="s">
        <v>14</v>
      </c>
      <c r="E16" s="13">
        <f t="shared" ref="E16:AF16" si="1">SUM(E14:E15)</f>
        <v>265</v>
      </c>
      <c r="F16" s="13">
        <f t="shared" si="1"/>
        <v>268</v>
      </c>
      <c r="G16" s="13">
        <f t="shared" si="1"/>
        <v>296</v>
      </c>
      <c r="H16" s="13">
        <f t="shared" si="1"/>
        <v>267</v>
      </c>
      <c r="I16" s="13">
        <f t="shared" si="1"/>
        <v>289</v>
      </c>
      <c r="J16" s="13">
        <f t="shared" si="1"/>
        <v>261</v>
      </c>
      <c r="K16" s="13">
        <f t="shared" si="1"/>
        <v>253</v>
      </c>
      <c r="L16" s="13">
        <f t="shared" si="1"/>
        <v>280</v>
      </c>
      <c r="M16" s="13">
        <f t="shared" si="1"/>
        <v>298</v>
      </c>
      <c r="N16" s="13">
        <f t="shared" si="1"/>
        <v>293</v>
      </c>
      <c r="O16" s="13">
        <f t="shared" si="1"/>
        <v>273</v>
      </c>
      <c r="P16" s="13">
        <f t="shared" si="1"/>
        <v>284</v>
      </c>
      <c r="Q16" s="13">
        <f t="shared" si="1"/>
        <v>289</v>
      </c>
      <c r="R16" s="13">
        <f t="shared" si="1"/>
        <v>286</v>
      </c>
      <c r="S16" s="13">
        <f t="shared" si="1"/>
        <v>294</v>
      </c>
      <c r="T16" s="13">
        <f t="shared" si="1"/>
        <v>243</v>
      </c>
      <c r="U16" s="13">
        <f t="shared" si="1"/>
        <v>241</v>
      </c>
      <c r="V16" s="13">
        <f t="shared" si="1"/>
        <v>297</v>
      </c>
      <c r="W16" s="13">
        <f t="shared" si="1"/>
        <v>289</v>
      </c>
      <c r="X16" s="13">
        <f t="shared" si="1"/>
        <v>271</v>
      </c>
      <c r="Y16" s="13">
        <f t="shared" si="1"/>
        <v>220</v>
      </c>
      <c r="Z16" s="13">
        <f t="shared" si="1"/>
        <v>233</v>
      </c>
      <c r="AA16" s="13">
        <f t="shared" si="1"/>
        <v>249</v>
      </c>
      <c r="AB16" s="13">
        <f t="shared" si="1"/>
        <v>242</v>
      </c>
      <c r="AC16" s="13">
        <f t="shared" si="1"/>
        <v>283</v>
      </c>
      <c r="AD16" s="13">
        <f t="shared" si="1"/>
        <v>236</v>
      </c>
      <c r="AE16" s="13">
        <f t="shared" si="1"/>
        <v>173</v>
      </c>
      <c r="AF16" s="13">
        <f t="shared" si="1"/>
        <v>216</v>
      </c>
      <c r="AG16" s="13">
        <f t="shared" si="0"/>
        <v>7389</v>
      </c>
    </row>
    <row r="17" spans="1:33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6"/>
    </row>
    <row r="18" spans="1:33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6"/>
    </row>
    <row r="19" spans="1:33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100</v>
      </c>
      <c r="F19" s="15">
        <v>98</v>
      </c>
      <c r="G19" s="15">
        <v>110</v>
      </c>
      <c r="H19" s="15">
        <v>122</v>
      </c>
      <c r="I19" s="15">
        <v>111</v>
      </c>
      <c r="J19" s="15">
        <v>113</v>
      </c>
      <c r="K19" s="15">
        <v>99</v>
      </c>
      <c r="L19" s="15">
        <v>115</v>
      </c>
      <c r="M19" s="15">
        <v>124</v>
      </c>
      <c r="N19" s="15">
        <v>101</v>
      </c>
      <c r="O19" s="15">
        <v>102</v>
      </c>
      <c r="P19" s="15">
        <v>108</v>
      </c>
      <c r="Q19" s="15">
        <v>115</v>
      </c>
      <c r="R19" s="15">
        <v>110</v>
      </c>
      <c r="S19" s="15">
        <v>102</v>
      </c>
      <c r="T19" s="15">
        <v>88</v>
      </c>
      <c r="U19" s="15">
        <v>79</v>
      </c>
      <c r="V19" s="15">
        <v>109</v>
      </c>
      <c r="W19" s="15">
        <v>101</v>
      </c>
      <c r="X19" s="15">
        <v>120</v>
      </c>
      <c r="Y19" s="15">
        <v>95</v>
      </c>
      <c r="Z19" s="15">
        <v>90</v>
      </c>
      <c r="AA19" s="15">
        <v>87</v>
      </c>
      <c r="AB19" s="15">
        <v>94</v>
      </c>
      <c r="AC19" s="15">
        <v>99</v>
      </c>
      <c r="AD19" s="15">
        <v>77</v>
      </c>
      <c r="AE19" s="15">
        <v>64</v>
      </c>
      <c r="AF19" s="15">
        <v>78</v>
      </c>
      <c r="AG19" s="13">
        <f t="shared" ref="AG19:AG30" si="2">SUM(E19:AF19)</f>
        <v>2811</v>
      </c>
    </row>
    <row r="20" spans="1:33" ht="12.75" customHeight="1" x14ac:dyDescent="0.3">
      <c r="A20" s="20"/>
      <c r="B20" s="60"/>
      <c r="C20" s="64"/>
      <c r="D20" s="15" t="s">
        <v>13</v>
      </c>
      <c r="E20" s="15">
        <v>120</v>
      </c>
      <c r="F20" s="15">
        <v>108</v>
      </c>
      <c r="G20" s="15">
        <v>122</v>
      </c>
      <c r="H20" s="15">
        <v>112</v>
      </c>
      <c r="I20" s="15">
        <v>112</v>
      </c>
      <c r="J20" s="15">
        <v>121</v>
      </c>
      <c r="K20" s="15">
        <v>106</v>
      </c>
      <c r="L20" s="15">
        <v>118</v>
      </c>
      <c r="M20" s="15">
        <v>127</v>
      </c>
      <c r="N20" s="15">
        <v>121</v>
      </c>
      <c r="O20" s="15">
        <v>112</v>
      </c>
      <c r="P20" s="15">
        <v>114</v>
      </c>
      <c r="Q20" s="15">
        <v>126</v>
      </c>
      <c r="R20" s="15">
        <v>119</v>
      </c>
      <c r="S20" s="15">
        <v>120</v>
      </c>
      <c r="T20" s="15">
        <v>80</v>
      </c>
      <c r="U20" s="15">
        <v>93</v>
      </c>
      <c r="V20" s="15">
        <v>129</v>
      </c>
      <c r="W20" s="15">
        <v>125</v>
      </c>
      <c r="X20" s="15">
        <v>112</v>
      </c>
      <c r="Y20" s="15">
        <v>82</v>
      </c>
      <c r="Z20" s="15">
        <v>87</v>
      </c>
      <c r="AA20" s="15">
        <v>87</v>
      </c>
      <c r="AB20" s="15">
        <v>96</v>
      </c>
      <c r="AC20" s="15">
        <v>105</v>
      </c>
      <c r="AD20" s="15">
        <v>95</v>
      </c>
      <c r="AE20" s="15">
        <v>61</v>
      </c>
      <c r="AF20" s="15">
        <v>91</v>
      </c>
      <c r="AG20" s="13">
        <f t="shared" si="2"/>
        <v>3001</v>
      </c>
    </row>
    <row r="21" spans="1:33" ht="12.75" customHeight="1" x14ac:dyDescent="0.3">
      <c r="A21" s="21"/>
      <c r="B21" s="61"/>
      <c r="C21" s="65"/>
      <c r="D21" s="13" t="s">
        <v>14</v>
      </c>
      <c r="E21" s="13">
        <f t="shared" ref="E21:AF21" si="3">SUM(E19:E20)</f>
        <v>220</v>
      </c>
      <c r="F21" s="13">
        <f t="shared" si="3"/>
        <v>206</v>
      </c>
      <c r="G21" s="13">
        <f t="shared" si="3"/>
        <v>232</v>
      </c>
      <c r="H21" s="13">
        <f t="shared" si="3"/>
        <v>234</v>
      </c>
      <c r="I21" s="13">
        <f t="shared" si="3"/>
        <v>223</v>
      </c>
      <c r="J21" s="13">
        <f t="shared" si="3"/>
        <v>234</v>
      </c>
      <c r="K21" s="13">
        <f t="shared" si="3"/>
        <v>205</v>
      </c>
      <c r="L21" s="13">
        <f t="shared" si="3"/>
        <v>233</v>
      </c>
      <c r="M21" s="13">
        <f t="shared" si="3"/>
        <v>251</v>
      </c>
      <c r="N21" s="13">
        <f t="shared" si="3"/>
        <v>222</v>
      </c>
      <c r="O21" s="13">
        <f t="shared" si="3"/>
        <v>214</v>
      </c>
      <c r="P21" s="13">
        <f t="shared" si="3"/>
        <v>222</v>
      </c>
      <c r="Q21" s="13">
        <f t="shared" si="3"/>
        <v>241</v>
      </c>
      <c r="R21" s="13">
        <f t="shared" si="3"/>
        <v>229</v>
      </c>
      <c r="S21" s="13">
        <f t="shared" si="3"/>
        <v>222</v>
      </c>
      <c r="T21" s="13">
        <f t="shared" si="3"/>
        <v>168</v>
      </c>
      <c r="U21" s="13">
        <f t="shared" si="3"/>
        <v>172</v>
      </c>
      <c r="V21" s="13">
        <f t="shared" si="3"/>
        <v>238</v>
      </c>
      <c r="W21" s="13">
        <f t="shared" si="3"/>
        <v>226</v>
      </c>
      <c r="X21" s="13">
        <f t="shared" si="3"/>
        <v>232</v>
      </c>
      <c r="Y21" s="13">
        <f t="shared" si="3"/>
        <v>177</v>
      </c>
      <c r="Z21" s="13">
        <f t="shared" si="3"/>
        <v>177</v>
      </c>
      <c r="AA21" s="13">
        <f t="shared" si="3"/>
        <v>174</v>
      </c>
      <c r="AB21" s="13">
        <f t="shared" si="3"/>
        <v>190</v>
      </c>
      <c r="AC21" s="13">
        <f t="shared" si="3"/>
        <v>204</v>
      </c>
      <c r="AD21" s="13">
        <f t="shared" si="3"/>
        <v>172</v>
      </c>
      <c r="AE21" s="13">
        <f t="shared" si="3"/>
        <v>125</v>
      </c>
      <c r="AF21" s="13">
        <f t="shared" si="3"/>
        <v>169</v>
      </c>
      <c r="AG21" s="13">
        <f t="shared" si="2"/>
        <v>5812</v>
      </c>
    </row>
    <row r="22" spans="1:33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1</v>
      </c>
      <c r="AE22" s="15">
        <v>0</v>
      </c>
      <c r="AF22" s="15">
        <v>0</v>
      </c>
      <c r="AG22" s="13">
        <f t="shared" si="2"/>
        <v>1</v>
      </c>
    </row>
    <row r="23" spans="1:33" ht="12.75" customHeight="1" x14ac:dyDescent="0.3">
      <c r="A23" s="20"/>
      <c r="B23" s="60"/>
      <c r="C23" s="64"/>
      <c r="D23" s="15" t="s">
        <v>13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1</v>
      </c>
      <c r="AE23" s="15">
        <v>0</v>
      </c>
      <c r="AF23" s="15">
        <v>0</v>
      </c>
      <c r="AG23" s="13">
        <f t="shared" si="2"/>
        <v>1</v>
      </c>
    </row>
    <row r="24" spans="1:33" ht="12.75" customHeight="1" x14ac:dyDescent="0.3">
      <c r="A24" s="21"/>
      <c r="B24" s="61"/>
      <c r="C24" s="65"/>
      <c r="D24" s="13" t="s">
        <v>14</v>
      </c>
      <c r="E24" s="13">
        <f t="shared" ref="E24:AF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2</v>
      </c>
      <c r="AE24" s="13">
        <f t="shared" si="4"/>
        <v>0</v>
      </c>
      <c r="AF24" s="13">
        <f t="shared" si="4"/>
        <v>0</v>
      </c>
      <c r="AG24" s="13">
        <f t="shared" si="2"/>
        <v>2</v>
      </c>
    </row>
    <row r="25" spans="1:33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2</v>
      </c>
      <c r="F25" s="15">
        <v>3</v>
      </c>
      <c r="G25" s="15">
        <v>3</v>
      </c>
      <c r="H25" s="15">
        <v>0</v>
      </c>
      <c r="I25" s="15">
        <v>0</v>
      </c>
      <c r="J25" s="15">
        <v>2</v>
      </c>
      <c r="K25" s="15">
        <v>0</v>
      </c>
      <c r="L25" s="15">
        <v>0</v>
      </c>
      <c r="M25" s="15">
        <v>1</v>
      </c>
      <c r="N25" s="15">
        <v>1</v>
      </c>
      <c r="O25" s="15">
        <v>3</v>
      </c>
      <c r="P25" s="15">
        <v>2</v>
      </c>
      <c r="Q25" s="15">
        <v>5</v>
      </c>
      <c r="R25" s="15">
        <v>1</v>
      </c>
      <c r="S25" s="15">
        <v>2</v>
      </c>
      <c r="T25" s="15">
        <v>5</v>
      </c>
      <c r="U25" s="15">
        <v>2</v>
      </c>
      <c r="V25" s="15">
        <v>2</v>
      </c>
      <c r="W25" s="15">
        <v>2</v>
      </c>
      <c r="X25" s="15">
        <v>0</v>
      </c>
      <c r="Y25" s="15">
        <v>2</v>
      </c>
      <c r="Z25" s="15">
        <v>2</v>
      </c>
      <c r="AA25" s="15">
        <v>2</v>
      </c>
      <c r="AB25" s="15">
        <v>1</v>
      </c>
      <c r="AC25" s="15">
        <v>1</v>
      </c>
      <c r="AD25" s="15">
        <v>4</v>
      </c>
      <c r="AE25" s="15">
        <v>1</v>
      </c>
      <c r="AF25" s="15">
        <v>0</v>
      </c>
      <c r="AG25" s="13">
        <f t="shared" si="2"/>
        <v>49</v>
      </c>
    </row>
    <row r="26" spans="1:33" ht="12.75" customHeight="1" x14ac:dyDescent="0.3">
      <c r="A26" s="20"/>
      <c r="B26" s="60"/>
      <c r="C26" s="64"/>
      <c r="D26" s="15" t="s">
        <v>13</v>
      </c>
      <c r="E26" s="15">
        <v>2</v>
      </c>
      <c r="F26" s="15">
        <v>1</v>
      </c>
      <c r="G26" s="15">
        <v>1</v>
      </c>
      <c r="H26" s="15">
        <v>2</v>
      </c>
      <c r="I26" s="15">
        <v>0</v>
      </c>
      <c r="J26" s="15">
        <v>2</v>
      </c>
      <c r="K26" s="15">
        <v>0</v>
      </c>
      <c r="L26" s="15">
        <v>0</v>
      </c>
      <c r="M26" s="15">
        <v>3</v>
      </c>
      <c r="N26" s="15">
        <v>0</v>
      </c>
      <c r="O26" s="15">
        <v>1</v>
      </c>
      <c r="P26" s="15">
        <v>6</v>
      </c>
      <c r="Q26" s="15">
        <v>4</v>
      </c>
      <c r="R26" s="15">
        <v>0</v>
      </c>
      <c r="S26" s="15">
        <v>2</v>
      </c>
      <c r="T26" s="15">
        <v>2</v>
      </c>
      <c r="U26" s="15">
        <v>1</v>
      </c>
      <c r="V26" s="15">
        <v>2</v>
      </c>
      <c r="W26" s="15">
        <v>2</v>
      </c>
      <c r="X26" s="15">
        <v>0</v>
      </c>
      <c r="Y26" s="15">
        <v>2</v>
      </c>
      <c r="Z26" s="15">
        <v>0</v>
      </c>
      <c r="AA26" s="15">
        <v>5</v>
      </c>
      <c r="AB26" s="15">
        <v>1</v>
      </c>
      <c r="AC26" s="15">
        <v>1</v>
      </c>
      <c r="AD26" s="15">
        <v>1</v>
      </c>
      <c r="AE26" s="15">
        <v>4</v>
      </c>
      <c r="AF26" s="15">
        <v>0</v>
      </c>
      <c r="AG26" s="13">
        <f t="shared" si="2"/>
        <v>45</v>
      </c>
    </row>
    <row r="27" spans="1:33" ht="12.75" customHeight="1" x14ac:dyDescent="0.3">
      <c r="A27" s="21"/>
      <c r="B27" s="61"/>
      <c r="C27" s="65"/>
      <c r="D27" s="13" t="s">
        <v>14</v>
      </c>
      <c r="E27" s="13">
        <f t="shared" ref="E27:AF27" si="5">SUM(E25:E26)</f>
        <v>4</v>
      </c>
      <c r="F27" s="13">
        <f t="shared" si="5"/>
        <v>4</v>
      </c>
      <c r="G27" s="13">
        <f t="shared" si="5"/>
        <v>4</v>
      </c>
      <c r="H27" s="13">
        <f t="shared" si="5"/>
        <v>2</v>
      </c>
      <c r="I27" s="13">
        <f t="shared" si="5"/>
        <v>0</v>
      </c>
      <c r="J27" s="13">
        <f t="shared" si="5"/>
        <v>4</v>
      </c>
      <c r="K27" s="13">
        <f t="shared" si="5"/>
        <v>0</v>
      </c>
      <c r="L27" s="13">
        <f t="shared" si="5"/>
        <v>0</v>
      </c>
      <c r="M27" s="13">
        <f t="shared" si="5"/>
        <v>4</v>
      </c>
      <c r="N27" s="13">
        <f t="shared" si="5"/>
        <v>1</v>
      </c>
      <c r="O27" s="13">
        <f t="shared" si="5"/>
        <v>4</v>
      </c>
      <c r="P27" s="13">
        <f t="shared" si="5"/>
        <v>8</v>
      </c>
      <c r="Q27" s="13">
        <f t="shared" si="5"/>
        <v>9</v>
      </c>
      <c r="R27" s="13">
        <f t="shared" si="5"/>
        <v>1</v>
      </c>
      <c r="S27" s="13">
        <f t="shared" si="5"/>
        <v>4</v>
      </c>
      <c r="T27" s="13">
        <f t="shared" si="5"/>
        <v>7</v>
      </c>
      <c r="U27" s="13">
        <f t="shared" si="5"/>
        <v>3</v>
      </c>
      <c r="V27" s="13">
        <f t="shared" si="5"/>
        <v>4</v>
      </c>
      <c r="W27" s="13">
        <f t="shared" si="5"/>
        <v>4</v>
      </c>
      <c r="X27" s="13">
        <f t="shared" si="5"/>
        <v>0</v>
      </c>
      <c r="Y27" s="13">
        <f t="shared" si="5"/>
        <v>4</v>
      </c>
      <c r="Z27" s="13">
        <f t="shared" si="5"/>
        <v>2</v>
      </c>
      <c r="AA27" s="13">
        <f t="shared" si="5"/>
        <v>7</v>
      </c>
      <c r="AB27" s="13">
        <f t="shared" si="5"/>
        <v>2</v>
      </c>
      <c r="AC27" s="13">
        <f t="shared" si="5"/>
        <v>2</v>
      </c>
      <c r="AD27" s="13">
        <f t="shared" si="5"/>
        <v>5</v>
      </c>
      <c r="AE27" s="13">
        <f t="shared" si="5"/>
        <v>5</v>
      </c>
      <c r="AF27" s="13">
        <f t="shared" si="5"/>
        <v>0</v>
      </c>
      <c r="AG27" s="13">
        <f t="shared" si="2"/>
        <v>94</v>
      </c>
    </row>
    <row r="28" spans="1:33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F28" si="6">SUM(E19,E22,E25)</f>
        <v>102</v>
      </c>
      <c r="F28" s="13">
        <f t="shared" si="6"/>
        <v>101</v>
      </c>
      <c r="G28" s="13">
        <f t="shared" si="6"/>
        <v>113</v>
      </c>
      <c r="H28" s="13">
        <f t="shared" si="6"/>
        <v>122</v>
      </c>
      <c r="I28" s="13">
        <f t="shared" si="6"/>
        <v>111</v>
      </c>
      <c r="J28" s="13">
        <f t="shared" si="6"/>
        <v>115</v>
      </c>
      <c r="K28" s="13">
        <f t="shared" si="6"/>
        <v>99</v>
      </c>
      <c r="L28" s="13">
        <f t="shared" si="6"/>
        <v>115</v>
      </c>
      <c r="M28" s="13">
        <f t="shared" si="6"/>
        <v>125</v>
      </c>
      <c r="N28" s="13">
        <f t="shared" si="6"/>
        <v>102</v>
      </c>
      <c r="O28" s="13">
        <f t="shared" si="6"/>
        <v>105</v>
      </c>
      <c r="P28" s="13">
        <f t="shared" si="6"/>
        <v>110</v>
      </c>
      <c r="Q28" s="13">
        <f t="shared" si="6"/>
        <v>120</v>
      </c>
      <c r="R28" s="13">
        <f t="shared" si="6"/>
        <v>111</v>
      </c>
      <c r="S28" s="13">
        <f t="shared" si="6"/>
        <v>104</v>
      </c>
      <c r="T28" s="13">
        <f t="shared" si="6"/>
        <v>93</v>
      </c>
      <c r="U28" s="13">
        <f t="shared" si="6"/>
        <v>81</v>
      </c>
      <c r="V28" s="13">
        <f t="shared" si="6"/>
        <v>111</v>
      </c>
      <c r="W28" s="13">
        <f t="shared" si="6"/>
        <v>103</v>
      </c>
      <c r="X28" s="13">
        <f t="shared" si="6"/>
        <v>120</v>
      </c>
      <c r="Y28" s="13">
        <f t="shared" si="6"/>
        <v>97</v>
      </c>
      <c r="Z28" s="13">
        <f t="shared" si="6"/>
        <v>92</v>
      </c>
      <c r="AA28" s="13">
        <f t="shared" si="6"/>
        <v>89</v>
      </c>
      <c r="AB28" s="13">
        <f t="shared" si="6"/>
        <v>95</v>
      </c>
      <c r="AC28" s="13">
        <f t="shared" si="6"/>
        <v>100</v>
      </c>
      <c r="AD28" s="13">
        <f t="shared" si="6"/>
        <v>82</v>
      </c>
      <c r="AE28" s="13">
        <f t="shared" si="6"/>
        <v>65</v>
      </c>
      <c r="AF28" s="13">
        <f t="shared" si="6"/>
        <v>78</v>
      </c>
      <c r="AG28" s="13">
        <f t="shared" si="2"/>
        <v>2861</v>
      </c>
    </row>
    <row r="29" spans="1:33" ht="12.75" customHeight="1" x14ac:dyDescent="0.3">
      <c r="A29" s="21"/>
      <c r="B29" s="60"/>
      <c r="C29" s="64"/>
      <c r="D29" s="13" t="s">
        <v>13</v>
      </c>
      <c r="E29" s="13">
        <f t="shared" ref="E29:AF29" si="7">SUM(E20,E23,E26)</f>
        <v>122</v>
      </c>
      <c r="F29" s="13">
        <f t="shared" si="7"/>
        <v>109</v>
      </c>
      <c r="G29" s="13">
        <f t="shared" si="7"/>
        <v>123</v>
      </c>
      <c r="H29" s="13">
        <f t="shared" si="7"/>
        <v>114</v>
      </c>
      <c r="I29" s="13">
        <f t="shared" si="7"/>
        <v>112</v>
      </c>
      <c r="J29" s="13">
        <f t="shared" si="7"/>
        <v>123</v>
      </c>
      <c r="K29" s="13">
        <f t="shared" si="7"/>
        <v>106</v>
      </c>
      <c r="L29" s="13">
        <f t="shared" si="7"/>
        <v>118</v>
      </c>
      <c r="M29" s="13">
        <f t="shared" si="7"/>
        <v>130</v>
      </c>
      <c r="N29" s="13">
        <f t="shared" si="7"/>
        <v>121</v>
      </c>
      <c r="O29" s="13">
        <f t="shared" si="7"/>
        <v>113</v>
      </c>
      <c r="P29" s="13">
        <f t="shared" si="7"/>
        <v>120</v>
      </c>
      <c r="Q29" s="13">
        <f t="shared" si="7"/>
        <v>130</v>
      </c>
      <c r="R29" s="13">
        <f t="shared" si="7"/>
        <v>119</v>
      </c>
      <c r="S29" s="13">
        <f t="shared" si="7"/>
        <v>122</v>
      </c>
      <c r="T29" s="13">
        <f t="shared" si="7"/>
        <v>82</v>
      </c>
      <c r="U29" s="13">
        <f t="shared" si="7"/>
        <v>94</v>
      </c>
      <c r="V29" s="13">
        <f t="shared" si="7"/>
        <v>131</v>
      </c>
      <c r="W29" s="13">
        <f t="shared" si="7"/>
        <v>127</v>
      </c>
      <c r="X29" s="13">
        <f t="shared" si="7"/>
        <v>112</v>
      </c>
      <c r="Y29" s="13">
        <f t="shared" si="7"/>
        <v>84</v>
      </c>
      <c r="Z29" s="13">
        <f t="shared" si="7"/>
        <v>87</v>
      </c>
      <c r="AA29" s="13">
        <f t="shared" si="7"/>
        <v>92</v>
      </c>
      <c r="AB29" s="13">
        <f t="shared" si="7"/>
        <v>97</v>
      </c>
      <c r="AC29" s="13">
        <f t="shared" si="7"/>
        <v>106</v>
      </c>
      <c r="AD29" s="13">
        <f t="shared" si="7"/>
        <v>97</v>
      </c>
      <c r="AE29" s="13">
        <f t="shared" si="7"/>
        <v>65</v>
      </c>
      <c r="AF29" s="13">
        <f t="shared" si="7"/>
        <v>91</v>
      </c>
      <c r="AG29" s="13">
        <f t="shared" si="2"/>
        <v>3047</v>
      </c>
    </row>
    <row r="30" spans="1:33" ht="12.75" customHeight="1" x14ac:dyDescent="0.3">
      <c r="A30" s="21"/>
      <c r="B30" s="61"/>
      <c r="C30" s="65"/>
      <c r="D30" s="13" t="s">
        <v>14</v>
      </c>
      <c r="E30" s="13">
        <f t="shared" ref="E30:AF30" si="8">SUM(E28:E29)</f>
        <v>224</v>
      </c>
      <c r="F30" s="13">
        <f t="shared" si="8"/>
        <v>210</v>
      </c>
      <c r="G30" s="13">
        <f t="shared" si="8"/>
        <v>236</v>
      </c>
      <c r="H30" s="13">
        <f t="shared" si="8"/>
        <v>236</v>
      </c>
      <c r="I30" s="13">
        <f t="shared" si="8"/>
        <v>223</v>
      </c>
      <c r="J30" s="13">
        <f t="shared" si="8"/>
        <v>238</v>
      </c>
      <c r="K30" s="13">
        <f t="shared" si="8"/>
        <v>205</v>
      </c>
      <c r="L30" s="13">
        <f t="shared" si="8"/>
        <v>233</v>
      </c>
      <c r="M30" s="13">
        <f t="shared" si="8"/>
        <v>255</v>
      </c>
      <c r="N30" s="13">
        <f t="shared" si="8"/>
        <v>223</v>
      </c>
      <c r="O30" s="13">
        <f t="shared" si="8"/>
        <v>218</v>
      </c>
      <c r="P30" s="13">
        <f t="shared" si="8"/>
        <v>230</v>
      </c>
      <c r="Q30" s="13">
        <f t="shared" si="8"/>
        <v>250</v>
      </c>
      <c r="R30" s="13">
        <f t="shared" si="8"/>
        <v>230</v>
      </c>
      <c r="S30" s="13">
        <f t="shared" si="8"/>
        <v>226</v>
      </c>
      <c r="T30" s="13">
        <f t="shared" si="8"/>
        <v>175</v>
      </c>
      <c r="U30" s="13">
        <f t="shared" si="8"/>
        <v>175</v>
      </c>
      <c r="V30" s="13">
        <f t="shared" si="8"/>
        <v>242</v>
      </c>
      <c r="W30" s="13">
        <f t="shared" si="8"/>
        <v>230</v>
      </c>
      <c r="X30" s="13">
        <f t="shared" si="8"/>
        <v>232</v>
      </c>
      <c r="Y30" s="13">
        <f t="shared" si="8"/>
        <v>181</v>
      </c>
      <c r="Z30" s="13">
        <f t="shared" si="8"/>
        <v>179</v>
      </c>
      <c r="AA30" s="13">
        <f t="shared" si="8"/>
        <v>181</v>
      </c>
      <c r="AB30" s="13">
        <f t="shared" si="8"/>
        <v>192</v>
      </c>
      <c r="AC30" s="13">
        <f t="shared" si="8"/>
        <v>206</v>
      </c>
      <c r="AD30" s="13">
        <f t="shared" si="8"/>
        <v>179</v>
      </c>
      <c r="AE30" s="13">
        <f t="shared" si="8"/>
        <v>130</v>
      </c>
      <c r="AF30" s="13">
        <f t="shared" si="8"/>
        <v>169</v>
      </c>
      <c r="AG30" s="13">
        <f t="shared" si="2"/>
        <v>5908</v>
      </c>
    </row>
    <row r="31" spans="1:33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6"/>
    </row>
    <row r="32" spans="1:33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6"/>
    </row>
    <row r="33" spans="1:33" ht="12.75" customHeight="1" x14ac:dyDescent="0.3">
      <c r="A33" s="15">
        <v>1</v>
      </c>
      <c r="B33" s="56" t="s">
        <v>27</v>
      </c>
      <c r="C33" s="49"/>
      <c r="D33" s="50"/>
      <c r="E33" s="15">
        <v>271</v>
      </c>
      <c r="F33" s="15">
        <v>274</v>
      </c>
      <c r="G33" s="15">
        <v>302</v>
      </c>
      <c r="H33" s="15">
        <v>273</v>
      </c>
      <c r="I33" s="15">
        <v>293</v>
      </c>
      <c r="J33" s="15">
        <v>267</v>
      </c>
      <c r="K33" s="15">
        <v>254</v>
      </c>
      <c r="L33" s="15">
        <v>284</v>
      </c>
      <c r="M33" s="15">
        <v>304</v>
      </c>
      <c r="N33" s="15">
        <v>299</v>
      </c>
      <c r="O33" s="15">
        <v>278</v>
      </c>
      <c r="P33" s="15">
        <v>290</v>
      </c>
      <c r="Q33" s="15">
        <v>295</v>
      </c>
      <c r="R33" s="15">
        <v>291</v>
      </c>
      <c r="S33" s="15">
        <v>300</v>
      </c>
      <c r="T33" s="15">
        <v>248</v>
      </c>
      <c r="U33" s="15">
        <v>246</v>
      </c>
      <c r="V33" s="15">
        <v>303</v>
      </c>
      <c r="W33" s="15">
        <v>295</v>
      </c>
      <c r="X33" s="15">
        <v>277</v>
      </c>
      <c r="Y33" s="15">
        <v>225</v>
      </c>
      <c r="Z33" s="15">
        <v>238</v>
      </c>
      <c r="AA33" s="15">
        <v>254</v>
      </c>
      <c r="AB33" s="15">
        <v>247</v>
      </c>
      <c r="AC33" s="15">
        <v>288</v>
      </c>
      <c r="AD33" s="15">
        <v>242</v>
      </c>
      <c r="AE33" s="15">
        <v>177</v>
      </c>
      <c r="AF33" s="15">
        <v>221</v>
      </c>
      <c r="AG33" s="13">
        <f t="shared" ref="AG33:AG36" si="9">SUM(E33:AF33)</f>
        <v>7536</v>
      </c>
    </row>
    <row r="34" spans="1:33" ht="12.75" customHeight="1" x14ac:dyDescent="0.3">
      <c r="A34" s="15">
        <v>2</v>
      </c>
      <c r="B34" s="56" t="s">
        <v>28</v>
      </c>
      <c r="C34" s="49"/>
      <c r="D34" s="50"/>
      <c r="E34" s="13">
        <v>224</v>
      </c>
      <c r="F34" s="13">
        <v>210</v>
      </c>
      <c r="G34" s="13">
        <v>236</v>
      </c>
      <c r="H34" s="13">
        <v>236</v>
      </c>
      <c r="I34" s="13">
        <v>223</v>
      </c>
      <c r="J34" s="13">
        <v>238</v>
      </c>
      <c r="K34" s="13">
        <v>205</v>
      </c>
      <c r="L34" s="13">
        <v>233</v>
      </c>
      <c r="M34" s="13">
        <v>255</v>
      </c>
      <c r="N34" s="13">
        <v>223</v>
      </c>
      <c r="O34" s="13">
        <v>218</v>
      </c>
      <c r="P34" s="13">
        <v>230</v>
      </c>
      <c r="Q34" s="13">
        <v>250</v>
      </c>
      <c r="R34" s="13">
        <v>230</v>
      </c>
      <c r="S34" s="13">
        <v>226</v>
      </c>
      <c r="T34" s="13">
        <v>175</v>
      </c>
      <c r="U34" s="13">
        <v>175</v>
      </c>
      <c r="V34" s="13">
        <v>242</v>
      </c>
      <c r="W34" s="13">
        <v>230</v>
      </c>
      <c r="X34" s="13">
        <v>232</v>
      </c>
      <c r="Y34" s="13">
        <v>181</v>
      </c>
      <c r="Z34" s="13">
        <v>179</v>
      </c>
      <c r="AA34" s="13">
        <v>181</v>
      </c>
      <c r="AB34" s="13">
        <v>192</v>
      </c>
      <c r="AC34" s="13">
        <v>206</v>
      </c>
      <c r="AD34" s="13">
        <v>179</v>
      </c>
      <c r="AE34" s="13">
        <v>130</v>
      </c>
      <c r="AF34" s="13">
        <v>169</v>
      </c>
      <c r="AG34" s="13">
        <f t="shared" si="9"/>
        <v>5908</v>
      </c>
    </row>
    <row r="35" spans="1:33" ht="12.75" customHeight="1" x14ac:dyDescent="0.3">
      <c r="A35" s="15">
        <v>3</v>
      </c>
      <c r="B35" s="56" t="s">
        <v>29</v>
      </c>
      <c r="C35" s="49"/>
      <c r="D35" s="50"/>
      <c r="E35" s="15">
        <v>1</v>
      </c>
      <c r="F35" s="15">
        <v>0</v>
      </c>
      <c r="G35" s="15">
        <v>0</v>
      </c>
      <c r="H35" s="15">
        <v>3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2</v>
      </c>
      <c r="P35" s="15">
        <v>0</v>
      </c>
      <c r="Q35" s="15">
        <v>0</v>
      </c>
      <c r="R35" s="15">
        <v>0</v>
      </c>
      <c r="S35" s="15">
        <v>0</v>
      </c>
      <c r="T35" s="15">
        <v>1</v>
      </c>
      <c r="U35" s="15">
        <v>0</v>
      </c>
      <c r="V35" s="15">
        <v>0</v>
      </c>
      <c r="W35" s="15">
        <v>0</v>
      </c>
      <c r="X35" s="15">
        <v>1</v>
      </c>
      <c r="Y35" s="15">
        <v>1</v>
      </c>
      <c r="Z35" s="15">
        <v>0</v>
      </c>
      <c r="AA35" s="15">
        <v>0</v>
      </c>
      <c r="AB35" s="15">
        <v>0</v>
      </c>
      <c r="AC35" s="15">
        <v>0</v>
      </c>
      <c r="AD35" s="15">
        <v>3</v>
      </c>
      <c r="AE35" s="15">
        <v>0</v>
      </c>
      <c r="AF35" s="15">
        <v>1</v>
      </c>
      <c r="AG35" s="13">
        <f t="shared" si="9"/>
        <v>13</v>
      </c>
    </row>
    <row r="36" spans="1:33" ht="12.75" customHeight="1" x14ac:dyDescent="0.3">
      <c r="A36" s="15">
        <v>4</v>
      </c>
      <c r="B36" s="56" t="s">
        <v>30</v>
      </c>
      <c r="C36" s="49"/>
      <c r="D36" s="50"/>
      <c r="E36" s="13">
        <f t="shared" ref="E36:AF36" si="10">E33-(E34+E35)</f>
        <v>46</v>
      </c>
      <c r="F36" s="13">
        <f t="shared" si="10"/>
        <v>64</v>
      </c>
      <c r="G36" s="13">
        <f t="shared" si="10"/>
        <v>66</v>
      </c>
      <c r="H36" s="13">
        <f t="shared" si="10"/>
        <v>34</v>
      </c>
      <c r="I36" s="13">
        <f t="shared" si="10"/>
        <v>70</v>
      </c>
      <c r="J36" s="13">
        <f t="shared" si="10"/>
        <v>29</v>
      </c>
      <c r="K36" s="13">
        <f t="shared" si="10"/>
        <v>49</v>
      </c>
      <c r="L36" s="13">
        <f t="shared" si="10"/>
        <v>51</v>
      </c>
      <c r="M36" s="13">
        <f t="shared" si="10"/>
        <v>49</v>
      </c>
      <c r="N36" s="13">
        <f t="shared" si="10"/>
        <v>76</v>
      </c>
      <c r="O36" s="13">
        <f t="shared" si="10"/>
        <v>58</v>
      </c>
      <c r="P36" s="13">
        <f t="shared" si="10"/>
        <v>60</v>
      </c>
      <c r="Q36" s="13">
        <f t="shared" si="10"/>
        <v>45</v>
      </c>
      <c r="R36" s="13">
        <f t="shared" si="10"/>
        <v>61</v>
      </c>
      <c r="S36" s="13">
        <f t="shared" si="10"/>
        <v>74</v>
      </c>
      <c r="T36" s="13">
        <f t="shared" si="10"/>
        <v>72</v>
      </c>
      <c r="U36" s="13">
        <f t="shared" si="10"/>
        <v>71</v>
      </c>
      <c r="V36" s="13">
        <f t="shared" si="10"/>
        <v>61</v>
      </c>
      <c r="W36" s="13">
        <f t="shared" si="10"/>
        <v>65</v>
      </c>
      <c r="X36" s="13">
        <f t="shared" si="10"/>
        <v>44</v>
      </c>
      <c r="Y36" s="13">
        <f t="shared" si="10"/>
        <v>43</v>
      </c>
      <c r="Z36" s="13">
        <f t="shared" si="10"/>
        <v>59</v>
      </c>
      <c r="AA36" s="13">
        <f t="shared" si="10"/>
        <v>73</v>
      </c>
      <c r="AB36" s="13">
        <f t="shared" si="10"/>
        <v>55</v>
      </c>
      <c r="AC36" s="13">
        <f t="shared" si="10"/>
        <v>82</v>
      </c>
      <c r="AD36" s="13">
        <f t="shared" si="10"/>
        <v>60</v>
      </c>
      <c r="AE36" s="13">
        <f t="shared" si="10"/>
        <v>47</v>
      </c>
      <c r="AF36" s="13">
        <f t="shared" si="10"/>
        <v>51</v>
      </c>
      <c r="AG36" s="13">
        <f t="shared" si="9"/>
        <v>1615</v>
      </c>
    </row>
    <row r="37" spans="1:33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46"/>
    </row>
    <row r="38" spans="1:33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6"/>
    </row>
    <row r="39" spans="1:33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3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1</v>
      </c>
      <c r="AC39" s="15">
        <v>0</v>
      </c>
      <c r="AD39" s="15">
        <v>0</v>
      </c>
      <c r="AE39" s="15">
        <v>0</v>
      </c>
      <c r="AF39" s="15">
        <v>0</v>
      </c>
      <c r="AG39" s="13">
        <f t="shared" ref="AG39:AG41" si="11">SUM(E39:AF39)</f>
        <v>4</v>
      </c>
    </row>
    <row r="40" spans="1:33" ht="12.75" customHeight="1" x14ac:dyDescent="0.3">
      <c r="A40" s="20"/>
      <c r="B40" s="70"/>
      <c r="C40" s="60"/>
      <c r="D40" s="15" t="s">
        <v>13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1</v>
      </c>
      <c r="S40" s="15">
        <v>0</v>
      </c>
      <c r="T40" s="15">
        <v>1</v>
      </c>
      <c r="U40" s="15">
        <v>0</v>
      </c>
      <c r="V40" s="15">
        <v>2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1</v>
      </c>
      <c r="AC40" s="15">
        <v>0</v>
      </c>
      <c r="AD40" s="15">
        <v>0</v>
      </c>
      <c r="AE40" s="15">
        <v>0</v>
      </c>
      <c r="AF40" s="15">
        <v>0</v>
      </c>
      <c r="AG40" s="13">
        <f t="shared" si="11"/>
        <v>5</v>
      </c>
    </row>
    <row r="41" spans="1:33" ht="12.75" customHeight="1" x14ac:dyDescent="0.3">
      <c r="A41" s="24"/>
      <c r="B41" s="71"/>
      <c r="C41" s="61"/>
      <c r="D41" s="13" t="s">
        <v>14</v>
      </c>
      <c r="E41" s="13">
        <f t="shared" ref="E41:AF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1</v>
      </c>
      <c r="S41" s="13">
        <f t="shared" si="12"/>
        <v>0</v>
      </c>
      <c r="T41" s="13">
        <f t="shared" si="12"/>
        <v>1</v>
      </c>
      <c r="U41" s="13">
        <f t="shared" si="12"/>
        <v>0</v>
      </c>
      <c r="V41" s="13">
        <f t="shared" si="12"/>
        <v>5</v>
      </c>
      <c r="W41" s="13">
        <f t="shared" si="12"/>
        <v>0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2</v>
      </c>
      <c r="AC41" s="13">
        <f t="shared" si="12"/>
        <v>0</v>
      </c>
      <c r="AD41" s="13">
        <f t="shared" si="12"/>
        <v>0</v>
      </c>
      <c r="AE41" s="13">
        <f t="shared" si="12"/>
        <v>0</v>
      </c>
      <c r="AF41" s="13">
        <f t="shared" si="12"/>
        <v>0</v>
      </c>
      <c r="AG41" s="13">
        <f t="shared" si="11"/>
        <v>9</v>
      </c>
    </row>
    <row r="42" spans="1:33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45"/>
      <c r="AC42" s="15"/>
      <c r="AD42" s="45"/>
      <c r="AE42" s="15"/>
      <c r="AF42" s="45"/>
      <c r="AG42" s="13"/>
    </row>
    <row r="43" spans="1:33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47"/>
      <c r="AC43" s="13"/>
      <c r="AD43" s="47"/>
      <c r="AE43" s="13"/>
      <c r="AF43" s="47"/>
      <c r="AG43" s="13"/>
    </row>
    <row r="44" spans="1:33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3"/>
    </row>
    <row r="45" spans="1:33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15</v>
      </c>
      <c r="F45" s="15">
        <v>2</v>
      </c>
      <c r="G45" s="15">
        <v>6</v>
      </c>
      <c r="H45" s="15">
        <v>10</v>
      </c>
      <c r="I45" s="15">
        <v>1</v>
      </c>
      <c r="J45" s="15">
        <v>6</v>
      </c>
      <c r="K45" s="15">
        <v>0</v>
      </c>
      <c r="L45" s="15">
        <v>2</v>
      </c>
      <c r="M45" s="15">
        <v>0</v>
      </c>
      <c r="N45" s="15">
        <v>4</v>
      </c>
      <c r="O45" s="15">
        <v>8</v>
      </c>
      <c r="P45" s="15">
        <v>5</v>
      </c>
      <c r="Q45" s="15">
        <v>3</v>
      </c>
      <c r="R45" s="15">
        <v>9</v>
      </c>
      <c r="S45" s="15">
        <v>2</v>
      </c>
      <c r="T45" s="15">
        <v>1</v>
      </c>
      <c r="U45" s="15">
        <v>1</v>
      </c>
      <c r="V45" s="15">
        <v>1</v>
      </c>
      <c r="W45" s="15">
        <v>1</v>
      </c>
      <c r="X45" s="15">
        <v>10</v>
      </c>
      <c r="Y45" s="15">
        <v>1</v>
      </c>
      <c r="Z45" s="15">
        <v>1</v>
      </c>
      <c r="AA45" s="15">
        <v>3</v>
      </c>
      <c r="AB45" s="15">
        <v>1</v>
      </c>
      <c r="AC45" s="15">
        <v>4</v>
      </c>
      <c r="AD45" s="15">
        <v>5</v>
      </c>
      <c r="AE45" s="15">
        <v>2</v>
      </c>
      <c r="AF45" s="15">
        <v>1</v>
      </c>
      <c r="AG45" s="13">
        <f t="shared" ref="AG45:AG186" si="13">SUM(E45:AF45)</f>
        <v>105</v>
      </c>
    </row>
    <row r="46" spans="1:33" ht="12.75" customHeight="1" x14ac:dyDescent="0.3">
      <c r="A46" s="19" t="s">
        <v>39</v>
      </c>
      <c r="B46" s="27"/>
      <c r="C46" s="28" t="s">
        <v>40</v>
      </c>
      <c r="D46" s="29"/>
      <c r="E46" s="15">
        <v>26</v>
      </c>
      <c r="F46" s="15">
        <v>47</v>
      </c>
      <c r="G46" s="15">
        <v>22</v>
      </c>
      <c r="H46" s="15">
        <v>42</v>
      </c>
      <c r="I46" s="15">
        <v>4</v>
      </c>
      <c r="J46" s="15">
        <v>20</v>
      </c>
      <c r="K46" s="15">
        <v>2</v>
      </c>
      <c r="L46" s="15">
        <v>4</v>
      </c>
      <c r="M46" s="15">
        <v>0</v>
      </c>
      <c r="N46" s="15">
        <v>6</v>
      </c>
      <c r="O46" s="15">
        <v>17</v>
      </c>
      <c r="P46" s="15">
        <v>13</v>
      </c>
      <c r="Q46" s="15">
        <v>3</v>
      </c>
      <c r="R46" s="15">
        <v>5</v>
      </c>
      <c r="S46" s="15">
        <v>8</v>
      </c>
      <c r="T46" s="15">
        <v>0</v>
      </c>
      <c r="U46" s="15">
        <v>3</v>
      </c>
      <c r="V46" s="15">
        <v>2</v>
      </c>
      <c r="W46" s="15">
        <v>12</v>
      </c>
      <c r="X46" s="15">
        <v>23</v>
      </c>
      <c r="Y46" s="15">
        <v>2</v>
      </c>
      <c r="Z46" s="15">
        <v>2</v>
      </c>
      <c r="AA46" s="15">
        <v>3</v>
      </c>
      <c r="AB46" s="15">
        <v>0</v>
      </c>
      <c r="AC46" s="15">
        <v>6</v>
      </c>
      <c r="AD46" s="15">
        <v>3</v>
      </c>
      <c r="AE46" s="15">
        <v>15</v>
      </c>
      <c r="AF46" s="15">
        <v>0</v>
      </c>
      <c r="AG46" s="13">
        <f t="shared" si="13"/>
        <v>290</v>
      </c>
    </row>
    <row r="47" spans="1:33" ht="12.75" customHeight="1" x14ac:dyDescent="0.3">
      <c r="A47" s="14"/>
      <c r="B47" s="27"/>
      <c r="C47" s="28" t="s">
        <v>41</v>
      </c>
      <c r="D47" s="29"/>
      <c r="E47" s="15">
        <v>3</v>
      </c>
      <c r="F47" s="15">
        <v>6</v>
      </c>
      <c r="G47" s="15">
        <v>4</v>
      </c>
      <c r="H47" s="15">
        <v>2</v>
      </c>
      <c r="I47" s="15">
        <v>8</v>
      </c>
      <c r="J47" s="15">
        <v>10</v>
      </c>
      <c r="K47" s="15">
        <v>0</v>
      </c>
      <c r="L47" s="15">
        <v>30</v>
      </c>
      <c r="M47" s="15">
        <v>1</v>
      </c>
      <c r="N47" s="15">
        <v>7</v>
      </c>
      <c r="O47" s="15">
        <v>10</v>
      </c>
      <c r="P47" s="15">
        <v>35</v>
      </c>
      <c r="Q47" s="15">
        <v>9</v>
      </c>
      <c r="R47" s="15">
        <v>13</v>
      </c>
      <c r="S47" s="15">
        <v>0</v>
      </c>
      <c r="T47" s="15">
        <v>0</v>
      </c>
      <c r="U47" s="15">
        <v>0</v>
      </c>
      <c r="V47" s="15">
        <v>3</v>
      </c>
      <c r="W47" s="15">
        <v>3</v>
      </c>
      <c r="X47" s="15">
        <v>17</v>
      </c>
      <c r="Y47" s="15">
        <v>0</v>
      </c>
      <c r="Z47" s="15">
        <v>5</v>
      </c>
      <c r="AA47" s="15">
        <v>10</v>
      </c>
      <c r="AB47" s="15">
        <v>6</v>
      </c>
      <c r="AC47" s="15">
        <v>18</v>
      </c>
      <c r="AD47" s="15">
        <v>3</v>
      </c>
      <c r="AE47" s="15">
        <v>4</v>
      </c>
      <c r="AF47" s="15">
        <v>0</v>
      </c>
      <c r="AG47" s="13">
        <f t="shared" si="13"/>
        <v>207</v>
      </c>
    </row>
    <row r="48" spans="1:33" ht="12.75" customHeight="1" x14ac:dyDescent="0.3">
      <c r="A48" s="14"/>
      <c r="B48" s="27"/>
      <c r="C48" s="28" t="s">
        <v>42</v>
      </c>
      <c r="D48" s="29"/>
      <c r="E48" s="15">
        <v>2</v>
      </c>
      <c r="F48" s="15">
        <v>0</v>
      </c>
      <c r="G48" s="15">
        <v>2</v>
      </c>
      <c r="H48" s="15">
        <v>2</v>
      </c>
      <c r="I48" s="15">
        <v>0</v>
      </c>
      <c r="J48" s="15">
        <v>0</v>
      </c>
      <c r="K48" s="15">
        <v>14</v>
      </c>
      <c r="L48" s="15">
        <v>11</v>
      </c>
      <c r="M48" s="15">
        <v>3</v>
      </c>
      <c r="N48" s="15">
        <v>2</v>
      </c>
      <c r="O48" s="15">
        <v>1</v>
      </c>
      <c r="P48" s="15">
        <v>7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1</v>
      </c>
      <c r="Y48" s="15">
        <v>0</v>
      </c>
      <c r="Z48" s="15">
        <v>4</v>
      </c>
      <c r="AA48" s="15">
        <v>0</v>
      </c>
      <c r="AB48" s="15">
        <v>2</v>
      </c>
      <c r="AC48" s="15">
        <v>1</v>
      </c>
      <c r="AD48" s="15">
        <v>29</v>
      </c>
      <c r="AE48" s="15">
        <v>13</v>
      </c>
      <c r="AF48" s="15">
        <v>3</v>
      </c>
      <c r="AG48" s="13">
        <f t="shared" si="13"/>
        <v>97</v>
      </c>
    </row>
    <row r="49" spans="1:33" ht="12.75" customHeight="1" x14ac:dyDescent="0.3">
      <c r="A49" s="14"/>
      <c r="B49" s="27"/>
      <c r="C49" s="28" t="s">
        <v>43</v>
      </c>
      <c r="D49" s="29"/>
      <c r="E49" s="15">
        <v>1</v>
      </c>
      <c r="F49" s="15">
        <v>2</v>
      </c>
      <c r="G49" s="15">
        <v>1</v>
      </c>
      <c r="H49" s="15">
        <v>0</v>
      </c>
      <c r="I49" s="15">
        <v>2</v>
      </c>
      <c r="J49" s="15">
        <v>2</v>
      </c>
      <c r="K49" s="15">
        <v>1</v>
      </c>
      <c r="L49" s="15">
        <v>1</v>
      </c>
      <c r="M49" s="15">
        <v>1</v>
      </c>
      <c r="N49" s="15">
        <v>0</v>
      </c>
      <c r="O49" s="15">
        <v>2</v>
      </c>
      <c r="P49" s="15">
        <v>6</v>
      </c>
      <c r="Q49" s="15">
        <v>2</v>
      </c>
      <c r="R49" s="15">
        <v>1</v>
      </c>
      <c r="S49" s="15">
        <v>1</v>
      </c>
      <c r="T49" s="15">
        <v>0</v>
      </c>
      <c r="U49" s="15">
        <v>3</v>
      </c>
      <c r="V49" s="15">
        <v>0</v>
      </c>
      <c r="W49" s="15">
        <v>2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5">
        <v>2</v>
      </c>
      <c r="AD49" s="15">
        <v>0</v>
      </c>
      <c r="AE49" s="15">
        <v>3</v>
      </c>
      <c r="AF49" s="15">
        <v>1</v>
      </c>
      <c r="AG49" s="13">
        <f t="shared" si="13"/>
        <v>34</v>
      </c>
    </row>
    <row r="50" spans="1:33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1</v>
      </c>
      <c r="G50" s="15">
        <v>1</v>
      </c>
      <c r="H50" s="15">
        <v>0</v>
      </c>
      <c r="I50" s="15">
        <v>0</v>
      </c>
      <c r="J50" s="15">
        <v>0</v>
      </c>
      <c r="K50" s="15">
        <v>1</v>
      </c>
      <c r="L50" s="15">
        <v>0</v>
      </c>
      <c r="M50" s="15">
        <v>0</v>
      </c>
      <c r="N50" s="15">
        <v>0</v>
      </c>
      <c r="O50" s="15">
        <v>1</v>
      </c>
      <c r="P50" s="15">
        <v>1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1</v>
      </c>
      <c r="X50" s="15">
        <v>0</v>
      </c>
      <c r="Y50" s="15">
        <v>2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1</v>
      </c>
      <c r="AF50" s="15">
        <v>0</v>
      </c>
      <c r="AG50" s="13">
        <f t="shared" si="13"/>
        <v>9</v>
      </c>
    </row>
    <row r="51" spans="1:33" ht="12.75" customHeight="1" x14ac:dyDescent="0.3">
      <c r="A51" s="14"/>
      <c r="B51" s="27"/>
      <c r="C51" s="28" t="s">
        <v>45</v>
      </c>
      <c r="D51" s="29"/>
      <c r="E51" s="15">
        <v>0</v>
      </c>
      <c r="F51" s="15">
        <v>0</v>
      </c>
      <c r="G51" s="15">
        <v>1</v>
      </c>
      <c r="H51" s="15">
        <v>0</v>
      </c>
      <c r="I51" s="15">
        <v>0</v>
      </c>
      <c r="J51" s="15">
        <v>1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1</v>
      </c>
      <c r="Q51" s="15">
        <v>1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1</v>
      </c>
      <c r="X51" s="15">
        <v>1</v>
      </c>
      <c r="Y51" s="15">
        <v>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3">
        <f t="shared" si="13"/>
        <v>6</v>
      </c>
    </row>
    <row r="52" spans="1:33" ht="12.75" customHeight="1" x14ac:dyDescent="0.3">
      <c r="A52" s="14"/>
      <c r="B52" s="27"/>
      <c r="C52" s="28" t="s">
        <v>46</v>
      </c>
      <c r="D52" s="29"/>
      <c r="E52" s="15">
        <v>1</v>
      </c>
      <c r="F52" s="15">
        <v>0</v>
      </c>
      <c r="G52" s="15">
        <v>0</v>
      </c>
      <c r="H52" s="15">
        <v>2</v>
      </c>
      <c r="I52" s="15">
        <v>0</v>
      </c>
      <c r="J52" s="15">
        <v>0</v>
      </c>
      <c r="K52" s="15">
        <v>1</v>
      </c>
      <c r="L52" s="15">
        <v>1</v>
      </c>
      <c r="M52" s="15">
        <v>2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2</v>
      </c>
      <c r="W52" s="15">
        <v>0</v>
      </c>
      <c r="X52" s="15">
        <v>0</v>
      </c>
      <c r="Y52" s="15">
        <v>0</v>
      </c>
      <c r="Z52" s="15">
        <v>0</v>
      </c>
      <c r="AA52" s="15">
        <v>1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3">
        <f t="shared" si="13"/>
        <v>10</v>
      </c>
    </row>
    <row r="53" spans="1:33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AF53" si="14">SUM(E45:E52)</f>
        <v>48</v>
      </c>
      <c r="F53" s="34">
        <f t="shared" si="14"/>
        <v>58</v>
      </c>
      <c r="G53" s="34">
        <f t="shared" si="14"/>
        <v>37</v>
      </c>
      <c r="H53" s="34">
        <f t="shared" si="14"/>
        <v>58</v>
      </c>
      <c r="I53" s="34">
        <f t="shared" si="14"/>
        <v>15</v>
      </c>
      <c r="J53" s="34">
        <f t="shared" si="14"/>
        <v>39</v>
      </c>
      <c r="K53" s="34">
        <f t="shared" si="14"/>
        <v>19</v>
      </c>
      <c r="L53" s="34">
        <f t="shared" si="14"/>
        <v>49</v>
      </c>
      <c r="M53" s="34">
        <f t="shared" si="14"/>
        <v>7</v>
      </c>
      <c r="N53" s="34">
        <f t="shared" si="14"/>
        <v>19</v>
      </c>
      <c r="O53" s="34">
        <f t="shared" si="14"/>
        <v>39</v>
      </c>
      <c r="P53" s="34">
        <f t="shared" si="14"/>
        <v>68</v>
      </c>
      <c r="Q53" s="34">
        <f t="shared" si="14"/>
        <v>18</v>
      </c>
      <c r="R53" s="34">
        <f t="shared" si="14"/>
        <v>28</v>
      </c>
      <c r="S53" s="34">
        <f t="shared" si="14"/>
        <v>11</v>
      </c>
      <c r="T53" s="34">
        <f t="shared" si="14"/>
        <v>1</v>
      </c>
      <c r="U53" s="34">
        <f t="shared" si="14"/>
        <v>7</v>
      </c>
      <c r="V53" s="34">
        <f t="shared" si="14"/>
        <v>8</v>
      </c>
      <c r="W53" s="34">
        <f t="shared" si="14"/>
        <v>20</v>
      </c>
      <c r="X53" s="34">
        <f t="shared" si="14"/>
        <v>52</v>
      </c>
      <c r="Y53" s="34">
        <f t="shared" si="14"/>
        <v>5</v>
      </c>
      <c r="Z53" s="34">
        <f t="shared" si="14"/>
        <v>12</v>
      </c>
      <c r="AA53" s="34">
        <f t="shared" si="14"/>
        <v>17</v>
      </c>
      <c r="AB53" s="34">
        <f t="shared" si="14"/>
        <v>9</v>
      </c>
      <c r="AC53" s="34">
        <f t="shared" si="14"/>
        <v>31</v>
      </c>
      <c r="AD53" s="34">
        <f t="shared" si="14"/>
        <v>40</v>
      </c>
      <c r="AE53" s="34">
        <f t="shared" si="14"/>
        <v>38</v>
      </c>
      <c r="AF53" s="34">
        <f t="shared" si="14"/>
        <v>5</v>
      </c>
      <c r="AG53" s="13">
        <f t="shared" si="13"/>
        <v>758</v>
      </c>
    </row>
    <row r="54" spans="1:33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13">
        <f t="shared" si="13"/>
        <v>0</v>
      </c>
    </row>
    <row r="55" spans="1:33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6</v>
      </c>
      <c r="F55" s="15">
        <v>3</v>
      </c>
      <c r="G55" s="15">
        <v>6</v>
      </c>
      <c r="H55" s="15">
        <v>5</v>
      </c>
      <c r="I55" s="15">
        <v>2</v>
      </c>
      <c r="J55" s="15">
        <v>4</v>
      </c>
      <c r="K55" s="15">
        <v>0</v>
      </c>
      <c r="L55" s="15">
        <v>9</v>
      </c>
      <c r="M55" s="15">
        <v>9</v>
      </c>
      <c r="N55" s="15">
        <v>3</v>
      </c>
      <c r="O55" s="15">
        <v>0</v>
      </c>
      <c r="P55" s="15">
        <v>5</v>
      </c>
      <c r="Q55" s="15">
        <v>4</v>
      </c>
      <c r="R55" s="15">
        <v>2</v>
      </c>
      <c r="S55" s="15">
        <v>6</v>
      </c>
      <c r="T55" s="15">
        <v>3</v>
      </c>
      <c r="U55" s="15">
        <v>8</v>
      </c>
      <c r="V55" s="15">
        <v>12</v>
      </c>
      <c r="W55" s="15">
        <v>6</v>
      </c>
      <c r="X55" s="15">
        <v>7</v>
      </c>
      <c r="Y55" s="15">
        <v>0</v>
      </c>
      <c r="Z55" s="15">
        <v>4</v>
      </c>
      <c r="AA55" s="15">
        <v>11</v>
      </c>
      <c r="AB55" s="15">
        <v>5</v>
      </c>
      <c r="AC55" s="15">
        <v>6</v>
      </c>
      <c r="AD55" s="15">
        <v>21</v>
      </c>
      <c r="AE55" s="15">
        <v>4</v>
      </c>
      <c r="AF55" s="15">
        <v>8</v>
      </c>
      <c r="AG55" s="13">
        <f t="shared" si="13"/>
        <v>159</v>
      </c>
    </row>
    <row r="56" spans="1:33" ht="12.75" customHeight="1" x14ac:dyDescent="0.3">
      <c r="A56" s="19" t="s">
        <v>39</v>
      </c>
      <c r="B56" s="27"/>
      <c r="C56" s="28" t="s">
        <v>49</v>
      </c>
      <c r="D56" s="29"/>
      <c r="E56" s="15">
        <v>1</v>
      </c>
      <c r="F56" s="15">
        <v>1</v>
      </c>
      <c r="G56" s="15">
        <v>0</v>
      </c>
      <c r="H56" s="15">
        <v>4</v>
      </c>
      <c r="I56" s="15">
        <v>0</v>
      </c>
      <c r="J56" s="15">
        <v>3</v>
      </c>
      <c r="K56" s="15">
        <v>1</v>
      </c>
      <c r="L56" s="15">
        <v>1</v>
      </c>
      <c r="M56" s="15">
        <v>2</v>
      </c>
      <c r="N56" s="15">
        <v>0</v>
      </c>
      <c r="O56" s="15">
        <v>3</v>
      </c>
      <c r="P56" s="15">
        <v>0</v>
      </c>
      <c r="Q56" s="15">
        <v>3</v>
      </c>
      <c r="R56" s="15">
        <v>1</v>
      </c>
      <c r="S56" s="15">
        <v>3</v>
      </c>
      <c r="T56" s="15">
        <v>0</v>
      </c>
      <c r="U56" s="15">
        <v>20</v>
      </c>
      <c r="V56" s="15">
        <v>38</v>
      </c>
      <c r="W56" s="15">
        <v>7</v>
      </c>
      <c r="X56" s="15">
        <v>3</v>
      </c>
      <c r="Y56" s="15">
        <v>0</v>
      </c>
      <c r="Z56" s="15">
        <v>5</v>
      </c>
      <c r="AA56" s="15">
        <v>1</v>
      </c>
      <c r="AB56" s="15">
        <v>1</v>
      </c>
      <c r="AC56" s="15">
        <v>3</v>
      </c>
      <c r="AD56" s="15">
        <v>3</v>
      </c>
      <c r="AE56" s="15">
        <v>4</v>
      </c>
      <c r="AF56" s="15">
        <v>1</v>
      </c>
      <c r="AG56" s="13">
        <f t="shared" si="13"/>
        <v>109</v>
      </c>
    </row>
    <row r="57" spans="1:33" ht="12.75" customHeight="1" x14ac:dyDescent="0.3">
      <c r="A57" s="14"/>
      <c r="B57" s="27"/>
      <c r="C57" s="28" t="s">
        <v>50</v>
      </c>
      <c r="D57" s="29"/>
      <c r="E57" s="15">
        <v>6</v>
      </c>
      <c r="F57" s="15">
        <v>20</v>
      </c>
      <c r="G57" s="15">
        <v>4</v>
      </c>
      <c r="H57" s="15">
        <v>3</v>
      </c>
      <c r="I57" s="15">
        <v>7</v>
      </c>
      <c r="J57" s="15">
        <v>11</v>
      </c>
      <c r="K57" s="15">
        <v>1</v>
      </c>
      <c r="L57" s="15">
        <v>14</v>
      </c>
      <c r="M57" s="15">
        <v>7</v>
      </c>
      <c r="N57" s="15">
        <v>8</v>
      </c>
      <c r="O57" s="15">
        <v>2</v>
      </c>
      <c r="P57" s="15">
        <v>3</v>
      </c>
      <c r="Q57" s="15">
        <v>4</v>
      </c>
      <c r="R57" s="15">
        <v>8</v>
      </c>
      <c r="S57" s="15">
        <v>11</v>
      </c>
      <c r="T57" s="15">
        <v>0</v>
      </c>
      <c r="U57" s="15">
        <v>2</v>
      </c>
      <c r="V57" s="15">
        <v>22</v>
      </c>
      <c r="W57" s="15">
        <v>12</v>
      </c>
      <c r="X57" s="15">
        <v>6</v>
      </c>
      <c r="Y57" s="15">
        <v>2</v>
      </c>
      <c r="Z57" s="15">
        <v>2</v>
      </c>
      <c r="AA57" s="15">
        <v>7</v>
      </c>
      <c r="AB57" s="15">
        <v>3</v>
      </c>
      <c r="AC57" s="15">
        <v>8</v>
      </c>
      <c r="AD57" s="15">
        <v>8</v>
      </c>
      <c r="AE57" s="15">
        <v>8</v>
      </c>
      <c r="AF57" s="15">
        <v>9</v>
      </c>
      <c r="AG57" s="13">
        <f t="shared" si="13"/>
        <v>198</v>
      </c>
    </row>
    <row r="58" spans="1:33" ht="12.75" customHeight="1" x14ac:dyDescent="0.3">
      <c r="A58" s="14"/>
      <c r="B58" s="27"/>
      <c r="C58" s="28" t="s">
        <v>51</v>
      </c>
      <c r="D58" s="29"/>
      <c r="E58" s="15">
        <v>51</v>
      </c>
      <c r="F58" s="15">
        <v>9</v>
      </c>
      <c r="G58" s="15">
        <v>47</v>
      </c>
      <c r="H58" s="15">
        <v>17</v>
      </c>
      <c r="I58" s="15">
        <v>1</v>
      </c>
      <c r="J58" s="15">
        <v>1</v>
      </c>
      <c r="K58" s="15">
        <v>1</v>
      </c>
      <c r="L58" s="15">
        <v>0</v>
      </c>
      <c r="M58" s="15">
        <v>0</v>
      </c>
      <c r="N58" s="15">
        <v>3</v>
      </c>
      <c r="O58" s="15">
        <v>1</v>
      </c>
      <c r="P58" s="15">
        <v>1</v>
      </c>
      <c r="Q58" s="15">
        <v>1</v>
      </c>
      <c r="R58" s="15">
        <v>0</v>
      </c>
      <c r="S58" s="15">
        <v>4</v>
      </c>
      <c r="T58" s="15">
        <v>0</v>
      </c>
      <c r="U58" s="15">
        <v>6</v>
      </c>
      <c r="V58" s="15">
        <v>1</v>
      </c>
      <c r="W58" s="15">
        <v>0</v>
      </c>
      <c r="X58" s="15">
        <v>2</v>
      </c>
      <c r="Y58" s="15">
        <v>0</v>
      </c>
      <c r="Z58" s="15">
        <v>1</v>
      </c>
      <c r="AA58" s="15">
        <v>0</v>
      </c>
      <c r="AB58" s="15">
        <v>2</v>
      </c>
      <c r="AC58" s="15">
        <v>0</v>
      </c>
      <c r="AD58" s="15">
        <v>3</v>
      </c>
      <c r="AE58" s="15">
        <v>2</v>
      </c>
      <c r="AF58" s="15">
        <v>1</v>
      </c>
      <c r="AG58" s="13">
        <f t="shared" si="13"/>
        <v>155</v>
      </c>
    </row>
    <row r="59" spans="1:33" ht="12.75" customHeight="1" x14ac:dyDescent="0.3">
      <c r="A59" s="14"/>
      <c r="B59" s="27"/>
      <c r="C59" s="28" t="s">
        <v>52</v>
      </c>
      <c r="D59" s="29"/>
      <c r="E59" s="15">
        <v>0</v>
      </c>
      <c r="F59" s="15">
        <v>1</v>
      </c>
      <c r="G59" s="15">
        <v>0</v>
      </c>
      <c r="H59" s="15">
        <v>0</v>
      </c>
      <c r="I59" s="15">
        <v>0</v>
      </c>
      <c r="J59" s="15">
        <v>1</v>
      </c>
      <c r="K59" s="15">
        <v>0</v>
      </c>
      <c r="L59" s="15">
        <v>4</v>
      </c>
      <c r="M59" s="15">
        <v>4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4</v>
      </c>
      <c r="T59" s="15">
        <v>1</v>
      </c>
      <c r="U59" s="15">
        <v>0</v>
      </c>
      <c r="V59" s="15">
        <v>1</v>
      </c>
      <c r="W59" s="15">
        <v>0</v>
      </c>
      <c r="X59" s="15">
        <v>0</v>
      </c>
      <c r="Y59" s="15">
        <v>1</v>
      </c>
      <c r="Z59" s="15">
        <v>1</v>
      </c>
      <c r="AA59" s="15">
        <v>3</v>
      </c>
      <c r="AB59" s="15">
        <v>2</v>
      </c>
      <c r="AC59" s="15">
        <v>3</v>
      </c>
      <c r="AD59" s="15">
        <v>0</v>
      </c>
      <c r="AE59" s="15">
        <v>1</v>
      </c>
      <c r="AF59" s="15">
        <v>1</v>
      </c>
      <c r="AG59" s="13">
        <f t="shared" si="13"/>
        <v>28</v>
      </c>
    </row>
    <row r="60" spans="1:33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1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1</v>
      </c>
      <c r="W60" s="15">
        <v>2</v>
      </c>
      <c r="X60" s="15">
        <v>0</v>
      </c>
      <c r="Y60" s="15">
        <v>1</v>
      </c>
      <c r="Z60" s="15">
        <v>1</v>
      </c>
      <c r="AA60" s="15">
        <v>2</v>
      </c>
      <c r="AB60" s="15">
        <v>0</v>
      </c>
      <c r="AC60" s="15">
        <v>0</v>
      </c>
      <c r="AD60" s="15">
        <v>0</v>
      </c>
      <c r="AE60" s="15">
        <v>1</v>
      </c>
      <c r="AF60" s="15">
        <v>0</v>
      </c>
      <c r="AG60" s="13">
        <f t="shared" si="13"/>
        <v>9</v>
      </c>
    </row>
    <row r="61" spans="1:33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1</v>
      </c>
      <c r="K61" s="15">
        <v>0</v>
      </c>
      <c r="L61" s="15">
        <v>1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3">
        <f t="shared" si="13"/>
        <v>2</v>
      </c>
    </row>
    <row r="62" spans="1:33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5">
        <v>0</v>
      </c>
      <c r="K62" s="15">
        <v>1</v>
      </c>
      <c r="L62" s="15">
        <v>0</v>
      </c>
      <c r="M62" s="15">
        <v>0</v>
      </c>
      <c r="N62" s="15">
        <v>1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1</v>
      </c>
      <c r="AB62" s="15">
        <v>0</v>
      </c>
      <c r="AC62" s="15">
        <v>0</v>
      </c>
      <c r="AD62" s="15">
        <v>0</v>
      </c>
      <c r="AE62" s="15">
        <v>2</v>
      </c>
      <c r="AF62" s="15">
        <v>0</v>
      </c>
      <c r="AG62" s="13">
        <f t="shared" si="13"/>
        <v>5</v>
      </c>
    </row>
    <row r="63" spans="1:33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AF63" si="15">SUM(E55:E62)</f>
        <v>64</v>
      </c>
      <c r="F63" s="34">
        <f t="shared" si="15"/>
        <v>35</v>
      </c>
      <c r="G63" s="34">
        <f t="shared" si="15"/>
        <v>57</v>
      </c>
      <c r="H63" s="34">
        <f t="shared" si="15"/>
        <v>29</v>
      </c>
      <c r="I63" s="34">
        <f t="shared" si="15"/>
        <v>10</v>
      </c>
      <c r="J63" s="34">
        <f t="shared" si="15"/>
        <v>21</v>
      </c>
      <c r="K63" s="34">
        <f t="shared" si="15"/>
        <v>4</v>
      </c>
      <c r="L63" s="34">
        <f t="shared" si="15"/>
        <v>29</v>
      </c>
      <c r="M63" s="34">
        <f t="shared" si="15"/>
        <v>22</v>
      </c>
      <c r="N63" s="34">
        <f t="shared" si="15"/>
        <v>15</v>
      </c>
      <c r="O63" s="34">
        <f t="shared" si="15"/>
        <v>6</v>
      </c>
      <c r="P63" s="34">
        <f t="shared" si="15"/>
        <v>9</v>
      </c>
      <c r="Q63" s="34">
        <f t="shared" si="15"/>
        <v>12</v>
      </c>
      <c r="R63" s="34">
        <f t="shared" si="15"/>
        <v>11</v>
      </c>
      <c r="S63" s="34">
        <f t="shared" si="15"/>
        <v>28</v>
      </c>
      <c r="T63" s="34">
        <f t="shared" si="15"/>
        <v>4</v>
      </c>
      <c r="U63" s="34">
        <f t="shared" si="15"/>
        <v>36</v>
      </c>
      <c r="V63" s="34">
        <f t="shared" si="15"/>
        <v>75</v>
      </c>
      <c r="W63" s="34">
        <f t="shared" si="15"/>
        <v>27</v>
      </c>
      <c r="X63" s="34">
        <f t="shared" si="15"/>
        <v>18</v>
      </c>
      <c r="Y63" s="34">
        <f t="shared" si="15"/>
        <v>4</v>
      </c>
      <c r="Z63" s="34">
        <f t="shared" si="15"/>
        <v>14</v>
      </c>
      <c r="AA63" s="34">
        <f t="shared" si="15"/>
        <v>25</v>
      </c>
      <c r="AB63" s="34">
        <f t="shared" si="15"/>
        <v>13</v>
      </c>
      <c r="AC63" s="34">
        <f t="shared" si="15"/>
        <v>20</v>
      </c>
      <c r="AD63" s="34">
        <f t="shared" si="15"/>
        <v>35</v>
      </c>
      <c r="AE63" s="34">
        <f t="shared" si="15"/>
        <v>22</v>
      </c>
      <c r="AF63" s="34">
        <f t="shared" si="15"/>
        <v>20</v>
      </c>
      <c r="AG63" s="13">
        <f t="shared" si="13"/>
        <v>665</v>
      </c>
    </row>
    <row r="64" spans="1:33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13">
        <f t="shared" si="13"/>
        <v>0</v>
      </c>
    </row>
    <row r="65" spans="1:33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6</v>
      </c>
      <c r="F65" s="15">
        <v>5</v>
      </c>
      <c r="G65" s="15">
        <v>2</v>
      </c>
      <c r="H65" s="15">
        <v>3</v>
      </c>
      <c r="I65" s="15">
        <v>3</v>
      </c>
      <c r="J65" s="15">
        <v>2</v>
      </c>
      <c r="K65" s="15">
        <v>3</v>
      </c>
      <c r="L65" s="15">
        <v>4</v>
      </c>
      <c r="M65" s="15">
        <v>8</v>
      </c>
      <c r="N65" s="15">
        <v>7</v>
      </c>
      <c r="O65" s="15">
        <v>7</v>
      </c>
      <c r="P65" s="15">
        <v>7</v>
      </c>
      <c r="Q65" s="15">
        <v>7</v>
      </c>
      <c r="R65" s="15">
        <v>6</v>
      </c>
      <c r="S65" s="15">
        <v>7</v>
      </c>
      <c r="T65" s="15">
        <v>2</v>
      </c>
      <c r="U65" s="15">
        <v>4</v>
      </c>
      <c r="V65" s="15">
        <v>5</v>
      </c>
      <c r="W65" s="15">
        <v>10</v>
      </c>
      <c r="X65" s="15">
        <v>4</v>
      </c>
      <c r="Y65" s="15">
        <v>1</v>
      </c>
      <c r="Z65" s="15">
        <v>3</v>
      </c>
      <c r="AA65" s="15">
        <v>6</v>
      </c>
      <c r="AB65" s="15">
        <v>5</v>
      </c>
      <c r="AC65" s="15">
        <v>10</v>
      </c>
      <c r="AD65" s="15">
        <v>7</v>
      </c>
      <c r="AE65" s="15">
        <v>4</v>
      </c>
      <c r="AF65" s="15">
        <v>1</v>
      </c>
      <c r="AG65" s="13">
        <f t="shared" si="13"/>
        <v>139</v>
      </c>
    </row>
    <row r="66" spans="1:33" ht="12.75" customHeight="1" x14ac:dyDescent="0.3">
      <c r="A66" s="19" t="s">
        <v>39</v>
      </c>
      <c r="B66" s="27"/>
      <c r="C66" s="28" t="s">
        <v>57</v>
      </c>
      <c r="D66" s="29"/>
      <c r="E66" s="15">
        <v>7</v>
      </c>
      <c r="F66" s="15">
        <v>2</v>
      </c>
      <c r="G66" s="15">
        <v>2</v>
      </c>
      <c r="H66" s="15">
        <v>6</v>
      </c>
      <c r="I66" s="15">
        <v>2</v>
      </c>
      <c r="J66" s="15">
        <v>1</v>
      </c>
      <c r="K66" s="15">
        <v>6</v>
      </c>
      <c r="L66" s="15">
        <v>2</v>
      </c>
      <c r="M66" s="15">
        <v>1</v>
      </c>
      <c r="N66" s="15">
        <v>1</v>
      </c>
      <c r="O66" s="15">
        <v>1</v>
      </c>
      <c r="P66" s="15">
        <v>0</v>
      </c>
      <c r="Q66" s="15">
        <v>1</v>
      </c>
      <c r="R66" s="15">
        <v>7</v>
      </c>
      <c r="S66" s="15">
        <v>1</v>
      </c>
      <c r="T66" s="15">
        <v>0</v>
      </c>
      <c r="U66" s="15">
        <v>0</v>
      </c>
      <c r="V66" s="15">
        <v>10</v>
      </c>
      <c r="W66" s="15">
        <v>4</v>
      </c>
      <c r="X66" s="15">
        <v>1</v>
      </c>
      <c r="Y66" s="15">
        <v>0</v>
      </c>
      <c r="Z66" s="15">
        <v>2</v>
      </c>
      <c r="AA66" s="15">
        <v>5</v>
      </c>
      <c r="AB66" s="15">
        <v>3</v>
      </c>
      <c r="AC66" s="15">
        <v>6</v>
      </c>
      <c r="AD66" s="15">
        <v>1</v>
      </c>
      <c r="AE66" s="15">
        <v>1</v>
      </c>
      <c r="AF66" s="15">
        <v>0</v>
      </c>
      <c r="AG66" s="13">
        <f t="shared" si="13"/>
        <v>73</v>
      </c>
    </row>
    <row r="67" spans="1:33" ht="12.75" customHeight="1" x14ac:dyDescent="0.3">
      <c r="A67" s="14"/>
      <c r="B67" s="27"/>
      <c r="C67" s="28" t="s">
        <v>58</v>
      </c>
      <c r="D67" s="29"/>
      <c r="E67" s="15">
        <v>2</v>
      </c>
      <c r="F67" s="15">
        <v>15</v>
      </c>
      <c r="G67" s="15">
        <v>15</v>
      </c>
      <c r="H67" s="15">
        <v>2</v>
      </c>
      <c r="I67" s="15">
        <v>2</v>
      </c>
      <c r="J67" s="15">
        <v>2</v>
      </c>
      <c r="K67" s="15">
        <v>4</v>
      </c>
      <c r="L67" s="15">
        <v>2</v>
      </c>
      <c r="M67" s="15">
        <v>3</v>
      </c>
      <c r="N67" s="15">
        <v>0</v>
      </c>
      <c r="O67" s="15">
        <v>0</v>
      </c>
      <c r="P67" s="15">
        <v>1</v>
      </c>
      <c r="Q67" s="15">
        <v>1</v>
      </c>
      <c r="R67" s="15">
        <v>1</v>
      </c>
      <c r="S67" s="15">
        <v>8</v>
      </c>
      <c r="T67" s="15">
        <v>0</v>
      </c>
      <c r="U67" s="15">
        <v>1</v>
      </c>
      <c r="V67" s="15">
        <v>6</v>
      </c>
      <c r="W67" s="15">
        <v>0</v>
      </c>
      <c r="X67" s="15">
        <v>1</v>
      </c>
      <c r="Y67" s="15">
        <v>0</v>
      </c>
      <c r="Z67" s="15">
        <v>0</v>
      </c>
      <c r="AA67" s="15">
        <v>3</v>
      </c>
      <c r="AB67" s="15">
        <v>1</v>
      </c>
      <c r="AC67" s="15">
        <v>18</v>
      </c>
      <c r="AD67" s="15">
        <v>25</v>
      </c>
      <c r="AE67" s="15">
        <v>7</v>
      </c>
      <c r="AF67" s="15">
        <v>3</v>
      </c>
      <c r="AG67" s="13">
        <f t="shared" si="13"/>
        <v>123</v>
      </c>
    </row>
    <row r="68" spans="1:33" ht="12.75" customHeight="1" x14ac:dyDescent="0.3">
      <c r="A68" s="14"/>
      <c r="B68" s="27"/>
      <c r="C68" s="28" t="s">
        <v>59</v>
      </c>
      <c r="D68" s="29"/>
      <c r="E68" s="15">
        <v>0</v>
      </c>
      <c r="F68" s="15">
        <v>1</v>
      </c>
      <c r="G68" s="15">
        <v>1</v>
      </c>
      <c r="H68" s="15">
        <v>0</v>
      </c>
      <c r="I68" s="15">
        <v>1</v>
      </c>
      <c r="J68" s="15">
        <v>1</v>
      </c>
      <c r="K68" s="15">
        <v>0</v>
      </c>
      <c r="L68" s="15">
        <v>0</v>
      </c>
      <c r="M68" s="15">
        <v>0</v>
      </c>
      <c r="N68" s="15">
        <v>2</v>
      </c>
      <c r="O68" s="15">
        <v>1</v>
      </c>
      <c r="P68" s="15">
        <v>2</v>
      </c>
      <c r="Q68" s="15">
        <v>1</v>
      </c>
      <c r="R68" s="15">
        <v>0</v>
      </c>
      <c r="S68" s="15">
        <v>0</v>
      </c>
      <c r="T68" s="15">
        <v>0</v>
      </c>
      <c r="U68" s="15">
        <v>1</v>
      </c>
      <c r="V68" s="15">
        <v>0</v>
      </c>
      <c r="W68" s="15">
        <v>2</v>
      </c>
      <c r="X68" s="15">
        <v>1</v>
      </c>
      <c r="Y68" s="15">
        <v>0</v>
      </c>
      <c r="Z68" s="15">
        <v>0</v>
      </c>
      <c r="AA68" s="15">
        <v>1</v>
      </c>
      <c r="AB68" s="15">
        <v>1</v>
      </c>
      <c r="AC68" s="15">
        <v>0</v>
      </c>
      <c r="AD68" s="15">
        <v>1</v>
      </c>
      <c r="AE68" s="15">
        <v>0</v>
      </c>
      <c r="AF68" s="15">
        <v>0</v>
      </c>
      <c r="AG68" s="13">
        <f t="shared" si="13"/>
        <v>17</v>
      </c>
    </row>
    <row r="69" spans="1:33" ht="12.75" customHeight="1" x14ac:dyDescent="0.3">
      <c r="A69" s="14"/>
      <c r="B69" s="27"/>
      <c r="C69" s="28" t="s">
        <v>60</v>
      </c>
      <c r="D69" s="29"/>
      <c r="E69" s="15">
        <v>1</v>
      </c>
      <c r="F69" s="15">
        <v>0</v>
      </c>
      <c r="G69" s="15">
        <v>1</v>
      </c>
      <c r="H69" s="15">
        <v>2</v>
      </c>
      <c r="I69" s="15">
        <v>0</v>
      </c>
      <c r="J69" s="15">
        <v>2</v>
      </c>
      <c r="K69" s="15">
        <v>0</v>
      </c>
      <c r="L69" s="15">
        <v>0</v>
      </c>
      <c r="M69" s="15">
        <v>1</v>
      </c>
      <c r="N69" s="15">
        <v>1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4</v>
      </c>
      <c r="W69" s="15">
        <v>1</v>
      </c>
      <c r="X69" s="15">
        <v>0</v>
      </c>
      <c r="Y69" s="15">
        <v>1</v>
      </c>
      <c r="Z69" s="15">
        <v>2</v>
      </c>
      <c r="AA69" s="15">
        <v>0</v>
      </c>
      <c r="AB69" s="15">
        <v>0</v>
      </c>
      <c r="AC69" s="15">
        <v>1</v>
      </c>
      <c r="AD69" s="15">
        <v>0</v>
      </c>
      <c r="AE69" s="15">
        <v>1</v>
      </c>
      <c r="AF69" s="15">
        <v>0</v>
      </c>
      <c r="AG69" s="13">
        <f t="shared" si="13"/>
        <v>18</v>
      </c>
    </row>
    <row r="70" spans="1:33" ht="12.75" customHeight="1" x14ac:dyDescent="0.3">
      <c r="A70" s="14"/>
      <c r="B70" s="27"/>
      <c r="C70" s="28" t="s">
        <v>61</v>
      </c>
      <c r="D70" s="29"/>
      <c r="E70" s="15">
        <v>45</v>
      </c>
      <c r="F70" s="15">
        <v>14</v>
      </c>
      <c r="G70" s="15">
        <v>15</v>
      </c>
      <c r="H70" s="15">
        <v>13</v>
      </c>
      <c r="I70" s="15">
        <v>24</v>
      </c>
      <c r="J70" s="15">
        <v>5</v>
      </c>
      <c r="K70" s="15">
        <v>7</v>
      </c>
      <c r="L70" s="15">
        <v>23</v>
      </c>
      <c r="M70" s="15">
        <v>25</v>
      </c>
      <c r="N70" s="15">
        <v>26</v>
      </c>
      <c r="O70" s="15">
        <v>52</v>
      </c>
      <c r="P70" s="15">
        <v>30</v>
      </c>
      <c r="Q70" s="15">
        <v>80</v>
      </c>
      <c r="R70" s="15">
        <v>61</v>
      </c>
      <c r="S70" s="15">
        <v>9</v>
      </c>
      <c r="T70" s="15">
        <v>1</v>
      </c>
      <c r="U70" s="15">
        <v>2</v>
      </c>
      <c r="V70" s="15">
        <v>9</v>
      </c>
      <c r="W70" s="15">
        <v>40</v>
      </c>
      <c r="X70" s="15">
        <v>3</v>
      </c>
      <c r="Y70" s="15">
        <v>3</v>
      </c>
      <c r="Z70" s="15">
        <v>0</v>
      </c>
      <c r="AA70" s="15">
        <v>0</v>
      </c>
      <c r="AB70" s="15">
        <v>0</v>
      </c>
      <c r="AC70" s="15">
        <v>4</v>
      </c>
      <c r="AD70" s="15">
        <v>1</v>
      </c>
      <c r="AE70" s="15">
        <v>2</v>
      </c>
      <c r="AF70" s="15">
        <v>1</v>
      </c>
      <c r="AG70" s="13">
        <f t="shared" si="13"/>
        <v>495</v>
      </c>
    </row>
    <row r="71" spans="1:33" ht="12.75" customHeight="1" x14ac:dyDescent="0.3">
      <c r="A71" s="14"/>
      <c r="B71" s="27"/>
      <c r="C71" s="28" t="s">
        <v>62</v>
      </c>
      <c r="D71" s="29"/>
      <c r="E71" s="15">
        <v>0</v>
      </c>
      <c r="F71" s="15">
        <v>0</v>
      </c>
      <c r="G71" s="15">
        <v>1</v>
      </c>
      <c r="H71" s="15">
        <v>0</v>
      </c>
      <c r="I71" s="15">
        <v>3</v>
      </c>
      <c r="J71" s="15">
        <v>0</v>
      </c>
      <c r="K71" s="15">
        <v>0</v>
      </c>
      <c r="L71" s="15">
        <v>0</v>
      </c>
      <c r="M71" s="15">
        <v>1</v>
      </c>
      <c r="N71" s="15">
        <v>1</v>
      </c>
      <c r="O71" s="15">
        <v>0</v>
      </c>
      <c r="P71" s="15">
        <v>0</v>
      </c>
      <c r="Q71" s="15">
        <v>0</v>
      </c>
      <c r="R71" s="15">
        <v>0</v>
      </c>
      <c r="S71" s="15">
        <v>1</v>
      </c>
      <c r="T71" s="15">
        <v>0</v>
      </c>
      <c r="U71" s="15">
        <v>1</v>
      </c>
      <c r="V71" s="15">
        <v>0</v>
      </c>
      <c r="W71" s="15">
        <v>0</v>
      </c>
      <c r="X71" s="15">
        <v>0</v>
      </c>
      <c r="Y71" s="15">
        <v>0</v>
      </c>
      <c r="Z71" s="15">
        <v>1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3">
        <f t="shared" si="13"/>
        <v>9</v>
      </c>
    </row>
    <row r="72" spans="1:33" ht="12.75" customHeight="1" x14ac:dyDescent="0.3">
      <c r="A72" s="14"/>
      <c r="B72" s="27"/>
      <c r="C72" s="28" t="s">
        <v>63</v>
      </c>
      <c r="D72" s="29"/>
      <c r="E72" s="15">
        <v>0</v>
      </c>
      <c r="F72" s="15">
        <v>0</v>
      </c>
      <c r="G72" s="15">
        <v>0</v>
      </c>
      <c r="H72" s="15">
        <v>11</v>
      </c>
      <c r="I72" s="15">
        <v>74</v>
      </c>
      <c r="J72" s="15">
        <v>35</v>
      </c>
      <c r="K72" s="15">
        <v>1</v>
      </c>
      <c r="L72" s="15">
        <v>4</v>
      </c>
      <c r="M72" s="15">
        <v>14</v>
      </c>
      <c r="N72" s="15">
        <v>3</v>
      </c>
      <c r="O72" s="15">
        <v>10</v>
      </c>
      <c r="P72" s="15">
        <v>2</v>
      </c>
      <c r="Q72" s="15">
        <v>0</v>
      </c>
      <c r="R72" s="15">
        <v>0</v>
      </c>
      <c r="S72" s="15">
        <v>31</v>
      </c>
      <c r="T72" s="15">
        <v>8</v>
      </c>
      <c r="U72" s="15">
        <v>57</v>
      </c>
      <c r="V72" s="15">
        <v>26</v>
      </c>
      <c r="W72" s="15">
        <v>24</v>
      </c>
      <c r="X72" s="15">
        <v>1</v>
      </c>
      <c r="Y72" s="15">
        <v>0</v>
      </c>
      <c r="Z72" s="15">
        <v>6</v>
      </c>
      <c r="AA72" s="15">
        <v>34</v>
      </c>
      <c r="AB72" s="15">
        <v>40</v>
      </c>
      <c r="AC72" s="15">
        <v>13</v>
      </c>
      <c r="AD72" s="15">
        <v>8</v>
      </c>
      <c r="AE72" s="15">
        <v>0</v>
      </c>
      <c r="AF72" s="15">
        <v>0</v>
      </c>
      <c r="AG72" s="13">
        <f t="shared" si="13"/>
        <v>402</v>
      </c>
    </row>
    <row r="73" spans="1:33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AF73" si="16">SUM(E65:E72)</f>
        <v>61</v>
      </c>
      <c r="F73" s="34">
        <f t="shared" si="16"/>
        <v>37</v>
      </c>
      <c r="G73" s="34">
        <f t="shared" si="16"/>
        <v>37</v>
      </c>
      <c r="H73" s="34">
        <f t="shared" si="16"/>
        <v>37</v>
      </c>
      <c r="I73" s="34">
        <f t="shared" si="16"/>
        <v>109</v>
      </c>
      <c r="J73" s="34">
        <f t="shared" si="16"/>
        <v>48</v>
      </c>
      <c r="K73" s="34">
        <f t="shared" si="16"/>
        <v>21</v>
      </c>
      <c r="L73" s="34">
        <f t="shared" si="16"/>
        <v>35</v>
      </c>
      <c r="M73" s="34">
        <f t="shared" si="16"/>
        <v>53</v>
      </c>
      <c r="N73" s="34">
        <f t="shared" si="16"/>
        <v>41</v>
      </c>
      <c r="O73" s="34">
        <f t="shared" si="16"/>
        <v>71</v>
      </c>
      <c r="P73" s="34">
        <f t="shared" si="16"/>
        <v>42</v>
      </c>
      <c r="Q73" s="34">
        <f t="shared" si="16"/>
        <v>90</v>
      </c>
      <c r="R73" s="34">
        <f t="shared" si="16"/>
        <v>75</v>
      </c>
      <c r="S73" s="34">
        <f t="shared" si="16"/>
        <v>57</v>
      </c>
      <c r="T73" s="34">
        <f t="shared" si="16"/>
        <v>11</v>
      </c>
      <c r="U73" s="34">
        <f t="shared" si="16"/>
        <v>66</v>
      </c>
      <c r="V73" s="34">
        <f t="shared" si="16"/>
        <v>60</v>
      </c>
      <c r="W73" s="34">
        <f t="shared" si="16"/>
        <v>81</v>
      </c>
      <c r="X73" s="34">
        <f t="shared" si="16"/>
        <v>11</v>
      </c>
      <c r="Y73" s="34">
        <f t="shared" si="16"/>
        <v>5</v>
      </c>
      <c r="Z73" s="34">
        <f t="shared" si="16"/>
        <v>14</v>
      </c>
      <c r="AA73" s="34">
        <f t="shared" si="16"/>
        <v>49</v>
      </c>
      <c r="AB73" s="34">
        <f t="shared" si="16"/>
        <v>50</v>
      </c>
      <c r="AC73" s="34">
        <f t="shared" si="16"/>
        <v>52</v>
      </c>
      <c r="AD73" s="34">
        <f t="shared" si="16"/>
        <v>43</v>
      </c>
      <c r="AE73" s="34">
        <f t="shared" si="16"/>
        <v>15</v>
      </c>
      <c r="AF73" s="34">
        <f t="shared" si="16"/>
        <v>5</v>
      </c>
      <c r="AG73" s="13">
        <f t="shared" si="13"/>
        <v>1276</v>
      </c>
    </row>
    <row r="74" spans="1:33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13">
        <f t="shared" si="13"/>
        <v>0</v>
      </c>
    </row>
    <row r="75" spans="1:33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0</v>
      </c>
      <c r="F75" s="15">
        <v>1</v>
      </c>
      <c r="G75" s="15">
        <v>3</v>
      </c>
      <c r="H75" s="15">
        <v>2</v>
      </c>
      <c r="I75" s="15">
        <v>1</v>
      </c>
      <c r="J75" s="15">
        <v>1</v>
      </c>
      <c r="K75" s="15">
        <v>1</v>
      </c>
      <c r="L75" s="15">
        <v>4</v>
      </c>
      <c r="M75" s="15">
        <v>2</v>
      </c>
      <c r="N75" s="15">
        <v>5</v>
      </c>
      <c r="O75" s="15">
        <v>1</v>
      </c>
      <c r="P75" s="15">
        <v>2</v>
      </c>
      <c r="Q75" s="15">
        <v>8</v>
      </c>
      <c r="R75" s="15">
        <v>7</v>
      </c>
      <c r="S75" s="15">
        <v>5</v>
      </c>
      <c r="T75" s="15">
        <v>3</v>
      </c>
      <c r="U75" s="15">
        <v>4</v>
      </c>
      <c r="V75" s="15">
        <v>3</v>
      </c>
      <c r="W75" s="15">
        <v>4</v>
      </c>
      <c r="X75" s="15">
        <v>2</v>
      </c>
      <c r="Y75" s="15">
        <v>0</v>
      </c>
      <c r="Z75" s="15">
        <v>4</v>
      </c>
      <c r="AA75" s="15">
        <v>6</v>
      </c>
      <c r="AB75" s="15">
        <v>7</v>
      </c>
      <c r="AC75" s="15">
        <v>10</v>
      </c>
      <c r="AD75" s="15">
        <v>4</v>
      </c>
      <c r="AE75" s="15">
        <v>3</v>
      </c>
      <c r="AF75" s="15">
        <v>3</v>
      </c>
      <c r="AG75" s="13">
        <f t="shared" si="13"/>
        <v>96</v>
      </c>
    </row>
    <row r="76" spans="1:33" ht="12.75" customHeight="1" x14ac:dyDescent="0.3">
      <c r="A76" s="19" t="s">
        <v>39</v>
      </c>
      <c r="B76" s="27"/>
      <c r="C76" s="28" t="s">
        <v>65</v>
      </c>
      <c r="D76" s="29"/>
      <c r="E76" s="15">
        <v>1</v>
      </c>
      <c r="F76" s="15">
        <v>1</v>
      </c>
      <c r="G76" s="15">
        <v>3</v>
      </c>
      <c r="H76" s="15">
        <v>2</v>
      </c>
      <c r="I76" s="15">
        <v>4</v>
      </c>
      <c r="J76" s="15">
        <v>1</v>
      </c>
      <c r="K76" s="15">
        <v>8</v>
      </c>
      <c r="L76" s="15">
        <v>11</v>
      </c>
      <c r="M76" s="15">
        <v>4</v>
      </c>
      <c r="N76" s="15">
        <v>16</v>
      </c>
      <c r="O76" s="15">
        <v>13</v>
      </c>
      <c r="P76" s="15">
        <v>19</v>
      </c>
      <c r="Q76" s="15">
        <v>54</v>
      </c>
      <c r="R76" s="15">
        <v>48</v>
      </c>
      <c r="S76" s="15">
        <v>34</v>
      </c>
      <c r="T76" s="15">
        <v>15</v>
      </c>
      <c r="U76" s="15">
        <v>21</v>
      </c>
      <c r="V76" s="15">
        <v>45</v>
      </c>
      <c r="W76" s="15">
        <v>11</v>
      </c>
      <c r="X76" s="15">
        <v>14</v>
      </c>
      <c r="Y76" s="15">
        <v>0</v>
      </c>
      <c r="Z76" s="15">
        <v>6</v>
      </c>
      <c r="AA76" s="15">
        <v>41</v>
      </c>
      <c r="AB76" s="15">
        <v>48</v>
      </c>
      <c r="AC76" s="15">
        <v>52</v>
      </c>
      <c r="AD76" s="15">
        <v>13</v>
      </c>
      <c r="AE76" s="15">
        <v>2</v>
      </c>
      <c r="AF76" s="15">
        <v>2</v>
      </c>
      <c r="AG76" s="13">
        <f t="shared" si="13"/>
        <v>489</v>
      </c>
    </row>
    <row r="77" spans="1:33" ht="12.75" customHeight="1" x14ac:dyDescent="0.3">
      <c r="A77" s="14"/>
      <c r="B77" s="27"/>
      <c r="C77" s="28" t="s">
        <v>66</v>
      </c>
      <c r="D77" s="29"/>
      <c r="E77" s="15">
        <v>0</v>
      </c>
      <c r="F77" s="15">
        <v>0</v>
      </c>
      <c r="G77" s="15">
        <v>0</v>
      </c>
      <c r="H77" s="15">
        <v>1</v>
      </c>
      <c r="I77" s="15">
        <v>0</v>
      </c>
      <c r="J77" s="15">
        <v>0</v>
      </c>
      <c r="K77" s="15">
        <v>0</v>
      </c>
      <c r="L77" s="15">
        <v>2</v>
      </c>
      <c r="M77" s="15">
        <v>0</v>
      </c>
      <c r="N77" s="15">
        <v>1</v>
      </c>
      <c r="O77" s="15">
        <v>0</v>
      </c>
      <c r="P77" s="15">
        <v>0</v>
      </c>
      <c r="Q77" s="15">
        <v>1</v>
      </c>
      <c r="R77" s="15">
        <v>0</v>
      </c>
      <c r="S77" s="15">
        <v>0</v>
      </c>
      <c r="T77" s="15">
        <v>0</v>
      </c>
      <c r="U77" s="15">
        <v>2</v>
      </c>
      <c r="V77" s="15">
        <v>0</v>
      </c>
      <c r="W77" s="15">
        <v>1</v>
      </c>
      <c r="X77" s="15">
        <v>0</v>
      </c>
      <c r="Y77" s="15">
        <v>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2</v>
      </c>
      <c r="AG77" s="13">
        <f t="shared" si="13"/>
        <v>11</v>
      </c>
    </row>
    <row r="78" spans="1:33" ht="12.75" customHeight="1" x14ac:dyDescent="0.3">
      <c r="A78" s="14"/>
      <c r="B78" s="27"/>
      <c r="C78" s="28" t="s">
        <v>67</v>
      </c>
      <c r="D78" s="29"/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  <c r="M78" s="15">
        <v>1</v>
      </c>
      <c r="N78" s="15">
        <v>0</v>
      </c>
      <c r="O78" s="15">
        <v>0</v>
      </c>
      <c r="P78" s="15">
        <v>0</v>
      </c>
      <c r="Q78" s="15">
        <v>0</v>
      </c>
      <c r="R78" s="15">
        <v>1</v>
      </c>
      <c r="S78" s="15">
        <v>1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1</v>
      </c>
      <c r="AA78" s="15">
        <v>1</v>
      </c>
      <c r="AB78" s="15">
        <v>0</v>
      </c>
      <c r="AC78" s="15">
        <v>0</v>
      </c>
      <c r="AD78" s="15">
        <v>1</v>
      </c>
      <c r="AE78" s="15">
        <v>0</v>
      </c>
      <c r="AF78" s="15">
        <v>0</v>
      </c>
      <c r="AG78" s="13">
        <f t="shared" si="13"/>
        <v>6</v>
      </c>
    </row>
    <row r="79" spans="1:33" ht="12.75" customHeight="1" x14ac:dyDescent="0.3">
      <c r="A79" s="14"/>
      <c r="B79" s="27"/>
      <c r="C79" s="28" t="s">
        <v>68</v>
      </c>
      <c r="D79" s="29"/>
      <c r="E79" s="15">
        <v>1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  <c r="M79" s="15">
        <v>1</v>
      </c>
      <c r="N79" s="15">
        <v>1</v>
      </c>
      <c r="O79" s="15">
        <v>0</v>
      </c>
      <c r="P79" s="15">
        <v>0</v>
      </c>
      <c r="Q79" s="15">
        <v>0</v>
      </c>
      <c r="R79" s="15">
        <v>0</v>
      </c>
      <c r="S79" s="15">
        <v>3</v>
      </c>
      <c r="T79" s="15">
        <v>0</v>
      </c>
      <c r="U79" s="15">
        <v>1</v>
      </c>
      <c r="V79" s="15">
        <v>0</v>
      </c>
      <c r="W79" s="15">
        <v>1</v>
      </c>
      <c r="X79" s="15">
        <v>0</v>
      </c>
      <c r="Y79" s="15">
        <v>0</v>
      </c>
      <c r="Z79" s="15">
        <v>0</v>
      </c>
      <c r="AA79" s="15">
        <v>1</v>
      </c>
      <c r="AB79" s="15">
        <v>0</v>
      </c>
      <c r="AC79" s="15">
        <v>1</v>
      </c>
      <c r="AD79" s="15">
        <v>0</v>
      </c>
      <c r="AE79" s="15">
        <v>0</v>
      </c>
      <c r="AF79" s="15">
        <v>1</v>
      </c>
      <c r="AG79" s="13">
        <f t="shared" si="13"/>
        <v>11</v>
      </c>
    </row>
    <row r="80" spans="1:33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1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1</v>
      </c>
      <c r="T80" s="15">
        <v>0</v>
      </c>
      <c r="U80" s="15">
        <v>1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3">
        <f t="shared" si="13"/>
        <v>3</v>
      </c>
    </row>
    <row r="81" spans="1:33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1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3">
        <f t="shared" si="13"/>
        <v>1</v>
      </c>
    </row>
    <row r="82" spans="1:33" ht="12.75" customHeight="1" x14ac:dyDescent="0.3">
      <c r="A82" s="14"/>
      <c r="B82" s="27"/>
      <c r="C82" s="28" t="s">
        <v>71</v>
      </c>
      <c r="D82" s="29"/>
      <c r="E82" s="15">
        <v>0</v>
      </c>
      <c r="F82" s="15">
        <v>1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1</v>
      </c>
      <c r="N82" s="15">
        <v>0</v>
      </c>
      <c r="O82" s="15">
        <v>0</v>
      </c>
      <c r="P82" s="15">
        <v>1</v>
      </c>
      <c r="Q82" s="15">
        <v>0</v>
      </c>
      <c r="R82" s="15">
        <v>0</v>
      </c>
      <c r="S82" s="15">
        <v>0</v>
      </c>
      <c r="T82" s="15">
        <v>0</v>
      </c>
      <c r="U82" s="15">
        <v>1</v>
      </c>
      <c r="V82" s="15">
        <v>0</v>
      </c>
      <c r="W82" s="15">
        <v>0</v>
      </c>
      <c r="X82" s="15">
        <v>1</v>
      </c>
      <c r="Y82" s="15">
        <v>0</v>
      </c>
      <c r="Z82" s="15">
        <v>0</v>
      </c>
      <c r="AA82" s="15">
        <v>1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3">
        <f t="shared" si="13"/>
        <v>6</v>
      </c>
    </row>
    <row r="83" spans="1:33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F83" si="17">SUM(E75:E82)</f>
        <v>2</v>
      </c>
      <c r="F83" s="34">
        <f t="shared" si="17"/>
        <v>3</v>
      </c>
      <c r="G83" s="34">
        <f t="shared" si="17"/>
        <v>6</v>
      </c>
      <c r="H83" s="34">
        <f t="shared" si="17"/>
        <v>5</v>
      </c>
      <c r="I83" s="34">
        <f t="shared" si="17"/>
        <v>5</v>
      </c>
      <c r="J83" s="34">
        <f t="shared" si="17"/>
        <v>3</v>
      </c>
      <c r="K83" s="34">
        <f t="shared" si="17"/>
        <v>9</v>
      </c>
      <c r="L83" s="34">
        <f t="shared" si="17"/>
        <v>17</v>
      </c>
      <c r="M83" s="34">
        <f t="shared" si="17"/>
        <v>10</v>
      </c>
      <c r="N83" s="34">
        <f t="shared" si="17"/>
        <v>23</v>
      </c>
      <c r="O83" s="34">
        <f t="shared" si="17"/>
        <v>14</v>
      </c>
      <c r="P83" s="34">
        <f t="shared" si="17"/>
        <v>22</v>
      </c>
      <c r="Q83" s="34">
        <f t="shared" si="17"/>
        <v>63</v>
      </c>
      <c r="R83" s="34">
        <f t="shared" si="17"/>
        <v>56</v>
      </c>
      <c r="S83" s="34">
        <f t="shared" si="17"/>
        <v>44</v>
      </c>
      <c r="T83" s="34">
        <f t="shared" si="17"/>
        <v>18</v>
      </c>
      <c r="U83" s="34">
        <f t="shared" si="17"/>
        <v>30</v>
      </c>
      <c r="V83" s="34">
        <f t="shared" si="17"/>
        <v>48</v>
      </c>
      <c r="W83" s="34">
        <f t="shared" si="17"/>
        <v>17</v>
      </c>
      <c r="X83" s="34">
        <f t="shared" si="17"/>
        <v>17</v>
      </c>
      <c r="Y83" s="34">
        <f t="shared" si="17"/>
        <v>1</v>
      </c>
      <c r="Z83" s="34">
        <f t="shared" si="17"/>
        <v>11</v>
      </c>
      <c r="AA83" s="34">
        <f t="shared" si="17"/>
        <v>50</v>
      </c>
      <c r="AB83" s="34">
        <f t="shared" si="17"/>
        <v>55</v>
      </c>
      <c r="AC83" s="34">
        <f t="shared" si="17"/>
        <v>63</v>
      </c>
      <c r="AD83" s="34">
        <f t="shared" si="17"/>
        <v>18</v>
      </c>
      <c r="AE83" s="34">
        <f t="shared" si="17"/>
        <v>5</v>
      </c>
      <c r="AF83" s="34">
        <f t="shared" si="17"/>
        <v>8</v>
      </c>
      <c r="AG83" s="13">
        <f t="shared" si="13"/>
        <v>623</v>
      </c>
    </row>
    <row r="84" spans="1:33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13">
        <f t="shared" si="13"/>
        <v>0</v>
      </c>
    </row>
    <row r="85" spans="1:33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1</v>
      </c>
      <c r="F85" s="15">
        <v>1</v>
      </c>
      <c r="G85" s="15">
        <v>0</v>
      </c>
      <c r="H85" s="15">
        <v>1</v>
      </c>
      <c r="I85" s="15">
        <v>4</v>
      </c>
      <c r="J85" s="15">
        <v>4</v>
      </c>
      <c r="K85" s="15">
        <v>2</v>
      </c>
      <c r="L85" s="15">
        <v>5</v>
      </c>
      <c r="M85" s="15">
        <v>3</v>
      </c>
      <c r="N85" s="15">
        <v>12</v>
      </c>
      <c r="O85" s="15">
        <v>11</v>
      </c>
      <c r="P85" s="15">
        <v>1</v>
      </c>
      <c r="Q85" s="15">
        <v>2</v>
      </c>
      <c r="R85" s="15">
        <v>4</v>
      </c>
      <c r="S85" s="15">
        <v>2</v>
      </c>
      <c r="T85" s="15">
        <v>5</v>
      </c>
      <c r="U85" s="15">
        <v>0</v>
      </c>
      <c r="V85" s="15">
        <v>0</v>
      </c>
      <c r="W85" s="15">
        <v>4</v>
      </c>
      <c r="X85" s="15">
        <v>8</v>
      </c>
      <c r="Y85" s="15">
        <v>7</v>
      </c>
      <c r="Z85" s="15">
        <v>1</v>
      </c>
      <c r="AA85" s="15">
        <v>2</v>
      </c>
      <c r="AB85" s="15">
        <v>0</v>
      </c>
      <c r="AC85" s="15">
        <v>0</v>
      </c>
      <c r="AD85" s="15">
        <v>0</v>
      </c>
      <c r="AE85" s="15">
        <v>1</v>
      </c>
      <c r="AF85" s="15">
        <v>1</v>
      </c>
      <c r="AG85" s="13">
        <f t="shared" si="13"/>
        <v>82</v>
      </c>
    </row>
    <row r="86" spans="1:33" ht="12.75" customHeight="1" x14ac:dyDescent="0.3">
      <c r="A86" s="19" t="s">
        <v>39</v>
      </c>
      <c r="B86" s="27"/>
      <c r="C86" s="28" t="s">
        <v>74</v>
      </c>
      <c r="D86" s="29"/>
      <c r="E86" s="15">
        <v>0</v>
      </c>
      <c r="F86" s="15">
        <v>1</v>
      </c>
      <c r="G86" s="15">
        <v>3</v>
      </c>
      <c r="H86" s="15">
        <v>1</v>
      </c>
      <c r="I86" s="15">
        <v>1</v>
      </c>
      <c r="J86" s="15">
        <v>1</v>
      </c>
      <c r="K86" s="15">
        <v>0</v>
      </c>
      <c r="L86" s="15">
        <v>0</v>
      </c>
      <c r="M86" s="15">
        <v>1</v>
      </c>
      <c r="N86" s="15">
        <v>0</v>
      </c>
      <c r="O86" s="15">
        <v>1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1</v>
      </c>
      <c r="V86" s="15">
        <v>0</v>
      </c>
      <c r="W86" s="15">
        <v>0</v>
      </c>
      <c r="X86" s="15">
        <v>3</v>
      </c>
      <c r="Y86" s="15">
        <v>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1</v>
      </c>
      <c r="AF86" s="15">
        <v>0</v>
      </c>
      <c r="AG86" s="13">
        <f t="shared" si="13"/>
        <v>14</v>
      </c>
    </row>
    <row r="87" spans="1:33" ht="12.75" customHeight="1" x14ac:dyDescent="0.3">
      <c r="A87" s="14"/>
      <c r="B87" s="27"/>
      <c r="C87" s="28" t="s">
        <v>75</v>
      </c>
      <c r="D87" s="29"/>
      <c r="E87" s="15">
        <v>0</v>
      </c>
      <c r="F87" s="15">
        <v>4</v>
      </c>
      <c r="G87" s="15">
        <v>11</v>
      </c>
      <c r="H87" s="15">
        <v>27</v>
      </c>
      <c r="I87" s="15">
        <v>3</v>
      </c>
      <c r="J87" s="15">
        <v>0</v>
      </c>
      <c r="K87" s="15">
        <v>5</v>
      </c>
      <c r="L87" s="15">
        <v>3</v>
      </c>
      <c r="M87" s="15">
        <v>2</v>
      </c>
      <c r="N87" s="15">
        <v>0</v>
      </c>
      <c r="O87" s="15">
        <v>1</v>
      </c>
      <c r="P87" s="15">
        <v>0</v>
      </c>
      <c r="Q87" s="15">
        <v>0</v>
      </c>
      <c r="R87" s="15">
        <v>0</v>
      </c>
      <c r="S87" s="15">
        <v>0</v>
      </c>
      <c r="T87" s="15">
        <v>1</v>
      </c>
      <c r="U87" s="15">
        <v>1</v>
      </c>
      <c r="V87" s="15">
        <v>0</v>
      </c>
      <c r="W87" s="15">
        <v>3</v>
      </c>
      <c r="X87" s="15">
        <v>0</v>
      </c>
      <c r="Y87" s="15">
        <v>0</v>
      </c>
      <c r="Z87" s="15">
        <v>2</v>
      </c>
      <c r="AA87" s="15">
        <v>0</v>
      </c>
      <c r="AB87" s="15">
        <v>3</v>
      </c>
      <c r="AC87" s="15">
        <v>1</v>
      </c>
      <c r="AD87" s="15">
        <v>0</v>
      </c>
      <c r="AE87" s="15">
        <v>0</v>
      </c>
      <c r="AF87" s="15">
        <v>0</v>
      </c>
      <c r="AG87" s="13">
        <f t="shared" si="13"/>
        <v>67</v>
      </c>
    </row>
    <row r="88" spans="1:33" ht="12.75" customHeight="1" x14ac:dyDescent="0.3">
      <c r="A88" s="14"/>
      <c r="B88" s="27"/>
      <c r="C88" s="28" t="s">
        <v>76</v>
      </c>
      <c r="D88" s="29"/>
      <c r="E88" s="15">
        <v>0</v>
      </c>
      <c r="F88" s="15">
        <v>0</v>
      </c>
      <c r="G88" s="15">
        <v>1</v>
      </c>
      <c r="H88" s="15">
        <v>3</v>
      </c>
      <c r="I88" s="15">
        <v>1</v>
      </c>
      <c r="J88" s="15">
        <v>0</v>
      </c>
      <c r="K88" s="15">
        <v>0</v>
      </c>
      <c r="L88" s="15">
        <v>1</v>
      </c>
      <c r="M88" s="15">
        <v>0</v>
      </c>
      <c r="N88" s="15">
        <v>0</v>
      </c>
      <c r="O88" s="15">
        <v>1</v>
      </c>
      <c r="P88" s="15">
        <v>2</v>
      </c>
      <c r="Q88" s="15">
        <v>1</v>
      </c>
      <c r="R88" s="15">
        <v>0</v>
      </c>
      <c r="S88" s="15">
        <v>0</v>
      </c>
      <c r="T88" s="15">
        <v>0</v>
      </c>
      <c r="U88" s="15">
        <v>0</v>
      </c>
      <c r="V88" s="15">
        <v>2</v>
      </c>
      <c r="W88" s="15">
        <v>1</v>
      </c>
      <c r="X88" s="15">
        <v>2</v>
      </c>
      <c r="Y88" s="15">
        <v>1</v>
      </c>
      <c r="Z88" s="15">
        <v>0</v>
      </c>
      <c r="AA88" s="15">
        <v>3</v>
      </c>
      <c r="AB88" s="15">
        <v>0</v>
      </c>
      <c r="AC88" s="15">
        <v>2</v>
      </c>
      <c r="AD88" s="15">
        <v>2</v>
      </c>
      <c r="AE88" s="15">
        <v>2</v>
      </c>
      <c r="AF88" s="15">
        <v>0</v>
      </c>
      <c r="AG88" s="13">
        <f t="shared" si="13"/>
        <v>25</v>
      </c>
    </row>
    <row r="89" spans="1:33" ht="12.75" customHeight="1" x14ac:dyDescent="0.3">
      <c r="A89" s="14"/>
      <c r="B89" s="27"/>
      <c r="C89" s="28" t="s">
        <v>77</v>
      </c>
      <c r="D89" s="29"/>
      <c r="E89" s="15">
        <v>0</v>
      </c>
      <c r="F89" s="15">
        <v>0</v>
      </c>
      <c r="G89" s="15">
        <v>0</v>
      </c>
      <c r="H89" s="15">
        <v>0</v>
      </c>
      <c r="I89" s="15">
        <v>2</v>
      </c>
      <c r="J89" s="15">
        <v>1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2</v>
      </c>
      <c r="S89" s="15">
        <v>0</v>
      </c>
      <c r="T89" s="15">
        <v>0</v>
      </c>
      <c r="U89" s="15">
        <v>0</v>
      </c>
      <c r="V89" s="15">
        <v>0</v>
      </c>
      <c r="W89" s="15">
        <v>1</v>
      </c>
      <c r="X89" s="15">
        <v>1</v>
      </c>
      <c r="Y89" s="15">
        <v>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3">
        <f t="shared" si="13"/>
        <v>8</v>
      </c>
    </row>
    <row r="90" spans="1:33" ht="12.75" customHeight="1" x14ac:dyDescent="0.3">
      <c r="A90" s="14"/>
      <c r="B90" s="27"/>
      <c r="C90" s="28" t="s">
        <v>78</v>
      </c>
      <c r="D90" s="29"/>
      <c r="E90" s="15">
        <v>10</v>
      </c>
      <c r="F90" s="15">
        <v>9</v>
      </c>
      <c r="G90" s="15">
        <v>7</v>
      </c>
      <c r="H90" s="15">
        <v>9</v>
      </c>
      <c r="I90" s="15">
        <v>36</v>
      </c>
      <c r="J90" s="15">
        <v>15</v>
      </c>
      <c r="K90" s="15">
        <v>0</v>
      </c>
      <c r="L90" s="15">
        <v>51</v>
      </c>
      <c r="M90" s="15">
        <v>2</v>
      </c>
      <c r="N90" s="15">
        <v>36</v>
      </c>
      <c r="O90" s="15">
        <v>41</v>
      </c>
      <c r="P90" s="15">
        <v>53</v>
      </c>
      <c r="Q90" s="15">
        <v>24</v>
      </c>
      <c r="R90" s="15">
        <v>16</v>
      </c>
      <c r="S90" s="15">
        <v>1</v>
      </c>
      <c r="T90" s="15">
        <v>109</v>
      </c>
      <c r="U90" s="15">
        <v>2</v>
      </c>
      <c r="V90" s="15">
        <v>7</v>
      </c>
      <c r="W90" s="15">
        <v>12</v>
      </c>
      <c r="X90" s="15">
        <v>97</v>
      </c>
      <c r="Y90" s="15">
        <v>80</v>
      </c>
      <c r="Z90" s="15">
        <v>1</v>
      </c>
      <c r="AA90" s="15">
        <v>0</v>
      </c>
      <c r="AB90" s="15">
        <v>1</v>
      </c>
      <c r="AC90" s="15">
        <v>0</v>
      </c>
      <c r="AD90" s="15">
        <v>2</v>
      </c>
      <c r="AE90" s="15">
        <v>2</v>
      </c>
      <c r="AF90" s="15">
        <v>4</v>
      </c>
      <c r="AG90" s="13">
        <f t="shared" si="13"/>
        <v>627</v>
      </c>
    </row>
    <row r="91" spans="1:33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2</v>
      </c>
      <c r="K91" s="15">
        <v>0</v>
      </c>
      <c r="L91" s="15">
        <v>0</v>
      </c>
      <c r="M91" s="15">
        <v>0</v>
      </c>
      <c r="N91" s="15">
        <v>2</v>
      </c>
      <c r="O91" s="15">
        <v>1</v>
      </c>
      <c r="P91" s="15">
        <v>0</v>
      </c>
      <c r="Q91" s="15">
        <v>0</v>
      </c>
      <c r="R91" s="15">
        <v>0</v>
      </c>
      <c r="S91" s="15">
        <v>0</v>
      </c>
      <c r="T91" s="15">
        <v>3</v>
      </c>
      <c r="U91" s="15">
        <v>0</v>
      </c>
      <c r="V91" s="15">
        <v>0</v>
      </c>
      <c r="W91" s="15">
        <v>0</v>
      </c>
      <c r="X91" s="15">
        <v>2</v>
      </c>
      <c r="Y91" s="15">
        <v>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3">
        <f t="shared" si="13"/>
        <v>11</v>
      </c>
    </row>
    <row r="92" spans="1:33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1</v>
      </c>
      <c r="P92" s="15">
        <v>0</v>
      </c>
      <c r="Q92" s="15">
        <v>1</v>
      </c>
      <c r="R92" s="15">
        <v>0</v>
      </c>
      <c r="S92" s="15">
        <v>0</v>
      </c>
      <c r="T92" s="15">
        <v>1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2</v>
      </c>
      <c r="AB92" s="15">
        <v>0</v>
      </c>
      <c r="AC92" s="15">
        <v>0</v>
      </c>
      <c r="AD92" s="15">
        <v>0</v>
      </c>
      <c r="AE92" s="15">
        <v>1</v>
      </c>
      <c r="AF92" s="15">
        <v>0</v>
      </c>
      <c r="AG92" s="13">
        <f t="shared" si="13"/>
        <v>6</v>
      </c>
    </row>
    <row r="93" spans="1:33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AF93" si="18">SUM(E85:E92)</f>
        <v>11</v>
      </c>
      <c r="F93" s="34">
        <f t="shared" si="18"/>
        <v>15</v>
      </c>
      <c r="G93" s="34">
        <f t="shared" si="18"/>
        <v>22</v>
      </c>
      <c r="H93" s="34">
        <f t="shared" si="18"/>
        <v>41</v>
      </c>
      <c r="I93" s="34">
        <f t="shared" si="18"/>
        <v>47</v>
      </c>
      <c r="J93" s="34">
        <f t="shared" si="18"/>
        <v>23</v>
      </c>
      <c r="K93" s="34">
        <f t="shared" si="18"/>
        <v>7</v>
      </c>
      <c r="L93" s="34">
        <f t="shared" si="18"/>
        <v>60</v>
      </c>
      <c r="M93" s="34">
        <f t="shared" si="18"/>
        <v>8</v>
      </c>
      <c r="N93" s="34">
        <f t="shared" si="18"/>
        <v>50</v>
      </c>
      <c r="O93" s="34">
        <f t="shared" si="18"/>
        <v>57</v>
      </c>
      <c r="P93" s="34">
        <f t="shared" si="18"/>
        <v>56</v>
      </c>
      <c r="Q93" s="34">
        <f t="shared" si="18"/>
        <v>28</v>
      </c>
      <c r="R93" s="34">
        <f t="shared" si="18"/>
        <v>22</v>
      </c>
      <c r="S93" s="34">
        <f t="shared" si="18"/>
        <v>3</v>
      </c>
      <c r="T93" s="34">
        <f t="shared" si="18"/>
        <v>119</v>
      </c>
      <c r="U93" s="34">
        <f t="shared" si="18"/>
        <v>4</v>
      </c>
      <c r="V93" s="34">
        <f t="shared" si="18"/>
        <v>9</v>
      </c>
      <c r="W93" s="34">
        <f t="shared" si="18"/>
        <v>21</v>
      </c>
      <c r="X93" s="34">
        <f t="shared" si="18"/>
        <v>113</v>
      </c>
      <c r="Y93" s="34">
        <f t="shared" si="18"/>
        <v>90</v>
      </c>
      <c r="Z93" s="34">
        <f t="shared" si="18"/>
        <v>4</v>
      </c>
      <c r="AA93" s="34">
        <f t="shared" si="18"/>
        <v>7</v>
      </c>
      <c r="AB93" s="34">
        <f t="shared" si="18"/>
        <v>4</v>
      </c>
      <c r="AC93" s="34">
        <f t="shared" si="18"/>
        <v>3</v>
      </c>
      <c r="AD93" s="34">
        <f t="shared" si="18"/>
        <v>4</v>
      </c>
      <c r="AE93" s="34">
        <f t="shared" si="18"/>
        <v>7</v>
      </c>
      <c r="AF93" s="34">
        <f t="shared" si="18"/>
        <v>5</v>
      </c>
      <c r="AG93" s="13">
        <f t="shared" si="13"/>
        <v>840</v>
      </c>
    </row>
    <row r="94" spans="1:33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13">
        <f t="shared" si="13"/>
        <v>0</v>
      </c>
    </row>
    <row r="95" spans="1:33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0</v>
      </c>
      <c r="F95" s="15">
        <v>0</v>
      </c>
      <c r="G95" s="15">
        <v>0</v>
      </c>
      <c r="H95" s="15">
        <v>1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1</v>
      </c>
      <c r="O95" s="15">
        <v>0</v>
      </c>
      <c r="P95" s="15">
        <v>0</v>
      </c>
      <c r="Q95" s="15">
        <v>0</v>
      </c>
      <c r="R95" s="15">
        <v>0</v>
      </c>
      <c r="S95" s="15">
        <v>1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1</v>
      </c>
      <c r="AG95" s="13">
        <f t="shared" si="13"/>
        <v>4</v>
      </c>
    </row>
    <row r="96" spans="1:33" ht="12.75" customHeight="1" x14ac:dyDescent="0.3">
      <c r="A96" s="19" t="s">
        <v>39</v>
      </c>
      <c r="B96" s="27"/>
      <c r="C96" s="28" t="s">
        <v>83</v>
      </c>
      <c r="D96" s="40"/>
      <c r="E96" s="15">
        <v>1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1</v>
      </c>
      <c r="Q96" s="15">
        <v>0</v>
      </c>
      <c r="R96" s="15">
        <v>0</v>
      </c>
      <c r="S96" s="15">
        <v>1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1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3">
        <f t="shared" si="13"/>
        <v>4</v>
      </c>
    </row>
    <row r="97" spans="1:33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AF97" si="19">SUM(E95:E96)</f>
        <v>1</v>
      </c>
      <c r="F97" s="34">
        <f t="shared" si="19"/>
        <v>0</v>
      </c>
      <c r="G97" s="34">
        <f t="shared" si="19"/>
        <v>0</v>
      </c>
      <c r="H97" s="34">
        <f t="shared" si="19"/>
        <v>1</v>
      </c>
      <c r="I97" s="34">
        <f t="shared" si="19"/>
        <v>0</v>
      </c>
      <c r="J97" s="34">
        <f t="shared" si="19"/>
        <v>0</v>
      </c>
      <c r="K97" s="34">
        <f t="shared" si="19"/>
        <v>0</v>
      </c>
      <c r="L97" s="34">
        <f t="shared" si="19"/>
        <v>0</v>
      </c>
      <c r="M97" s="34">
        <f t="shared" si="19"/>
        <v>0</v>
      </c>
      <c r="N97" s="34">
        <f t="shared" si="19"/>
        <v>1</v>
      </c>
      <c r="O97" s="34">
        <f t="shared" si="19"/>
        <v>0</v>
      </c>
      <c r="P97" s="34">
        <f t="shared" si="19"/>
        <v>1</v>
      </c>
      <c r="Q97" s="34">
        <f t="shared" si="19"/>
        <v>0</v>
      </c>
      <c r="R97" s="34">
        <f t="shared" si="19"/>
        <v>0</v>
      </c>
      <c r="S97" s="34">
        <f t="shared" si="19"/>
        <v>2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0</v>
      </c>
      <c r="X97" s="34">
        <f t="shared" si="19"/>
        <v>0</v>
      </c>
      <c r="Y97" s="34">
        <f t="shared" si="19"/>
        <v>0</v>
      </c>
      <c r="Z97" s="34">
        <f t="shared" si="19"/>
        <v>1</v>
      </c>
      <c r="AA97" s="34">
        <f t="shared" si="19"/>
        <v>0</v>
      </c>
      <c r="AB97" s="34">
        <f t="shared" si="19"/>
        <v>0</v>
      </c>
      <c r="AC97" s="34">
        <f t="shared" si="19"/>
        <v>0</v>
      </c>
      <c r="AD97" s="34">
        <f t="shared" si="19"/>
        <v>0</v>
      </c>
      <c r="AE97" s="34">
        <f t="shared" si="19"/>
        <v>0</v>
      </c>
      <c r="AF97" s="34">
        <f t="shared" si="19"/>
        <v>1</v>
      </c>
      <c r="AG97" s="13">
        <f t="shared" si="13"/>
        <v>8</v>
      </c>
    </row>
    <row r="98" spans="1:33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13">
        <f t="shared" si="13"/>
        <v>0</v>
      </c>
    </row>
    <row r="99" spans="1:33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0</v>
      </c>
      <c r="F99" s="15">
        <v>0</v>
      </c>
      <c r="G99" s="15">
        <v>2</v>
      </c>
      <c r="H99" s="15">
        <v>1</v>
      </c>
      <c r="I99" s="15">
        <v>3</v>
      </c>
      <c r="J99" s="15">
        <v>1</v>
      </c>
      <c r="K99" s="15">
        <v>2</v>
      </c>
      <c r="L99" s="15">
        <v>0</v>
      </c>
      <c r="M99" s="15">
        <v>1</v>
      </c>
      <c r="N99" s="15">
        <v>2</v>
      </c>
      <c r="O99" s="15">
        <v>1</v>
      </c>
      <c r="P99" s="15">
        <v>2</v>
      </c>
      <c r="Q99" s="15">
        <v>1</v>
      </c>
      <c r="R99" s="15">
        <v>1</v>
      </c>
      <c r="S99" s="15">
        <v>3</v>
      </c>
      <c r="T99" s="15">
        <v>0</v>
      </c>
      <c r="U99" s="15">
        <v>2</v>
      </c>
      <c r="V99" s="15">
        <v>1</v>
      </c>
      <c r="W99" s="15">
        <v>5</v>
      </c>
      <c r="X99" s="15">
        <v>0</v>
      </c>
      <c r="Y99" s="15">
        <v>2</v>
      </c>
      <c r="Z99" s="15">
        <v>4</v>
      </c>
      <c r="AA99" s="15">
        <v>2</v>
      </c>
      <c r="AB99" s="15">
        <v>5</v>
      </c>
      <c r="AC99" s="15">
        <v>0</v>
      </c>
      <c r="AD99" s="15">
        <v>1</v>
      </c>
      <c r="AE99" s="15">
        <v>0</v>
      </c>
      <c r="AF99" s="15">
        <v>1</v>
      </c>
      <c r="AG99" s="13">
        <f t="shared" si="13"/>
        <v>43</v>
      </c>
    </row>
    <row r="100" spans="1:33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0</v>
      </c>
      <c r="G100" s="15">
        <v>0</v>
      </c>
      <c r="H100" s="15">
        <v>1</v>
      </c>
      <c r="I100" s="15">
        <v>0</v>
      </c>
      <c r="J100" s="15">
        <v>1</v>
      </c>
      <c r="K100" s="15">
        <v>0</v>
      </c>
      <c r="L100" s="15">
        <v>1</v>
      </c>
      <c r="M100" s="15">
        <v>0</v>
      </c>
      <c r="N100" s="15">
        <v>0</v>
      </c>
      <c r="O100" s="15">
        <v>0</v>
      </c>
      <c r="P100" s="15">
        <v>1</v>
      </c>
      <c r="Q100" s="15">
        <v>0</v>
      </c>
      <c r="R100" s="15">
        <v>1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1</v>
      </c>
      <c r="Y100" s="15">
        <v>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1</v>
      </c>
      <c r="AG100" s="13">
        <f t="shared" si="13"/>
        <v>8</v>
      </c>
    </row>
    <row r="101" spans="1:33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F101" si="20">SUM(E99:E100)</f>
        <v>0</v>
      </c>
      <c r="F101" s="34">
        <f t="shared" si="20"/>
        <v>0</v>
      </c>
      <c r="G101" s="34">
        <f t="shared" si="20"/>
        <v>2</v>
      </c>
      <c r="H101" s="34">
        <f t="shared" si="20"/>
        <v>2</v>
      </c>
      <c r="I101" s="34">
        <f t="shared" si="20"/>
        <v>3</v>
      </c>
      <c r="J101" s="34">
        <f t="shared" si="20"/>
        <v>2</v>
      </c>
      <c r="K101" s="34">
        <f t="shared" si="20"/>
        <v>2</v>
      </c>
      <c r="L101" s="34">
        <f t="shared" si="20"/>
        <v>1</v>
      </c>
      <c r="M101" s="34">
        <f t="shared" si="20"/>
        <v>1</v>
      </c>
      <c r="N101" s="34">
        <f t="shared" si="20"/>
        <v>2</v>
      </c>
      <c r="O101" s="34">
        <f t="shared" si="20"/>
        <v>1</v>
      </c>
      <c r="P101" s="34">
        <f t="shared" si="20"/>
        <v>3</v>
      </c>
      <c r="Q101" s="34">
        <f t="shared" si="20"/>
        <v>1</v>
      </c>
      <c r="R101" s="34">
        <f t="shared" si="20"/>
        <v>2</v>
      </c>
      <c r="S101" s="34">
        <f t="shared" si="20"/>
        <v>3</v>
      </c>
      <c r="T101" s="34">
        <f t="shared" si="20"/>
        <v>0</v>
      </c>
      <c r="U101" s="34">
        <f t="shared" si="20"/>
        <v>2</v>
      </c>
      <c r="V101" s="34">
        <f t="shared" si="20"/>
        <v>1</v>
      </c>
      <c r="W101" s="34">
        <f t="shared" si="20"/>
        <v>5</v>
      </c>
      <c r="X101" s="34">
        <f t="shared" si="20"/>
        <v>1</v>
      </c>
      <c r="Y101" s="34">
        <f t="shared" si="20"/>
        <v>3</v>
      </c>
      <c r="Z101" s="34">
        <f t="shared" si="20"/>
        <v>4</v>
      </c>
      <c r="AA101" s="34">
        <f t="shared" si="20"/>
        <v>2</v>
      </c>
      <c r="AB101" s="34">
        <f t="shared" si="20"/>
        <v>5</v>
      </c>
      <c r="AC101" s="34">
        <f t="shared" si="20"/>
        <v>0</v>
      </c>
      <c r="AD101" s="34">
        <f t="shared" si="20"/>
        <v>1</v>
      </c>
      <c r="AE101" s="34">
        <f t="shared" si="20"/>
        <v>0</v>
      </c>
      <c r="AF101" s="34">
        <f t="shared" si="20"/>
        <v>2</v>
      </c>
      <c r="AG101" s="13">
        <f t="shared" si="13"/>
        <v>51</v>
      </c>
    </row>
    <row r="102" spans="1:33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13">
        <f t="shared" si="13"/>
        <v>0</v>
      </c>
    </row>
    <row r="103" spans="1:33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1</v>
      </c>
      <c r="I103" s="15">
        <v>1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1</v>
      </c>
      <c r="P103" s="15">
        <v>1</v>
      </c>
      <c r="Q103" s="15">
        <v>0</v>
      </c>
      <c r="R103" s="15">
        <v>0</v>
      </c>
      <c r="S103" s="15">
        <v>1</v>
      </c>
      <c r="T103" s="15">
        <v>0</v>
      </c>
      <c r="U103" s="15">
        <v>2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1</v>
      </c>
      <c r="AF103" s="15">
        <v>0</v>
      </c>
      <c r="AG103" s="13">
        <f t="shared" si="13"/>
        <v>8</v>
      </c>
    </row>
    <row r="104" spans="1:33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1</v>
      </c>
      <c r="G104" s="15">
        <v>1</v>
      </c>
      <c r="H104" s="15">
        <v>0</v>
      </c>
      <c r="I104" s="15">
        <v>0</v>
      </c>
      <c r="J104" s="15">
        <v>2</v>
      </c>
      <c r="K104" s="15">
        <v>0</v>
      </c>
      <c r="L104" s="15">
        <v>0</v>
      </c>
      <c r="M104" s="15">
        <v>1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5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2</v>
      </c>
      <c r="AB104" s="15">
        <v>0</v>
      </c>
      <c r="AC104" s="15">
        <v>1</v>
      </c>
      <c r="AD104" s="15">
        <v>0</v>
      </c>
      <c r="AE104" s="15">
        <v>1</v>
      </c>
      <c r="AF104" s="15">
        <v>0</v>
      </c>
      <c r="AG104" s="13">
        <f t="shared" si="13"/>
        <v>14</v>
      </c>
    </row>
    <row r="105" spans="1:33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0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1</v>
      </c>
      <c r="P105" s="15">
        <v>0</v>
      </c>
      <c r="Q105" s="15">
        <v>1</v>
      </c>
      <c r="R105" s="15">
        <v>0</v>
      </c>
      <c r="S105" s="15">
        <v>0</v>
      </c>
      <c r="T105" s="15">
        <v>1</v>
      </c>
      <c r="U105" s="15">
        <v>1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1</v>
      </c>
      <c r="AB105" s="15">
        <v>0</v>
      </c>
      <c r="AC105" s="15">
        <v>1</v>
      </c>
      <c r="AD105" s="15">
        <v>0</v>
      </c>
      <c r="AE105" s="15">
        <v>0</v>
      </c>
      <c r="AF105" s="15">
        <v>2</v>
      </c>
      <c r="AG105" s="13">
        <f t="shared" si="13"/>
        <v>8</v>
      </c>
    </row>
    <row r="106" spans="1:33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2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3">
        <f t="shared" si="13"/>
        <v>2</v>
      </c>
    </row>
    <row r="107" spans="1:33" ht="12.75" customHeight="1" x14ac:dyDescent="0.3">
      <c r="A107" s="14"/>
      <c r="B107" s="27"/>
      <c r="C107" s="28" t="s">
        <v>92</v>
      </c>
      <c r="D107" s="29"/>
      <c r="E107" s="15">
        <v>0</v>
      </c>
      <c r="F107" s="15">
        <v>0</v>
      </c>
      <c r="G107" s="15">
        <v>0</v>
      </c>
      <c r="H107" s="15">
        <v>0</v>
      </c>
      <c r="I107" s="15">
        <v>1</v>
      </c>
      <c r="J107" s="15">
        <v>0</v>
      </c>
      <c r="K107" s="15">
        <v>4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1</v>
      </c>
      <c r="U107" s="15">
        <v>3</v>
      </c>
      <c r="V107" s="15">
        <v>3</v>
      </c>
      <c r="W107" s="15">
        <v>3</v>
      </c>
      <c r="X107" s="15">
        <v>2</v>
      </c>
      <c r="Y107" s="15">
        <v>0</v>
      </c>
      <c r="Z107" s="15">
        <v>0</v>
      </c>
      <c r="AA107" s="15">
        <v>3</v>
      </c>
      <c r="AB107" s="15">
        <v>0</v>
      </c>
      <c r="AC107" s="15">
        <v>0</v>
      </c>
      <c r="AD107" s="15">
        <v>0</v>
      </c>
      <c r="AE107" s="15">
        <v>5</v>
      </c>
      <c r="AF107" s="15">
        <v>0</v>
      </c>
      <c r="AG107" s="13">
        <f t="shared" si="13"/>
        <v>25</v>
      </c>
    </row>
    <row r="108" spans="1:33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1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3">
        <f t="shared" si="13"/>
        <v>2</v>
      </c>
    </row>
    <row r="109" spans="1:33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3">
        <f t="shared" si="13"/>
        <v>0</v>
      </c>
    </row>
    <row r="110" spans="1:33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1</v>
      </c>
      <c r="AC110" s="15">
        <v>0</v>
      </c>
      <c r="AD110" s="15">
        <v>0</v>
      </c>
      <c r="AE110" s="15">
        <v>0</v>
      </c>
      <c r="AF110" s="15">
        <v>0</v>
      </c>
      <c r="AG110" s="13">
        <f t="shared" si="13"/>
        <v>1</v>
      </c>
    </row>
    <row r="111" spans="1:33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AF111" si="21">SUM(E103:E110)</f>
        <v>0</v>
      </c>
      <c r="F111" s="34">
        <f t="shared" si="21"/>
        <v>3</v>
      </c>
      <c r="G111" s="34">
        <f t="shared" si="21"/>
        <v>1</v>
      </c>
      <c r="H111" s="34">
        <f t="shared" si="21"/>
        <v>1</v>
      </c>
      <c r="I111" s="34">
        <f t="shared" si="21"/>
        <v>2</v>
      </c>
      <c r="J111" s="34">
        <f t="shared" si="21"/>
        <v>2</v>
      </c>
      <c r="K111" s="34">
        <f t="shared" si="21"/>
        <v>4</v>
      </c>
      <c r="L111" s="34">
        <f t="shared" si="21"/>
        <v>0</v>
      </c>
      <c r="M111" s="34">
        <f t="shared" si="21"/>
        <v>2</v>
      </c>
      <c r="N111" s="34">
        <f t="shared" si="21"/>
        <v>0</v>
      </c>
      <c r="O111" s="34">
        <f t="shared" si="21"/>
        <v>2</v>
      </c>
      <c r="P111" s="34">
        <f t="shared" si="21"/>
        <v>1</v>
      </c>
      <c r="Q111" s="34">
        <f t="shared" si="21"/>
        <v>1</v>
      </c>
      <c r="R111" s="34">
        <f t="shared" si="21"/>
        <v>0</v>
      </c>
      <c r="S111" s="34">
        <f t="shared" si="21"/>
        <v>1</v>
      </c>
      <c r="T111" s="34">
        <f t="shared" si="21"/>
        <v>2</v>
      </c>
      <c r="U111" s="34">
        <f t="shared" si="21"/>
        <v>11</v>
      </c>
      <c r="V111" s="34">
        <f t="shared" si="21"/>
        <v>3</v>
      </c>
      <c r="W111" s="34">
        <f t="shared" si="21"/>
        <v>3</v>
      </c>
      <c r="X111" s="34">
        <f t="shared" si="21"/>
        <v>2</v>
      </c>
      <c r="Y111" s="34">
        <f t="shared" si="21"/>
        <v>1</v>
      </c>
      <c r="Z111" s="34">
        <f t="shared" si="21"/>
        <v>0</v>
      </c>
      <c r="AA111" s="34">
        <f t="shared" si="21"/>
        <v>6</v>
      </c>
      <c r="AB111" s="34">
        <f t="shared" si="21"/>
        <v>1</v>
      </c>
      <c r="AC111" s="34">
        <f t="shared" si="21"/>
        <v>2</v>
      </c>
      <c r="AD111" s="34">
        <f t="shared" si="21"/>
        <v>0</v>
      </c>
      <c r="AE111" s="34">
        <f t="shared" si="21"/>
        <v>7</v>
      </c>
      <c r="AF111" s="34">
        <f t="shared" si="21"/>
        <v>2</v>
      </c>
      <c r="AG111" s="13">
        <f t="shared" si="13"/>
        <v>60</v>
      </c>
    </row>
    <row r="112" spans="1:33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13">
        <f t="shared" si="13"/>
        <v>0</v>
      </c>
    </row>
    <row r="113" spans="1:35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0</v>
      </c>
      <c r="K113" s="15">
        <v>1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1</v>
      </c>
      <c r="R113" s="15">
        <v>0</v>
      </c>
      <c r="S113" s="15">
        <v>1</v>
      </c>
      <c r="T113" s="15">
        <v>0</v>
      </c>
      <c r="U113" s="15">
        <v>0</v>
      </c>
      <c r="V113" s="15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1</v>
      </c>
      <c r="AB113" s="15">
        <v>0</v>
      </c>
      <c r="AC113" s="15">
        <v>2</v>
      </c>
      <c r="AD113" s="15">
        <v>6</v>
      </c>
      <c r="AE113" s="15">
        <v>1</v>
      </c>
      <c r="AF113" s="15">
        <v>0</v>
      </c>
      <c r="AG113" s="13">
        <f t="shared" si="13"/>
        <v>13</v>
      </c>
    </row>
    <row r="114" spans="1:35" ht="12.75" customHeight="1" x14ac:dyDescent="0.3">
      <c r="A114" s="19" t="s">
        <v>39</v>
      </c>
      <c r="B114" s="26"/>
      <c r="C114" s="28" t="s">
        <v>98</v>
      </c>
      <c r="D114" s="40"/>
      <c r="E114" s="15">
        <v>1</v>
      </c>
      <c r="F114" s="15">
        <v>1</v>
      </c>
      <c r="G114" s="15">
        <v>0</v>
      </c>
      <c r="H114" s="15">
        <v>0</v>
      </c>
      <c r="I114" s="15">
        <v>0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>
        <v>0</v>
      </c>
      <c r="U114" s="15">
        <v>0</v>
      </c>
      <c r="V114" s="15">
        <v>0</v>
      </c>
      <c r="W114" s="15">
        <v>0</v>
      </c>
      <c r="X114" s="15">
        <v>0</v>
      </c>
      <c r="Y114" s="15">
        <v>0</v>
      </c>
      <c r="Z114" s="15">
        <v>0</v>
      </c>
      <c r="AA114" s="15">
        <v>3</v>
      </c>
      <c r="AB114" s="15">
        <v>0</v>
      </c>
      <c r="AC114" s="15">
        <v>6</v>
      </c>
      <c r="AD114" s="15">
        <v>7</v>
      </c>
      <c r="AE114" s="15">
        <v>12</v>
      </c>
      <c r="AF114" s="15">
        <v>0</v>
      </c>
      <c r="AG114" s="13">
        <f t="shared" si="13"/>
        <v>30</v>
      </c>
    </row>
    <row r="115" spans="1:35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F115" si="22">SUM(E113:E114)</f>
        <v>1</v>
      </c>
      <c r="F115" s="34">
        <f t="shared" si="22"/>
        <v>1</v>
      </c>
      <c r="G115" s="34">
        <f t="shared" si="22"/>
        <v>0</v>
      </c>
      <c r="H115" s="34">
        <f t="shared" si="22"/>
        <v>0</v>
      </c>
      <c r="I115" s="34">
        <f t="shared" si="22"/>
        <v>0</v>
      </c>
      <c r="J115" s="34">
        <f t="shared" si="22"/>
        <v>0</v>
      </c>
      <c r="K115" s="34">
        <f t="shared" si="22"/>
        <v>1</v>
      </c>
      <c r="L115" s="34">
        <f t="shared" si="22"/>
        <v>0</v>
      </c>
      <c r="M115" s="34">
        <f t="shared" si="22"/>
        <v>0</v>
      </c>
      <c r="N115" s="34">
        <f t="shared" si="22"/>
        <v>0</v>
      </c>
      <c r="O115" s="34">
        <f t="shared" si="22"/>
        <v>0</v>
      </c>
      <c r="P115" s="34">
        <f t="shared" si="22"/>
        <v>0</v>
      </c>
      <c r="Q115" s="34">
        <f t="shared" si="22"/>
        <v>1</v>
      </c>
      <c r="R115" s="34">
        <f t="shared" si="22"/>
        <v>0</v>
      </c>
      <c r="S115" s="34">
        <f t="shared" si="22"/>
        <v>1</v>
      </c>
      <c r="T115" s="34">
        <f t="shared" si="22"/>
        <v>0</v>
      </c>
      <c r="U115" s="34">
        <f t="shared" si="22"/>
        <v>0</v>
      </c>
      <c r="V115" s="34">
        <f t="shared" si="22"/>
        <v>0</v>
      </c>
      <c r="W115" s="34">
        <f t="shared" si="22"/>
        <v>0</v>
      </c>
      <c r="X115" s="34">
        <f t="shared" si="22"/>
        <v>0</v>
      </c>
      <c r="Y115" s="34">
        <f t="shared" si="22"/>
        <v>0</v>
      </c>
      <c r="Z115" s="34">
        <f t="shared" si="22"/>
        <v>0</v>
      </c>
      <c r="AA115" s="34">
        <f t="shared" si="22"/>
        <v>4</v>
      </c>
      <c r="AB115" s="34">
        <f t="shared" si="22"/>
        <v>0</v>
      </c>
      <c r="AC115" s="34">
        <f t="shared" si="22"/>
        <v>8</v>
      </c>
      <c r="AD115" s="34">
        <f t="shared" si="22"/>
        <v>13</v>
      </c>
      <c r="AE115" s="34">
        <f t="shared" si="22"/>
        <v>13</v>
      </c>
      <c r="AF115" s="34">
        <f t="shared" si="22"/>
        <v>0</v>
      </c>
      <c r="AG115" s="13">
        <f t="shared" si="13"/>
        <v>43</v>
      </c>
    </row>
    <row r="116" spans="1:35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13">
        <f t="shared" si="13"/>
        <v>0</v>
      </c>
    </row>
    <row r="117" spans="1:35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1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3">
        <f t="shared" si="13"/>
        <v>2</v>
      </c>
      <c r="AH117" s="5"/>
      <c r="AI117" s="5"/>
    </row>
    <row r="118" spans="1:35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1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3">
        <f t="shared" si="13"/>
        <v>1</v>
      </c>
      <c r="AH118" s="5"/>
      <c r="AI118" s="5"/>
    </row>
    <row r="119" spans="1:35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1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5">
        <v>1</v>
      </c>
      <c r="AD119" s="15">
        <v>1</v>
      </c>
      <c r="AE119" s="15">
        <v>0</v>
      </c>
      <c r="AF119" s="15">
        <v>0</v>
      </c>
      <c r="AG119" s="13">
        <f t="shared" si="13"/>
        <v>3</v>
      </c>
      <c r="AH119" s="5"/>
      <c r="AI119" s="5"/>
    </row>
    <row r="120" spans="1:35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1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1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3">
        <f t="shared" si="13"/>
        <v>2</v>
      </c>
      <c r="AH120" s="5"/>
      <c r="AI120" s="5"/>
    </row>
    <row r="121" spans="1:35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1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1</v>
      </c>
      <c r="X121" s="15">
        <v>0</v>
      </c>
      <c r="Y121" s="15">
        <v>0</v>
      </c>
      <c r="Z121" s="15">
        <v>1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3">
        <f t="shared" si="13"/>
        <v>3</v>
      </c>
      <c r="AH121" s="5"/>
      <c r="AI121" s="5"/>
    </row>
    <row r="122" spans="1:35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1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3</v>
      </c>
      <c r="T122" s="15">
        <v>0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3">
        <f t="shared" si="13"/>
        <v>4</v>
      </c>
      <c r="AH122" s="5"/>
      <c r="AI122" s="5"/>
    </row>
    <row r="123" spans="1:35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1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5</v>
      </c>
      <c r="AG123" s="13">
        <f t="shared" si="13"/>
        <v>6</v>
      </c>
      <c r="AH123" s="5"/>
      <c r="AI123" s="5"/>
    </row>
    <row r="124" spans="1:35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1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3">
        <f t="shared" si="13"/>
        <v>1</v>
      </c>
      <c r="AH124" s="5"/>
      <c r="AI124" s="5"/>
    </row>
    <row r="125" spans="1:35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F125" si="23">SUM(E117:E124)</f>
        <v>0</v>
      </c>
      <c r="F125" s="34">
        <f t="shared" si="23"/>
        <v>0</v>
      </c>
      <c r="G125" s="34">
        <f t="shared" si="23"/>
        <v>1</v>
      </c>
      <c r="H125" s="34">
        <f t="shared" si="23"/>
        <v>1</v>
      </c>
      <c r="I125" s="34">
        <f t="shared" si="23"/>
        <v>0</v>
      </c>
      <c r="J125" s="34">
        <f t="shared" si="23"/>
        <v>2</v>
      </c>
      <c r="K125" s="34">
        <f t="shared" si="23"/>
        <v>0</v>
      </c>
      <c r="L125" s="34">
        <f t="shared" si="23"/>
        <v>1</v>
      </c>
      <c r="M125" s="34">
        <f t="shared" si="23"/>
        <v>0</v>
      </c>
      <c r="N125" s="34">
        <f t="shared" si="23"/>
        <v>1</v>
      </c>
      <c r="O125" s="34">
        <f t="shared" si="23"/>
        <v>1</v>
      </c>
      <c r="P125" s="34">
        <f t="shared" si="23"/>
        <v>0</v>
      </c>
      <c r="Q125" s="34">
        <f t="shared" si="23"/>
        <v>1</v>
      </c>
      <c r="R125" s="34">
        <f t="shared" si="23"/>
        <v>0</v>
      </c>
      <c r="S125" s="34">
        <f t="shared" si="23"/>
        <v>3</v>
      </c>
      <c r="T125" s="34">
        <f t="shared" si="23"/>
        <v>0</v>
      </c>
      <c r="U125" s="34">
        <f t="shared" si="23"/>
        <v>0</v>
      </c>
      <c r="V125" s="34">
        <f t="shared" si="23"/>
        <v>0</v>
      </c>
      <c r="W125" s="34">
        <f t="shared" si="23"/>
        <v>1</v>
      </c>
      <c r="X125" s="34">
        <f t="shared" si="23"/>
        <v>0</v>
      </c>
      <c r="Y125" s="34">
        <f t="shared" si="23"/>
        <v>0</v>
      </c>
      <c r="Z125" s="34">
        <f t="shared" si="23"/>
        <v>3</v>
      </c>
      <c r="AA125" s="34">
        <f t="shared" si="23"/>
        <v>0</v>
      </c>
      <c r="AB125" s="34">
        <f t="shared" si="23"/>
        <v>0</v>
      </c>
      <c r="AC125" s="34">
        <f t="shared" si="23"/>
        <v>1</v>
      </c>
      <c r="AD125" s="34">
        <f t="shared" si="23"/>
        <v>1</v>
      </c>
      <c r="AE125" s="34">
        <f t="shared" si="23"/>
        <v>0</v>
      </c>
      <c r="AF125" s="34">
        <f t="shared" si="23"/>
        <v>5</v>
      </c>
      <c r="AG125" s="13">
        <f t="shared" si="13"/>
        <v>22</v>
      </c>
      <c r="AH125" s="5"/>
      <c r="AI125" s="5"/>
    </row>
    <row r="126" spans="1:35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13">
        <f t="shared" si="13"/>
        <v>0</v>
      </c>
      <c r="AH126" s="5"/>
      <c r="AI126" s="5"/>
    </row>
    <row r="127" spans="1:35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>
        <v>0</v>
      </c>
      <c r="F127" s="15">
        <v>1</v>
      </c>
      <c r="G127" s="15">
        <v>0</v>
      </c>
      <c r="H127" s="15">
        <v>0</v>
      </c>
      <c r="I127" s="15">
        <v>0</v>
      </c>
      <c r="J127" s="15">
        <v>0</v>
      </c>
      <c r="K127" s="15">
        <v>0</v>
      </c>
      <c r="L127" s="15">
        <v>0</v>
      </c>
      <c r="M127" s="15">
        <v>0</v>
      </c>
      <c r="N127" s="15">
        <v>1</v>
      </c>
      <c r="O127" s="15">
        <v>0</v>
      </c>
      <c r="P127" s="15">
        <v>0</v>
      </c>
      <c r="Q127" s="15">
        <v>0</v>
      </c>
      <c r="R127" s="15">
        <v>0</v>
      </c>
      <c r="S127" s="15">
        <v>1</v>
      </c>
      <c r="T127" s="15">
        <v>0</v>
      </c>
      <c r="U127" s="15">
        <v>0</v>
      </c>
      <c r="V127" s="15">
        <v>0</v>
      </c>
      <c r="W127" s="15">
        <v>0</v>
      </c>
      <c r="X127" s="15">
        <v>0</v>
      </c>
      <c r="Y127" s="15">
        <v>0</v>
      </c>
      <c r="Z127" s="15">
        <v>0</v>
      </c>
      <c r="AA127" s="15">
        <v>1</v>
      </c>
      <c r="AB127" s="15">
        <v>0</v>
      </c>
      <c r="AC127" s="15">
        <v>0</v>
      </c>
      <c r="AD127" s="15">
        <v>1</v>
      </c>
      <c r="AE127" s="15">
        <v>2</v>
      </c>
      <c r="AF127" s="15">
        <v>0</v>
      </c>
      <c r="AG127" s="13">
        <f t="shared" si="13"/>
        <v>7</v>
      </c>
      <c r="AH127" s="5"/>
      <c r="AI127" s="5"/>
    </row>
    <row r="128" spans="1:35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3">
        <f t="shared" si="13"/>
        <v>0</v>
      </c>
      <c r="AH128" s="5"/>
      <c r="AI128" s="5"/>
    </row>
    <row r="129" spans="1:35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F129" si="24">SUM(E127:E128)</f>
        <v>0</v>
      </c>
      <c r="F129" s="34">
        <f t="shared" si="24"/>
        <v>1</v>
      </c>
      <c r="G129" s="34">
        <f t="shared" si="24"/>
        <v>0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1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1</v>
      </c>
      <c r="T129" s="34">
        <f t="shared" si="24"/>
        <v>0</v>
      </c>
      <c r="U129" s="34">
        <f t="shared" si="24"/>
        <v>0</v>
      </c>
      <c r="V129" s="34">
        <f t="shared" si="24"/>
        <v>0</v>
      </c>
      <c r="W129" s="34">
        <f t="shared" si="24"/>
        <v>0</v>
      </c>
      <c r="X129" s="34">
        <f t="shared" si="24"/>
        <v>0</v>
      </c>
      <c r="Y129" s="34">
        <f t="shared" si="24"/>
        <v>0</v>
      </c>
      <c r="Z129" s="34">
        <f t="shared" si="24"/>
        <v>0</v>
      </c>
      <c r="AA129" s="34">
        <f t="shared" si="24"/>
        <v>1</v>
      </c>
      <c r="AB129" s="34">
        <f t="shared" si="24"/>
        <v>0</v>
      </c>
      <c r="AC129" s="34">
        <f t="shared" si="24"/>
        <v>0</v>
      </c>
      <c r="AD129" s="34">
        <f t="shared" si="24"/>
        <v>1</v>
      </c>
      <c r="AE129" s="34">
        <f t="shared" si="24"/>
        <v>2</v>
      </c>
      <c r="AF129" s="34">
        <f t="shared" si="24"/>
        <v>0</v>
      </c>
      <c r="AG129" s="13">
        <f t="shared" si="13"/>
        <v>7</v>
      </c>
      <c r="AH129" s="5"/>
      <c r="AI129" s="5"/>
    </row>
    <row r="130" spans="1:35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13">
        <f t="shared" si="13"/>
        <v>0</v>
      </c>
      <c r="AH130" s="1"/>
      <c r="AI130" s="1"/>
    </row>
    <row r="131" spans="1:35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1</v>
      </c>
      <c r="F131" s="15">
        <v>0</v>
      </c>
      <c r="G131" s="15">
        <v>0</v>
      </c>
      <c r="H131" s="15">
        <v>0</v>
      </c>
      <c r="I131" s="15">
        <v>0</v>
      </c>
      <c r="J131" s="15">
        <v>0</v>
      </c>
      <c r="K131" s="15">
        <v>0</v>
      </c>
      <c r="L131" s="15">
        <v>0</v>
      </c>
      <c r="M131" s="15">
        <v>0</v>
      </c>
      <c r="N131" s="15">
        <v>1</v>
      </c>
      <c r="O131" s="15">
        <v>0</v>
      </c>
      <c r="P131" s="15">
        <v>1</v>
      </c>
      <c r="Q131" s="15">
        <v>1</v>
      </c>
      <c r="R131" s="15">
        <v>0</v>
      </c>
      <c r="S131" s="15">
        <v>0</v>
      </c>
      <c r="T131" s="15">
        <v>0</v>
      </c>
      <c r="U131" s="15">
        <v>0</v>
      </c>
      <c r="V131" s="15">
        <v>0</v>
      </c>
      <c r="W131" s="15">
        <v>0</v>
      </c>
      <c r="X131" s="15">
        <v>0</v>
      </c>
      <c r="Y131" s="15">
        <v>0</v>
      </c>
      <c r="Z131" s="15">
        <v>0</v>
      </c>
      <c r="AA131" s="15">
        <v>0</v>
      </c>
      <c r="AB131" s="15">
        <v>0</v>
      </c>
      <c r="AC131" s="15">
        <v>0</v>
      </c>
      <c r="AD131" s="15">
        <v>1</v>
      </c>
      <c r="AE131" s="15">
        <v>1</v>
      </c>
      <c r="AF131" s="15">
        <v>0</v>
      </c>
      <c r="AG131" s="13">
        <f t="shared" si="13"/>
        <v>6</v>
      </c>
      <c r="AH131" s="31"/>
      <c r="AI131" s="31"/>
    </row>
    <row r="132" spans="1:35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1</v>
      </c>
      <c r="G132" s="15">
        <v>0</v>
      </c>
      <c r="H132" s="15">
        <v>0</v>
      </c>
      <c r="I132" s="15">
        <v>1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1</v>
      </c>
      <c r="T132" s="15">
        <v>1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1</v>
      </c>
      <c r="AC132" s="15">
        <v>0</v>
      </c>
      <c r="AD132" s="15">
        <v>0</v>
      </c>
      <c r="AE132" s="15">
        <v>0</v>
      </c>
      <c r="AF132" s="15">
        <v>0</v>
      </c>
      <c r="AG132" s="13">
        <f t="shared" si="13"/>
        <v>5</v>
      </c>
      <c r="AH132" s="5"/>
      <c r="AI132" s="5"/>
    </row>
    <row r="133" spans="1:35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1</v>
      </c>
      <c r="R133" s="15">
        <v>1</v>
      </c>
      <c r="S133" s="15">
        <v>0</v>
      </c>
      <c r="T133" s="15">
        <v>0</v>
      </c>
      <c r="U133" s="15">
        <v>0</v>
      </c>
      <c r="V133" s="15">
        <v>1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3">
        <f t="shared" si="13"/>
        <v>3</v>
      </c>
      <c r="AH133" s="5"/>
      <c r="AI133" s="5"/>
    </row>
    <row r="134" spans="1:35" ht="12.75" customHeight="1" x14ac:dyDescent="0.3">
      <c r="A134" s="14"/>
      <c r="B134" s="27"/>
      <c r="C134" s="28" t="s">
        <v>114</v>
      </c>
      <c r="D134" s="29"/>
      <c r="E134" s="15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3">
        <f t="shared" si="13"/>
        <v>0</v>
      </c>
      <c r="AH134" s="5"/>
      <c r="AI134" s="5"/>
    </row>
    <row r="135" spans="1:35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3">
        <f t="shared" si="13"/>
        <v>0</v>
      </c>
      <c r="AH135" s="5"/>
      <c r="AI135" s="5"/>
    </row>
    <row r="136" spans="1:35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F136" si="25">SUM(E131:E135)</f>
        <v>1</v>
      </c>
      <c r="F136" s="34">
        <f t="shared" si="25"/>
        <v>1</v>
      </c>
      <c r="G136" s="34">
        <f t="shared" si="25"/>
        <v>0</v>
      </c>
      <c r="H136" s="34">
        <f t="shared" si="25"/>
        <v>0</v>
      </c>
      <c r="I136" s="34">
        <f t="shared" si="25"/>
        <v>1</v>
      </c>
      <c r="J136" s="34">
        <f t="shared" si="25"/>
        <v>0</v>
      </c>
      <c r="K136" s="34">
        <f t="shared" si="25"/>
        <v>0</v>
      </c>
      <c r="L136" s="34">
        <f t="shared" si="25"/>
        <v>0</v>
      </c>
      <c r="M136" s="34">
        <f t="shared" si="25"/>
        <v>0</v>
      </c>
      <c r="N136" s="34">
        <f t="shared" si="25"/>
        <v>1</v>
      </c>
      <c r="O136" s="34">
        <f t="shared" si="25"/>
        <v>0</v>
      </c>
      <c r="P136" s="34">
        <f t="shared" si="25"/>
        <v>1</v>
      </c>
      <c r="Q136" s="34">
        <f t="shared" si="25"/>
        <v>2</v>
      </c>
      <c r="R136" s="34">
        <f t="shared" si="25"/>
        <v>1</v>
      </c>
      <c r="S136" s="34">
        <f t="shared" si="25"/>
        <v>1</v>
      </c>
      <c r="T136" s="34">
        <f t="shared" si="25"/>
        <v>1</v>
      </c>
      <c r="U136" s="34">
        <f t="shared" si="25"/>
        <v>0</v>
      </c>
      <c r="V136" s="34">
        <f t="shared" si="25"/>
        <v>1</v>
      </c>
      <c r="W136" s="34">
        <f t="shared" si="25"/>
        <v>0</v>
      </c>
      <c r="X136" s="34">
        <f t="shared" si="25"/>
        <v>0</v>
      </c>
      <c r="Y136" s="34">
        <f t="shared" si="25"/>
        <v>0</v>
      </c>
      <c r="Z136" s="34">
        <f t="shared" si="25"/>
        <v>0</v>
      </c>
      <c r="AA136" s="34">
        <f t="shared" si="25"/>
        <v>0</v>
      </c>
      <c r="AB136" s="34">
        <f t="shared" si="25"/>
        <v>1</v>
      </c>
      <c r="AC136" s="34">
        <f t="shared" si="25"/>
        <v>0</v>
      </c>
      <c r="AD136" s="34">
        <f t="shared" si="25"/>
        <v>1</v>
      </c>
      <c r="AE136" s="34">
        <f t="shared" si="25"/>
        <v>1</v>
      </c>
      <c r="AF136" s="34">
        <f t="shared" si="25"/>
        <v>0</v>
      </c>
      <c r="AG136" s="13">
        <f t="shared" si="13"/>
        <v>14</v>
      </c>
      <c r="AH136" s="5"/>
      <c r="AI136" s="5"/>
    </row>
    <row r="137" spans="1:35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13">
        <f t="shared" si="13"/>
        <v>0</v>
      </c>
      <c r="AH137" s="5"/>
      <c r="AI137" s="5"/>
    </row>
    <row r="138" spans="1:35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>
        <v>0</v>
      </c>
      <c r="F138" s="15">
        <v>0</v>
      </c>
      <c r="G138" s="15">
        <v>1</v>
      </c>
      <c r="H138" s="15">
        <v>0</v>
      </c>
      <c r="I138" s="15">
        <v>0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1</v>
      </c>
      <c r="P138" s="15">
        <v>0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3">
        <f t="shared" si="13"/>
        <v>2</v>
      </c>
      <c r="AH138" s="5"/>
      <c r="AI138" s="5"/>
    </row>
    <row r="139" spans="1:35" ht="12.75" customHeight="1" x14ac:dyDescent="0.3">
      <c r="A139" s="19" t="s">
        <v>39</v>
      </c>
      <c r="B139" s="27"/>
      <c r="C139" s="28" t="s">
        <v>118</v>
      </c>
      <c r="D139" s="29"/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3">
        <f t="shared" si="13"/>
        <v>0</v>
      </c>
      <c r="AH139" s="5"/>
      <c r="AI139" s="5"/>
    </row>
    <row r="140" spans="1:35" ht="12.75" customHeight="1" x14ac:dyDescent="0.3">
      <c r="A140" s="14"/>
      <c r="B140" s="27"/>
      <c r="C140" s="28" t="s">
        <v>119</v>
      </c>
      <c r="D140" s="29"/>
      <c r="E140" s="15">
        <v>0</v>
      </c>
      <c r="F140" s="15">
        <v>0</v>
      </c>
      <c r="G140" s="15">
        <v>0</v>
      </c>
      <c r="H140" s="15">
        <v>0</v>
      </c>
      <c r="I140" s="15">
        <v>0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1</v>
      </c>
      <c r="AG140" s="13">
        <f t="shared" si="13"/>
        <v>1</v>
      </c>
      <c r="AH140" s="5"/>
      <c r="AI140" s="5"/>
    </row>
    <row r="141" spans="1:35" ht="12.75" customHeight="1" x14ac:dyDescent="0.3">
      <c r="A141" s="14"/>
      <c r="B141" s="27"/>
      <c r="C141" s="28" t="s">
        <v>120</v>
      </c>
      <c r="D141" s="29"/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3">
        <f t="shared" si="13"/>
        <v>0</v>
      </c>
      <c r="AH141" s="1"/>
      <c r="AI141" s="1"/>
    </row>
    <row r="142" spans="1:35" ht="12.75" customHeight="1" x14ac:dyDescent="0.3">
      <c r="A142" s="14"/>
      <c r="B142" s="27"/>
      <c r="C142" s="28" t="s">
        <v>121</v>
      </c>
      <c r="D142" s="29"/>
      <c r="E142" s="15">
        <v>0</v>
      </c>
      <c r="F142" s="15">
        <v>0</v>
      </c>
      <c r="G142" s="15">
        <v>0</v>
      </c>
      <c r="H142" s="15">
        <v>0</v>
      </c>
      <c r="I142" s="15">
        <v>0</v>
      </c>
      <c r="J142" s="15">
        <v>1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3">
        <f t="shared" si="13"/>
        <v>1</v>
      </c>
      <c r="AH142" s="31"/>
      <c r="AI142" s="31"/>
    </row>
    <row r="143" spans="1:35" ht="12.75" customHeight="1" x14ac:dyDescent="0.3">
      <c r="A143" s="14"/>
      <c r="B143" s="27"/>
      <c r="C143" s="28" t="s">
        <v>122</v>
      </c>
      <c r="D143" s="29"/>
      <c r="E143" s="15">
        <v>0</v>
      </c>
      <c r="F143" s="15">
        <v>0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1</v>
      </c>
      <c r="R143" s="15">
        <v>0</v>
      </c>
      <c r="S143" s="15">
        <v>0</v>
      </c>
      <c r="T143" s="15">
        <v>0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3">
        <f t="shared" si="13"/>
        <v>1</v>
      </c>
      <c r="AH143" s="5"/>
      <c r="AI143" s="5"/>
    </row>
    <row r="144" spans="1:35" ht="12.75" customHeight="1" x14ac:dyDescent="0.3">
      <c r="A144" s="14"/>
      <c r="B144" s="27"/>
      <c r="C144" s="28" t="s">
        <v>123</v>
      </c>
      <c r="D144" s="29"/>
      <c r="E144" s="15">
        <v>0</v>
      </c>
      <c r="F144" s="15">
        <v>0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3">
        <f t="shared" si="13"/>
        <v>0</v>
      </c>
      <c r="AH144" s="5"/>
      <c r="AI144" s="5"/>
    </row>
    <row r="145" spans="1:35" ht="12.75" customHeight="1" x14ac:dyDescent="0.3">
      <c r="A145" s="14"/>
      <c r="B145" s="27"/>
      <c r="C145" s="28" t="s">
        <v>124</v>
      </c>
      <c r="D145" s="29"/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3">
        <f t="shared" si="13"/>
        <v>0</v>
      </c>
      <c r="AH145" s="5"/>
      <c r="AI145" s="5"/>
    </row>
    <row r="146" spans="1:35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F146" si="26">SUM(E138:E145)</f>
        <v>0</v>
      </c>
      <c r="F146" s="34">
        <f t="shared" si="26"/>
        <v>0</v>
      </c>
      <c r="G146" s="34">
        <f t="shared" si="26"/>
        <v>1</v>
      </c>
      <c r="H146" s="34">
        <f t="shared" si="26"/>
        <v>0</v>
      </c>
      <c r="I146" s="34">
        <f t="shared" si="26"/>
        <v>0</v>
      </c>
      <c r="J146" s="34">
        <f t="shared" si="26"/>
        <v>1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1</v>
      </c>
      <c r="P146" s="34">
        <f t="shared" si="26"/>
        <v>0</v>
      </c>
      <c r="Q146" s="34">
        <f t="shared" si="26"/>
        <v>1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0</v>
      </c>
      <c r="V146" s="34">
        <f t="shared" si="26"/>
        <v>0</v>
      </c>
      <c r="W146" s="34">
        <f t="shared" si="26"/>
        <v>0</v>
      </c>
      <c r="X146" s="34">
        <f t="shared" si="26"/>
        <v>0</v>
      </c>
      <c r="Y146" s="34">
        <f t="shared" si="26"/>
        <v>0</v>
      </c>
      <c r="Z146" s="34">
        <f t="shared" si="26"/>
        <v>0</v>
      </c>
      <c r="AA146" s="34">
        <f t="shared" si="26"/>
        <v>0</v>
      </c>
      <c r="AB146" s="34">
        <f t="shared" si="26"/>
        <v>0</v>
      </c>
      <c r="AC146" s="34">
        <f t="shared" si="26"/>
        <v>0</v>
      </c>
      <c r="AD146" s="34">
        <f t="shared" si="26"/>
        <v>0</v>
      </c>
      <c r="AE146" s="34">
        <f t="shared" si="26"/>
        <v>0</v>
      </c>
      <c r="AF146" s="34">
        <f t="shared" si="26"/>
        <v>1</v>
      </c>
      <c r="AG146" s="13">
        <f t="shared" si="13"/>
        <v>5</v>
      </c>
      <c r="AH146" s="5"/>
      <c r="AI146" s="5"/>
    </row>
    <row r="147" spans="1:35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13">
        <f t="shared" si="13"/>
        <v>0</v>
      </c>
      <c r="AH147" s="5"/>
      <c r="AI147" s="5"/>
    </row>
    <row r="148" spans="1:35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4</v>
      </c>
      <c r="F148" s="15">
        <v>1</v>
      </c>
      <c r="G148" s="15">
        <v>7</v>
      </c>
      <c r="H148" s="15">
        <v>5</v>
      </c>
      <c r="I148" s="15">
        <v>0</v>
      </c>
      <c r="J148" s="15">
        <v>3</v>
      </c>
      <c r="K148" s="15">
        <v>4</v>
      </c>
      <c r="L148" s="15">
        <v>1</v>
      </c>
      <c r="M148" s="15">
        <v>5</v>
      </c>
      <c r="N148" s="15">
        <v>3</v>
      </c>
      <c r="O148" s="15">
        <v>3</v>
      </c>
      <c r="P148" s="15">
        <v>1</v>
      </c>
      <c r="Q148" s="15">
        <v>2</v>
      </c>
      <c r="R148" s="15">
        <v>2</v>
      </c>
      <c r="S148" s="15">
        <v>1</v>
      </c>
      <c r="T148" s="15">
        <v>2</v>
      </c>
      <c r="U148" s="15">
        <v>1</v>
      </c>
      <c r="V148" s="15">
        <v>0</v>
      </c>
      <c r="W148" s="15">
        <v>2</v>
      </c>
      <c r="X148" s="15">
        <v>2</v>
      </c>
      <c r="Y148" s="15">
        <v>0</v>
      </c>
      <c r="Z148" s="15">
        <v>4</v>
      </c>
      <c r="AA148" s="15">
        <v>1</v>
      </c>
      <c r="AB148" s="15">
        <v>1</v>
      </c>
      <c r="AC148" s="15">
        <v>2</v>
      </c>
      <c r="AD148" s="15">
        <v>3</v>
      </c>
      <c r="AE148" s="15">
        <v>2</v>
      </c>
      <c r="AF148" s="15">
        <v>1</v>
      </c>
      <c r="AG148" s="13">
        <f t="shared" si="13"/>
        <v>63</v>
      </c>
      <c r="AH148" s="5"/>
      <c r="AI148" s="5"/>
    </row>
    <row r="149" spans="1:35" ht="12.75" customHeight="1" x14ac:dyDescent="0.3">
      <c r="A149" s="19" t="s">
        <v>39</v>
      </c>
      <c r="B149" s="27"/>
      <c r="C149" s="28" t="s">
        <v>127</v>
      </c>
      <c r="D149" s="29"/>
      <c r="E149" s="15">
        <v>4</v>
      </c>
      <c r="F149" s="15">
        <v>1</v>
      </c>
      <c r="G149" s="15">
        <v>3</v>
      </c>
      <c r="H149" s="15">
        <v>12</v>
      </c>
      <c r="I149" s="15">
        <v>3</v>
      </c>
      <c r="J149" s="15">
        <v>0</v>
      </c>
      <c r="K149" s="15">
        <v>1</v>
      </c>
      <c r="L149" s="15">
        <v>1</v>
      </c>
      <c r="M149" s="15">
        <v>0</v>
      </c>
      <c r="N149" s="15">
        <v>3</v>
      </c>
      <c r="O149" s="15">
        <v>1</v>
      </c>
      <c r="P149" s="15">
        <v>1</v>
      </c>
      <c r="Q149" s="15">
        <v>6</v>
      </c>
      <c r="R149" s="15">
        <v>2</v>
      </c>
      <c r="S149" s="15">
        <v>2</v>
      </c>
      <c r="T149" s="15">
        <v>4</v>
      </c>
      <c r="U149" s="15">
        <v>0</v>
      </c>
      <c r="V149" s="15">
        <v>0</v>
      </c>
      <c r="W149" s="15">
        <v>6</v>
      </c>
      <c r="X149" s="15">
        <v>0</v>
      </c>
      <c r="Y149" s="15">
        <v>0</v>
      </c>
      <c r="Z149" s="15">
        <v>1</v>
      </c>
      <c r="AA149" s="15">
        <v>2</v>
      </c>
      <c r="AB149" s="15">
        <v>2</v>
      </c>
      <c r="AC149" s="15">
        <v>2</v>
      </c>
      <c r="AD149" s="15">
        <v>1</v>
      </c>
      <c r="AE149" s="15">
        <v>1</v>
      </c>
      <c r="AF149" s="15">
        <v>0</v>
      </c>
      <c r="AG149" s="13">
        <f t="shared" si="13"/>
        <v>59</v>
      </c>
      <c r="AH149" s="5"/>
      <c r="AI149" s="5"/>
    </row>
    <row r="150" spans="1:35" ht="12.75" customHeight="1" x14ac:dyDescent="0.3">
      <c r="A150" s="14"/>
      <c r="B150" s="27"/>
      <c r="C150" s="28" t="s">
        <v>128</v>
      </c>
      <c r="D150" s="29"/>
      <c r="E150" s="15">
        <v>1</v>
      </c>
      <c r="F150" s="15">
        <v>1</v>
      </c>
      <c r="G150" s="15">
        <v>0</v>
      </c>
      <c r="H150" s="15">
        <v>2</v>
      </c>
      <c r="I150" s="15">
        <v>0</v>
      </c>
      <c r="J150" s="15">
        <v>1</v>
      </c>
      <c r="K150" s="15">
        <v>0</v>
      </c>
      <c r="L150" s="15">
        <v>1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1</v>
      </c>
      <c r="V150" s="15">
        <v>2</v>
      </c>
      <c r="W150" s="15">
        <v>0</v>
      </c>
      <c r="X150" s="15">
        <v>0</v>
      </c>
      <c r="Y150" s="15">
        <v>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8</v>
      </c>
      <c r="AF150" s="15">
        <v>1</v>
      </c>
      <c r="AG150" s="13">
        <f t="shared" si="13"/>
        <v>19</v>
      </c>
      <c r="AH150" s="5"/>
      <c r="AI150" s="5"/>
    </row>
    <row r="151" spans="1:35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2</v>
      </c>
      <c r="G151" s="15">
        <v>0</v>
      </c>
      <c r="H151" s="15">
        <v>0</v>
      </c>
      <c r="I151" s="15">
        <v>2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1</v>
      </c>
      <c r="W151" s="15">
        <v>0</v>
      </c>
      <c r="X151" s="15">
        <v>0</v>
      </c>
      <c r="Y151" s="15">
        <v>0</v>
      </c>
      <c r="Z151" s="15">
        <v>0</v>
      </c>
      <c r="AA151" s="15">
        <v>1</v>
      </c>
      <c r="AB151" s="15">
        <v>0</v>
      </c>
      <c r="AC151" s="15">
        <v>0</v>
      </c>
      <c r="AD151" s="15">
        <v>3</v>
      </c>
      <c r="AE151" s="15">
        <v>0</v>
      </c>
      <c r="AF151" s="15">
        <v>1</v>
      </c>
      <c r="AG151" s="13">
        <f t="shared" si="13"/>
        <v>10</v>
      </c>
      <c r="AH151" s="1"/>
      <c r="AI151" s="1"/>
    </row>
    <row r="152" spans="1:35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2</v>
      </c>
      <c r="G152" s="15">
        <v>0</v>
      </c>
      <c r="H152" s="15">
        <v>0</v>
      </c>
      <c r="I152" s="15">
        <v>0</v>
      </c>
      <c r="J152" s="15">
        <v>0</v>
      </c>
      <c r="K152" s="15">
        <v>0</v>
      </c>
      <c r="L152" s="15">
        <v>0</v>
      </c>
      <c r="M152" s="15">
        <v>0</v>
      </c>
      <c r="N152" s="15">
        <v>1</v>
      </c>
      <c r="O152" s="15">
        <v>0</v>
      </c>
      <c r="P152" s="15">
        <v>1</v>
      </c>
      <c r="Q152" s="15">
        <v>0</v>
      </c>
      <c r="R152" s="15">
        <v>3</v>
      </c>
      <c r="S152" s="15">
        <v>2</v>
      </c>
      <c r="T152" s="15">
        <v>0</v>
      </c>
      <c r="U152" s="15">
        <v>0</v>
      </c>
      <c r="V152" s="15">
        <v>10</v>
      </c>
      <c r="W152" s="15">
        <v>1</v>
      </c>
      <c r="X152" s="15">
        <v>0</v>
      </c>
      <c r="Y152" s="15">
        <v>0</v>
      </c>
      <c r="Z152" s="15">
        <v>2</v>
      </c>
      <c r="AA152" s="15">
        <v>1</v>
      </c>
      <c r="AB152" s="15">
        <v>1</v>
      </c>
      <c r="AC152" s="15">
        <v>0</v>
      </c>
      <c r="AD152" s="15">
        <v>4</v>
      </c>
      <c r="AE152" s="15">
        <v>0</v>
      </c>
      <c r="AF152" s="15">
        <v>0</v>
      </c>
      <c r="AG152" s="13">
        <f t="shared" si="13"/>
        <v>28</v>
      </c>
      <c r="AH152" s="31"/>
      <c r="AI152" s="31"/>
    </row>
    <row r="153" spans="1:35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1</v>
      </c>
      <c r="G153" s="15">
        <v>0</v>
      </c>
      <c r="H153" s="15">
        <v>0</v>
      </c>
      <c r="I153" s="15">
        <v>0</v>
      </c>
      <c r="J153" s="15">
        <v>0</v>
      </c>
      <c r="K153" s="15">
        <v>0</v>
      </c>
      <c r="L153" s="15">
        <v>0</v>
      </c>
      <c r="M153" s="15">
        <v>2</v>
      </c>
      <c r="N153" s="15">
        <v>0</v>
      </c>
      <c r="O153" s="15">
        <v>0</v>
      </c>
      <c r="P153" s="15">
        <v>0</v>
      </c>
      <c r="Q153" s="15">
        <v>1</v>
      </c>
      <c r="R153" s="15">
        <v>1</v>
      </c>
      <c r="S153" s="15">
        <v>0</v>
      </c>
      <c r="T153" s="15">
        <v>0</v>
      </c>
      <c r="U153" s="15">
        <v>1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3">
        <f t="shared" si="13"/>
        <v>6</v>
      </c>
      <c r="AH153" s="5"/>
      <c r="AI153" s="5"/>
    </row>
    <row r="154" spans="1:35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1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1</v>
      </c>
      <c r="X154" s="15">
        <v>0</v>
      </c>
      <c r="Y154" s="15">
        <v>0</v>
      </c>
      <c r="Z154" s="15">
        <v>0</v>
      </c>
      <c r="AA154" s="15">
        <v>0</v>
      </c>
      <c r="AB154" s="15">
        <v>0</v>
      </c>
      <c r="AC154" s="15">
        <v>1</v>
      </c>
      <c r="AD154" s="15">
        <v>0</v>
      </c>
      <c r="AE154" s="15">
        <v>0</v>
      </c>
      <c r="AF154" s="15">
        <v>1</v>
      </c>
      <c r="AG154" s="13">
        <f t="shared" si="13"/>
        <v>4</v>
      </c>
      <c r="AH154" s="5"/>
      <c r="AI154" s="5"/>
    </row>
    <row r="155" spans="1:35" ht="12.75" customHeight="1" x14ac:dyDescent="0.3">
      <c r="A155" s="14"/>
      <c r="B155" s="27"/>
      <c r="C155" s="28" t="s">
        <v>133</v>
      </c>
      <c r="D155" s="29"/>
      <c r="E155" s="15">
        <v>15</v>
      </c>
      <c r="F155" s="15">
        <v>31</v>
      </c>
      <c r="G155" s="15">
        <v>38</v>
      </c>
      <c r="H155" s="15">
        <v>27</v>
      </c>
      <c r="I155" s="15">
        <v>16</v>
      </c>
      <c r="J155" s="15">
        <v>86</v>
      </c>
      <c r="K155" s="15">
        <v>127</v>
      </c>
      <c r="L155" s="15">
        <v>29</v>
      </c>
      <c r="M155" s="15">
        <v>126</v>
      </c>
      <c r="N155" s="15">
        <v>47</v>
      </c>
      <c r="O155" s="15">
        <v>5</v>
      </c>
      <c r="P155" s="15">
        <v>8</v>
      </c>
      <c r="Q155" s="15">
        <v>2</v>
      </c>
      <c r="R155" s="15">
        <v>12</v>
      </c>
      <c r="S155" s="15">
        <v>35</v>
      </c>
      <c r="T155" s="15">
        <v>2</v>
      </c>
      <c r="U155" s="15">
        <v>2</v>
      </c>
      <c r="V155" s="15">
        <v>9</v>
      </c>
      <c r="W155" s="15">
        <v>18</v>
      </c>
      <c r="X155" s="15">
        <v>3</v>
      </c>
      <c r="Y155" s="15">
        <v>56</v>
      </c>
      <c r="Z155" s="15">
        <v>100</v>
      </c>
      <c r="AA155" s="15">
        <v>0</v>
      </c>
      <c r="AB155" s="15">
        <v>37</v>
      </c>
      <c r="AC155" s="15">
        <v>0</v>
      </c>
      <c r="AD155" s="15">
        <v>1</v>
      </c>
      <c r="AE155" s="15">
        <v>2</v>
      </c>
      <c r="AF155" s="15">
        <v>77</v>
      </c>
      <c r="AG155" s="13">
        <f t="shared" si="13"/>
        <v>911</v>
      </c>
      <c r="AH155" s="5"/>
      <c r="AI155" s="5"/>
    </row>
    <row r="156" spans="1:35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F156" si="27">SUM(E148:E155)</f>
        <v>24</v>
      </c>
      <c r="F156" s="34">
        <f t="shared" si="27"/>
        <v>39</v>
      </c>
      <c r="G156" s="34">
        <f t="shared" si="27"/>
        <v>48</v>
      </c>
      <c r="H156" s="34">
        <f t="shared" si="27"/>
        <v>46</v>
      </c>
      <c r="I156" s="34">
        <f t="shared" si="27"/>
        <v>21</v>
      </c>
      <c r="J156" s="34">
        <f t="shared" si="27"/>
        <v>90</v>
      </c>
      <c r="K156" s="34">
        <f t="shared" si="27"/>
        <v>132</v>
      </c>
      <c r="L156" s="34">
        <f t="shared" si="27"/>
        <v>32</v>
      </c>
      <c r="M156" s="34">
        <f t="shared" si="27"/>
        <v>134</v>
      </c>
      <c r="N156" s="34">
        <f t="shared" si="27"/>
        <v>54</v>
      </c>
      <c r="O156" s="34">
        <f t="shared" si="27"/>
        <v>9</v>
      </c>
      <c r="P156" s="34">
        <f t="shared" si="27"/>
        <v>11</v>
      </c>
      <c r="Q156" s="34">
        <f t="shared" si="27"/>
        <v>11</v>
      </c>
      <c r="R156" s="34">
        <f t="shared" si="27"/>
        <v>20</v>
      </c>
      <c r="S156" s="34">
        <f t="shared" si="27"/>
        <v>40</v>
      </c>
      <c r="T156" s="34">
        <f t="shared" si="27"/>
        <v>8</v>
      </c>
      <c r="U156" s="34">
        <f t="shared" si="27"/>
        <v>5</v>
      </c>
      <c r="V156" s="34">
        <f t="shared" si="27"/>
        <v>22</v>
      </c>
      <c r="W156" s="34">
        <f t="shared" si="27"/>
        <v>28</v>
      </c>
      <c r="X156" s="34">
        <f t="shared" si="27"/>
        <v>5</v>
      </c>
      <c r="Y156" s="34">
        <f t="shared" si="27"/>
        <v>57</v>
      </c>
      <c r="Z156" s="34">
        <f t="shared" si="27"/>
        <v>107</v>
      </c>
      <c r="AA156" s="34">
        <f t="shared" si="27"/>
        <v>5</v>
      </c>
      <c r="AB156" s="34">
        <f t="shared" si="27"/>
        <v>41</v>
      </c>
      <c r="AC156" s="34">
        <f t="shared" si="27"/>
        <v>5</v>
      </c>
      <c r="AD156" s="34">
        <f t="shared" si="27"/>
        <v>12</v>
      </c>
      <c r="AE156" s="34">
        <f t="shared" si="27"/>
        <v>13</v>
      </c>
      <c r="AF156" s="34">
        <f t="shared" si="27"/>
        <v>81</v>
      </c>
      <c r="AG156" s="13">
        <f t="shared" si="13"/>
        <v>1100</v>
      </c>
      <c r="AH156" s="5"/>
      <c r="AI156" s="5"/>
    </row>
    <row r="157" spans="1:35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13">
        <f t="shared" si="13"/>
        <v>0</v>
      </c>
      <c r="AH157" s="5"/>
      <c r="AI157" s="5"/>
    </row>
    <row r="158" spans="1:35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1</v>
      </c>
      <c r="F158" s="15">
        <v>2</v>
      </c>
      <c r="G158" s="15">
        <v>0</v>
      </c>
      <c r="H158" s="15">
        <v>0</v>
      </c>
      <c r="I158" s="15">
        <v>0</v>
      </c>
      <c r="J158" s="15">
        <v>0</v>
      </c>
      <c r="K158" s="15">
        <v>0</v>
      </c>
      <c r="L158" s="15">
        <v>0</v>
      </c>
      <c r="M158" s="15">
        <v>1</v>
      </c>
      <c r="N158" s="15">
        <v>0</v>
      </c>
      <c r="O158" s="15">
        <v>2</v>
      </c>
      <c r="P158" s="15">
        <v>1</v>
      </c>
      <c r="Q158" s="15">
        <v>0</v>
      </c>
      <c r="R158" s="15">
        <v>2</v>
      </c>
      <c r="S158" s="15">
        <v>0</v>
      </c>
      <c r="T158" s="15">
        <v>1</v>
      </c>
      <c r="U158" s="15">
        <v>0</v>
      </c>
      <c r="V158" s="15">
        <v>0</v>
      </c>
      <c r="W158" s="15">
        <v>1</v>
      </c>
      <c r="X158" s="15">
        <v>0</v>
      </c>
      <c r="Y158" s="15">
        <v>0</v>
      </c>
      <c r="Z158" s="15">
        <v>0</v>
      </c>
      <c r="AA158" s="15">
        <v>1</v>
      </c>
      <c r="AB158" s="15">
        <v>0</v>
      </c>
      <c r="AC158" s="15">
        <v>0</v>
      </c>
      <c r="AD158" s="15">
        <v>1</v>
      </c>
      <c r="AE158" s="15">
        <v>0</v>
      </c>
      <c r="AF158" s="15">
        <v>1</v>
      </c>
      <c r="AG158" s="13">
        <f t="shared" si="13"/>
        <v>14</v>
      </c>
      <c r="AH158" s="5"/>
      <c r="AI158" s="5"/>
    </row>
    <row r="159" spans="1:35" ht="12.75" customHeight="1" x14ac:dyDescent="0.3">
      <c r="A159" s="19" t="s">
        <v>39</v>
      </c>
      <c r="B159" s="27"/>
      <c r="C159" s="28" t="s">
        <v>136</v>
      </c>
      <c r="D159" s="29"/>
      <c r="E159" s="15">
        <v>0</v>
      </c>
      <c r="F159" s="15">
        <v>0</v>
      </c>
      <c r="G159" s="15">
        <v>0</v>
      </c>
      <c r="H159" s="15">
        <v>2</v>
      </c>
      <c r="I159" s="15">
        <v>2</v>
      </c>
      <c r="J159" s="15">
        <v>1</v>
      </c>
      <c r="K159" s="15">
        <v>0</v>
      </c>
      <c r="L159" s="15">
        <v>2</v>
      </c>
      <c r="M159" s="15">
        <v>1</v>
      </c>
      <c r="N159" s="15">
        <v>0</v>
      </c>
      <c r="O159" s="15">
        <v>0</v>
      </c>
      <c r="P159" s="15">
        <v>0</v>
      </c>
      <c r="Q159" s="15">
        <v>1</v>
      </c>
      <c r="R159" s="15">
        <v>0</v>
      </c>
      <c r="S159" s="15">
        <v>3</v>
      </c>
      <c r="T159" s="15">
        <v>0</v>
      </c>
      <c r="U159" s="15">
        <v>0</v>
      </c>
      <c r="V159" s="15">
        <v>0</v>
      </c>
      <c r="W159" s="15">
        <v>1</v>
      </c>
      <c r="X159" s="15">
        <v>2</v>
      </c>
      <c r="Y159" s="15">
        <v>0</v>
      </c>
      <c r="Z159" s="15">
        <v>0</v>
      </c>
      <c r="AA159" s="15">
        <v>1</v>
      </c>
      <c r="AB159" s="15">
        <v>0</v>
      </c>
      <c r="AC159" s="15">
        <v>1</v>
      </c>
      <c r="AD159" s="15">
        <v>0</v>
      </c>
      <c r="AE159" s="15">
        <v>0</v>
      </c>
      <c r="AF159" s="15">
        <v>0</v>
      </c>
      <c r="AG159" s="13">
        <f t="shared" si="13"/>
        <v>17</v>
      </c>
      <c r="AH159" s="5"/>
      <c r="AI159" s="5"/>
    </row>
    <row r="160" spans="1:35" ht="12.75" customHeight="1" x14ac:dyDescent="0.3">
      <c r="A160" s="19"/>
      <c r="B160" s="27"/>
      <c r="C160" s="28" t="s">
        <v>137</v>
      </c>
      <c r="D160" s="29"/>
      <c r="E160" s="15">
        <v>0</v>
      </c>
      <c r="F160" s="15">
        <v>0</v>
      </c>
      <c r="G160" s="15">
        <v>1</v>
      </c>
      <c r="H160" s="15">
        <v>0</v>
      </c>
      <c r="I160" s="15">
        <v>0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2</v>
      </c>
      <c r="P160" s="15">
        <v>0</v>
      </c>
      <c r="Q160" s="15">
        <v>0</v>
      </c>
      <c r="R160" s="15">
        <v>0</v>
      </c>
      <c r="S160" s="15">
        <v>0</v>
      </c>
      <c r="T160" s="15">
        <v>0</v>
      </c>
      <c r="U160" s="15">
        <v>0</v>
      </c>
      <c r="V160" s="15">
        <v>0</v>
      </c>
      <c r="W160" s="15">
        <v>0</v>
      </c>
      <c r="X160" s="15">
        <v>0</v>
      </c>
      <c r="Y160" s="15">
        <v>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3">
        <f t="shared" si="13"/>
        <v>4</v>
      </c>
      <c r="AH160" s="5"/>
      <c r="AI160" s="5"/>
    </row>
    <row r="161" spans="1:35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F161" si="28">SUM(E158:E160)</f>
        <v>1</v>
      </c>
      <c r="F161" s="34">
        <f t="shared" si="28"/>
        <v>2</v>
      </c>
      <c r="G161" s="34">
        <f t="shared" si="28"/>
        <v>1</v>
      </c>
      <c r="H161" s="34">
        <f t="shared" si="28"/>
        <v>2</v>
      </c>
      <c r="I161" s="34">
        <f t="shared" si="28"/>
        <v>2</v>
      </c>
      <c r="J161" s="34">
        <f t="shared" si="28"/>
        <v>1</v>
      </c>
      <c r="K161" s="34">
        <f t="shared" si="28"/>
        <v>0</v>
      </c>
      <c r="L161" s="34">
        <f t="shared" si="28"/>
        <v>2</v>
      </c>
      <c r="M161" s="34">
        <f t="shared" si="28"/>
        <v>2</v>
      </c>
      <c r="N161" s="34">
        <f t="shared" si="28"/>
        <v>0</v>
      </c>
      <c r="O161" s="34">
        <f t="shared" si="28"/>
        <v>4</v>
      </c>
      <c r="P161" s="34">
        <f t="shared" si="28"/>
        <v>1</v>
      </c>
      <c r="Q161" s="34">
        <f t="shared" si="28"/>
        <v>1</v>
      </c>
      <c r="R161" s="34">
        <f t="shared" si="28"/>
        <v>2</v>
      </c>
      <c r="S161" s="34">
        <f t="shared" si="28"/>
        <v>3</v>
      </c>
      <c r="T161" s="34">
        <f t="shared" si="28"/>
        <v>1</v>
      </c>
      <c r="U161" s="34">
        <f t="shared" si="28"/>
        <v>0</v>
      </c>
      <c r="V161" s="34">
        <f t="shared" si="28"/>
        <v>0</v>
      </c>
      <c r="W161" s="34">
        <f t="shared" si="28"/>
        <v>2</v>
      </c>
      <c r="X161" s="34">
        <f t="shared" si="28"/>
        <v>2</v>
      </c>
      <c r="Y161" s="34">
        <f t="shared" si="28"/>
        <v>1</v>
      </c>
      <c r="Z161" s="34">
        <f t="shared" si="28"/>
        <v>0</v>
      </c>
      <c r="AA161" s="34">
        <f t="shared" si="28"/>
        <v>2</v>
      </c>
      <c r="AB161" s="34">
        <f t="shared" si="28"/>
        <v>0</v>
      </c>
      <c r="AC161" s="34">
        <f t="shared" si="28"/>
        <v>1</v>
      </c>
      <c r="AD161" s="34">
        <f t="shared" si="28"/>
        <v>1</v>
      </c>
      <c r="AE161" s="34">
        <f t="shared" si="28"/>
        <v>0</v>
      </c>
      <c r="AF161" s="34">
        <f t="shared" si="28"/>
        <v>1</v>
      </c>
      <c r="AG161" s="13">
        <f t="shared" si="13"/>
        <v>35</v>
      </c>
      <c r="AH161" s="5"/>
      <c r="AI161" s="5"/>
    </row>
    <row r="162" spans="1:35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13">
        <f t="shared" si="13"/>
        <v>0</v>
      </c>
      <c r="AH162" s="5"/>
      <c r="AI162" s="5"/>
    </row>
    <row r="163" spans="1:35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0</v>
      </c>
      <c r="G163" s="15">
        <v>0</v>
      </c>
      <c r="H163" s="15">
        <v>0</v>
      </c>
      <c r="I163" s="15">
        <v>0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1</v>
      </c>
      <c r="R163" s="15">
        <v>0</v>
      </c>
      <c r="S163" s="15">
        <v>1</v>
      </c>
      <c r="T163" s="15">
        <v>0</v>
      </c>
      <c r="U163" s="15">
        <v>0</v>
      </c>
      <c r="V163" s="15">
        <v>0</v>
      </c>
      <c r="W163" s="15">
        <v>4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3">
        <f t="shared" si="13"/>
        <v>6</v>
      </c>
      <c r="AH163" s="5"/>
      <c r="AI163" s="5"/>
    </row>
    <row r="164" spans="1:35" ht="12.75" customHeight="1" x14ac:dyDescent="0.3">
      <c r="A164" s="19" t="s">
        <v>39</v>
      </c>
      <c r="B164" s="26"/>
      <c r="C164" s="28" t="s">
        <v>140</v>
      </c>
      <c r="D164" s="40"/>
      <c r="E164" s="15">
        <v>0</v>
      </c>
      <c r="F164" s="15">
        <v>0</v>
      </c>
      <c r="G164" s="15">
        <v>2</v>
      </c>
      <c r="H164" s="15">
        <v>0</v>
      </c>
      <c r="I164" s="15">
        <v>0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1</v>
      </c>
      <c r="T164" s="15">
        <v>0</v>
      </c>
      <c r="U164" s="15">
        <v>0</v>
      </c>
      <c r="V164" s="15">
        <v>0</v>
      </c>
      <c r="W164" s="15">
        <v>3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3">
        <f t="shared" si="13"/>
        <v>6</v>
      </c>
      <c r="AH164" s="5"/>
      <c r="AI164" s="5"/>
    </row>
    <row r="165" spans="1:35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F165" si="29">SUM(E163:E164)</f>
        <v>0</v>
      </c>
      <c r="F165" s="34">
        <f t="shared" si="29"/>
        <v>0</v>
      </c>
      <c r="G165" s="34">
        <f t="shared" si="29"/>
        <v>2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0</v>
      </c>
      <c r="N165" s="34">
        <f t="shared" si="29"/>
        <v>0</v>
      </c>
      <c r="O165" s="34">
        <f t="shared" si="29"/>
        <v>0</v>
      </c>
      <c r="P165" s="34">
        <f t="shared" si="29"/>
        <v>0</v>
      </c>
      <c r="Q165" s="34">
        <f t="shared" si="29"/>
        <v>1</v>
      </c>
      <c r="R165" s="34">
        <f t="shared" si="29"/>
        <v>0</v>
      </c>
      <c r="S165" s="34">
        <f t="shared" si="29"/>
        <v>2</v>
      </c>
      <c r="T165" s="34">
        <f t="shared" si="29"/>
        <v>0</v>
      </c>
      <c r="U165" s="34">
        <f t="shared" si="29"/>
        <v>0</v>
      </c>
      <c r="V165" s="34">
        <f t="shared" si="29"/>
        <v>0</v>
      </c>
      <c r="W165" s="34">
        <f t="shared" si="29"/>
        <v>7</v>
      </c>
      <c r="X165" s="34">
        <f t="shared" si="29"/>
        <v>0</v>
      </c>
      <c r="Y165" s="34">
        <f t="shared" si="29"/>
        <v>0</v>
      </c>
      <c r="Z165" s="34">
        <f t="shared" si="29"/>
        <v>0</v>
      </c>
      <c r="AA165" s="34">
        <f t="shared" si="29"/>
        <v>0</v>
      </c>
      <c r="AB165" s="34">
        <f t="shared" si="29"/>
        <v>0</v>
      </c>
      <c r="AC165" s="34">
        <f t="shared" si="29"/>
        <v>0</v>
      </c>
      <c r="AD165" s="34">
        <f t="shared" si="29"/>
        <v>0</v>
      </c>
      <c r="AE165" s="34">
        <f t="shared" si="29"/>
        <v>0</v>
      </c>
      <c r="AF165" s="34">
        <f t="shared" si="29"/>
        <v>0</v>
      </c>
      <c r="AG165" s="13">
        <f t="shared" si="13"/>
        <v>12</v>
      </c>
      <c r="AH165" s="1"/>
      <c r="AI165" s="1"/>
    </row>
    <row r="166" spans="1:35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13">
        <f t="shared" si="13"/>
        <v>0</v>
      </c>
      <c r="AH166" s="31"/>
      <c r="AI166" s="31"/>
    </row>
    <row r="167" spans="1:35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1</v>
      </c>
      <c r="F167" s="15">
        <v>1</v>
      </c>
      <c r="G167" s="15">
        <v>1</v>
      </c>
      <c r="H167" s="15">
        <v>0</v>
      </c>
      <c r="I167" s="15">
        <v>0</v>
      </c>
      <c r="J167" s="15">
        <v>0</v>
      </c>
      <c r="K167" s="15">
        <v>0</v>
      </c>
      <c r="L167" s="15">
        <v>1</v>
      </c>
      <c r="M167" s="15">
        <v>0</v>
      </c>
      <c r="N167" s="15">
        <v>0</v>
      </c>
      <c r="O167" s="15">
        <v>1</v>
      </c>
      <c r="P167" s="15">
        <v>3</v>
      </c>
      <c r="Q167" s="15">
        <v>0</v>
      </c>
      <c r="R167" s="15">
        <v>0</v>
      </c>
      <c r="S167" s="15">
        <v>0</v>
      </c>
      <c r="T167" s="15">
        <v>1</v>
      </c>
      <c r="U167" s="15">
        <v>0</v>
      </c>
      <c r="V167" s="15">
        <v>0</v>
      </c>
      <c r="W167" s="15">
        <v>2</v>
      </c>
      <c r="X167" s="15">
        <v>0</v>
      </c>
      <c r="Y167" s="15">
        <v>0</v>
      </c>
      <c r="Z167" s="15">
        <v>0</v>
      </c>
      <c r="AA167" s="15">
        <v>3</v>
      </c>
      <c r="AB167" s="15">
        <v>0</v>
      </c>
      <c r="AC167" s="15">
        <v>1</v>
      </c>
      <c r="AD167" s="15">
        <v>0</v>
      </c>
      <c r="AE167" s="15">
        <v>0</v>
      </c>
      <c r="AF167" s="15">
        <v>1</v>
      </c>
      <c r="AG167" s="13">
        <f t="shared" si="13"/>
        <v>16</v>
      </c>
      <c r="AH167" s="5"/>
      <c r="AI167" s="5"/>
    </row>
    <row r="168" spans="1:35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2</v>
      </c>
      <c r="G168" s="15">
        <v>1</v>
      </c>
      <c r="H168" s="15">
        <v>0</v>
      </c>
      <c r="I168" s="15">
        <v>1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1</v>
      </c>
      <c r="T168" s="15">
        <v>0</v>
      </c>
      <c r="U168" s="15">
        <v>0</v>
      </c>
      <c r="V168" s="15">
        <v>0</v>
      </c>
      <c r="W168" s="15">
        <v>1</v>
      </c>
      <c r="X168" s="15">
        <v>0</v>
      </c>
      <c r="Y168" s="15">
        <v>0</v>
      </c>
      <c r="Z168" s="15">
        <v>0</v>
      </c>
      <c r="AA168" s="15">
        <v>0</v>
      </c>
      <c r="AB168" s="15">
        <v>0</v>
      </c>
      <c r="AC168" s="15">
        <v>8</v>
      </c>
      <c r="AD168" s="15">
        <v>0</v>
      </c>
      <c r="AE168" s="15">
        <v>0</v>
      </c>
      <c r="AF168" s="15">
        <v>20</v>
      </c>
      <c r="AG168" s="13">
        <f t="shared" si="13"/>
        <v>34</v>
      </c>
      <c r="AH168" s="5"/>
      <c r="AI168" s="5"/>
    </row>
    <row r="169" spans="1:35" ht="12.75" customHeight="1" x14ac:dyDescent="0.3">
      <c r="A169" s="14"/>
      <c r="B169" s="27"/>
      <c r="C169" s="28" t="s">
        <v>144</v>
      </c>
      <c r="D169" s="29"/>
      <c r="E169" s="15">
        <v>0</v>
      </c>
      <c r="F169" s="15">
        <v>0</v>
      </c>
      <c r="G169" s="15">
        <v>0</v>
      </c>
      <c r="H169" s="15">
        <v>0</v>
      </c>
      <c r="I169" s="15">
        <v>0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1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0</v>
      </c>
      <c r="Y169" s="15">
        <v>0</v>
      </c>
      <c r="Z169" s="15">
        <v>0</v>
      </c>
      <c r="AA169" s="15">
        <v>1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3">
        <f t="shared" si="13"/>
        <v>2</v>
      </c>
      <c r="AH169" s="5"/>
      <c r="AI169" s="5"/>
    </row>
    <row r="170" spans="1:35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5">
        <v>0</v>
      </c>
      <c r="X170" s="15">
        <v>0</v>
      </c>
      <c r="Y170" s="15">
        <v>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3">
        <f t="shared" si="13"/>
        <v>1</v>
      </c>
      <c r="AH170" s="5"/>
      <c r="AI170" s="5"/>
    </row>
    <row r="171" spans="1:35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0</v>
      </c>
      <c r="H171" s="15">
        <v>0</v>
      </c>
      <c r="I171" s="15">
        <v>0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1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0</v>
      </c>
      <c r="AC171" s="15">
        <v>0</v>
      </c>
      <c r="AD171" s="15">
        <v>1</v>
      </c>
      <c r="AE171" s="15">
        <v>0</v>
      </c>
      <c r="AF171" s="15">
        <v>0</v>
      </c>
      <c r="AG171" s="13">
        <f t="shared" si="13"/>
        <v>2</v>
      </c>
      <c r="AH171" s="5"/>
      <c r="AI171" s="5"/>
    </row>
    <row r="172" spans="1:35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1</v>
      </c>
      <c r="I172" s="15">
        <v>0</v>
      </c>
      <c r="J172" s="15">
        <v>0</v>
      </c>
      <c r="K172" s="15">
        <v>0</v>
      </c>
      <c r="L172" s="15">
        <v>1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0</v>
      </c>
      <c r="Y172" s="15">
        <v>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3">
        <f t="shared" si="13"/>
        <v>3</v>
      </c>
      <c r="AH172" s="5"/>
      <c r="AI172" s="5"/>
    </row>
    <row r="173" spans="1:35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0</v>
      </c>
      <c r="G173" s="15">
        <v>0</v>
      </c>
      <c r="H173" s="15">
        <v>1</v>
      </c>
      <c r="I173" s="15">
        <v>0</v>
      </c>
      <c r="J173" s="15">
        <v>0</v>
      </c>
      <c r="K173" s="15">
        <v>0</v>
      </c>
      <c r="L173" s="15">
        <v>0</v>
      </c>
      <c r="M173" s="15">
        <v>1</v>
      </c>
      <c r="N173" s="15">
        <v>0</v>
      </c>
      <c r="O173" s="15">
        <v>1</v>
      </c>
      <c r="P173" s="15">
        <v>0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3">
        <f t="shared" si="13"/>
        <v>3</v>
      </c>
      <c r="AH173" s="5"/>
      <c r="AI173" s="5"/>
    </row>
    <row r="174" spans="1:35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0</v>
      </c>
      <c r="L174" s="15">
        <v>0</v>
      </c>
      <c r="M174" s="15">
        <v>1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1</v>
      </c>
      <c r="T174" s="15">
        <v>0</v>
      </c>
      <c r="U174" s="15">
        <v>1</v>
      </c>
      <c r="V174" s="15">
        <v>0</v>
      </c>
      <c r="W174" s="15">
        <v>0</v>
      </c>
      <c r="X174" s="15">
        <v>2</v>
      </c>
      <c r="Y174" s="15">
        <v>3</v>
      </c>
      <c r="Z174" s="15">
        <v>0</v>
      </c>
      <c r="AA174" s="15">
        <v>1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3">
        <f t="shared" si="13"/>
        <v>9</v>
      </c>
      <c r="AH174" s="5"/>
      <c r="AI174" s="5"/>
    </row>
    <row r="175" spans="1:35" ht="12.75" customHeight="1" x14ac:dyDescent="0.3">
      <c r="A175" s="15" t="s">
        <v>15</v>
      </c>
      <c r="B175" s="48" t="s">
        <v>47</v>
      </c>
      <c r="C175" s="49"/>
      <c r="D175" s="50"/>
      <c r="E175" s="34">
        <f>SUM(E167:E174)</f>
        <v>1</v>
      </c>
      <c r="F175" s="34">
        <f t="shared" ref="F175:AF175" si="30">SUM(F167:F174)</f>
        <v>3</v>
      </c>
      <c r="G175" s="34">
        <f t="shared" si="30"/>
        <v>2</v>
      </c>
      <c r="H175" s="34">
        <f t="shared" si="30"/>
        <v>2</v>
      </c>
      <c r="I175" s="34">
        <f t="shared" si="30"/>
        <v>1</v>
      </c>
      <c r="J175" s="34">
        <f t="shared" si="30"/>
        <v>0</v>
      </c>
      <c r="K175" s="34">
        <f t="shared" si="30"/>
        <v>0</v>
      </c>
      <c r="L175" s="34">
        <f t="shared" si="30"/>
        <v>2</v>
      </c>
      <c r="M175" s="34">
        <f t="shared" si="30"/>
        <v>2</v>
      </c>
      <c r="N175" s="34">
        <f t="shared" si="30"/>
        <v>0</v>
      </c>
      <c r="O175" s="34">
        <f t="shared" si="30"/>
        <v>3</v>
      </c>
      <c r="P175" s="34">
        <f t="shared" si="30"/>
        <v>3</v>
      </c>
      <c r="Q175" s="34">
        <f t="shared" si="30"/>
        <v>0</v>
      </c>
      <c r="R175" s="34">
        <f t="shared" si="30"/>
        <v>0</v>
      </c>
      <c r="S175" s="34">
        <f t="shared" si="30"/>
        <v>3</v>
      </c>
      <c r="T175" s="34">
        <f t="shared" si="30"/>
        <v>1</v>
      </c>
      <c r="U175" s="34">
        <f t="shared" si="30"/>
        <v>1</v>
      </c>
      <c r="V175" s="34">
        <f t="shared" si="30"/>
        <v>0</v>
      </c>
      <c r="W175" s="34">
        <f t="shared" si="30"/>
        <v>3</v>
      </c>
      <c r="X175" s="34">
        <f t="shared" si="30"/>
        <v>2</v>
      </c>
      <c r="Y175" s="34">
        <f t="shared" si="30"/>
        <v>5</v>
      </c>
      <c r="Z175" s="34">
        <f t="shared" si="30"/>
        <v>0</v>
      </c>
      <c r="AA175" s="34">
        <f t="shared" si="30"/>
        <v>5</v>
      </c>
      <c r="AB175" s="34">
        <f t="shared" si="30"/>
        <v>0</v>
      </c>
      <c r="AC175" s="34">
        <f t="shared" si="30"/>
        <v>9</v>
      </c>
      <c r="AD175" s="34">
        <f t="shared" si="30"/>
        <v>1</v>
      </c>
      <c r="AE175" s="34">
        <f t="shared" si="30"/>
        <v>0</v>
      </c>
      <c r="AF175" s="34">
        <f t="shared" si="30"/>
        <v>21</v>
      </c>
      <c r="AG175" s="13">
        <f t="shared" si="13"/>
        <v>70</v>
      </c>
      <c r="AH175" s="5"/>
      <c r="AI175" s="5"/>
    </row>
    <row r="176" spans="1:35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13">
        <f t="shared" si="13"/>
        <v>0</v>
      </c>
      <c r="AH176" s="1"/>
      <c r="AI176" s="1"/>
    </row>
    <row r="177" spans="1:35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1</v>
      </c>
      <c r="H177" s="15">
        <v>0</v>
      </c>
      <c r="I177" s="15">
        <v>0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5">
        <v>0</v>
      </c>
      <c r="X177" s="15">
        <v>0</v>
      </c>
      <c r="Y177" s="15">
        <v>0</v>
      </c>
      <c r="Z177" s="15">
        <v>1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3">
        <f t="shared" si="13"/>
        <v>2</v>
      </c>
    </row>
    <row r="178" spans="1:35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5">
        <v>0</v>
      </c>
      <c r="X178" s="15">
        <v>1</v>
      </c>
      <c r="Y178" s="15">
        <v>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3">
        <f t="shared" si="13"/>
        <v>1</v>
      </c>
      <c r="AH178" s="5"/>
      <c r="AI178" s="5"/>
    </row>
    <row r="179" spans="1:35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1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5">
        <v>0</v>
      </c>
      <c r="W179" s="15">
        <v>1</v>
      </c>
      <c r="X179" s="15">
        <v>1</v>
      </c>
      <c r="Y179" s="15">
        <v>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3">
        <f t="shared" si="13"/>
        <v>3</v>
      </c>
      <c r="AH179" s="5"/>
      <c r="AI179" s="5"/>
    </row>
    <row r="180" spans="1:35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1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5">
        <v>0</v>
      </c>
      <c r="X180" s="15">
        <v>0</v>
      </c>
      <c r="Y180" s="15">
        <v>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3">
        <f t="shared" si="13"/>
        <v>2</v>
      </c>
      <c r="AH180" s="5"/>
      <c r="AI180" s="5"/>
    </row>
    <row r="181" spans="1:35" ht="12.75" customHeight="1" x14ac:dyDescent="0.3">
      <c r="A181" s="15" t="s">
        <v>15</v>
      </c>
      <c r="B181" s="48" t="s">
        <v>47</v>
      </c>
      <c r="C181" s="49"/>
      <c r="D181" s="50"/>
      <c r="E181" s="34">
        <f>SUM(E177:E180)</f>
        <v>0</v>
      </c>
      <c r="F181" s="34">
        <f t="shared" ref="F181:AF181" si="31">SUM(F177:F180)</f>
        <v>1</v>
      </c>
      <c r="G181" s="34">
        <f t="shared" si="31"/>
        <v>1</v>
      </c>
      <c r="H181" s="34">
        <f t="shared" si="31"/>
        <v>1</v>
      </c>
      <c r="I181" s="34">
        <f t="shared" si="31"/>
        <v>0</v>
      </c>
      <c r="J181" s="34">
        <f t="shared" si="31"/>
        <v>0</v>
      </c>
      <c r="K181" s="34">
        <f t="shared" si="31"/>
        <v>0</v>
      </c>
      <c r="L181" s="34">
        <f t="shared" si="31"/>
        <v>0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0</v>
      </c>
      <c r="Q181" s="34">
        <f t="shared" si="31"/>
        <v>0</v>
      </c>
      <c r="R181" s="34">
        <f t="shared" si="31"/>
        <v>0</v>
      </c>
      <c r="S181" s="34">
        <f t="shared" si="31"/>
        <v>0</v>
      </c>
      <c r="T181" s="34">
        <f t="shared" si="31"/>
        <v>0</v>
      </c>
      <c r="U181" s="34">
        <f t="shared" si="31"/>
        <v>0</v>
      </c>
      <c r="V181" s="34">
        <f t="shared" si="31"/>
        <v>0</v>
      </c>
      <c r="W181" s="34">
        <f t="shared" si="31"/>
        <v>1</v>
      </c>
      <c r="X181" s="34">
        <f t="shared" si="31"/>
        <v>2</v>
      </c>
      <c r="Y181" s="34">
        <f t="shared" si="31"/>
        <v>1</v>
      </c>
      <c r="Z181" s="34">
        <f t="shared" si="31"/>
        <v>1</v>
      </c>
      <c r="AA181" s="34">
        <f t="shared" si="31"/>
        <v>0</v>
      </c>
      <c r="AB181" s="34">
        <f t="shared" si="31"/>
        <v>0</v>
      </c>
      <c r="AC181" s="34">
        <f t="shared" si="31"/>
        <v>0</v>
      </c>
      <c r="AD181" s="34">
        <f t="shared" si="31"/>
        <v>0</v>
      </c>
      <c r="AE181" s="34">
        <f t="shared" si="31"/>
        <v>0</v>
      </c>
      <c r="AF181" s="34">
        <f t="shared" si="31"/>
        <v>0</v>
      </c>
      <c r="AG181" s="13">
        <f t="shared" si="13"/>
        <v>8</v>
      </c>
      <c r="AH181" s="5"/>
      <c r="AI181" s="5"/>
    </row>
    <row r="182" spans="1:35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3">
        <f t="shared" si="13"/>
        <v>0</v>
      </c>
      <c r="AH182" s="5"/>
      <c r="AI182" s="5"/>
    </row>
    <row r="183" spans="1:35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>
        <f t="shared" si="13"/>
        <v>0</v>
      </c>
      <c r="AH183" s="5"/>
      <c r="AI183" s="5"/>
    </row>
    <row r="184" spans="1:35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215</v>
      </c>
      <c r="F184" s="15">
        <f t="shared" ref="F184:AG184" si="32">F53+F63+F73+F83+F93+F97+F101+F111+F115+F125+F129+F136+F146+F156+F161+F165+F175+F181</f>
        <v>199</v>
      </c>
      <c r="G184" s="15">
        <f t="shared" si="32"/>
        <v>218</v>
      </c>
      <c r="H184" s="15">
        <f t="shared" si="32"/>
        <v>226</v>
      </c>
      <c r="I184" s="15">
        <f t="shared" si="32"/>
        <v>216</v>
      </c>
      <c r="J184" s="15">
        <f t="shared" si="32"/>
        <v>232</v>
      </c>
      <c r="K184" s="15">
        <f t="shared" si="32"/>
        <v>199</v>
      </c>
      <c r="L184" s="15">
        <f t="shared" si="32"/>
        <v>228</v>
      </c>
      <c r="M184" s="15">
        <f t="shared" si="32"/>
        <v>241</v>
      </c>
      <c r="N184" s="15">
        <f t="shared" si="32"/>
        <v>208</v>
      </c>
      <c r="O184" s="15">
        <f t="shared" si="32"/>
        <v>208</v>
      </c>
      <c r="P184" s="15">
        <f t="shared" si="32"/>
        <v>218</v>
      </c>
      <c r="Q184" s="15">
        <f t="shared" si="32"/>
        <v>231</v>
      </c>
      <c r="R184" s="15">
        <f t="shared" si="32"/>
        <v>217</v>
      </c>
      <c r="S184" s="15">
        <f t="shared" si="32"/>
        <v>203</v>
      </c>
      <c r="T184" s="15">
        <f t="shared" si="32"/>
        <v>166</v>
      </c>
      <c r="U184" s="15">
        <f t="shared" si="32"/>
        <v>162</v>
      </c>
      <c r="V184" s="15">
        <f t="shared" si="32"/>
        <v>227</v>
      </c>
      <c r="W184" s="15">
        <f t="shared" si="32"/>
        <v>216</v>
      </c>
      <c r="X184" s="15">
        <f t="shared" si="32"/>
        <v>225</v>
      </c>
      <c r="Y184" s="15">
        <f t="shared" si="32"/>
        <v>173</v>
      </c>
      <c r="Z184" s="15">
        <f t="shared" si="32"/>
        <v>171</v>
      </c>
      <c r="AA184" s="15">
        <f t="shared" si="32"/>
        <v>173</v>
      </c>
      <c r="AB184" s="15">
        <f t="shared" si="32"/>
        <v>179</v>
      </c>
      <c r="AC184" s="15">
        <f t="shared" si="32"/>
        <v>195</v>
      </c>
      <c r="AD184" s="15">
        <f t="shared" si="32"/>
        <v>171</v>
      </c>
      <c r="AE184" s="15">
        <f t="shared" si="32"/>
        <v>123</v>
      </c>
      <c r="AF184" s="15">
        <f t="shared" si="32"/>
        <v>157</v>
      </c>
      <c r="AG184" s="15">
        <f t="shared" si="32"/>
        <v>5597</v>
      </c>
      <c r="AH184" s="5"/>
      <c r="AI184" s="5"/>
    </row>
    <row r="185" spans="1:35" ht="12.75" customHeight="1" x14ac:dyDescent="0.3">
      <c r="A185" s="21"/>
      <c r="B185" s="42" t="s">
        <v>159</v>
      </c>
      <c r="C185" s="52" t="s">
        <v>160</v>
      </c>
      <c r="D185" s="50"/>
      <c r="E185" s="15">
        <v>16</v>
      </c>
      <c r="F185" s="15">
        <v>6</v>
      </c>
      <c r="G185" s="15">
        <v>12</v>
      </c>
      <c r="H185" s="15">
        <v>24</v>
      </c>
      <c r="I185" s="15">
        <v>14</v>
      </c>
      <c r="J185" s="15">
        <v>9</v>
      </c>
      <c r="K185" s="15">
        <v>13</v>
      </c>
      <c r="L185" s="15">
        <v>11</v>
      </c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3">
        <f t="shared" si="13"/>
        <v>105</v>
      </c>
      <c r="AH185" s="5"/>
      <c r="AI185" s="5"/>
    </row>
    <row r="186" spans="1:35" ht="12.75" customHeight="1" x14ac:dyDescent="0.3">
      <c r="A186" s="24"/>
      <c r="B186" s="42" t="s">
        <v>161</v>
      </c>
      <c r="C186" s="52" t="s">
        <v>162</v>
      </c>
      <c r="D186" s="50"/>
      <c r="E186" s="13">
        <f>SUM(E184:E185)</f>
        <v>231</v>
      </c>
      <c r="F186" s="13">
        <f t="shared" ref="F186:AF186" si="33">SUM(F184:F185)</f>
        <v>205</v>
      </c>
      <c r="G186" s="13">
        <f t="shared" si="33"/>
        <v>230</v>
      </c>
      <c r="H186" s="13">
        <f t="shared" si="33"/>
        <v>250</v>
      </c>
      <c r="I186" s="13">
        <f t="shared" si="33"/>
        <v>230</v>
      </c>
      <c r="J186" s="13">
        <f t="shared" si="33"/>
        <v>241</v>
      </c>
      <c r="K186" s="13">
        <f t="shared" si="33"/>
        <v>212</v>
      </c>
      <c r="L186" s="13">
        <f t="shared" si="33"/>
        <v>239</v>
      </c>
      <c r="M186" s="13">
        <f t="shared" si="33"/>
        <v>241</v>
      </c>
      <c r="N186" s="13">
        <f t="shared" si="33"/>
        <v>208</v>
      </c>
      <c r="O186" s="13">
        <f t="shared" si="33"/>
        <v>208</v>
      </c>
      <c r="P186" s="13">
        <f t="shared" si="33"/>
        <v>218</v>
      </c>
      <c r="Q186" s="13">
        <f t="shared" si="33"/>
        <v>231</v>
      </c>
      <c r="R186" s="13">
        <f t="shared" si="33"/>
        <v>217</v>
      </c>
      <c r="S186" s="13">
        <f t="shared" si="33"/>
        <v>203</v>
      </c>
      <c r="T186" s="13">
        <f t="shared" si="33"/>
        <v>166</v>
      </c>
      <c r="U186" s="13">
        <f t="shared" si="33"/>
        <v>162</v>
      </c>
      <c r="V186" s="13">
        <f t="shared" si="33"/>
        <v>227</v>
      </c>
      <c r="W186" s="13">
        <f t="shared" si="33"/>
        <v>216</v>
      </c>
      <c r="X186" s="13">
        <f t="shared" si="33"/>
        <v>225</v>
      </c>
      <c r="Y186" s="13">
        <f t="shared" si="33"/>
        <v>173</v>
      </c>
      <c r="Z186" s="13">
        <f t="shared" si="33"/>
        <v>171</v>
      </c>
      <c r="AA186" s="13">
        <f t="shared" si="33"/>
        <v>173</v>
      </c>
      <c r="AB186" s="13">
        <f t="shared" si="33"/>
        <v>179</v>
      </c>
      <c r="AC186" s="13">
        <f t="shared" si="33"/>
        <v>195</v>
      </c>
      <c r="AD186" s="13">
        <f t="shared" si="33"/>
        <v>171</v>
      </c>
      <c r="AE186" s="13">
        <f t="shared" si="33"/>
        <v>123</v>
      </c>
      <c r="AF186" s="13">
        <f t="shared" si="33"/>
        <v>157</v>
      </c>
      <c r="AG186" s="13">
        <f t="shared" si="13"/>
        <v>5702</v>
      </c>
      <c r="AH186" s="5"/>
      <c r="AI186" s="5"/>
    </row>
    <row r="187" spans="1:35" ht="12.75" customHeight="1" x14ac:dyDescent="0.3"/>
    <row r="188" spans="1:35" ht="12.75" customHeight="1" x14ac:dyDescent="0.3"/>
    <row r="189" spans="1:35" ht="12.75" customHeight="1" x14ac:dyDescent="0.3"/>
    <row r="190" spans="1:35" ht="12.75" customHeight="1" x14ac:dyDescent="0.3"/>
    <row r="191" spans="1:35" ht="12.75" customHeight="1" x14ac:dyDescent="0.3"/>
    <row r="192" spans="1:35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F12"/>
    <mergeCell ref="AG12:AG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229" priority="2">
      <formula>E34&lt;&gt;E64</formula>
    </cfRule>
  </conditionalFormatting>
  <conditionalFormatting sqref="E14:AF15">
    <cfRule type="containsBlanks" dxfId="228" priority="3">
      <formula>LEN(TRIM(E14))=0</formula>
    </cfRule>
  </conditionalFormatting>
  <conditionalFormatting sqref="E19:AF20">
    <cfRule type="containsBlanks" dxfId="227" priority="4">
      <formula>LEN(TRIM(E19))=0</formula>
    </cfRule>
  </conditionalFormatting>
  <conditionalFormatting sqref="E22:AF23 E25:AF26 E33:AF33 E35:AF35 E39:AF40">
    <cfRule type="containsBlanks" dxfId="226" priority="5">
      <formula>LEN(TRIM(E22))=0</formula>
    </cfRule>
  </conditionalFormatting>
  <conditionalFormatting sqref="E30:AF30">
    <cfRule type="expression" dxfId="225" priority="6">
      <formula>E30&lt;&gt;E47</formula>
    </cfRule>
    <cfRule type="expression" dxfId="224" priority="7">
      <formula>E30&lt;&gt;E34</formula>
    </cfRule>
  </conditionalFormatting>
  <conditionalFormatting sqref="E34:AF34">
    <cfRule type="expression" dxfId="223" priority="8">
      <formula>E30&lt;&gt;E34</formula>
    </cfRule>
    <cfRule type="expression" dxfId="222" priority="9">
      <formula>E30=E34</formula>
    </cfRule>
    <cfRule type="expression" dxfId="221" priority="10">
      <formula>E34&lt;&gt;E30</formula>
    </cfRule>
  </conditionalFormatting>
  <conditionalFormatting sqref="E45:AF52">
    <cfRule type="containsBlanks" dxfId="220" priority="12">
      <formula>LEN(TRIM(E45))=0</formula>
    </cfRule>
  </conditionalFormatting>
  <conditionalFormatting sqref="E55:AF62">
    <cfRule type="containsBlanks" dxfId="219" priority="13">
      <formula>LEN(TRIM(E55))=0</formula>
    </cfRule>
  </conditionalFormatting>
  <conditionalFormatting sqref="E65:AF72">
    <cfRule type="containsBlanks" dxfId="218" priority="14">
      <formula>LEN(TRIM(E65))=0</formula>
    </cfRule>
  </conditionalFormatting>
  <conditionalFormatting sqref="E75:AF82">
    <cfRule type="containsBlanks" dxfId="217" priority="15">
      <formula>LEN(TRIM(E75))=0</formula>
    </cfRule>
  </conditionalFormatting>
  <conditionalFormatting sqref="E85:AF92">
    <cfRule type="containsBlanks" dxfId="216" priority="16">
      <formula>LEN(TRIM(E85))=0</formula>
    </cfRule>
  </conditionalFormatting>
  <conditionalFormatting sqref="E95:AF96">
    <cfRule type="containsBlanks" dxfId="215" priority="17">
      <formula>LEN(TRIM(E95))=0</formula>
    </cfRule>
  </conditionalFormatting>
  <conditionalFormatting sqref="E99:AF100">
    <cfRule type="containsBlanks" dxfId="214" priority="18">
      <formula>LEN(TRIM(E99))=0</formula>
    </cfRule>
  </conditionalFormatting>
  <conditionalFormatting sqref="E103:AF110">
    <cfRule type="containsBlanks" dxfId="213" priority="19">
      <formula>LEN(TRIM(E103))=0</formula>
    </cfRule>
  </conditionalFormatting>
  <conditionalFormatting sqref="E113:AF114">
    <cfRule type="containsBlanks" dxfId="212" priority="20">
      <formula>LEN(TRIM(E113))=0</formula>
    </cfRule>
  </conditionalFormatting>
  <conditionalFormatting sqref="E117:AF124">
    <cfRule type="containsBlanks" dxfId="211" priority="21">
      <formula>LEN(TRIM(E117))=0</formula>
    </cfRule>
  </conditionalFormatting>
  <conditionalFormatting sqref="E127:AF128">
    <cfRule type="containsBlanks" dxfId="210" priority="22">
      <formula>LEN(TRIM(E127))=0</formula>
    </cfRule>
  </conditionalFormatting>
  <conditionalFormatting sqref="E131:AF135">
    <cfRule type="containsBlanks" dxfId="209" priority="23">
      <formula>LEN(TRIM(E131))=0</formula>
    </cfRule>
  </conditionalFormatting>
  <conditionalFormatting sqref="E138:AF145">
    <cfRule type="containsBlanks" dxfId="208" priority="24">
      <formula>LEN(TRIM(E138))=0</formula>
    </cfRule>
  </conditionalFormatting>
  <conditionalFormatting sqref="E148:AF155">
    <cfRule type="containsBlanks" dxfId="207" priority="25">
      <formula>LEN(TRIM(E148))=0</formula>
    </cfRule>
  </conditionalFormatting>
  <conditionalFormatting sqref="E158:AF160">
    <cfRule type="containsBlanks" dxfId="206" priority="26">
      <formula>LEN(TRIM(E158))=0</formula>
    </cfRule>
  </conditionalFormatting>
  <conditionalFormatting sqref="E163:AF164">
    <cfRule type="containsBlanks" dxfId="205" priority="27">
      <formula>LEN(TRIM(E163))=0</formula>
    </cfRule>
  </conditionalFormatting>
  <conditionalFormatting sqref="E167:AF174">
    <cfRule type="containsBlanks" dxfId="204" priority="28">
      <formula>LEN(TRIM(E167))=0</formula>
    </cfRule>
  </conditionalFormatting>
  <conditionalFormatting sqref="E177:AF180">
    <cfRule type="containsBlanks" dxfId="203" priority="29">
      <formula>LEN(TRIM(E177))=0</formula>
    </cfRule>
  </conditionalFormatting>
  <conditionalFormatting sqref="E185:AF185">
    <cfRule type="containsBlanks" dxfId="202" priority="30">
      <formula>LEN(TRIM(E185))=0</formula>
    </cfRule>
  </conditionalFormatting>
  <conditionalFormatting sqref="E186:AF186">
    <cfRule type="expression" dxfId="201" priority="33">
      <formula>#REF!=E186</formula>
    </cfRule>
    <cfRule type="expression" dxfId="200" priority="31">
      <formula>E186&lt;&gt;#REF!</formula>
    </cfRule>
    <cfRule type="expression" dxfId="199" priority="32">
      <formula>#REF!&lt;&gt;E186</formula>
    </cfRule>
  </conditionalFormatting>
  <conditionalFormatting sqref="E184:AG184">
    <cfRule type="containsBlanks" dxfId="198" priority="1">
      <formula>LEN(TRIM(E184))=0</formula>
    </cfRule>
  </conditionalFormatting>
  <conditionalFormatting sqref="U34:AF34">
    <cfRule type="expression" dxfId="197" priority="11">
      <formula>U34&lt;&gt;U47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J922"/>
  <sheetViews>
    <sheetView topLeftCell="A173" workbookViewId="0">
      <selection activeCell="E184" sqref="E184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33" width="8.69921875" customWidth="1"/>
    <col min="34" max="34" width="13.296875" customWidth="1"/>
    <col min="35" max="36" width="8.69921875" customWidth="1"/>
  </cols>
  <sheetData>
    <row r="1" spans="1:34" ht="12.75" customHeight="1" x14ac:dyDescent="0.3"/>
    <row r="2" spans="1:34" ht="12.75" customHeight="1" x14ac:dyDescent="0.3">
      <c r="C2" s="8" t="s">
        <v>0</v>
      </c>
      <c r="D2" s="8" t="s">
        <v>1</v>
      </c>
    </row>
    <row r="3" spans="1:34" ht="12.75" customHeight="1" x14ac:dyDescent="0.3">
      <c r="C3" s="8" t="s">
        <v>2</v>
      </c>
      <c r="D3" s="8" t="s">
        <v>3</v>
      </c>
    </row>
    <row r="4" spans="1:34" ht="12.75" customHeight="1" x14ac:dyDescent="0.3">
      <c r="C4" s="8" t="s">
        <v>4</v>
      </c>
      <c r="D4" s="8" t="s">
        <v>5</v>
      </c>
    </row>
    <row r="5" spans="1:34" ht="12.75" customHeight="1" x14ac:dyDescent="0.3">
      <c r="C5" s="8"/>
      <c r="D5" s="8"/>
    </row>
    <row r="6" spans="1:34" ht="12.75" customHeight="1" x14ac:dyDescent="0.3">
      <c r="C6" s="8"/>
      <c r="D6" s="8"/>
    </row>
    <row r="7" spans="1:34" ht="12.75" customHeight="1" x14ac:dyDescent="0.3">
      <c r="C7" s="8"/>
      <c r="D7" s="8"/>
    </row>
    <row r="8" spans="1:34" ht="12.75" customHeight="1" x14ac:dyDescent="0.3">
      <c r="C8" s="8"/>
      <c r="D8" s="8"/>
    </row>
    <row r="9" spans="1:34" ht="12.75" customHeight="1" x14ac:dyDescent="0.3">
      <c r="C9" s="8" t="s">
        <v>163</v>
      </c>
      <c r="D9" s="8" t="s">
        <v>192</v>
      </c>
    </row>
    <row r="10" spans="1:34" ht="12.75" customHeight="1" x14ac:dyDescent="0.3"/>
    <row r="11" spans="1:34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4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75" t="s">
        <v>8</v>
      </c>
    </row>
    <row r="13" spans="1:34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13" t="s">
        <v>187</v>
      </c>
      <c r="AC13" s="13" t="s">
        <v>188</v>
      </c>
      <c r="AD13" s="13" t="s">
        <v>189</v>
      </c>
      <c r="AE13" s="13" t="s">
        <v>190</v>
      </c>
      <c r="AF13" s="13" t="s">
        <v>191</v>
      </c>
      <c r="AG13" s="13" t="s">
        <v>193</v>
      </c>
      <c r="AH13" s="65"/>
    </row>
    <row r="14" spans="1:34" ht="12.75" customHeight="1" x14ac:dyDescent="0.3">
      <c r="A14" s="14"/>
      <c r="B14" s="57" t="s">
        <v>11</v>
      </c>
      <c r="C14" s="58"/>
      <c r="D14" s="15" t="s">
        <v>12</v>
      </c>
      <c r="E14" s="15">
        <v>137</v>
      </c>
      <c r="F14" s="15">
        <v>124</v>
      </c>
      <c r="G14" s="15">
        <v>141</v>
      </c>
      <c r="H14" s="15">
        <v>143</v>
      </c>
      <c r="I14" s="15">
        <v>136</v>
      </c>
      <c r="J14" s="15">
        <v>145</v>
      </c>
      <c r="K14" s="15">
        <v>145</v>
      </c>
      <c r="L14" s="15">
        <v>145</v>
      </c>
      <c r="M14" s="15">
        <v>134</v>
      </c>
      <c r="N14" s="15">
        <v>123</v>
      </c>
      <c r="O14" s="15">
        <v>138</v>
      </c>
      <c r="P14" s="15">
        <v>130</v>
      </c>
      <c r="Q14" s="15">
        <v>139</v>
      </c>
      <c r="R14" s="15">
        <v>135</v>
      </c>
      <c r="S14" s="15">
        <v>136</v>
      </c>
      <c r="T14" s="15">
        <v>142</v>
      </c>
      <c r="U14" s="15">
        <v>127</v>
      </c>
      <c r="V14" s="15">
        <v>143</v>
      </c>
      <c r="W14" s="15">
        <v>134</v>
      </c>
      <c r="X14" s="15">
        <v>138</v>
      </c>
      <c r="Y14" s="15">
        <v>147</v>
      </c>
      <c r="Z14" s="15">
        <v>145</v>
      </c>
      <c r="AA14" s="15">
        <v>144</v>
      </c>
      <c r="AB14" s="15">
        <v>114</v>
      </c>
      <c r="AC14" s="15">
        <v>130</v>
      </c>
      <c r="AD14" s="15">
        <v>127</v>
      </c>
      <c r="AE14" s="15">
        <v>130</v>
      </c>
      <c r="AF14" s="15">
        <v>85</v>
      </c>
      <c r="AG14" s="15">
        <v>141</v>
      </c>
      <c r="AH14" s="13">
        <f t="shared" ref="AH14:AH16" si="0">SUM(E14:AG14)</f>
        <v>3898</v>
      </c>
    </row>
    <row r="15" spans="1:34" ht="12.75" customHeight="1" x14ac:dyDescent="0.3">
      <c r="A15" s="14"/>
      <c r="B15" s="59"/>
      <c r="C15" s="60"/>
      <c r="D15" s="15" t="s">
        <v>13</v>
      </c>
      <c r="E15" s="15">
        <v>125</v>
      </c>
      <c r="F15" s="15">
        <v>152</v>
      </c>
      <c r="G15" s="15">
        <v>151</v>
      </c>
      <c r="H15" s="15">
        <v>149</v>
      </c>
      <c r="I15" s="15">
        <v>138</v>
      </c>
      <c r="J15" s="15">
        <v>125</v>
      </c>
      <c r="K15" s="15">
        <v>154</v>
      </c>
      <c r="L15" s="15">
        <v>144</v>
      </c>
      <c r="M15" s="15">
        <v>136</v>
      </c>
      <c r="N15" s="15">
        <v>122</v>
      </c>
      <c r="O15" s="15">
        <v>138</v>
      </c>
      <c r="P15" s="15">
        <v>138</v>
      </c>
      <c r="Q15" s="15">
        <v>153</v>
      </c>
      <c r="R15" s="15">
        <v>138</v>
      </c>
      <c r="S15" s="15">
        <v>145</v>
      </c>
      <c r="T15" s="15">
        <v>151</v>
      </c>
      <c r="U15" s="15">
        <v>127</v>
      </c>
      <c r="V15" s="15">
        <v>135</v>
      </c>
      <c r="W15" s="15">
        <v>132</v>
      </c>
      <c r="X15" s="15">
        <v>137</v>
      </c>
      <c r="Y15" s="15">
        <v>129</v>
      </c>
      <c r="Z15" s="15">
        <v>150</v>
      </c>
      <c r="AA15" s="15">
        <v>145</v>
      </c>
      <c r="AB15" s="15">
        <v>123</v>
      </c>
      <c r="AC15" s="15">
        <v>138</v>
      </c>
      <c r="AD15" s="15">
        <v>142</v>
      </c>
      <c r="AE15" s="15">
        <v>145</v>
      </c>
      <c r="AF15" s="15">
        <v>100</v>
      </c>
      <c r="AG15" s="15">
        <v>128</v>
      </c>
      <c r="AH15" s="13">
        <f t="shared" si="0"/>
        <v>3990</v>
      </c>
    </row>
    <row r="16" spans="1:34" ht="12.75" customHeight="1" x14ac:dyDescent="0.3">
      <c r="A16" s="17"/>
      <c r="B16" s="55"/>
      <c r="C16" s="61"/>
      <c r="D16" s="13" t="s">
        <v>14</v>
      </c>
      <c r="E16" s="13">
        <f t="shared" ref="E16:AG16" si="1">SUM(E14:E15)</f>
        <v>262</v>
      </c>
      <c r="F16" s="13">
        <f t="shared" si="1"/>
        <v>276</v>
      </c>
      <c r="G16" s="13">
        <f t="shared" si="1"/>
        <v>292</v>
      </c>
      <c r="H16" s="13">
        <f t="shared" si="1"/>
        <v>292</v>
      </c>
      <c r="I16" s="13">
        <f t="shared" si="1"/>
        <v>274</v>
      </c>
      <c r="J16" s="13">
        <f t="shared" si="1"/>
        <v>270</v>
      </c>
      <c r="K16" s="13">
        <f t="shared" si="1"/>
        <v>299</v>
      </c>
      <c r="L16" s="13">
        <f t="shared" si="1"/>
        <v>289</v>
      </c>
      <c r="M16" s="13">
        <f t="shared" si="1"/>
        <v>270</v>
      </c>
      <c r="N16" s="13">
        <f t="shared" si="1"/>
        <v>245</v>
      </c>
      <c r="O16" s="13">
        <f t="shared" si="1"/>
        <v>276</v>
      </c>
      <c r="P16" s="13">
        <f t="shared" si="1"/>
        <v>268</v>
      </c>
      <c r="Q16" s="13">
        <f t="shared" si="1"/>
        <v>292</v>
      </c>
      <c r="R16" s="13">
        <f t="shared" si="1"/>
        <v>273</v>
      </c>
      <c r="S16" s="13">
        <f t="shared" si="1"/>
        <v>281</v>
      </c>
      <c r="T16" s="13">
        <f t="shared" si="1"/>
        <v>293</v>
      </c>
      <c r="U16" s="13">
        <f t="shared" si="1"/>
        <v>254</v>
      </c>
      <c r="V16" s="13">
        <f t="shared" si="1"/>
        <v>278</v>
      </c>
      <c r="W16" s="13">
        <f t="shared" si="1"/>
        <v>266</v>
      </c>
      <c r="X16" s="13">
        <f t="shared" si="1"/>
        <v>275</v>
      </c>
      <c r="Y16" s="13">
        <f t="shared" si="1"/>
        <v>276</v>
      </c>
      <c r="Z16" s="13">
        <f t="shared" si="1"/>
        <v>295</v>
      </c>
      <c r="AA16" s="13">
        <f t="shared" si="1"/>
        <v>289</v>
      </c>
      <c r="AB16" s="13">
        <f t="shared" si="1"/>
        <v>237</v>
      </c>
      <c r="AC16" s="13">
        <f t="shared" si="1"/>
        <v>268</v>
      </c>
      <c r="AD16" s="13">
        <f t="shared" si="1"/>
        <v>269</v>
      </c>
      <c r="AE16" s="13">
        <f t="shared" si="1"/>
        <v>275</v>
      </c>
      <c r="AF16" s="13">
        <f t="shared" si="1"/>
        <v>185</v>
      </c>
      <c r="AG16" s="13">
        <f t="shared" si="1"/>
        <v>269</v>
      </c>
      <c r="AH16" s="13">
        <f t="shared" si="0"/>
        <v>7888</v>
      </c>
    </row>
    <row r="17" spans="1:34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6"/>
    </row>
    <row r="18" spans="1:34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6"/>
    </row>
    <row r="19" spans="1:34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89</v>
      </c>
      <c r="F19" s="15">
        <v>90</v>
      </c>
      <c r="G19" s="15">
        <v>90</v>
      </c>
      <c r="H19" s="15">
        <v>87</v>
      </c>
      <c r="I19" s="15">
        <v>103</v>
      </c>
      <c r="J19" s="15">
        <v>110</v>
      </c>
      <c r="K19" s="15">
        <v>88</v>
      </c>
      <c r="L19" s="15">
        <v>104</v>
      </c>
      <c r="M19" s="15">
        <v>100</v>
      </c>
      <c r="N19" s="15">
        <v>87</v>
      </c>
      <c r="O19" s="15">
        <v>101</v>
      </c>
      <c r="P19" s="15">
        <v>85</v>
      </c>
      <c r="Q19" s="15">
        <v>93</v>
      </c>
      <c r="R19" s="15">
        <v>97</v>
      </c>
      <c r="S19" s="15">
        <v>96</v>
      </c>
      <c r="T19" s="15">
        <v>100</v>
      </c>
      <c r="U19" s="15">
        <v>94</v>
      </c>
      <c r="V19" s="15">
        <v>107</v>
      </c>
      <c r="W19" s="15">
        <v>109</v>
      </c>
      <c r="X19" s="15">
        <v>110</v>
      </c>
      <c r="Y19" s="15">
        <v>108</v>
      </c>
      <c r="Z19" s="15">
        <v>89</v>
      </c>
      <c r="AA19" s="15">
        <v>93</v>
      </c>
      <c r="AB19" s="15">
        <v>89</v>
      </c>
      <c r="AC19" s="15">
        <v>92</v>
      </c>
      <c r="AD19" s="15">
        <v>90</v>
      </c>
      <c r="AE19" s="15">
        <v>102</v>
      </c>
      <c r="AF19" s="15">
        <v>65</v>
      </c>
      <c r="AG19" s="15">
        <v>107</v>
      </c>
      <c r="AH19" s="13">
        <f t="shared" ref="AH19:AH30" si="2">SUM(E19:AG19)</f>
        <v>2775</v>
      </c>
    </row>
    <row r="20" spans="1:34" ht="12.75" customHeight="1" x14ac:dyDescent="0.3">
      <c r="A20" s="20"/>
      <c r="B20" s="60"/>
      <c r="C20" s="64"/>
      <c r="D20" s="15" t="s">
        <v>13</v>
      </c>
      <c r="E20" s="15">
        <v>88</v>
      </c>
      <c r="F20" s="15">
        <v>100</v>
      </c>
      <c r="G20" s="15">
        <v>109</v>
      </c>
      <c r="H20" s="15">
        <v>115</v>
      </c>
      <c r="I20" s="15">
        <v>102</v>
      </c>
      <c r="J20" s="15">
        <v>102</v>
      </c>
      <c r="K20" s="15">
        <v>95</v>
      </c>
      <c r="L20" s="15">
        <v>113</v>
      </c>
      <c r="M20" s="15">
        <v>101</v>
      </c>
      <c r="N20" s="15">
        <v>99</v>
      </c>
      <c r="O20" s="15">
        <v>104</v>
      </c>
      <c r="P20" s="15">
        <v>91</v>
      </c>
      <c r="Q20" s="15">
        <v>103</v>
      </c>
      <c r="R20" s="15">
        <v>97</v>
      </c>
      <c r="S20" s="15">
        <v>87</v>
      </c>
      <c r="T20" s="15">
        <v>102</v>
      </c>
      <c r="U20" s="15">
        <v>99</v>
      </c>
      <c r="V20" s="15">
        <v>107</v>
      </c>
      <c r="W20" s="15">
        <v>120</v>
      </c>
      <c r="X20" s="15">
        <v>110</v>
      </c>
      <c r="Y20" s="15">
        <v>99</v>
      </c>
      <c r="Z20" s="15">
        <v>110</v>
      </c>
      <c r="AA20" s="15">
        <v>110</v>
      </c>
      <c r="AB20" s="15">
        <v>103</v>
      </c>
      <c r="AC20" s="15">
        <v>106</v>
      </c>
      <c r="AD20" s="15">
        <v>96</v>
      </c>
      <c r="AE20" s="15">
        <v>115</v>
      </c>
      <c r="AF20" s="15">
        <v>77</v>
      </c>
      <c r="AG20" s="15">
        <v>102</v>
      </c>
      <c r="AH20" s="13">
        <f t="shared" si="2"/>
        <v>2962</v>
      </c>
    </row>
    <row r="21" spans="1:34" ht="12.75" customHeight="1" x14ac:dyDescent="0.3">
      <c r="A21" s="21"/>
      <c r="B21" s="61"/>
      <c r="C21" s="65"/>
      <c r="D21" s="13" t="s">
        <v>14</v>
      </c>
      <c r="E21" s="13">
        <f t="shared" ref="E21:AG21" si="3">SUM(E19:E20)</f>
        <v>177</v>
      </c>
      <c r="F21" s="13">
        <f t="shared" si="3"/>
        <v>190</v>
      </c>
      <c r="G21" s="13">
        <f t="shared" si="3"/>
        <v>199</v>
      </c>
      <c r="H21" s="13">
        <f t="shared" si="3"/>
        <v>202</v>
      </c>
      <c r="I21" s="13">
        <f t="shared" si="3"/>
        <v>205</v>
      </c>
      <c r="J21" s="13">
        <f t="shared" si="3"/>
        <v>212</v>
      </c>
      <c r="K21" s="13">
        <f t="shared" si="3"/>
        <v>183</v>
      </c>
      <c r="L21" s="13">
        <f t="shared" si="3"/>
        <v>217</v>
      </c>
      <c r="M21" s="13">
        <f t="shared" si="3"/>
        <v>201</v>
      </c>
      <c r="N21" s="13">
        <f t="shared" si="3"/>
        <v>186</v>
      </c>
      <c r="O21" s="13">
        <f t="shared" si="3"/>
        <v>205</v>
      </c>
      <c r="P21" s="13">
        <f t="shared" si="3"/>
        <v>176</v>
      </c>
      <c r="Q21" s="13">
        <f t="shared" si="3"/>
        <v>196</v>
      </c>
      <c r="R21" s="13">
        <f t="shared" si="3"/>
        <v>194</v>
      </c>
      <c r="S21" s="13">
        <f t="shared" si="3"/>
        <v>183</v>
      </c>
      <c r="T21" s="13">
        <f t="shared" si="3"/>
        <v>202</v>
      </c>
      <c r="U21" s="13">
        <f t="shared" si="3"/>
        <v>193</v>
      </c>
      <c r="V21" s="13">
        <f t="shared" si="3"/>
        <v>214</v>
      </c>
      <c r="W21" s="13">
        <f t="shared" si="3"/>
        <v>229</v>
      </c>
      <c r="X21" s="13">
        <f t="shared" si="3"/>
        <v>220</v>
      </c>
      <c r="Y21" s="13">
        <f t="shared" si="3"/>
        <v>207</v>
      </c>
      <c r="Z21" s="13">
        <f t="shared" si="3"/>
        <v>199</v>
      </c>
      <c r="AA21" s="13">
        <f t="shared" si="3"/>
        <v>203</v>
      </c>
      <c r="AB21" s="13">
        <f t="shared" si="3"/>
        <v>192</v>
      </c>
      <c r="AC21" s="13">
        <f t="shared" si="3"/>
        <v>198</v>
      </c>
      <c r="AD21" s="13">
        <f t="shared" si="3"/>
        <v>186</v>
      </c>
      <c r="AE21" s="13">
        <f t="shared" si="3"/>
        <v>217</v>
      </c>
      <c r="AF21" s="13">
        <f t="shared" si="3"/>
        <v>142</v>
      </c>
      <c r="AG21" s="13">
        <f t="shared" si="3"/>
        <v>209</v>
      </c>
      <c r="AH21" s="13">
        <f t="shared" si="2"/>
        <v>5737</v>
      </c>
    </row>
    <row r="22" spans="1:34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>
        <v>0</v>
      </c>
      <c r="U22" s="15">
        <v>1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3">
        <f t="shared" si="2"/>
        <v>1</v>
      </c>
    </row>
    <row r="23" spans="1:34" ht="12.75" customHeight="1" x14ac:dyDescent="0.3">
      <c r="A23" s="20"/>
      <c r="B23" s="60"/>
      <c r="C23" s="64"/>
      <c r="D23" s="15" t="s">
        <v>13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3">
        <f t="shared" si="2"/>
        <v>0</v>
      </c>
    </row>
    <row r="24" spans="1:34" ht="12.75" customHeight="1" x14ac:dyDescent="0.3">
      <c r="A24" s="21"/>
      <c r="B24" s="61"/>
      <c r="C24" s="65"/>
      <c r="D24" s="13" t="s">
        <v>14</v>
      </c>
      <c r="E24" s="13">
        <f t="shared" ref="E24:AG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1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0</v>
      </c>
      <c r="AE24" s="13">
        <f t="shared" si="4"/>
        <v>0</v>
      </c>
      <c r="AF24" s="13">
        <f t="shared" si="4"/>
        <v>0</v>
      </c>
      <c r="AG24" s="13">
        <f t="shared" si="4"/>
        <v>0</v>
      </c>
      <c r="AH24" s="13">
        <f t="shared" si="2"/>
        <v>1</v>
      </c>
    </row>
    <row r="25" spans="1:34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0</v>
      </c>
      <c r="F25" s="15">
        <v>0</v>
      </c>
      <c r="G25" s="15">
        <v>3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2</v>
      </c>
      <c r="U25" s="15">
        <v>2</v>
      </c>
      <c r="V25" s="15">
        <v>1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4</v>
      </c>
      <c r="AD25" s="15">
        <v>0</v>
      </c>
      <c r="AE25" s="15">
        <v>0</v>
      </c>
      <c r="AF25" s="15">
        <v>1</v>
      </c>
      <c r="AG25" s="15">
        <v>0</v>
      </c>
      <c r="AH25" s="13">
        <f t="shared" si="2"/>
        <v>13</v>
      </c>
    </row>
    <row r="26" spans="1:34" ht="12.75" customHeight="1" x14ac:dyDescent="0.3">
      <c r="A26" s="20"/>
      <c r="B26" s="60"/>
      <c r="C26" s="64"/>
      <c r="D26" s="15" t="s">
        <v>13</v>
      </c>
      <c r="E26" s="15">
        <v>3</v>
      </c>
      <c r="F26" s="15">
        <v>0</v>
      </c>
      <c r="G26" s="15">
        <v>5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1</v>
      </c>
      <c r="N26" s="15">
        <v>2</v>
      </c>
      <c r="O26" s="15">
        <v>0</v>
      </c>
      <c r="P26" s="15">
        <v>0</v>
      </c>
      <c r="Q26" s="15">
        <v>0</v>
      </c>
      <c r="R26" s="15">
        <v>2</v>
      </c>
      <c r="S26" s="15">
        <v>0</v>
      </c>
      <c r="T26" s="15">
        <v>3</v>
      </c>
      <c r="U26" s="15">
        <v>2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1</v>
      </c>
      <c r="AD26" s="15">
        <v>0</v>
      </c>
      <c r="AE26" s="15">
        <v>0</v>
      </c>
      <c r="AF26" s="15">
        <v>1</v>
      </c>
      <c r="AG26" s="15">
        <v>0</v>
      </c>
      <c r="AH26" s="13">
        <f t="shared" si="2"/>
        <v>20</v>
      </c>
    </row>
    <row r="27" spans="1:34" ht="12.75" customHeight="1" x14ac:dyDescent="0.3">
      <c r="A27" s="21"/>
      <c r="B27" s="61"/>
      <c r="C27" s="65"/>
      <c r="D27" s="13" t="s">
        <v>14</v>
      </c>
      <c r="E27" s="13">
        <f t="shared" ref="E27:AG27" si="5">SUM(E25:E26)</f>
        <v>3</v>
      </c>
      <c r="F27" s="13">
        <f t="shared" si="5"/>
        <v>0</v>
      </c>
      <c r="G27" s="13">
        <f t="shared" si="5"/>
        <v>8</v>
      </c>
      <c r="H27" s="13">
        <f t="shared" si="5"/>
        <v>0</v>
      </c>
      <c r="I27" s="13">
        <f t="shared" si="5"/>
        <v>0</v>
      </c>
      <c r="J27" s="13">
        <f t="shared" si="5"/>
        <v>0</v>
      </c>
      <c r="K27" s="13">
        <f t="shared" si="5"/>
        <v>0</v>
      </c>
      <c r="L27" s="13">
        <f t="shared" si="5"/>
        <v>0</v>
      </c>
      <c r="M27" s="13">
        <f t="shared" si="5"/>
        <v>1</v>
      </c>
      <c r="N27" s="13">
        <f t="shared" si="5"/>
        <v>2</v>
      </c>
      <c r="O27" s="13">
        <f t="shared" si="5"/>
        <v>0</v>
      </c>
      <c r="P27" s="13">
        <f t="shared" si="5"/>
        <v>0</v>
      </c>
      <c r="Q27" s="13">
        <f t="shared" si="5"/>
        <v>0</v>
      </c>
      <c r="R27" s="13">
        <f t="shared" si="5"/>
        <v>2</v>
      </c>
      <c r="S27" s="13">
        <f t="shared" si="5"/>
        <v>0</v>
      </c>
      <c r="T27" s="13">
        <f t="shared" si="5"/>
        <v>5</v>
      </c>
      <c r="U27" s="13">
        <f t="shared" si="5"/>
        <v>4</v>
      </c>
      <c r="V27" s="13">
        <f t="shared" si="5"/>
        <v>1</v>
      </c>
      <c r="W27" s="13">
        <f t="shared" si="5"/>
        <v>0</v>
      </c>
      <c r="X27" s="13">
        <f t="shared" si="5"/>
        <v>0</v>
      </c>
      <c r="Y27" s="13">
        <f t="shared" si="5"/>
        <v>0</v>
      </c>
      <c r="Z27" s="13">
        <f t="shared" si="5"/>
        <v>0</v>
      </c>
      <c r="AA27" s="13">
        <f t="shared" si="5"/>
        <v>0</v>
      </c>
      <c r="AB27" s="13">
        <f t="shared" si="5"/>
        <v>0</v>
      </c>
      <c r="AC27" s="13">
        <f t="shared" si="5"/>
        <v>5</v>
      </c>
      <c r="AD27" s="13">
        <f t="shared" si="5"/>
        <v>0</v>
      </c>
      <c r="AE27" s="13">
        <f t="shared" si="5"/>
        <v>0</v>
      </c>
      <c r="AF27" s="13">
        <f t="shared" si="5"/>
        <v>2</v>
      </c>
      <c r="AG27" s="13">
        <f t="shared" si="5"/>
        <v>0</v>
      </c>
      <c r="AH27" s="13">
        <f t="shared" si="2"/>
        <v>33</v>
      </c>
    </row>
    <row r="28" spans="1:34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G28" si="6">SUM(E19,E22,E25)</f>
        <v>89</v>
      </c>
      <c r="F28" s="13">
        <f t="shared" si="6"/>
        <v>90</v>
      </c>
      <c r="G28" s="13">
        <f t="shared" si="6"/>
        <v>93</v>
      </c>
      <c r="H28" s="13">
        <f t="shared" si="6"/>
        <v>87</v>
      </c>
      <c r="I28" s="13">
        <f t="shared" si="6"/>
        <v>103</v>
      </c>
      <c r="J28" s="13">
        <f t="shared" si="6"/>
        <v>110</v>
      </c>
      <c r="K28" s="13">
        <f t="shared" si="6"/>
        <v>88</v>
      </c>
      <c r="L28" s="13">
        <f t="shared" si="6"/>
        <v>104</v>
      </c>
      <c r="M28" s="13">
        <f t="shared" si="6"/>
        <v>100</v>
      </c>
      <c r="N28" s="13">
        <f t="shared" si="6"/>
        <v>87</v>
      </c>
      <c r="O28" s="13">
        <f t="shared" si="6"/>
        <v>101</v>
      </c>
      <c r="P28" s="13">
        <f t="shared" si="6"/>
        <v>85</v>
      </c>
      <c r="Q28" s="13">
        <f t="shared" si="6"/>
        <v>93</v>
      </c>
      <c r="R28" s="13">
        <f t="shared" si="6"/>
        <v>97</v>
      </c>
      <c r="S28" s="13">
        <f t="shared" si="6"/>
        <v>96</v>
      </c>
      <c r="T28" s="13">
        <f t="shared" si="6"/>
        <v>102</v>
      </c>
      <c r="U28" s="13">
        <f t="shared" si="6"/>
        <v>97</v>
      </c>
      <c r="V28" s="13">
        <f t="shared" si="6"/>
        <v>108</v>
      </c>
      <c r="W28" s="13">
        <f t="shared" si="6"/>
        <v>109</v>
      </c>
      <c r="X28" s="13">
        <f t="shared" si="6"/>
        <v>110</v>
      </c>
      <c r="Y28" s="13">
        <f t="shared" si="6"/>
        <v>108</v>
      </c>
      <c r="Z28" s="13">
        <f t="shared" si="6"/>
        <v>89</v>
      </c>
      <c r="AA28" s="13">
        <f t="shared" si="6"/>
        <v>93</v>
      </c>
      <c r="AB28" s="13">
        <f t="shared" si="6"/>
        <v>89</v>
      </c>
      <c r="AC28" s="13">
        <f t="shared" si="6"/>
        <v>96</v>
      </c>
      <c r="AD28" s="13">
        <f t="shared" si="6"/>
        <v>90</v>
      </c>
      <c r="AE28" s="13">
        <f t="shared" si="6"/>
        <v>102</v>
      </c>
      <c r="AF28" s="13">
        <f t="shared" si="6"/>
        <v>66</v>
      </c>
      <c r="AG28" s="13">
        <f t="shared" si="6"/>
        <v>107</v>
      </c>
      <c r="AH28" s="13">
        <f t="shared" si="2"/>
        <v>2789</v>
      </c>
    </row>
    <row r="29" spans="1:34" ht="12.75" customHeight="1" x14ac:dyDescent="0.3">
      <c r="A29" s="21"/>
      <c r="B29" s="60"/>
      <c r="C29" s="64"/>
      <c r="D29" s="13" t="s">
        <v>13</v>
      </c>
      <c r="E29" s="13">
        <f t="shared" ref="E29:AG29" si="7">SUM(E20,E23,E26)</f>
        <v>91</v>
      </c>
      <c r="F29" s="13">
        <f t="shared" si="7"/>
        <v>100</v>
      </c>
      <c r="G29" s="13">
        <f t="shared" si="7"/>
        <v>114</v>
      </c>
      <c r="H29" s="13">
        <f t="shared" si="7"/>
        <v>115</v>
      </c>
      <c r="I29" s="13">
        <f t="shared" si="7"/>
        <v>102</v>
      </c>
      <c r="J29" s="13">
        <f t="shared" si="7"/>
        <v>102</v>
      </c>
      <c r="K29" s="13">
        <f t="shared" si="7"/>
        <v>95</v>
      </c>
      <c r="L29" s="13">
        <f t="shared" si="7"/>
        <v>113</v>
      </c>
      <c r="M29" s="13">
        <f t="shared" si="7"/>
        <v>102</v>
      </c>
      <c r="N29" s="13">
        <f t="shared" si="7"/>
        <v>101</v>
      </c>
      <c r="O29" s="13">
        <f t="shared" si="7"/>
        <v>104</v>
      </c>
      <c r="P29" s="13">
        <f t="shared" si="7"/>
        <v>91</v>
      </c>
      <c r="Q29" s="13">
        <f t="shared" si="7"/>
        <v>103</v>
      </c>
      <c r="R29" s="13">
        <f t="shared" si="7"/>
        <v>99</v>
      </c>
      <c r="S29" s="13">
        <f t="shared" si="7"/>
        <v>87</v>
      </c>
      <c r="T29" s="13">
        <f t="shared" si="7"/>
        <v>105</v>
      </c>
      <c r="U29" s="13">
        <f t="shared" si="7"/>
        <v>101</v>
      </c>
      <c r="V29" s="13">
        <f t="shared" si="7"/>
        <v>107</v>
      </c>
      <c r="W29" s="13">
        <f t="shared" si="7"/>
        <v>120</v>
      </c>
      <c r="X29" s="13">
        <f t="shared" si="7"/>
        <v>110</v>
      </c>
      <c r="Y29" s="13">
        <f t="shared" si="7"/>
        <v>99</v>
      </c>
      <c r="Z29" s="13">
        <f t="shared" si="7"/>
        <v>110</v>
      </c>
      <c r="AA29" s="13">
        <f t="shared" si="7"/>
        <v>110</v>
      </c>
      <c r="AB29" s="13">
        <f t="shared" si="7"/>
        <v>103</v>
      </c>
      <c r="AC29" s="13">
        <f t="shared" si="7"/>
        <v>107</v>
      </c>
      <c r="AD29" s="13">
        <f t="shared" si="7"/>
        <v>96</v>
      </c>
      <c r="AE29" s="13">
        <f t="shared" si="7"/>
        <v>115</v>
      </c>
      <c r="AF29" s="13">
        <f t="shared" si="7"/>
        <v>78</v>
      </c>
      <c r="AG29" s="13">
        <f t="shared" si="7"/>
        <v>102</v>
      </c>
      <c r="AH29" s="13">
        <f t="shared" si="2"/>
        <v>2982</v>
      </c>
    </row>
    <row r="30" spans="1:34" ht="12.75" customHeight="1" x14ac:dyDescent="0.3">
      <c r="A30" s="21"/>
      <c r="B30" s="61"/>
      <c r="C30" s="65"/>
      <c r="D30" s="13" t="s">
        <v>14</v>
      </c>
      <c r="E30" s="13">
        <f t="shared" ref="E30:AG30" si="8">SUM(E28:E29)</f>
        <v>180</v>
      </c>
      <c r="F30" s="13">
        <f t="shared" si="8"/>
        <v>190</v>
      </c>
      <c r="G30" s="13">
        <f t="shared" si="8"/>
        <v>207</v>
      </c>
      <c r="H30" s="13">
        <f t="shared" si="8"/>
        <v>202</v>
      </c>
      <c r="I30" s="13">
        <f t="shared" si="8"/>
        <v>205</v>
      </c>
      <c r="J30" s="13">
        <f t="shared" si="8"/>
        <v>212</v>
      </c>
      <c r="K30" s="13">
        <f t="shared" si="8"/>
        <v>183</v>
      </c>
      <c r="L30" s="13">
        <f t="shared" si="8"/>
        <v>217</v>
      </c>
      <c r="M30" s="13">
        <f t="shared" si="8"/>
        <v>202</v>
      </c>
      <c r="N30" s="13">
        <f t="shared" si="8"/>
        <v>188</v>
      </c>
      <c r="O30" s="13">
        <f t="shared" si="8"/>
        <v>205</v>
      </c>
      <c r="P30" s="13">
        <f t="shared" si="8"/>
        <v>176</v>
      </c>
      <c r="Q30" s="13">
        <f t="shared" si="8"/>
        <v>196</v>
      </c>
      <c r="R30" s="13">
        <f t="shared" si="8"/>
        <v>196</v>
      </c>
      <c r="S30" s="13">
        <f t="shared" si="8"/>
        <v>183</v>
      </c>
      <c r="T30" s="13">
        <f t="shared" si="8"/>
        <v>207</v>
      </c>
      <c r="U30" s="13">
        <f t="shared" si="8"/>
        <v>198</v>
      </c>
      <c r="V30" s="13">
        <f t="shared" si="8"/>
        <v>215</v>
      </c>
      <c r="W30" s="13">
        <f t="shared" si="8"/>
        <v>229</v>
      </c>
      <c r="X30" s="13">
        <f t="shared" si="8"/>
        <v>220</v>
      </c>
      <c r="Y30" s="13">
        <f t="shared" si="8"/>
        <v>207</v>
      </c>
      <c r="Z30" s="13">
        <f t="shared" si="8"/>
        <v>199</v>
      </c>
      <c r="AA30" s="13">
        <f t="shared" si="8"/>
        <v>203</v>
      </c>
      <c r="AB30" s="13">
        <f t="shared" si="8"/>
        <v>192</v>
      </c>
      <c r="AC30" s="13">
        <f t="shared" si="8"/>
        <v>203</v>
      </c>
      <c r="AD30" s="13">
        <f t="shared" si="8"/>
        <v>186</v>
      </c>
      <c r="AE30" s="13">
        <f t="shared" si="8"/>
        <v>217</v>
      </c>
      <c r="AF30" s="13">
        <f t="shared" si="8"/>
        <v>144</v>
      </c>
      <c r="AG30" s="13">
        <f t="shared" si="8"/>
        <v>209</v>
      </c>
      <c r="AH30" s="13">
        <f t="shared" si="2"/>
        <v>5771</v>
      </c>
    </row>
    <row r="31" spans="1:34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6"/>
    </row>
    <row r="32" spans="1:34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6"/>
    </row>
    <row r="33" spans="1:34" ht="12.75" customHeight="1" x14ac:dyDescent="0.3">
      <c r="A33" s="15">
        <v>1</v>
      </c>
      <c r="B33" s="56" t="s">
        <v>27</v>
      </c>
      <c r="C33" s="49"/>
      <c r="D33" s="50"/>
      <c r="E33" s="15">
        <v>268</v>
      </c>
      <c r="F33" s="15">
        <v>282</v>
      </c>
      <c r="G33" s="15">
        <v>298</v>
      </c>
      <c r="H33" s="15">
        <v>298</v>
      </c>
      <c r="I33" s="15">
        <v>280</v>
      </c>
      <c r="J33" s="15">
        <v>276</v>
      </c>
      <c r="K33" s="15">
        <v>301</v>
      </c>
      <c r="L33" s="15">
        <v>293</v>
      </c>
      <c r="M33" s="15">
        <v>276</v>
      </c>
      <c r="N33" s="15">
        <v>250</v>
      </c>
      <c r="O33" s="15">
        <v>282</v>
      </c>
      <c r="P33" s="15">
        <v>272</v>
      </c>
      <c r="Q33" s="15">
        <v>298</v>
      </c>
      <c r="R33" s="15">
        <v>279</v>
      </c>
      <c r="S33" s="15">
        <v>287</v>
      </c>
      <c r="T33" s="15">
        <v>299</v>
      </c>
      <c r="U33" s="15">
        <v>260</v>
      </c>
      <c r="V33" s="15">
        <v>284</v>
      </c>
      <c r="W33" s="15">
        <v>272</v>
      </c>
      <c r="X33" s="15">
        <v>281</v>
      </c>
      <c r="Y33" s="15">
        <v>282</v>
      </c>
      <c r="Z33" s="15">
        <v>301</v>
      </c>
      <c r="AA33" s="15">
        <v>295</v>
      </c>
      <c r="AB33" s="15">
        <v>242</v>
      </c>
      <c r="AC33" s="15">
        <v>274</v>
      </c>
      <c r="AD33" s="15">
        <v>275</v>
      </c>
      <c r="AE33" s="15">
        <v>281</v>
      </c>
      <c r="AF33" s="15">
        <v>190</v>
      </c>
      <c r="AG33" s="15">
        <v>275</v>
      </c>
      <c r="AH33" s="13">
        <f t="shared" ref="AH33:AH36" si="9">SUM(E33:AG33)</f>
        <v>8051</v>
      </c>
    </row>
    <row r="34" spans="1:34" ht="12.75" customHeight="1" x14ac:dyDescent="0.3">
      <c r="A34" s="15">
        <v>2</v>
      </c>
      <c r="B34" s="56" t="s">
        <v>28</v>
      </c>
      <c r="C34" s="49"/>
      <c r="D34" s="50"/>
      <c r="E34" s="13">
        <v>180</v>
      </c>
      <c r="F34" s="13">
        <v>190</v>
      </c>
      <c r="G34" s="13">
        <v>207</v>
      </c>
      <c r="H34" s="13">
        <v>202</v>
      </c>
      <c r="I34" s="13">
        <v>205</v>
      </c>
      <c r="J34" s="13">
        <v>212</v>
      </c>
      <c r="K34" s="13">
        <v>183</v>
      </c>
      <c r="L34" s="13">
        <v>217</v>
      </c>
      <c r="M34" s="13">
        <v>202</v>
      </c>
      <c r="N34" s="13">
        <v>188</v>
      </c>
      <c r="O34" s="13">
        <v>205</v>
      </c>
      <c r="P34" s="13">
        <v>176</v>
      </c>
      <c r="Q34" s="13">
        <v>196</v>
      </c>
      <c r="R34" s="13">
        <v>196</v>
      </c>
      <c r="S34" s="13">
        <v>183</v>
      </c>
      <c r="T34" s="13">
        <v>207</v>
      </c>
      <c r="U34" s="13">
        <v>198</v>
      </c>
      <c r="V34" s="13">
        <v>215</v>
      </c>
      <c r="W34" s="13">
        <v>229</v>
      </c>
      <c r="X34" s="13">
        <v>220</v>
      </c>
      <c r="Y34" s="13">
        <v>207</v>
      </c>
      <c r="Z34" s="13">
        <v>199</v>
      </c>
      <c r="AA34" s="13">
        <v>203</v>
      </c>
      <c r="AB34" s="13">
        <v>192</v>
      </c>
      <c r="AC34" s="13">
        <v>203</v>
      </c>
      <c r="AD34" s="13">
        <v>186</v>
      </c>
      <c r="AE34" s="13">
        <v>217</v>
      </c>
      <c r="AF34" s="13">
        <v>144</v>
      </c>
      <c r="AG34" s="13">
        <v>209</v>
      </c>
      <c r="AH34" s="13">
        <f t="shared" si="9"/>
        <v>5771</v>
      </c>
    </row>
    <row r="35" spans="1:34" ht="12.75" customHeight="1" x14ac:dyDescent="0.3">
      <c r="A35" s="15">
        <v>3</v>
      </c>
      <c r="B35" s="56" t="s">
        <v>29</v>
      </c>
      <c r="C35" s="49"/>
      <c r="D35" s="50"/>
      <c r="E35" s="15">
        <v>0</v>
      </c>
      <c r="F35" s="15">
        <v>0</v>
      </c>
      <c r="G35" s="15">
        <v>1</v>
      </c>
      <c r="H35" s="15">
        <v>0</v>
      </c>
      <c r="I35" s="15">
        <v>0</v>
      </c>
      <c r="J35" s="15">
        <v>1</v>
      </c>
      <c r="K35" s="15">
        <v>0</v>
      </c>
      <c r="L35" s="15">
        <v>0</v>
      </c>
      <c r="M35" s="15">
        <v>0</v>
      </c>
      <c r="N35" s="15">
        <v>1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2</v>
      </c>
      <c r="AB35" s="15">
        <v>0</v>
      </c>
      <c r="AC35" s="15">
        <v>1</v>
      </c>
      <c r="AD35" s="15">
        <v>0</v>
      </c>
      <c r="AE35" s="15">
        <v>0</v>
      </c>
      <c r="AF35" s="15">
        <v>0</v>
      </c>
      <c r="AG35" s="15">
        <v>0</v>
      </c>
      <c r="AH35" s="13">
        <f t="shared" si="9"/>
        <v>6</v>
      </c>
    </row>
    <row r="36" spans="1:34" ht="12.75" customHeight="1" x14ac:dyDescent="0.3">
      <c r="A36" s="15">
        <v>4</v>
      </c>
      <c r="B36" s="56" t="s">
        <v>30</v>
      </c>
      <c r="C36" s="49"/>
      <c r="D36" s="50"/>
      <c r="E36" s="13">
        <f t="shared" ref="E36:AG36" si="10">E33-(E34+E35)</f>
        <v>88</v>
      </c>
      <c r="F36" s="13">
        <f t="shared" si="10"/>
        <v>92</v>
      </c>
      <c r="G36" s="13">
        <f t="shared" si="10"/>
        <v>90</v>
      </c>
      <c r="H36" s="13">
        <f t="shared" si="10"/>
        <v>96</v>
      </c>
      <c r="I36" s="13">
        <f t="shared" si="10"/>
        <v>75</v>
      </c>
      <c r="J36" s="13">
        <f t="shared" si="10"/>
        <v>63</v>
      </c>
      <c r="K36" s="13">
        <f t="shared" si="10"/>
        <v>118</v>
      </c>
      <c r="L36" s="13">
        <f t="shared" si="10"/>
        <v>76</v>
      </c>
      <c r="M36" s="13">
        <f t="shared" si="10"/>
        <v>74</v>
      </c>
      <c r="N36" s="13">
        <f t="shared" si="10"/>
        <v>61</v>
      </c>
      <c r="O36" s="13">
        <f t="shared" si="10"/>
        <v>77</v>
      </c>
      <c r="P36" s="13">
        <f t="shared" si="10"/>
        <v>96</v>
      </c>
      <c r="Q36" s="13">
        <f t="shared" si="10"/>
        <v>102</v>
      </c>
      <c r="R36" s="13">
        <f t="shared" si="10"/>
        <v>83</v>
      </c>
      <c r="S36" s="13">
        <f t="shared" si="10"/>
        <v>104</v>
      </c>
      <c r="T36" s="13">
        <f t="shared" si="10"/>
        <v>92</v>
      </c>
      <c r="U36" s="13">
        <f t="shared" si="10"/>
        <v>62</v>
      </c>
      <c r="V36" s="13">
        <f t="shared" si="10"/>
        <v>69</v>
      </c>
      <c r="W36" s="13">
        <f t="shared" si="10"/>
        <v>43</v>
      </c>
      <c r="X36" s="13">
        <f t="shared" si="10"/>
        <v>61</v>
      </c>
      <c r="Y36" s="13">
        <f t="shared" si="10"/>
        <v>75</v>
      </c>
      <c r="Z36" s="13">
        <f t="shared" si="10"/>
        <v>102</v>
      </c>
      <c r="AA36" s="13">
        <f t="shared" si="10"/>
        <v>90</v>
      </c>
      <c r="AB36" s="13">
        <f t="shared" si="10"/>
        <v>50</v>
      </c>
      <c r="AC36" s="13">
        <f t="shared" si="10"/>
        <v>70</v>
      </c>
      <c r="AD36" s="13">
        <f t="shared" si="10"/>
        <v>89</v>
      </c>
      <c r="AE36" s="13">
        <f t="shared" si="10"/>
        <v>64</v>
      </c>
      <c r="AF36" s="13">
        <f t="shared" si="10"/>
        <v>46</v>
      </c>
      <c r="AG36" s="13">
        <f t="shared" si="10"/>
        <v>66</v>
      </c>
      <c r="AH36" s="13">
        <f t="shared" si="9"/>
        <v>2274</v>
      </c>
    </row>
    <row r="37" spans="1:34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46"/>
    </row>
    <row r="38" spans="1:34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6"/>
    </row>
    <row r="39" spans="1:34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3</v>
      </c>
      <c r="L39" s="15">
        <v>3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1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2</v>
      </c>
      <c r="AD39" s="15">
        <v>0</v>
      </c>
      <c r="AE39" s="15">
        <v>0</v>
      </c>
      <c r="AF39" s="15">
        <v>0</v>
      </c>
      <c r="AG39" s="15">
        <v>1</v>
      </c>
      <c r="AH39" s="13">
        <f t="shared" ref="AH39:AH41" si="11">SUM(E39:AG39)</f>
        <v>10</v>
      </c>
    </row>
    <row r="40" spans="1:34" ht="12.75" customHeight="1" x14ac:dyDescent="0.3">
      <c r="A40" s="20"/>
      <c r="B40" s="70"/>
      <c r="C40" s="60"/>
      <c r="D40" s="15" t="s">
        <v>13</v>
      </c>
      <c r="E40" s="15">
        <v>0</v>
      </c>
      <c r="F40" s="15">
        <v>0</v>
      </c>
      <c r="G40" s="15">
        <v>0</v>
      </c>
      <c r="H40" s="15">
        <v>0</v>
      </c>
      <c r="I40" s="15">
        <v>2</v>
      </c>
      <c r="J40" s="15">
        <v>0</v>
      </c>
      <c r="K40" s="15">
        <v>3</v>
      </c>
      <c r="L40" s="15">
        <v>7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1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1</v>
      </c>
      <c r="AH40" s="13">
        <f t="shared" si="11"/>
        <v>14</v>
      </c>
    </row>
    <row r="41" spans="1:34" ht="12.75" customHeight="1" x14ac:dyDescent="0.3">
      <c r="A41" s="24"/>
      <c r="B41" s="71"/>
      <c r="C41" s="61"/>
      <c r="D41" s="13" t="s">
        <v>14</v>
      </c>
      <c r="E41" s="13">
        <f t="shared" ref="E41:AG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2</v>
      </c>
      <c r="J41" s="13">
        <f t="shared" si="12"/>
        <v>0</v>
      </c>
      <c r="K41" s="13">
        <f t="shared" si="12"/>
        <v>6</v>
      </c>
      <c r="L41" s="13">
        <f t="shared" si="12"/>
        <v>10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2</v>
      </c>
      <c r="V41" s="13">
        <f t="shared" si="12"/>
        <v>0</v>
      </c>
      <c r="W41" s="13">
        <f t="shared" si="12"/>
        <v>0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2</v>
      </c>
      <c r="AD41" s="13">
        <f t="shared" si="12"/>
        <v>0</v>
      </c>
      <c r="AE41" s="13">
        <f t="shared" si="12"/>
        <v>0</v>
      </c>
      <c r="AF41" s="13">
        <f t="shared" si="12"/>
        <v>0</v>
      </c>
      <c r="AG41" s="13">
        <f t="shared" si="12"/>
        <v>2</v>
      </c>
      <c r="AH41" s="13">
        <f t="shared" si="11"/>
        <v>24</v>
      </c>
    </row>
    <row r="42" spans="1:34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45"/>
      <c r="AC42" s="15"/>
      <c r="AD42" s="45"/>
      <c r="AE42" s="15"/>
      <c r="AF42" s="45"/>
      <c r="AG42" s="15"/>
      <c r="AH42" s="13"/>
    </row>
    <row r="43" spans="1:34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47"/>
      <c r="AC43" s="13"/>
      <c r="AD43" s="47"/>
      <c r="AE43" s="13"/>
      <c r="AF43" s="47"/>
      <c r="AG43" s="13"/>
      <c r="AH43" s="13"/>
    </row>
    <row r="44" spans="1:34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5"/>
      <c r="AA44" s="15"/>
      <c r="AB44" s="45"/>
      <c r="AC44" s="15"/>
      <c r="AD44" s="45"/>
      <c r="AE44" s="15"/>
      <c r="AF44" s="45"/>
      <c r="AG44" s="15"/>
      <c r="AH44" s="13"/>
    </row>
    <row r="45" spans="1:34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6</v>
      </c>
      <c r="F45" s="15">
        <v>1</v>
      </c>
      <c r="G45" s="15">
        <v>2</v>
      </c>
      <c r="H45" s="15">
        <v>1</v>
      </c>
      <c r="I45" s="15">
        <v>4</v>
      </c>
      <c r="J45" s="15">
        <v>1</v>
      </c>
      <c r="K45" s="15">
        <v>3</v>
      </c>
      <c r="L45" s="15">
        <v>2</v>
      </c>
      <c r="M45" s="15">
        <v>0</v>
      </c>
      <c r="N45" s="15">
        <v>2</v>
      </c>
      <c r="O45" s="15">
        <v>1</v>
      </c>
      <c r="P45" s="15">
        <v>1</v>
      </c>
      <c r="Q45" s="15">
        <v>4</v>
      </c>
      <c r="R45" s="15">
        <v>3</v>
      </c>
      <c r="S45" s="15">
        <v>1</v>
      </c>
      <c r="T45" s="15">
        <v>3</v>
      </c>
      <c r="U45" s="15">
        <v>7</v>
      </c>
      <c r="V45" s="15">
        <v>2</v>
      </c>
      <c r="W45" s="15">
        <v>1</v>
      </c>
      <c r="X45" s="15">
        <v>4</v>
      </c>
      <c r="Y45" s="15">
        <v>1</v>
      </c>
      <c r="Z45" s="15">
        <v>3</v>
      </c>
      <c r="AA45" s="15">
        <v>3</v>
      </c>
      <c r="AB45" s="15">
        <v>0</v>
      </c>
      <c r="AC45" s="15">
        <v>8</v>
      </c>
      <c r="AD45" s="15">
        <v>4</v>
      </c>
      <c r="AE45" s="15">
        <v>2</v>
      </c>
      <c r="AF45" s="15">
        <v>1</v>
      </c>
      <c r="AG45" s="15">
        <v>7</v>
      </c>
      <c r="AH45" s="13">
        <f t="shared" ref="AH45:AH186" si="13">SUM(E45:AG45)</f>
        <v>78</v>
      </c>
    </row>
    <row r="46" spans="1:34" ht="12.75" customHeight="1" x14ac:dyDescent="0.3">
      <c r="A46" s="19" t="s">
        <v>39</v>
      </c>
      <c r="B46" s="27"/>
      <c r="C46" s="28" t="s">
        <v>40</v>
      </c>
      <c r="D46" s="29"/>
      <c r="E46" s="15">
        <v>2</v>
      </c>
      <c r="F46" s="15">
        <v>1</v>
      </c>
      <c r="G46" s="15">
        <v>0</v>
      </c>
      <c r="H46" s="15">
        <v>7</v>
      </c>
      <c r="I46" s="15">
        <v>8</v>
      </c>
      <c r="J46" s="15">
        <v>11</v>
      </c>
      <c r="K46" s="15">
        <v>1</v>
      </c>
      <c r="L46" s="15">
        <v>8</v>
      </c>
      <c r="M46" s="15">
        <v>8</v>
      </c>
      <c r="N46" s="15">
        <v>2</v>
      </c>
      <c r="O46" s="15">
        <v>4</v>
      </c>
      <c r="P46" s="15">
        <v>0</v>
      </c>
      <c r="Q46" s="15">
        <v>4</v>
      </c>
      <c r="R46" s="15">
        <v>15</v>
      </c>
      <c r="S46" s="15">
        <v>4</v>
      </c>
      <c r="T46" s="15">
        <v>12</v>
      </c>
      <c r="U46" s="15">
        <v>4</v>
      </c>
      <c r="V46" s="15">
        <v>4</v>
      </c>
      <c r="W46" s="15">
        <v>2</v>
      </c>
      <c r="X46" s="15">
        <v>1</v>
      </c>
      <c r="Y46" s="15">
        <v>2</v>
      </c>
      <c r="Z46" s="15">
        <v>2</v>
      </c>
      <c r="AA46" s="15">
        <v>0</v>
      </c>
      <c r="AB46" s="15">
        <v>21</v>
      </c>
      <c r="AC46" s="15">
        <v>45</v>
      </c>
      <c r="AD46" s="15">
        <v>5</v>
      </c>
      <c r="AE46" s="15">
        <v>5</v>
      </c>
      <c r="AF46" s="15">
        <v>1</v>
      </c>
      <c r="AG46" s="15">
        <v>3</v>
      </c>
      <c r="AH46" s="13">
        <f t="shared" si="13"/>
        <v>182</v>
      </c>
    </row>
    <row r="47" spans="1:34" ht="12.75" customHeight="1" x14ac:dyDescent="0.3">
      <c r="A47" s="14"/>
      <c r="B47" s="27"/>
      <c r="C47" s="28" t="s">
        <v>41</v>
      </c>
      <c r="D47" s="29"/>
      <c r="E47" s="15">
        <v>5</v>
      </c>
      <c r="F47" s="15">
        <v>1</v>
      </c>
      <c r="G47" s="15">
        <v>0</v>
      </c>
      <c r="H47" s="15">
        <v>1</v>
      </c>
      <c r="I47" s="15">
        <v>1</v>
      </c>
      <c r="J47" s="15">
        <v>3</v>
      </c>
      <c r="K47" s="15">
        <v>0</v>
      </c>
      <c r="L47" s="15">
        <v>3</v>
      </c>
      <c r="M47" s="15">
        <v>1</v>
      </c>
      <c r="N47" s="15">
        <v>1</v>
      </c>
      <c r="O47" s="15">
        <v>1</v>
      </c>
      <c r="P47" s="15">
        <v>0</v>
      </c>
      <c r="Q47" s="15">
        <v>0</v>
      </c>
      <c r="R47" s="15">
        <v>1</v>
      </c>
      <c r="S47" s="15">
        <v>0</v>
      </c>
      <c r="T47" s="15">
        <v>6</v>
      </c>
      <c r="U47" s="15">
        <v>2</v>
      </c>
      <c r="V47" s="15">
        <v>1</v>
      </c>
      <c r="W47" s="15">
        <v>0</v>
      </c>
      <c r="X47" s="15">
        <v>1</v>
      </c>
      <c r="Y47" s="15">
        <v>1</v>
      </c>
      <c r="Z47" s="15">
        <v>1</v>
      </c>
      <c r="AA47" s="15">
        <v>1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7</v>
      </c>
      <c r="AH47" s="13">
        <f t="shared" si="13"/>
        <v>38</v>
      </c>
    </row>
    <row r="48" spans="1:34" ht="12.75" customHeight="1" x14ac:dyDescent="0.3">
      <c r="A48" s="14"/>
      <c r="B48" s="27"/>
      <c r="C48" s="28" t="s">
        <v>42</v>
      </c>
      <c r="D48" s="29"/>
      <c r="E48" s="15">
        <v>10</v>
      </c>
      <c r="F48" s="15">
        <v>0</v>
      </c>
      <c r="G48" s="15">
        <v>0</v>
      </c>
      <c r="H48" s="15">
        <v>0</v>
      </c>
      <c r="I48" s="15">
        <v>0</v>
      </c>
      <c r="J48" s="15">
        <v>3</v>
      </c>
      <c r="K48" s="15">
        <v>1</v>
      </c>
      <c r="L48" s="15">
        <v>0</v>
      </c>
      <c r="M48" s="15">
        <v>6</v>
      </c>
      <c r="N48" s="15">
        <v>0</v>
      </c>
      <c r="O48" s="15">
        <v>1</v>
      </c>
      <c r="P48" s="15">
        <v>0</v>
      </c>
      <c r="Q48" s="15">
        <v>1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1</v>
      </c>
      <c r="AD48" s="15">
        <v>2</v>
      </c>
      <c r="AE48" s="15">
        <v>3</v>
      </c>
      <c r="AF48" s="15">
        <v>0</v>
      </c>
      <c r="AG48" s="15">
        <v>14</v>
      </c>
      <c r="AH48" s="13">
        <f t="shared" si="13"/>
        <v>42</v>
      </c>
    </row>
    <row r="49" spans="1:34" ht="12.75" customHeight="1" x14ac:dyDescent="0.3">
      <c r="A49" s="14"/>
      <c r="B49" s="27"/>
      <c r="C49" s="28" t="s">
        <v>43</v>
      </c>
      <c r="D49" s="29"/>
      <c r="E49" s="15">
        <v>1</v>
      </c>
      <c r="F49" s="15">
        <v>0</v>
      </c>
      <c r="G49" s="15">
        <v>1</v>
      </c>
      <c r="H49" s="15">
        <v>1</v>
      </c>
      <c r="I49" s="15">
        <v>8</v>
      </c>
      <c r="J49" s="15">
        <v>3</v>
      </c>
      <c r="K49" s="15">
        <v>0</v>
      </c>
      <c r="L49" s="15">
        <v>2</v>
      </c>
      <c r="M49" s="15">
        <v>8</v>
      </c>
      <c r="N49" s="15">
        <v>4</v>
      </c>
      <c r="O49" s="15">
        <v>1</v>
      </c>
      <c r="P49" s="15">
        <v>1</v>
      </c>
      <c r="Q49" s="15">
        <v>0</v>
      </c>
      <c r="R49" s="15">
        <v>0</v>
      </c>
      <c r="S49" s="15">
        <v>1</v>
      </c>
      <c r="T49" s="15">
        <v>0</v>
      </c>
      <c r="U49" s="15">
        <v>0</v>
      </c>
      <c r="V49" s="15">
        <v>3</v>
      </c>
      <c r="W49" s="15">
        <v>0</v>
      </c>
      <c r="X49" s="15">
        <v>0</v>
      </c>
      <c r="Y49" s="15">
        <v>0</v>
      </c>
      <c r="Z49" s="15">
        <v>0</v>
      </c>
      <c r="AA49" s="15">
        <v>2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3">
        <f t="shared" si="13"/>
        <v>36</v>
      </c>
    </row>
    <row r="50" spans="1:34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0</v>
      </c>
      <c r="G50" s="15">
        <v>0</v>
      </c>
      <c r="H50" s="15">
        <v>0</v>
      </c>
      <c r="I50" s="15">
        <v>1</v>
      </c>
      <c r="J50" s="15">
        <v>1</v>
      </c>
      <c r="K50" s="15">
        <v>0</v>
      </c>
      <c r="L50" s="15">
        <v>0</v>
      </c>
      <c r="M50" s="15">
        <v>0</v>
      </c>
      <c r="N50" s="15">
        <v>1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1</v>
      </c>
      <c r="AD50" s="15">
        <v>0</v>
      </c>
      <c r="AE50" s="15">
        <v>0</v>
      </c>
      <c r="AF50" s="15">
        <v>0</v>
      </c>
      <c r="AG50" s="15">
        <v>1</v>
      </c>
      <c r="AH50" s="13">
        <f t="shared" si="13"/>
        <v>6</v>
      </c>
    </row>
    <row r="51" spans="1:34" ht="12.75" customHeight="1" x14ac:dyDescent="0.3">
      <c r="A51" s="14"/>
      <c r="B51" s="27"/>
      <c r="C51" s="28" t="s">
        <v>45</v>
      </c>
      <c r="D51" s="29"/>
      <c r="E51" s="15">
        <v>0</v>
      </c>
      <c r="F51" s="15">
        <v>0</v>
      </c>
      <c r="G51" s="15">
        <v>0</v>
      </c>
      <c r="H51" s="15">
        <v>1</v>
      </c>
      <c r="I51" s="15">
        <v>0</v>
      </c>
      <c r="J51" s="15">
        <v>0</v>
      </c>
      <c r="K51" s="15">
        <v>1</v>
      </c>
      <c r="L51" s="15">
        <v>1</v>
      </c>
      <c r="M51" s="15">
        <v>0</v>
      </c>
      <c r="N51" s="15">
        <v>1</v>
      </c>
      <c r="O51" s="15">
        <v>0</v>
      </c>
      <c r="P51" s="15">
        <v>0</v>
      </c>
      <c r="Q51" s="15">
        <v>1</v>
      </c>
      <c r="R51" s="15">
        <v>0</v>
      </c>
      <c r="S51" s="15">
        <v>0</v>
      </c>
      <c r="T51" s="15">
        <v>0</v>
      </c>
      <c r="U51" s="15">
        <v>0</v>
      </c>
      <c r="V51" s="15">
        <v>1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1</v>
      </c>
      <c r="AG51" s="15">
        <v>0</v>
      </c>
      <c r="AH51" s="13">
        <f t="shared" si="13"/>
        <v>7</v>
      </c>
    </row>
    <row r="52" spans="1:34" ht="12.75" customHeight="1" x14ac:dyDescent="0.3">
      <c r="A52" s="14"/>
      <c r="B52" s="27"/>
      <c r="C52" s="28" t="s">
        <v>46</v>
      </c>
      <c r="D52" s="29"/>
      <c r="E52" s="15">
        <v>1</v>
      </c>
      <c r="F52" s="15">
        <v>0</v>
      </c>
      <c r="G52" s="15">
        <v>0</v>
      </c>
      <c r="H52" s="15">
        <v>0</v>
      </c>
      <c r="I52" s="15">
        <v>3</v>
      </c>
      <c r="J52" s="15">
        <v>3</v>
      </c>
      <c r="K52" s="15">
        <v>0</v>
      </c>
      <c r="L52" s="15">
        <v>2</v>
      </c>
      <c r="M52" s="15">
        <v>0</v>
      </c>
      <c r="N52" s="15">
        <v>0</v>
      </c>
      <c r="O52" s="15">
        <v>0</v>
      </c>
      <c r="P52" s="15">
        <v>1</v>
      </c>
      <c r="Q52" s="15">
        <v>0</v>
      </c>
      <c r="R52" s="15">
        <v>2</v>
      </c>
      <c r="S52" s="15">
        <v>0</v>
      </c>
      <c r="T52" s="15">
        <v>0</v>
      </c>
      <c r="U52" s="15">
        <v>0</v>
      </c>
      <c r="V52" s="15">
        <v>0</v>
      </c>
      <c r="W52" s="15">
        <v>0</v>
      </c>
      <c r="X52" s="15">
        <v>0</v>
      </c>
      <c r="Y52" s="15">
        <v>1</v>
      </c>
      <c r="Z52" s="15">
        <v>1</v>
      </c>
      <c r="AA52" s="15">
        <v>0</v>
      </c>
      <c r="AB52" s="15">
        <v>0</v>
      </c>
      <c r="AC52" s="15">
        <v>0</v>
      </c>
      <c r="AD52" s="15">
        <v>1</v>
      </c>
      <c r="AE52" s="15">
        <v>0</v>
      </c>
      <c r="AF52" s="15">
        <v>0</v>
      </c>
      <c r="AG52" s="15">
        <v>0</v>
      </c>
      <c r="AH52" s="13">
        <f t="shared" si="13"/>
        <v>15</v>
      </c>
    </row>
    <row r="53" spans="1:34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AG53" si="14">SUM(E45:E52)</f>
        <v>25</v>
      </c>
      <c r="F53" s="34">
        <f t="shared" si="14"/>
        <v>3</v>
      </c>
      <c r="G53" s="34">
        <f t="shared" si="14"/>
        <v>3</v>
      </c>
      <c r="H53" s="34">
        <f t="shared" si="14"/>
        <v>11</v>
      </c>
      <c r="I53" s="34">
        <f t="shared" si="14"/>
        <v>25</v>
      </c>
      <c r="J53" s="34">
        <f t="shared" si="14"/>
        <v>25</v>
      </c>
      <c r="K53" s="34">
        <f t="shared" si="14"/>
        <v>6</v>
      </c>
      <c r="L53" s="34">
        <f t="shared" si="14"/>
        <v>18</v>
      </c>
      <c r="M53" s="34">
        <f t="shared" si="14"/>
        <v>23</v>
      </c>
      <c r="N53" s="34">
        <f t="shared" si="14"/>
        <v>11</v>
      </c>
      <c r="O53" s="34">
        <f t="shared" si="14"/>
        <v>8</v>
      </c>
      <c r="P53" s="34">
        <f t="shared" si="14"/>
        <v>3</v>
      </c>
      <c r="Q53" s="34">
        <f t="shared" si="14"/>
        <v>10</v>
      </c>
      <c r="R53" s="34">
        <f t="shared" si="14"/>
        <v>21</v>
      </c>
      <c r="S53" s="34">
        <f t="shared" si="14"/>
        <v>6</v>
      </c>
      <c r="T53" s="34">
        <f t="shared" si="14"/>
        <v>21</v>
      </c>
      <c r="U53" s="34">
        <f t="shared" si="14"/>
        <v>14</v>
      </c>
      <c r="V53" s="34">
        <f t="shared" si="14"/>
        <v>11</v>
      </c>
      <c r="W53" s="34">
        <f t="shared" si="14"/>
        <v>3</v>
      </c>
      <c r="X53" s="34">
        <f t="shared" si="14"/>
        <v>6</v>
      </c>
      <c r="Y53" s="34">
        <f t="shared" si="14"/>
        <v>5</v>
      </c>
      <c r="Z53" s="34">
        <f t="shared" si="14"/>
        <v>7</v>
      </c>
      <c r="AA53" s="34">
        <f t="shared" si="14"/>
        <v>6</v>
      </c>
      <c r="AB53" s="34">
        <f t="shared" si="14"/>
        <v>21</v>
      </c>
      <c r="AC53" s="34">
        <f t="shared" si="14"/>
        <v>55</v>
      </c>
      <c r="AD53" s="34">
        <f t="shared" si="14"/>
        <v>12</v>
      </c>
      <c r="AE53" s="34">
        <f t="shared" si="14"/>
        <v>10</v>
      </c>
      <c r="AF53" s="34">
        <f t="shared" si="14"/>
        <v>3</v>
      </c>
      <c r="AG53" s="34">
        <f t="shared" si="14"/>
        <v>32</v>
      </c>
      <c r="AH53" s="13">
        <f t="shared" si="13"/>
        <v>404</v>
      </c>
    </row>
    <row r="54" spans="1:34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13">
        <f t="shared" si="13"/>
        <v>0</v>
      </c>
    </row>
    <row r="55" spans="1:34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6</v>
      </c>
      <c r="F55" s="15">
        <v>10</v>
      </c>
      <c r="G55" s="15">
        <v>9</v>
      </c>
      <c r="H55" s="15">
        <v>4</v>
      </c>
      <c r="I55" s="15">
        <v>4</v>
      </c>
      <c r="J55" s="15">
        <v>3</v>
      </c>
      <c r="K55" s="15">
        <v>4</v>
      </c>
      <c r="L55" s="15">
        <v>14</v>
      </c>
      <c r="M55" s="15">
        <v>2</v>
      </c>
      <c r="N55" s="15">
        <v>3</v>
      </c>
      <c r="O55" s="15">
        <v>7</v>
      </c>
      <c r="P55" s="15">
        <v>6</v>
      </c>
      <c r="Q55" s="15">
        <v>13</v>
      </c>
      <c r="R55" s="15">
        <v>4</v>
      </c>
      <c r="S55" s="15">
        <v>7</v>
      </c>
      <c r="T55" s="15">
        <v>6</v>
      </c>
      <c r="U55" s="15">
        <v>8</v>
      </c>
      <c r="V55" s="15">
        <v>3</v>
      </c>
      <c r="W55" s="15">
        <v>1</v>
      </c>
      <c r="X55" s="15">
        <v>8</v>
      </c>
      <c r="Y55" s="15">
        <v>17</v>
      </c>
      <c r="Z55" s="15">
        <v>7</v>
      </c>
      <c r="AA55" s="15">
        <v>3</v>
      </c>
      <c r="AB55" s="15">
        <v>8</v>
      </c>
      <c r="AC55" s="15">
        <v>6</v>
      </c>
      <c r="AD55" s="15">
        <v>8</v>
      </c>
      <c r="AE55" s="15">
        <v>9</v>
      </c>
      <c r="AF55" s="15">
        <v>6</v>
      </c>
      <c r="AG55" s="15">
        <v>16</v>
      </c>
      <c r="AH55" s="13">
        <f t="shared" si="13"/>
        <v>202</v>
      </c>
    </row>
    <row r="56" spans="1:34" ht="12.75" customHeight="1" x14ac:dyDescent="0.3">
      <c r="A56" s="19" t="s">
        <v>39</v>
      </c>
      <c r="B56" s="27"/>
      <c r="C56" s="28" t="s">
        <v>49</v>
      </c>
      <c r="D56" s="29"/>
      <c r="E56" s="15">
        <v>1</v>
      </c>
      <c r="F56" s="15">
        <v>3</v>
      </c>
      <c r="G56" s="15">
        <v>0</v>
      </c>
      <c r="H56" s="15">
        <v>2</v>
      </c>
      <c r="I56" s="15">
        <v>1</v>
      </c>
      <c r="J56" s="15">
        <v>3</v>
      </c>
      <c r="K56" s="15">
        <v>4</v>
      </c>
      <c r="L56" s="15">
        <v>6</v>
      </c>
      <c r="M56" s="15">
        <v>2</v>
      </c>
      <c r="N56" s="15">
        <v>1</v>
      </c>
      <c r="O56" s="15">
        <v>3</v>
      </c>
      <c r="P56" s="15">
        <v>0</v>
      </c>
      <c r="Q56" s="15">
        <v>3</v>
      </c>
      <c r="R56" s="15">
        <v>2</v>
      </c>
      <c r="S56" s="15">
        <v>0</v>
      </c>
      <c r="T56" s="15">
        <v>1</v>
      </c>
      <c r="U56" s="15">
        <v>5</v>
      </c>
      <c r="V56" s="15">
        <v>0</v>
      </c>
      <c r="W56" s="15">
        <v>1</v>
      </c>
      <c r="X56" s="15">
        <v>7</v>
      </c>
      <c r="Y56" s="15">
        <v>1</v>
      </c>
      <c r="Z56" s="15">
        <v>1</v>
      </c>
      <c r="AA56" s="15">
        <v>3</v>
      </c>
      <c r="AB56" s="15">
        <v>1</v>
      </c>
      <c r="AC56" s="15">
        <v>6</v>
      </c>
      <c r="AD56" s="15">
        <v>29</v>
      </c>
      <c r="AE56" s="15">
        <v>5</v>
      </c>
      <c r="AF56" s="15">
        <v>3</v>
      </c>
      <c r="AG56" s="15">
        <v>4</v>
      </c>
      <c r="AH56" s="13">
        <f t="shared" si="13"/>
        <v>98</v>
      </c>
    </row>
    <row r="57" spans="1:34" ht="12.75" customHeight="1" x14ac:dyDescent="0.3">
      <c r="A57" s="14"/>
      <c r="B57" s="27"/>
      <c r="C57" s="28" t="s">
        <v>50</v>
      </c>
      <c r="D57" s="29"/>
      <c r="E57" s="15">
        <v>7</v>
      </c>
      <c r="F57" s="15">
        <v>33</v>
      </c>
      <c r="G57" s="15">
        <v>39</v>
      </c>
      <c r="H57" s="15">
        <v>8</v>
      </c>
      <c r="I57" s="15">
        <v>3</v>
      </c>
      <c r="J57" s="15">
        <v>5</v>
      </c>
      <c r="K57" s="15">
        <v>10</v>
      </c>
      <c r="L57" s="15">
        <v>5</v>
      </c>
      <c r="M57" s="15">
        <v>12</v>
      </c>
      <c r="N57" s="15">
        <v>11</v>
      </c>
      <c r="O57" s="15">
        <v>3</v>
      </c>
      <c r="P57" s="15">
        <v>4</v>
      </c>
      <c r="Q57" s="15">
        <v>10</v>
      </c>
      <c r="R57" s="15">
        <v>1</v>
      </c>
      <c r="S57" s="15">
        <v>11</v>
      </c>
      <c r="T57" s="15">
        <v>8</v>
      </c>
      <c r="U57" s="15">
        <v>12</v>
      </c>
      <c r="V57" s="15">
        <v>0</v>
      </c>
      <c r="W57" s="15">
        <v>3</v>
      </c>
      <c r="X57" s="15">
        <v>6</v>
      </c>
      <c r="Y57" s="15">
        <v>14</v>
      </c>
      <c r="Z57" s="15">
        <v>4</v>
      </c>
      <c r="AA57" s="15">
        <v>12</v>
      </c>
      <c r="AB57" s="15">
        <v>4</v>
      </c>
      <c r="AC57" s="15">
        <v>8</v>
      </c>
      <c r="AD57" s="15">
        <v>4</v>
      </c>
      <c r="AE57" s="15">
        <v>6</v>
      </c>
      <c r="AF57" s="15">
        <v>2</v>
      </c>
      <c r="AG57" s="15">
        <v>26</v>
      </c>
      <c r="AH57" s="13">
        <f t="shared" si="13"/>
        <v>271</v>
      </c>
    </row>
    <row r="58" spans="1:34" ht="12.75" customHeight="1" x14ac:dyDescent="0.3">
      <c r="A58" s="14"/>
      <c r="B58" s="27"/>
      <c r="C58" s="28" t="s">
        <v>51</v>
      </c>
      <c r="D58" s="29"/>
      <c r="E58" s="15">
        <v>0</v>
      </c>
      <c r="F58" s="15">
        <v>3</v>
      </c>
      <c r="G58" s="15">
        <v>0</v>
      </c>
      <c r="H58" s="15">
        <v>0</v>
      </c>
      <c r="I58" s="15">
        <v>0</v>
      </c>
      <c r="J58" s="15">
        <v>0</v>
      </c>
      <c r="K58" s="15">
        <v>2</v>
      </c>
      <c r="L58" s="15">
        <v>2</v>
      </c>
      <c r="M58" s="15">
        <v>0</v>
      </c>
      <c r="N58" s="15">
        <v>1</v>
      </c>
      <c r="O58" s="15">
        <v>0</v>
      </c>
      <c r="P58" s="15">
        <v>0</v>
      </c>
      <c r="Q58" s="15">
        <v>1</v>
      </c>
      <c r="R58" s="15">
        <v>0</v>
      </c>
      <c r="S58" s="15">
        <v>3</v>
      </c>
      <c r="T58" s="15">
        <v>1</v>
      </c>
      <c r="U58" s="15">
        <v>0</v>
      </c>
      <c r="V58" s="15">
        <v>0</v>
      </c>
      <c r="W58" s="15">
        <v>0</v>
      </c>
      <c r="X58" s="15">
        <v>0</v>
      </c>
      <c r="Y58" s="15">
        <v>1</v>
      </c>
      <c r="Z58" s="15">
        <v>2</v>
      </c>
      <c r="AA58" s="15">
        <v>0</v>
      </c>
      <c r="AB58" s="15">
        <v>1</v>
      </c>
      <c r="AC58" s="15">
        <v>1</v>
      </c>
      <c r="AD58" s="15">
        <v>1</v>
      </c>
      <c r="AE58" s="15">
        <v>1</v>
      </c>
      <c r="AF58" s="15">
        <v>0</v>
      </c>
      <c r="AG58" s="15">
        <v>3</v>
      </c>
      <c r="AH58" s="13">
        <f t="shared" si="13"/>
        <v>23</v>
      </c>
    </row>
    <row r="59" spans="1:34" ht="12.75" customHeight="1" x14ac:dyDescent="0.3">
      <c r="A59" s="14"/>
      <c r="B59" s="27"/>
      <c r="C59" s="28" t="s">
        <v>52</v>
      </c>
      <c r="D59" s="29"/>
      <c r="E59" s="15">
        <v>0</v>
      </c>
      <c r="F59" s="15">
        <v>0</v>
      </c>
      <c r="G59" s="15">
        <v>1</v>
      </c>
      <c r="H59" s="15">
        <v>0</v>
      </c>
      <c r="I59" s="15">
        <v>0</v>
      </c>
      <c r="J59" s="15">
        <v>0</v>
      </c>
      <c r="K59" s="15">
        <v>2</v>
      </c>
      <c r="L59" s="15">
        <v>0</v>
      </c>
      <c r="M59" s="15">
        <v>0</v>
      </c>
      <c r="N59" s="15">
        <v>0</v>
      </c>
      <c r="O59" s="15">
        <v>3</v>
      </c>
      <c r="P59" s="15">
        <v>1</v>
      </c>
      <c r="Q59" s="15">
        <v>2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1</v>
      </c>
      <c r="X59" s="15">
        <v>1</v>
      </c>
      <c r="Y59" s="15">
        <v>1</v>
      </c>
      <c r="Z59" s="15">
        <v>0</v>
      </c>
      <c r="AA59" s="15">
        <v>0</v>
      </c>
      <c r="AB59" s="15">
        <v>0</v>
      </c>
      <c r="AC59" s="15">
        <v>1</v>
      </c>
      <c r="AD59" s="15">
        <v>0</v>
      </c>
      <c r="AE59" s="15">
        <v>2</v>
      </c>
      <c r="AF59" s="15">
        <v>0</v>
      </c>
      <c r="AG59" s="15">
        <v>1</v>
      </c>
      <c r="AH59" s="13">
        <f t="shared" si="13"/>
        <v>16</v>
      </c>
    </row>
    <row r="60" spans="1:34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1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1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1</v>
      </c>
      <c r="AG60" s="15">
        <v>0</v>
      </c>
      <c r="AH60" s="13">
        <f t="shared" si="13"/>
        <v>3</v>
      </c>
    </row>
    <row r="61" spans="1:34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1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1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3">
        <f t="shared" si="13"/>
        <v>2</v>
      </c>
    </row>
    <row r="62" spans="1:34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1</v>
      </c>
      <c r="H62" s="15">
        <v>0</v>
      </c>
      <c r="I62" s="15">
        <v>0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0</v>
      </c>
      <c r="Y62" s="15">
        <v>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1</v>
      </c>
      <c r="AH62" s="13">
        <f t="shared" si="13"/>
        <v>3</v>
      </c>
    </row>
    <row r="63" spans="1:34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AG63" si="15">SUM(E55:E62)</f>
        <v>14</v>
      </c>
      <c r="F63" s="34">
        <f t="shared" si="15"/>
        <v>50</v>
      </c>
      <c r="G63" s="34">
        <f t="shared" si="15"/>
        <v>50</v>
      </c>
      <c r="H63" s="34">
        <f t="shared" si="15"/>
        <v>14</v>
      </c>
      <c r="I63" s="34">
        <f t="shared" si="15"/>
        <v>8</v>
      </c>
      <c r="J63" s="34">
        <f t="shared" si="15"/>
        <v>11</v>
      </c>
      <c r="K63" s="34">
        <f t="shared" si="15"/>
        <v>22</v>
      </c>
      <c r="L63" s="34">
        <f t="shared" si="15"/>
        <v>28</v>
      </c>
      <c r="M63" s="34">
        <f t="shared" si="15"/>
        <v>16</v>
      </c>
      <c r="N63" s="34">
        <f t="shared" si="15"/>
        <v>17</v>
      </c>
      <c r="O63" s="34">
        <f t="shared" si="15"/>
        <v>16</v>
      </c>
      <c r="P63" s="34">
        <f t="shared" si="15"/>
        <v>11</v>
      </c>
      <c r="Q63" s="34">
        <f t="shared" si="15"/>
        <v>29</v>
      </c>
      <c r="R63" s="34">
        <f t="shared" si="15"/>
        <v>7</v>
      </c>
      <c r="S63" s="34">
        <f t="shared" si="15"/>
        <v>21</v>
      </c>
      <c r="T63" s="34">
        <f t="shared" si="15"/>
        <v>16</v>
      </c>
      <c r="U63" s="34">
        <f t="shared" si="15"/>
        <v>25</v>
      </c>
      <c r="V63" s="34">
        <f t="shared" si="15"/>
        <v>3</v>
      </c>
      <c r="W63" s="34">
        <f t="shared" si="15"/>
        <v>6</v>
      </c>
      <c r="X63" s="34">
        <f t="shared" si="15"/>
        <v>23</v>
      </c>
      <c r="Y63" s="34">
        <f t="shared" si="15"/>
        <v>35</v>
      </c>
      <c r="Z63" s="34">
        <f t="shared" si="15"/>
        <v>14</v>
      </c>
      <c r="AA63" s="34">
        <f t="shared" si="15"/>
        <v>18</v>
      </c>
      <c r="AB63" s="34">
        <f t="shared" si="15"/>
        <v>14</v>
      </c>
      <c r="AC63" s="34">
        <f t="shared" si="15"/>
        <v>22</v>
      </c>
      <c r="AD63" s="34">
        <f t="shared" si="15"/>
        <v>42</v>
      </c>
      <c r="AE63" s="34">
        <f t="shared" si="15"/>
        <v>23</v>
      </c>
      <c r="AF63" s="34">
        <f t="shared" si="15"/>
        <v>12</v>
      </c>
      <c r="AG63" s="34">
        <f t="shared" si="15"/>
        <v>51</v>
      </c>
      <c r="AH63" s="13">
        <f t="shared" si="13"/>
        <v>618</v>
      </c>
    </row>
    <row r="64" spans="1:34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13">
        <f t="shared" si="13"/>
        <v>0</v>
      </c>
    </row>
    <row r="65" spans="1:34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7</v>
      </c>
      <c r="F65" s="15">
        <v>3</v>
      </c>
      <c r="G65" s="15">
        <v>2</v>
      </c>
      <c r="H65" s="15">
        <v>4</v>
      </c>
      <c r="I65" s="15">
        <v>3</v>
      </c>
      <c r="J65" s="15">
        <v>4</v>
      </c>
      <c r="K65" s="15">
        <v>5</v>
      </c>
      <c r="L65" s="15">
        <v>2</v>
      </c>
      <c r="M65" s="15">
        <v>3</v>
      </c>
      <c r="N65" s="15">
        <v>3</v>
      </c>
      <c r="O65" s="15">
        <v>5</v>
      </c>
      <c r="P65" s="15">
        <v>0</v>
      </c>
      <c r="Q65" s="15">
        <v>6</v>
      </c>
      <c r="R65" s="15">
        <v>3</v>
      </c>
      <c r="S65" s="15">
        <v>3</v>
      </c>
      <c r="T65" s="15">
        <v>5</v>
      </c>
      <c r="U65" s="15">
        <v>8</v>
      </c>
      <c r="V65" s="15">
        <v>0</v>
      </c>
      <c r="W65" s="15">
        <v>1</v>
      </c>
      <c r="X65" s="15">
        <v>4</v>
      </c>
      <c r="Y65" s="15">
        <v>2</v>
      </c>
      <c r="Z65" s="15">
        <v>2</v>
      </c>
      <c r="AA65" s="15">
        <v>2</v>
      </c>
      <c r="AB65" s="15">
        <v>5</v>
      </c>
      <c r="AC65" s="15">
        <v>6</v>
      </c>
      <c r="AD65" s="15">
        <v>11</v>
      </c>
      <c r="AE65" s="15">
        <v>3</v>
      </c>
      <c r="AF65" s="15">
        <v>2</v>
      </c>
      <c r="AG65" s="15">
        <v>9</v>
      </c>
      <c r="AH65" s="13">
        <f t="shared" si="13"/>
        <v>113</v>
      </c>
    </row>
    <row r="66" spans="1:34" ht="12.75" customHeight="1" x14ac:dyDescent="0.3">
      <c r="A66" s="19" t="s">
        <v>39</v>
      </c>
      <c r="B66" s="27"/>
      <c r="C66" s="28" t="s">
        <v>57</v>
      </c>
      <c r="D66" s="29"/>
      <c r="E66" s="15">
        <v>1</v>
      </c>
      <c r="F66" s="15">
        <v>1</v>
      </c>
      <c r="G66" s="15">
        <v>7</v>
      </c>
      <c r="H66" s="15">
        <v>4</v>
      </c>
      <c r="I66" s="15">
        <v>2</v>
      </c>
      <c r="J66" s="15">
        <v>4</v>
      </c>
      <c r="K66" s="15">
        <v>3</v>
      </c>
      <c r="L66" s="15">
        <v>6</v>
      </c>
      <c r="M66" s="15">
        <v>1</v>
      </c>
      <c r="N66" s="15">
        <v>0</v>
      </c>
      <c r="O66" s="15">
        <v>2</v>
      </c>
      <c r="P66" s="15">
        <v>3</v>
      </c>
      <c r="Q66" s="15">
        <v>3</v>
      </c>
      <c r="R66" s="15">
        <v>2</v>
      </c>
      <c r="S66" s="15">
        <v>1</v>
      </c>
      <c r="T66" s="15">
        <v>17</v>
      </c>
      <c r="U66" s="15">
        <v>64</v>
      </c>
      <c r="V66" s="15">
        <v>3</v>
      </c>
      <c r="W66" s="15">
        <v>4</v>
      </c>
      <c r="X66" s="15">
        <v>13</v>
      </c>
      <c r="Y66" s="15">
        <v>4</v>
      </c>
      <c r="Z66" s="15">
        <v>5</v>
      </c>
      <c r="AA66" s="15">
        <v>7</v>
      </c>
      <c r="AB66" s="15">
        <v>8</v>
      </c>
      <c r="AC66" s="15">
        <v>2</v>
      </c>
      <c r="AD66" s="15">
        <v>7</v>
      </c>
      <c r="AE66" s="15">
        <v>9</v>
      </c>
      <c r="AF66" s="15">
        <v>16</v>
      </c>
      <c r="AG66" s="15">
        <v>7</v>
      </c>
      <c r="AH66" s="13">
        <f t="shared" si="13"/>
        <v>206</v>
      </c>
    </row>
    <row r="67" spans="1:34" ht="12.75" customHeight="1" x14ac:dyDescent="0.3">
      <c r="A67" s="14"/>
      <c r="B67" s="27"/>
      <c r="C67" s="28" t="s">
        <v>58</v>
      </c>
      <c r="D67" s="29"/>
      <c r="E67" s="15">
        <v>1</v>
      </c>
      <c r="F67" s="15">
        <v>0</v>
      </c>
      <c r="G67" s="15">
        <v>1</v>
      </c>
      <c r="H67" s="15">
        <v>1</v>
      </c>
      <c r="I67" s="15">
        <v>0</v>
      </c>
      <c r="J67" s="15">
        <v>1</v>
      </c>
      <c r="K67" s="15">
        <v>1</v>
      </c>
      <c r="L67" s="15">
        <v>0</v>
      </c>
      <c r="M67" s="15">
        <v>2</v>
      </c>
      <c r="N67" s="15">
        <v>1</v>
      </c>
      <c r="O67" s="15">
        <v>1</v>
      </c>
      <c r="P67" s="15">
        <v>0</v>
      </c>
      <c r="Q67" s="15">
        <v>0</v>
      </c>
      <c r="R67" s="15">
        <v>1</v>
      </c>
      <c r="S67" s="15">
        <v>0</v>
      </c>
      <c r="T67" s="15">
        <v>0</v>
      </c>
      <c r="U67" s="15">
        <v>0</v>
      </c>
      <c r="V67" s="15">
        <v>1</v>
      </c>
      <c r="W67" s="15">
        <v>0</v>
      </c>
      <c r="X67" s="15">
        <v>0</v>
      </c>
      <c r="Y67" s="15">
        <v>0</v>
      </c>
      <c r="Z67" s="15">
        <v>1</v>
      </c>
      <c r="AA67" s="15">
        <v>0</v>
      </c>
      <c r="AB67" s="15">
        <v>0</v>
      </c>
      <c r="AC67" s="15">
        <v>4</v>
      </c>
      <c r="AD67" s="15">
        <v>0</v>
      </c>
      <c r="AE67" s="15">
        <v>0</v>
      </c>
      <c r="AF67" s="15">
        <v>0</v>
      </c>
      <c r="AG67" s="15">
        <v>1</v>
      </c>
      <c r="AH67" s="13">
        <f t="shared" si="13"/>
        <v>17</v>
      </c>
    </row>
    <row r="68" spans="1:34" ht="12.75" customHeight="1" x14ac:dyDescent="0.3">
      <c r="A68" s="14"/>
      <c r="B68" s="27"/>
      <c r="C68" s="28" t="s">
        <v>59</v>
      </c>
      <c r="D68" s="29"/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1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2</v>
      </c>
      <c r="R68" s="15">
        <v>1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1</v>
      </c>
      <c r="Y68" s="15">
        <v>2</v>
      </c>
      <c r="Z68" s="15">
        <v>1</v>
      </c>
      <c r="AA68" s="15">
        <v>0</v>
      </c>
      <c r="AB68" s="15">
        <v>0</v>
      </c>
      <c r="AC68" s="15">
        <v>1</v>
      </c>
      <c r="AD68" s="15">
        <v>0</v>
      </c>
      <c r="AE68" s="15">
        <v>2</v>
      </c>
      <c r="AF68" s="15">
        <v>0</v>
      </c>
      <c r="AG68" s="15">
        <v>3</v>
      </c>
      <c r="AH68" s="13">
        <f t="shared" si="13"/>
        <v>14</v>
      </c>
    </row>
    <row r="69" spans="1:34" ht="12.75" customHeight="1" x14ac:dyDescent="0.3">
      <c r="A69" s="14"/>
      <c r="B69" s="27"/>
      <c r="C69" s="28" t="s">
        <v>60</v>
      </c>
      <c r="D69" s="29"/>
      <c r="E69" s="15">
        <v>5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1</v>
      </c>
      <c r="Q69" s="15">
        <v>0</v>
      </c>
      <c r="R69" s="15">
        <v>0</v>
      </c>
      <c r="S69" s="15">
        <v>0</v>
      </c>
      <c r="T69" s="15">
        <v>1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1</v>
      </c>
      <c r="AA69" s="15">
        <v>0</v>
      </c>
      <c r="AB69" s="15">
        <v>0</v>
      </c>
      <c r="AC69" s="15">
        <v>0</v>
      </c>
      <c r="AD69" s="15">
        <v>0</v>
      </c>
      <c r="AE69" s="15">
        <v>1</v>
      </c>
      <c r="AF69" s="15">
        <v>2</v>
      </c>
      <c r="AG69" s="15">
        <v>0</v>
      </c>
      <c r="AH69" s="13">
        <f t="shared" si="13"/>
        <v>11</v>
      </c>
    </row>
    <row r="70" spans="1:34" ht="12.75" customHeight="1" x14ac:dyDescent="0.3">
      <c r="A70" s="14"/>
      <c r="B70" s="27"/>
      <c r="C70" s="28" t="s">
        <v>61</v>
      </c>
      <c r="D70" s="29"/>
      <c r="E70" s="15">
        <v>2</v>
      </c>
      <c r="F70" s="15">
        <v>2</v>
      </c>
      <c r="G70" s="15">
        <v>2</v>
      </c>
      <c r="H70" s="15">
        <v>0</v>
      </c>
      <c r="I70" s="15">
        <v>0</v>
      </c>
      <c r="J70" s="15">
        <v>1</v>
      </c>
      <c r="K70" s="15">
        <v>2</v>
      </c>
      <c r="L70" s="15">
        <v>3</v>
      </c>
      <c r="M70" s="15">
        <v>0</v>
      </c>
      <c r="N70" s="15">
        <v>0</v>
      </c>
      <c r="O70" s="15">
        <v>16</v>
      </c>
      <c r="P70" s="15">
        <v>0</v>
      </c>
      <c r="Q70" s="15">
        <v>6</v>
      </c>
      <c r="R70" s="15">
        <v>1</v>
      </c>
      <c r="S70" s="15">
        <v>3</v>
      </c>
      <c r="T70" s="15">
        <v>0</v>
      </c>
      <c r="U70" s="15">
        <v>0</v>
      </c>
      <c r="V70" s="15">
        <v>0</v>
      </c>
      <c r="W70" s="15">
        <v>0</v>
      </c>
      <c r="X70" s="15">
        <v>1</v>
      </c>
      <c r="Y70" s="15">
        <v>1</v>
      </c>
      <c r="Z70" s="15">
        <v>0</v>
      </c>
      <c r="AA70" s="15">
        <v>1</v>
      </c>
      <c r="AB70" s="15">
        <v>5</v>
      </c>
      <c r="AC70" s="15">
        <v>7</v>
      </c>
      <c r="AD70" s="15">
        <v>4</v>
      </c>
      <c r="AE70" s="15">
        <v>0</v>
      </c>
      <c r="AF70" s="15">
        <v>0</v>
      </c>
      <c r="AG70" s="15">
        <v>3</v>
      </c>
      <c r="AH70" s="13">
        <f t="shared" si="13"/>
        <v>60</v>
      </c>
    </row>
    <row r="71" spans="1:34" ht="12.75" customHeight="1" x14ac:dyDescent="0.3">
      <c r="A71" s="14"/>
      <c r="B71" s="27"/>
      <c r="C71" s="28" t="s">
        <v>62</v>
      </c>
      <c r="D71" s="29"/>
      <c r="E71" s="15">
        <v>0</v>
      </c>
      <c r="F71" s="15">
        <v>1</v>
      </c>
      <c r="G71" s="15">
        <v>0</v>
      </c>
      <c r="H71" s="15">
        <v>0</v>
      </c>
      <c r="I71" s="15">
        <v>0</v>
      </c>
      <c r="J71" s="15">
        <v>1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1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3">
        <f t="shared" si="13"/>
        <v>4</v>
      </c>
    </row>
    <row r="72" spans="1:34" ht="12.75" customHeight="1" x14ac:dyDescent="0.3">
      <c r="A72" s="14"/>
      <c r="B72" s="27"/>
      <c r="C72" s="28" t="s">
        <v>63</v>
      </c>
      <c r="D72" s="29"/>
      <c r="E72" s="15">
        <v>13</v>
      </c>
      <c r="F72" s="15">
        <v>13</v>
      </c>
      <c r="G72" s="15">
        <v>9</v>
      </c>
      <c r="H72" s="15">
        <v>12</v>
      </c>
      <c r="I72" s="15">
        <v>20</v>
      </c>
      <c r="J72" s="15">
        <v>10</v>
      </c>
      <c r="K72" s="15">
        <v>5</v>
      </c>
      <c r="L72" s="15">
        <v>7</v>
      </c>
      <c r="M72" s="15">
        <v>7</v>
      </c>
      <c r="N72" s="15">
        <v>3</v>
      </c>
      <c r="O72" s="15">
        <v>1</v>
      </c>
      <c r="P72" s="15">
        <v>1</v>
      </c>
      <c r="Q72" s="15">
        <v>1</v>
      </c>
      <c r="R72" s="15">
        <v>0</v>
      </c>
      <c r="S72" s="15">
        <v>0</v>
      </c>
      <c r="T72" s="15">
        <v>4</v>
      </c>
      <c r="U72" s="15">
        <v>0</v>
      </c>
      <c r="V72" s="15">
        <v>0</v>
      </c>
      <c r="W72" s="15">
        <v>1</v>
      </c>
      <c r="X72" s="15">
        <v>0</v>
      </c>
      <c r="Y72" s="15">
        <v>1</v>
      </c>
      <c r="Z72" s="15">
        <v>1</v>
      </c>
      <c r="AA72" s="15">
        <v>1</v>
      </c>
      <c r="AB72" s="15">
        <v>11</v>
      </c>
      <c r="AC72" s="15">
        <v>50</v>
      </c>
      <c r="AD72" s="15">
        <v>36</v>
      </c>
      <c r="AE72" s="15">
        <v>3</v>
      </c>
      <c r="AF72" s="15">
        <v>1</v>
      </c>
      <c r="AG72" s="15">
        <v>1</v>
      </c>
      <c r="AH72" s="13">
        <f t="shared" si="13"/>
        <v>212</v>
      </c>
    </row>
    <row r="73" spans="1:34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AG73" si="16">SUM(E65:E72)</f>
        <v>29</v>
      </c>
      <c r="F73" s="34">
        <f t="shared" si="16"/>
        <v>20</v>
      </c>
      <c r="G73" s="34">
        <f t="shared" si="16"/>
        <v>21</v>
      </c>
      <c r="H73" s="34">
        <f t="shared" si="16"/>
        <v>21</v>
      </c>
      <c r="I73" s="34">
        <f t="shared" si="16"/>
        <v>25</v>
      </c>
      <c r="J73" s="34">
        <f t="shared" si="16"/>
        <v>22</v>
      </c>
      <c r="K73" s="34">
        <f t="shared" si="16"/>
        <v>17</v>
      </c>
      <c r="L73" s="34">
        <f t="shared" si="16"/>
        <v>18</v>
      </c>
      <c r="M73" s="34">
        <f t="shared" si="16"/>
        <v>13</v>
      </c>
      <c r="N73" s="34">
        <f t="shared" si="16"/>
        <v>7</v>
      </c>
      <c r="O73" s="34">
        <f t="shared" si="16"/>
        <v>25</v>
      </c>
      <c r="P73" s="34">
        <f t="shared" si="16"/>
        <v>5</v>
      </c>
      <c r="Q73" s="34">
        <f t="shared" si="16"/>
        <v>18</v>
      </c>
      <c r="R73" s="34">
        <f t="shared" si="16"/>
        <v>9</v>
      </c>
      <c r="S73" s="34">
        <f t="shared" si="16"/>
        <v>7</v>
      </c>
      <c r="T73" s="34">
        <f t="shared" si="16"/>
        <v>27</v>
      </c>
      <c r="U73" s="34">
        <f t="shared" si="16"/>
        <v>72</v>
      </c>
      <c r="V73" s="34">
        <f t="shared" si="16"/>
        <v>4</v>
      </c>
      <c r="W73" s="34">
        <f t="shared" si="16"/>
        <v>6</v>
      </c>
      <c r="X73" s="34">
        <f t="shared" si="16"/>
        <v>19</v>
      </c>
      <c r="Y73" s="34">
        <f t="shared" si="16"/>
        <v>10</v>
      </c>
      <c r="Z73" s="34">
        <f t="shared" si="16"/>
        <v>11</v>
      </c>
      <c r="AA73" s="34">
        <f t="shared" si="16"/>
        <v>11</v>
      </c>
      <c r="AB73" s="34">
        <f t="shared" si="16"/>
        <v>29</v>
      </c>
      <c r="AC73" s="34">
        <f t="shared" si="16"/>
        <v>70</v>
      </c>
      <c r="AD73" s="34">
        <f t="shared" si="16"/>
        <v>58</v>
      </c>
      <c r="AE73" s="34">
        <f t="shared" si="16"/>
        <v>18</v>
      </c>
      <c r="AF73" s="34">
        <f t="shared" si="16"/>
        <v>21</v>
      </c>
      <c r="AG73" s="34">
        <f t="shared" si="16"/>
        <v>24</v>
      </c>
      <c r="AH73" s="13">
        <f t="shared" si="13"/>
        <v>637</v>
      </c>
    </row>
    <row r="74" spans="1:34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13">
        <f t="shared" si="13"/>
        <v>0</v>
      </c>
    </row>
    <row r="75" spans="1:34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12</v>
      </c>
      <c r="F75" s="15">
        <v>6</v>
      </c>
      <c r="G75" s="15">
        <v>7</v>
      </c>
      <c r="H75" s="15">
        <v>17</v>
      </c>
      <c r="I75" s="15">
        <v>7</v>
      </c>
      <c r="J75" s="15">
        <v>5</v>
      </c>
      <c r="K75" s="15">
        <v>6</v>
      </c>
      <c r="L75" s="15">
        <v>19</v>
      </c>
      <c r="M75" s="15">
        <v>3</v>
      </c>
      <c r="N75" s="15">
        <v>6</v>
      </c>
      <c r="O75" s="15">
        <v>5</v>
      </c>
      <c r="P75" s="15">
        <v>10</v>
      </c>
      <c r="Q75" s="15">
        <v>17</v>
      </c>
      <c r="R75" s="15">
        <v>4</v>
      </c>
      <c r="S75" s="15">
        <v>15</v>
      </c>
      <c r="T75" s="15">
        <v>10</v>
      </c>
      <c r="U75" s="15">
        <v>2</v>
      </c>
      <c r="V75" s="15">
        <v>7</v>
      </c>
      <c r="W75" s="15">
        <v>2</v>
      </c>
      <c r="X75" s="15">
        <v>8</v>
      </c>
      <c r="Y75" s="15">
        <v>8</v>
      </c>
      <c r="Z75" s="15">
        <v>7</v>
      </c>
      <c r="AA75" s="15">
        <v>12</v>
      </c>
      <c r="AB75" s="15">
        <v>20</v>
      </c>
      <c r="AC75" s="15">
        <v>3</v>
      </c>
      <c r="AD75" s="15">
        <v>5</v>
      </c>
      <c r="AE75" s="15">
        <v>18</v>
      </c>
      <c r="AF75" s="15">
        <v>8</v>
      </c>
      <c r="AG75" s="15">
        <v>13</v>
      </c>
      <c r="AH75" s="13">
        <f t="shared" si="13"/>
        <v>262</v>
      </c>
    </row>
    <row r="76" spans="1:34" ht="12.75" customHeight="1" x14ac:dyDescent="0.3">
      <c r="A76" s="19" t="s">
        <v>39</v>
      </c>
      <c r="B76" s="27"/>
      <c r="C76" s="28" t="s">
        <v>65</v>
      </c>
      <c r="D76" s="29"/>
      <c r="E76" s="15">
        <v>45</v>
      </c>
      <c r="F76" s="15">
        <v>44</v>
      </c>
      <c r="G76" s="15">
        <v>83</v>
      </c>
      <c r="H76" s="15">
        <v>75</v>
      </c>
      <c r="I76" s="15">
        <v>74</v>
      </c>
      <c r="J76" s="15">
        <v>33</v>
      </c>
      <c r="K76" s="15">
        <v>76</v>
      </c>
      <c r="L76" s="15">
        <v>90</v>
      </c>
      <c r="M76" s="15">
        <v>43</v>
      </c>
      <c r="N76" s="15">
        <v>56</v>
      </c>
      <c r="O76" s="15">
        <v>71</v>
      </c>
      <c r="P76" s="15">
        <v>56</v>
      </c>
      <c r="Q76" s="15">
        <v>83</v>
      </c>
      <c r="R76" s="15">
        <v>43</v>
      </c>
      <c r="S76" s="15">
        <v>100</v>
      </c>
      <c r="T76" s="15">
        <v>87</v>
      </c>
      <c r="U76" s="15">
        <v>28</v>
      </c>
      <c r="V76" s="15">
        <v>26</v>
      </c>
      <c r="W76" s="15">
        <v>10</v>
      </c>
      <c r="X76" s="15">
        <v>122</v>
      </c>
      <c r="Y76" s="15">
        <v>100</v>
      </c>
      <c r="Z76" s="15">
        <v>42</v>
      </c>
      <c r="AA76" s="15">
        <v>35</v>
      </c>
      <c r="AB76" s="15">
        <v>85</v>
      </c>
      <c r="AC76" s="15">
        <v>12</v>
      </c>
      <c r="AD76" s="15">
        <v>40</v>
      </c>
      <c r="AE76" s="15">
        <v>121</v>
      </c>
      <c r="AF76" s="15">
        <v>80</v>
      </c>
      <c r="AG76" s="15">
        <v>58</v>
      </c>
      <c r="AH76" s="13">
        <f t="shared" si="13"/>
        <v>1818</v>
      </c>
    </row>
    <row r="77" spans="1:34" ht="12.75" customHeight="1" x14ac:dyDescent="0.3">
      <c r="A77" s="14"/>
      <c r="B77" s="27"/>
      <c r="C77" s="28" t="s">
        <v>66</v>
      </c>
      <c r="D77" s="29"/>
      <c r="E77" s="15">
        <v>1</v>
      </c>
      <c r="F77" s="15">
        <v>0</v>
      </c>
      <c r="G77" s="15">
        <v>1</v>
      </c>
      <c r="H77" s="15">
        <v>8</v>
      </c>
      <c r="I77" s="15">
        <v>11</v>
      </c>
      <c r="J77" s="15">
        <v>0</v>
      </c>
      <c r="K77" s="15">
        <v>2</v>
      </c>
      <c r="L77" s="15">
        <v>4</v>
      </c>
      <c r="M77" s="15">
        <v>3</v>
      </c>
      <c r="N77" s="15">
        <v>0</v>
      </c>
      <c r="O77" s="15">
        <v>1</v>
      </c>
      <c r="P77" s="15">
        <v>0</v>
      </c>
      <c r="Q77" s="15">
        <v>1</v>
      </c>
      <c r="R77" s="15">
        <v>0</v>
      </c>
      <c r="S77" s="15">
        <v>0</v>
      </c>
      <c r="T77" s="15">
        <v>1</v>
      </c>
      <c r="U77" s="15">
        <v>0</v>
      </c>
      <c r="V77" s="15">
        <v>1</v>
      </c>
      <c r="W77" s="15">
        <v>0</v>
      </c>
      <c r="X77" s="15">
        <v>0</v>
      </c>
      <c r="Y77" s="15">
        <v>2</v>
      </c>
      <c r="Z77" s="15">
        <v>2</v>
      </c>
      <c r="AA77" s="15">
        <v>1</v>
      </c>
      <c r="AB77" s="15">
        <v>1</v>
      </c>
      <c r="AC77" s="15">
        <v>3</v>
      </c>
      <c r="AD77" s="15">
        <v>0</v>
      </c>
      <c r="AE77" s="15">
        <v>1</v>
      </c>
      <c r="AF77" s="15">
        <v>0</v>
      </c>
      <c r="AG77" s="15">
        <v>0</v>
      </c>
      <c r="AH77" s="13">
        <f t="shared" si="13"/>
        <v>44</v>
      </c>
    </row>
    <row r="78" spans="1:34" ht="12.75" customHeight="1" x14ac:dyDescent="0.3">
      <c r="A78" s="14"/>
      <c r="B78" s="27"/>
      <c r="C78" s="28" t="s">
        <v>67</v>
      </c>
      <c r="D78" s="29"/>
      <c r="E78" s="15">
        <v>0</v>
      </c>
      <c r="F78" s="15">
        <v>1</v>
      </c>
      <c r="G78" s="15">
        <v>1</v>
      </c>
      <c r="H78" s="15">
        <v>0</v>
      </c>
      <c r="I78" s="15">
        <v>0</v>
      </c>
      <c r="J78" s="15">
        <v>0</v>
      </c>
      <c r="K78" s="15">
        <v>0</v>
      </c>
      <c r="L78" s="15">
        <v>2</v>
      </c>
      <c r="M78" s="15">
        <v>0</v>
      </c>
      <c r="N78" s="15">
        <v>1</v>
      </c>
      <c r="O78" s="15">
        <v>1</v>
      </c>
      <c r="P78" s="15">
        <v>0</v>
      </c>
      <c r="Q78" s="15">
        <v>0</v>
      </c>
      <c r="R78" s="15">
        <v>1</v>
      </c>
      <c r="S78" s="15">
        <v>0</v>
      </c>
      <c r="T78" s="15">
        <v>0</v>
      </c>
      <c r="U78" s="15">
        <v>0</v>
      </c>
      <c r="V78" s="15">
        <v>1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15">
        <v>0</v>
      </c>
      <c r="AD78" s="15">
        <v>2</v>
      </c>
      <c r="AE78" s="15">
        <v>1</v>
      </c>
      <c r="AF78" s="15">
        <v>1</v>
      </c>
      <c r="AG78" s="15">
        <v>0</v>
      </c>
      <c r="AH78" s="13">
        <f t="shared" si="13"/>
        <v>12</v>
      </c>
    </row>
    <row r="79" spans="1:34" ht="12.75" customHeight="1" x14ac:dyDescent="0.3">
      <c r="A79" s="14"/>
      <c r="B79" s="27"/>
      <c r="C79" s="28" t="s">
        <v>68</v>
      </c>
      <c r="D79" s="29"/>
      <c r="E79" s="15">
        <v>1</v>
      </c>
      <c r="F79" s="15">
        <v>1</v>
      </c>
      <c r="G79" s="15">
        <v>0</v>
      </c>
      <c r="H79" s="15">
        <v>0</v>
      </c>
      <c r="I79" s="15">
        <v>0</v>
      </c>
      <c r="J79" s="15">
        <v>1</v>
      </c>
      <c r="K79" s="15">
        <v>0</v>
      </c>
      <c r="L79" s="15">
        <v>1</v>
      </c>
      <c r="M79" s="15">
        <v>0</v>
      </c>
      <c r="N79" s="15">
        <v>0</v>
      </c>
      <c r="O79" s="15">
        <v>0</v>
      </c>
      <c r="P79" s="15">
        <v>2</v>
      </c>
      <c r="Q79" s="15">
        <v>1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1</v>
      </c>
      <c r="Z79" s="15">
        <v>0</v>
      </c>
      <c r="AA79" s="15">
        <v>0</v>
      </c>
      <c r="AB79" s="15">
        <v>1</v>
      </c>
      <c r="AC79" s="15">
        <v>0</v>
      </c>
      <c r="AD79" s="15">
        <v>0</v>
      </c>
      <c r="AE79" s="15">
        <v>1</v>
      </c>
      <c r="AF79" s="15">
        <v>0</v>
      </c>
      <c r="AG79" s="15">
        <v>0</v>
      </c>
      <c r="AH79" s="13">
        <f t="shared" si="13"/>
        <v>10</v>
      </c>
    </row>
    <row r="80" spans="1:34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1</v>
      </c>
      <c r="K80" s="15">
        <v>0</v>
      </c>
      <c r="L80" s="15">
        <v>0</v>
      </c>
      <c r="M80" s="15">
        <v>0</v>
      </c>
      <c r="N80" s="15">
        <v>0</v>
      </c>
      <c r="O80" s="15">
        <v>1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3">
        <f t="shared" si="13"/>
        <v>2</v>
      </c>
    </row>
    <row r="81" spans="1:34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1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3">
        <f t="shared" si="13"/>
        <v>1</v>
      </c>
    </row>
    <row r="82" spans="1:34" ht="12.75" customHeight="1" x14ac:dyDescent="0.3">
      <c r="A82" s="14"/>
      <c r="B82" s="27"/>
      <c r="C82" s="28" t="s">
        <v>71</v>
      </c>
      <c r="D82" s="29"/>
      <c r="E82" s="15">
        <v>0</v>
      </c>
      <c r="F82" s="15">
        <v>0</v>
      </c>
      <c r="G82" s="15">
        <v>1</v>
      </c>
      <c r="H82" s="15">
        <v>0</v>
      </c>
      <c r="I82" s="15">
        <v>0</v>
      </c>
      <c r="J82" s="15">
        <v>0</v>
      </c>
      <c r="K82" s="15">
        <v>0</v>
      </c>
      <c r="L82" s="15">
        <v>1</v>
      </c>
      <c r="M82" s="15">
        <v>0</v>
      </c>
      <c r="N82" s="15">
        <v>1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1</v>
      </c>
      <c r="AE82" s="15">
        <v>0</v>
      </c>
      <c r="AF82" s="15">
        <v>0</v>
      </c>
      <c r="AG82" s="15">
        <v>0</v>
      </c>
      <c r="AH82" s="13">
        <f t="shared" si="13"/>
        <v>5</v>
      </c>
    </row>
    <row r="83" spans="1:34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G83" si="17">SUM(E75:E82)</f>
        <v>59</v>
      </c>
      <c r="F83" s="34">
        <f t="shared" si="17"/>
        <v>52</v>
      </c>
      <c r="G83" s="34">
        <f t="shared" si="17"/>
        <v>93</v>
      </c>
      <c r="H83" s="34">
        <f t="shared" si="17"/>
        <v>100</v>
      </c>
      <c r="I83" s="34">
        <f t="shared" si="17"/>
        <v>92</v>
      </c>
      <c r="J83" s="34">
        <f t="shared" si="17"/>
        <v>40</v>
      </c>
      <c r="K83" s="34">
        <f t="shared" si="17"/>
        <v>84</v>
      </c>
      <c r="L83" s="34">
        <f t="shared" si="17"/>
        <v>117</v>
      </c>
      <c r="M83" s="34">
        <f t="shared" si="17"/>
        <v>49</v>
      </c>
      <c r="N83" s="34">
        <f t="shared" si="17"/>
        <v>64</v>
      </c>
      <c r="O83" s="34">
        <f t="shared" si="17"/>
        <v>79</v>
      </c>
      <c r="P83" s="34">
        <f t="shared" si="17"/>
        <v>68</v>
      </c>
      <c r="Q83" s="34">
        <f t="shared" si="17"/>
        <v>103</v>
      </c>
      <c r="R83" s="34">
        <f t="shared" si="17"/>
        <v>48</v>
      </c>
      <c r="S83" s="34">
        <f t="shared" si="17"/>
        <v>115</v>
      </c>
      <c r="T83" s="34">
        <f t="shared" si="17"/>
        <v>98</v>
      </c>
      <c r="U83" s="34">
        <f t="shared" si="17"/>
        <v>30</v>
      </c>
      <c r="V83" s="34">
        <f t="shared" si="17"/>
        <v>36</v>
      </c>
      <c r="W83" s="34">
        <f t="shared" si="17"/>
        <v>12</v>
      </c>
      <c r="X83" s="34">
        <f t="shared" si="17"/>
        <v>130</v>
      </c>
      <c r="Y83" s="34">
        <f t="shared" si="17"/>
        <v>111</v>
      </c>
      <c r="Z83" s="34">
        <f t="shared" si="17"/>
        <v>51</v>
      </c>
      <c r="AA83" s="34">
        <f t="shared" si="17"/>
        <v>48</v>
      </c>
      <c r="AB83" s="34">
        <f t="shared" si="17"/>
        <v>107</v>
      </c>
      <c r="AC83" s="34">
        <f t="shared" si="17"/>
        <v>18</v>
      </c>
      <c r="AD83" s="34">
        <f t="shared" si="17"/>
        <v>48</v>
      </c>
      <c r="AE83" s="34">
        <f t="shared" si="17"/>
        <v>142</v>
      </c>
      <c r="AF83" s="34">
        <f t="shared" si="17"/>
        <v>89</v>
      </c>
      <c r="AG83" s="34">
        <f t="shared" si="17"/>
        <v>71</v>
      </c>
      <c r="AH83" s="13">
        <f t="shared" si="13"/>
        <v>2154</v>
      </c>
    </row>
    <row r="84" spans="1:34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13">
        <f t="shared" si="13"/>
        <v>0</v>
      </c>
    </row>
    <row r="85" spans="1:34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3</v>
      </c>
      <c r="F85" s="15">
        <v>6</v>
      </c>
      <c r="G85" s="15">
        <v>0</v>
      </c>
      <c r="H85" s="15">
        <v>2</v>
      </c>
      <c r="I85" s="15">
        <v>0</v>
      </c>
      <c r="J85" s="15">
        <v>0</v>
      </c>
      <c r="K85" s="15">
        <v>1</v>
      </c>
      <c r="L85" s="15">
        <v>0</v>
      </c>
      <c r="M85" s="15">
        <v>0</v>
      </c>
      <c r="N85" s="15">
        <v>1</v>
      </c>
      <c r="O85" s="15">
        <v>2</v>
      </c>
      <c r="P85" s="15">
        <v>0</v>
      </c>
      <c r="Q85" s="15">
        <v>1</v>
      </c>
      <c r="R85" s="15">
        <v>3</v>
      </c>
      <c r="S85" s="15">
        <v>0</v>
      </c>
      <c r="T85" s="15">
        <v>0</v>
      </c>
      <c r="U85" s="15">
        <v>0</v>
      </c>
      <c r="V85" s="15">
        <v>1</v>
      </c>
      <c r="W85" s="15">
        <v>3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1</v>
      </c>
      <c r="AH85" s="13">
        <f t="shared" si="13"/>
        <v>24</v>
      </c>
    </row>
    <row r="86" spans="1:34" ht="12.75" customHeight="1" x14ac:dyDescent="0.3">
      <c r="A86" s="19" t="s">
        <v>39</v>
      </c>
      <c r="B86" s="27"/>
      <c r="C86" s="28" t="s">
        <v>74</v>
      </c>
      <c r="D86" s="29"/>
      <c r="E86" s="15">
        <v>13</v>
      </c>
      <c r="F86" s="15">
        <v>7</v>
      </c>
      <c r="G86" s="15">
        <v>4</v>
      </c>
      <c r="H86" s="15">
        <v>1</v>
      </c>
      <c r="I86" s="15">
        <v>5</v>
      </c>
      <c r="J86" s="15">
        <v>2</v>
      </c>
      <c r="K86" s="15">
        <v>3</v>
      </c>
      <c r="L86" s="15">
        <v>5</v>
      </c>
      <c r="M86" s="15">
        <v>1</v>
      </c>
      <c r="N86" s="15">
        <v>2</v>
      </c>
      <c r="O86" s="15">
        <v>7</v>
      </c>
      <c r="P86" s="15">
        <v>3</v>
      </c>
      <c r="Q86" s="15">
        <v>6</v>
      </c>
      <c r="R86" s="15">
        <v>68</v>
      </c>
      <c r="S86" s="15">
        <v>7</v>
      </c>
      <c r="T86" s="15">
        <v>3</v>
      </c>
      <c r="U86" s="15">
        <v>2</v>
      </c>
      <c r="V86" s="15">
        <v>1</v>
      </c>
      <c r="W86" s="15">
        <v>0</v>
      </c>
      <c r="X86" s="15">
        <v>2</v>
      </c>
      <c r="Y86" s="15">
        <v>1</v>
      </c>
      <c r="Z86" s="15">
        <v>1</v>
      </c>
      <c r="AA86" s="15">
        <v>3</v>
      </c>
      <c r="AB86" s="15">
        <v>4</v>
      </c>
      <c r="AC86" s="15">
        <v>3</v>
      </c>
      <c r="AD86" s="15">
        <v>0</v>
      </c>
      <c r="AE86" s="15">
        <v>0</v>
      </c>
      <c r="AF86" s="15">
        <v>1</v>
      </c>
      <c r="AG86" s="15">
        <v>0</v>
      </c>
      <c r="AH86" s="13">
        <f t="shared" si="13"/>
        <v>155</v>
      </c>
    </row>
    <row r="87" spans="1:34" ht="12.75" customHeight="1" x14ac:dyDescent="0.3">
      <c r="A87" s="14"/>
      <c r="B87" s="27"/>
      <c r="C87" s="28" t="s">
        <v>75</v>
      </c>
      <c r="D87" s="29"/>
      <c r="E87" s="15">
        <v>0</v>
      </c>
      <c r="F87" s="15">
        <v>1</v>
      </c>
      <c r="G87" s="15">
        <v>1</v>
      </c>
      <c r="H87" s="15">
        <v>0</v>
      </c>
      <c r="I87" s="15">
        <v>0</v>
      </c>
      <c r="J87" s="15">
        <v>0</v>
      </c>
      <c r="K87" s="15">
        <v>0</v>
      </c>
      <c r="L87" s="15">
        <v>0</v>
      </c>
      <c r="M87" s="15">
        <v>0</v>
      </c>
      <c r="N87" s="15">
        <v>0</v>
      </c>
      <c r="O87" s="15">
        <v>1</v>
      </c>
      <c r="P87" s="15">
        <v>0</v>
      </c>
      <c r="Q87" s="15">
        <v>0</v>
      </c>
      <c r="R87" s="15">
        <v>0</v>
      </c>
      <c r="S87" s="15">
        <v>0</v>
      </c>
      <c r="T87" s="15">
        <v>2</v>
      </c>
      <c r="U87" s="15">
        <v>0</v>
      </c>
      <c r="V87" s="15">
        <v>1</v>
      </c>
      <c r="W87" s="15">
        <v>1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1</v>
      </c>
      <c r="AF87" s="15">
        <v>0</v>
      </c>
      <c r="AG87" s="15">
        <v>3</v>
      </c>
      <c r="AH87" s="13">
        <f t="shared" si="13"/>
        <v>11</v>
      </c>
    </row>
    <row r="88" spans="1:34" ht="12.75" customHeight="1" x14ac:dyDescent="0.3">
      <c r="A88" s="14"/>
      <c r="B88" s="27"/>
      <c r="C88" s="28" t="s">
        <v>76</v>
      </c>
      <c r="D88" s="29"/>
      <c r="E88" s="15">
        <v>1</v>
      </c>
      <c r="F88" s="15">
        <v>1</v>
      </c>
      <c r="G88" s="15">
        <v>1</v>
      </c>
      <c r="H88" s="15">
        <v>0</v>
      </c>
      <c r="I88" s="15">
        <v>1</v>
      </c>
      <c r="J88" s="15">
        <v>2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1</v>
      </c>
      <c r="S88" s="15">
        <v>0</v>
      </c>
      <c r="T88" s="15">
        <v>0</v>
      </c>
      <c r="U88" s="15">
        <v>1</v>
      </c>
      <c r="V88" s="15">
        <v>0</v>
      </c>
      <c r="W88" s="15">
        <v>0</v>
      </c>
      <c r="X88" s="15">
        <v>0</v>
      </c>
      <c r="Y88" s="15">
        <v>0</v>
      </c>
      <c r="Z88" s="15">
        <v>1</v>
      </c>
      <c r="AA88" s="15">
        <v>0</v>
      </c>
      <c r="AB88" s="15">
        <v>0</v>
      </c>
      <c r="AC88" s="15">
        <v>0</v>
      </c>
      <c r="AD88" s="15">
        <v>0</v>
      </c>
      <c r="AE88" s="15">
        <v>2</v>
      </c>
      <c r="AF88" s="15">
        <v>0</v>
      </c>
      <c r="AG88" s="15">
        <v>0</v>
      </c>
      <c r="AH88" s="13">
        <f t="shared" si="13"/>
        <v>11</v>
      </c>
    </row>
    <row r="89" spans="1:34" ht="12.75" customHeight="1" x14ac:dyDescent="0.3">
      <c r="A89" s="14"/>
      <c r="B89" s="27"/>
      <c r="C89" s="28" t="s">
        <v>77</v>
      </c>
      <c r="D89" s="29"/>
      <c r="E89" s="15">
        <v>2</v>
      </c>
      <c r="F89" s="15">
        <v>1</v>
      </c>
      <c r="G89" s="15">
        <v>0</v>
      </c>
      <c r="H89" s="15">
        <v>0</v>
      </c>
      <c r="I89" s="15">
        <v>1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1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5">
        <v>1</v>
      </c>
      <c r="Y89" s="15">
        <v>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1</v>
      </c>
      <c r="AH89" s="13">
        <f t="shared" si="13"/>
        <v>7</v>
      </c>
    </row>
    <row r="90" spans="1:34" ht="12.75" customHeight="1" x14ac:dyDescent="0.3">
      <c r="A90" s="14"/>
      <c r="B90" s="27"/>
      <c r="C90" s="28" t="s">
        <v>78</v>
      </c>
      <c r="D90" s="29"/>
      <c r="E90" s="15">
        <v>7</v>
      </c>
      <c r="F90" s="15">
        <v>34</v>
      </c>
      <c r="G90" s="15">
        <v>9</v>
      </c>
      <c r="H90" s="15">
        <v>7</v>
      </c>
      <c r="I90" s="15">
        <v>2</v>
      </c>
      <c r="J90" s="15">
        <v>0</v>
      </c>
      <c r="K90" s="15">
        <v>5</v>
      </c>
      <c r="L90" s="15">
        <v>0</v>
      </c>
      <c r="M90" s="15">
        <v>1</v>
      </c>
      <c r="N90" s="15">
        <v>0</v>
      </c>
      <c r="O90" s="15">
        <v>2</v>
      </c>
      <c r="P90" s="15">
        <v>0</v>
      </c>
      <c r="Q90" s="15">
        <v>1</v>
      </c>
      <c r="R90" s="15">
        <v>7</v>
      </c>
      <c r="S90" s="15">
        <v>0</v>
      </c>
      <c r="T90" s="15">
        <v>0</v>
      </c>
      <c r="U90" s="15">
        <v>0</v>
      </c>
      <c r="V90" s="15">
        <v>14</v>
      </c>
      <c r="W90" s="15">
        <v>19</v>
      </c>
      <c r="X90" s="15">
        <v>0</v>
      </c>
      <c r="Y90" s="15">
        <v>4</v>
      </c>
      <c r="Z90" s="15">
        <v>0</v>
      </c>
      <c r="AA90" s="15">
        <v>0</v>
      </c>
      <c r="AB90" s="15">
        <v>1</v>
      </c>
      <c r="AC90" s="15">
        <v>3</v>
      </c>
      <c r="AD90" s="15">
        <v>1</v>
      </c>
      <c r="AE90" s="15">
        <v>3</v>
      </c>
      <c r="AF90" s="15">
        <v>1</v>
      </c>
      <c r="AG90" s="15">
        <v>0</v>
      </c>
      <c r="AH90" s="13">
        <f t="shared" si="13"/>
        <v>121</v>
      </c>
    </row>
    <row r="91" spans="1:34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1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3">
        <f t="shared" si="13"/>
        <v>1</v>
      </c>
    </row>
    <row r="92" spans="1:34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1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3">
        <f t="shared" si="13"/>
        <v>1</v>
      </c>
    </row>
    <row r="93" spans="1:34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AG93" si="18">SUM(E85:E92)</f>
        <v>26</v>
      </c>
      <c r="F93" s="34">
        <f t="shared" si="18"/>
        <v>50</v>
      </c>
      <c r="G93" s="34">
        <f t="shared" si="18"/>
        <v>15</v>
      </c>
      <c r="H93" s="34">
        <f t="shared" si="18"/>
        <v>10</v>
      </c>
      <c r="I93" s="34">
        <f t="shared" si="18"/>
        <v>9</v>
      </c>
      <c r="J93" s="34">
        <f t="shared" si="18"/>
        <v>4</v>
      </c>
      <c r="K93" s="34">
        <f t="shared" si="18"/>
        <v>9</v>
      </c>
      <c r="L93" s="34">
        <f t="shared" si="18"/>
        <v>5</v>
      </c>
      <c r="M93" s="34">
        <f t="shared" si="18"/>
        <v>2</v>
      </c>
      <c r="N93" s="34">
        <f t="shared" si="18"/>
        <v>3</v>
      </c>
      <c r="O93" s="34">
        <f t="shared" si="18"/>
        <v>12</v>
      </c>
      <c r="P93" s="34">
        <f t="shared" si="18"/>
        <v>3</v>
      </c>
      <c r="Q93" s="34">
        <f t="shared" si="18"/>
        <v>8</v>
      </c>
      <c r="R93" s="34">
        <f t="shared" si="18"/>
        <v>80</v>
      </c>
      <c r="S93" s="34">
        <f t="shared" si="18"/>
        <v>7</v>
      </c>
      <c r="T93" s="34">
        <f t="shared" si="18"/>
        <v>5</v>
      </c>
      <c r="U93" s="34">
        <f t="shared" si="18"/>
        <v>4</v>
      </c>
      <c r="V93" s="34">
        <f t="shared" si="18"/>
        <v>17</v>
      </c>
      <c r="W93" s="34">
        <f t="shared" si="18"/>
        <v>24</v>
      </c>
      <c r="X93" s="34">
        <f t="shared" si="18"/>
        <v>3</v>
      </c>
      <c r="Y93" s="34">
        <f t="shared" si="18"/>
        <v>5</v>
      </c>
      <c r="Z93" s="34">
        <f t="shared" si="18"/>
        <v>2</v>
      </c>
      <c r="AA93" s="34">
        <f t="shared" si="18"/>
        <v>3</v>
      </c>
      <c r="AB93" s="34">
        <f t="shared" si="18"/>
        <v>5</v>
      </c>
      <c r="AC93" s="34">
        <f t="shared" si="18"/>
        <v>6</v>
      </c>
      <c r="AD93" s="34">
        <f t="shared" si="18"/>
        <v>1</v>
      </c>
      <c r="AE93" s="34">
        <f t="shared" si="18"/>
        <v>6</v>
      </c>
      <c r="AF93" s="34">
        <f t="shared" si="18"/>
        <v>2</v>
      </c>
      <c r="AG93" s="34">
        <f t="shared" si="18"/>
        <v>5</v>
      </c>
      <c r="AH93" s="13">
        <f t="shared" si="13"/>
        <v>331</v>
      </c>
    </row>
    <row r="94" spans="1:34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13">
        <f t="shared" si="13"/>
        <v>0</v>
      </c>
    </row>
    <row r="95" spans="1:34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3">
        <f t="shared" si="13"/>
        <v>0</v>
      </c>
    </row>
    <row r="96" spans="1:34" ht="12.75" customHeight="1" x14ac:dyDescent="0.3">
      <c r="A96" s="19" t="s">
        <v>39</v>
      </c>
      <c r="B96" s="27"/>
      <c r="C96" s="28" t="s">
        <v>83</v>
      </c>
      <c r="D96" s="40"/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1</v>
      </c>
      <c r="M96" s="15">
        <v>0</v>
      </c>
      <c r="N96" s="15">
        <v>0</v>
      </c>
      <c r="O96" s="15">
        <v>0</v>
      </c>
      <c r="P96" s="15">
        <v>1</v>
      </c>
      <c r="Q96" s="15">
        <v>0</v>
      </c>
      <c r="R96" s="15">
        <v>0</v>
      </c>
      <c r="S96" s="15">
        <v>3</v>
      </c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3">
        <f t="shared" si="13"/>
        <v>5</v>
      </c>
    </row>
    <row r="97" spans="1:34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AG97" si="19">SUM(E95:E96)</f>
        <v>0</v>
      </c>
      <c r="F97" s="34">
        <f t="shared" si="19"/>
        <v>0</v>
      </c>
      <c r="G97" s="34">
        <f t="shared" si="19"/>
        <v>0</v>
      </c>
      <c r="H97" s="34">
        <f t="shared" si="19"/>
        <v>0</v>
      </c>
      <c r="I97" s="34">
        <f t="shared" si="19"/>
        <v>0</v>
      </c>
      <c r="J97" s="34">
        <f t="shared" si="19"/>
        <v>0</v>
      </c>
      <c r="K97" s="34">
        <f t="shared" si="19"/>
        <v>0</v>
      </c>
      <c r="L97" s="34">
        <f t="shared" si="19"/>
        <v>1</v>
      </c>
      <c r="M97" s="34">
        <f t="shared" si="19"/>
        <v>0</v>
      </c>
      <c r="N97" s="34">
        <f t="shared" si="19"/>
        <v>0</v>
      </c>
      <c r="O97" s="34">
        <f t="shared" si="19"/>
        <v>0</v>
      </c>
      <c r="P97" s="34">
        <f t="shared" si="19"/>
        <v>1</v>
      </c>
      <c r="Q97" s="34">
        <f t="shared" si="19"/>
        <v>0</v>
      </c>
      <c r="R97" s="34">
        <f t="shared" si="19"/>
        <v>0</v>
      </c>
      <c r="S97" s="34">
        <f t="shared" si="19"/>
        <v>3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0</v>
      </c>
      <c r="X97" s="34">
        <f t="shared" si="19"/>
        <v>0</v>
      </c>
      <c r="Y97" s="34">
        <f t="shared" si="19"/>
        <v>0</v>
      </c>
      <c r="Z97" s="34">
        <f t="shared" si="19"/>
        <v>0</v>
      </c>
      <c r="AA97" s="34">
        <f t="shared" si="19"/>
        <v>0</v>
      </c>
      <c r="AB97" s="34">
        <f t="shared" si="19"/>
        <v>0</v>
      </c>
      <c r="AC97" s="34">
        <f t="shared" si="19"/>
        <v>0</v>
      </c>
      <c r="AD97" s="34">
        <f t="shared" si="19"/>
        <v>0</v>
      </c>
      <c r="AE97" s="34">
        <f t="shared" si="19"/>
        <v>0</v>
      </c>
      <c r="AF97" s="34">
        <f t="shared" si="19"/>
        <v>0</v>
      </c>
      <c r="AG97" s="34">
        <f t="shared" si="19"/>
        <v>0</v>
      </c>
      <c r="AH97" s="13">
        <f t="shared" si="13"/>
        <v>5</v>
      </c>
    </row>
    <row r="98" spans="1:34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13">
        <f t="shared" si="13"/>
        <v>0</v>
      </c>
    </row>
    <row r="99" spans="1:34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2</v>
      </c>
      <c r="F99" s="15">
        <v>0</v>
      </c>
      <c r="G99" s="15">
        <v>2</v>
      </c>
      <c r="H99" s="15">
        <v>0</v>
      </c>
      <c r="I99" s="15">
        <v>0</v>
      </c>
      <c r="J99" s="15">
        <v>0</v>
      </c>
      <c r="K99" s="15">
        <v>1</v>
      </c>
      <c r="L99" s="15">
        <v>1</v>
      </c>
      <c r="M99" s="15">
        <v>0</v>
      </c>
      <c r="N99" s="15">
        <v>0</v>
      </c>
      <c r="O99" s="15">
        <v>1</v>
      </c>
      <c r="P99" s="15">
        <v>2</v>
      </c>
      <c r="Q99" s="15">
        <v>1</v>
      </c>
      <c r="R99" s="15">
        <v>1</v>
      </c>
      <c r="S99" s="15">
        <v>1</v>
      </c>
      <c r="T99" s="15">
        <v>0</v>
      </c>
      <c r="U99" s="15">
        <v>2</v>
      </c>
      <c r="V99" s="15">
        <v>3</v>
      </c>
      <c r="W99" s="15">
        <v>0</v>
      </c>
      <c r="X99" s="15">
        <v>0</v>
      </c>
      <c r="Y99" s="15">
        <v>0</v>
      </c>
      <c r="Z99" s="15">
        <v>2</v>
      </c>
      <c r="AA99" s="15">
        <v>2</v>
      </c>
      <c r="AB99" s="15">
        <v>1</v>
      </c>
      <c r="AC99" s="15">
        <v>3</v>
      </c>
      <c r="AD99" s="15">
        <v>2</v>
      </c>
      <c r="AE99" s="15">
        <v>0</v>
      </c>
      <c r="AF99" s="15">
        <v>0</v>
      </c>
      <c r="AG99" s="15">
        <v>0</v>
      </c>
      <c r="AH99" s="13">
        <f t="shared" si="13"/>
        <v>27</v>
      </c>
    </row>
    <row r="100" spans="1:34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3">
        <f t="shared" si="13"/>
        <v>1</v>
      </c>
    </row>
    <row r="101" spans="1:34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G101" si="20">SUM(E99:E100)</f>
        <v>2</v>
      </c>
      <c r="F101" s="34">
        <f t="shared" si="20"/>
        <v>0</v>
      </c>
      <c r="G101" s="34">
        <f t="shared" si="20"/>
        <v>2</v>
      </c>
      <c r="H101" s="34">
        <f t="shared" si="20"/>
        <v>0</v>
      </c>
      <c r="I101" s="34">
        <f t="shared" si="20"/>
        <v>0</v>
      </c>
      <c r="J101" s="34">
        <f t="shared" si="20"/>
        <v>0</v>
      </c>
      <c r="K101" s="34">
        <f t="shared" si="20"/>
        <v>1</v>
      </c>
      <c r="L101" s="34">
        <f t="shared" si="20"/>
        <v>1</v>
      </c>
      <c r="M101" s="34">
        <f t="shared" si="20"/>
        <v>0</v>
      </c>
      <c r="N101" s="34">
        <f t="shared" si="20"/>
        <v>0</v>
      </c>
      <c r="O101" s="34">
        <f t="shared" si="20"/>
        <v>1</v>
      </c>
      <c r="P101" s="34">
        <f t="shared" si="20"/>
        <v>2</v>
      </c>
      <c r="Q101" s="34">
        <f t="shared" si="20"/>
        <v>1</v>
      </c>
      <c r="R101" s="34">
        <f t="shared" si="20"/>
        <v>1</v>
      </c>
      <c r="S101" s="34">
        <f t="shared" si="20"/>
        <v>1</v>
      </c>
      <c r="T101" s="34">
        <f t="shared" si="20"/>
        <v>0</v>
      </c>
      <c r="U101" s="34">
        <f t="shared" si="20"/>
        <v>2</v>
      </c>
      <c r="V101" s="34">
        <f t="shared" si="20"/>
        <v>3</v>
      </c>
      <c r="W101" s="34">
        <f t="shared" si="20"/>
        <v>0</v>
      </c>
      <c r="X101" s="34">
        <f t="shared" si="20"/>
        <v>0</v>
      </c>
      <c r="Y101" s="34">
        <f t="shared" si="20"/>
        <v>1</v>
      </c>
      <c r="Z101" s="34">
        <f t="shared" si="20"/>
        <v>2</v>
      </c>
      <c r="AA101" s="34">
        <f t="shared" si="20"/>
        <v>2</v>
      </c>
      <c r="AB101" s="34">
        <f t="shared" si="20"/>
        <v>1</v>
      </c>
      <c r="AC101" s="34">
        <f t="shared" si="20"/>
        <v>3</v>
      </c>
      <c r="AD101" s="34">
        <f t="shared" si="20"/>
        <v>2</v>
      </c>
      <c r="AE101" s="34">
        <f t="shared" si="20"/>
        <v>0</v>
      </c>
      <c r="AF101" s="34">
        <f t="shared" si="20"/>
        <v>0</v>
      </c>
      <c r="AG101" s="34">
        <f t="shared" si="20"/>
        <v>0</v>
      </c>
      <c r="AH101" s="13">
        <f t="shared" si="13"/>
        <v>28</v>
      </c>
    </row>
    <row r="102" spans="1:34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13">
        <f t="shared" si="13"/>
        <v>0</v>
      </c>
    </row>
    <row r="103" spans="1:34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1</v>
      </c>
      <c r="G103" s="15">
        <v>0</v>
      </c>
      <c r="H103" s="15">
        <v>1</v>
      </c>
      <c r="I103" s="15">
        <v>0</v>
      </c>
      <c r="J103" s="15">
        <v>0</v>
      </c>
      <c r="K103" s="15">
        <v>1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0</v>
      </c>
      <c r="W103" s="15">
        <v>0</v>
      </c>
      <c r="X103" s="15">
        <v>1</v>
      </c>
      <c r="Y103" s="15">
        <v>0</v>
      </c>
      <c r="Z103" s="15">
        <v>0</v>
      </c>
      <c r="AA103" s="15">
        <v>0</v>
      </c>
      <c r="AB103" s="15">
        <v>0</v>
      </c>
      <c r="AC103" s="15">
        <v>0</v>
      </c>
      <c r="AD103" s="15">
        <v>1</v>
      </c>
      <c r="AE103" s="15">
        <v>0</v>
      </c>
      <c r="AF103" s="15">
        <v>0</v>
      </c>
      <c r="AG103" s="15">
        <v>0</v>
      </c>
      <c r="AH103" s="13">
        <f t="shared" si="13"/>
        <v>5</v>
      </c>
    </row>
    <row r="104" spans="1:34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5">
        <v>1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1</v>
      </c>
      <c r="AC104" s="15">
        <v>2</v>
      </c>
      <c r="AD104" s="15">
        <v>1</v>
      </c>
      <c r="AE104" s="15">
        <v>0</v>
      </c>
      <c r="AF104" s="15">
        <v>0</v>
      </c>
      <c r="AG104" s="15">
        <v>1</v>
      </c>
      <c r="AH104" s="13">
        <f t="shared" si="13"/>
        <v>6</v>
      </c>
    </row>
    <row r="105" spans="1:34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1</v>
      </c>
      <c r="G105" s="15">
        <v>1</v>
      </c>
      <c r="H105" s="15">
        <v>6</v>
      </c>
      <c r="I105" s="15">
        <v>0</v>
      </c>
      <c r="J105" s="15">
        <v>0</v>
      </c>
      <c r="K105" s="15">
        <v>3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0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3">
        <f t="shared" si="13"/>
        <v>11</v>
      </c>
    </row>
    <row r="106" spans="1:34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0</v>
      </c>
      <c r="G106" s="15">
        <v>0</v>
      </c>
      <c r="H106" s="15">
        <v>1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3">
        <f t="shared" si="13"/>
        <v>1</v>
      </c>
    </row>
    <row r="107" spans="1:34" ht="12.75" customHeight="1" x14ac:dyDescent="0.3">
      <c r="A107" s="14"/>
      <c r="B107" s="27"/>
      <c r="C107" s="28" t="s">
        <v>92</v>
      </c>
      <c r="D107" s="29"/>
      <c r="E107" s="15">
        <v>0</v>
      </c>
      <c r="F107" s="15">
        <v>1</v>
      </c>
      <c r="G107" s="15">
        <v>0</v>
      </c>
      <c r="H107" s="15">
        <v>2</v>
      </c>
      <c r="I107" s="15">
        <v>2</v>
      </c>
      <c r="J107" s="15">
        <v>0</v>
      </c>
      <c r="K107" s="15">
        <v>0</v>
      </c>
      <c r="L107" s="15">
        <v>0</v>
      </c>
      <c r="M107" s="15">
        <v>0</v>
      </c>
      <c r="N107" s="15">
        <v>1</v>
      </c>
      <c r="O107" s="15">
        <v>0</v>
      </c>
      <c r="P107" s="15">
        <v>0</v>
      </c>
      <c r="Q107" s="15">
        <v>0</v>
      </c>
      <c r="R107" s="15">
        <v>0</v>
      </c>
      <c r="S107" s="15">
        <v>1</v>
      </c>
      <c r="T107" s="15">
        <v>0</v>
      </c>
      <c r="U107" s="15">
        <v>0</v>
      </c>
      <c r="V107" s="15">
        <v>0</v>
      </c>
      <c r="W107" s="15">
        <v>1</v>
      </c>
      <c r="X107" s="15">
        <v>0</v>
      </c>
      <c r="Y107" s="15">
        <v>2</v>
      </c>
      <c r="Z107" s="15">
        <v>0</v>
      </c>
      <c r="AA107" s="15">
        <v>0</v>
      </c>
      <c r="AB107" s="15">
        <v>0</v>
      </c>
      <c r="AC107" s="15">
        <v>3</v>
      </c>
      <c r="AD107" s="15">
        <v>0</v>
      </c>
      <c r="AE107" s="15">
        <v>0</v>
      </c>
      <c r="AF107" s="15">
        <v>1</v>
      </c>
      <c r="AG107" s="15">
        <v>0</v>
      </c>
      <c r="AH107" s="13">
        <f t="shared" si="13"/>
        <v>14</v>
      </c>
    </row>
    <row r="108" spans="1:34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1</v>
      </c>
      <c r="AD108" s="15">
        <v>0</v>
      </c>
      <c r="AE108" s="15">
        <v>0</v>
      </c>
      <c r="AF108" s="15">
        <v>0</v>
      </c>
      <c r="AG108" s="15">
        <v>0</v>
      </c>
      <c r="AH108" s="13">
        <f t="shared" si="13"/>
        <v>1</v>
      </c>
    </row>
    <row r="109" spans="1:34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2</v>
      </c>
      <c r="AD109" s="15">
        <v>0</v>
      </c>
      <c r="AE109" s="15">
        <v>0</v>
      </c>
      <c r="AF109" s="15">
        <v>0</v>
      </c>
      <c r="AG109" s="15">
        <v>0</v>
      </c>
      <c r="AH109" s="13">
        <f t="shared" si="13"/>
        <v>2</v>
      </c>
    </row>
    <row r="110" spans="1:34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3">
        <f t="shared" si="13"/>
        <v>0</v>
      </c>
    </row>
    <row r="111" spans="1:34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AG111" si="21">SUM(E103:E110)</f>
        <v>0</v>
      </c>
      <c r="F111" s="34">
        <f t="shared" si="21"/>
        <v>3</v>
      </c>
      <c r="G111" s="34">
        <f t="shared" si="21"/>
        <v>1</v>
      </c>
      <c r="H111" s="34">
        <f t="shared" si="21"/>
        <v>10</v>
      </c>
      <c r="I111" s="34">
        <f t="shared" si="21"/>
        <v>2</v>
      </c>
      <c r="J111" s="34">
        <f t="shared" si="21"/>
        <v>1</v>
      </c>
      <c r="K111" s="34">
        <f t="shared" si="21"/>
        <v>4</v>
      </c>
      <c r="L111" s="34">
        <f t="shared" si="21"/>
        <v>0</v>
      </c>
      <c r="M111" s="34">
        <f t="shared" si="21"/>
        <v>0</v>
      </c>
      <c r="N111" s="34">
        <f t="shared" si="21"/>
        <v>1</v>
      </c>
      <c r="O111" s="34">
        <f t="shared" si="21"/>
        <v>0</v>
      </c>
      <c r="P111" s="34">
        <f t="shared" si="21"/>
        <v>0</v>
      </c>
      <c r="Q111" s="34">
        <f t="shared" si="21"/>
        <v>0</v>
      </c>
      <c r="R111" s="34">
        <f t="shared" si="21"/>
        <v>0</v>
      </c>
      <c r="S111" s="34">
        <f t="shared" si="21"/>
        <v>1</v>
      </c>
      <c r="T111" s="34">
        <f t="shared" si="21"/>
        <v>0</v>
      </c>
      <c r="U111" s="34">
        <f t="shared" si="21"/>
        <v>0</v>
      </c>
      <c r="V111" s="34">
        <f t="shared" si="21"/>
        <v>0</v>
      </c>
      <c r="W111" s="34">
        <f t="shared" si="21"/>
        <v>1</v>
      </c>
      <c r="X111" s="34">
        <f t="shared" si="21"/>
        <v>1</v>
      </c>
      <c r="Y111" s="34">
        <f t="shared" si="21"/>
        <v>2</v>
      </c>
      <c r="Z111" s="34">
        <f t="shared" si="21"/>
        <v>0</v>
      </c>
      <c r="AA111" s="34">
        <f t="shared" si="21"/>
        <v>0</v>
      </c>
      <c r="AB111" s="34">
        <f t="shared" si="21"/>
        <v>1</v>
      </c>
      <c r="AC111" s="34">
        <f t="shared" si="21"/>
        <v>8</v>
      </c>
      <c r="AD111" s="34">
        <f t="shared" si="21"/>
        <v>2</v>
      </c>
      <c r="AE111" s="34">
        <f t="shared" si="21"/>
        <v>0</v>
      </c>
      <c r="AF111" s="34">
        <f t="shared" si="21"/>
        <v>1</v>
      </c>
      <c r="AG111" s="34">
        <f t="shared" si="21"/>
        <v>1</v>
      </c>
      <c r="AH111" s="13">
        <f t="shared" si="13"/>
        <v>40</v>
      </c>
    </row>
    <row r="112" spans="1:34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13">
        <f t="shared" si="13"/>
        <v>0</v>
      </c>
    </row>
    <row r="113" spans="1:36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0</v>
      </c>
      <c r="K113" s="15">
        <v>0</v>
      </c>
      <c r="L113" s="15">
        <v>1</v>
      </c>
      <c r="M113" s="15">
        <v>1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>
        <v>3</v>
      </c>
      <c r="AH113" s="13">
        <f t="shared" si="13"/>
        <v>5</v>
      </c>
    </row>
    <row r="114" spans="1:36" ht="12.75" customHeight="1" x14ac:dyDescent="0.3">
      <c r="A114" s="19" t="s">
        <v>39</v>
      </c>
      <c r="B114" s="26"/>
      <c r="C114" s="28" t="s">
        <v>98</v>
      </c>
      <c r="D114" s="40"/>
      <c r="E114" s="15">
        <v>0</v>
      </c>
      <c r="F114" s="15">
        <v>0</v>
      </c>
      <c r="G114" s="15">
        <v>0</v>
      </c>
      <c r="H114" s="15">
        <v>0</v>
      </c>
      <c r="I114" s="15">
        <v>0</v>
      </c>
      <c r="J114" s="15">
        <v>0</v>
      </c>
      <c r="K114" s="15">
        <v>0</v>
      </c>
      <c r="L114" s="15">
        <v>0</v>
      </c>
      <c r="M114" s="15">
        <v>1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>
        <v>3</v>
      </c>
      <c r="AH114" s="13">
        <f t="shared" si="13"/>
        <v>4</v>
      </c>
    </row>
    <row r="115" spans="1:36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G115" si="22">SUM(E113:E114)</f>
        <v>0</v>
      </c>
      <c r="F115" s="34">
        <f t="shared" si="22"/>
        <v>0</v>
      </c>
      <c r="G115" s="34">
        <f t="shared" si="22"/>
        <v>0</v>
      </c>
      <c r="H115" s="34">
        <f t="shared" si="22"/>
        <v>0</v>
      </c>
      <c r="I115" s="34">
        <f t="shared" si="22"/>
        <v>0</v>
      </c>
      <c r="J115" s="34">
        <f t="shared" si="22"/>
        <v>0</v>
      </c>
      <c r="K115" s="34">
        <f t="shared" si="22"/>
        <v>0</v>
      </c>
      <c r="L115" s="34">
        <f t="shared" si="22"/>
        <v>1</v>
      </c>
      <c r="M115" s="34">
        <f t="shared" si="22"/>
        <v>2</v>
      </c>
      <c r="N115" s="34">
        <f t="shared" si="22"/>
        <v>0</v>
      </c>
      <c r="O115" s="34">
        <f t="shared" si="22"/>
        <v>0</v>
      </c>
      <c r="P115" s="34">
        <f t="shared" si="22"/>
        <v>0</v>
      </c>
      <c r="Q115" s="34">
        <f t="shared" si="22"/>
        <v>0</v>
      </c>
      <c r="R115" s="34">
        <f t="shared" si="22"/>
        <v>0</v>
      </c>
      <c r="S115" s="34">
        <f t="shared" si="22"/>
        <v>0</v>
      </c>
      <c r="T115" s="34">
        <f t="shared" si="22"/>
        <v>0</v>
      </c>
      <c r="U115" s="34">
        <f t="shared" si="22"/>
        <v>0</v>
      </c>
      <c r="V115" s="34">
        <f t="shared" si="22"/>
        <v>0</v>
      </c>
      <c r="W115" s="34">
        <f t="shared" si="22"/>
        <v>0</v>
      </c>
      <c r="X115" s="34">
        <f t="shared" si="22"/>
        <v>0</v>
      </c>
      <c r="Y115" s="34">
        <f t="shared" si="22"/>
        <v>0</v>
      </c>
      <c r="Z115" s="34">
        <f t="shared" si="22"/>
        <v>0</v>
      </c>
      <c r="AA115" s="34">
        <f t="shared" si="22"/>
        <v>0</v>
      </c>
      <c r="AB115" s="34">
        <f t="shared" si="22"/>
        <v>0</v>
      </c>
      <c r="AC115" s="34">
        <f t="shared" si="22"/>
        <v>0</v>
      </c>
      <c r="AD115" s="34">
        <f t="shared" si="22"/>
        <v>0</v>
      </c>
      <c r="AE115" s="34">
        <f t="shared" si="22"/>
        <v>0</v>
      </c>
      <c r="AF115" s="34">
        <f t="shared" si="22"/>
        <v>0</v>
      </c>
      <c r="AG115" s="34">
        <f t="shared" si="22"/>
        <v>6</v>
      </c>
      <c r="AH115" s="13">
        <f t="shared" si="13"/>
        <v>9</v>
      </c>
    </row>
    <row r="116" spans="1:36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13">
        <f t="shared" si="13"/>
        <v>0</v>
      </c>
    </row>
    <row r="117" spans="1:36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1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1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3">
        <f t="shared" si="13"/>
        <v>2</v>
      </c>
      <c r="AI117" s="5"/>
      <c r="AJ117" s="5"/>
    </row>
    <row r="118" spans="1:36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1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5">
        <v>1</v>
      </c>
      <c r="W118" s="15">
        <v>0</v>
      </c>
      <c r="X118" s="15">
        <v>0</v>
      </c>
      <c r="Y118" s="15">
        <v>0</v>
      </c>
      <c r="Z118" s="15">
        <v>1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3">
        <f t="shared" si="13"/>
        <v>3</v>
      </c>
      <c r="AI118" s="5"/>
      <c r="AJ118" s="5"/>
    </row>
    <row r="119" spans="1:36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3">
        <f t="shared" si="13"/>
        <v>0</v>
      </c>
      <c r="AI119" s="5"/>
      <c r="AJ119" s="5"/>
    </row>
    <row r="120" spans="1:36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1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3">
        <f t="shared" si="13"/>
        <v>1</v>
      </c>
      <c r="AI120" s="5"/>
      <c r="AJ120" s="5"/>
    </row>
    <row r="121" spans="1:36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3">
        <f t="shared" si="13"/>
        <v>0</v>
      </c>
      <c r="AI121" s="5"/>
      <c r="AJ121" s="5"/>
    </row>
    <row r="122" spans="1:36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1</v>
      </c>
      <c r="S122" s="15">
        <v>0</v>
      </c>
      <c r="T122" s="15">
        <v>3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3">
        <f t="shared" si="13"/>
        <v>4</v>
      </c>
      <c r="AI122" s="5"/>
      <c r="AJ122" s="5"/>
    </row>
    <row r="123" spans="1:36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1</v>
      </c>
      <c r="AH123" s="13">
        <f t="shared" si="13"/>
        <v>1</v>
      </c>
      <c r="AI123" s="5"/>
      <c r="AJ123" s="5"/>
    </row>
    <row r="124" spans="1:36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3">
        <f t="shared" si="13"/>
        <v>0</v>
      </c>
      <c r="AI124" s="5"/>
      <c r="AJ124" s="5"/>
    </row>
    <row r="125" spans="1:36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G125" si="23">SUM(E117:E124)</f>
        <v>0</v>
      </c>
      <c r="F125" s="34">
        <f t="shared" si="23"/>
        <v>0</v>
      </c>
      <c r="G125" s="34">
        <f t="shared" si="23"/>
        <v>2</v>
      </c>
      <c r="H125" s="34">
        <f t="shared" si="23"/>
        <v>0</v>
      </c>
      <c r="I125" s="34">
        <f t="shared" si="23"/>
        <v>0</v>
      </c>
      <c r="J125" s="34">
        <f t="shared" si="23"/>
        <v>0</v>
      </c>
      <c r="K125" s="34">
        <f t="shared" si="23"/>
        <v>0</v>
      </c>
      <c r="L125" s="34">
        <f t="shared" si="23"/>
        <v>0</v>
      </c>
      <c r="M125" s="34">
        <f t="shared" si="23"/>
        <v>0</v>
      </c>
      <c r="N125" s="34">
        <f t="shared" si="23"/>
        <v>0</v>
      </c>
      <c r="O125" s="34">
        <f t="shared" si="23"/>
        <v>0</v>
      </c>
      <c r="P125" s="34">
        <f t="shared" si="23"/>
        <v>2</v>
      </c>
      <c r="Q125" s="34">
        <f t="shared" si="23"/>
        <v>0</v>
      </c>
      <c r="R125" s="34">
        <f t="shared" si="23"/>
        <v>1</v>
      </c>
      <c r="S125" s="34">
        <f t="shared" si="23"/>
        <v>0</v>
      </c>
      <c r="T125" s="34">
        <f t="shared" si="23"/>
        <v>3</v>
      </c>
      <c r="U125" s="34">
        <f t="shared" si="23"/>
        <v>0</v>
      </c>
      <c r="V125" s="34">
        <f t="shared" si="23"/>
        <v>1</v>
      </c>
      <c r="W125" s="34">
        <f t="shared" si="23"/>
        <v>0</v>
      </c>
      <c r="X125" s="34">
        <f t="shared" si="23"/>
        <v>0</v>
      </c>
      <c r="Y125" s="34">
        <f t="shared" si="23"/>
        <v>0</v>
      </c>
      <c r="Z125" s="34">
        <f t="shared" si="23"/>
        <v>1</v>
      </c>
      <c r="AA125" s="34">
        <f t="shared" si="23"/>
        <v>0</v>
      </c>
      <c r="AB125" s="34">
        <f t="shared" si="23"/>
        <v>0</v>
      </c>
      <c r="AC125" s="34">
        <f t="shared" si="23"/>
        <v>0</v>
      </c>
      <c r="AD125" s="34">
        <f t="shared" si="23"/>
        <v>0</v>
      </c>
      <c r="AE125" s="34">
        <f t="shared" si="23"/>
        <v>0</v>
      </c>
      <c r="AF125" s="34">
        <f t="shared" si="23"/>
        <v>0</v>
      </c>
      <c r="AG125" s="34">
        <f t="shared" si="23"/>
        <v>1</v>
      </c>
      <c r="AH125" s="13">
        <f t="shared" si="13"/>
        <v>11</v>
      </c>
      <c r="AI125" s="5"/>
      <c r="AJ125" s="5"/>
    </row>
    <row r="126" spans="1:36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13">
        <f t="shared" si="13"/>
        <v>0</v>
      </c>
      <c r="AI126" s="5"/>
      <c r="AJ126" s="5"/>
    </row>
    <row r="127" spans="1:36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>
        <v>1</v>
      </c>
      <c r="AF127" s="15"/>
      <c r="AG127" s="15"/>
      <c r="AH127" s="13">
        <f t="shared" si="13"/>
        <v>1</v>
      </c>
      <c r="AI127" s="5"/>
      <c r="AJ127" s="5"/>
    </row>
    <row r="128" spans="1:36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3">
        <f t="shared" si="13"/>
        <v>0</v>
      </c>
      <c r="AI128" s="5"/>
      <c r="AJ128" s="5"/>
    </row>
    <row r="129" spans="1:36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G129" si="24">SUM(E127:E128)</f>
        <v>0</v>
      </c>
      <c r="F129" s="34">
        <f t="shared" si="24"/>
        <v>0</v>
      </c>
      <c r="G129" s="34">
        <f t="shared" si="24"/>
        <v>0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0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0</v>
      </c>
      <c r="T129" s="34">
        <f t="shared" si="24"/>
        <v>0</v>
      </c>
      <c r="U129" s="34">
        <f t="shared" si="24"/>
        <v>0</v>
      </c>
      <c r="V129" s="34">
        <f t="shared" si="24"/>
        <v>0</v>
      </c>
      <c r="W129" s="34">
        <f t="shared" si="24"/>
        <v>0</v>
      </c>
      <c r="X129" s="34">
        <f t="shared" si="24"/>
        <v>0</v>
      </c>
      <c r="Y129" s="34">
        <f t="shared" si="24"/>
        <v>0</v>
      </c>
      <c r="Z129" s="34">
        <f t="shared" si="24"/>
        <v>0</v>
      </c>
      <c r="AA129" s="34">
        <f t="shared" si="24"/>
        <v>0</v>
      </c>
      <c r="AB129" s="34">
        <f t="shared" si="24"/>
        <v>0</v>
      </c>
      <c r="AC129" s="34">
        <f t="shared" si="24"/>
        <v>0</v>
      </c>
      <c r="AD129" s="34">
        <f t="shared" si="24"/>
        <v>0</v>
      </c>
      <c r="AE129" s="34">
        <f t="shared" si="24"/>
        <v>1</v>
      </c>
      <c r="AF129" s="34">
        <f t="shared" si="24"/>
        <v>0</v>
      </c>
      <c r="AG129" s="34">
        <f t="shared" si="24"/>
        <v>0</v>
      </c>
      <c r="AH129" s="13">
        <f t="shared" si="13"/>
        <v>1</v>
      </c>
      <c r="AI129" s="5"/>
      <c r="AJ129" s="5"/>
    </row>
    <row r="130" spans="1:36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13">
        <f t="shared" si="13"/>
        <v>0</v>
      </c>
      <c r="AI130" s="1"/>
      <c r="AJ130" s="1"/>
    </row>
    <row r="131" spans="1:36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0</v>
      </c>
      <c r="F131" s="15">
        <v>0</v>
      </c>
      <c r="G131" s="15">
        <v>0</v>
      </c>
      <c r="H131" s="15">
        <v>0</v>
      </c>
      <c r="I131" s="15">
        <v>1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1</v>
      </c>
      <c r="U131" s="15">
        <v>0</v>
      </c>
      <c r="V131" s="15">
        <v>0</v>
      </c>
      <c r="W131" s="15">
        <v>0</v>
      </c>
      <c r="X131" s="15">
        <v>0</v>
      </c>
      <c r="Y131" s="15">
        <v>0</v>
      </c>
      <c r="Z131" s="15">
        <v>0</v>
      </c>
      <c r="AA131" s="15">
        <v>0</v>
      </c>
      <c r="AB131" s="15">
        <v>0</v>
      </c>
      <c r="AC131" s="15">
        <v>2</v>
      </c>
      <c r="AD131" s="15">
        <v>0</v>
      </c>
      <c r="AE131" s="15">
        <v>0</v>
      </c>
      <c r="AF131" s="15">
        <v>0</v>
      </c>
      <c r="AG131" s="15">
        <v>1</v>
      </c>
      <c r="AH131" s="13">
        <f t="shared" si="13"/>
        <v>5</v>
      </c>
      <c r="AI131" s="31"/>
      <c r="AJ131" s="31"/>
    </row>
    <row r="132" spans="1:36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1</v>
      </c>
      <c r="S132" s="15">
        <v>1</v>
      </c>
      <c r="T132" s="15">
        <v>0</v>
      </c>
      <c r="U132" s="15">
        <v>0</v>
      </c>
      <c r="V132" s="15">
        <v>0</v>
      </c>
      <c r="W132" s="15">
        <v>0</v>
      </c>
      <c r="X132" s="15">
        <v>1</v>
      </c>
      <c r="Y132" s="15">
        <v>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1</v>
      </c>
      <c r="AG132" s="15">
        <v>0</v>
      </c>
      <c r="AH132" s="13">
        <f t="shared" si="13"/>
        <v>4</v>
      </c>
      <c r="AI132" s="5"/>
      <c r="AJ132" s="5"/>
    </row>
    <row r="133" spans="1:36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1</v>
      </c>
      <c r="S133" s="15">
        <v>0</v>
      </c>
      <c r="T133" s="15">
        <v>1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1</v>
      </c>
      <c r="AH133" s="13">
        <f t="shared" si="13"/>
        <v>3</v>
      </c>
      <c r="AI133" s="5"/>
      <c r="AJ133" s="5"/>
    </row>
    <row r="134" spans="1:36" ht="12.75" customHeight="1" x14ac:dyDescent="0.3">
      <c r="A134" s="14"/>
      <c r="B134" s="27"/>
      <c r="C134" s="28" t="s">
        <v>114</v>
      </c>
      <c r="D134" s="29"/>
      <c r="E134" s="15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15">
        <v>1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3">
        <f t="shared" si="13"/>
        <v>1</v>
      </c>
      <c r="AI134" s="5"/>
      <c r="AJ134" s="5"/>
    </row>
    <row r="135" spans="1:36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3">
        <f t="shared" si="13"/>
        <v>1</v>
      </c>
      <c r="AI135" s="5"/>
      <c r="AJ135" s="5"/>
    </row>
    <row r="136" spans="1:36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G136" si="25">SUM(E131:E135)</f>
        <v>0</v>
      </c>
      <c r="F136" s="34">
        <f t="shared" si="25"/>
        <v>0</v>
      </c>
      <c r="G136" s="34">
        <f t="shared" si="25"/>
        <v>0</v>
      </c>
      <c r="H136" s="34">
        <f t="shared" si="25"/>
        <v>0</v>
      </c>
      <c r="I136" s="34">
        <f t="shared" si="25"/>
        <v>1</v>
      </c>
      <c r="J136" s="34">
        <f t="shared" si="25"/>
        <v>0</v>
      </c>
      <c r="K136" s="34">
        <f t="shared" si="25"/>
        <v>1</v>
      </c>
      <c r="L136" s="34">
        <f t="shared" si="25"/>
        <v>0</v>
      </c>
      <c r="M136" s="34">
        <f t="shared" si="25"/>
        <v>0</v>
      </c>
      <c r="N136" s="34">
        <f t="shared" si="25"/>
        <v>0</v>
      </c>
      <c r="O136" s="34">
        <f t="shared" si="25"/>
        <v>0</v>
      </c>
      <c r="P136" s="34">
        <f t="shared" si="25"/>
        <v>0</v>
      </c>
      <c r="Q136" s="34">
        <f t="shared" si="25"/>
        <v>0</v>
      </c>
      <c r="R136" s="34">
        <f t="shared" si="25"/>
        <v>2</v>
      </c>
      <c r="S136" s="34">
        <f t="shared" si="25"/>
        <v>1</v>
      </c>
      <c r="T136" s="34">
        <f t="shared" si="25"/>
        <v>2</v>
      </c>
      <c r="U136" s="34">
        <f t="shared" si="25"/>
        <v>0</v>
      </c>
      <c r="V136" s="34">
        <f t="shared" si="25"/>
        <v>0</v>
      </c>
      <c r="W136" s="34">
        <f t="shared" si="25"/>
        <v>0</v>
      </c>
      <c r="X136" s="34">
        <f t="shared" si="25"/>
        <v>1</v>
      </c>
      <c r="Y136" s="34">
        <f t="shared" si="25"/>
        <v>1</v>
      </c>
      <c r="Z136" s="34">
        <f t="shared" si="25"/>
        <v>0</v>
      </c>
      <c r="AA136" s="34">
        <f t="shared" si="25"/>
        <v>0</v>
      </c>
      <c r="AB136" s="34">
        <f t="shared" si="25"/>
        <v>0</v>
      </c>
      <c r="AC136" s="34">
        <f t="shared" si="25"/>
        <v>2</v>
      </c>
      <c r="AD136" s="34">
        <f t="shared" si="25"/>
        <v>0</v>
      </c>
      <c r="AE136" s="34">
        <f t="shared" si="25"/>
        <v>0</v>
      </c>
      <c r="AF136" s="34">
        <f t="shared" si="25"/>
        <v>1</v>
      </c>
      <c r="AG136" s="34">
        <f t="shared" si="25"/>
        <v>2</v>
      </c>
      <c r="AH136" s="13">
        <f t="shared" si="13"/>
        <v>14</v>
      </c>
      <c r="AI136" s="5"/>
      <c r="AJ136" s="5"/>
    </row>
    <row r="137" spans="1:36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13">
        <f t="shared" si="13"/>
        <v>0</v>
      </c>
      <c r="AI137" s="5"/>
      <c r="AJ137" s="5"/>
    </row>
    <row r="138" spans="1:36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>
        <v>0</v>
      </c>
      <c r="F138" s="15">
        <v>0</v>
      </c>
      <c r="G138" s="15">
        <v>0</v>
      </c>
      <c r="H138" s="15">
        <v>0</v>
      </c>
      <c r="I138" s="15">
        <v>0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1</v>
      </c>
      <c r="AG138" s="15">
        <v>0</v>
      </c>
      <c r="AH138" s="13">
        <f t="shared" si="13"/>
        <v>1</v>
      </c>
      <c r="AI138" s="5"/>
      <c r="AJ138" s="5"/>
    </row>
    <row r="139" spans="1:36" ht="12.75" customHeight="1" x14ac:dyDescent="0.3">
      <c r="A139" s="19" t="s">
        <v>39</v>
      </c>
      <c r="B139" s="27"/>
      <c r="C139" s="28" t="s">
        <v>118</v>
      </c>
      <c r="D139" s="29"/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3">
        <f t="shared" si="13"/>
        <v>0</v>
      </c>
      <c r="AI139" s="5"/>
      <c r="AJ139" s="5"/>
    </row>
    <row r="140" spans="1:36" ht="12.75" customHeight="1" x14ac:dyDescent="0.3">
      <c r="A140" s="14"/>
      <c r="B140" s="27"/>
      <c r="C140" s="28" t="s">
        <v>119</v>
      </c>
      <c r="D140" s="29"/>
      <c r="E140" s="15">
        <v>0</v>
      </c>
      <c r="F140" s="15">
        <v>0</v>
      </c>
      <c r="G140" s="15">
        <v>0</v>
      </c>
      <c r="H140" s="15">
        <v>0</v>
      </c>
      <c r="I140" s="15">
        <v>0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3">
        <f t="shared" si="13"/>
        <v>0</v>
      </c>
      <c r="AI140" s="5"/>
      <c r="AJ140" s="5"/>
    </row>
    <row r="141" spans="1:36" ht="12.75" customHeight="1" x14ac:dyDescent="0.3">
      <c r="A141" s="14"/>
      <c r="B141" s="27"/>
      <c r="C141" s="28" t="s">
        <v>120</v>
      </c>
      <c r="D141" s="29"/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3">
        <f t="shared" si="13"/>
        <v>0</v>
      </c>
      <c r="AI141" s="1"/>
      <c r="AJ141" s="1"/>
    </row>
    <row r="142" spans="1:36" ht="12.75" customHeight="1" x14ac:dyDescent="0.3">
      <c r="A142" s="14"/>
      <c r="B142" s="27"/>
      <c r="C142" s="28" t="s">
        <v>121</v>
      </c>
      <c r="D142" s="29"/>
      <c r="E142" s="15">
        <v>0</v>
      </c>
      <c r="F142" s="15">
        <v>0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1</v>
      </c>
      <c r="R142" s="15">
        <v>0</v>
      </c>
      <c r="S142" s="15">
        <v>0</v>
      </c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3">
        <f t="shared" si="13"/>
        <v>1</v>
      </c>
      <c r="AI142" s="31"/>
      <c r="AJ142" s="31"/>
    </row>
    <row r="143" spans="1:36" ht="12.75" customHeight="1" x14ac:dyDescent="0.3">
      <c r="A143" s="14"/>
      <c r="B143" s="27"/>
      <c r="C143" s="28" t="s">
        <v>122</v>
      </c>
      <c r="D143" s="29"/>
      <c r="E143" s="15">
        <v>0</v>
      </c>
      <c r="F143" s="15">
        <v>0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3">
        <f t="shared" si="13"/>
        <v>0</v>
      </c>
      <c r="AI143" s="5"/>
      <c r="AJ143" s="5"/>
    </row>
    <row r="144" spans="1:36" ht="12.75" customHeight="1" x14ac:dyDescent="0.3">
      <c r="A144" s="14"/>
      <c r="B144" s="27"/>
      <c r="C144" s="28" t="s">
        <v>123</v>
      </c>
      <c r="D144" s="29"/>
      <c r="E144" s="15">
        <v>0</v>
      </c>
      <c r="F144" s="15">
        <v>0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3">
        <f t="shared" si="13"/>
        <v>0</v>
      </c>
      <c r="AI144" s="5"/>
      <c r="AJ144" s="5"/>
    </row>
    <row r="145" spans="1:36" ht="12.75" customHeight="1" x14ac:dyDescent="0.3">
      <c r="A145" s="14"/>
      <c r="B145" s="27"/>
      <c r="C145" s="28" t="s">
        <v>124</v>
      </c>
      <c r="D145" s="29"/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3">
        <f t="shared" si="13"/>
        <v>0</v>
      </c>
      <c r="AI145" s="5"/>
      <c r="AJ145" s="5"/>
    </row>
    <row r="146" spans="1:36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G146" si="26">SUM(E138:E145)</f>
        <v>0</v>
      </c>
      <c r="F146" s="34">
        <f t="shared" si="26"/>
        <v>0</v>
      </c>
      <c r="G146" s="34">
        <f t="shared" si="26"/>
        <v>0</v>
      </c>
      <c r="H146" s="34">
        <f t="shared" si="26"/>
        <v>0</v>
      </c>
      <c r="I146" s="34">
        <f t="shared" si="26"/>
        <v>0</v>
      </c>
      <c r="J146" s="34">
        <f t="shared" si="26"/>
        <v>0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0</v>
      </c>
      <c r="P146" s="34">
        <f t="shared" si="26"/>
        <v>0</v>
      </c>
      <c r="Q146" s="34">
        <f t="shared" si="26"/>
        <v>1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0</v>
      </c>
      <c r="V146" s="34">
        <f t="shared" si="26"/>
        <v>0</v>
      </c>
      <c r="W146" s="34">
        <f t="shared" si="26"/>
        <v>0</v>
      </c>
      <c r="X146" s="34">
        <f t="shared" si="26"/>
        <v>0</v>
      </c>
      <c r="Y146" s="34">
        <f t="shared" si="26"/>
        <v>0</v>
      </c>
      <c r="Z146" s="34">
        <f t="shared" si="26"/>
        <v>0</v>
      </c>
      <c r="AA146" s="34">
        <f t="shared" si="26"/>
        <v>0</v>
      </c>
      <c r="AB146" s="34">
        <f t="shared" si="26"/>
        <v>0</v>
      </c>
      <c r="AC146" s="34">
        <f t="shared" si="26"/>
        <v>0</v>
      </c>
      <c r="AD146" s="34">
        <f t="shared" si="26"/>
        <v>0</v>
      </c>
      <c r="AE146" s="34">
        <f t="shared" si="26"/>
        <v>0</v>
      </c>
      <c r="AF146" s="34">
        <f t="shared" si="26"/>
        <v>1</v>
      </c>
      <c r="AG146" s="34">
        <f t="shared" si="26"/>
        <v>0</v>
      </c>
      <c r="AH146" s="13">
        <f t="shared" si="13"/>
        <v>2</v>
      </c>
      <c r="AI146" s="5"/>
      <c r="AJ146" s="5"/>
    </row>
    <row r="147" spans="1:36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13">
        <f t="shared" si="13"/>
        <v>0</v>
      </c>
      <c r="AI147" s="5"/>
      <c r="AJ147" s="5"/>
    </row>
    <row r="148" spans="1:36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2</v>
      </c>
      <c r="F148" s="15">
        <v>0</v>
      </c>
      <c r="G148" s="15">
        <v>1</v>
      </c>
      <c r="H148" s="15">
        <v>1</v>
      </c>
      <c r="I148" s="15">
        <v>2</v>
      </c>
      <c r="J148" s="15">
        <v>5</v>
      </c>
      <c r="K148" s="15">
        <v>1</v>
      </c>
      <c r="L148" s="15">
        <v>3</v>
      </c>
      <c r="M148" s="15">
        <v>6</v>
      </c>
      <c r="N148" s="15">
        <v>5</v>
      </c>
      <c r="O148" s="15">
        <v>2</v>
      </c>
      <c r="P148" s="15">
        <v>5</v>
      </c>
      <c r="Q148" s="15">
        <v>1</v>
      </c>
      <c r="R148" s="15">
        <v>1</v>
      </c>
      <c r="S148" s="15">
        <v>1</v>
      </c>
      <c r="T148" s="15">
        <v>4</v>
      </c>
      <c r="U148" s="15">
        <v>0</v>
      </c>
      <c r="V148" s="15">
        <v>6</v>
      </c>
      <c r="W148" s="15">
        <v>4</v>
      </c>
      <c r="X148" s="15">
        <v>3</v>
      </c>
      <c r="Y148" s="15">
        <v>1</v>
      </c>
      <c r="Z148" s="15">
        <v>3</v>
      </c>
      <c r="AA148" s="15">
        <v>2</v>
      </c>
      <c r="AB148" s="15">
        <v>2</v>
      </c>
      <c r="AC148" s="15">
        <v>0</v>
      </c>
      <c r="AD148" s="15">
        <v>1</v>
      </c>
      <c r="AE148" s="15">
        <v>0</v>
      </c>
      <c r="AF148" s="15">
        <v>0</v>
      </c>
      <c r="AG148" s="15">
        <v>0</v>
      </c>
      <c r="AH148" s="13">
        <f t="shared" si="13"/>
        <v>62</v>
      </c>
      <c r="AI148" s="5"/>
      <c r="AJ148" s="5"/>
    </row>
    <row r="149" spans="1:36" ht="12.75" customHeight="1" x14ac:dyDescent="0.3">
      <c r="A149" s="19" t="s">
        <v>39</v>
      </c>
      <c r="B149" s="27"/>
      <c r="C149" s="28" t="s">
        <v>127</v>
      </c>
      <c r="D149" s="29"/>
      <c r="E149" s="15">
        <v>1</v>
      </c>
      <c r="F149" s="15">
        <v>1</v>
      </c>
      <c r="G149" s="15">
        <v>4</v>
      </c>
      <c r="H149" s="15">
        <v>3</v>
      </c>
      <c r="I149" s="15">
        <v>13</v>
      </c>
      <c r="J149" s="15">
        <v>60</v>
      </c>
      <c r="K149" s="15">
        <v>1</v>
      </c>
      <c r="L149" s="15">
        <v>12</v>
      </c>
      <c r="M149" s="15">
        <v>53</v>
      </c>
      <c r="N149" s="15">
        <v>26</v>
      </c>
      <c r="O149" s="15">
        <v>8</v>
      </c>
      <c r="P149" s="15">
        <v>2</v>
      </c>
      <c r="Q149" s="15">
        <v>6</v>
      </c>
      <c r="R149" s="15">
        <v>3</v>
      </c>
      <c r="S149" s="15">
        <v>1</v>
      </c>
      <c r="T149" s="15">
        <v>1</v>
      </c>
      <c r="U149" s="15">
        <v>2</v>
      </c>
      <c r="V149" s="15">
        <v>4</v>
      </c>
      <c r="W149" s="15">
        <v>3</v>
      </c>
      <c r="X149" s="15">
        <v>8</v>
      </c>
      <c r="Y149" s="15">
        <v>4</v>
      </c>
      <c r="Z149" s="15">
        <v>1</v>
      </c>
      <c r="AA149" s="15">
        <v>3</v>
      </c>
      <c r="AB149" s="15">
        <v>2</v>
      </c>
      <c r="AC149" s="15">
        <v>2</v>
      </c>
      <c r="AD149" s="15">
        <v>2</v>
      </c>
      <c r="AE149" s="15">
        <v>0</v>
      </c>
      <c r="AF149" s="15">
        <v>3</v>
      </c>
      <c r="AG149" s="15">
        <v>1</v>
      </c>
      <c r="AH149" s="13">
        <f t="shared" si="13"/>
        <v>230</v>
      </c>
      <c r="AI149" s="5"/>
      <c r="AJ149" s="5"/>
    </row>
    <row r="150" spans="1:36" ht="12.75" customHeight="1" x14ac:dyDescent="0.3">
      <c r="A150" s="14"/>
      <c r="B150" s="27"/>
      <c r="C150" s="28" t="s">
        <v>128</v>
      </c>
      <c r="D150" s="29"/>
      <c r="E150" s="15">
        <v>1</v>
      </c>
      <c r="F150" s="15">
        <v>0</v>
      </c>
      <c r="G150" s="15">
        <v>0</v>
      </c>
      <c r="H150" s="15">
        <v>0</v>
      </c>
      <c r="I150" s="15">
        <v>1</v>
      </c>
      <c r="J150" s="15">
        <v>0</v>
      </c>
      <c r="K150" s="15">
        <v>0</v>
      </c>
      <c r="L150" s="15">
        <v>1</v>
      </c>
      <c r="M150" s="15">
        <v>15</v>
      </c>
      <c r="N150" s="15">
        <v>34</v>
      </c>
      <c r="O150" s="15">
        <v>1</v>
      </c>
      <c r="P150" s="15">
        <v>1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1</v>
      </c>
      <c r="W150" s="15">
        <v>1</v>
      </c>
      <c r="X150" s="15">
        <v>0</v>
      </c>
      <c r="Y150" s="15">
        <v>0</v>
      </c>
      <c r="Z150" s="15">
        <v>1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1</v>
      </c>
      <c r="AH150" s="13">
        <f t="shared" si="13"/>
        <v>58</v>
      </c>
      <c r="AI150" s="5"/>
      <c r="AJ150" s="5"/>
    </row>
    <row r="151" spans="1:36" ht="12.75" customHeight="1" x14ac:dyDescent="0.3">
      <c r="A151" s="14"/>
      <c r="B151" s="27"/>
      <c r="C151" s="28" t="s">
        <v>129</v>
      </c>
      <c r="D151" s="29"/>
      <c r="E151" s="15">
        <v>1</v>
      </c>
      <c r="F151" s="15">
        <v>0</v>
      </c>
      <c r="G151" s="15">
        <v>0</v>
      </c>
      <c r="H151" s="15">
        <v>0</v>
      </c>
      <c r="I151" s="15">
        <v>0</v>
      </c>
      <c r="J151" s="15">
        <v>1</v>
      </c>
      <c r="K151" s="15">
        <v>0</v>
      </c>
      <c r="L151" s="15">
        <v>1</v>
      </c>
      <c r="M151" s="15">
        <v>1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  <c r="W151" s="15">
        <v>0</v>
      </c>
      <c r="X151" s="15">
        <v>0</v>
      </c>
      <c r="Y151" s="15">
        <v>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3">
        <f t="shared" si="13"/>
        <v>5</v>
      </c>
      <c r="AI151" s="1"/>
      <c r="AJ151" s="1"/>
    </row>
    <row r="152" spans="1:36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4</v>
      </c>
      <c r="G152" s="15">
        <v>0</v>
      </c>
      <c r="H152" s="15">
        <v>4</v>
      </c>
      <c r="I152" s="15">
        <v>0</v>
      </c>
      <c r="J152" s="15">
        <v>0</v>
      </c>
      <c r="K152" s="15">
        <v>0</v>
      </c>
      <c r="L152" s="15">
        <v>0</v>
      </c>
      <c r="M152" s="15">
        <v>1</v>
      </c>
      <c r="N152" s="15">
        <v>0</v>
      </c>
      <c r="O152" s="15">
        <v>0</v>
      </c>
      <c r="P152" s="15">
        <v>0</v>
      </c>
      <c r="Q152" s="15">
        <v>0</v>
      </c>
      <c r="R152" s="15">
        <v>2</v>
      </c>
      <c r="S152" s="15">
        <v>3</v>
      </c>
      <c r="T152" s="15">
        <v>0</v>
      </c>
      <c r="U152" s="15">
        <v>0</v>
      </c>
      <c r="V152" s="15">
        <v>0</v>
      </c>
      <c r="W152" s="15">
        <v>0</v>
      </c>
      <c r="X152" s="15">
        <v>0</v>
      </c>
      <c r="Y152" s="15">
        <v>0</v>
      </c>
      <c r="Z152" s="15">
        <v>2</v>
      </c>
      <c r="AA152" s="15">
        <v>0</v>
      </c>
      <c r="AB152" s="15">
        <v>0</v>
      </c>
      <c r="AC152" s="15">
        <v>2</v>
      </c>
      <c r="AD152" s="15">
        <v>0</v>
      </c>
      <c r="AE152" s="15">
        <v>0</v>
      </c>
      <c r="AF152" s="15">
        <v>0</v>
      </c>
      <c r="AG152" s="15">
        <v>5</v>
      </c>
      <c r="AH152" s="13">
        <f t="shared" si="13"/>
        <v>23</v>
      </c>
      <c r="AI152" s="31"/>
      <c r="AJ152" s="31"/>
    </row>
    <row r="153" spans="1:36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0</v>
      </c>
      <c r="G153" s="15">
        <v>0</v>
      </c>
      <c r="H153" s="15">
        <v>1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1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3">
        <f t="shared" si="13"/>
        <v>2</v>
      </c>
      <c r="AI153" s="5"/>
      <c r="AJ153" s="5"/>
    </row>
    <row r="154" spans="1:36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1</v>
      </c>
      <c r="W154" s="15">
        <v>1</v>
      </c>
      <c r="X154" s="15">
        <v>0</v>
      </c>
      <c r="Y154" s="15">
        <v>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3">
        <f t="shared" si="13"/>
        <v>2</v>
      </c>
      <c r="AI154" s="5"/>
      <c r="AJ154" s="5"/>
    </row>
    <row r="155" spans="1:36" ht="12.75" customHeight="1" x14ac:dyDescent="0.3">
      <c r="A155" s="14"/>
      <c r="B155" s="27"/>
      <c r="C155" s="28" t="s">
        <v>133</v>
      </c>
      <c r="D155" s="29"/>
      <c r="E155" s="15">
        <v>2</v>
      </c>
      <c r="F155" s="15">
        <v>0</v>
      </c>
      <c r="G155" s="15">
        <v>0</v>
      </c>
      <c r="H155" s="15">
        <v>0</v>
      </c>
      <c r="I155" s="15">
        <v>0</v>
      </c>
      <c r="J155" s="15">
        <v>1</v>
      </c>
      <c r="K155" s="15">
        <v>3</v>
      </c>
      <c r="L155" s="15">
        <v>0</v>
      </c>
      <c r="M155" s="15">
        <v>2</v>
      </c>
      <c r="N155" s="15">
        <v>4</v>
      </c>
      <c r="O155" s="15">
        <v>31</v>
      </c>
      <c r="P155" s="15">
        <v>59</v>
      </c>
      <c r="Q155" s="15">
        <v>0</v>
      </c>
      <c r="R155" s="15">
        <v>0</v>
      </c>
      <c r="S155" s="15">
        <v>0</v>
      </c>
      <c r="T155" s="15">
        <v>19</v>
      </c>
      <c r="U155" s="15">
        <v>39</v>
      </c>
      <c r="V155" s="15">
        <v>115</v>
      </c>
      <c r="W155" s="15">
        <v>158</v>
      </c>
      <c r="X155" s="15">
        <v>11</v>
      </c>
      <c r="Y155" s="15">
        <v>16</v>
      </c>
      <c r="Z155" s="15">
        <v>79</v>
      </c>
      <c r="AA155" s="15">
        <v>97</v>
      </c>
      <c r="AB155" s="15">
        <v>1</v>
      </c>
      <c r="AC155" s="15">
        <v>1</v>
      </c>
      <c r="AD155" s="15">
        <v>0</v>
      </c>
      <c r="AE155" s="15">
        <v>1</v>
      </c>
      <c r="AF155" s="15">
        <v>0</v>
      </c>
      <c r="AG155" s="15">
        <v>0</v>
      </c>
      <c r="AH155" s="13">
        <f t="shared" si="13"/>
        <v>639</v>
      </c>
      <c r="AI155" s="5"/>
      <c r="AJ155" s="5"/>
    </row>
    <row r="156" spans="1:36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G156" si="27">SUM(E148:E155)</f>
        <v>7</v>
      </c>
      <c r="F156" s="34">
        <f t="shared" si="27"/>
        <v>5</v>
      </c>
      <c r="G156" s="34">
        <f t="shared" si="27"/>
        <v>5</v>
      </c>
      <c r="H156" s="34">
        <f t="shared" si="27"/>
        <v>9</v>
      </c>
      <c r="I156" s="34">
        <f t="shared" si="27"/>
        <v>16</v>
      </c>
      <c r="J156" s="34">
        <f t="shared" si="27"/>
        <v>67</v>
      </c>
      <c r="K156" s="34">
        <f t="shared" si="27"/>
        <v>5</v>
      </c>
      <c r="L156" s="34">
        <f t="shared" si="27"/>
        <v>17</v>
      </c>
      <c r="M156" s="34">
        <f t="shared" si="27"/>
        <v>78</v>
      </c>
      <c r="N156" s="34">
        <f t="shared" si="27"/>
        <v>69</v>
      </c>
      <c r="O156" s="34">
        <f t="shared" si="27"/>
        <v>42</v>
      </c>
      <c r="P156" s="34">
        <f t="shared" si="27"/>
        <v>68</v>
      </c>
      <c r="Q156" s="34">
        <f t="shared" si="27"/>
        <v>7</v>
      </c>
      <c r="R156" s="34">
        <f t="shared" si="27"/>
        <v>6</v>
      </c>
      <c r="S156" s="34">
        <f t="shared" si="27"/>
        <v>5</v>
      </c>
      <c r="T156" s="34">
        <f t="shared" si="27"/>
        <v>24</v>
      </c>
      <c r="U156" s="34">
        <f t="shared" si="27"/>
        <v>41</v>
      </c>
      <c r="V156" s="34">
        <f t="shared" si="27"/>
        <v>127</v>
      </c>
      <c r="W156" s="34">
        <f t="shared" si="27"/>
        <v>167</v>
      </c>
      <c r="X156" s="34">
        <f t="shared" si="27"/>
        <v>22</v>
      </c>
      <c r="Y156" s="34">
        <f t="shared" si="27"/>
        <v>22</v>
      </c>
      <c r="Z156" s="34">
        <f t="shared" si="27"/>
        <v>86</v>
      </c>
      <c r="AA156" s="34">
        <f t="shared" si="27"/>
        <v>102</v>
      </c>
      <c r="AB156" s="34">
        <f t="shared" si="27"/>
        <v>5</v>
      </c>
      <c r="AC156" s="34">
        <f t="shared" si="27"/>
        <v>5</v>
      </c>
      <c r="AD156" s="34">
        <f t="shared" si="27"/>
        <v>3</v>
      </c>
      <c r="AE156" s="34">
        <f t="shared" si="27"/>
        <v>1</v>
      </c>
      <c r="AF156" s="34">
        <f t="shared" si="27"/>
        <v>3</v>
      </c>
      <c r="AG156" s="34">
        <f t="shared" si="27"/>
        <v>7</v>
      </c>
      <c r="AH156" s="13">
        <f t="shared" si="13"/>
        <v>1021</v>
      </c>
      <c r="AI156" s="5"/>
      <c r="AJ156" s="5"/>
    </row>
    <row r="157" spans="1:36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13">
        <f t="shared" si="13"/>
        <v>0</v>
      </c>
      <c r="AI157" s="5"/>
      <c r="AJ157" s="5"/>
    </row>
    <row r="158" spans="1:36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1</v>
      </c>
      <c r="F158" s="15">
        <v>0</v>
      </c>
      <c r="G158" s="15">
        <v>0</v>
      </c>
      <c r="H158" s="15">
        <v>0</v>
      </c>
      <c r="I158" s="15">
        <v>1</v>
      </c>
      <c r="J158" s="15">
        <v>0</v>
      </c>
      <c r="K158" s="15">
        <v>4</v>
      </c>
      <c r="L158" s="15">
        <v>0</v>
      </c>
      <c r="M158" s="15">
        <v>0</v>
      </c>
      <c r="N158" s="15">
        <v>0</v>
      </c>
      <c r="O158" s="15">
        <v>4</v>
      </c>
      <c r="P158" s="15">
        <v>1</v>
      </c>
      <c r="Q158" s="15">
        <v>3</v>
      </c>
      <c r="R158" s="15">
        <v>0</v>
      </c>
      <c r="S158" s="15">
        <v>1</v>
      </c>
      <c r="T158" s="15">
        <v>0</v>
      </c>
      <c r="U158" s="15">
        <v>0</v>
      </c>
      <c r="V158" s="15">
        <v>1</v>
      </c>
      <c r="W158" s="15">
        <v>0</v>
      </c>
      <c r="X158" s="15">
        <v>1</v>
      </c>
      <c r="Y158" s="15">
        <v>0</v>
      </c>
      <c r="Z158" s="15">
        <v>1</v>
      </c>
      <c r="AA158" s="15">
        <v>0</v>
      </c>
      <c r="AB158" s="15">
        <v>0</v>
      </c>
      <c r="AC158" s="15">
        <v>1</v>
      </c>
      <c r="AD158" s="15">
        <v>2</v>
      </c>
      <c r="AE158" s="15">
        <v>0</v>
      </c>
      <c r="AF158" s="15">
        <v>2</v>
      </c>
      <c r="AG158" s="15">
        <v>0</v>
      </c>
      <c r="AH158" s="13">
        <f t="shared" si="13"/>
        <v>23</v>
      </c>
      <c r="AI158" s="5"/>
      <c r="AJ158" s="5"/>
    </row>
    <row r="159" spans="1:36" ht="12.75" customHeight="1" x14ac:dyDescent="0.3">
      <c r="A159" s="19" t="s">
        <v>39</v>
      </c>
      <c r="B159" s="27"/>
      <c r="C159" s="28" t="s">
        <v>136</v>
      </c>
      <c r="D159" s="29"/>
      <c r="E159" s="15">
        <v>1</v>
      </c>
      <c r="F159" s="15">
        <v>0</v>
      </c>
      <c r="G159" s="15">
        <v>0</v>
      </c>
      <c r="H159" s="15">
        <v>1</v>
      </c>
      <c r="I159" s="15">
        <v>0</v>
      </c>
      <c r="J159" s="15">
        <v>2</v>
      </c>
      <c r="K159" s="15">
        <v>13</v>
      </c>
      <c r="L159" s="15">
        <v>0</v>
      </c>
      <c r="M159" s="15">
        <v>1</v>
      </c>
      <c r="N159" s="15">
        <v>1</v>
      </c>
      <c r="O159" s="15">
        <v>0</v>
      </c>
      <c r="P159" s="15">
        <v>0</v>
      </c>
      <c r="Q159" s="15">
        <v>2</v>
      </c>
      <c r="R159" s="15">
        <v>0</v>
      </c>
      <c r="S159" s="15">
        <v>3</v>
      </c>
      <c r="T159" s="15">
        <v>0</v>
      </c>
      <c r="U159" s="15">
        <v>1</v>
      </c>
      <c r="V159" s="15">
        <v>2</v>
      </c>
      <c r="W159" s="15">
        <v>0</v>
      </c>
      <c r="X159" s="15">
        <v>1</v>
      </c>
      <c r="Y159" s="15">
        <v>1</v>
      </c>
      <c r="Z159" s="15">
        <v>1</v>
      </c>
      <c r="AA159" s="15">
        <v>0</v>
      </c>
      <c r="AB159" s="15">
        <v>1</v>
      </c>
      <c r="AC159" s="15">
        <v>1</v>
      </c>
      <c r="AD159" s="15">
        <v>1</v>
      </c>
      <c r="AE159" s="15">
        <v>0</v>
      </c>
      <c r="AF159" s="15">
        <v>1</v>
      </c>
      <c r="AG159" s="15">
        <v>1</v>
      </c>
      <c r="AH159" s="13">
        <f t="shared" si="13"/>
        <v>35</v>
      </c>
      <c r="AI159" s="5"/>
      <c r="AJ159" s="5"/>
    </row>
    <row r="160" spans="1:36" ht="12.75" customHeight="1" x14ac:dyDescent="0.3">
      <c r="A160" s="19"/>
      <c r="B160" s="27"/>
      <c r="C160" s="28" t="s">
        <v>137</v>
      </c>
      <c r="D160" s="29"/>
      <c r="E160" s="15">
        <v>0</v>
      </c>
      <c r="F160" s="15">
        <v>0</v>
      </c>
      <c r="G160" s="15">
        <v>1</v>
      </c>
      <c r="H160" s="15">
        <v>0</v>
      </c>
      <c r="I160" s="15">
        <v>0</v>
      </c>
      <c r="J160" s="15">
        <v>1</v>
      </c>
      <c r="K160" s="15">
        <v>1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1</v>
      </c>
      <c r="T160" s="15">
        <v>0</v>
      </c>
      <c r="U160" s="15">
        <v>0</v>
      </c>
      <c r="V160" s="15">
        <v>0</v>
      </c>
      <c r="W160" s="15">
        <v>0</v>
      </c>
      <c r="X160" s="15">
        <v>0</v>
      </c>
      <c r="Y160" s="15">
        <v>0</v>
      </c>
      <c r="Z160" s="15">
        <v>1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2</v>
      </c>
      <c r="AG160" s="15">
        <v>0</v>
      </c>
      <c r="AH160" s="13">
        <f t="shared" si="13"/>
        <v>7</v>
      </c>
      <c r="AI160" s="5"/>
      <c r="AJ160" s="5"/>
    </row>
    <row r="161" spans="1:36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G161" si="28">SUM(E158:E160)</f>
        <v>2</v>
      </c>
      <c r="F161" s="34">
        <f t="shared" si="28"/>
        <v>0</v>
      </c>
      <c r="G161" s="34">
        <f t="shared" si="28"/>
        <v>1</v>
      </c>
      <c r="H161" s="34">
        <f t="shared" si="28"/>
        <v>1</v>
      </c>
      <c r="I161" s="34">
        <f t="shared" si="28"/>
        <v>1</v>
      </c>
      <c r="J161" s="34">
        <f t="shared" si="28"/>
        <v>3</v>
      </c>
      <c r="K161" s="34">
        <f t="shared" si="28"/>
        <v>18</v>
      </c>
      <c r="L161" s="34">
        <f t="shared" si="28"/>
        <v>0</v>
      </c>
      <c r="M161" s="34">
        <f t="shared" si="28"/>
        <v>1</v>
      </c>
      <c r="N161" s="34">
        <f t="shared" si="28"/>
        <v>1</v>
      </c>
      <c r="O161" s="34">
        <f t="shared" si="28"/>
        <v>4</v>
      </c>
      <c r="P161" s="34">
        <f t="shared" si="28"/>
        <v>1</v>
      </c>
      <c r="Q161" s="34">
        <f t="shared" si="28"/>
        <v>5</v>
      </c>
      <c r="R161" s="34">
        <f t="shared" si="28"/>
        <v>0</v>
      </c>
      <c r="S161" s="34">
        <f t="shared" si="28"/>
        <v>5</v>
      </c>
      <c r="T161" s="34">
        <f t="shared" si="28"/>
        <v>0</v>
      </c>
      <c r="U161" s="34">
        <f t="shared" si="28"/>
        <v>1</v>
      </c>
      <c r="V161" s="34">
        <f t="shared" si="28"/>
        <v>3</v>
      </c>
      <c r="W161" s="34">
        <f t="shared" si="28"/>
        <v>0</v>
      </c>
      <c r="X161" s="34">
        <f t="shared" si="28"/>
        <v>2</v>
      </c>
      <c r="Y161" s="34">
        <f t="shared" si="28"/>
        <v>1</v>
      </c>
      <c r="Z161" s="34">
        <f t="shared" si="28"/>
        <v>3</v>
      </c>
      <c r="AA161" s="34">
        <f t="shared" si="28"/>
        <v>0</v>
      </c>
      <c r="AB161" s="34">
        <f t="shared" si="28"/>
        <v>1</v>
      </c>
      <c r="AC161" s="34">
        <f t="shared" si="28"/>
        <v>2</v>
      </c>
      <c r="AD161" s="34">
        <f t="shared" si="28"/>
        <v>3</v>
      </c>
      <c r="AE161" s="34">
        <f t="shared" si="28"/>
        <v>0</v>
      </c>
      <c r="AF161" s="34">
        <f t="shared" si="28"/>
        <v>5</v>
      </c>
      <c r="AG161" s="34">
        <f t="shared" si="28"/>
        <v>1</v>
      </c>
      <c r="AH161" s="13">
        <f t="shared" si="13"/>
        <v>65</v>
      </c>
      <c r="AI161" s="5"/>
      <c r="AJ161" s="5"/>
    </row>
    <row r="162" spans="1:36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13">
        <f t="shared" si="13"/>
        <v>0</v>
      </c>
      <c r="AI162" s="5"/>
      <c r="AJ162" s="5"/>
    </row>
    <row r="163" spans="1:36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0</v>
      </c>
      <c r="G163" s="15">
        <v>0</v>
      </c>
      <c r="H163" s="15">
        <v>0</v>
      </c>
      <c r="I163" s="15">
        <v>0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1</v>
      </c>
      <c r="Q163" s="15">
        <v>1</v>
      </c>
      <c r="R163" s="15">
        <v>0</v>
      </c>
      <c r="S163" s="15">
        <v>0</v>
      </c>
      <c r="T163" s="15">
        <v>0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>
        <v>1</v>
      </c>
      <c r="AD163" s="15">
        <v>0</v>
      </c>
      <c r="AE163" s="15">
        <v>0</v>
      </c>
      <c r="AF163" s="15">
        <v>0</v>
      </c>
      <c r="AG163" s="15">
        <v>0</v>
      </c>
      <c r="AH163" s="13">
        <f t="shared" si="13"/>
        <v>3</v>
      </c>
      <c r="AI163" s="5"/>
      <c r="AJ163" s="5"/>
    </row>
    <row r="164" spans="1:36" ht="12.75" customHeight="1" x14ac:dyDescent="0.3">
      <c r="A164" s="19" t="s">
        <v>39</v>
      </c>
      <c r="B164" s="26"/>
      <c r="C164" s="28" t="s">
        <v>140</v>
      </c>
      <c r="D164" s="40"/>
      <c r="E164" s="15">
        <v>0</v>
      </c>
      <c r="F164" s="15">
        <v>0</v>
      </c>
      <c r="G164" s="15">
        <v>0</v>
      </c>
      <c r="H164" s="15">
        <v>0</v>
      </c>
      <c r="I164" s="15">
        <v>0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1</v>
      </c>
      <c r="W164" s="15">
        <v>0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5">
        <v>3</v>
      </c>
      <c r="AD164" s="15">
        <v>0</v>
      </c>
      <c r="AE164" s="15">
        <v>0</v>
      </c>
      <c r="AF164" s="15">
        <v>0</v>
      </c>
      <c r="AG164" s="15">
        <v>0</v>
      </c>
      <c r="AH164" s="13">
        <f t="shared" si="13"/>
        <v>4</v>
      </c>
      <c r="AI164" s="5"/>
      <c r="AJ164" s="5"/>
    </row>
    <row r="165" spans="1:36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G165" si="29">SUM(E163:E164)</f>
        <v>0</v>
      </c>
      <c r="F165" s="34">
        <f t="shared" si="29"/>
        <v>0</v>
      </c>
      <c r="G165" s="34">
        <f t="shared" si="29"/>
        <v>0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0</v>
      </c>
      <c r="N165" s="34">
        <f t="shared" si="29"/>
        <v>0</v>
      </c>
      <c r="O165" s="34">
        <f t="shared" si="29"/>
        <v>0</v>
      </c>
      <c r="P165" s="34">
        <f t="shared" si="29"/>
        <v>1</v>
      </c>
      <c r="Q165" s="34">
        <f t="shared" si="29"/>
        <v>1</v>
      </c>
      <c r="R165" s="34">
        <f t="shared" si="29"/>
        <v>0</v>
      </c>
      <c r="S165" s="34">
        <f t="shared" si="29"/>
        <v>0</v>
      </c>
      <c r="T165" s="34">
        <f t="shared" si="29"/>
        <v>0</v>
      </c>
      <c r="U165" s="34">
        <f t="shared" si="29"/>
        <v>0</v>
      </c>
      <c r="V165" s="34">
        <f t="shared" si="29"/>
        <v>1</v>
      </c>
      <c r="W165" s="34">
        <f t="shared" si="29"/>
        <v>0</v>
      </c>
      <c r="X165" s="34">
        <f t="shared" si="29"/>
        <v>0</v>
      </c>
      <c r="Y165" s="34">
        <f t="shared" si="29"/>
        <v>0</v>
      </c>
      <c r="Z165" s="34">
        <f t="shared" si="29"/>
        <v>0</v>
      </c>
      <c r="AA165" s="34">
        <f t="shared" si="29"/>
        <v>0</v>
      </c>
      <c r="AB165" s="34">
        <f t="shared" si="29"/>
        <v>0</v>
      </c>
      <c r="AC165" s="34">
        <f t="shared" si="29"/>
        <v>4</v>
      </c>
      <c r="AD165" s="34">
        <f t="shared" si="29"/>
        <v>0</v>
      </c>
      <c r="AE165" s="34">
        <f t="shared" si="29"/>
        <v>0</v>
      </c>
      <c r="AF165" s="34">
        <f t="shared" si="29"/>
        <v>0</v>
      </c>
      <c r="AG165" s="34">
        <f t="shared" si="29"/>
        <v>0</v>
      </c>
      <c r="AH165" s="13">
        <f t="shared" si="13"/>
        <v>7</v>
      </c>
      <c r="AI165" s="1"/>
      <c r="AJ165" s="1"/>
    </row>
    <row r="166" spans="1:36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13">
        <f t="shared" si="13"/>
        <v>0</v>
      </c>
      <c r="AI166" s="31"/>
      <c r="AJ166" s="31"/>
    </row>
    <row r="167" spans="1:36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0</v>
      </c>
      <c r="F167" s="15">
        <v>0</v>
      </c>
      <c r="G167" s="15">
        <v>0</v>
      </c>
      <c r="H167" s="15">
        <v>2</v>
      </c>
      <c r="I167" s="15">
        <v>0</v>
      </c>
      <c r="J167" s="15">
        <v>3</v>
      </c>
      <c r="K167" s="15">
        <v>0</v>
      </c>
      <c r="L167" s="15">
        <v>0</v>
      </c>
      <c r="M167" s="15">
        <v>2</v>
      </c>
      <c r="N167" s="15">
        <v>1</v>
      </c>
      <c r="O167" s="15">
        <v>0</v>
      </c>
      <c r="P167" s="15">
        <v>1</v>
      </c>
      <c r="Q167" s="15">
        <v>1</v>
      </c>
      <c r="R167" s="15">
        <v>1</v>
      </c>
      <c r="S167" s="15">
        <v>0</v>
      </c>
      <c r="T167" s="15">
        <v>0</v>
      </c>
      <c r="U167" s="15">
        <v>0</v>
      </c>
      <c r="V167" s="15">
        <v>0</v>
      </c>
      <c r="W167" s="15">
        <v>0</v>
      </c>
      <c r="X167" s="15">
        <v>2</v>
      </c>
      <c r="Y167" s="15">
        <v>2</v>
      </c>
      <c r="Z167" s="15">
        <v>1</v>
      </c>
      <c r="AA167" s="15">
        <v>1</v>
      </c>
      <c r="AB167" s="15">
        <v>0</v>
      </c>
      <c r="AC167" s="15">
        <v>0</v>
      </c>
      <c r="AD167" s="15">
        <v>2</v>
      </c>
      <c r="AE167" s="15">
        <v>1</v>
      </c>
      <c r="AF167" s="15">
        <v>0</v>
      </c>
      <c r="AG167" s="15">
        <v>0</v>
      </c>
      <c r="AH167" s="13">
        <f t="shared" si="13"/>
        <v>20</v>
      </c>
      <c r="AI167" s="5"/>
      <c r="AJ167" s="5"/>
    </row>
    <row r="168" spans="1:36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1</v>
      </c>
      <c r="G168" s="15">
        <v>0</v>
      </c>
      <c r="H168" s="15">
        <v>0</v>
      </c>
      <c r="I168" s="15">
        <v>9</v>
      </c>
      <c r="J168" s="15">
        <v>26</v>
      </c>
      <c r="K168" s="15">
        <v>3</v>
      </c>
      <c r="L168" s="15">
        <v>0</v>
      </c>
      <c r="M168" s="15">
        <v>9</v>
      </c>
      <c r="N168" s="15">
        <v>2</v>
      </c>
      <c r="O168" s="15">
        <v>0</v>
      </c>
      <c r="P168" s="15">
        <v>0</v>
      </c>
      <c r="Q168" s="15">
        <v>0</v>
      </c>
      <c r="R168" s="15">
        <v>1</v>
      </c>
      <c r="S168" s="15">
        <v>0</v>
      </c>
      <c r="T168" s="15">
        <v>0</v>
      </c>
      <c r="U168" s="15">
        <v>0</v>
      </c>
      <c r="V168" s="15">
        <v>0</v>
      </c>
      <c r="W168" s="15">
        <v>0</v>
      </c>
      <c r="X168" s="15">
        <v>0</v>
      </c>
      <c r="Y168" s="15">
        <v>1</v>
      </c>
      <c r="Z168" s="15">
        <v>0</v>
      </c>
      <c r="AA168" s="15">
        <v>1</v>
      </c>
      <c r="AB168" s="15">
        <v>0</v>
      </c>
      <c r="AC168" s="15">
        <v>0</v>
      </c>
      <c r="AD168" s="15">
        <v>0</v>
      </c>
      <c r="AE168" s="15">
        <v>1</v>
      </c>
      <c r="AF168" s="15">
        <v>0</v>
      </c>
      <c r="AG168" s="15">
        <v>0</v>
      </c>
      <c r="AH168" s="13">
        <f t="shared" si="13"/>
        <v>54</v>
      </c>
      <c r="AI168" s="5"/>
      <c r="AJ168" s="5"/>
    </row>
    <row r="169" spans="1:36" ht="12.75" customHeight="1" x14ac:dyDescent="0.3">
      <c r="A169" s="14"/>
      <c r="B169" s="27"/>
      <c r="C169" s="28" t="s">
        <v>144</v>
      </c>
      <c r="D169" s="29"/>
      <c r="E169" s="15">
        <v>0</v>
      </c>
      <c r="F169" s="15">
        <v>0</v>
      </c>
      <c r="G169" s="15">
        <v>2</v>
      </c>
      <c r="H169" s="15">
        <v>0</v>
      </c>
      <c r="I169" s="15">
        <v>0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1</v>
      </c>
      <c r="W169" s="15">
        <v>0</v>
      </c>
      <c r="X169" s="15">
        <v>0</v>
      </c>
      <c r="Y169" s="15">
        <v>0</v>
      </c>
      <c r="Z169" s="15">
        <v>1</v>
      </c>
      <c r="AA169" s="15">
        <v>0</v>
      </c>
      <c r="AB169" s="15">
        <v>0</v>
      </c>
      <c r="AC169" s="15">
        <v>1</v>
      </c>
      <c r="AD169" s="15">
        <v>0</v>
      </c>
      <c r="AE169" s="15">
        <v>0</v>
      </c>
      <c r="AF169" s="15">
        <v>0</v>
      </c>
      <c r="AG169" s="15">
        <v>0</v>
      </c>
      <c r="AH169" s="13">
        <f t="shared" si="13"/>
        <v>5</v>
      </c>
      <c r="AI169" s="5"/>
      <c r="AJ169" s="5"/>
    </row>
    <row r="170" spans="1:36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3">
        <f t="shared" si="13"/>
        <v>0</v>
      </c>
      <c r="AI170" s="5"/>
      <c r="AJ170" s="5"/>
    </row>
    <row r="171" spans="1:36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0</v>
      </c>
      <c r="H171" s="15">
        <v>0</v>
      </c>
      <c r="I171" s="15">
        <v>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3">
        <f t="shared" si="13"/>
        <v>1</v>
      </c>
      <c r="AI171" s="5"/>
      <c r="AJ171" s="5"/>
    </row>
    <row r="172" spans="1:36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0</v>
      </c>
      <c r="Y172" s="15">
        <v>1</v>
      </c>
      <c r="Z172" s="15">
        <v>1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3">
        <f t="shared" si="13"/>
        <v>2</v>
      </c>
      <c r="AI172" s="5"/>
      <c r="AJ172" s="5"/>
    </row>
    <row r="173" spans="1:36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0</v>
      </c>
      <c r="G173" s="15">
        <v>0</v>
      </c>
      <c r="H173" s="15">
        <v>0</v>
      </c>
      <c r="I173" s="15">
        <v>0</v>
      </c>
      <c r="J173" s="15">
        <v>1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>
        <v>1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3">
        <f t="shared" si="13"/>
        <v>2</v>
      </c>
      <c r="AI173" s="5"/>
      <c r="AJ173" s="5"/>
    </row>
    <row r="174" spans="1:36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3</v>
      </c>
      <c r="S174" s="15">
        <v>0</v>
      </c>
      <c r="T174" s="15">
        <v>0</v>
      </c>
      <c r="U174" s="15">
        <v>0</v>
      </c>
      <c r="V174" s="15">
        <v>0</v>
      </c>
      <c r="W174" s="15">
        <v>0</v>
      </c>
      <c r="X174" s="15">
        <v>1</v>
      </c>
      <c r="Y174" s="15">
        <v>0</v>
      </c>
      <c r="Z174" s="15">
        <v>0</v>
      </c>
      <c r="AA174" s="15">
        <v>0</v>
      </c>
      <c r="AB174" s="15">
        <v>0</v>
      </c>
      <c r="AC174" s="15">
        <v>0</v>
      </c>
      <c r="AD174" s="15">
        <v>1</v>
      </c>
      <c r="AE174" s="15">
        <v>0</v>
      </c>
      <c r="AF174" s="15">
        <v>0</v>
      </c>
      <c r="AG174" s="15">
        <v>0</v>
      </c>
      <c r="AH174" s="13">
        <f t="shared" si="13"/>
        <v>5</v>
      </c>
      <c r="AI174" s="5"/>
      <c r="AJ174" s="5"/>
    </row>
    <row r="175" spans="1:36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AG175" si="30">SUM(E167:E174)</f>
        <v>0</v>
      </c>
      <c r="F175" s="34">
        <f t="shared" si="30"/>
        <v>1</v>
      </c>
      <c r="G175" s="34">
        <f t="shared" si="30"/>
        <v>2</v>
      </c>
      <c r="H175" s="34">
        <f t="shared" si="30"/>
        <v>2</v>
      </c>
      <c r="I175" s="34">
        <f t="shared" si="30"/>
        <v>10</v>
      </c>
      <c r="J175" s="34">
        <f t="shared" si="30"/>
        <v>30</v>
      </c>
      <c r="K175" s="34">
        <f t="shared" si="30"/>
        <v>3</v>
      </c>
      <c r="L175" s="34">
        <f t="shared" si="30"/>
        <v>0</v>
      </c>
      <c r="M175" s="34">
        <f t="shared" si="30"/>
        <v>11</v>
      </c>
      <c r="N175" s="34">
        <f t="shared" si="30"/>
        <v>3</v>
      </c>
      <c r="O175" s="34">
        <f t="shared" si="30"/>
        <v>0</v>
      </c>
      <c r="P175" s="34">
        <f t="shared" si="30"/>
        <v>1</v>
      </c>
      <c r="Q175" s="34">
        <f t="shared" si="30"/>
        <v>1</v>
      </c>
      <c r="R175" s="34">
        <f t="shared" si="30"/>
        <v>5</v>
      </c>
      <c r="S175" s="34">
        <f t="shared" si="30"/>
        <v>0</v>
      </c>
      <c r="T175" s="34">
        <f t="shared" si="30"/>
        <v>1</v>
      </c>
      <c r="U175" s="34">
        <f t="shared" si="30"/>
        <v>0</v>
      </c>
      <c r="V175" s="34">
        <f t="shared" si="30"/>
        <v>1</v>
      </c>
      <c r="W175" s="34">
        <f t="shared" si="30"/>
        <v>0</v>
      </c>
      <c r="X175" s="34">
        <f t="shared" si="30"/>
        <v>3</v>
      </c>
      <c r="Y175" s="34">
        <f t="shared" si="30"/>
        <v>4</v>
      </c>
      <c r="Z175" s="34">
        <f t="shared" si="30"/>
        <v>3</v>
      </c>
      <c r="AA175" s="34">
        <f t="shared" si="30"/>
        <v>2</v>
      </c>
      <c r="AB175" s="34">
        <f t="shared" si="30"/>
        <v>0</v>
      </c>
      <c r="AC175" s="34">
        <f t="shared" si="30"/>
        <v>1</v>
      </c>
      <c r="AD175" s="34">
        <f t="shared" si="30"/>
        <v>3</v>
      </c>
      <c r="AE175" s="34">
        <f t="shared" si="30"/>
        <v>2</v>
      </c>
      <c r="AF175" s="34">
        <f t="shared" si="30"/>
        <v>0</v>
      </c>
      <c r="AG175" s="34">
        <f t="shared" si="30"/>
        <v>0</v>
      </c>
      <c r="AH175" s="13">
        <f t="shared" si="13"/>
        <v>89</v>
      </c>
      <c r="AI175" s="5"/>
      <c r="AJ175" s="5"/>
    </row>
    <row r="176" spans="1:36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13">
        <f t="shared" si="13"/>
        <v>0</v>
      </c>
      <c r="AI176" s="1"/>
      <c r="AJ176" s="1"/>
    </row>
    <row r="177" spans="1:36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0</v>
      </c>
      <c r="H177" s="15">
        <v>0</v>
      </c>
      <c r="I177" s="15">
        <v>1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1</v>
      </c>
      <c r="Q177" s="15">
        <v>0</v>
      </c>
      <c r="R177" s="15">
        <v>1</v>
      </c>
      <c r="S177" s="15">
        <v>0</v>
      </c>
      <c r="T177" s="15">
        <v>0</v>
      </c>
      <c r="U177" s="15">
        <v>0</v>
      </c>
      <c r="V177" s="15">
        <v>0</v>
      </c>
      <c r="W177" s="15">
        <v>0</v>
      </c>
      <c r="X177" s="15">
        <v>1</v>
      </c>
      <c r="Y177" s="15">
        <v>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3">
        <f t="shared" si="13"/>
        <v>4</v>
      </c>
    </row>
    <row r="178" spans="1:36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1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1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3">
        <f t="shared" si="13"/>
        <v>2</v>
      </c>
      <c r="AI178" s="5"/>
      <c r="AJ178" s="5"/>
    </row>
    <row r="179" spans="1:36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3">
        <f t="shared" si="13"/>
        <v>0</v>
      </c>
      <c r="AI179" s="5"/>
      <c r="AJ179" s="5"/>
    </row>
    <row r="180" spans="1:36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3">
        <f t="shared" si="13"/>
        <v>0</v>
      </c>
      <c r="AI180" s="5"/>
      <c r="AJ180" s="5"/>
    </row>
    <row r="181" spans="1:36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AG181" si="31">SUM(E177:E180)</f>
        <v>0</v>
      </c>
      <c r="F181" s="34">
        <f t="shared" si="31"/>
        <v>0</v>
      </c>
      <c r="G181" s="34">
        <f t="shared" si="31"/>
        <v>0</v>
      </c>
      <c r="H181" s="34">
        <f t="shared" si="31"/>
        <v>0</v>
      </c>
      <c r="I181" s="34">
        <f t="shared" si="31"/>
        <v>2</v>
      </c>
      <c r="J181" s="34">
        <f t="shared" si="31"/>
        <v>0</v>
      </c>
      <c r="K181" s="34">
        <f t="shared" si="31"/>
        <v>0</v>
      </c>
      <c r="L181" s="34">
        <f t="shared" si="31"/>
        <v>0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1</v>
      </c>
      <c r="Q181" s="34">
        <f t="shared" si="31"/>
        <v>0</v>
      </c>
      <c r="R181" s="34">
        <f t="shared" si="31"/>
        <v>1</v>
      </c>
      <c r="S181" s="34">
        <f t="shared" si="31"/>
        <v>0</v>
      </c>
      <c r="T181" s="34">
        <f t="shared" si="31"/>
        <v>0</v>
      </c>
      <c r="U181" s="34">
        <f t="shared" si="31"/>
        <v>0</v>
      </c>
      <c r="V181" s="34">
        <f t="shared" si="31"/>
        <v>0</v>
      </c>
      <c r="W181" s="34">
        <f t="shared" si="31"/>
        <v>0</v>
      </c>
      <c r="X181" s="34">
        <f t="shared" si="31"/>
        <v>1</v>
      </c>
      <c r="Y181" s="34">
        <f t="shared" si="31"/>
        <v>0</v>
      </c>
      <c r="Z181" s="34">
        <f t="shared" si="31"/>
        <v>0</v>
      </c>
      <c r="AA181" s="34">
        <f t="shared" si="31"/>
        <v>1</v>
      </c>
      <c r="AB181" s="34">
        <f t="shared" si="31"/>
        <v>0</v>
      </c>
      <c r="AC181" s="34">
        <f t="shared" si="31"/>
        <v>0</v>
      </c>
      <c r="AD181" s="34">
        <f t="shared" si="31"/>
        <v>0</v>
      </c>
      <c r="AE181" s="34">
        <f t="shared" si="31"/>
        <v>0</v>
      </c>
      <c r="AF181" s="34">
        <f t="shared" si="31"/>
        <v>0</v>
      </c>
      <c r="AG181" s="34">
        <f t="shared" si="31"/>
        <v>0</v>
      </c>
      <c r="AH181" s="13">
        <f t="shared" si="13"/>
        <v>6</v>
      </c>
      <c r="AI181" s="5"/>
      <c r="AJ181" s="5"/>
    </row>
    <row r="182" spans="1:36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3">
        <f t="shared" si="13"/>
        <v>0</v>
      </c>
      <c r="AI182" s="5"/>
      <c r="AJ182" s="5"/>
    </row>
    <row r="183" spans="1:36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>
        <f t="shared" si="13"/>
        <v>0</v>
      </c>
      <c r="AI183" s="5"/>
      <c r="AJ183" s="5"/>
    </row>
    <row r="184" spans="1:36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164</v>
      </c>
      <c r="F184" s="15">
        <f t="shared" ref="F184:AH184" si="32">F53+F63+F73+F83+F93+F97+F101+F111+F115+F125+F129+F136+F146+F156+F161+F165+F175+F181</f>
        <v>184</v>
      </c>
      <c r="G184" s="15">
        <f t="shared" si="32"/>
        <v>195</v>
      </c>
      <c r="H184" s="15">
        <f t="shared" si="32"/>
        <v>178</v>
      </c>
      <c r="I184" s="15">
        <f t="shared" si="32"/>
        <v>191</v>
      </c>
      <c r="J184" s="15">
        <f t="shared" si="32"/>
        <v>203</v>
      </c>
      <c r="K184" s="15">
        <f t="shared" si="32"/>
        <v>170</v>
      </c>
      <c r="L184" s="15">
        <f t="shared" si="32"/>
        <v>206</v>
      </c>
      <c r="M184" s="15">
        <f t="shared" si="32"/>
        <v>195</v>
      </c>
      <c r="N184" s="15">
        <f t="shared" si="32"/>
        <v>176</v>
      </c>
      <c r="O184" s="15">
        <f t="shared" si="32"/>
        <v>187</v>
      </c>
      <c r="P184" s="15">
        <f t="shared" si="32"/>
        <v>167</v>
      </c>
      <c r="Q184" s="15">
        <f t="shared" si="32"/>
        <v>184</v>
      </c>
      <c r="R184" s="15">
        <f t="shared" si="32"/>
        <v>181</v>
      </c>
      <c r="S184" s="15">
        <f t="shared" si="32"/>
        <v>172</v>
      </c>
      <c r="T184" s="15">
        <f t="shared" si="32"/>
        <v>197</v>
      </c>
      <c r="U184" s="15">
        <f t="shared" si="32"/>
        <v>189</v>
      </c>
      <c r="V184" s="15">
        <f t="shared" si="32"/>
        <v>207</v>
      </c>
      <c r="W184" s="15">
        <f t="shared" si="32"/>
        <v>219</v>
      </c>
      <c r="X184" s="15">
        <f t="shared" si="32"/>
        <v>211</v>
      </c>
      <c r="Y184" s="15">
        <f t="shared" si="32"/>
        <v>197</v>
      </c>
      <c r="Z184" s="15">
        <f t="shared" si="32"/>
        <v>180</v>
      </c>
      <c r="AA184" s="15">
        <f t="shared" si="32"/>
        <v>193</v>
      </c>
      <c r="AB184" s="15">
        <f t="shared" si="32"/>
        <v>184</v>
      </c>
      <c r="AC184" s="15">
        <f t="shared" si="32"/>
        <v>196</v>
      </c>
      <c r="AD184" s="15">
        <f t="shared" si="32"/>
        <v>174</v>
      </c>
      <c r="AE184" s="15">
        <f t="shared" si="32"/>
        <v>203</v>
      </c>
      <c r="AF184" s="15">
        <f t="shared" si="32"/>
        <v>138</v>
      </c>
      <c r="AG184" s="15">
        <f t="shared" si="32"/>
        <v>201</v>
      </c>
      <c r="AH184" s="15">
        <f t="shared" si="32"/>
        <v>5442</v>
      </c>
      <c r="AI184" s="5"/>
      <c r="AJ184" s="5"/>
    </row>
    <row r="185" spans="1:36" ht="12.75" customHeight="1" x14ac:dyDescent="0.3">
      <c r="A185" s="21"/>
      <c r="B185" s="42" t="s">
        <v>159</v>
      </c>
      <c r="C185" s="52" t="s">
        <v>160</v>
      </c>
      <c r="D185" s="50"/>
      <c r="E185" s="15">
        <v>16</v>
      </c>
      <c r="F185" s="15">
        <v>6</v>
      </c>
      <c r="G185" s="15">
        <v>12</v>
      </c>
      <c r="H185" s="15">
        <v>24</v>
      </c>
      <c r="I185" s="15">
        <v>14</v>
      </c>
      <c r="J185" s="15">
        <v>9</v>
      </c>
      <c r="K185" s="15">
        <v>13</v>
      </c>
      <c r="L185" s="15">
        <v>11</v>
      </c>
      <c r="M185" s="15">
        <v>7</v>
      </c>
      <c r="N185" s="15">
        <v>12</v>
      </c>
      <c r="O185" s="15">
        <v>18</v>
      </c>
      <c r="P185" s="15">
        <v>9</v>
      </c>
      <c r="Q185" s="15">
        <v>12</v>
      </c>
      <c r="R185" s="15">
        <v>15</v>
      </c>
      <c r="S185" s="15">
        <v>11</v>
      </c>
      <c r="T185" s="15">
        <v>10</v>
      </c>
      <c r="U185" s="15">
        <v>9</v>
      </c>
      <c r="V185" s="15">
        <v>8</v>
      </c>
      <c r="W185" s="15">
        <v>10</v>
      </c>
      <c r="X185" s="15">
        <v>9</v>
      </c>
      <c r="Y185" s="15">
        <v>10</v>
      </c>
      <c r="Z185" s="15">
        <v>19</v>
      </c>
      <c r="AA185" s="15">
        <v>10</v>
      </c>
      <c r="AB185" s="15">
        <v>8</v>
      </c>
      <c r="AC185" s="15">
        <v>7</v>
      </c>
      <c r="AD185" s="15">
        <v>12</v>
      </c>
      <c r="AE185" s="15">
        <v>14</v>
      </c>
      <c r="AF185" s="15">
        <v>6</v>
      </c>
      <c r="AG185" s="15">
        <v>8</v>
      </c>
      <c r="AH185" s="13">
        <f t="shared" si="13"/>
        <v>329</v>
      </c>
      <c r="AI185" s="5"/>
      <c r="AJ185" s="5"/>
    </row>
    <row r="186" spans="1:36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AG186" si="33">SUM(E184:E185)</f>
        <v>180</v>
      </c>
      <c r="F186" s="13">
        <f t="shared" si="33"/>
        <v>190</v>
      </c>
      <c r="G186" s="13">
        <f t="shared" si="33"/>
        <v>207</v>
      </c>
      <c r="H186" s="13">
        <f t="shared" si="33"/>
        <v>202</v>
      </c>
      <c r="I186" s="13">
        <f t="shared" si="33"/>
        <v>205</v>
      </c>
      <c r="J186" s="13">
        <f t="shared" si="33"/>
        <v>212</v>
      </c>
      <c r="K186" s="13">
        <f t="shared" si="33"/>
        <v>183</v>
      </c>
      <c r="L186" s="13">
        <f t="shared" si="33"/>
        <v>217</v>
      </c>
      <c r="M186" s="13">
        <f t="shared" si="33"/>
        <v>202</v>
      </c>
      <c r="N186" s="13">
        <f t="shared" si="33"/>
        <v>188</v>
      </c>
      <c r="O186" s="13">
        <f t="shared" si="33"/>
        <v>205</v>
      </c>
      <c r="P186" s="13">
        <f t="shared" si="33"/>
        <v>176</v>
      </c>
      <c r="Q186" s="13">
        <f t="shared" si="33"/>
        <v>196</v>
      </c>
      <c r="R186" s="13">
        <f t="shared" si="33"/>
        <v>196</v>
      </c>
      <c r="S186" s="13">
        <f t="shared" si="33"/>
        <v>183</v>
      </c>
      <c r="T186" s="13">
        <f t="shared" si="33"/>
        <v>207</v>
      </c>
      <c r="U186" s="13">
        <f t="shared" si="33"/>
        <v>198</v>
      </c>
      <c r="V186" s="13">
        <f t="shared" si="33"/>
        <v>215</v>
      </c>
      <c r="W186" s="13">
        <f t="shared" si="33"/>
        <v>229</v>
      </c>
      <c r="X186" s="13">
        <f t="shared" si="33"/>
        <v>220</v>
      </c>
      <c r="Y186" s="13">
        <f t="shared" si="33"/>
        <v>207</v>
      </c>
      <c r="Z186" s="13">
        <f t="shared" si="33"/>
        <v>199</v>
      </c>
      <c r="AA186" s="13">
        <f t="shared" si="33"/>
        <v>203</v>
      </c>
      <c r="AB186" s="13">
        <f t="shared" si="33"/>
        <v>192</v>
      </c>
      <c r="AC186" s="13">
        <f t="shared" si="33"/>
        <v>203</v>
      </c>
      <c r="AD186" s="13">
        <f t="shared" si="33"/>
        <v>186</v>
      </c>
      <c r="AE186" s="13">
        <f t="shared" si="33"/>
        <v>217</v>
      </c>
      <c r="AF186" s="13">
        <f t="shared" si="33"/>
        <v>144</v>
      </c>
      <c r="AG186" s="13">
        <f t="shared" si="33"/>
        <v>209</v>
      </c>
      <c r="AH186" s="13">
        <f t="shared" si="13"/>
        <v>5771</v>
      </c>
      <c r="AI186" s="5"/>
      <c r="AJ186" s="5"/>
    </row>
    <row r="187" spans="1:36" ht="12.75" customHeight="1" x14ac:dyDescent="0.3"/>
    <row r="188" spans="1:36" ht="12.75" customHeight="1" x14ac:dyDescent="0.3"/>
    <row r="189" spans="1:36" ht="12.75" customHeight="1" x14ac:dyDescent="0.3"/>
    <row r="190" spans="1:36" ht="12.75" customHeight="1" x14ac:dyDescent="0.3"/>
    <row r="191" spans="1:36" ht="12.75" customHeight="1" x14ac:dyDescent="0.3"/>
    <row r="192" spans="1:36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G12"/>
    <mergeCell ref="AH12:AH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196" priority="2">
      <formula>E34&lt;&gt;E64</formula>
    </cfRule>
  </conditionalFormatting>
  <conditionalFormatting sqref="E14:AG15">
    <cfRule type="containsBlanks" dxfId="195" priority="3">
      <formula>LEN(TRIM(E14))=0</formula>
    </cfRule>
  </conditionalFormatting>
  <conditionalFormatting sqref="E19:AG20">
    <cfRule type="containsBlanks" dxfId="194" priority="4">
      <formula>LEN(TRIM(E19))=0</formula>
    </cfRule>
  </conditionalFormatting>
  <conditionalFormatting sqref="E22:AG23 E25:AG26 E33:AG33 E35:AG35 E39:AG40">
    <cfRule type="containsBlanks" dxfId="193" priority="5">
      <formula>LEN(TRIM(E22))=0</formula>
    </cfRule>
  </conditionalFormatting>
  <conditionalFormatting sqref="E30:AG30">
    <cfRule type="expression" dxfId="192" priority="6">
      <formula>E30&lt;&gt;E47</formula>
    </cfRule>
    <cfRule type="expression" dxfId="191" priority="7">
      <formula>E30&lt;&gt;E34</formula>
    </cfRule>
  </conditionalFormatting>
  <conditionalFormatting sqref="E34:AG34">
    <cfRule type="expression" dxfId="190" priority="8">
      <formula>E30&lt;&gt;E34</formula>
    </cfRule>
    <cfRule type="expression" dxfId="189" priority="9">
      <formula>E30=E34</formula>
    </cfRule>
    <cfRule type="expression" dxfId="188" priority="10">
      <formula>E34&lt;&gt;E30</formula>
    </cfRule>
  </conditionalFormatting>
  <conditionalFormatting sqref="E45:AG52">
    <cfRule type="containsBlanks" dxfId="187" priority="12">
      <formula>LEN(TRIM(E45))=0</formula>
    </cfRule>
  </conditionalFormatting>
  <conditionalFormatting sqref="E55:AG62">
    <cfRule type="containsBlanks" dxfId="186" priority="13">
      <formula>LEN(TRIM(E55))=0</formula>
    </cfRule>
  </conditionalFormatting>
  <conditionalFormatting sqref="E65:AG72">
    <cfRule type="containsBlanks" dxfId="185" priority="14">
      <formula>LEN(TRIM(E65))=0</formula>
    </cfRule>
  </conditionalFormatting>
  <conditionalFormatting sqref="E75:AG82">
    <cfRule type="containsBlanks" dxfId="184" priority="15">
      <formula>LEN(TRIM(E75))=0</formula>
    </cfRule>
  </conditionalFormatting>
  <conditionalFormatting sqref="E85:AG92">
    <cfRule type="containsBlanks" dxfId="183" priority="16">
      <formula>LEN(TRIM(E85))=0</formula>
    </cfRule>
  </conditionalFormatting>
  <conditionalFormatting sqref="E95:AG96">
    <cfRule type="containsBlanks" dxfId="182" priority="17">
      <formula>LEN(TRIM(E95))=0</formula>
    </cfRule>
  </conditionalFormatting>
  <conditionalFormatting sqref="E99:AG100">
    <cfRule type="containsBlanks" dxfId="181" priority="18">
      <formula>LEN(TRIM(E99))=0</formula>
    </cfRule>
  </conditionalFormatting>
  <conditionalFormatting sqref="E103:AG110">
    <cfRule type="containsBlanks" dxfId="180" priority="19">
      <formula>LEN(TRIM(E103))=0</formula>
    </cfRule>
  </conditionalFormatting>
  <conditionalFormatting sqref="E113:AG114">
    <cfRule type="containsBlanks" dxfId="179" priority="20">
      <formula>LEN(TRIM(E113))=0</formula>
    </cfRule>
  </conditionalFormatting>
  <conditionalFormatting sqref="E117:AG124">
    <cfRule type="containsBlanks" dxfId="178" priority="21">
      <formula>LEN(TRIM(E117))=0</formula>
    </cfRule>
  </conditionalFormatting>
  <conditionalFormatting sqref="E127:AG128">
    <cfRule type="containsBlanks" dxfId="177" priority="22">
      <formula>LEN(TRIM(E127))=0</formula>
    </cfRule>
  </conditionalFormatting>
  <conditionalFormatting sqref="E131:AG135">
    <cfRule type="containsBlanks" dxfId="176" priority="23">
      <formula>LEN(TRIM(E131))=0</formula>
    </cfRule>
  </conditionalFormatting>
  <conditionalFormatting sqref="E138:AG145">
    <cfRule type="containsBlanks" dxfId="175" priority="24">
      <formula>LEN(TRIM(E138))=0</formula>
    </cfRule>
  </conditionalFormatting>
  <conditionalFormatting sqref="E148:AG155">
    <cfRule type="containsBlanks" dxfId="174" priority="25">
      <formula>LEN(TRIM(E148))=0</formula>
    </cfRule>
  </conditionalFormatting>
  <conditionalFormatting sqref="E158:AG160">
    <cfRule type="containsBlanks" dxfId="173" priority="26">
      <formula>LEN(TRIM(E158))=0</formula>
    </cfRule>
  </conditionalFormatting>
  <conditionalFormatting sqref="E163:AG164">
    <cfRule type="containsBlanks" dxfId="172" priority="27">
      <formula>LEN(TRIM(E163))=0</formula>
    </cfRule>
  </conditionalFormatting>
  <conditionalFormatting sqref="E167:AG174">
    <cfRule type="containsBlanks" dxfId="171" priority="28">
      <formula>LEN(TRIM(E167))=0</formula>
    </cfRule>
  </conditionalFormatting>
  <conditionalFormatting sqref="E177:AG180">
    <cfRule type="containsBlanks" dxfId="170" priority="29">
      <formula>LEN(TRIM(E177))=0</formula>
    </cfRule>
  </conditionalFormatting>
  <conditionalFormatting sqref="E185:AG185">
    <cfRule type="containsBlanks" dxfId="169" priority="30">
      <formula>LEN(TRIM(E185))=0</formula>
    </cfRule>
  </conditionalFormatting>
  <conditionalFormatting sqref="E186:AG186">
    <cfRule type="expression" dxfId="168" priority="33">
      <formula>#REF!=E186</formula>
    </cfRule>
    <cfRule type="expression" dxfId="167" priority="31">
      <formula>E186&lt;&gt;#REF!</formula>
    </cfRule>
    <cfRule type="expression" dxfId="166" priority="32">
      <formula>#REF!&lt;&gt;E186</formula>
    </cfRule>
  </conditionalFormatting>
  <conditionalFormatting sqref="E184:AH184">
    <cfRule type="containsBlanks" dxfId="165" priority="1">
      <formula>LEN(TRIM(E184))=0</formula>
    </cfRule>
  </conditionalFormatting>
  <conditionalFormatting sqref="U34:AG34">
    <cfRule type="expression" dxfId="164" priority="11">
      <formula>U34&lt;&gt;U47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B922"/>
  <sheetViews>
    <sheetView tabSelected="1" topLeftCell="G181" workbookViewId="0">
      <selection activeCell="Z185" sqref="Z185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25" width="8.69921875" customWidth="1"/>
    <col min="26" max="26" width="13.296875" customWidth="1"/>
    <col min="27" max="28" width="8.69921875" customWidth="1"/>
  </cols>
  <sheetData>
    <row r="1" spans="1:26" ht="12.75" customHeight="1" x14ac:dyDescent="0.3"/>
    <row r="2" spans="1:26" ht="12.75" customHeight="1" x14ac:dyDescent="0.3">
      <c r="C2" s="8" t="s">
        <v>0</v>
      </c>
      <c r="D2" s="8" t="s">
        <v>1</v>
      </c>
    </row>
    <row r="3" spans="1:26" ht="12.75" customHeight="1" x14ac:dyDescent="0.3">
      <c r="C3" s="8" t="s">
        <v>2</v>
      </c>
      <c r="D3" s="8" t="s">
        <v>3</v>
      </c>
    </row>
    <row r="4" spans="1:26" ht="12.75" customHeight="1" x14ac:dyDescent="0.3">
      <c r="C4" s="8" t="s">
        <v>4</v>
      </c>
      <c r="D4" s="8" t="s">
        <v>5</v>
      </c>
    </row>
    <row r="5" spans="1:26" ht="12.75" customHeight="1" x14ac:dyDescent="0.3">
      <c r="C5" s="8"/>
      <c r="D5" s="8"/>
    </row>
    <row r="6" spans="1:26" ht="12.75" customHeight="1" x14ac:dyDescent="0.3">
      <c r="C6" s="8"/>
      <c r="D6" s="8"/>
    </row>
    <row r="7" spans="1:26" ht="12.75" customHeight="1" x14ac:dyDescent="0.3">
      <c r="C7" s="8"/>
      <c r="D7" s="8"/>
    </row>
    <row r="8" spans="1:26" ht="12.75" customHeight="1" x14ac:dyDescent="0.3">
      <c r="C8" s="8"/>
      <c r="D8" s="8"/>
    </row>
    <row r="9" spans="1:26" ht="12.75" customHeight="1" x14ac:dyDescent="0.3">
      <c r="C9" s="8" t="s">
        <v>163</v>
      </c>
      <c r="D9" s="8" t="s">
        <v>194</v>
      </c>
    </row>
    <row r="10" spans="1:26" ht="12.75" customHeight="1" x14ac:dyDescent="0.3"/>
    <row r="11" spans="1:26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6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75" t="s">
        <v>8</v>
      </c>
    </row>
    <row r="13" spans="1:26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65"/>
    </row>
    <row r="14" spans="1:26" ht="12.75" customHeight="1" x14ac:dyDescent="0.3">
      <c r="A14" s="14"/>
      <c r="B14" s="57" t="s">
        <v>11</v>
      </c>
      <c r="C14" s="58"/>
      <c r="D14" s="15" t="s">
        <v>12</v>
      </c>
      <c r="E14" s="15">
        <v>140</v>
      </c>
      <c r="F14" s="15">
        <v>148</v>
      </c>
      <c r="G14" s="15">
        <v>109</v>
      </c>
      <c r="H14" s="15">
        <v>139</v>
      </c>
      <c r="I14" s="15">
        <v>147</v>
      </c>
      <c r="J14" s="15">
        <v>152</v>
      </c>
      <c r="K14" s="15">
        <v>104</v>
      </c>
      <c r="L14" s="15">
        <v>135</v>
      </c>
      <c r="M14" s="15">
        <v>146</v>
      </c>
      <c r="N14" s="15">
        <v>145</v>
      </c>
      <c r="O14" s="15">
        <v>142</v>
      </c>
      <c r="P14" s="15">
        <v>146</v>
      </c>
      <c r="Q14" s="15">
        <v>154</v>
      </c>
      <c r="R14" s="15">
        <v>141</v>
      </c>
      <c r="S14" s="15">
        <v>145</v>
      </c>
      <c r="T14" s="15">
        <v>97</v>
      </c>
      <c r="U14" s="15">
        <v>136</v>
      </c>
      <c r="V14" s="15">
        <v>144</v>
      </c>
      <c r="W14" s="15">
        <v>136</v>
      </c>
      <c r="X14" s="15">
        <v>134</v>
      </c>
      <c r="Y14" s="15">
        <v>135</v>
      </c>
      <c r="Z14" s="13">
        <f t="shared" ref="Z14:Z16" si="0">SUM(E14:Y14)</f>
        <v>2875</v>
      </c>
    </row>
    <row r="15" spans="1:26" ht="12.75" customHeight="1" x14ac:dyDescent="0.3">
      <c r="A15" s="14"/>
      <c r="B15" s="59"/>
      <c r="C15" s="60"/>
      <c r="D15" s="15" t="s">
        <v>13</v>
      </c>
      <c r="E15" s="15">
        <v>133</v>
      </c>
      <c r="F15" s="15">
        <v>125</v>
      </c>
      <c r="G15" s="15">
        <v>118</v>
      </c>
      <c r="H15" s="15">
        <v>152</v>
      </c>
      <c r="I15" s="15">
        <v>139</v>
      </c>
      <c r="J15" s="15">
        <v>142</v>
      </c>
      <c r="K15" s="15">
        <v>104</v>
      </c>
      <c r="L15" s="15">
        <v>141</v>
      </c>
      <c r="M15" s="15">
        <v>134</v>
      </c>
      <c r="N15" s="15">
        <v>132</v>
      </c>
      <c r="O15" s="15">
        <v>132</v>
      </c>
      <c r="P15" s="15">
        <v>137</v>
      </c>
      <c r="Q15" s="15">
        <v>135</v>
      </c>
      <c r="R15" s="15">
        <v>140</v>
      </c>
      <c r="S15" s="15">
        <v>143</v>
      </c>
      <c r="T15" s="15">
        <v>100</v>
      </c>
      <c r="U15" s="15">
        <v>143</v>
      </c>
      <c r="V15" s="15">
        <v>131</v>
      </c>
      <c r="W15" s="15">
        <v>123</v>
      </c>
      <c r="X15" s="15">
        <v>148</v>
      </c>
      <c r="Y15" s="15">
        <v>149</v>
      </c>
      <c r="Z15" s="13">
        <f t="shared" si="0"/>
        <v>2801</v>
      </c>
    </row>
    <row r="16" spans="1:26" ht="12.75" customHeight="1" x14ac:dyDescent="0.3">
      <c r="A16" s="17"/>
      <c r="B16" s="55"/>
      <c r="C16" s="61"/>
      <c r="D16" s="13" t="s">
        <v>14</v>
      </c>
      <c r="E16" s="13">
        <f t="shared" ref="E16:Y16" si="1">SUM(E14:E15)</f>
        <v>273</v>
      </c>
      <c r="F16" s="13">
        <f t="shared" si="1"/>
        <v>273</v>
      </c>
      <c r="G16" s="13">
        <f t="shared" si="1"/>
        <v>227</v>
      </c>
      <c r="H16" s="13">
        <f t="shared" si="1"/>
        <v>291</v>
      </c>
      <c r="I16" s="13">
        <f t="shared" si="1"/>
        <v>286</v>
      </c>
      <c r="J16" s="13">
        <f t="shared" si="1"/>
        <v>294</v>
      </c>
      <c r="K16" s="13">
        <f t="shared" si="1"/>
        <v>208</v>
      </c>
      <c r="L16" s="13">
        <f t="shared" si="1"/>
        <v>276</v>
      </c>
      <c r="M16" s="13">
        <f t="shared" si="1"/>
        <v>280</v>
      </c>
      <c r="N16" s="13">
        <f t="shared" si="1"/>
        <v>277</v>
      </c>
      <c r="O16" s="13">
        <f t="shared" si="1"/>
        <v>274</v>
      </c>
      <c r="P16" s="13">
        <f t="shared" si="1"/>
        <v>283</v>
      </c>
      <c r="Q16" s="13">
        <f t="shared" si="1"/>
        <v>289</v>
      </c>
      <c r="R16" s="13">
        <f t="shared" si="1"/>
        <v>281</v>
      </c>
      <c r="S16" s="13">
        <f t="shared" si="1"/>
        <v>288</v>
      </c>
      <c r="T16" s="13">
        <f t="shared" si="1"/>
        <v>197</v>
      </c>
      <c r="U16" s="13">
        <f t="shared" si="1"/>
        <v>279</v>
      </c>
      <c r="V16" s="13">
        <f t="shared" si="1"/>
        <v>275</v>
      </c>
      <c r="W16" s="13">
        <f t="shared" si="1"/>
        <v>259</v>
      </c>
      <c r="X16" s="13">
        <f t="shared" si="1"/>
        <v>282</v>
      </c>
      <c r="Y16" s="13">
        <f t="shared" si="1"/>
        <v>284</v>
      </c>
      <c r="Z16" s="13">
        <f t="shared" si="0"/>
        <v>5676</v>
      </c>
    </row>
    <row r="17" spans="1:26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6"/>
    </row>
    <row r="18" spans="1:26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6"/>
    </row>
    <row r="19" spans="1:26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98</v>
      </c>
      <c r="F19" s="15">
        <v>103</v>
      </c>
      <c r="G19" s="15">
        <v>75</v>
      </c>
      <c r="H19" s="15">
        <v>123</v>
      </c>
      <c r="I19" s="15">
        <v>98</v>
      </c>
      <c r="J19" s="15">
        <v>116</v>
      </c>
      <c r="K19" s="15">
        <v>70</v>
      </c>
      <c r="L19" s="15">
        <v>99</v>
      </c>
      <c r="M19" s="15">
        <v>97</v>
      </c>
      <c r="N19" s="15">
        <v>106</v>
      </c>
      <c r="O19" s="15">
        <v>101</v>
      </c>
      <c r="P19" s="15">
        <v>108</v>
      </c>
      <c r="Q19" s="15">
        <v>107</v>
      </c>
      <c r="R19" s="15">
        <v>108</v>
      </c>
      <c r="S19" s="15">
        <v>106</v>
      </c>
      <c r="T19" s="15">
        <v>68</v>
      </c>
      <c r="U19" s="15">
        <v>97</v>
      </c>
      <c r="V19" s="15">
        <v>101</v>
      </c>
      <c r="W19" s="15">
        <v>94</v>
      </c>
      <c r="X19" s="15">
        <v>91</v>
      </c>
      <c r="Y19" s="15">
        <v>97</v>
      </c>
      <c r="Z19" s="13">
        <f t="shared" ref="Z19:Z30" si="2">SUM(E19:Y19)</f>
        <v>2063</v>
      </c>
    </row>
    <row r="20" spans="1:26" ht="12.75" customHeight="1" x14ac:dyDescent="0.3">
      <c r="A20" s="20"/>
      <c r="B20" s="60"/>
      <c r="C20" s="64"/>
      <c r="D20" s="15" t="s">
        <v>13</v>
      </c>
      <c r="E20" s="15">
        <v>102</v>
      </c>
      <c r="F20" s="15">
        <v>79</v>
      </c>
      <c r="G20" s="15">
        <v>82</v>
      </c>
      <c r="H20" s="15">
        <v>108</v>
      </c>
      <c r="I20" s="15">
        <v>102</v>
      </c>
      <c r="J20" s="15">
        <v>109</v>
      </c>
      <c r="K20" s="15">
        <v>78</v>
      </c>
      <c r="L20" s="15">
        <v>107</v>
      </c>
      <c r="M20" s="15">
        <v>103</v>
      </c>
      <c r="N20" s="15">
        <v>88</v>
      </c>
      <c r="O20" s="15">
        <v>108</v>
      </c>
      <c r="P20" s="15">
        <v>120</v>
      </c>
      <c r="Q20" s="15">
        <v>102</v>
      </c>
      <c r="R20" s="15">
        <v>109</v>
      </c>
      <c r="S20" s="15">
        <v>115</v>
      </c>
      <c r="T20" s="15">
        <v>71</v>
      </c>
      <c r="U20" s="15">
        <v>101</v>
      </c>
      <c r="V20" s="15">
        <v>96</v>
      </c>
      <c r="W20" s="15">
        <v>102</v>
      </c>
      <c r="X20" s="15">
        <v>110</v>
      </c>
      <c r="Y20" s="15">
        <v>106</v>
      </c>
      <c r="Z20" s="13">
        <f t="shared" si="2"/>
        <v>2098</v>
      </c>
    </row>
    <row r="21" spans="1:26" ht="12.75" customHeight="1" x14ac:dyDescent="0.3">
      <c r="A21" s="21"/>
      <c r="B21" s="61"/>
      <c r="C21" s="65"/>
      <c r="D21" s="13" t="s">
        <v>14</v>
      </c>
      <c r="E21" s="13">
        <f t="shared" ref="E21:Y21" si="3">SUM(E19:E20)</f>
        <v>200</v>
      </c>
      <c r="F21" s="13">
        <f t="shared" si="3"/>
        <v>182</v>
      </c>
      <c r="G21" s="13">
        <f t="shared" si="3"/>
        <v>157</v>
      </c>
      <c r="H21" s="13">
        <f t="shared" si="3"/>
        <v>231</v>
      </c>
      <c r="I21" s="13">
        <f t="shared" si="3"/>
        <v>200</v>
      </c>
      <c r="J21" s="13">
        <f t="shared" si="3"/>
        <v>225</v>
      </c>
      <c r="K21" s="13">
        <f t="shared" si="3"/>
        <v>148</v>
      </c>
      <c r="L21" s="13">
        <f t="shared" si="3"/>
        <v>206</v>
      </c>
      <c r="M21" s="13">
        <f t="shared" si="3"/>
        <v>200</v>
      </c>
      <c r="N21" s="13">
        <f t="shared" si="3"/>
        <v>194</v>
      </c>
      <c r="O21" s="13">
        <f t="shared" si="3"/>
        <v>209</v>
      </c>
      <c r="P21" s="13">
        <f t="shared" si="3"/>
        <v>228</v>
      </c>
      <c r="Q21" s="13">
        <f t="shared" si="3"/>
        <v>209</v>
      </c>
      <c r="R21" s="13">
        <f t="shared" si="3"/>
        <v>217</v>
      </c>
      <c r="S21" s="13">
        <f t="shared" si="3"/>
        <v>221</v>
      </c>
      <c r="T21" s="13">
        <f t="shared" si="3"/>
        <v>139</v>
      </c>
      <c r="U21" s="13">
        <f t="shared" si="3"/>
        <v>198</v>
      </c>
      <c r="V21" s="13">
        <f t="shared" si="3"/>
        <v>197</v>
      </c>
      <c r="W21" s="13">
        <f t="shared" si="3"/>
        <v>196</v>
      </c>
      <c r="X21" s="13">
        <f t="shared" si="3"/>
        <v>201</v>
      </c>
      <c r="Y21" s="13">
        <f t="shared" si="3"/>
        <v>203</v>
      </c>
      <c r="Z21" s="13">
        <f t="shared" si="2"/>
        <v>4161</v>
      </c>
    </row>
    <row r="22" spans="1:26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1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/>
      <c r="U22" s="15"/>
      <c r="V22" s="15"/>
      <c r="W22" s="15"/>
      <c r="X22" s="15"/>
      <c r="Y22" s="15"/>
      <c r="Z22" s="13">
        <f t="shared" si="2"/>
        <v>1</v>
      </c>
    </row>
    <row r="23" spans="1:26" ht="12.75" customHeight="1" x14ac:dyDescent="0.3">
      <c r="A23" s="20"/>
      <c r="B23" s="60"/>
      <c r="C23" s="64"/>
      <c r="D23" s="15" t="s">
        <v>13</v>
      </c>
      <c r="E23" s="15">
        <v>0</v>
      </c>
      <c r="F23" s="15">
        <v>0</v>
      </c>
      <c r="G23" s="15">
        <v>0</v>
      </c>
      <c r="H23" s="15">
        <v>0</v>
      </c>
      <c r="I23" s="15">
        <v>1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/>
      <c r="U23" s="15"/>
      <c r="V23" s="15"/>
      <c r="W23" s="15"/>
      <c r="X23" s="15"/>
      <c r="Y23" s="15"/>
      <c r="Z23" s="13">
        <f t="shared" si="2"/>
        <v>1</v>
      </c>
    </row>
    <row r="24" spans="1:26" ht="12.75" customHeight="1" x14ac:dyDescent="0.3">
      <c r="A24" s="21"/>
      <c r="B24" s="61"/>
      <c r="C24" s="65"/>
      <c r="D24" s="13" t="s">
        <v>14</v>
      </c>
      <c r="E24" s="13">
        <f t="shared" ref="E24:Y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1</v>
      </c>
      <c r="J24" s="13">
        <f t="shared" si="4"/>
        <v>0</v>
      </c>
      <c r="K24" s="13">
        <f t="shared" si="4"/>
        <v>1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2"/>
        <v>2</v>
      </c>
    </row>
    <row r="25" spans="1:26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0</v>
      </c>
      <c r="F25" s="15">
        <v>0</v>
      </c>
      <c r="G25" s="15">
        <v>1</v>
      </c>
      <c r="H25" s="15">
        <v>0</v>
      </c>
      <c r="I25" s="15">
        <v>1</v>
      </c>
      <c r="J25" s="15">
        <v>1</v>
      </c>
      <c r="K25" s="15">
        <v>0</v>
      </c>
      <c r="L25" s="15">
        <v>0</v>
      </c>
      <c r="M25" s="15">
        <v>0</v>
      </c>
      <c r="N25" s="15">
        <v>0</v>
      </c>
      <c r="O25" s="15">
        <v>1</v>
      </c>
      <c r="P25" s="15">
        <v>0</v>
      </c>
      <c r="Q25" s="15">
        <v>0</v>
      </c>
      <c r="R25" s="15">
        <v>2</v>
      </c>
      <c r="S25" s="15">
        <v>1</v>
      </c>
      <c r="T25" s="15">
        <v>0</v>
      </c>
      <c r="U25" s="15">
        <v>3</v>
      </c>
      <c r="V25" s="15">
        <v>0</v>
      </c>
      <c r="W25" s="15">
        <v>1</v>
      </c>
      <c r="X25" s="15">
        <v>3</v>
      </c>
      <c r="Y25" s="15">
        <v>0</v>
      </c>
      <c r="Z25" s="13">
        <f t="shared" si="2"/>
        <v>14</v>
      </c>
    </row>
    <row r="26" spans="1:26" ht="12.75" customHeight="1" x14ac:dyDescent="0.3">
      <c r="A26" s="20"/>
      <c r="B26" s="60"/>
      <c r="C26" s="64"/>
      <c r="D26" s="15" t="s">
        <v>13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3</v>
      </c>
      <c r="K26" s="15">
        <v>1</v>
      </c>
      <c r="L26" s="15">
        <v>0</v>
      </c>
      <c r="M26" s="15">
        <v>0</v>
      </c>
      <c r="N26" s="15">
        <v>1</v>
      </c>
      <c r="O26" s="15">
        <v>0</v>
      </c>
      <c r="P26" s="15">
        <v>0</v>
      </c>
      <c r="Q26" s="15">
        <v>0</v>
      </c>
      <c r="R26" s="15">
        <v>2</v>
      </c>
      <c r="S26" s="15">
        <v>1</v>
      </c>
      <c r="T26" s="15">
        <v>0</v>
      </c>
      <c r="U26" s="15">
        <v>1</v>
      </c>
      <c r="V26" s="15">
        <v>0</v>
      </c>
      <c r="W26" s="15">
        <v>0</v>
      </c>
      <c r="X26" s="15">
        <v>1</v>
      </c>
      <c r="Y26" s="15">
        <v>0</v>
      </c>
      <c r="Z26" s="13">
        <f t="shared" si="2"/>
        <v>10</v>
      </c>
    </row>
    <row r="27" spans="1:26" ht="12.75" customHeight="1" x14ac:dyDescent="0.3">
      <c r="A27" s="21"/>
      <c r="B27" s="61"/>
      <c r="C27" s="65"/>
      <c r="D27" s="13" t="s">
        <v>14</v>
      </c>
      <c r="E27" s="13">
        <f t="shared" ref="E27:Y27" si="5">SUM(E25:E26)</f>
        <v>0</v>
      </c>
      <c r="F27" s="13">
        <f t="shared" si="5"/>
        <v>0</v>
      </c>
      <c r="G27" s="13">
        <f t="shared" si="5"/>
        <v>1</v>
      </c>
      <c r="H27" s="13">
        <f t="shared" si="5"/>
        <v>0</v>
      </c>
      <c r="I27" s="13">
        <f t="shared" si="5"/>
        <v>1</v>
      </c>
      <c r="J27" s="13">
        <f t="shared" si="5"/>
        <v>4</v>
      </c>
      <c r="K27" s="13">
        <f t="shared" si="5"/>
        <v>1</v>
      </c>
      <c r="L27" s="13">
        <f t="shared" si="5"/>
        <v>0</v>
      </c>
      <c r="M27" s="13">
        <f t="shared" si="5"/>
        <v>0</v>
      </c>
      <c r="N27" s="13">
        <f t="shared" si="5"/>
        <v>1</v>
      </c>
      <c r="O27" s="13">
        <f t="shared" si="5"/>
        <v>1</v>
      </c>
      <c r="P27" s="13">
        <f t="shared" si="5"/>
        <v>0</v>
      </c>
      <c r="Q27" s="13">
        <f t="shared" si="5"/>
        <v>0</v>
      </c>
      <c r="R27" s="13">
        <f t="shared" si="5"/>
        <v>4</v>
      </c>
      <c r="S27" s="13">
        <f t="shared" si="5"/>
        <v>2</v>
      </c>
      <c r="T27" s="13">
        <f t="shared" si="5"/>
        <v>0</v>
      </c>
      <c r="U27" s="13">
        <f t="shared" si="5"/>
        <v>4</v>
      </c>
      <c r="V27" s="13">
        <f t="shared" si="5"/>
        <v>0</v>
      </c>
      <c r="W27" s="13">
        <f t="shared" si="5"/>
        <v>1</v>
      </c>
      <c r="X27" s="13">
        <f t="shared" si="5"/>
        <v>4</v>
      </c>
      <c r="Y27" s="13">
        <f t="shared" si="5"/>
        <v>0</v>
      </c>
      <c r="Z27" s="13">
        <f t="shared" si="2"/>
        <v>24</v>
      </c>
    </row>
    <row r="28" spans="1:26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Y28" si="6">SUM(E19,E22,E25)</f>
        <v>98</v>
      </c>
      <c r="F28" s="13">
        <f t="shared" si="6"/>
        <v>103</v>
      </c>
      <c r="G28" s="13">
        <f t="shared" si="6"/>
        <v>76</v>
      </c>
      <c r="H28" s="13">
        <f t="shared" si="6"/>
        <v>123</v>
      </c>
      <c r="I28" s="13">
        <f t="shared" si="6"/>
        <v>99</v>
      </c>
      <c r="J28" s="13">
        <f t="shared" si="6"/>
        <v>117</v>
      </c>
      <c r="K28" s="13">
        <f t="shared" si="6"/>
        <v>71</v>
      </c>
      <c r="L28" s="13">
        <f t="shared" si="6"/>
        <v>99</v>
      </c>
      <c r="M28" s="13">
        <f t="shared" si="6"/>
        <v>97</v>
      </c>
      <c r="N28" s="13">
        <f t="shared" si="6"/>
        <v>106</v>
      </c>
      <c r="O28" s="13">
        <f t="shared" si="6"/>
        <v>102</v>
      </c>
      <c r="P28" s="13">
        <f t="shared" si="6"/>
        <v>108</v>
      </c>
      <c r="Q28" s="13">
        <f t="shared" si="6"/>
        <v>107</v>
      </c>
      <c r="R28" s="13">
        <f t="shared" si="6"/>
        <v>110</v>
      </c>
      <c r="S28" s="13">
        <f t="shared" si="6"/>
        <v>107</v>
      </c>
      <c r="T28" s="13">
        <f t="shared" si="6"/>
        <v>68</v>
      </c>
      <c r="U28" s="13">
        <f t="shared" si="6"/>
        <v>100</v>
      </c>
      <c r="V28" s="13">
        <f t="shared" si="6"/>
        <v>101</v>
      </c>
      <c r="W28" s="13">
        <f t="shared" si="6"/>
        <v>95</v>
      </c>
      <c r="X28" s="13">
        <f t="shared" si="6"/>
        <v>94</v>
      </c>
      <c r="Y28" s="13">
        <f t="shared" si="6"/>
        <v>97</v>
      </c>
      <c r="Z28" s="13">
        <f t="shared" si="2"/>
        <v>2078</v>
      </c>
    </row>
    <row r="29" spans="1:26" ht="12.75" customHeight="1" x14ac:dyDescent="0.3">
      <c r="A29" s="21"/>
      <c r="B29" s="60"/>
      <c r="C29" s="64"/>
      <c r="D29" s="13" t="s">
        <v>13</v>
      </c>
      <c r="E29" s="13">
        <f t="shared" ref="E29:Y29" si="7">SUM(E20,E23,E26)</f>
        <v>102</v>
      </c>
      <c r="F29" s="13">
        <f t="shared" si="7"/>
        <v>79</v>
      </c>
      <c r="G29" s="13">
        <f t="shared" si="7"/>
        <v>82</v>
      </c>
      <c r="H29" s="13">
        <f t="shared" si="7"/>
        <v>108</v>
      </c>
      <c r="I29" s="13">
        <f t="shared" si="7"/>
        <v>103</v>
      </c>
      <c r="J29" s="13">
        <f t="shared" si="7"/>
        <v>112</v>
      </c>
      <c r="K29" s="13">
        <f t="shared" si="7"/>
        <v>79</v>
      </c>
      <c r="L29" s="13">
        <f t="shared" si="7"/>
        <v>107</v>
      </c>
      <c r="M29" s="13">
        <f t="shared" si="7"/>
        <v>103</v>
      </c>
      <c r="N29" s="13">
        <f t="shared" si="7"/>
        <v>89</v>
      </c>
      <c r="O29" s="13">
        <f t="shared" si="7"/>
        <v>108</v>
      </c>
      <c r="P29" s="13">
        <f t="shared" si="7"/>
        <v>120</v>
      </c>
      <c r="Q29" s="13">
        <f t="shared" si="7"/>
        <v>102</v>
      </c>
      <c r="R29" s="13">
        <f t="shared" si="7"/>
        <v>111</v>
      </c>
      <c r="S29" s="13">
        <f t="shared" si="7"/>
        <v>116</v>
      </c>
      <c r="T29" s="13">
        <f t="shared" si="7"/>
        <v>71</v>
      </c>
      <c r="U29" s="13">
        <f t="shared" si="7"/>
        <v>102</v>
      </c>
      <c r="V29" s="13">
        <f t="shared" si="7"/>
        <v>96</v>
      </c>
      <c r="W29" s="13">
        <f t="shared" si="7"/>
        <v>102</v>
      </c>
      <c r="X29" s="13">
        <f t="shared" si="7"/>
        <v>111</v>
      </c>
      <c r="Y29" s="13">
        <f t="shared" si="7"/>
        <v>106</v>
      </c>
      <c r="Z29" s="13">
        <f t="shared" si="2"/>
        <v>2109</v>
      </c>
    </row>
    <row r="30" spans="1:26" ht="12.75" customHeight="1" x14ac:dyDescent="0.3">
      <c r="A30" s="21"/>
      <c r="B30" s="61"/>
      <c r="C30" s="65"/>
      <c r="D30" s="13" t="s">
        <v>14</v>
      </c>
      <c r="E30" s="13">
        <f t="shared" ref="E30:Y30" si="8">SUM(E28:E29)</f>
        <v>200</v>
      </c>
      <c r="F30" s="13">
        <f t="shared" si="8"/>
        <v>182</v>
      </c>
      <c r="G30" s="13">
        <f t="shared" si="8"/>
        <v>158</v>
      </c>
      <c r="H30" s="13">
        <f t="shared" si="8"/>
        <v>231</v>
      </c>
      <c r="I30" s="13">
        <f t="shared" si="8"/>
        <v>202</v>
      </c>
      <c r="J30" s="13">
        <f t="shared" si="8"/>
        <v>229</v>
      </c>
      <c r="K30" s="13">
        <f t="shared" si="8"/>
        <v>150</v>
      </c>
      <c r="L30" s="13">
        <f t="shared" si="8"/>
        <v>206</v>
      </c>
      <c r="M30" s="13">
        <f t="shared" si="8"/>
        <v>200</v>
      </c>
      <c r="N30" s="13">
        <f t="shared" si="8"/>
        <v>195</v>
      </c>
      <c r="O30" s="13">
        <f t="shared" si="8"/>
        <v>210</v>
      </c>
      <c r="P30" s="13">
        <f t="shared" si="8"/>
        <v>228</v>
      </c>
      <c r="Q30" s="13">
        <f t="shared" si="8"/>
        <v>209</v>
      </c>
      <c r="R30" s="13">
        <f t="shared" si="8"/>
        <v>221</v>
      </c>
      <c r="S30" s="13">
        <f t="shared" si="8"/>
        <v>223</v>
      </c>
      <c r="T30" s="13">
        <f t="shared" si="8"/>
        <v>139</v>
      </c>
      <c r="U30" s="13">
        <f t="shared" si="8"/>
        <v>202</v>
      </c>
      <c r="V30" s="13">
        <f t="shared" si="8"/>
        <v>197</v>
      </c>
      <c r="W30" s="13">
        <f t="shared" si="8"/>
        <v>197</v>
      </c>
      <c r="X30" s="13">
        <f t="shared" si="8"/>
        <v>205</v>
      </c>
      <c r="Y30" s="13">
        <f t="shared" si="8"/>
        <v>203</v>
      </c>
      <c r="Z30" s="13">
        <f t="shared" si="2"/>
        <v>4187</v>
      </c>
    </row>
    <row r="31" spans="1:26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6"/>
    </row>
    <row r="32" spans="1:26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6"/>
    </row>
    <row r="33" spans="1:26" ht="12.75" customHeight="1" x14ac:dyDescent="0.3">
      <c r="A33" s="15">
        <v>1</v>
      </c>
      <c r="B33" s="56" t="s">
        <v>27</v>
      </c>
      <c r="C33" s="49"/>
      <c r="D33" s="50"/>
      <c r="E33" s="15">
        <v>279</v>
      </c>
      <c r="F33" s="15">
        <v>279</v>
      </c>
      <c r="G33" s="15">
        <v>232</v>
      </c>
      <c r="H33" s="15">
        <v>297</v>
      </c>
      <c r="I33" s="15">
        <v>292</v>
      </c>
      <c r="J33" s="15">
        <v>300</v>
      </c>
      <c r="K33" s="15">
        <v>213</v>
      </c>
      <c r="L33" s="15">
        <v>282</v>
      </c>
      <c r="M33" s="15">
        <v>286</v>
      </c>
      <c r="N33" s="15">
        <v>283</v>
      </c>
      <c r="O33" s="15">
        <v>279</v>
      </c>
      <c r="P33" s="15">
        <v>289</v>
      </c>
      <c r="Q33" s="15">
        <v>305</v>
      </c>
      <c r="R33" s="15">
        <v>287</v>
      </c>
      <c r="S33" s="15">
        <v>294</v>
      </c>
      <c r="T33" s="15">
        <v>201</v>
      </c>
      <c r="U33" s="15">
        <v>285</v>
      </c>
      <c r="V33" s="15">
        <v>280</v>
      </c>
      <c r="W33" s="15">
        <v>265</v>
      </c>
      <c r="X33" s="15">
        <v>288</v>
      </c>
      <c r="Y33" s="15">
        <v>290</v>
      </c>
      <c r="Z33" s="13">
        <f t="shared" ref="Z33:Z36" si="9">SUM(E33:Y33)</f>
        <v>5806</v>
      </c>
    </row>
    <row r="34" spans="1:26" ht="12.75" customHeight="1" x14ac:dyDescent="0.3">
      <c r="A34" s="15">
        <v>2</v>
      </c>
      <c r="B34" s="56" t="s">
        <v>28</v>
      </c>
      <c r="C34" s="49"/>
      <c r="D34" s="50"/>
      <c r="E34" s="13">
        <v>200</v>
      </c>
      <c r="F34" s="13">
        <v>182</v>
      </c>
      <c r="G34" s="13">
        <v>158</v>
      </c>
      <c r="H34" s="13">
        <v>231</v>
      </c>
      <c r="I34" s="13">
        <v>202</v>
      </c>
      <c r="J34" s="13">
        <v>229</v>
      </c>
      <c r="K34" s="13">
        <v>150</v>
      </c>
      <c r="L34" s="13">
        <v>206</v>
      </c>
      <c r="M34" s="13">
        <v>200</v>
      </c>
      <c r="N34" s="13">
        <v>195</v>
      </c>
      <c r="O34" s="13">
        <v>210</v>
      </c>
      <c r="P34" s="13">
        <v>228</v>
      </c>
      <c r="Q34" s="13">
        <v>209</v>
      </c>
      <c r="R34" s="13">
        <v>221</v>
      </c>
      <c r="S34" s="13">
        <v>223</v>
      </c>
      <c r="T34" s="13">
        <v>139</v>
      </c>
      <c r="U34" s="13">
        <v>202</v>
      </c>
      <c r="V34" s="13">
        <v>197</v>
      </c>
      <c r="W34" s="13">
        <v>197</v>
      </c>
      <c r="X34" s="13">
        <v>205</v>
      </c>
      <c r="Y34" s="13">
        <v>203</v>
      </c>
      <c r="Z34" s="13">
        <f t="shared" si="9"/>
        <v>4187</v>
      </c>
    </row>
    <row r="35" spans="1:26" ht="12.75" customHeight="1" x14ac:dyDescent="0.3">
      <c r="A35" s="15">
        <v>3</v>
      </c>
      <c r="B35" s="56" t="s">
        <v>29</v>
      </c>
      <c r="C35" s="49"/>
      <c r="D35" s="50"/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1</v>
      </c>
      <c r="P35" s="15">
        <v>0</v>
      </c>
      <c r="Q35" s="15">
        <v>0</v>
      </c>
      <c r="R35" s="15">
        <v>0</v>
      </c>
      <c r="S35" s="15">
        <v>1</v>
      </c>
      <c r="T35" s="15">
        <v>0</v>
      </c>
      <c r="U35" s="15">
        <v>3</v>
      </c>
      <c r="V35" s="15">
        <v>0</v>
      </c>
      <c r="W35" s="15">
        <v>0</v>
      </c>
      <c r="X35" s="15">
        <v>0</v>
      </c>
      <c r="Y35" s="15">
        <v>0</v>
      </c>
      <c r="Z35" s="13">
        <f t="shared" si="9"/>
        <v>5</v>
      </c>
    </row>
    <row r="36" spans="1:26" ht="12.75" customHeight="1" x14ac:dyDescent="0.3">
      <c r="A36" s="15">
        <v>4</v>
      </c>
      <c r="B36" s="56" t="s">
        <v>30</v>
      </c>
      <c r="C36" s="49"/>
      <c r="D36" s="50"/>
      <c r="E36" s="13">
        <f t="shared" ref="E36:Y36" si="10">E33-(E34+E35)</f>
        <v>79</v>
      </c>
      <c r="F36" s="13">
        <f t="shared" si="10"/>
        <v>97</v>
      </c>
      <c r="G36" s="13">
        <f t="shared" si="10"/>
        <v>74</v>
      </c>
      <c r="H36" s="13">
        <f t="shared" si="10"/>
        <v>66</v>
      </c>
      <c r="I36" s="13">
        <f t="shared" si="10"/>
        <v>90</v>
      </c>
      <c r="J36" s="13">
        <f t="shared" si="10"/>
        <v>71</v>
      </c>
      <c r="K36" s="13">
        <f t="shared" si="10"/>
        <v>63</v>
      </c>
      <c r="L36" s="13">
        <f t="shared" si="10"/>
        <v>76</v>
      </c>
      <c r="M36" s="13">
        <f t="shared" si="10"/>
        <v>86</v>
      </c>
      <c r="N36" s="13">
        <f t="shared" si="10"/>
        <v>88</v>
      </c>
      <c r="O36" s="13">
        <f t="shared" si="10"/>
        <v>68</v>
      </c>
      <c r="P36" s="13">
        <f t="shared" si="10"/>
        <v>61</v>
      </c>
      <c r="Q36" s="13">
        <f t="shared" si="10"/>
        <v>96</v>
      </c>
      <c r="R36" s="13">
        <f t="shared" si="10"/>
        <v>66</v>
      </c>
      <c r="S36" s="13">
        <f t="shared" si="10"/>
        <v>70</v>
      </c>
      <c r="T36" s="13">
        <f t="shared" si="10"/>
        <v>62</v>
      </c>
      <c r="U36" s="13">
        <f t="shared" si="10"/>
        <v>80</v>
      </c>
      <c r="V36" s="13">
        <f t="shared" si="10"/>
        <v>83</v>
      </c>
      <c r="W36" s="13">
        <f t="shared" si="10"/>
        <v>68</v>
      </c>
      <c r="X36" s="13">
        <f t="shared" si="10"/>
        <v>83</v>
      </c>
      <c r="Y36" s="13">
        <f t="shared" si="10"/>
        <v>87</v>
      </c>
      <c r="Z36" s="13">
        <f t="shared" si="9"/>
        <v>1614</v>
      </c>
    </row>
    <row r="37" spans="1:26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46"/>
    </row>
    <row r="38" spans="1:26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6"/>
    </row>
    <row r="39" spans="1:26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1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2</v>
      </c>
      <c r="W39" s="15">
        <v>0</v>
      </c>
      <c r="X39" s="15">
        <v>0</v>
      </c>
      <c r="Y39" s="15">
        <v>0</v>
      </c>
      <c r="Z39" s="13">
        <f t="shared" ref="Z39:Z41" si="11">SUM(E39:Y39)</f>
        <v>3</v>
      </c>
    </row>
    <row r="40" spans="1:26" ht="12.75" customHeight="1" x14ac:dyDescent="0.3">
      <c r="A40" s="20"/>
      <c r="B40" s="70"/>
      <c r="C40" s="60"/>
      <c r="D40" s="15" t="s">
        <v>13</v>
      </c>
      <c r="E40" s="15">
        <v>1</v>
      </c>
      <c r="F40" s="15">
        <v>0</v>
      </c>
      <c r="G40" s="15">
        <v>0</v>
      </c>
      <c r="H40" s="15">
        <v>0</v>
      </c>
      <c r="I40" s="15">
        <v>0</v>
      </c>
      <c r="J40" s="15">
        <v>1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3">
        <f t="shared" si="11"/>
        <v>2</v>
      </c>
    </row>
    <row r="41" spans="1:26" ht="12.75" customHeight="1" x14ac:dyDescent="0.3">
      <c r="A41" s="24"/>
      <c r="B41" s="71"/>
      <c r="C41" s="61"/>
      <c r="D41" s="13" t="s">
        <v>14</v>
      </c>
      <c r="E41" s="13">
        <f t="shared" ref="E41:Y41" si="12">SUM(E39:E40)</f>
        <v>1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1</v>
      </c>
      <c r="K41" s="13">
        <f t="shared" si="12"/>
        <v>0</v>
      </c>
      <c r="L41" s="13">
        <f t="shared" si="12"/>
        <v>0</v>
      </c>
      <c r="M41" s="13">
        <f t="shared" si="12"/>
        <v>1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2</v>
      </c>
      <c r="W41" s="13">
        <f t="shared" si="12"/>
        <v>0</v>
      </c>
      <c r="X41" s="13">
        <f t="shared" si="12"/>
        <v>0</v>
      </c>
      <c r="Y41" s="13">
        <f t="shared" si="12"/>
        <v>0</v>
      </c>
      <c r="Z41" s="13">
        <f t="shared" si="11"/>
        <v>5</v>
      </c>
    </row>
    <row r="42" spans="1:26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13"/>
    </row>
    <row r="43" spans="1:26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3"/>
    </row>
    <row r="44" spans="1:26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3"/>
    </row>
    <row r="45" spans="1:26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0</v>
      </c>
      <c r="F45" s="15">
        <v>3</v>
      </c>
      <c r="G45" s="15">
        <v>2</v>
      </c>
      <c r="H45" s="15">
        <v>7</v>
      </c>
      <c r="I45" s="15">
        <v>12</v>
      </c>
      <c r="J45" s="15">
        <v>7</v>
      </c>
      <c r="K45" s="15">
        <v>2</v>
      </c>
      <c r="L45" s="15">
        <v>8</v>
      </c>
      <c r="M45" s="15">
        <v>13</v>
      </c>
      <c r="N45" s="15">
        <v>6</v>
      </c>
      <c r="O45" s="15">
        <v>17</v>
      </c>
      <c r="P45" s="15">
        <v>9</v>
      </c>
      <c r="Q45" s="15">
        <v>3</v>
      </c>
      <c r="R45" s="15">
        <v>2</v>
      </c>
      <c r="S45" s="15">
        <v>6</v>
      </c>
      <c r="T45" s="15">
        <v>1</v>
      </c>
      <c r="U45" s="15">
        <v>7</v>
      </c>
      <c r="V45" s="15">
        <v>7</v>
      </c>
      <c r="W45" s="15">
        <v>10</v>
      </c>
      <c r="X45" s="15">
        <v>5</v>
      </c>
      <c r="Y45" s="15">
        <v>2</v>
      </c>
      <c r="Z45" s="13">
        <f t="shared" ref="Z45:Z186" si="13">SUM(E45:Y45)</f>
        <v>129</v>
      </c>
    </row>
    <row r="46" spans="1:26" ht="12.75" customHeight="1" x14ac:dyDescent="0.3">
      <c r="A46" s="19" t="s">
        <v>39</v>
      </c>
      <c r="B46" s="27"/>
      <c r="C46" s="28" t="s">
        <v>40</v>
      </c>
      <c r="D46" s="29"/>
      <c r="E46" s="15">
        <v>5</v>
      </c>
      <c r="F46" s="15">
        <v>2</v>
      </c>
      <c r="G46" s="15">
        <v>1</v>
      </c>
      <c r="H46" s="15">
        <v>12</v>
      </c>
      <c r="I46" s="15">
        <v>12</v>
      </c>
      <c r="J46" s="15">
        <v>8</v>
      </c>
      <c r="K46" s="15">
        <v>7</v>
      </c>
      <c r="L46" s="15">
        <v>7</v>
      </c>
      <c r="M46" s="15">
        <v>8</v>
      </c>
      <c r="N46" s="15">
        <v>11</v>
      </c>
      <c r="O46" s="15">
        <v>40</v>
      </c>
      <c r="P46" s="15">
        <v>5</v>
      </c>
      <c r="Q46" s="15">
        <v>4</v>
      </c>
      <c r="R46" s="15">
        <v>2</v>
      </c>
      <c r="S46" s="15">
        <v>10</v>
      </c>
      <c r="T46" s="15">
        <v>4</v>
      </c>
      <c r="U46" s="15">
        <v>17</v>
      </c>
      <c r="V46" s="15">
        <v>5</v>
      </c>
      <c r="W46" s="15">
        <v>0</v>
      </c>
      <c r="X46" s="15">
        <v>3</v>
      </c>
      <c r="Y46" s="15">
        <v>1</v>
      </c>
      <c r="Z46" s="13">
        <f t="shared" si="13"/>
        <v>164</v>
      </c>
    </row>
    <row r="47" spans="1:26" ht="12.75" customHeight="1" x14ac:dyDescent="0.3">
      <c r="A47" s="14"/>
      <c r="B47" s="27"/>
      <c r="C47" s="28" t="s">
        <v>41</v>
      </c>
      <c r="D47" s="29"/>
      <c r="E47" s="15">
        <v>1</v>
      </c>
      <c r="F47" s="15">
        <v>1</v>
      </c>
      <c r="G47" s="15">
        <v>0</v>
      </c>
      <c r="H47" s="15">
        <v>1</v>
      </c>
      <c r="I47" s="15">
        <v>2</v>
      </c>
      <c r="J47" s="15">
        <v>2</v>
      </c>
      <c r="K47" s="15">
        <v>0</v>
      </c>
      <c r="L47" s="15">
        <v>1</v>
      </c>
      <c r="M47" s="15">
        <v>1</v>
      </c>
      <c r="N47" s="15">
        <v>0</v>
      </c>
      <c r="O47" s="15">
        <v>3</v>
      </c>
      <c r="P47" s="15">
        <v>0</v>
      </c>
      <c r="Q47" s="15">
        <v>4</v>
      </c>
      <c r="R47" s="15">
        <v>0</v>
      </c>
      <c r="S47" s="15">
        <v>0</v>
      </c>
      <c r="T47" s="15">
        <v>0</v>
      </c>
      <c r="U47" s="15">
        <v>1</v>
      </c>
      <c r="V47" s="15">
        <v>2</v>
      </c>
      <c r="W47" s="15">
        <v>1</v>
      </c>
      <c r="X47" s="15">
        <v>0</v>
      </c>
      <c r="Y47" s="15">
        <v>1</v>
      </c>
      <c r="Z47" s="13">
        <f t="shared" si="13"/>
        <v>21</v>
      </c>
    </row>
    <row r="48" spans="1:26" ht="12.75" customHeight="1" x14ac:dyDescent="0.3">
      <c r="A48" s="14"/>
      <c r="B48" s="27"/>
      <c r="C48" s="28" t="s">
        <v>42</v>
      </c>
      <c r="D48" s="29"/>
      <c r="E48" s="15">
        <v>1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>
        <v>1</v>
      </c>
      <c r="R48" s="15">
        <v>0</v>
      </c>
      <c r="S48" s="15">
        <v>0</v>
      </c>
      <c r="T48" s="15">
        <v>0</v>
      </c>
      <c r="U48" s="15">
        <v>0</v>
      </c>
      <c r="V48" s="15">
        <v>1</v>
      </c>
      <c r="W48" s="15">
        <v>0</v>
      </c>
      <c r="X48" s="15">
        <v>0</v>
      </c>
      <c r="Y48" s="15">
        <v>0</v>
      </c>
      <c r="Z48" s="13">
        <f t="shared" si="13"/>
        <v>3</v>
      </c>
    </row>
    <row r="49" spans="1:26" ht="12.75" customHeight="1" x14ac:dyDescent="0.3">
      <c r="A49" s="14"/>
      <c r="B49" s="27"/>
      <c r="C49" s="28" t="s">
        <v>43</v>
      </c>
      <c r="D49" s="29"/>
      <c r="E49" s="15">
        <v>6</v>
      </c>
      <c r="F49" s="15">
        <v>2</v>
      </c>
      <c r="G49" s="15">
        <v>12</v>
      </c>
      <c r="H49" s="15">
        <v>15</v>
      </c>
      <c r="I49" s="15">
        <v>12</v>
      </c>
      <c r="J49" s="15">
        <v>7</v>
      </c>
      <c r="K49" s="15">
        <v>19</v>
      </c>
      <c r="L49" s="15">
        <v>68</v>
      </c>
      <c r="M49" s="15">
        <v>24</v>
      </c>
      <c r="N49" s="15">
        <v>31</v>
      </c>
      <c r="O49" s="15">
        <v>15</v>
      </c>
      <c r="P49" s="15">
        <v>26</v>
      </c>
      <c r="Q49" s="15">
        <v>8</v>
      </c>
      <c r="R49" s="15">
        <v>4</v>
      </c>
      <c r="S49" s="15">
        <v>9</v>
      </c>
      <c r="T49" s="15">
        <v>1</v>
      </c>
      <c r="U49" s="15">
        <v>0</v>
      </c>
      <c r="V49" s="15">
        <v>1</v>
      </c>
      <c r="W49" s="15">
        <v>1</v>
      </c>
      <c r="X49" s="15">
        <v>0</v>
      </c>
      <c r="Y49" s="15">
        <v>2</v>
      </c>
      <c r="Z49" s="13">
        <f t="shared" si="13"/>
        <v>263</v>
      </c>
    </row>
    <row r="50" spans="1:26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1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1</v>
      </c>
      <c r="N50" s="15">
        <v>0</v>
      </c>
      <c r="O50" s="15">
        <v>1</v>
      </c>
      <c r="P50" s="15">
        <v>0</v>
      </c>
      <c r="Q50" s="15">
        <v>0</v>
      </c>
      <c r="R50" s="15">
        <v>0</v>
      </c>
      <c r="S50" s="15">
        <v>1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3">
        <f t="shared" si="13"/>
        <v>4</v>
      </c>
    </row>
    <row r="51" spans="1:26" ht="12.75" customHeight="1" x14ac:dyDescent="0.3">
      <c r="A51" s="14"/>
      <c r="B51" s="27"/>
      <c r="C51" s="28" t="s">
        <v>45</v>
      </c>
      <c r="D51" s="29"/>
      <c r="E51" s="15">
        <v>0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1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3">
        <f t="shared" si="13"/>
        <v>1</v>
      </c>
    </row>
    <row r="52" spans="1:26" ht="12.75" customHeight="1" x14ac:dyDescent="0.3">
      <c r="A52" s="14"/>
      <c r="B52" s="27"/>
      <c r="C52" s="28" t="s">
        <v>46</v>
      </c>
      <c r="D52" s="29"/>
      <c r="E52" s="15">
        <v>0</v>
      </c>
      <c r="F52" s="15">
        <v>4</v>
      </c>
      <c r="G52" s="15">
        <v>0</v>
      </c>
      <c r="H52" s="15">
        <v>1</v>
      </c>
      <c r="I52" s="15">
        <v>5</v>
      </c>
      <c r="J52" s="15">
        <v>3</v>
      </c>
      <c r="K52" s="15">
        <v>4</v>
      </c>
      <c r="L52" s="15">
        <v>1</v>
      </c>
      <c r="M52" s="15">
        <v>4</v>
      </c>
      <c r="N52" s="15">
        <v>5</v>
      </c>
      <c r="O52" s="15">
        <v>0</v>
      </c>
      <c r="P52" s="15">
        <v>1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5">
        <v>2</v>
      </c>
      <c r="X52" s="15">
        <v>0</v>
      </c>
      <c r="Y52" s="15">
        <v>0</v>
      </c>
      <c r="Z52" s="13">
        <f t="shared" si="13"/>
        <v>30</v>
      </c>
    </row>
    <row r="53" spans="1:26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Y53" si="14">SUM(E45:E52)</f>
        <v>13</v>
      </c>
      <c r="F53" s="34">
        <f t="shared" si="14"/>
        <v>13</v>
      </c>
      <c r="G53" s="34">
        <f t="shared" si="14"/>
        <v>15</v>
      </c>
      <c r="H53" s="34">
        <f t="shared" si="14"/>
        <v>36</v>
      </c>
      <c r="I53" s="34">
        <f t="shared" si="14"/>
        <v>43</v>
      </c>
      <c r="J53" s="34">
        <f t="shared" si="14"/>
        <v>27</v>
      </c>
      <c r="K53" s="34">
        <f t="shared" si="14"/>
        <v>32</v>
      </c>
      <c r="L53" s="34">
        <f t="shared" si="14"/>
        <v>85</v>
      </c>
      <c r="M53" s="34">
        <f t="shared" si="14"/>
        <v>51</v>
      </c>
      <c r="N53" s="34">
        <f t="shared" si="14"/>
        <v>53</v>
      </c>
      <c r="O53" s="34">
        <f t="shared" si="14"/>
        <v>77</v>
      </c>
      <c r="P53" s="34">
        <f t="shared" si="14"/>
        <v>41</v>
      </c>
      <c r="Q53" s="34">
        <f t="shared" si="14"/>
        <v>20</v>
      </c>
      <c r="R53" s="34">
        <f t="shared" si="14"/>
        <v>8</v>
      </c>
      <c r="S53" s="34">
        <f t="shared" si="14"/>
        <v>26</v>
      </c>
      <c r="T53" s="34">
        <f t="shared" si="14"/>
        <v>6</v>
      </c>
      <c r="U53" s="34">
        <f t="shared" si="14"/>
        <v>25</v>
      </c>
      <c r="V53" s="34">
        <f t="shared" si="14"/>
        <v>16</v>
      </c>
      <c r="W53" s="34">
        <f t="shared" si="14"/>
        <v>14</v>
      </c>
      <c r="X53" s="34">
        <f t="shared" si="14"/>
        <v>8</v>
      </c>
      <c r="Y53" s="34">
        <f t="shared" si="14"/>
        <v>6</v>
      </c>
      <c r="Z53" s="13">
        <f t="shared" si="13"/>
        <v>615</v>
      </c>
    </row>
    <row r="54" spans="1:26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13">
        <f t="shared" si="13"/>
        <v>0</v>
      </c>
    </row>
    <row r="55" spans="1:26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5</v>
      </c>
      <c r="F55" s="15">
        <v>6</v>
      </c>
      <c r="G55" s="15">
        <v>6</v>
      </c>
      <c r="H55" s="15">
        <v>9</v>
      </c>
      <c r="I55" s="15">
        <v>12</v>
      </c>
      <c r="J55" s="15">
        <v>6</v>
      </c>
      <c r="K55" s="15">
        <v>10</v>
      </c>
      <c r="L55" s="15">
        <v>7</v>
      </c>
      <c r="M55" s="15">
        <v>3</v>
      </c>
      <c r="N55" s="15">
        <v>3</v>
      </c>
      <c r="O55" s="15">
        <v>4</v>
      </c>
      <c r="P55" s="15">
        <v>9</v>
      </c>
      <c r="Q55" s="15">
        <v>8</v>
      </c>
      <c r="R55" s="15">
        <v>8</v>
      </c>
      <c r="S55" s="15">
        <v>3</v>
      </c>
      <c r="T55" s="15">
        <v>14</v>
      </c>
      <c r="U55" s="15">
        <v>19</v>
      </c>
      <c r="V55" s="15">
        <v>6</v>
      </c>
      <c r="W55" s="15">
        <v>6</v>
      </c>
      <c r="X55" s="15">
        <v>6</v>
      </c>
      <c r="Y55" s="15">
        <v>18</v>
      </c>
      <c r="Z55" s="13">
        <f t="shared" si="13"/>
        <v>168</v>
      </c>
    </row>
    <row r="56" spans="1:26" ht="12.75" customHeight="1" x14ac:dyDescent="0.3">
      <c r="A56" s="19" t="s">
        <v>39</v>
      </c>
      <c r="B56" s="27"/>
      <c r="C56" s="28" t="s">
        <v>49</v>
      </c>
      <c r="D56" s="29"/>
      <c r="E56" s="15">
        <v>3</v>
      </c>
      <c r="F56" s="15">
        <v>2</v>
      </c>
      <c r="G56" s="15">
        <v>7</v>
      </c>
      <c r="H56" s="15">
        <v>25</v>
      </c>
      <c r="I56" s="15">
        <v>0</v>
      </c>
      <c r="J56" s="15">
        <v>2</v>
      </c>
      <c r="K56" s="15">
        <v>2</v>
      </c>
      <c r="L56" s="15">
        <v>0</v>
      </c>
      <c r="M56" s="15">
        <v>0</v>
      </c>
      <c r="N56" s="15">
        <v>3</v>
      </c>
      <c r="O56" s="15">
        <v>2</v>
      </c>
      <c r="P56" s="15">
        <v>2</v>
      </c>
      <c r="Q56" s="15">
        <v>13</v>
      </c>
      <c r="R56" s="15">
        <v>12</v>
      </c>
      <c r="S56" s="15">
        <v>27</v>
      </c>
      <c r="T56" s="15">
        <v>4</v>
      </c>
      <c r="U56" s="15">
        <v>13</v>
      </c>
      <c r="V56" s="15">
        <v>6</v>
      </c>
      <c r="W56" s="15">
        <v>7</v>
      </c>
      <c r="X56" s="15">
        <v>20</v>
      </c>
      <c r="Y56" s="15">
        <v>9</v>
      </c>
      <c r="Z56" s="13">
        <f t="shared" si="13"/>
        <v>159</v>
      </c>
    </row>
    <row r="57" spans="1:26" ht="12.75" customHeight="1" x14ac:dyDescent="0.3">
      <c r="A57" s="14"/>
      <c r="B57" s="27"/>
      <c r="C57" s="28" t="s">
        <v>50</v>
      </c>
      <c r="D57" s="29"/>
      <c r="E57" s="15">
        <v>2</v>
      </c>
      <c r="F57" s="15">
        <v>5</v>
      </c>
      <c r="G57" s="15">
        <v>4</v>
      </c>
      <c r="H57" s="15">
        <v>2</v>
      </c>
      <c r="I57" s="15">
        <v>19</v>
      </c>
      <c r="J57" s="15">
        <v>10</v>
      </c>
      <c r="K57" s="15">
        <v>0</v>
      </c>
      <c r="L57" s="15">
        <v>5</v>
      </c>
      <c r="M57" s="15">
        <v>4</v>
      </c>
      <c r="N57" s="15">
        <v>4</v>
      </c>
      <c r="O57" s="15">
        <v>10</v>
      </c>
      <c r="P57" s="15">
        <v>16</v>
      </c>
      <c r="Q57" s="15">
        <v>1</v>
      </c>
      <c r="R57" s="15">
        <v>1</v>
      </c>
      <c r="S57" s="15">
        <v>5</v>
      </c>
      <c r="T57" s="15">
        <v>2</v>
      </c>
      <c r="U57" s="15">
        <v>10</v>
      </c>
      <c r="V57" s="15">
        <v>4</v>
      </c>
      <c r="W57" s="15">
        <v>4</v>
      </c>
      <c r="X57" s="15">
        <v>2</v>
      </c>
      <c r="Y57" s="15">
        <v>21</v>
      </c>
      <c r="Z57" s="13">
        <f t="shared" si="13"/>
        <v>131</v>
      </c>
    </row>
    <row r="58" spans="1:26" ht="12.75" customHeight="1" x14ac:dyDescent="0.3">
      <c r="A58" s="14"/>
      <c r="B58" s="27"/>
      <c r="C58" s="28" t="s">
        <v>51</v>
      </c>
      <c r="D58" s="29"/>
      <c r="E58" s="15">
        <v>2</v>
      </c>
      <c r="F58" s="15">
        <v>2</v>
      </c>
      <c r="G58" s="15">
        <v>0</v>
      </c>
      <c r="H58" s="15">
        <v>0</v>
      </c>
      <c r="I58" s="15">
        <v>2</v>
      </c>
      <c r="J58" s="15">
        <v>2</v>
      </c>
      <c r="K58" s="15">
        <v>0</v>
      </c>
      <c r="L58" s="15">
        <v>0</v>
      </c>
      <c r="M58" s="15">
        <v>2</v>
      </c>
      <c r="N58" s="15">
        <v>1</v>
      </c>
      <c r="O58" s="15">
        <v>1</v>
      </c>
      <c r="P58" s="15">
        <v>2</v>
      </c>
      <c r="Q58" s="15">
        <v>3</v>
      </c>
      <c r="R58" s="15">
        <v>0</v>
      </c>
      <c r="S58" s="15">
        <v>0</v>
      </c>
      <c r="T58" s="15">
        <v>0</v>
      </c>
      <c r="U58" s="15">
        <v>1</v>
      </c>
      <c r="V58" s="15">
        <v>2</v>
      </c>
      <c r="W58" s="15">
        <v>1</v>
      </c>
      <c r="X58" s="15">
        <v>1</v>
      </c>
      <c r="Y58" s="15">
        <v>7</v>
      </c>
      <c r="Z58" s="13">
        <f t="shared" si="13"/>
        <v>29</v>
      </c>
    </row>
    <row r="59" spans="1:26" ht="12.75" customHeight="1" x14ac:dyDescent="0.3">
      <c r="A59" s="14"/>
      <c r="B59" s="27"/>
      <c r="C59" s="28" t="s">
        <v>52</v>
      </c>
      <c r="D59" s="29"/>
      <c r="E59" s="15">
        <v>2</v>
      </c>
      <c r="F59" s="15">
        <v>0</v>
      </c>
      <c r="G59" s="15">
        <v>0</v>
      </c>
      <c r="H59" s="15">
        <v>1</v>
      </c>
      <c r="I59" s="15">
        <v>2</v>
      </c>
      <c r="J59" s="15">
        <v>0</v>
      </c>
      <c r="K59" s="15">
        <v>0</v>
      </c>
      <c r="L59" s="15">
        <v>3</v>
      </c>
      <c r="M59" s="15">
        <v>5</v>
      </c>
      <c r="N59" s="15">
        <v>5</v>
      </c>
      <c r="O59" s="15">
        <v>4</v>
      </c>
      <c r="P59" s="15">
        <v>2</v>
      </c>
      <c r="Q59" s="15">
        <v>0</v>
      </c>
      <c r="R59" s="15">
        <v>4</v>
      </c>
      <c r="S59" s="15">
        <v>0</v>
      </c>
      <c r="T59" s="15">
        <v>0</v>
      </c>
      <c r="U59" s="15">
        <v>0</v>
      </c>
      <c r="V59" s="15">
        <v>0</v>
      </c>
      <c r="W59" s="15">
        <v>1</v>
      </c>
      <c r="X59" s="15">
        <v>0</v>
      </c>
      <c r="Y59" s="15">
        <v>0</v>
      </c>
      <c r="Z59" s="13">
        <f t="shared" si="13"/>
        <v>29</v>
      </c>
    </row>
    <row r="60" spans="1:26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0</v>
      </c>
      <c r="G60" s="15">
        <v>1</v>
      </c>
      <c r="H60" s="15">
        <v>2</v>
      </c>
      <c r="I60" s="15">
        <v>0</v>
      </c>
      <c r="J60" s="15">
        <v>1</v>
      </c>
      <c r="K60" s="15">
        <v>0</v>
      </c>
      <c r="L60" s="15">
        <v>1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1</v>
      </c>
      <c r="U60" s="15">
        <v>1</v>
      </c>
      <c r="V60" s="15">
        <v>0</v>
      </c>
      <c r="W60" s="15">
        <v>1</v>
      </c>
      <c r="X60" s="15">
        <v>0</v>
      </c>
      <c r="Y60" s="15">
        <v>0</v>
      </c>
      <c r="Z60" s="13">
        <f t="shared" si="13"/>
        <v>8</v>
      </c>
    </row>
    <row r="61" spans="1:26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1</v>
      </c>
      <c r="X61" s="15">
        <v>0</v>
      </c>
      <c r="Y61" s="15">
        <v>0</v>
      </c>
      <c r="Z61" s="13">
        <f t="shared" si="13"/>
        <v>1</v>
      </c>
    </row>
    <row r="62" spans="1:26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0</v>
      </c>
      <c r="H62" s="15">
        <v>1</v>
      </c>
      <c r="I62" s="15">
        <v>0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1</v>
      </c>
      <c r="Q62" s="15">
        <v>0</v>
      </c>
      <c r="R62" s="15">
        <v>0</v>
      </c>
      <c r="S62" s="15">
        <v>0</v>
      </c>
      <c r="T62" s="15">
        <v>0</v>
      </c>
      <c r="U62" s="15">
        <v>1</v>
      </c>
      <c r="V62" s="15">
        <v>1</v>
      </c>
      <c r="W62" s="15">
        <v>0</v>
      </c>
      <c r="X62" s="15">
        <v>2</v>
      </c>
      <c r="Y62" s="15">
        <v>0</v>
      </c>
      <c r="Z62" s="13">
        <f t="shared" si="13"/>
        <v>6</v>
      </c>
    </row>
    <row r="63" spans="1:26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Y63" si="15">SUM(E55:E62)</f>
        <v>14</v>
      </c>
      <c r="F63" s="34">
        <f t="shared" si="15"/>
        <v>15</v>
      </c>
      <c r="G63" s="34">
        <f t="shared" si="15"/>
        <v>18</v>
      </c>
      <c r="H63" s="34">
        <f t="shared" si="15"/>
        <v>40</v>
      </c>
      <c r="I63" s="34">
        <f t="shared" si="15"/>
        <v>35</v>
      </c>
      <c r="J63" s="34">
        <f t="shared" si="15"/>
        <v>21</v>
      </c>
      <c r="K63" s="34">
        <f t="shared" si="15"/>
        <v>12</v>
      </c>
      <c r="L63" s="34">
        <f t="shared" si="15"/>
        <v>16</v>
      </c>
      <c r="M63" s="34">
        <f t="shared" si="15"/>
        <v>14</v>
      </c>
      <c r="N63" s="34">
        <f t="shared" si="15"/>
        <v>16</v>
      </c>
      <c r="O63" s="34">
        <f t="shared" si="15"/>
        <v>21</v>
      </c>
      <c r="P63" s="34">
        <f t="shared" si="15"/>
        <v>32</v>
      </c>
      <c r="Q63" s="34">
        <f t="shared" si="15"/>
        <v>25</v>
      </c>
      <c r="R63" s="34">
        <f t="shared" si="15"/>
        <v>25</v>
      </c>
      <c r="S63" s="34">
        <f t="shared" si="15"/>
        <v>35</v>
      </c>
      <c r="T63" s="34">
        <f t="shared" si="15"/>
        <v>21</v>
      </c>
      <c r="U63" s="34">
        <f t="shared" si="15"/>
        <v>45</v>
      </c>
      <c r="V63" s="34">
        <f t="shared" si="15"/>
        <v>19</v>
      </c>
      <c r="W63" s="34">
        <f t="shared" si="15"/>
        <v>21</v>
      </c>
      <c r="X63" s="34">
        <f t="shared" si="15"/>
        <v>31</v>
      </c>
      <c r="Y63" s="34">
        <f t="shared" si="15"/>
        <v>55</v>
      </c>
      <c r="Z63" s="13">
        <f t="shared" si="13"/>
        <v>531</v>
      </c>
    </row>
    <row r="64" spans="1:26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13">
        <f t="shared" si="13"/>
        <v>0</v>
      </c>
    </row>
    <row r="65" spans="1:26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6</v>
      </c>
      <c r="F65" s="15">
        <v>8</v>
      </c>
      <c r="G65" s="15">
        <v>6</v>
      </c>
      <c r="H65" s="15">
        <v>3</v>
      </c>
      <c r="I65" s="15">
        <v>4</v>
      </c>
      <c r="J65" s="15">
        <v>4</v>
      </c>
      <c r="K65" s="15">
        <v>1</v>
      </c>
      <c r="L65" s="15">
        <v>6</v>
      </c>
      <c r="M65" s="15">
        <v>3</v>
      </c>
      <c r="N65" s="15">
        <v>0</v>
      </c>
      <c r="O65" s="15">
        <v>8</v>
      </c>
      <c r="P65" s="15">
        <v>3</v>
      </c>
      <c r="Q65" s="15">
        <v>1</v>
      </c>
      <c r="R65" s="15">
        <v>2</v>
      </c>
      <c r="S65" s="15">
        <v>7</v>
      </c>
      <c r="T65" s="15">
        <v>13</v>
      </c>
      <c r="U65" s="15">
        <v>5</v>
      </c>
      <c r="V65" s="15">
        <v>8</v>
      </c>
      <c r="W65" s="15">
        <v>1</v>
      </c>
      <c r="X65" s="15">
        <v>3</v>
      </c>
      <c r="Y65" s="15">
        <v>7</v>
      </c>
      <c r="Z65" s="13">
        <f t="shared" si="13"/>
        <v>99</v>
      </c>
    </row>
    <row r="66" spans="1:26" ht="12.75" customHeight="1" x14ac:dyDescent="0.3">
      <c r="A66" s="19" t="s">
        <v>39</v>
      </c>
      <c r="B66" s="27"/>
      <c r="C66" s="28" t="s">
        <v>57</v>
      </c>
      <c r="D66" s="29"/>
      <c r="E66" s="15">
        <v>6</v>
      </c>
      <c r="F66" s="15">
        <v>10</v>
      </c>
      <c r="G66" s="15">
        <v>6</v>
      </c>
      <c r="H66" s="15">
        <v>12</v>
      </c>
      <c r="I66" s="15">
        <v>0</v>
      </c>
      <c r="J66" s="15">
        <v>3</v>
      </c>
      <c r="K66" s="15">
        <v>2</v>
      </c>
      <c r="L66" s="15">
        <v>1</v>
      </c>
      <c r="M66" s="15">
        <v>0</v>
      </c>
      <c r="N66" s="15">
        <v>5</v>
      </c>
      <c r="O66" s="15">
        <v>10</v>
      </c>
      <c r="P66" s="15">
        <v>2</v>
      </c>
      <c r="Q66" s="15">
        <v>11</v>
      </c>
      <c r="R66" s="15">
        <v>18</v>
      </c>
      <c r="S66" s="15">
        <v>59</v>
      </c>
      <c r="T66" s="15">
        <v>3</v>
      </c>
      <c r="U66" s="15">
        <v>3</v>
      </c>
      <c r="V66" s="15">
        <v>3</v>
      </c>
      <c r="W66" s="15">
        <v>4</v>
      </c>
      <c r="X66" s="15">
        <v>7</v>
      </c>
      <c r="Y66" s="15">
        <v>0</v>
      </c>
      <c r="Z66" s="13">
        <f t="shared" si="13"/>
        <v>165</v>
      </c>
    </row>
    <row r="67" spans="1:26" ht="12.75" customHeight="1" x14ac:dyDescent="0.3">
      <c r="A67" s="14"/>
      <c r="B67" s="27"/>
      <c r="C67" s="28" t="s">
        <v>58</v>
      </c>
      <c r="D67" s="29"/>
      <c r="E67" s="15">
        <v>0</v>
      </c>
      <c r="F67" s="15">
        <v>1</v>
      </c>
      <c r="G67" s="15">
        <v>1</v>
      </c>
      <c r="H67" s="15">
        <v>1</v>
      </c>
      <c r="I67" s="15">
        <v>1</v>
      </c>
      <c r="J67" s="15">
        <v>1</v>
      </c>
      <c r="K67" s="15">
        <v>2</v>
      </c>
      <c r="L67" s="15">
        <v>1</v>
      </c>
      <c r="M67" s="15">
        <v>1</v>
      </c>
      <c r="N67" s="15">
        <v>0</v>
      </c>
      <c r="O67" s="15">
        <v>0</v>
      </c>
      <c r="P67" s="15">
        <v>0</v>
      </c>
      <c r="Q67" s="15">
        <v>0</v>
      </c>
      <c r="R67" s="15">
        <v>4</v>
      </c>
      <c r="S67" s="15">
        <v>1</v>
      </c>
      <c r="T67" s="15">
        <v>1</v>
      </c>
      <c r="U67" s="15">
        <v>1</v>
      </c>
      <c r="V67" s="15">
        <v>0</v>
      </c>
      <c r="W67" s="15">
        <v>0</v>
      </c>
      <c r="X67" s="15">
        <v>0</v>
      </c>
      <c r="Y67" s="15">
        <v>1</v>
      </c>
      <c r="Z67" s="13">
        <f t="shared" si="13"/>
        <v>17</v>
      </c>
    </row>
    <row r="68" spans="1:26" ht="12.75" customHeight="1" x14ac:dyDescent="0.3">
      <c r="A68" s="14"/>
      <c r="B68" s="27"/>
      <c r="C68" s="28" t="s">
        <v>59</v>
      </c>
      <c r="D68" s="29"/>
      <c r="E68" s="15">
        <v>0</v>
      </c>
      <c r="F68" s="15">
        <v>1</v>
      </c>
      <c r="G68" s="15">
        <v>0</v>
      </c>
      <c r="H68" s="15">
        <v>0</v>
      </c>
      <c r="I68" s="15">
        <v>2</v>
      </c>
      <c r="J68" s="15">
        <v>1</v>
      </c>
      <c r="K68" s="15">
        <v>0</v>
      </c>
      <c r="L68" s="15">
        <v>2</v>
      </c>
      <c r="M68" s="15">
        <v>0</v>
      </c>
      <c r="N68" s="15">
        <v>0</v>
      </c>
      <c r="O68" s="15">
        <v>1</v>
      </c>
      <c r="P68" s="15">
        <v>1</v>
      </c>
      <c r="Q68" s="15">
        <v>0</v>
      </c>
      <c r="R68" s="15">
        <v>1</v>
      </c>
      <c r="S68" s="15">
        <v>4</v>
      </c>
      <c r="T68" s="15">
        <v>3</v>
      </c>
      <c r="U68" s="15">
        <v>3</v>
      </c>
      <c r="V68" s="15">
        <v>2</v>
      </c>
      <c r="W68" s="15">
        <v>0</v>
      </c>
      <c r="X68" s="15">
        <v>2</v>
      </c>
      <c r="Y68" s="15">
        <v>0</v>
      </c>
      <c r="Z68" s="13">
        <f t="shared" si="13"/>
        <v>23</v>
      </c>
    </row>
    <row r="69" spans="1:26" ht="12.75" customHeight="1" x14ac:dyDescent="0.3">
      <c r="A69" s="14"/>
      <c r="B69" s="27"/>
      <c r="C69" s="28" t="s">
        <v>60</v>
      </c>
      <c r="D69" s="29"/>
      <c r="E69" s="15">
        <v>0</v>
      </c>
      <c r="F69" s="15">
        <v>1</v>
      </c>
      <c r="G69" s="15">
        <v>0</v>
      </c>
      <c r="H69" s="15">
        <v>1</v>
      </c>
      <c r="I69" s="15">
        <v>0</v>
      </c>
      <c r="J69" s="15">
        <v>1</v>
      </c>
      <c r="K69" s="15">
        <v>1</v>
      </c>
      <c r="L69" s="15">
        <v>0</v>
      </c>
      <c r="M69" s="15">
        <v>0</v>
      </c>
      <c r="N69" s="15">
        <v>0</v>
      </c>
      <c r="O69" s="15">
        <v>0</v>
      </c>
      <c r="P69" s="15">
        <v>1</v>
      </c>
      <c r="Q69" s="15">
        <v>0</v>
      </c>
      <c r="R69" s="15">
        <v>0</v>
      </c>
      <c r="S69" s="15">
        <v>1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2</v>
      </c>
      <c r="Z69" s="13">
        <f t="shared" si="13"/>
        <v>8</v>
      </c>
    </row>
    <row r="70" spans="1:26" ht="12.75" customHeight="1" x14ac:dyDescent="0.3">
      <c r="A70" s="14"/>
      <c r="B70" s="27"/>
      <c r="C70" s="28" t="s">
        <v>61</v>
      </c>
      <c r="D70" s="29"/>
      <c r="E70" s="15">
        <v>0</v>
      </c>
      <c r="F70" s="15">
        <v>0</v>
      </c>
      <c r="G70" s="15">
        <v>1</v>
      </c>
      <c r="H70" s="15">
        <v>2</v>
      </c>
      <c r="I70" s="15">
        <v>0</v>
      </c>
      <c r="J70" s="15">
        <v>2</v>
      </c>
      <c r="K70" s="15">
        <v>3</v>
      </c>
      <c r="L70" s="15">
        <v>2</v>
      </c>
      <c r="M70" s="15">
        <v>14</v>
      </c>
      <c r="N70" s="15">
        <v>12</v>
      </c>
      <c r="O70" s="15">
        <v>11</v>
      </c>
      <c r="P70" s="15">
        <v>7</v>
      </c>
      <c r="Q70" s="15">
        <v>6</v>
      </c>
      <c r="R70" s="15">
        <v>5</v>
      </c>
      <c r="S70" s="15">
        <v>11</v>
      </c>
      <c r="T70" s="15">
        <v>3</v>
      </c>
      <c r="U70" s="15">
        <v>2</v>
      </c>
      <c r="V70" s="15">
        <v>1</v>
      </c>
      <c r="W70" s="15">
        <v>5</v>
      </c>
      <c r="X70" s="15">
        <v>1</v>
      </c>
      <c r="Y70" s="15">
        <v>1</v>
      </c>
      <c r="Z70" s="13">
        <f t="shared" si="13"/>
        <v>89</v>
      </c>
    </row>
    <row r="71" spans="1:26" ht="12.75" customHeight="1" x14ac:dyDescent="0.3">
      <c r="A71" s="14"/>
      <c r="B71" s="27"/>
      <c r="C71" s="28" t="s">
        <v>62</v>
      </c>
      <c r="D71" s="29"/>
      <c r="E71" s="15">
        <v>1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1</v>
      </c>
      <c r="M71" s="15">
        <v>0</v>
      </c>
      <c r="N71" s="15">
        <v>1</v>
      </c>
      <c r="O71" s="15">
        <v>0</v>
      </c>
      <c r="P71" s="15">
        <v>0</v>
      </c>
      <c r="Q71" s="15">
        <v>0</v>
      </c>
      <c r="R71" s="15">
        <v>1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1</v>
      </c>
      <c r="Y71" s="15">
        <v>1</v>
      </c>
      <c r="Z71" s="13">
        <f t="shared" si="13"/>
        <v>6</v>
      </c>
    </row>
    <row r="72" spans="1:26" ht="12.75" customHeight="1" x14ac:dyDescent="0.3">
      <c r="A72" s="14"/>
      <c r="B72" s="27"/>
      <c r="C72" s="28" t="s">
        <v>63</v>
      </c>
      <c r="D72" s="29"/>
      <c r="E72" s="15">
        <v>12</v>
      </c>
      <c r="F72" s="15">
        <v>10</v>
      </c>
      <c r="G72" s="15">
        <v>7</v>
      </c>
      <c r="H72" s="15">
        <v>17</v>
      </c>
      <c r="I72" s="15">
        <v>6</v>
      </c>
      <c r="J72" s="15">
        <v>34</v>
      </c>
      <c r="K72" s="15">
        <v>9</v>
      </c>
      <c r="L72" s="15">
        <v>27</v>
      </c>
      <c r="M72" s="15">
        <v>2</v>
      </c>
      <c r="N72" s="15">
        <v>1</v>
      </c>
      <c r="O72" s="15">
        <v>0</v>
      </c>
      <c r="P72" s="15">
        <v>9</v>
      </c>
      <c r="Q72" s="15">
        <v>11</v>
      </c>
      <c r="R72" s="15">
        <v>1</v>
      </c>
      <c r="S72" s="15">
        <v>8</v>
      </c>
      <c r="T72" s="15">
        <v>0</v>
      </c>
      <c r="U72" s="15">
        <v>2</v>
      </c>
      <c r="V72" s="15">
        <v>0</v>
      </c>
      <c r="W72" s="15">
        <v>4</v>
      </c>
      <c r="X72" s="15">
        <v>16</v>
      </c>
      <c r="Y72" s="15">
        <v>8</v>
      </c>
      <c r="Z72" s="13">
        <f t="shared" si="13"/>
        <v>184</v>
      </c>
    </row>
    <row r="73" spans="1:26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Y73" si="16">SUM(E65:E72)</f>
        <v>25</v>
      </c>
      <c r="F73" s="34">
        <f t="shared" si="16"/>
        <v>31</v>
      </c>
      <c r="G73" s="34">
        <f t="shared" si="16"/>
        <v>21</v>
      </c>
      <c r="H73" s="34">
        <f t="shared" si="16"/>
        <v>36</v>
      </c>
      <c r="I73" s="34">
        <f t="shared" si="16"/>
        <v>13</v>
      </c>
      <c r="J73" s="34">
        <f t="shared" si="16"/>
        <v>46</v>
      </c>
      <c r="K73" s="34">
        <f t="shared" si="16"/>
        <v>18</v>
      </c>
      <c r="L73" s="34">
        <f t="shared" si="16"/>
        <v>40</v>
      </c>
      <c r="M73" s="34">
        <f t="shared" si="16"/>
        <v>20</v>
      </c>
      <c r="N73" s="34">
        <f t="shared" si="16"/>
        <v>19</v>
      </c>
      <c r="O73" s="34">
        <f t="shared" si="16"/>
        <v>30</v>
      </c>
      <c r="P73" s="34">
        <f t="shared" si="16"/>
        <v>23</v>
      </c>
      <c r="Q73" s="34">
        <f t="shared" si="16"/>
        <v>29</v>
      </c>
      <c r="R73" s="34">
        <f t="shared" si="16"/>
        <v>32</v>
      </c>
      <c r="S73" s="34">
        <f t="shared" si="16"/>
        <v>91</v>
      </c>
      <c r="T73" s="34">
        <f t="shared" si="16"/>
        <v>23</v>
      </c>
      <c r="U73" s="34">
        <f t="shared" si="16"/>
        <v>16</v>
      </c>
      <c r="V73" s="34">
        <f t="shared" si="16"/>
        <v>14</v>
      </c>
      <c r="W73" s="34">
        <f t="shared" si="16"/>
        <v>14</v>
      </c>
      <c r="X73" s="34">
        <f t="shared" si="16"/>
        <v>30</v>
      </c>
      <c r="Y73" s="34">
        <f t="shared" si="16"/>
        <v>20</v>
      </c>
      <c r="Z73" s="13">
        <f t="shared" si="13"/>
        <v>591</v>
      </c>
    </row>
    <row r="74" spans="1:26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13">
        <f t="shared" si="13"/>
        <v>0</v>
      </c>
    </row>
    <row r="75" spans="1:26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8</v>
      </c>
      <c r="F75" s="15">
        <v>3</v>
      </c>
      <c r="G75" s="15">
        <v>9</v>
      </c>
      <c r="H75" s="15">
        <v>6</v>
      </c>
      <c r="I75" s="15">
        <v>3</v>
      </c>
      <c r="J75" s="15">
        <v>6</v>
      </c>
      <c r="K75" s="15">
        <v>14</v>
      </c>
      <c r="L75" s="15">
        <v>3</v>
      </c>
      <c r="M75" s="15">
        <v>3</v>
      </c>
      <c r="N75" s="15">
        <v>2</v>
      </c>
      <c r="O75" s="15">
        <v>4</v>
      </c>
      <c r="P75" s="15">
        <v>1</v>
      </c>
      <c r="Q75" s="15">
        <v>5</v>
      </c>
      <c r="R75" s="15">
        <v>7</v>
      </c>
      <c r="S75" s="15">
        <v>1</v>
      </c>
      <c r="T75" s="15">
        <v>6</v>
      </c>
      <c r="U75" s="15">
        <v>1</v>
      </c>
      <c r="V75" s="15">
        <v>2</v>
      </c>
      <c r="W75" s="15">
        <v>5</v>
      </c>
      <c r="X75" s="15">
        <v>12</v>
      </c>
      <c r="Y75" s="15">
        <v>9</v>
      </c>
      <c r="Z75" s="13">
        <f t="shared" si="13"/>
        <v>110</v>
      </c>
    </row>
    <row r="76" spans="1:26" ht="12.75" customHeight="1" x14ac:dyDescent="0.3">
      <c r="A76" s="19" t="s">
        <v>39</v>
      </c>
      <c r="B76" s="27"/>
      <c r="C76" s="28" t="s">
        <v>65</v>
      </c>
      <c r="D76" s="29"/>
      <c r="E76" s="15">
        <v>43</v>
      </c>
      <c r="F76" s="15">
        <v>16</v>
      </c>
      <c r="G76" s="15">
        <v>8</v>
      </c>
      <c r="H76" s="15">
        <v>11</v>
      </c>
      <c r="I76" s="15">
        <v>22</v>
      </c>
      <c r="J76" s="15">
        <v>21</v>
      </c>
      <c r="K76" s="15">
        <v>10</v>
      </c>
      <c r="L76" s="15">
        <v>2</v>
      </c>
      <c r="M76" s="15">
        <v>7</v>
      </c>
      <c r="N76" s="15">
        <v>5</v>
      </c>
      <c r="O76" s="15">
        <v>16</v>
      </c>
      <c r="P76" s="15">
        <v>6</v>
      </c>
      <c r="Q76" s="15">
        <v>5</v>
      </c>
      <c r="R76" s="15">
        <v>9</v>
      </c>
      <c r="S76" s="15">
        <v>8</v>
      </c>
      <c r="T76" s="15">
        <v>14</v>
      </c>
      <c r="U76" s="15">
        <v>5</v>
      </c>
      <c r="V76" s="15">
        <v>5</v>
      </c>
      <c r="W76" s="15">
        <v>54</v>
      </c>
      <c r="X76" s="15">
        <v>80</v>
      </c>
      <c r="Y76" s="15">
        <v>64</v>
      </c>
      <c r="Z76" s="13">
        <f t="shared" si="13"/>
        <v>411</v>
      </c>
    </row>
    <row r="77" spans="1:26" ht="12.75" customHeight="1" x14ac:dyDescent="0.3">
      <c r="A77" s="14"/>
      <c r="B77" s="27"/>
      <c r="C77" s="28" t="s">
        <v>66</v>
      </c>
      <c r="D77" s="29"/>
      <c r="E77" s="15">
        <v>37</v>
      </c>
      <c r="F77" s="15">
        <v>8</v>
      </c>
      <c r="G77" s="15">
        <v>11</v>
      </c>
      <c r="H77" s="15">
        <v>13</v>
      </c>
      <c r="I77" s="15">
        <v>6</v>
      </c>
      <c r="J77" s="15">
        <v>10</v>
      </c>
      <c r="K77" s="15">
        <v>2</v>
      </c>
      <c r="L77" s="15">
        <v>0</v>
      </c>
      <c r="M77" s="15">
        <v>1</v>
      </c>
      <c r="N77" s="15">
        <v>0</v>
      </c>
      <c r="O77" s="15">
        <v>1</v>
      </c>
      <c r="P77" s="15">
        <v>17</v>
      </c>
      <c r="Q77" s="15">
        <v>1</v>
      </c>
      <c r="R77" s="15">
        <v>3</v>
      </c>
      <c r="S77" s="15">
        <v>2</v>
      </c>
      <c r="T77" s="15">
        <v>0</v>
      </c>
      <c r="U77" s="15">
        <v>0</v>
      </c>
      <c r="V77" s="15">
        <v>0</v>
      </c>
      <c r="W77" s="15">
        <v>0</v>
      </c>
      <c r="X77" s="15">
        <v>2</v>
      </c>
      <c r="Y77" s="15">
        <v>1</v>
      </c>
      <c r="Z77" s="13">
        <f t="shared" si="13"/>
        <v>115</v>
      </c>
    </row>
    <row r="78" spans="1:26" ht="12.75" customHeight="1" x14ac:dyDescent="0.3">
      <c r="A78" s="14"/>
      <c r="B78" s="27"/>
      <c r="C78" s="28" t="s">
        <v>67</v>
      </c>
      <c r="D78" s="29"/>
      <c r="E78" s="15">
        <v>1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1</v>
      </c>
      <c r="M78" s="15">
        <v>0</v>
      </c>
      <c r="N78" s="15">
        <v>0</v>
      </c>
      <c r="O78" s="15">
        <v>1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1</v>
      </c>
      <c r="W78" s="15">
        <v>0</v>
      </c>
      <c r="X78" s="15">
        <v>0</v>
      </c>
      <c r="Y78" s="15">
        <v>0</v>
      </c>
      <c r="Z78" s="13">
        <f t="shared" si="13"/>
        <v>4</v>
      </c>
    </row>
    <row r="79" spans="1:26" ht="12.75" customHeight="1" x14ac:dyDescent="0.3">
      <c r="A79" s="14"/>
      <c r="B79" s="27"/>
      <c r="C79" s="28" t="s">
        <v>68</v>
      </c>
      <c r="D79" s="29"/>
      <c r="E79" s="15">
        <v>0</v>
      </c>
      <c r="F79" s="15">
        <v>1</v>
      </c>
      <c r="G79" s="15">
        <v>1</v>
      </c>
      <c r="H79" s="15">
        <v>0</v>
      </c>
      <c r="I79" s="15">
        <v>3</v>
      </c>
      <c r="J79" s="15">
        <v>0</v>
      </c>
      <c r="K79" s="15">
        <v>0</v>
      </c>
      <c r="L79" s="15">
        <v>0</v>
      </c>
      <c r="M79" s="15">
        <v>0</v>
      </c>
      <c r="N79" s="15">
        <v>1</v>
      </c>
      <c r="O79" s="15">
        <v>0</v>
      </c>
      <c r="P79" s="15">
        <v>0</v>
      </c>
      <c r="Q79" s="15">
        <v>1</v>
      </c>
      <c r="R79" s="15">
        <v>0</v>
      </c>
      <c r="S79" s="15">
        <v>0</v>
      </c>
      <c r="T79" s="15">
        <v>0</v>
      </c>
      <c r="U79" s="15">
        <v>1</v>
      </c>
      <c r="V79" s="15">
        <v>1</v>
      </c>
      <c r="W79" s="15">
        <v>1</v>
      </c>
      <c r="X79" s="15">
        <v>1</v>
      </c>
      <c r="Y79" s="15">
        <v>0</v>
      </c>
      <c r="Z79" s="13">
        <f t="shared" si="13"/>
        <v>11</v>
      </c>
    </row>
    <row r="80" spans="1:26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1</v>
      </c>
      <c r="K80" s="15">
        <v>0</v>
      </c>
      <c r="L80" s="15">
        <v>1</v>
      </c>
      <c r="M80" s="15">
        <v>1</v>
      </c>
      <c r="N80" s="15">
        <v>0</v>
      </c>
      <c r="O80" s="15">
        <v>0</v>
      </c>
      <c r="P80" s="15">
        <v>0</v>
      </c>
      <c r="Q80" s="15">
        <v>2</v>
      </c>
      <c r="R80" s="15">
        <v>1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3">
        <f t="shared" si="13"/>
        <v>6</v>
      </c>
    </row>
    <row r="81" spans="1:26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3">
        <f t="shared" si="13"/>
        <v>0</v>
      </c>
    </row>
    <row r="82" spans="1:26" ht="12.75" customHeight="1" x14ac:dyDescent="0.3">
      <c r="A82" s="14"/>
      <c r="B82" s="27"/>
      <c r="C82" s="28" t="s">
        <v>71</v>
      </c>
      <c r="D82" s="29"/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1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3">
        <f t="shared" si="13"/>
        <v>1</v>
      </c>
    </row>
    <row r="83" spans="1:26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Y83" si="17">SUM(E75:E82)</f>
        <v>89</v>
      </c>
      <c r="F83" s="34">
        <f t="shared" si="17"/>
        <v>28</v>
      </c>
      <c r="G83" s="34">
        <f t="shared" si="17"/>
        <v>29</v>
      </c>
      <c r="H83" s="34">
        <f t="shared" si="17"/>
        <v>30</v>
      </c>
      <c r="I83" s="34">
        <f t="shared" si="17"/>
        <v>34</v>
      </c>
      <c r="J83" s="34">
        <f t="shared" si="17"/>
        <v>38</v>
      </c>
      <c r="K83" s="34">
        <f t="shared" si="17"/>
        <v>26</v>
      </c>
      <c r="L83" s="34">
        <f t="shared" si="17"/>
        <v>8</v>
      </c>
      <c r="M83" s="34">
        <f t="shared" si="17"/>
        <v>12</v>
      </c>
      <c r="N83" s="34">
        <f t="shared" si="17"/>
        <v>8</v>
      </c>
      <c r="O83" s="34">
        <f t="shared" si="17"/>
        <v>22</v>
      </c>
      <c r="P83" s="34">
        <f t="shared" si="17"/>
        <v>24</v>
      </c>
      <c r="Q83" s="34">
        <f t="shared" si="17"/>
        <v>14</v>
      </c>
      <c r="R83" s="34">
        <f t="shared" si="17"/>
        <v>20</v>
      </c>
      <c r="S83" s="34">
        <f t="shared" si="17"/>
        <v>11</v>
      </c>
      <c r="T83" s="34">
        <f t="shared" si="17"/>
        <v>20</v>
      </c>
      <c r="U83" s="34">
        <f t="shared" si="17"/>
        <v>7</v>
      </c>
      <c r="V83" s="34">
        <f t="shared" si="17"/>
        <v>9</v>
      </c>
      <c r="W83" s="34">
        <f t="shared" si="17"/>
        <v>60</v>
      </c>
      <c r="X83" s="34">
        <f t="shared" si="17"/>
        <v>95</v>
      </c>
      <c r="Y83" s="34">
        <f t="shared" si="17"/>
        <v>74</v>
      </c>
      <c r="Z83" s="13">
        <f t="shared" si="13"/>
        <v>658</v>
      </c>
    </row>
    <row r="84" spans="1:26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13">
        <f t="shared" si="13"/>
        <v>0</v>
      </c>
    </row>
    <row r="85" spans="1:26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6</v>
      </c>
      <c r="F85" s="15">
        <v>4</v>
      </c>
      <c r="G85" s="15">
        <v>3</v>
      </c>
      <c r="H85" s="15">
        <v>4</v>
      </c>
      <c r="I85" s="15">
        <v>4</v>
      </c>
      <c r="J85" s="15">
        <v>5</v>
      </c>
      <c r="K85" s="15">
        <v>2</v>
      </c>
      <c r="L85" s="15">
        <v>1</v>
      </c>
      <c r="M85" s="15">
        <v>7</v>
      </c>
      <c r="N85" s="15">
        <v>3</v>
      </c>
      <c r="O85" s="15">
        <v>2</v>
      </c>
      <c r="P85" s="15">
        <v>1</v>
      </c>
      <c r="Q85" s="15">
        <v>9</v>
      </c>
      <c r="R85" s="15">
        <v>9</v>
      </c>
      <c r="S85" s="15">
        <v>5</v>
      </c>
      <c r="T85" s="15">
        <v>3</v>
      </c>
      <c r="U85" s="15">
        <v>6</v>
      </c>
      <c r="V85" s="15">
        <v>10</v>
      </c>
      <c r="W85" s="15">
        <v>5</v>
      </c>
      <c r="X85" s="15">
        <v>0</v>
      </c>
      <c r="Y85" s="15">
        <v>4</v>
      </c>
      <c r="Z85" s="13">
        <f t="shared" si="13"/>
        <v>93</v>
      </c>
    </row>
    <row r="86" spans="1:26" ht="12.75" customHeight="1" x14ac:dyDescent="0.3">
      <c r="A86" s="19" t="s">
        <v>39</v>
      </c>
      <c r="B86" s="27"/>
      <c r="C86" s="28" t="s">
        <v>74</v>
      </c>
      <c r="D86" s="29"/>
      <c r="E86" s="15">
        <v>3</v>
      </c>
      <c r="F86" s="15">
        <v>5</v>
      </c>
      <c r="G86" s="15">
        <v>19</v>
      </c>
      <c r="H86" s="15">
        <v>37</v>
      </c>
      <c r="I86" s="15">
        <v>33</v>
      </c>
      <c r="J86" s="15">
        <v>32</v>
      </c>
      <c r="K86" s="15">
        <v>4</v>
      </c>
      <c r="L86" s="15">
        <v>2</v>
      </c>
      <c r="M86" s="15">
        <v>46</v>
      </c>
      <c r="N86" s="15">
        <v>18</v>
      </c>
      <c r="O86" s="15">
        <v>11</v>
      </c>
      <c r="P86" s="15">
        <v>9</v>
      </c>
      <c r="Q86" s="15">
        <v>25</v>
      </c>
      <c r="R86" s="15">
        <v>35</v>
      </c>
      <c r="S86" s="15">
        <v>18</v>
      </c>
      <c r="T86" s="15">
        <v>1</v>
      </c>
      <c r="U86" s="15">
        <v>1</v>
      </c>
      <c r="V86" s="15">
        <v>65</v>
      </c>
      <c r="W86" s="15">
        <v>60</v>
      </c>
      <c r="X86" s="15">
        <v>1</v>
      </c>
      <c r="Y86" s="15">
        <v>9</v>
      </c>
      <c r="Z86" s="13">
        <f t="shared" si="13"/>
        <v>434</v>
      </c>
    </row>
    <row r="87" spans="1:26" ht="12.75" customHeight="1" x14ac:dyDescent="0.3">
      <c r="A87" s="14"/>
      <c r="B87" s="27"/>
      <c r="C87" s="28" t="s">
        <v>75</v>
      </c>
      <c r="D87" s="29"/>
      <c r="E87" s="15">
        <v>0</v>
      </c>
      <c r="F87" s="15">
        <v>1</v>
      </c>
      <c r="G87" s="15">
        <v>1</v>
      </c>
      <c r="H87" s="15">
        <v>1</v>
      </c>
      <c r="I87" s="15">
        <v>0</v>
      </c>
      <c r="J87" s="15">
        <v>3</v>
      </c>
      <c r="K87" s="15">
        <v>1</v>
      </c>
      <c r="L87" s="15">
        <v>0</v>
      </c>
      <c r="M87" s="15">
        <v>0</v>
      </c>
      <c r="N87" s="15">
        <v>0</v>
      </c>
      <c r="O87" s="15">
        <v>0</v>
      </c>
      <c r="P87" s="15">
        <v>1</v>
      </c>
      <c r="Q87" s="15">
        <v>0</v>
      </c>
      <c r="R87" s="15">
        <v>2</v>
      </c>
      <c r="S87" s="15">
        <v>0</v>
      </c>
      <c r="T87" s="15">
        <v>0</v>
      </c>
      <c r="U87" s="15">
        <v>0</v>
      </c>
      <c r="V87" s="15">
        <v>0</v>
      </c>
      <c r="W87" s="15">
        <v>1</v>
      </c>
      <c r="X87" s="15">
        <v>0</v>
      </c>
      <c r="Y87" s="15">
        <v>0</v>
      </c>
      <c r="Z87" s="13">
        <f t="shared" si="13"/>
        <v>11</v>
      </c>
    </row>
    <row r="88" spans="1:26" ht="12.75" customHeight="1" x14ac:dyDescent="0.3">
      <c r="A88" s="14"/>
      <c r="B88" s="27"/>
      <c r="C88" s="28" t="s">
        <v>76</v>
      </c>
      <c r="D88" s="29"/>
      <c r="E88" s="15">
        <v>1</v>
      </c>
      <c r="F88" s="15">
        <v>2</v>
      </c>
      <c r="G88" s="15">
        <v>4</v>
      </c>
      <c r="H88" s="15">
        <v>7</v>
      </c>
      <c r="I88" s="15">
        <v>2</v>
      </c>
      <c r="J88" s="15">
        <v>0</v>
      </c>
      <c r="K88" s="15">
        <v>3</v>
      </c>
      <c r="L88" s="15">
        <v>0</v>
      </c>
      <c r="M88" s="15">
        <v>2</v>
      </c>
      <c r="N88" s="15">
        <v>1</v>
      </c>
      <c r="O88" s="15">
        <v>1</v>
      </c>
      <c r="P88" s="15">
        <v>0</v>
      </c>
      <c r="Q88" s="15">
        <v>0</v>
      </c>
      <c r="R88" s="15">
        <v>2</v>
      </c>
      <c r="S88" s="15">
        <v>2</v>
      </c>
      <c r="T88" s="15">
        <v>30</v>
      </c>
      <c r="U88" s="15">
        <v>56</v>
      </c>
      <c r="V88" s="15">
        <v>24</v>
      </c>
      <c r="W88" s="15">
        <v>5</v>
      </c>
      <c r="X88" s="15">
        <v>1</v>
      </c>
      <c r="Y88" s="15">
        <v>3</v>
      </c>
      <c r="Z88" s="13">
        <f t="shared" si="13"/>
        <v>146</v>
      </c>
    </row>
    <row r="89" spans="1:26" ht="12.75" customHeight="1" x14ac:dyDescent="0.3">
      <c r="A89" s="14"/>
      <c r="B89" s="27"/>
      <c r="C89" s="28" t="s">
        <v>77</v>
      </c>
      <c r="D89" s="29"/>
      <c r="E89" s="15">
        <v>0</v>
      </c>
      <c r="F89" s="15">
        <v>1</v>
      </c>
      <c r="G89" s="15">
        <v>0</v>
      </c>
      <c r="H89" s="15">
        <v>0</v>
      </c>
      <c r="I89" s="15">
        <v>0</v>
      </c>
      <c r="J89" s="15">
        <v>0</v>
      </c>
      <c r="K89" s="15">
        <v>0</v>
      </c>
      <c r="L89" s="15">
        <v>0</v>
      </c>
      <c r="M89" s="15">
        <v>1</v>
      </c>
      <c r="N89" s="15">
        <v>0</v>
      </c>
      <c r="O89" s="15">
        <v>0</v>
      </c>
      <c r="P89" s="15">
        <v>0</v>
      </c>
      <c r="Q89" s="15">
        <v>1</v>
      </c>
      <c r="R89" s="15">
        <v>0</v>
      </c>
      <c r="S89" s="15">
        <v>1</v>
      </c>
      <c r="T89" s="15">
        <v>0</v>
      </c>
      <c r="U89" s="15">
        <v>1</v>
      </c>
      <c r="V89" s="15">
        <v>1</v>
      </c>
      <c r="W89" s="15">
        <v>1</v>
      </c>
      <c r="X89" s="15">
        <v>0</v>
      </c>
      <c r="Y89" s="15">
        <v>0</v>
      </c>
      <c r="Z89" s="13">
        <f t="shared" si="13"/>
        <v>7</v>
      </c>
    </row>
    <row r="90" spans="1:26" ht="12.75" customHeight="1" x14ac:dyDescent="0.3">
      <c r="A90" s="14"/>
      <c r="B90" s="27"/>
      <c r="C90" s="28" t="s">
        <v>78</v>
      </c>
      <c r="D90" s="29"/>
      <c r="E90" s="15">
        <v>23</v>
      </c>
      <c r="F90" s="15">
        <v>57</v>
      </c>
      <c r="G90" s="15">
        <v>3</v>
      </c>
      <c r="H90" s="15">
        <v>3</v>
      </c>
      <c r="I90" s="15">
        <v>2</v>
      </c>
      <c r="J90" s="15">
        <v>2</v>
      </c>
      <c r="K90" s="15">
        <v>0</v>
      </c>
      <c r="L90" s="15">
        <v>0</v>
      </c>
      <c r="M90" s="15">
        <v>0</v>
      </c>
      <c r="N90" s="15">
        <v>8</v>
      </c>
      <c r="O90" s="15">
        <v>7</v>
      </c>
      <c r="P90" s="15">
        <v>6</v>
      </c>
      <c r="Q90" s="15">
        <v>46</v>
      </c>
      <c r="R90" s="15">
        <v>29</v>
      </c>
      <c r="S90" s="15">
        <v>6</v>
      </c>
      <c r="T90" s="15">
        <v>9</v>
      </c>
      <c r="U90" s="15">
        <v>26</v>
      </c>
      <c r="V90" s="15">
        <v>3</v>
      </c>
      <c r="W90" s="15">
        <v>0</v>
      </c>
      <c r="X90" s="15">
        <v>2</v>
      </c>
      <c r="Y90" s="15">
        <v>5</v>
      </c>
      <c r="Z90" s="13">
        <f t="shared" si="13"/>
        <v>237</v>
      </c>
    </row>
    <row r="91" spans="1:26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1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1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1</v>
      </c>
      <c r="V91" s="15">
        <v>0</v>
      </c>
      <c r="W91" s="15">
        <v>0</v>
      </c>
      <c r="X91" s="15">
        <v>0</v>
      </c>
      <c r="Y91" s="15">
        <v>0</v>
      </c>
      <c r="Z91" s="13">
        <f t="shared" si="13"/>
        <v>3</v>
      </c>
    </row>
    <row r="92" spans="1:26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3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3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3</v>
      </c>
      <c r="Z92" s="13">
        <f t="shared" si="13"/>
        <v>9</v>
      </c>
    </row>
    <row r="93" spans="1:26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Y93" si="18">SUM(E85:E92)</f>
        <v>33</v>
      </c>
      <c r="F93" s="34">
        <f t="shared" si="18"/>
        <v>73</v>
      </c>
      <c r="G93" s="34">
        <f t="shared" si="18"/>
        <v>31</v>
      </c>
      <c r="H93" s="34">
        <f t="shared" si="18"/>
        <v>52</v>
      </c>
      <c r="I93" s="34">
        <f t="shared" si="18"/>
        <v>41</v>
      </c>
      <c r="J93" s="34">
        <f t="shared" si="18"/>
        <v>42</v>
      </c>
      <c r="K93" s="34">
        <f t="shared" si="18"/>
        <v>10</v>
      </c>
      <c r="L93" s="34">
        <f t="shared" si="18"/>
        <v>3</v>
      </c>
      <c r="M93" s="34">
        <f t="shared" si="18"/>
        <v>56</v>
      </c>
      <c r="N93" s="34">
        <f t="shared" si="18"/>
        <v>30</v>
      </c>
      <c r="O93" s="34">
        <f t="shared" si="18"/>
        <v>22</v>
      </c>
      <c r="P93" s="34">
        <f t="shared" si="18"/>
        <v>17</v>
      </c>
      <c r="Q93" s="34">
        <f t="shared" si="18"/>
        <v>81</v>
      </c>
      <c r="R93" s="34">
        <f t="shared" si="18"/>
        <v>80</v>
      </c>
      <c r="S93" s="34">
        <f t="shared" si="18"/>
        <v>32</v>
      </c>
      <c r="T93" s="34">
        <f t="shared" si="18"/>
        <v>43</v>
      </c>
      <c r="U93" s="34">
        <f t="shared" si="18"/>
        <v>91</v>
      </c>
      <c r="V93" s="34">
        <f t="shared" si="18"/>
        <v>103</v>
      </c>
      <c r="W93" s="34">
        <f t="shared" si="18"/>
        <v>72</v>
      </c>
      <c r="X93" s="34">
        <f t="shared" si="18"/>
        <v>4</v>
      </c>
      <c r="Y93" s="34">
        <f t="shared" si="18"/>
        <v>24</v>
      </c>
      <c r="Z93" s="13">
        <f t="shared" si="13"/>
        <v>940</v>
      </c>
    </row>
    <row r="94" spans="1:26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13">
        <f t="shared" si="13"/>
        <v>0</v>
      </c>
    </row>
    <row r="95" spans="1:26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1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0</v>
      </c>
      <c r="M95" s="15">
        <v>1</v>
      </c>
      <c r="N95" s="15">
        <v>0</v>
      </c>
      <c r="O95" s="15">
        <v>0</v>
      </c>
      <c r="P95" s="15">
        <v>0</v>
      </c>
      <c r="Q95" s="15">
        <v>1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2</v>
      </c>
      <c r="Y95" s="15">
        <v>0</v>
      </c>
      <c r="Z95" s="13">
        <f t="shared" si="13"/>
        <v>5</v>
      </c>
    </row>
    <row r="96" spans="1:26" ht="12.75" customHeight="1" x14ac:dyDescent="0.3">
      <c r="A96" s="19" t="s">
        <v>39</v>
      </c>
      <c r="B96" s="27"/>
      <c r="C96" s="28" t="s">
        <v>83</v>
      </c>
      <c r="D96" s="40"/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1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1</v>
      </c>
      <c r="Z96" s="13">
        <f t="shared" si="13"/>
        <v>2</v>
      </c>
    </row>
    <row r="97" spans="1:26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Y97" si="19">SUM(E95:E96)</f>
        <v>1</v>
      </c>
      <c r="F97" s="34">
        <f t="shared" si="19"/>
        <v>0</v>
      </c>
      <c r="G97" s="34">
        <f t="shared" si="19"/>
        <v>0</v>
      </c>
      <c r="H97" s="34">
        <f t="shared" si="19"/>
        <v>0</v>
      </c>
      <c r="I97" s="34">
        <f t="shared" si="19"/>
        <v>0</v>
      </c>
      <c r="J97" s="34">
        <f t="shared" si="19"/>
        <v>0</v>
      </c>
      <c r="K97" s="34">
        <f t="shared" si="19"/>
        <v>0</v>
      </c>
      <c r="L97" s="34">
        <f t="shared" si="19"/>
        <v>0</v>
      </c>
      <c r="M97" s="34">
        <f t="shared" si="19"/>
        <v>1</v>
      </c>
      <c r="N97" s="34">
        <f t="shared" si="19"/>
        <v>0</v>
      </c>
      <c r="O97" s="34">
        <f t="shared" si="19"/>
        <v>1</v>
      </c>
      <c r="P97" s="34">
        <f t="shared" si="19"/>
        <v>0</v>
      </c>
      <c r="Q97" s="34">
        <f t="shared" si="19"/>
        <v>1</v>
      </c>
      <c r="R97" s="34">
        <f t="shared" si="19"/>
        <v>0</v>
      </c>
      <c r="S97" s="34">
        <f t="shared" si="19"/>
        <v>0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0</v>
      </c>
      <c r="X97" s="34">
        <f t="shared" si="19"/>
        <v>2</v>
      </c>
      <c r="Y97" s="34">
        <f t="shared" si="19"/>
        <v>1</v>
      </c>
      <c r="Z97" s="13">
        <f t="shared" si="13"/>
        <v>7</v>
      </c>
    </row>
    <row r="98" spans="1:26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13">
        <f t="shared" si="13"/>
        <v>0</v>
      </c>
    </row>
    <row r="99" spans="1:26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1</v>
      </c>
      <c r="F99" s="15">
        <v>1</v>
      </c>
      <c r="G99" s="15">
        <v>2</v>
      </c>
      <c r="H99" s="15">
        <v>0</v>
      </c>
      <c r="I99" s="15">
        <v>0</v>
      </c>
      <c r="J99" s="15">
        <v>1</v>
      </c>
      <c r="K99" s="15">
        <v>0</v>
      </c>
      <c r="L99" s="15">
        <v>1</v>
      </c>
      <c r="M99" s="15">
        <v>1</v>
      </c>
      <c r="N99" s="15">
        <v>0</v>
      </c>
      <c r="O99" s="15">
        <v>0</v>
      </c>
      <c r="P99" s="15">
        <v>1</v>
      </c>
      <c r="Q99" s="15">
        <v>1</v>
      </c>
      <c r="R99" s="15">
        <v>0</v>
      </c>
      <c r="S99" s="15">
        <v>0</v>
      </c>
      <c r="T99" s="15">
        <v>2</v>
      </c>
      <c r="U99" s="15">
        <v>1</v>
      </c>
      <c r="V99" s="15">
        <v>2</v>
      </c>
      <c r="W99" s="15">
        <v>0</v>
      </c>
      <c r="X99" s="15">
        <v>0</v>
      </c>
      <c r="Y99" s="15">
        <v>1</v>
      </c>
      <c r="Z99" s="13">
        <f t="shared" si="13"/>
        <v>15</v>
      </c>
    </row>
    <row r="100" spans="1:26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0</v>
      </c>
      <c r="G100" s="15">
        <v>0</v>
      </c>
      <c r="H100" s="15">
        <v>2</v>
      </c>
      <c r="I100" s="15">
        <v>1</v>
      </c>
      <c r="J100" s="15">
        <v>1</v>
      </c>
      <c r="K100" s="15">
        <v>0</v>
      </c>
      <c r="L100" s="15">
        <v>0</v>
      </c>
      <c r="M100" s="15">
        <v>1</v>
      </c>
      <c r="N100" s="15">
        <v>0</v>
      </c>
      <c r="O100" s="15">
        <v>0</v>
      </c>
      <c r="P100" s="15">
        <v>0</v>
      </c>
      <c r="Q100" s="15">
        <v>1</v>
      </c>
      <c r="R100" s="15">
        <v>0</v>
      </c>
      <c r="S100" s="15">
        <v>0</v>
      </c>
      <c r="T100" s="15">
        <v>0</v>
      </c>
      <c r="U100" s="15">
        <v>1</v>
      </c>
      <c r="V100" s="15">
        <v>1</v>
      </c>
      <c r="W100" s="15">
        <v>1</v>
      </c>
      <c r="X100" s="15">
        <v>1</v>
      </c>
      <c r="Y100" s="15">
        <v>0</v>
      </c>
      <c r="Z100" s="13">
        <f t="shared" si="13"/>
        <v>10</v>
      </c>
    </row>
    <row r="101" spans="1:26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Y101" si="20">SUM(E99:E100)</f>
        <v>1</v>
      </c>
      <c r="F101" s="34">
        <f t="shared" si="20"/>
        <v>1</v>
      </c>
      <c r="G101" s="34">
        <f t="shared" si="20"/>
        <v>2</v>
      </c>
      <c r="H101" s="34">
        <f t="shared" si="20"/>
        <v>2</v>
      </c>
      <c r="I101" s="34">
        <f t="shared" si="20"/>
        <v>1</v>
      </c>
      <c r="J101" s="34">
        <f t="shared" si="20"/>
        <v>2</v>
      </c>
      <c r="K101" s="34">
        <f t="shared" si="20"/>
        <v>0</v>
      </c>
      <c r="L101" s="34">
        <f t="shared" si="20"/>
        <v>1</v>
      </c>
      <c r="M101" s="34">
        <f t="shared" si="20"/>
        <v>2</v>
      </c>
      <c r="N101" s="34">
        <f t="shared" si="20"/>
        <v>0</v>
      </c>
      <c r="O101" s="34">
        <f t="shared" si="20"/>
        <v>0</v>
      </c>
      <c r="P101" s="34">
        <f t="shared" si="20"/>
        <v>1</v>
      </c>
      <c r="Q101" s="34">
        <f t="shared" si="20"/>
        <v>2</v>
      </c>
      <c r="R101" s="34">
        <f t="shared" si="20"/>
        <v>0</v>
      </c>
      <c r="S101" s="34">
        <f t="shared" si="20"/>
        <v>0</v>
      </c>
      <c r="T101" s="34">
        <f t="shared" si="20"/>
        <v>2</v>
      </c>
      <c r="U101" s="34">
        <f t="shared" si="20"/>
        <v>2</v>
      </c>
      <c r="V101" s="34">
        <f t="shared" si="20"/>
        <v>3</v>
      </c>
      <c r="W101" s="34">
        <f t="shared" si="20"/>
        <v>1</v>
      </c>
      <c r="X101" s="34">
        <f t="shared" si="20"/>
        <v>1</v>
      </c>
      <c r="Y101" s="34">
        <f t="shared" si="20"/>
        <v>1</v>
      </c>
      <c r="Z101" s="13">
        <f t="shared" si="13"/>
        <v>25</v>
      </c>
    </row>
    <row r="102" spans="1:26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13">
        <f t="shared" si="13"/>
        <v>0</v>
      </c>
    </row>
    <row r="103" spans="1:26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0</v>
      </c>
      <c r="I103" s="15">
        <v>1</v>
      </c>
      <c r="J103" s="15">
        <v>0</v>
      </c>
      <c r="K103" s="15">
        <v>0</v>
      </c>
      <c r="L103" s="15">
        <v>0</v>
      </c>
      <c r="M103" s="15">
        <v>0</v>
      </c>
      <c r="N103" s="15">
        <v>1</v>
      </c>
      <c r="O103" s="15">
        <v>0</v>
      </c>
      <c r="P103" s="15">
        <v>1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1</v>
      </c>
      <c r="W103" s="15">
        <v>0</v>
      </c>
      <c r="X103" s="15">
        <v>2</v>
      </c>
      <c r="Y103" s="15">
        <v>1</v>
      </c>
      <c r="Z103" s="13">
        <f t="shared" si="13"/>
        <v>7</v>
      </c>
    </row>
    <row r="104" spans="1:26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5">
        <v>0</v>
      </c>
      <c r="K104" s="15">
        <v>0</v>
      </c>
      <c r="L104" s="15">
        <v>0</v>
      </c>
      <c r="M104" s="15">
        <v>0</v>
      </c>
      <c r="N104" s="15">
        <v>1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3">
        <f t="shared" si="13"/>
        <v>1</v>
      </c>
    </row>
    <row r="105" spans="1:26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0</v>
      </c>
      <c r="G105" s="15">
        <v>0</v>
      </c>
      <c r="H105" s="15">
        <v>0</v>
      </c>
      <c r="I105" s="15">
        <v>1</v>
      </c>
      <c r="J105" s="15">
        <v>2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2</v>
      </c>
      <c r="Q105" s="15">
        <v>0</v>
      </c>
      <c r="R105" s="15">
        <v>0</v>
      </c>
      <c r="S105" s="15">
        <v>1</v>
      </c>
      <c r="T105" s="15">
        <v>2</v>
      </c>
      <c r="U105" s="15">
        <v>1</v>
      </c>
      <c r="V105" s="15">
        <v>0</v>
      </c>
      <c r="W105" s="15">
        <v>0</v>
      </c>
      <c r="X105" s="15">
        <v>2</v>
      </c>
      <c r="Y105" s="15">
        <v>0</v>
      </c>
      <c r="Z105" s="13">
        <f t="shared" si="13"/>
        <v>11</v>
      </c>
    </row>
    <row r="106" spans="1:26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3">
        <f t="shared" si="13"/>
        <v>0</v>
      </c>
    </row>
    <row r="107" spans="1:26" ht="12.75" customHeight="1" x14ac:dyDescent="0.3">
      <c r="A107" s="14"/>
      <c r="B107" s="27"/>
      <c r="C107" s="28" t="s">
        <v>92</v>
      </c>
      <c r="D107" s="29"/>
      <c r="E107" s="15">
        <v>6</v>
      </c>
      <c r="F107" s="15">
        <v>1</v>
      </c>
      <c r="G107" s="15">
        <v>1</v>
      </c>
      <c r="H107" s="15">
        <v>1</v>
      </c>
      <c r="I107" s="15">
        <v>2</v>
      </c>
      <c r="J107" s="15">
        <v>11</v>
      </c>
      <c r="K107" s="15">
        <v>1</v>
      </c>
      <c r="L107" s="15">
        <v>1</v>
      </c>
      <c r="M107" s="15">
        <v>1</v>
      </c>
      <c r="N107" s="15">
        <v>1</v>
      </c>
      <c r="O107" s="15">
        <v>1</v>
      </c>
      <c r="P107" s="15">
        <v>3</v>
      </c>
      <c r="Q107" s="15">
        <v>0</v>
      </c>
      <c r="R107" s="15">
        <v>1</v>
      </c>
      <c r="S107" s="15">
        <v>2</v>
      </c>
      <c r="T107" s="15">
        <v>0</v>
      </c>
      <c r="U107" s="15">
        <v>1</v>
      </c>
      <c r="V107" s="15">
        <v>1</v>
      </c>
      <c r="W107" s="15">
        <v>0</v>
      </c>
      <c r="X107" s="15">
        <v>1</v>
      </c>
      <c r="Y107" s="15">
        <v>1</v>
      </c>
      <c r="Z107" s="13">
        <f t="shared" si="13"/>
        <v>37</v>
      </c>
    </row>
    <row r="108" spans="1:26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1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3">
        <f t="shared" si="13"/>
        <v>1</v>
      </c>
    </row>
    <row r="109" spans="1:26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3">
        <f t="shared" si="13"/>
        <v>0</v>
      </c>
    </row>
    <row r="110" spans="1:26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3">
        <f t="shared" si="13"/>
        <v>0</v>
      </c>
    </row>
    <row r="111" spans="1:26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Y111" si="21">SUM(E103:E110)</f>
        <v>6</v>
      </c>
      <c r="F111" s="34">
        <f t="shared" si="21"/>
        <v>2</v>
      </c>
      <c r="G111" s="34">
        <f t="shared" si="21"/>
        <v>1</v>
      </c>
      <c r="H111" s="34">
        <f t="shared" si="21"/>
        <v>1</v>
      </c>
      <c r="I111" s="34">
        <f t="shared" si="21"/>
        <v>4</v>
      </c>
      <c r="J111" s="34">
        <f t="shared" si="21"/>
        <v>13</v>
      </c>
      <c r="K111" s="34">
        <f t="shared" si="21"/>
        <v>1</v>
      </c>
      <c r="L111" s="34">
        <f t="shared" si="21"/>
        <v>1</v>
      </c>
      <c r="M111" s="34">
        <f t="shared" si="21"/>
        <v>1</v>
      </c>
      <c r="N111" s="34">
        <f t="shared" si="21"/>
        <v>3</v>
      </c>
      <c r="O111" s="34">
        <f t="shared" si="21"/>
        <v>1</v>
      </c>
      <c r="P111" s="34">
        <f t="shared" si="21"/>
        <v>6</v>
      </c>
      <c r="Q111" s="34">
        <f t="shared" si="21"/>
        <v>0</v>
      </c>
      <c r="R111" s="34">
        <f t="shared" si="21"/>
        <v>1</v>
      </c>
      <c r="S111" s="34">
        <f t="shared" si="21"/>
        <v>3</v>
      </c>
      <c r="T111" s="34">
        <f t="shared" si="21"/>
        <v>2</v>
      </c>
      <c r="U111" s="34">
        <f t="shared" si="21"/>
        <v>2</v>
      </c>
      <c r="V111" s="34">
        <f t="shared" si="21"/>
        <v>2</v>
      </c>
      <c r="W111" s="34">
        <f t="shared" si="21"/>
        <v>0</v>
      </c>
      <c r="X111" s="34">
        <f t="shared" si="21"/>
        <v>5</v>
      </c>
      <c r="Y111" s="34">
        <f t="shared" si="21"/>
        <v>2</v>
      </c>
      <c r="Z111" s="13">
        <f t="shared" si="13"/>
        <v>57</v>
      </c>
    </row>
    <row r="112" spans="1:26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13">
        <f t="shared" si="13"/>
        <v>0</v>
      </c>
    </row>
    <row r="113" spans="1:28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/>
      <c r="F113" s="15">
        <v>0</v>
      </c>
      <c r="G113" s="15">
        <v>5</v>
      </c>
      <c r="H113" s="15">
        <v>6</v>
      </c>
      <c r="I113" s="15">
        <v>0</v>
      </c>
      <c r="J113" s="15">
        <v>0</v>
      </c>
      <c r="K113" s="15">
        <v>4</v>
      </c>
      <c r="L113" s="15">
        <v>2</v>
      </c>
      <c r="M113" s="15">
        <v>0</v>
      </c>
      <c r="N113" s="15">
        <v>1</v>
      </c>
      <c r="O113" s="15">
        <v>3</v>
      </c>
      <c r="P113" s="15">
        <v>0</v>
      </c>
      <c r="Q113" s="15">
        <v>2</v>
      </c>
      <c r="R113" s="15">
        <v>0</v>
      </c>
      <c r="S113" s="15">
        <v>0</v>
      </c>
      <c r="T113" s="15">
        <v>3</v>
      </c>
      <c r="U113" s="15">
        <v>0</v>
      </c>
      <c r="V113" s="15">
        <v>0</v>
      </c>
      <c r="W113" s="15">
        <v>3</v>
      </c>
      <c r="X113" s="15">
        <v>0</v>
      </c>
      <c r="Y113" s="15">
        <v>0</v>
      </c>
      <c r="Z113" s="13">
        <f t="shared" si="13"/>
        <v>29</v>
      </c>
    </row>
    <row r="114" spans="1:28" ht="12.75" customHeight="1" x14ac:dyDescent="0.3">
      <c r="A114" s="19" t="s">
        <v>39</v>
      </c>
      <c r="B114" s="26"/>
      <c r="C114" s="28" t="s">
        <v>98</v>
      </c>
      <c r="D114" s="40"/>
      <c r="E114" s="15"/>
      <c r="F114" s="15">
        <v>1</v>
      </c>
      <c r="G114" s="15">
        <v>5</v>
      </c>
      <c r="H114" s="15">
        <v>12</v>
      </c>
      <c r="I114" s="15">
        <v>0</v>
      </c>
      <c r="J114" s="15">
        <v>1</v>
      </c>
      <c r="K114" s="15">
        <v>12</v>
      </c>
      <c r="L114" s="15">
        <v>2</v>
      </c>
      <c r="M114" s="15">
        <v>1</v>
      </c>
      <c r="N114" s="15">
        <v>3</v>
      </c>
      <c r="O114" s="15">
        <v>2</v>
      </c>
      <c r="P114" s="15">
        <v>1</v>
      </c>
      <c r="Q114" s="15">
        <v>2</v>
      </c>
      <c r="R114" s="15">
        <v>0</v>
      </c>
      <c r="S114" s="15">
        <v>1</v>
      </c>
      <c r="T114" s="15">
        <v>1</v>
      </c>
      <c r="U114" s="15">
        <v>0</v>
      </c>
      <c r="V114" s="15">
        <v>1</v>
      </c>
      <c r="W114" s="15">
        <v>2</v>
      </c>
      <c r="X114" s="15">
        <v>1</v>
      </c>
      <c r="Y114" s="15">
        <v>0</v>
      </c>
      <c r="Z114" s="13">
        <f t="shared" si="13"/>
        <v>48</v>
      </c>
    </row>
    <row r="115" spans="1:28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Y115" si="22">SUM(E113:E114)</f>
        <v>0</v>
      </c>
      <c r="F115" s="34">
        <f t="shared" si="22"/>
        <v>1</v>
      </c>
      <c r="G115" s="34">
        <f t="shared" si="22"/>
        <v>10</v>
      </c>
      <c r="H115" s="34">
        <f t="shared" si="22"/>
        <v>18</v>
      </c>
      <c r="I115" s="34">
        <f t="shared" si="22"/>
        <v>0</v>
      </c>
      <c r="J115" s="34">
        <f t="shared" si="22"/>
        <v>1</v>
      </c>
      <c r="K115" s="34">
        <f t="shared" si="22"/>
        <v>16</v>
      </c>
      <c r="L115" s="34">
        <f t="shared" si="22"/>
        <v>4</v>
      </c>
      <c r="M115" s="34">
        <f t="shared" si="22"/>
        <v>1</v>
      </c>
      <c r="N115" s="34">
        <f t="shared" si="22"/>
        <v>4</v>
      </c>
      <c r="O115" s="34">
        <f t="shared" si="22"/>
        <v>5</v>
      </c>
      <c r="P115" s="34">
        <f t="shared" si="22"/>
        <v>1</v>
      </c>
      <c r="Q115" s="34">
        <f t="shared" si="22"/>
        <v>4</v>
      </c>
      <c r="R115" s="34">
        <f t="shared" si="22"/>
        <v>0</v>
      </c>
      <c r="S115" s="34">
        <f t="shared" si="22"/>
        <v>1</v>
      </c>
      <c r="T115" s="34">
        <f t="shared" si="22"/>
        <v>4</v>
      </c>
      <c r="U115" s="34">
        <f t="shared" si="22"/>
        <v>0</v>
      </c>
      <c r="V115" s="34">
        <f t="shared" si="22"/>
        <v>1</v>
      </c>
      <c r="W115" s="34">
        <f t="shared" si="22"/>
        <v>5</v>
      </c>
      <c r="X115" s="34">
        <f t="shared" si="22"/>
        <v>1</v>
      </c>
      <c r="Y115" s="34">
        <f t="shared" si="22"/>
        <v>0</v>
      </c>
      <c r="Z115" s="13">
        <f t="shared" si="13"/>
        <v>77</v>
      </c>
    </row>
    <row r="116" spans="1:28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13">
        <f t="shared" si="13"/>
        <v>0</v>
      </c>
    </row>
    <row r="117" spans="1:28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1</v>
      </c>
      <c r="O117" s="15">
        <v>1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1</v>
      </c>
      <c r="Z117" s="13">
        <f t="shared" si="13"/>
        <v>3</v>
      </c>
      <c r="AA117" s="5"/>
      <c r="AB117" s="5"/>
    </row>
    <row r="118" spans="1:28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0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3">
        <f t="shared" si="13"/>
        <v>0</v>
      </c>
      <c r="AA118" s="5"/>
      <c r="AB118" s="5"/>
    </row>
    <row r="119" spans="1:28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1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3">
        <f t="shared" si="13"/>
        <v>1</v>
      </c>
      <c r="AA119" s="5"/>
      <c r="AB119" s="5"/>
    </row>
    <row r="120" spans="1:28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3">
        <f t="shared" si="13"/>
        <v>0</v>
      </c>
      <c r="AA120" s="5"/>
      <c r="AB120" s="5"/>
    </row>
    <row r="121" spans="1:28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3">
        <f t="shared" si="13"/>
        <v>0</v>
      </c>
      <c r="AA121" s="5"/>
      <c r="AB121" s="5"/>
    </row>
    <row r="122" spans="1:28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1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3</v>
      </c>
      <c r="Q122" s="15">
        <v>0</v>
      </c>
      <c r="R122" s="15">
        <v>0</v>
      </c>
      <c r="S122" s="15">
        <v>2</v>
      </c>
      <c r="T122" s="15">
        <v>0</v>
      </c>
      <c r="U122" s="15">
        <v>0</v>
      </c>
      <c r="V122" s="15">
        <v>0</v>
      </c>
      <c r="W122" s="15">
        <v>0</v>
      </c>
      <c r="X122" s="15">
        <v>1</v>
      </c>
      <c r="Y122" s="15">
        <v>0</v>
      </c>
      <c r="Z122" s="13">
        <f t="shared" si="13"/>
        <v>7</v>
      </c>
      <c r="AA122" s="5"/>
      <c r="AB122" s="5"/>
    </row>
    <row r="123" spans="1:28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1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2</v>
      </c>
      <c r="Z123" s="13">
        <f t="shared" si="13"/>
        <v>3</v>
      </c>
      <c r="AA123" s="5"/>
      <c r="AB123" s="5"/>
    </row>
    <row r="124" spans="1:28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3">
        <f t="shared" si="13"/>
        <v>0</v>
      </c>
      <c r="AA124" s="5"/>
      <c r="AB124" s="5"/>
    </row>
    <row r="125" spans="1:28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Y125" si="23">SUM(E117:E124)</f>
        <v>0</v>
      </c>
      <c r="F125" s="34">
        <f t="shared" si="23"/>
        <v>0</v>
      </c>
      <c r="G125" s="34">
        <f t="shared" si="23"/>
        <v>0</v>
      </c>
      <c r="H125" s="34">
        <f t="shared" si="23"/>
        <v>1</v>
      </c>
      <c r="I125" s="34">
        <f t="shared" si="23"/>
        <v>0</v>
      </c>
      <c r="J125" s="34">
        <f t="shared" si="23"/>
        <v>1</v>
      </c>
      <c r="K125" s="34">
        <f t="shared" si="23"/>
        <v>0</v>
      </c>
      <c r="L125" s="34">
        <f t="shared" si="23"/>
        <v>0</v>
      </c>
      <c r="M125" s="34">
        <f t="shared" si="23"/>
        <v>0</v>
      </c>
      <c r="N125" s="34">
        <f t="shared" si="23"/>
        <v>1</v>
      </c>
      <c r="O125" s="34">
        <f t="shared" si="23"/>
        <v>2</v>
      </c>
      <c r="P125" s="34">
        <f t="shared" si="23"/>
        <v>3</v>
      </c>
      <c r="Q125" s="34">
        <f t="shared" si="23"/>
        <v>0</v>
      </c>
      <c r="R125" s="34">
        <f t="shared" si="23"/>
        <v>0</v>
      </c>
      <c r="S125" s="34">
        <f t="shared" si="23"/>
        <v>2</v>
      </c>
      <c r="T125" s="34">
        <f t="shared" si="23"/>
        <v>0</v>
      </c>
      <c r="U125" s="34">
        <f t="shared" si="23"/>
        <v>0</v>
      </c>
      <c r="V125" s="34">
        <f t="shared" si="23"/>
        <v>0</v>
      </c>
      <c r="W125" s="34">
        <f t="shared" si="23"/>
        <v>0</v>
      </c>
      <c r="X125" s="34">
        <f t="shared" si="23"/>
        <v>1</v>
      </c>
      <c r="Y125" s="34">
        <f t="shared" si="23"/>
        <v>3</v>
      </c>
      <c r="Z125" s="13">
        <f t="shared" si="13"/>
        <v>14</v>
      </c>
      <c r="AA125" s="5"/>
      <c r="AB125" s="5"/>
    </row>
    <row r="126" spans="1:28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13">
        <f t="shared" si="13"/>
        <v>0</v>
      </c>
      <c r="AA126" s="5"/>
      <c r="AB126" s="5"/>
    </row>
    <row r="127" spans="1:28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>
        <v>1</v>
      </c>
      <c r="T127" s="15">
        <v>1</v>
      </c>
      <c r="U127" s="15">
        <v>1</v>
      </c>
      <c r="V127" s="15">
        <v>0</v>
      </c>
      <c r="W127" s="15">
        <v>0</v>
      </c>
      <c r="X127" s="15">
        <v>0</v>
      </c>
      <c r="Y127" s="15">
        <v>1</v>
      </c>
      <c r="Z127" s="13">
        <f t="shared" si="13"/>
        <v>4</v>
      </c>
      <c r="AA127" s="5"/>
      <c r="AB127" s="5"/>
    </row>
    <row r="128" spans="1:28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3">
        <f t="shared" si="13"/>
        <v>0</v>
      </c>
      <c r="AA128" s="5"/>
      <c r="AB128" s="5"/>
    </row>
    <row r="129" spans="1:28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Y129" si="24">SUM(E127:E128)</f>
        <v>0</v>
      </c>
      <c r="F129" s="34">
        <f t="shared" si="24"/>
        <v>0</v>
      </c>
      <c r="G129" s="34">
        <f t="shared" si="24"/>
        <v>0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0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1</v>
      </c>
      <c r="T129" s="34">
        <f t="shared" si="24"/>
        <v>1</v>
      </c>
      <c r="U129" s="34">
        <f t="shared" si="24"/>
        <v>1</v>
      </c>
      <c r="V129" s="34">
        <f t="shared" si="24"/>
        <v>0</v>
      </c>
      <c r="W129" s="34">
        <f t="shared" si="24"/>
        <v>0</v>
      </c>
      <c r="X129" s="34">
        <f t="shared" si="24"/>
        <v>0</v>
      </c>
      <c r="Y129" s="34">
        <f t="shared" si="24"/>
        <v>1</v>
      </c>
      <c r="Z129" s="13">
        <f t="shared" si="13"/>
        <v>4</v>
      </c>
      <c r="AA129" s="5"/>
      <c r="AB129" s="5"/>
    </row>
    <row r="130" spans="1:28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13">
        <f t="shared" si="13"/>
        <v>0</v>
      </c>
      <c r="AA130" s="1"/>
      <c r="AB130" s="1"/>
    </row>
    <row r="131" spans="1:28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0</v>
      </c>
      <c r="F131" s="15">
        <v>0</v>
      </c>
      <c r="G131" s="15">
        <v>0</v>
      </c>
      <c r="H131" s="15">
        <v>0</v>
      </c>
      <c r="I131" s="15">
        <v>1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5">
        <v>0</v>
      </c>
      <c r="W131" s="15">
        <v>0</v>
      </c>
      <c r="X131" s="15">
        <v>1</v>
      </c>
      <c r="Y131" s="15">
        <v>1</v>
      </c>
      <c r="Z131" s="13">
        <f t="shared" si="13"/>
        <v>3</v>
      </c>
      <c r="AA131" s="31"/>
      <c r="AB131" s="31"/>
    </row>
    <row r="132" spans="1:28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1</v>
      </c>
      <c r="K132" s="15">
        <v>0</v>
      </c>
      <c r="L132" s="15">
        <v>0</v>
      </c>
      <c r="M132" s="15">
        <v>1</v>
      </c>
      <c r="N132" s="15">
        <v>0</v>
      </c>
      <c r="O132" s="15">
        <v>0</v>
      </c>
      <c r="P132" s="15">
        <v>0</v>
      </c>
      <c r="Q132" s="15">
        <v>0</v>
      </c>
      <c r="R132" s="15">
        <v>1</v>
      </c>
      <c r="S132" s="15">
        <v>0</v>
      </c>
      <c r="T132" s="15">
        <v>0</v>
      </c>
      <c r="U132" s="15">
        <v>0</v>
      </c>
      <c r="V132" s="15">
        <v>1</v>
      </c>
      <c r="W132" s="15">
        <v>0</v>
      </c>
      <c r="X132" s="15">
        <v>0</v>
      </c>
      <c r="Y132" s="15">
        <v>0</v>
      </c>
      <c r="Z132" s="13">
        <f t="shared" si="13"/>
        <v>4</v>
      </c>
      <c r="AA132" s="5"/>
      <c r="AB132" s="5"/>
    </row>
    <row r="133" spans="1:28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1</v>
      </c>
      <c r="H133" s="15">
        <v>0</v>
      </c>
      <c r="I133" s="15">
        <v>0</v>
      </c>
      <c r="J133" s="15">
        <v>1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1</v>
      </c>
      <c r="Q133" s="15">
        <v>0</v>
      </c>
      <c r="R133" s="15">
        <v>0</v>
      </c>
      <c r="S133" s="15">
        <v>0</v>
      </c>
      <c r="T133" s="15">
        <v>0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3">
        <f t="shared" si="13"/>
        <v>3</v>
      </c>
      <c r="AA133" s="5"/>
      <c r="AB133" s="5"/>
    </row>
    <row r="134" spans="1:28" ht="12.75" customHeight="1" x14ac:dyDescent="0.3">
      <c r="A134" s="14"/>
      <c r="B134" s="27"/>
      <c r="C134" s="28" t="s">
        <v>114</v>
      </c>
      <c r="D134" s="29"/>
      <c r="E134" s="15">
        <v>1</v>
      </c>
      <c r="F134" s="15">
        <v>0</v>
      </c>
      <c r="G134" s="15">
        <v>0</v>
      </c>
      <c r="H134" s="15">
        <v>1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3">
        <f t="shared" si="13"/>
        <v>2</v>
      </c>
      <c r="AA134" s="5"/>
      <c r="AB134" s="5"/>
    </row>
    <row r="135" spans="1:28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1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3">
        <f t="shared" si="13"/>
        <v>1</v>
      </c>
      <c r="AA135" s="5"/>
      <c r="AB135" s="5"/>
    </row>
    <row r="136" spans="1:28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Y136" si="25">SUM(E131:E135)</f>
        <v>1</v>
      </c>
      <c r="F136" s="34">
        <f t="shared" si="25"/>
        <v>0</v>
      </c>
      <c r="G136" s="34">
        <f t="shared" si="25"/>
        <v>1</v>
      </c>
      <c r="H136" s="34">
        <f t="shared" si="25"/>
        <v>1</v>
      </c>
      <c r="I136" s="34">
        <f t="shared" si="25"/>
        <v>1</v>
      </c>
      <c r="J136" s="34">
        <f t="shared" si="25"/>
        <v>2</v>
      </c>
      <c r="K136" s="34">
        <f t="shared" si="25"/>
        <v>1</v>
      </c>
      <c r="L136" s="34">
        <f t="shared" si="25"/>
        <v>0</v>
      </c>
      <c r="M136" s="34">
        <f t="shared" si="25"/>
        <v>1</v>
      </c>
      <c r="N136" s="34">
        <f t="shared" si="25"/>
        <v>0</v>
      </c>
      <c r="O136" s="34">
        <f t="shared" si="25"/>
        <v>0</v>
      </c>
      <c r="P136" s="34">
        <f t="shared" si="25"/>
        <v>1</v>
      </c>
      <c r="Q136" s="34">
        <f t="shared" si="25"/>
        <v>0</v>
      </c>
      <c r="R136" s="34">
        <f t="shared" si="25"/>
        <v>1</v>
      </c>
      <c r="S136" s="34">
        <f t="shared" si="25"/>
        <v>0</v>
      </c>
      <c r="T136" s="34">
        <f t="shared" si="25"/>
        <v>0</v>
      </c>
      <c r="U136" s="34">
        <f t="shared" si="25"/>
        <v>0</v>
      </c>
      <c r="V136" s="34">
        <f t="shared" si="25"/>
        <v>1</v>
      </c>
      <c r="W136" s="34">
        <f t="shared" si="25"/>
        <v>0</v>
      </c>
      <c r="X136" s="34">
        <f t="shared" si="25"/>
        <v>1</v>
      </c>
      <c r="Y136" s="34">
        <f t="shared" si="25"/>
        <v>1</v>
      </c>
      <c r="Z136" s="13">
        <f t="shared" si="13"/>
        <v>13</v>
      </c>
      <c r="AA136" s="5"/>
      <c r="AB136" s="5"/>
    </row>
    <row r="137" spans="1:28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13">
        <f t="shared" si="13"/>
        <v>0</v>
      </c>
      <c r="AA137" s="5"/>
      <c r="AB137" s="5"/>
    </row>
    <row r="138" spans="1:28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>
        <v>0</v>
      </c>
      <c r="F138" s="15">
        <v>0</v>
      </c>
      <c r="G138" s="15">
        <v>0</v>
      </c>
      <c r="H138" s="15">
        <v>0</v>
      </c>
      <c r="I138" s="15">
        <v>0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1</v>
      </c>
      <c r="Y138" s="15">
        <v>0</v>
      </c>
      <c r="Z138" s="13">
        <f t="shared" si="13"/>
        <v>1</v>
      </c>
      <c r="AA138" s="5"/>
      <c r="AB138" s="5"/>
    </row>
    <row r="139" spans="1:28" ht="12.75" customHeight="1" x14ac:dyDescent="0.3">
      <c r="A139" s="19" t="s">
        <v>39</v>
      </c>
      <c r="B139" s="27"/>
      <c r="C139" s="28" t="s">
        <v>118</v>
      </c>
      <c r="D139" s="29"/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1</v>
      </c>
      <c r="P139" s="15">
        <v>0</v>
      </c>
      <c r="Q139" s="15">
        <v>0</v>
      </c>
      <c r="R139" s="15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3">
        <f t="shared" si="13"/>
        <v>1</v>
      </c>
      <c r="AA139" s="5"/>
      <c r="AB139" s="5"/>
    </row>
    <row r="140" spans="1:28" ht="12.75" customHeight="1" x14ac:dyDescent="0.3">
      <c r="A140" s="14"/>
      <c r="B140" s="27"/>
      <c r="C140" s="28" t="s">
        <v>119</v>
      </c>
      <c r="D140" s="29"/>
      <c r="E140" s="15">
        <v>0</v>
      </c>
      <c r="F140" s="15">
        <v>0</v>
      </c>
      <c r="G140" s="15">
        <v>0</v>
      </c>
      <c r="H140" s="15">
        <v>0</v>
      </c>
      <c r="I140" s="15">
        <v>0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3">
        <f t="shared" si="13"/>
        <v>0</v>
      </c>
      <c r="AA140" s="5"/>
      <c r="AB140" s="5"/>
    </row>
    <row r="141" spans="1:28" ht="12.75" customHeight="1" x14ac:dyDescent="0.3">
      <c r="A141" s="14"/>
      <c r="B141" s="27"/>
      <c r="C141" s="28" t="s">
        <v>120</v>
      </c>
      <c r="D141" s="29"/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3">
        <f t="shared" si="13"/>
        <v>0</v>
      </c>
      <c r="AA141" s="1"/>
      <c r="AB141" s="1"/>
    </row>
    <row r="142" spans="1:28" ht="12.75" customHeight="1" x14ac:dyDescent="0.3">
      <c r="A142" s="14"/>
      <c r="B142" s="27"/>
      <c r="C142" s="28" t="s">
        <v>121</v>
      </c>
      <c r="D142" s="29"/>
      <c r="E142" s="15">
        <v>0</v>
      </c>
      <c r="F142" s="15">
        <v>0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3">
        <f t="shared" si="13"/>
        <v>0</v>
      </c>
      <c r="AA142" s="31"/>
      <c r="AB142" s="31"/>
    </row>
    <row r="143" spans="1:28" ht="12.75" customHeight="1" x14ac:dyDescent="0.3">
      <c r="A143" s="14"/>
      <c r="B143" s="27"/>
      <c r="C143" s="28" t="s">
        <v>122</v>
      </c>
      <c r="D143" s="29"/>
      <c r="E143" s="15">
        <v>0</v>
      </c>
      <c r="F143" s="15">
        <v>0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3">
        <f t="shared" si="13"/>
        <v>0</v>
      </c>
      <c r="AA143" s="5"/>
      <c r="AB143" s="5"/>
    </row>
    <row r="144" spans="1:28" ht="12.75" customHeight="1" x14ac:dyDescent="0.3">
      <c r="A144" s="14"/>
      <c r="B144" s="27"/>
      <c r="C144" s="28" t="s">
        <v>123</v>
      </c>
      <c r="D144" s="29"/>
      <c r="E144" s="15">
        <v>0</v>
      </c>
      <c r="F144" s="15">
        <v>0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3">
        <f t="shared" si="13"/>
        <v>0</v>
      </c>
      <c r="AA144" s="5"/>
      <c r="AB144" s="5"/>
    </row>
    <row r="145" spans="1:28" ht="12.75" customHeight="1" x14ac:dyDescent="0.3">
      <c r="A145" s="14"/>
      <c r="B145" s="27"/>
      <c r="C145" s="28" t="s">
        <v>124</v>
      </c>
      <c r="D145" s="29"/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3">
        <f t="shared" si="13"/>
        <v>0</v>
      </c>
      <c r="AA145" s="5"/>
      <c r="AB145" s="5"/>
    </row>
    <row r="146" spans="1:28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Y146" si="26">SUM(E138:E145)</f>
        <v>0</v>
      </c>
      <c r="F146" s="34">
        <f t="shared" si="26"/>
        <v>0</v>
      </c>
      <c r="G146" s="34">
        <f t="shared" si="26"/>
        <v>0</v>
      </c>
      <c r="H146" s="34">
        <f t="shared" si="26"/>
        <v>0</v>
      </c>
      <c r="I146" s="34">
        <f t="shared" si="26"/>
        <v>0</v>
      </c>
      <c r="J146" s="34">
        <f t="shared" si="26"/>
        <v>0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1</v>
      </c>
      <c r="P146" s="34">
        <f t="shared" si="26"/>
        <v>0</v>
      </c>
      <c r="Q146" s="34">
        <f t="shared" si="26"/>
        <v>0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0</v>
      </c>
      <c r="V146" s="34">
        <f t="shared" si="26"/>
        <v>0</v>
      </c>
      <c r="W146" s="34">
        <f t="shared" si="26"/>
        <v>0</v>
      </c>
      <c r="X146" s="34">
        <f t="shared" si="26"/>
        <v>1</v>
      </c>
      <c r="Y146" s="34">
        <f t="shared" si="26"/>
        <v>0</v>
      </c>
      <c r="Z146" s="13">
        <f t="shared" si="13"/>
        <v>2</v>
      </c>
      <c r="AA146" s="5"/>
      <c r="AB146" s="5"/>
    </row>
    <row r="147" spans="1:28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13">
        <f t="shared" si="13"/>
        <v>0</v>
      </c>
      <c r="AA147" s="5"/>
      <c r="AB147" s="5"/>
    </row>
    <row r="148" spans="1:28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0</v>
      </c>
      <c r="F148" s="15">
        <v>0</v>
      </c>
      <c r="G148" s="15">
        <v>0</v>
      </c>
      <c r="H148" s="15">
        <v>0</v>
      </c>
      <c r="I148" s="15">
        <v>3</v>
      </c>
      <c r="J148" s="15">
        <v>1</v>
      </c>
      <c r="K148" s="15">
        <v>0</v>
      </c>
      <c r="L148" s="15">
        <v>1</v>
      </c>
      <c r="M148" s="15">
        <v>1</v>
      </c>
      <c r="N148" s="15">
        <v>0</v>
      </c>
      <c r="O148" s="15">
        <v>0</v>
      </c>
      <c r="P148" s="15">
        <v>2</v>
      </c>
      <c r="Q148" s="15">
        <v>2</v>
      </c>
      <c r="R148" s="15">
        <v>1</v>
      </c>
      <c r="S148" s="15">
        <v>0</v>
      </c>
      <c r="T148" s="15">
        <v>1</v>
      </c>
      <c r="U148" s="15">
        <v>0</v>
      </c>
      <c r="V148" s="15">
        <v>2</v>
      </c>
      <c r="W148" s="15">
        <v>2</v>
      </c>
      <c r="X148" s="15">
        <v>0</v>
      </c>
      <c r="Y148" s="15">
        <v>0</v>
      </c>
      <c r="Z148" s="13">
        <f t="shared" si="13"/>
        <v>16</v>
      </c>
      <c r="AA148" s="5"/>
      <c r="AB148" s="5"/>
    </row>
    <row r="149" spans="1:28" ht="12.75" customHeight="1" x14ac:dyDescent="0.3">
      <c r="A149" s="19" t="s">
        <v>39</v>
      </c>
      <c r="B149" s="27"/>
      <c r="C149" s="28" t="s">
        <v>127</v>
      </c>
      <c r="D149" s="29"/>
      <c r="E149" s="15">
        <v>0</v>
      </c>
      <c r="F149" s="15">
        <v>3</v>
      </c>
      <c r="G149" s="15">
        <v>3</v>
      </c>
      <c r="H149" s="15">
        <v>3</v>
      </c>
      <c r="I149" s="15">
        <v>6</v>
      </c>
      <c r="J149" s="15">
        <v>3</v>
      </c>
      <c r="K149" s="15">
        <v>1</v>
      </c>
      <c r="L149" s="15">
        <v>6</v>
      </c>
      <c r="M149" s="15">
        <v>2</v>
      </c>
      <c r="N149" s="15">
        <v>2</v>
      </c>
      <c r="O149" s="15">
        <v>2</v>
      </c>
      <c r="P149" s="15">
        <v>3</v>
      </c>
      <c r="Q149" s="15">
        <v>6</v>
      </c>
      <c r="R149" s="15">
        <v>2</v>
      </c>
      <c r="S149" s="15">
        <v>0</v>
      </c>
      <c r="T149" s="15">
        <v>3</v>
      </c>
      <c r="U149" s="15">
        <v>1</v>
      </c>
      <c r="V149" s="15">
        <v>1</v>
      </c>
      <c r="W149" s="15">
        <v>1</v>
      </c>
      <c r="X149" s="15">
        <v>2</v>
      </c>
      <c r="Y149" s="15">
        <v>1</v>
      </c>
      <c r="Z149" s="13">
        <f t="shared" si="13"/>
        <v>51</v>
      </c>
      <c r="AA149" s="5"/>
      <c r="AB149" s="5"/>
    </row>
    <row r="150" spans="1:28" ht="12.75" customHeight="1" x14ac:dyDescent="0.3">
      <c r="A150" s="14"/>
      <c r="B150" s="27"/>
      <c r="C150" s="28" t="s">
        <v>128</v>
      </c>
      <c r="D150" s="29"/>
      <c r="E150" s="15">
        <v>4</v>
      </c>
      <c r="F150" s="15">
        <v>0</v>
      </c>
      <c r="G150" s="15">
        <v>0</v>
      </c>
      <c r="H150" s="15">
        <v>0</v>
      </c>
      <c r="I150" s="15">
        <v>1</v>
      </c>
      <c r="J150" s="15">
        <v>2</v>
      </c>
      <c r="K150" s="15">
        <v>0</v>
      </c>
      <c r="L150" s="15">
        <v>2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  <c r="W150" s="15">
        <v>0</v>
      </c>
      <c r="X150" s="15">
        <v>0</v>
      </c>
      <c r="Y150" s="15">
        <v>0</v>
      </c>
      <c r="Z150" s="13">
        <f t="shared" si="13"/>
        <v>9</v>
      </c>
      <c r="AA150" s="5"/>
      <c r="AB150" s="5"/>
    </row>
    <row r="151" spans="1:28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0</v>
      </c>
      <c r="G151" s="15">
        <v>0</v>
      </c>
      <c r="H151" s="15">
        <v>0</v>
      </c>
      <c r="I151" s="15">
        <v>0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1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1</v>
      </c>
      <c r="W151" s="15">
        <v>0</v>
      </c>
      <c r="X151" s="15">
        <v>1</v>
      </c>
      <c r="Y151" s="15">
        <v>0</v>
      </c>
      <c r="Z151" s="13">
        <f t="shared" si="13"/>
        <v>3</v>
      </c>
      <c r="AA151" s="1"/>
      <c r="AB151" s="1"/>
    </row>
    <row r="152" spans="1:28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1</v>
      </c>
      <c r="G152" s="15">
        <v>1</v>
      </c>
      <c r="H152" s="15">
        <v>0</v>
      </c>
      <c r="I152" s="15">
        <v>0</v>
      </c>
      <c r="J152" s="15">
        <v>2</v>
      </c>
      <c r="K152" s="15">
        <v>1</v>
      </c>
      <c r="L152" s="15">
        <v>0</v>
      </c>
      <c r="M152" s="15">
        <v>0</v>
      </c>
      <c r="N152" s="15">
        <v>1</v>
      </c>
      <c r="O152" s="15">
        <v>0</v>
      </c>
      <c r="P152" s="15">
        <v>3</v>
      </c>
      <c r="Q152" s="15">
        <v>0</v>
      </c>
      <c r="R152" s="15">
        <v>0</v>
      </c>
      <c r="S152" s="15">
        <v>0</v>
      </c>
      <c r="T152" s="15">
        <v>0</v>
      </c>
      <c r="U152" s="15">
        <v>2</v>
      </c>
      <c r="V152" s="15">
        <v>1</v>
      </c>
      <c r="W152" s="15">
        <v>1</v>
      </c>
      <c r="X152" s="15">
        <v>3</v>
      </c>
      <c r="Y152" s="15">
        <v>1</v>
      </c>
      <c r="Z152" s="13">
        <f t="shared" si="13"/>
        <v>17</v>
      </c>
      <c r="AA152" s="31"/>
      <c r="AB152" s="31"/>
    </row>
    <row r="153" spans="1:28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0</v>
      </c>
      <c r="G153" s="15">
        <v>0</v>
      </c>
      <c r="H153" s="15">
        <v>0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1</v>
      </c>
      <c r="T153" s="15">
        <v>0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3">
        <f t="shared" si="13"/>
        <v>1</v>
      </c>
      <c r="AA153" s="5"/>
      <c r="AB153" s="5"/>
    </row>
    <row r="154" spans="1:28" ht="12.75" customHeight="1" x14ac:dyDescent="0.3">
      <c r="A154" s="14"/>
      <c r="B154" s="27"/>
      <c r="C154" s="28" t="s">
        <v>132</v>
      </c>
      <c r="D154" s="29"/>
      <c r="E154" s="15">
        <v>1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1</v>
      </c>
      <c r="V154" s="15">
        <v>0</v>
      </c>
      <c r="W154" s="15">
        <v>0</v>
      </c>
      <c r="X154" s="15">
        <v>0</v>
      </c>
      <c r="Y154" s="15">
        <v>0</v>
      </c>
      <c r="Z154" s="13">
        <f t="shared" si="13"/>
        <v>2</v>
      </c>
      <c r="AA154" s="5"/>
      <c r="AB154" s="5"/>
    </row>
    <row r="155" spans="1:28" ht="12.75" customHeight="1" x14ac:dyDescent="0.3">
      <c r="A155" s="14"/>
      <c r="B155" s="27"/>
      <c r="C155" s="28" t="s">
        <v>133</v>
      </c>
      <c r="D155" s="29"/>
      <c r="E155" s="15">
        <v>0</v>
      </c>
      <c r="F155" s="15">
        <v>0</v>
      </c>
      <c r="G155" s="15">
        <v>0</v>
      </c>
      <c r="H155" s="15">
        <v>0</v>
      </c>
      <c r="I155" s="15">
        <v>0</v>
      </c>
      <c r="J155" s="15">
        <v>0</v>
      </c>
      <c r="K155" s="15">
        <v>0</v>
      </c>
      <c r="L155" s="15">
        <v>2</v>
      </c>
      <c r="M155" s="15">
        <v>0</v>
      </c>
      <c r="N155" s="15">
        <v>0</v>
      </c>
      <c r="O155" s="15">
        <v>3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5">
        <v>1</v>
      </c>
      <c r="W155" s="15">
        <v>1</v>
      </c>
      <c r="X155" s="15">
        <v>0</v>
      </c>
      <c r="Y155" s="15">
        <v>0</v>
      </c>
      <c r="Z155" s="13">
        <f t="shared" si="13"/>
        <v>7</v>
      </c>
      <c r="AA155" s="5"/>
      <c r="AB155" s="5"/>
    </row>
    <row r="156" spans="1:28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Y156" si="27">SUM(E148:E155)</f>
        <v>5</v>
      </c>
      <c r="F156" s="34">
        <f t="shared" si="27"/>
        <v>4</v>
      </c>
      <c r="G156" s="34">
        <f t="shared" si="27"/>
        <v>4</v>
      </c>
      <c r="H156" s="34">
        <f t="shared" si="27"/>
        <v>3</v>
      </c>
      <c r="I156" s="34">
        <f t="shared" si="27"/>
        <v>10</v>
      </c>
      <c r="J156" s="34">
        <f t="shared" si="27"/>
        <v>8</v>
      </c>
      <c r="K156" s="34">
        <f t="shared" si="27"/>
        <v>2</v>
      </c>
      <c r="L156" s="34">
        <f t="shared" si="27"/>
        <v>11</v>
      </c>
      <c r="M156" s="34">
        <f t="shared" si="27"/>
        <v>3</v>
      </c>
      <c r="N156" s="34">
        <f t="shared" si="27"/>
        <v>3</v>
      </c>
      <c r="O156" s="34">
        <f t="shared" si="27"/>
        <v>6</v>
      </c>
      <c r="P156" s="34">
        <f t="shared" si="27"/>
        <v>8</v>
      </c>
      <c r="Q156" s="34">
        <f t="shared" si="27"/>
        <v>8</v>
      </c>
      <c r="R156" s="34">
        <f t="shared" si="27"/>
        <v>3</v>
      </c>
      <c r="S156" s="34">
        <f t="shared" si="27"/>
        <v>1</v>
      </c>
      <c r="T156" s="34">
        <f t="shared" si="27"/>
        <v>4</v>
      </c>
      <c r="U156" s="34">
        <f t="shared" si="27"/>
        <v>4</v>
      </c>
      <c r="V156" s="34">
        <f t="shared" si="27"/>
        <v>6</v>
      </c>
      <c r="W156" s="34">
        <f t="shared" si="27"/>
        <v>5</v>
      </c>
      <c r="X156" s="34">
        <f t="shared" si="27"/>
        <v>6</v>
      </c>
      <c r="Y156" s="34">
        <f t="shared" si="27"/>
        <v>2</v>
      </c>
      <c r="Z156" s="13">
        <f t="shared" si="13"/>
        <v>106</v>
      </c>
      <c r="AA156" s="5"/>
      <c r="AB156" s="5"/>
    </row>
    <row r="157" spans="1:28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13">
        <f t="shared" si="13"/>
        <v>0</v>
      </c>
      <c r="AA157" s="5"/>
      <c r="AB157" s="5"/>
    </row>
    <row r="158" spans="1:28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0</v>
      </c>
      <c r="F158" s="15">
        <v>0</v>
      </c>
      <c r="G158" s="15">
        <v>0</v>
      </c>
      <c r="H158" s="15">
        <v>1</v>
      </c>
      <c r="I158" s="15">
        <v>3</v>
      </c>
      <c r="J158" s="15">
        <v>1</v>
      </c>
      <c r="K158" s="15">
        <v>3</v>
      </c>
      <c r="L158" s="15">
        <v>0</v>
      </c>
      <c r="M158" s="15">
        <v>3</v>
      </c>
      <c r="N158" s="15">
        <v>0</v>
      </c>
      <c r="O158" s="15">
        <v>0</v>
      </c>
      <c r="P158" s="15">
        <v>1</v>
      </c>
      <c r="Q158" s="15">
        <v>0</v>
      </c>
      <c r="R158" s="15">
        <v>1</v>
      </c>
      <c r="S158" s="15">
        <v>2</v>
      </c>
      <c r="T158" s="15">
        <v>1</v>
      </c>
      <c r="U158" s="15">
        <v>0</v>
      </c>
      <c r="V158" s="15">
        <v>1</v>
      </c>
      <c r="W158" s="15">
        <v>0</v>
      </c>
      <c r="X158" s="15">
        <v>4</v>
      </c>
      <c r="Y158" s="15">
        <v>1</v>
      </c>
      <c r="Z158" s="13">
        <f t="shared" si="13"/>
        <v>22</v>
      </c>
      <c r="AA158" s="5"/>
      <c r="AB158" s="5"/>
    </row>
    <row r="159" spans="1:28" ht="12.75" customHeight="1" x14ac:dyDescent="0.3">
      <c r="A159" s="19" t="s">
        <v>39</v>
      </c>
      <c r="B159" s="27"/>
      <c r="C159" s="28" t="s">
        <v>136</v>
      </c>
      <c r="D159" s="29"/>
      <c r="E159" s="15">
        <v>1</v>
      </c>
      <c r="F159" s="15">
        <v>0</v>
      </c>
      <c r="G159" s="15">
        <v>1</v>
      </c>
      <c r="H159" s="15">
        <v>1</v>
      </c>
      <c r="I159" s="15">
        <v>0</v>
      </c>
      <c r="J159" s="15">
        <v>0</v>
      </c>
      <c r="K159" s="15">
        <v>1</v>
      </c>
      <c r="L159" s="15">
        <v>2</v>
      </c>
      <c r="M159" s="15">
        <v>1</v>
      </c>
      <c r="N159" s="15">
        <v>1</v>
      </c>
      <c r="O159" s="15">
        <v>0</v>
      </c>
      <c r="P159" s="15">
        <v>1</v>
      </c>
      <c r="Q159" s="15">
        <v>0</v>
      </c>
      <c r="R159" s="15">
        <v>0</v>
      </c>
      <c r="S159" s="15">
        <v>1</v>
      </c>
      <c r="T159" s="15">
        <v>2</v>
      </c>
      <c r="U159" s="15">
        <v>1</v>
      </c>
      <c r="V159" s="15">
        <v>2</v>
      </c>
      <c r="W159" s="15">
        <v>1</v>
      </c>
      <c r="X159" s="15">
        <v>0</v>
      </c>
      <c r="Y159" s="15">
        <v>0</v>
      </c>
      <c r="Z159" s="13">
        <f t="shared" si="13"/>
        <v>16</v>
      </c>
      <c r="AA159" s="5"/>
      <c r="AB159" s="5"/>
    </row>
    <row r="160" spans="1:28" ht="12.75" customHeight="1" x14ac:dyDescent="0.3">
      <c r="A160" s="19"/>
      <c r="B160" s="27"/>
      <c r="C160" s="28" t="s">
        <v>137</v>
      </c>
      <c r="D160" s="29"/>
      <c r="E160" s="15">
        <v>1</v>
      </c>
      <c r="F160" s="15">
        <v>0</v>
      </c>
      <c r="G160" s="15">
        <v>0</v>
      </c>
      <c r="H160" s="15">
        <v>0</v>
      </c>
      <c r="I160" s="15">
        <v>0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1</v>
      </c>
      <c r="P160" s="15">
        <v>0</v>
      </c>
      <c r="Q160" s="15">
        <v>0</v>
      </c>
      <c r="R160" s="15">
        <v>0</v>
      </c>
      <c r="S160" s="15">
        <v>0</v>
      </c>
      <c r="T160" s="15">
        <v>1</v>
      </c>
      <c r="U160" s="15">
        <v>0</v>
      </c>
      <c r="V160" s="15">
        <v>0</v>
      </c>
      <c r="W160" s="15">
        <v>0</v>
      </c>
      <c r="X160" s="15">
        <v>1</v>
      </c>
      <c r="Y160" s="15">
        <v>2</v>
      </c>
      <c r="Z160" s="13">
        <f t="shared" si="13"/>
        <v>6</v>
      </c>
      <c r="AA160" s="5"/>
      <c r="AB160" s="5"/>
    </row>
    <row r="161" spans="1:28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Y161" si="28">SUM(E158:E160)</f>
        <v>2</v>
      </c>
      <c r="F161" s="34">
        <f t="shared" si="28"/>
        <v>0</v>
      </c>
      <c r="G161" s="34">
        <f t="shared" si="28"/>
        <v>1</v>
      </c>
      <c r="H161" s="34">
        <f t="shared" si="28"/>
        <v>2</v>
      </c>
      <c r="I161" s="34">
        <f t="shared" si="28"/>
        <v>3</v>
      </c>
      <c r="J161" s="34">
        <f t="shared" si="28"/>
        <v>1</v>
      </c>
      <c r="K161" s="34">
        <f t="shared" si="28"/>
        <v>4</v>
      </c>
      <c r="L161" s="34">
        <f t="shared" si="28"/>
        <v>2</v>
      </c>
      <c r="M161" s="34">
        <f t="shared" si="28"/>
        <v>4</v>
      </c>
      <c r="N161" s="34">
        <f t="shared" si="28"/>
        <v>1</v>
      </c>
      <c r="O161" s="34">
        <f t="shared" si="28"/>
        <v>1</v>
      </c>
      <c r="P161" s="34">
        <f t="shared" si="28"/>
        <v>2</v>
      </c>
      <c r="Q161" s="34">
        <f t="shared" si="28"/>
        <v>0</v>
      </c>
      <c r="R161" s="34">
        <f t="shared" si="28"/>
        <v>1</v>
      </c>
      <c r="S161" s="34">
        <f t="shared" si="28"/>
        <v>3</v>
      </c>
      <c r="T161" s="34">
        <f t="shared" si="28"/>
        <v>4</v>
      </c>
      <c r="U161" s="34">
        <f t="shared" si="28"/>
        <v>1</v>
      </c>
      <c r="V161" s="34">
        <f t="shared" si="28"/>
        <v>3</v>
      </c>
      <c r="W161" s="34">
        <f t="shared" si="28"/>
        <v>1</v>
      </c>
      <c r="X161" s="34">
        <f t="shared" si="28"/>
        <v>5</v>
      </c>
      <c r="Y161" s="34">
        <f t="shared" si="28"/>
        <v>3</v>
      </c>
      <c r="Z161" s="13">
        <f t="shared" si="13"/>
        <v>44</v>
      </c>
      <c r="AA161" s="5"/>
      <c r="AB161" s="5"/>
    </row>
    <row r="162" spans="1:28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13">
        <f t="shared" si="13"/>
        <v>0</v>
      </c>
      <c r="AA162" s="5"/>
      <c r="AB162" s="5"/>
    </row>
    <row r="163" spans="1:28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2</v>
      </c>
      <c r="G163" s="15">
        <v>0</v>
      </c>
      <c r="H163" s="15">
        <v>0</v>
      </c>
      <c r="I163" s="15">
        <v>0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>
        <v>0</v>
      </c>
      <c r="U163" s="15">
        <v>1</v>
      </c>
      <c r="V163" s="15">
        <v>0</v>
      </c>
      <c r="W163" s="15">
        <v>0</v>
      </c>
      <c r="X163" s="15">
        <v>0</v>
      </c>
      <c r="Y163" s="15">
        <v>1</v>
      </c>
      <c r="Z163" s="13">
        <f t="shared" si="13"/>
        <v>4</v>
      </c>
      <c r="AA163" s="5"/>
      <c r="AB163" s="5"/>
    </row>
    <row r="164" spans="1:28" ht="12.75" customHeight="1" x14ac:dyDescent="0.3">
      <c r="A164" s="19" t="s">
        <v>39</v>
      </c>
      <c r="B164" s="26"/>
      <c r="C164" s="28" t="s">
        <v>140</v>
      </c>
      <c r="D164" s="40"/>
      <c r="E164" s="15">
        <v>0</v>
      </c>
      <c r="F164" s="15">
        <v>0</v>
      </c>
      <c r="G164" s="15">
        <v>0</v>
      </c>
      <c r="H164" s="15">
        <v>0</v>
      </c>
      <c r="I164" s="15">
        <v>0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1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0</v>
      </c>
      <c r="W164" s="15">
        <v>0</v>
      </c>
      <c r="X164" s="15">
        <v>1</v>
      </c>
      <c r="Y164" s="15">
        <v>0</v>
      </c>
      <c r="Z164" s="13">
        <f t="shared" si="13"/>
        <v>2</v>
      </c>
      <c r="AA164" s="5"/>
      <c r="AB164" s="5"/>
    </row>
    <row r="165" spans="1:28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Y165" si="29">SUM(E163:E164)</f>
        <v>0</v>
      </c>
      <c r="F165" s="34">
        <f t="shared" si="29"/>
        <v>2</v>
      </c>
      <c r="G165" s="34">
        <f t="shared" si="29"/>
        <v>0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0</v>
      </c>
      <c r="N165" s="34">
        <f t="shared" si="29"/>
        <v>0</v>
      </c>
      <c r="O165" s="34">
        <f t="shared" si="29"/>
        <v>0</v>
      </c>
      <c r="P165" s="34">
        <f t="shared" si="29"/>
        <v>1</v>
      </c>
      <c r="Q165" s="34">
        <f t="shared" si="29"/>
        <v>0</v>
      </c>
      <c r="R165" s="34">
        <f t="shared" si="29"/>
        <v>0</v>
      </c>
      <c r="S165" s="34">
        <f t="shared" si="29"/>
        <v>0</v>
      </c>
      <c r="T165" s="34">
        <f t="shared" si="29"/>
        <v>0</v>
      </c>
      <c r="U165" s="34">
        <f t="shared" si="29"/>
        <v>1</v>
      </c>
      <c r="V165" s="34">
        <f t="shared" si="29"/>
        <v>0</v>
      </c>
      <c r="W165" s="34">
        <f t="shared" si="29"/>
        <v>0</v>
      </c>
      <c r="X165" s="34">
        <f t="shared" si="29"/>
        <v>1</v>
      </c>
      <c r="Y165" s="34">
        <f t="shared" si="29"/>
        <v>1</v>
      </c>
      <c r="Z165" s="13">
        <f t="shared" si="13"/>
        <v>6</v>
      </c>
      <c r="AA165" s="1"/>
      <c r="AB165" s="1"/>
    </row>
    <row r="166" spans="1:28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13">
        <f t="shared" si="13"/>
        <v>0</v>
      </c>
      <c r="AA166" s="31"/>
      <c r="AB166" s="31"/>
    </row>
    <row r="167" spans="1:28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0</v>
      </c>
      <c r="F167" s="15">
        <v>0</v>
      </c>
      <c r="G167" s="15">
        <v>1</v>
      </c>
      <c r="H167" s="15">
        <v>1</v>
      </c>
      <c r="I167" s="15">
        <v>1</v>
      </c>
      <c r="J167" s="15">
        <v>1</v>
      </c>
      <c r="K167" s="15">
        <v>1</v>
      </c>
      <c r="L167" s="15">
        <v>2</v>
      </c>
      <c r="M167" s="15">
        <v>0</v>
      </c>
      <c r="N167" s="15">
        <v>3</v>
      </c>
      <c r="O167" s="15">
        <v>0</v>
      </c>
      <c r="P167" s="15">
        <v>5</v>
      </c>
      <c r="Q167" s="15">
        <v>1</v>
      </c>
      <c r="R167" s="15">
        <v>3</v>
      </c>
      <c r="S167" s="15">
        <v>1</v>
      </c>
      <c r="T167" s="15">
        <v>0</v>
      </c>
      <c r="U167" s="15">
        <v>0</v>
      </c>
      <c r="V167" s="15">
        <v>0</v>
      </c>
      <c r="W167" s="15">
        <v>0</v>
      </c>
      <c r="X167" s="15">
        <v>0</v>
      </c>
      <c r="Y167" s="15">
        <v>0</v>
      </c>
      <c r="Z167" s="13">
        <f t="shared" si="13"/>
        <v>20</v>
      </c>
      <c r="AA167" s="5"/>
      <c r="AB167" s="5"/>
    </row>
    <row r="168" spans="1:28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3</v>
      </c>
      <c r="G168" s="15">
        <v>8</v>
      </c>
      <c r="H168" s="15">
        <v>3</v>
      </c>
      <c r="I168" s="15">
        <v>2</v>
      </c>
      <c r="J168" s="15">
        <v>9</v>
      </c>
      <c r="K168" s="15">
        <v>18</v>
      </c>
      <c r="L168" s="15">
        <v>14</v>
      </c>
      <c r="M168" s="15">
        <v>12</v>
      </c>
      <c r="N168" s="15">
        <v>39</v>
      </c>
      <c r="O168" s="15">
        <v>12</v>
      </c>
      <c r="P168" s="15">
        <v>52</v>
      </c>
      <c r="Q168" s="15">
        <v>16</v>
      </c>
      <c r="R168" s="15">
        <v>31</v>
      </c>
      <c r="S168" s="15">
        <v>11</v>
      </c>
      <c r="T168" s="15">
        <v>0</v>
      </c>
      <c r="U168" s="15">
        <v>0</v>
      </c>
      <c r="V168" s="15">
        <v>3</v>
      </c>
      <c r="W168" s="15">
        <v>0</v>
      </c>
      <c r="X168" s="15">
        <v>0</v>
      </c>
      <c r="Y168" s="15">
        <v>0</v>
      </c>
      <c r="Z168" s="13">
        <f t="shared" si="13"/>
        <v>233</v>
      </c>
      <c r="AA168" s="5"/>
      <c r="AB168" s="5"/>
    </row>
    <row r="169" spans="1:28" ht="12.75" customHeight="1" x14ac:dyDescent="0.3">
      <c r="A169" s="14"/>
      <c r="B169" s="27"/>
      <c r="C169" s="28" t="s">
        <v>144</v>
      </c>
      <c r="D169" s="29"/>
      <c r="E169" s="15">
        <v>1</v>
      </c>
      <c r="F169" s="15">
        <v>0</v>
      </c>
      <c r="G169" s="15">
        <v>0</v>
      </c>
      <c r="H169" s="15">
        <v>0</v>
      </c>
      <c r="I169" s="15">
        <v>0</v>
      </c>
      <c r="J169" s="15">
        <v>2</v>
      </c>
      <c r="K169" s="15">
        <v>1</v>
      </c>
      <c r="L169" s="15">
        <v>1</v>
      </c>
      <c r="M169" s="15">
        <v>0</v>
      </c>
      <c r="N169" s="15">
        <v>0</v>
      </c>
      <c r="O169" s="15">
        <v>1</v>
      </c>
      <c r="P169" s="15">
        <v>2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0</v>
      </c>
      <c r="Y169" s="15">
        <v>0</v>
      </c>
      <c r="Z169" s="13">
        <f t="shared" si="13"/>
        <v>8</v>
      </c>
      <c r="AA169" s="5"/>
      <c r="AB169" s="5"/>
    </row>
    <row r="170" spans="1:28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1</v>
      </c>
      <c r="M170" s="15">
        <v>0</v>
      </c>
      <c r="N170" s="15">
        <v>0</v>
      </c>
      <c r="O170" s="15">
        <v>0</v>
      </c>
      <c r="P170" s="15">
        <v>1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1</v>
      </c>
      <c r="W170" s="15">
        <v>0</v>
      </c>
      <c r="X170" s="15">
        <v>0</v>
      </c>
      <c r="Y170" s="15">
        <v>1</v>
      </c>
      <c r="Z170" s="13">
        <f t="shared" si="13"/>
        <v>4</v>
      </c>
      <c r="AA170" s="5"/>
      <c r="AB170" s="5"/>
    </row>
    <row r="171" spans="1:28" ht="12.75" customHeight="1" x14ac:dyDescent="0.3">
      <c r="A171" s="14"/>
      <c r="B171" s="27"/>
      <c r="C171" s="28" t="s">
        <v>146</v>
      </c>
      <c r="D171" s="29"/>
      <c r="E171" s="15">
        <v>1</v>
      </c>
      <c r="F171" s="15">
        <v>0</v>
      </c>
      <c r="G171" s="15">
        <v>0</v>
      </c>
      <c r="H171" s="15">
        <v>1</v>
      </c>
      <c r="I171" s="15">
        <v>0</v>
      </c>
      <c r="J171" s="15">
        <v>0</v>
      </c>
      <c r="K171" s="15">
        <v>0</v>
      </c>
      <c r="L171" s="15">
        <v>1</v>
      </c>
      <c r="M171" s="15">
        <v>0</v>
      </c>
      <c r="N171" s="15">
        <v>0</v>
      </c>
      <c r="O171" s="15">
        <v>0</v>
      </c>
      <c r="P171" s="15">
        <v>1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3">
        <f t="shared" si="13"/>
        <v>4</v>
      </c>
      <c r="AA171" s="5"/>
      <c r="AB171" s="5"/>
    </row>
    <row r="172" spans="1:28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1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3">
        <f t="shared" si="13"/>
        <v>1</v>
      </c>
      <c r="AA172" s="5"/>
      <c r="AB172" s="5"/>
    </row>
    <row r="173" spans="1:28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0</v>
      </c>
      <c r="G173" s="15">
        <v>0</v>
      </c>
      <c r="H173" s="15">
        <v>0</v>
      </c>
      <c r="I173" s="15">
        <v>0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1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3">
        <f t="shared" si="13"/>
        <v>1</v>
      </c>
      <c r="AA173" s="5"/>
      <c r="AB173" s="5"/>
    </row>
    <row r="174" spans="1:28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2</v>
      </c>
      <c r="L174" s="15">
        <v>1</v>
      </c>
      <c r="M174" s="15">
        <v>1</v>
      </c>
      <c r="N174" s="15">
        <v>0</v>
      </c>
      <c r="O174" s="15">
        <v>1</v>
      </c>
      <c r="P174" s="15">
        <v>0</v>
      </c>
      <c r="Q174" s="15">
        <v>0</v>
      </c>
      <c r="R174" s="15">
        <v>0</v>
      </c>
      <c r="S174" s="15">
        <v>0</v>
      </c>
      <c r="T174" s="15">
        <v>0</v>
      </c>
      <c r="U174" s="15">
        <v>0</v>
      </c>
      <c r="V174" s="15">
        <v>0</v>
      </c>
      <c r="W174" s="15">
        <v>0</v>
      </c>
      <c r="X174" s="15">
        <v>0</v>
      </c>
      <c r="Y174" s="15">
        <v>0</v>
      </c>
      <c r="Z174" s="13">
        <f t="shared" si="13"/>
        <v>5</v>
      </c>
      <c r="AA174" s="5"/>
      <c r="AB174" s="5"/>
    </row>
    <row r="175" spans="1:28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Y175" si="30">SUM(E167:E174)</f>
        <v>2</v>
      </c>
      <c r="F175" s="34">
        <f t="shared" si="30"/>
        <v>3</v>
      </c>
      <c r="G175" s="34">
        <f t="shared" si="30"/>
        <v>9</v>
      </c>
      <c r="H175" s="34">
        <f t="shared" si="30"/>
        <v>5</v>
      </c>
      <c r="I175" s="34">
        <f t="shared" si="30"/>
        <v>3</v>
      </c>
      <c r="J175" s="34">
        <f t="shared" si="30"/>
        <v>12</v>
      </c>
      <c r="K175" s="34">
        <f t="shared" si="30"/>
        <v>22</v>
      </c>
      <c r="L175" s="34">
        <f t="shared" si="30"/>
        <v>20</v>
      </c>
      <c r="M175" s="34">
        <f t="shared" si="30"/>
        <v>13</v>
      </c>
      <c r="N175" s="34">
        <f t="shared" si="30"/>
        <v>42</v>
      </c>
      <c r="O175" s="34">
        <f t="shared" si="30"/>
        <v>14</v>
      </c>
      <c r="P175" s="34">
        <f t="shared" si="30"/>
        <v>63</v>
      </c>
      <c r="Q175" s="34">
        <f t="shared" si="30"/>
        <v>17</v>
      </c>
      <c r="R175" s="34">
        <f t="shared" si="30"/>
        <v>34</v>
      </c>
      <c r="S175" s="34">
        <f t="shared" si="30"/>
        <v>12</v>
      </c>
      <c r="T175" s="34">
        <f t="shared" si="30"/>
        <v>0</v>
      </c>
      <c r="U175" s="34">
        <f t="shared" si="30"/>
        <v>0</v>
      </c>
      <c r="V175" s="34">
        <f t="shared" si="30"/>
        <v>4</v>
      </c>
      <c r="W175" s="34">
        <f t="shared" si="30"/>
        <v>0</v>
      </c>
      <c r="X175" s="34">
        <f t="shared" si="30"/>
        <v>0</v>
      </c>
      <c r="Y175" s="34">
        <f t="shared" si="30"/>
        <v>1</v>
      </c>
      <c r="Z175" s="13">
        <f t="shared" si="13"/>
        <v>276</v>
      </c>
      <c r="AA175" s="5"/>
      <c r="AB175" s="5"/>
    </row>
    <row r="176" spans="1:28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13">
        <f t="shared" si="13"/>
        <v>0</v>
      </c>
      <c r="AA176" s="1"/>
      <c r="AB176" s="1"/>
    </row>
    <row r="177" spans="1:28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0</v>
      </c>
      <c r="H177" s="15">
        <v>0</v>
      </c>
      <c r="I177" s="15">
        <v>1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  <c r="U177" s="15"/>
      <c r="V177" s="15"/>
      <c r="W177" s="15"/>
      <c r="X177" s="15"/>
      <c r="Y177" s="15"/>
      <c r="Z177" s="13">
        <f t="shared" si="13"/>
        <v>1</v>
      </c>
    </row>
    <row r="178" spans="1:28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1</v>
      </c>
      <c r="K178" s="15">
        <v>0</v>
      </c>
      <c r="L178" s="15">
        <v>1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  <c r="U178" s="15"/>
      <c r="V178" s="15"/>
      <c r="W178" s="15"/>
      <c r="X178" s="15"/>
      <c r="Y178" s="15"/>
      <c r="Z178" s="13">
        <f t="shared" si="13"/>
        <v>2</v>
      </c>
      <c r="AA178" s="5"/>
      <c r="AB178" s="5"/>
    </row>
    <row r="179" spans="1:28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1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  <c r="U179" s="15"/>
      <c r="V179" s="15"/>
      <c r="W179" s="15"/>
      <c r="X179" s="15"/>
      <c r="Y179" s="15"/>
      <c r="Z179" s="13">
        <f t="shared" si="13"/>
        <v>1</v>
      </c>
      <c r="AA179" s="5"/>
      <c r="AB179" s="5"/>
    </row>
    <row r="180" spans="1:28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  <c r="U180" s="15"/>
      <c r="V180" s="15"/>
      <c r="W180" s="15"/>
      <c r="X180" s="15"/>
      <c r="Y180" s="15"/>
      <c r="Z180" s="13">
        <f t="shared" si="13"/>
        <v>0</v>
      </c>
      <c r="AA180" s="5"/>
      <c r="AB180" s="5"/>
    </row>
    <row r="181" spans="1:28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Y181" si="31">SUM(E177:E180)</f>
        <v>0</v>
      </c>
      <c r="F181" s="34">
        <f t="shared" si="31"/>
        <v>0</v>
      </c>
      <c r="G181" s="34">
        <f t="shared" si="31"/>
        <v>1</v>
      </c>
      <c r="H181" s="34">
        <f t="shared" si="31"/>
        <v>0</v>
      </c>
      <c r="I181" s="34">
        <f t="shared" si="31"/>
        <v>1</v>
      </c>
      <c r="J181" s="34">
        <f t="shared" si="31"/>
        <v>1</v>
      </c>
      <c r="K181" s="34">
        <f t="shared" si="31"/>
        <v>0</v>
      </c>
      <c r="L181" s="34">
        <f t="shared" si="31"/>
        <v>1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0</v>
      </c>
      <c r="Q181" s="34">
        <f t="shared" si="31"/>
        <v>0</v>
      </c>
      <c r="R181" s="34">
        <f t="shared" si="31"/>
        <v>0</v>
      </c>
      <c r="S181" s="34">
        <f t="shared" si="31"/>
        <v>0</v>
      </c>
      <c r="T181" s="34">
        <f t="shared" si="31"/>
        <v>0</v>
      </c>
      <c r="U181" s="34">
        <f t="shared" si="31"/>
        <v>0</v>
      </c>
      <c r="V181" s="34">
        <f t="shared" si="31"/>
        <v>0</v>
      </c>
      <c r="W181" s="34">
        <f t="shared" si="31"/>
        <v>0</v>
      </c>
      <c r="X181" s="34">
        <f t="shared" si="31"/>
        <v>0</v>
      </c>
      <c r="Y181" s="34">
        <f t="shared" si="31"/>
        <v>0</v>
      </c>
      <c r="Z181" s="13">
        <f t="shared" si="13"/>
        <v>4</v>
      </c>
      <c r="AA181" s="5"/>
      <c r="AB181" s="5"/>
    </row>
    <row r="182" spans="1:28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3">
        <f t="shared" si="13"/>
        <v>0</v>
      </c>
      <c r="AA182" s="5"/>
      <c r="AB182" s="5"/>
    </row>
    <row r="183" spans="1:28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>
        <f t="shared" si="13"/>
        <v>0</v>
      </c>
      <c r="AA183" s="5"/>
      <c r="AB183" s="5"/>
    </row>
    <row r="184" spans="1:28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192</v>
      </c>
      <c r="F184" s="15">
        <f t="shared" ref="F184:Z184" si="32">F53+F63+F73+F83+F93+F97+F101+F111+F115+F125+F129+F136+F146+F156+F161+F165+F175+F181</f>
        <v>173</v>
      </c>
      <c r="G184" s="15">
        <f t="shared" si="32"/>
        <v>143</v>
      </c>
      <c r="H184" s="15">
        <f t="shared" si="32"/>
        <v>227</v>
      </c>
      <c r="I184" s="15">
        <f t="shared" si="32"/>
        <v>189</v>
      </c>
      <c r="J184" s="15">
        <f t="shared" si="32"/>
        <v>215</v>
      </c>
      <c r="K184" s="15">
        <f t="shared" si="32"/>
        <v>144</v>
      </c>
      <c r="L184" s="15">
        <f t="shared" si="32"/>
        <v>192</v>
      </c>
      <c r="M184" s="15">
        <f t="shared" si="32"/>
        <v>179</v>
      </c>
      <c r="N184" s="15">
        <f t="shared" si="32"/>
        <v>180</v>
      </c>
      <c r="O184" s="15">
        <f t="shared" si="32"/>
        <v>203</v>
      </c>
      <c r="P184" s="15">
        <f t="shared" si="32"/>
        <v>223</v>
      </c>
      <c r="Q184" s="15">
        <f t="shared" si="32"/>
        <v>201</v>
      </c>
      <c r="R184" s="15">
        <f t="shared" si="32"/>
        <v>205</v>
      </c>
      <c r="S184" s="15">
        <f t="shared" si="32"/>
        <v>218</v>
      </c>
      <c r="T184" s="15">
        <f t="shared" si="32"/>
        <v>130</v>
      </c>
      <c r="U184" s="15">
        <f t="shared" si="32"/>
        <v>195</v>
      </c>
      <c r="V184" s="15">
        <f t="shared" si="32"/>
        <v>181</v>
      </c>
      <c r="W184" s="15">
        <f t="shared" si="32"/>
        <v>193</v>
      </c>
      <c r="X184" s="15">
        <f t="shared" si="32"/>
        <v>192</v>
      </c>
      <c r="Y184" s="15">
        <f t="shared" si="32"/>
        <v>195</v>
      </c>
      <c r="Z184" s="15">
        <f t="shared" si="32"/>
        <v>3970</v>
      </c>
      <c r="AA184" s="5"/>
      <c r="AB184" s="5"/>
    </row>
    <row r="185" spans="1:28" ht="12.75" customHeight="1" x14ac:dyDescent="0.3">
      <c r="A185" s="21"/>
      <c r="B185" s="42" t="s">
        <v>159</v>
      </c>
      <c r="C185" s="52" t="s">
        <v>160</v>
      </c>
      <c r="D185" s="50"/>
      <c r="E185" s="15">
        <v>8</v>
      </c>
      <c r="F185" s="15">
        <v>9</v>
      </c>
      <c r="G185" s="15">
        <v>15</v>
      </c>
      <c r="H185" s="15">
        <v>4</v>
      </c>
      <c r="I185" s="15">
        <v>13</v>
      </c>
      <c r="J185" s="15">
        <v>14</v>
      </c>
      <c r="K185" s="15">
        <v>6</v>
      </c>
      <c r="L185" s="15">
        <v>14</v>
      </c>
      <c r="M185" s="15">
        <v>21</v>
      </c>
      <c r="N185" s="15">
        <v>15</v>
      </c>
      <c r="O185" s="15">
        <v>7</v>
      </c>
      <c r="P185" s="15">
        <v>5</v>
      </c>
      <c r="Q185" s="15">
        <v>8</v>
      </c>
      <c r="R185" s="15">
        <v>16</v>
      </c>
      <c r="S185" s="15">
        <v>5</v>
      </c>
      <c r="T185" s="15">
        <v>9</v>
      </c>
      <c r="U185" s="15">
        <v>7</v>
      </c>
      <c r="V185" s="15">
        <v>16</v>
      </c>
      <c r="W185" s="15">
        <v>4</v>
      </c>
      <c r="X185" s="15">
        <v>13</v>
      </c>
      <c r="Y185" s="15">
        <v>8</v>
      </c>
      <c r="Z185" s="13">
        <f t="shared" si="13"/>
        <v>217</v>
      </c>
      <c r="AA185" s="5"/>
      <c r="AB185" s="5"/>
    </row>
    <row r="186" spans="1:28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Y186" si="33">SUM(E184:E185)</f>
        <v>200</v>
      </c>
      <c r="F186" s="13">
        <f t="shared" si="33"/>
        <v>182</v>
      </c>
      <c r="G186" s="13">
        <f t="shared" si="33"/>
        <v>158</v>
      </c>
      <c r="H186" s="13">
        <f t="shared" si="33"/>
        <v>231</v>
      </c>
      <c r="I186" s="13">
        <f t="shared" si="33"/>
        <v>202</v>
      </c>
      <c r="J186" s="13">
        <f t="shared" si="33"/>
        <v>229</v>
      </c>
      <c r="K186" s="13">
        <f t="shared" si="33"/>
        <v>150</v>
      </c>
      <c r="L186" s="13">
        <f t="shared" si="33"/>
        <v>206</v>
      </c>
      <c r="M186" s="13">
        <f t="shared" si="33"/>
        <v>200</v>
      </c>
      <c r="N186" s="13">
        <f t="shared" si="33"/>
        <v>195</v>
      </c>
      <c r="O186" s="13">
        <f t="shared" si="33"/>
        <v>210</v>
      </c>
      <c r="P186" s="13">
        <f t="shared" si="33"/>
        <v>228</v>
      </c>
      <c r="Q186" s="13">
        <f t="shared" si="33"/>
        <v>209</v>
      </c>
      <c r="R186" s="13">
        <f t="shared" si="33"/>
        <v>221</v>
      </c>
      <c r="S186" s="13">
        <f t="shared" si="33"/>
        <v>223</v>
      </c>
      <c r="T186" s="13">
        <f t="shared" si="33"/>
        <v>139</v>
      </c>
      <c r="U186" s="13">
        <f t="shared" si="33"/>
        <v>202</v>
      </c>
      <c r="V186" s="13">
        <f t="shared" si="33"/>
        <v>197</v>
      </c>
      <c r="W186" s="13">
        <f t="shared" si="33"/>
        <v>197</v>
      </c>
      <c r="X186" s="13">
        <f t="shared" si="33"/>
        <v>205</v>
      </c>
      <c r="Y186" s="13">
        <f t="shared" si="33"/>
        <v>203</v>
      </c>
      <c r="Z186" s="13">
        <f t="shared" si="13"/>
        <v>4187</v>
      </c>
      <c r="AA186" s="5"/>
      <c r="AB186" s="5"/>
    </row>
    <row r="187" spans="1:28" ht="12.75" customHeight="1" x14ac:dyDescent="0.3"/>
    <row r="188" spans="1:28" ht="12.75" customHeight="1" x14ac:dyDescent="0.3"/>
    <row r="189" spans="1:28" ht="12.75" customHeight="1" x14ac:dyDescent="0.3"/>
    <row r="190" spans="1:28" ht="12.75" customHeight="1" x14ac:dyDescent="0.3"/>
    <row r="191" spans="1:28" ht="12.75" customHeight="1" x14ac:dyDescent="0.3"/>
    <row r="192" spans="1:28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Y12"/>
    <mergeCell ref="Z12:Z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163" priority="3">
      <formula>E34&lt;&gt;E64</formula>
    </cfRule>
  </conditionalFormatting>
  <conditionalFormatting sqref="E14:Y15">
    <cfRule type="containsBlanks" dxfId="162" priority="4">
      <formula>LEN(TRIM(E14))=0</formula>
    </cfRule>
  </conditionalFormatting>
  <conditionalFormatting sqref="E19:Y20">
    <cfRule type="containsBlanks" dxfId="161" priority="5">
      <formula>LEN(TRIM(E19))=0</formula>
    </cfRule>
  </conditionalFormatting>
  <conditionalFormatting sqref="E22:Y23 E25:Y26 E33:Y33 E35:Y35 E39:Y40">
    <cfRule type="containsBlanks" dxfId="160" priority="6">
      <formula>LEN(TRIM(E22))=0</formula>
    </cfRule>
  </conditionalFormatting>
  <conditionalFormatting sqref="E30:Y30">
    <cfRule type="expression" dxfId="159" priority="7">
      <formula>E30&lt;&gt;E47</formula>
    </cfRule>
    <cfRule type="expression" dxfId="158" priority="8">
      <formula>E30&lt;&gt;E34</formula>
    </cfRule>
  </conditionalFormatting>
  <conditionalFormatting sqref="E34:Y34">
    <cfRule type="expression" dxfId="157" priority="9">
      <formula>E30&lt;&gt;E34</formula>
    </cfRule>
    <cfRule type="expression" dxfId="156" priority="10">
      <formula>E30=E34</formula>
    </cfRule>
    <cfRule type="expression" dxfId="155" priority="11">
      <formula>E34&lt;&gt;E30</formula>
    </cfRule>
  </conditionalFormatting>
  <conditionalFormatting sqref="E45:Y52">
    <cfRule type="containsBlanks" dxfId="154" priority="13">
      <formula>LEN(TRIM(E45))=0</formula>
    </cfRule>
  </conditionalFormatting>
  <conditionalFormatting sqref="E55:Y62">
    <cfRule type="containsBlanks" dxfId="153" priority="14">
      <formula>LEN(TRIM(E55))=0</formula>
    </cfRule>
  </conditionalFormatting>
  <conditionalFormatting sqref="E65:Y72">
    <cfRule type="containsBlanks" dxfId="152" priority="15">
      <formula>LEN(TRIM(E65))=0</formula>
    </cfRule>
  </conditionalFormatting>
  <conditionalFormatting sqref="E75:Y82">
    <cfRule type="containsBlanks" dxfId="151" priority="16">
      <formula>LEN(TRIM(E75))=0</formula>
    </cfRule>
  </conditionalFormatting>
  <conditionalFormatting sqref="E85:Y92">
    <cfRule type="containsBlanks" dxfId="150" priority="17">
      <formula>LEN(TRIM(E85))=0</formula>
    </cfRule>
  </conditionalFormatting>
  <conditionalFormatting sqref="E95:Y96">
    <cfRule type="containsBlanks" dxfId="149" priority="18">
      <formula>LEN(TRIM(E95))=0</formula>
    </cfRule>
  </conditionalFormatting>
  <conditionalFormatting sqref="E99:Y100">
    <cfRule type="containsBlanks" dxfId="148" priority="19">
      <formula>LEN(TRIM(E99))=0</formula>
    </cfRule>
  </conditionalFormatting>
  <conditionalFormatting sqref="E103:Y110">
    <cfRule type="containsBlanks" dxfId="147" priority="20">
      <formula>LEN(TRIM(E103))=0</formula>
    </cfRule>
  </conditionalFormatting>
  <conditionalFormatting sqref="E113:Y114">
    <cfRule type="containsBlanks" dxfId="146" priority="21">
      <formula>LEN(TRIM(E113))=0</formula>
    </cfRule>
  </conditionalFormatting>
  <conditionalFormatting sqref="E117:Y124">
    <cfRule type="containsBlanks" dxfId="145" priority="22">
      <formula>LEN(TRIM(E117))=0</formula>
    </cfRule>
  </conditionalFormatting>
  <conditionalFormatting sqref="E127:Y128">
    <cfRule type="containsBlanks" dxfId="144" priority="23">
      <formula>LEN(TRIM(E127))=0</formula>
    </cfRule>
  </conditionalFormatting>
  <conditionalFormatting sqref="E131:Y135">
    <cfRule type="containsBlanks" dxfId="143" priority="24">
      <formula>LEN(TRIM(E131))=0</formula>
    </cfRule>
  </conditionalFormatting>
  <conditionalFormatting sqref="E138:Y145">
    <cfRule type="containsBlanks" dxfId="142" priority="25">
      <formula>LEN(TRIM(E138))=0</formula>
    </cfRule>
  </conditionalFormatting>
  <conditionalFormatting sqref="E148:Y155">
    <cfRule type="containsBlanks" dxfId="141" priority="26">
      <formula>LEN(TRIM(E148))=0</formula>
    </cfRule>
  </conditionalFormatting>
  <conditionalFormatting sqref="E158:Y160">
    <cfRule type="containsBlanks" dxfId="140" priority="27">
      <formula>LEN(TRIM(E158))=0</formula>
    </cfRule>
  </conditionalFormatting>
  <conditionalFormatting sqref="E163:Y164">
    <cfRule type="containsBlanks" dxfId="139" priority="28">
      <formula>LEN(TRIM(E163))=0</formula>
    </cfRule>
  </conditionalFormatting>
  <conditionalFormatting sqref="E167:Y174">
    <cfRule type="containsBlanks" dxfId="138" priority="29">
      <formula>LEN(TRIM(E167))=0</formula>
    </cfRule>
  </conditionalFormatting>
  <conditionalFormatting sqref="E177:Y180">
    <cfRule type="containsBlanks" dxfId="137" priority="30">
      <formula>LEN(TRIM(E177))=0</formula>
    </cfRule>
  </conditionalFormatting>
  <conditionalFormatting sqref="E185:Y185">
    <cfRule type="containsBlanks" dxfId="136" priority="31">
      <formula>LEN(TRIM(E185))=0</formula>
    </cfRule>
  </conditionalFormatting>
  <conditionalFormatting sqref="E186:Y186">
    <cfRule type="expression" dxfId="135" priority="34">
      <formula>#REF!=E186</formula>
    </cfRule>
    <cfRule type="expression" dxfId="134" priority="32">
      <formula>E186&lt;&gt;#REF!</formula>
    </cfRule>
    <cfRule type="expression" dxfId="133" priority="33">
      <formula>#REF!&lt;&gt;E186</formula>
    </cfRule>
  </conditionalFormatting>
  <conditionalFormatting sqref="E184:Z184">
    <cfRule type="containsBlanks" dxfId="132" priority="1">
      <formula>LEN(TRIM(E184))=0</formula>
    </cfRule>
  </conditionalFormatting>
  <conditionalFormatting sqref="U34:Y34">
    <cfRule type="expression" dxfId="131" priority="12">
      <formula>U34&lt;&gt;U47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H922"/>
  <sheetViews>
    <sheetView topLeftCell="A173" workbookViewId="0">
      <selection activeCell="E184" sqref="E184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31" width="8.69921875" customWidth="1"/>
    <col min="32" max="32" width="13.296875" customWidth="1"/>
    <col min="33" max="34" width="8.69921875" customWidth="1"/>
  </cols>
  <sheetData>
    <row r="1" spans="1:32" ht="12.75" customHeight="1" x14ac:dyDescent="0.3"/>
    <row r="2" spans="1:32" ht="12.75" customHeight="1" x14ac:dyDescent="0.3">
      <c r="C2" s="8" t="s">
        <v>0</v>
      </c>
      <c r="D2" s="8" t="s">
        <v>1</v>
      </c>
    </row>
    <row r="3" spans="1:32" ht="12.75" customHeight="1" x14ac:dyDescent="0.3">
      <c r="C3" s="8" t="s">
        <v>2</v>
      </c>
      <c r="D3" s="8" t="s">
        <v>3</v>
      </c>
    </row>
    <row r="4" spans="1:32" ht="12.75" customHeight="1" x14ac:dyDescent="0.3">
      <c r="C4" s="8" t="s">
        <v>4</v>
      </c>
      <c r="D4" s="8" t="s">
        <v>5</v>
      </c>
    </row>
    <row r="5" spans="1:32" ht="12.75" customHeight="1" x14ac:dyDescent="0.3">
      <c r="C5" s="8"/>
      <c r="D5" s="8"/>
    </row>
    <row r="6" spans="1:32" ht="12.75" customHeight="1" x14ac:dyDescent="0.3">
      <c r="C6" s="8"/>
      <c r="D6" s="8"/>
    </row>
    <row r="7" spans="1:32" ht="12.75" customHeight="1" x14ac:dyDescent="0.3">
      <c r="C7" s="8"/>
      <c r="D7" s="8"/>
    </row>
    <row r="8" spans="1:32" ht="12.75" customHeight="1" x14ac:dyDescent="0.3">
      <c r="C8" s="8"/>
      <c r="D8" s="8"/>
    </row>
    <row r="9" spans="1:32" ht="12.75" customHeight="1" x14ac:dyDescent="0.3">
      <c r="C9" s="8" t="s">
        <v>163</v>
      </c>
      <c r="D9" s="8" t="s">
        <v>195</v>
      </c>
    </row>
    <row r="10" spans="1:32" ht="12.75" customHeight="1" x14ac:dyDescent="0.3"/>
    <row r="11" spans="1:32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2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75" t="s">
        <v>8</v>
      </c>
    </row>
    <row r="13" spans="1:32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13" t="s">
        <v>187</v>
      </c>
      <c r="AC13" s="13" t="s">
        <v>188</v>
      </c>
      <c r="AD13" s="13" t="s">
        <v>189</v>
      </c>
      <c r="AE13" s="13" t="s">
        <v>190</v>
      </c>
      <c r="AF13" s="65"/>
    </row>
    <row r="14" spans="1:32" ht="12.75" customHeight="1" x14ac:dyDescent="0.3">
      <c r="A14" s="14"/>
      <c r="B14" s="57" t="s">
        <v>11</v>
      </c>
      <c r="C14" s="58"/>
      <c r="D14" s="15" t="s">
        <v>12</v>
      </c>
      <c r="E14" s="15">
        <v>136</v>
      </c>
      <c r="F14" s="15">
        <v>113</v>
      </c>
      <c r="G14" s="15">
        <v>121</v>
      </c>
      <c r="H14" s="15">
        <v>116</v>
      </c>
      <c r="I14" s="15">
        <v>108</v>
      </c>
      <c r="J14" s="15">
        <v>125</v>
      </c>
      <c r="K14" s="15">
        <v>119</v>
      </c>
      <c r="L14" s="15">
        <v>137</v>
      </c>
      <c r="M14" s="15">
        <v>143</v>
      </c>
      <c r="N14" s="15">
        <v>128</v>
      </c>
      <c r="O14" s="15">
        <v>118</v>
      </c>
      <c r="P14" s="15">
        <v>149</v>
      </c>
      <c r="Q14" s="15">
        <v>142</v>
      </c>
      <c r="R14" s="15">
        <v>139</v>
      </c>
      <c r="S14" s="15">
        <v>143</v>
      </c>
      <c r="T14" s="15">
        <v>141</v>
      </c>
      <c r="U14" s="15">
        <v>137</v>
      </c>
      <c r="V14" s="15">
        <v>152</v>
      </c>
      <c r="W14" s="15">
        <v>119</v>
      </c>
      <c r="X14" s="15">
        <v>135</v>
      </c>
      <c r="Y14" s="15">
        <v>141</v>
      </c>
      <c r="Z14" s="15">
        <v>138</v>
      </c>
      <c r="AA14" s="15">
        <v>111</v>
      </c>
      <c r="AB14" s="15">
        <v>135</v>
      </c>
      <c r="AC14" s="15">
        <v>148</v>
      </c>
      <c r="AD14" s="15">
        <v>81</v>
      </c>
      <c r="AE14" s="15">
        <v>93</v>
      </c>
      <c r="AF14" s="13">
        <f t="shared" ref="AF14:AF16" si="0">SUM(E14:AE14)</f>
        <v>3468</v>
      </c>
    </row>
    <row r="15" spans="1:32" ht="12.75" customHeight="1" x14ac:dyDescent="0.3">
      <c r="A15" s="14"/>
      <c r="B15" s="59"/>
      <c r="C15" s="60"/>
      <c r="D15" s="15" t="s">
        <v>13</v>
      </c>
      <c r="E15" s="15">
        <v>138</v>
      </c>
      <c r="F15" s="15">
        <v>115</v>
      </c>
      <c r="G15" s="15">
        <v>132</v>
      </c>
      <c r="H15" s="15">
        <v>119</v>
      </c>
      <c r="I15" s="15">
        <v>112</v>
      </c>
      <c r="J15" s="15">
        <v>123</v>
      </c>
      <c r="K15" s="15">
        <v>118</v>
      </c>
      <c r="L15" s="15">
        <v>136</v>
      </c>
      <c r="M15" s="15">
        <v>141</v>
      </c>
      <c r="N15" s="15">
        <v>136</v>
      </c>
      <c r="O15" s="15">
        <v>104</v>
      </c>
      <c r="P15" s="15">
        <v>147</v>
      </c>
      <c r="Q15" s="15">
        <v>149</v>
      </c>
      <c r="R15" s="15">
        <v>155</v>
      </c>
      <c r="S15" s="15">
        <v>147</v>
      </c>
      <c r="T15" s="15">
        <v>125</v>
      </c>
      <c r="U15" s="15">
        <v>148</v>
      </c>
      <c r="V15" s="15">
        <v>145</v>
      </c>
      <c r="W15" s="15">
        <v>117</v>
      </c>
      <c r="X15" s="15">
        <v>157</v>
      </c>
      <c r="Y15" s="15">
        <v>150</v>
      </c>
      <c r="Z15" s="15">
        <v>143</v>
      </c>
      <c r="AA15" s="15">
        <v>117</v>
      </c>
      <c r="AB15" s="15">
        <v>127</v>
      </c>
      <c r="AC15" s="15">
        <v>141</v>
      </c>
      <c r="AD15" s="15">
        <v>81</v>
      </c>
      <c r="AE15" s="15">
        <v>76</v>
      </c>
      <c r="AF15" s="13">
        <f t="shared" si="0"/>
        <v>3499</v>
      </c>
    </row>
    <row r="16" spans="1:32" ht="12.75" customHeight="1" x14ac:dyDescent="0.3">
      <c r="A16" s="17"/>
      <c r="B16" s="55"/>
      <c r="C16" s="61"/>
      <c r="D16" s="13" t="s">
        <v>14</v>
      </c>
      <c r="E16" s="13">
        <f t="shared" ref="E16:AE16" si="1">SUM(E14:E15)</f>
        <v>274</v>
      </c>
      <c r="F16" s="13">
        <f t="shared" si="1"/>
        <v>228</v>
      </c>
      <c r="G16" s="13">
        <f t="shared" si="1"/>
        <v>253</v>
      </c>
      <c r="H16" s="13">
        <f t="shared" si="1"/>
        <v>235</v>
      </c>
      <c r="I16" s="13">
        <f t="shared" si="1"/>
        <v>220</v>
      </c>
      <c r="J16" s="13">
        <f t="shared" si="1"/>
        <v>248</v>
      </c>
      <c r="K16" s="13">
        <f t="shared" si="1"/>
        <v>237</v>
      </c>
      <c r="L16" s="13">
        <f t="shared" si="1"/>
        <v>273</v>
      </c>
      <c r="M16" s="13">
        <f t="shared" si="1"/>
        <v>284</v>
      </c>
      <c r="N16" s="13">
        <f t="shared" si="1"/>
        <v>264</v>
      </c>
      <c r="O16" s="13">
        <f t="shared" si="1"/>
        <v>222</v>
      </c>
      <c r="P16" s="13">
        <f t="shared" si="1"/>
        <v>296</v>
      </c>
      <c r="Q16" s="13">
        <f t="shared" si="1"/>
        <v>291</v>
      </c>
      <c r="R16" s="13">
        <f t="shared" si="1"/>
        <v>294</v>
      </c>
      <c r="S16" s="13">
        <f t="shared" si="1"/>
        <v>290</v>
      </c>
      <c r="T16" s="13">
        <f t="shared" si="1"/>
        <v>266</v>
      </c>
      <c r="U16" s="13">
        <f t="shared" si="1"/>
        <v>285</v>
      </c>
      <c r="V16" s="13">
        <f t="shared" si="1"/>
        <v>297</v>
      </c>
      <c r="W16" s="13">
        <f t="shared" si="1"/>
        <v>236</v>
      </c>
      <c r="X16" s="13">
        <f t="shared" si="1"/>
        <v>292</v>
      </c>
      <c r="Y16" s="13">
        <f t="shared" si="1"/>
        <v>291</v>
      </c>
      <c r="Z16" s="13">
        <f t="shared" si="1"/>
        <v>281</v>
      </c>
      <c r="AA16" s="13">
        <f t="shared" si="1"/>
        <v>228</v>
      </c>
      <c r="AB16" s="13">
        <f t="shared" si="1"/>
        <v>262</v>
      </c>
      <c r="AC16" s="13">
        <f t="shared" si="1"/>
        <v>289</v>
      </c>
      <c r="AD16" s="13">
        <f t="shared" si="1"/>
        <v>162</v>
      </c>
      <c r="AE16" s="13">
        <f t="shared" si="1"/>
        <v>169</v>
      </c>
      <c r="AF16" s="13">
        <f t="shared" si="0"/>
        <v>6967</v>
      </c>
    </row>
    <row r="17" spans="1:32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6"/>
    </row>
    <row r="18" spans="1:32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6"/>
    </row>
    <row r="19" spans="1:32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107</v>
      </c>
      <c r="F19" s="15">
        <v>101</v>
      </c>
      <c r="G19" s="15">
        <v>89</v>
      </c>
      <c r="H19" s="15">
        <v>85</v>
      </c>
      <c r="I19" s="15">
        <v>87</v>
      </c>
      <c r="J19" s="15">
        <v>100</v>
      </c>
      <c r="K19" s="15">
        <v>94</v>
      </c>
      <c r="L19" s="15">
        <v>101</v>
      </c>
      <c r="M19" s="15">
        <v>115</v>
      </c>
      <c r="N19" s="15">
        <v>101</v>
      </c>
      <c r="O19" s="15">
        <v>96</v>
      </c>
      <c r="P19" s="15">
        <v>119</v>
      </c>
      <c r="Q19" s="15">
        <v>105</v>
      </c>
      <c r="R19" s="15">
        <v>111</v>
      </c>
      <c r="S19" s="15">
        <v>113</v>
      </c>
      <c r="T19" s="15">
        <v>104</v>
      </c>
      <c r="U19" s="15">
        <v>101</v>
      </c>
      <c r="V19" s="15">
        <v>109</v>
      </c>
      <c r="W19" s="15">
        <v>96</v>
      </c>
      <c r="X19" s="15">
        <v>105</v>
      </c>
      <c r="Y19" s="15">
        <v>104</v>
      </c>
      <c r="Z19" s="15">
        <v>106</v>
      </c>
      <c r="AA19" s="15">
        <v>85</v>
      </c>
      <c r="AB19" s="15">
        <v>106</v>
      </c>
      <c r="AC19" s="15">
        <v>118</v>
      </c>
      <c r="AD19" s="15">
        <v>71</v>
      </c>
      <c r="AE19" s="15">
        <v>68</v>
      </c>
      <c r="AF19" s="13">
        <f t="shared" ref="AF19:AF30" si="2">SUM(E19:AE19)</f>
        <v>2697</v>
      </c>
    </row>
    <row r="20" spans="1:32" ht="12.75" customHeight="1" x14ac:dyDescent="0.3">
      <c r="A20" s="20"/>
      <c r="B20" s="60"/>
      <c r="C20" s="64"/>
      <c r="D20" s="15" t="s">
        <v>13</v>
      </c>
      <c r="E20" s="15">
        <v>109</v>
      </c>
      <c r="F20" s="15">
        <v>93</v>
      </c>
      <c r="G20" s="15">
        <v>104</v>
      </c>
      <c r="H20" s="15">
        <v>96</v>
      </c>
      <c r="I20" s="15">
        <v>91</v>
      </c>
      <c r="J20" s="15">
        <v>100</v>
      </c>
      <c r="K20" s="15">
        <v>81</v>
      </c>
      <c r="L20" s="15">
        <v>105</v>
      </c>
      <c r="M20" s="15">
        <v>111</v>
      </c>
      <c r="N20" s="15">
        <v>101</v>
      </c>
      <c r="O20" s="15">
        <v>88</v>
      </c>
      <c r="P20" s="15">
        <v>120</v>
      </c>
      <c r="Q20" s="15">
        <v>121</v>
      </c>
      <c r="R20" s="15">
        <v>136</v>
      </c>
      <c r="S20" s="15">
        <v>120</v>
      </c>
      <c r="T20" s="15">
        <v>94</v>
      </c>
      <c r="U20" s="15">
        <v>115</v>
      </c>
      <c r="V20" s="15">
        <v>112</v>
      </c>
      <c r="W20" s="15">
        <v>96</v>
      </c>
      <c r="X20" s="15">
        <v>114</v>
      </c>
      <c r="Y20" s="15">
        <v>119</v>
      </c>
      <c r="Z20" s="15">
        <v>117</v>
      </c>
      <c r="AA20" s="15">
        <v>100</v>
      </c>
      <c r="AB20" s="15">
        <v>105</v>
      </c>
      <c r="AC20" s="15">
        <v>108</v>
      </c>
      <c r="AD20" s="15">
        <v>67</v>
      </c>
      <c r="AE20" s="15">
        <v>65</v>
      </c>
      <c r="AF20" s="13">
        <f t="shared" si="2"/>
        <v>2788</v>
      </c>
    </row>
    <row r="21" spans="1:32" ht="12.75" customHeight="1" x14ac:dyDescent="0.3">
      <c r="A21" s="21"/>
      <c r="B21" s="61"/>
      <c r="C21" s="65"/>
      <c r="D21" s="13" t="s">
        <v>14</v>
      </c>
      <c r="E21" s="13">
        <f t="shared" ref="E21:AE21" si="3">SUM(E19:E20)</f>
        <v>216</v>
      </c>
      <c r="F21" s="13">
        <f t="shared" si="3"/>
        <v>194</v>
      </c>
      <c r="G21" s="13">
        <f t="shared" si="3"/>
        <v>193</v>
      </c>
      <c r="H21" s="13">
        <f t="shared" si="3"/>
        <v>181</v>
      </c>
      <c r="I21" s="13">
        <f t="shared" si="3"/>
        <v>178</v>
      </c>
      <c r="J21" s="13">
        <f t="shared" si="3"/>
        <v>200</v>
      </c>
      <c r="K21" s="13">
        <f t="shared" si="3"/>
        <v>175</v>
      </c>
      <c r="L21" s="13">
        <f t="shared" si="3"/>
        <v>206</v>
      </c>
      <c r="M21" s="13">
        <f t="shared" si="3"/>
        <v>226</v>
      </c>
      <c r="N21" s="13">
        <f t="shared" si="3"/>
        <v>202</v>
      </c>
      <c r="O21" s="13">
        <f t="shared" si="3"/>
        <v>184</v>
      </c>
      <c r="P21" s="13">
        <f t="shared" si="3"/>
        <v>239</v>
      </c>
      <c r="Q21" s="13">
        <f t="shared" si="3"/>
        <v>226</v>
      </c>
      <c r="R21" s="13">
        <f t="shared" si="3"/>
        <v>247</v>
      </c>
      <c r="S21" s="13">
        <f t="shared" si="3"/>
        <v>233</v>
      </c>
      <c r="T21" s="13">
        <f t="shared" si="3"/>
        <v>198</v>
      </c>
      <c r="U21" s="13">
        <f t="shared" si="3"/>
        <v>216</v>
      </c>
      <c r="V21" s="13">
        <f t="shared" si="3"/>
        <v>221</v>
      </c>
      <c r="W21" s="13">
        <f t="shared" si="3"/>
        <v>192</v>
      </c>
      <c r="X21" s="13">
        <f t="shared" si="3"/>
        <v>219</v>
      </c>
      <c r="Y21" s="13">
        <f t="shared" si="3"/>
        <v>223</v>
      </c>
      <c r="Z21" s="13">
        <f t="shared" si="3"/>
        <v>223</v>
      </c>
      <c r="AA21" s="13">
        <f t="shared" si="3"/>
        <v>185</v>
      </c>
      <c r="AB21" s="13">
        <f t="shared" si="3"/>
        <v>211</v>
      </c>
      <c r="AC21" s="13">
        <f t="shared" si="3"/>
        <v>226</v>
      </c>
      <c r="AD21" s="13">
        <f t="shared" si="3"/>
        <v>138</v>
      </c>
      <c r="AE21" s="13">
        <f t="shared" si="3"/>
        <v>133</v>
      </c>
      <c r="AF21" s="13">
        <f t="shared" si="2"/>
        <v>5485</v>
      </c>
    </row>
    <row r="22" spans="1:32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1</v>
      </c>
      <c r="AE22" s="15">
        <v>0</v>
      </c>
      <c r="AF22" s="13">
        <f t="shared" si="2"/>
        <v>1</v>
      </c>
    </row>
    <row r="23" spans="1:32" ht="12.75" customHeight="1" x14ac:dyDescent="0.3">
      <c r="A23" s="20"/>
      <c r="B23" s="60"/>
      <c r="C23" s="64"/>
      <c r="D23" s="15" t="s">
        <v>13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3">
        <f t="shared" si="2"/>
        <v>0</v>
      </c>
    </row>
    <row r="24" spans="1:32" ht="12.75" customHeight="1" x14ac:dyDescent="0.3">
      <c r="A24" s="21"/>
      <c r="B24" s="61"/>
      <c r="C24" s="65"/>
      <c r="D24" s="13" t="s">
        <v>14</v>
      </c>
      <c r="E24" s="13">
        <f t="shared" ref="E24:AE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1</v>
      </c>
      <c r="AE24" s="13">
        <f t="shared" si="4"/>
        <v>0</v>
      </c>
      <c r="AF24" s="13">
        <f t="shared" si="2"/>
        <v>1</v>
      </c>
    </row>
    <row r="25" spans="1:32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0</v>
      </c>
      <c r="F25" s="15">
        <v>1</v>
      </c>
      <c r="G25" s="15">
        <v>1</v>
      </c>
      <c r="H25" s="15">
        <v>0</v>
      </c>
      <c r="I25" s="15">
        <v>3</v>
      </c>
      <c r="J25" s="15">
        <v>4</v>
      </c>
      <c r="K25" s="15">
        <v>1</v>
      </c>
      <c r="L25" s="15">
        <v>0</v>
      </c>
      <c r="M25" s="15">
        <v>1</v>
      </c>
      <c r="N25" s="15">
        <v>0</v>
      </c>
      <c r="O25" s="15">
        <v>2</v>
      </c>
      <c r="P25" s="15">
        <v>0</v>
      </c>
      <c r="Q25" s="15">
        <v>1</v>
      </c>
      <c r="R25" s="15">
        <v>3</v>
      </c>
      <c r="S25" s="15">
        <v>3</v>
      </c>
      <c r="T25" s="15">
        <v>1</v>
      </c>
      <c r="U25" s="15">
        <v>0</v>
      </c>
      <c r="V25" s="15">
        <v>0</v>
      </c>
      <c r="W25" s="15">
        <v>2</v>
      </c>
      <c r="X25" s="15">
        <v>1</v>
      </c>
      <c r="Y25" s="15">
        <v>0</v>
      </c>
      <c r="Z25" s="15">
        <v>2</v>
      </c>
      <c r="AA25" s="15">
        <v>4</v>
      </c>
      <c r="AB25" s="15">
        <v>0</v>
      </c>
      <c r="AC25" s="15">
        <v>3</v>
      </c>
      <c r="AD25" s="15">
        <v>1</v>
      </c>
      <c r="AE25" s="15">
        <v>3</v>
      </c>
      <c r="AF25" s="13">
        <f t="shared" si="2"/>
        <v>37</v>
      </c>
    </row>
    <row r="26" spans="1:32" ht="12.75" customHeight="1" x14ac:dyDescent="0.3">
      <c r="A26" s="20"/>
      <c r="B26" s="60"/>
      <c r="C26" s="64"/>
      <c r="D26" s="15" t="s">
        <v>13</v>
      </c>
      <c r="E26" s="15">
        <v>0</v>
      </c>
      <c r="F26" s="15">
        <v>3</v>
      </c>
      <c r="G26" s="15">
        <v>2</v>
      </c>
      <c r="H26" s="15">
        <v>4</v>
      </c>
      <c r="I26" s="15">
        <v>3</v>
      </c>
      <c r="J26" s="15">
        <v>2</v>
      </c>
      <c r="K26" s="15">
        <v>2</v>
      </c>
      <c r="L26" s="15">
        <v>2</v>
      </c>
      <c r="M26" s="15">
        <v>3</v>
      </c>
      <c r="N26" s="15">
        <v>1</v>
      </c>
      <c r="O26" s="15">
        <v>0</v>
      </c>
      <c r="P26" s="15">
        <v>1</v>
      </c>
      <c r="Q26" s="15">
        <v>0</v>
      </c>
      <c r="R26" s="15">
        <v>2</v>
      </c>
      <c r="S26" s="15">
        <v>0</v>
      </c>
      <c r="T26" s="15">
        <v>2</v>
      </c>
      <c r="U26" s="15">
        <v>1</v>
      </c>
      <c r="V26" s="15">
        <v>0</v>
      </c>
      <c r="W26" s="15">
        <v>2</v>
      </c>
      <c r="X26" s="15">
        <v>1</v>
      </c>
      <c r="Y26" s="15">
        <v>0</v>
      </c>
      <c r="Z26" s="15">
        <v>0</v>
      </c>
      <c r="AA26" s="15">
        <v>0</v>
      </c>
      <c r="AB26" s="15">
        <v>0</v>
      </c>
      <c r="AC26" s="15">
        <v>2</v>
      </c>
      <c r="AD26" s="15">
        <v>0</v>
      </c>
      <c r="AE26" s="15">
        <v>4</v>
      </c>
      <c r="AF26" s="13">
        <f t="shared" si="2"/>
        <v>37</v>
      </c>
    </row>
    <row r="27" spans="1:32" ht="12.75" customHeight="1" x14ac:dyDescent="0.3">
      <c r="A27" s="21"/>
      <c r="B27" s="61"/>
      <c r="C27" s="65"/>
      <c r="D27" s="13" t="s">
        <v>14</v>
      </c>
      <c r="E27" s="13">
        <f t="shared" ref="E27:AE27" si="5">SUM(E25:E26)</f>
        <v>0</v>
      </c>
      <c r="F27" s="13">
        <f t="shared" si="5"/>
        <v>4</v>
      </c>
      <c r="G27" s="13">
        <f t="shared" si="5"/>
        <v>3</v>
      </c>
      <c r="H27" s="13">
        <f t="shared" si="5"/>
        <v>4</v>
      </c>
      <c r="I27" s="13">
        <f t="shared" si="5"/>
        <v>6</v>
      </c>
      <c r="J27" s="13">
        <f t="shared" si="5"/>
        <v>6</v>
      </c>
      <c r="K27" s="13">
        <f t="shared" si="5"/>
        <v>3</v>
      </c>
      <c r="L27" s="13">
        <f t="shared" si="5"/>
        <v>2</v>
      </c>
      <c r="M27" s="13">
        <f t="shared" si="5"/>
        <v>4</v>
      </c>
      <c r="N27" s="13">
        <f t="shared" si="5"/>
        <v>1</v>
      </c>
      <c r="O27" s="13">
        <f t="shared" si="5"/>
        <v>2</v>
      </c>
      <c r="P27" s="13">
        <f t="shared" si="5"/>
        <v>1</v>
      </c>
      <c r="Q27" s="13">
        <f t="shared" si="5"/>
        <v>1</v>
      </c>
      <c r="R27" s="13">
        <f t="shared" si="5"/>
        <v>5</v>
      </c>
      <c r="S27" s="13">
        <f t="shared" si="5"/>
        <v>3</v>
      </c>
      <c r="T27" s="13">
        <f t="shared" si="5"/>
        <v>3</v>
      </c>
      <c r="U27" s="13">
        <f t="shared" si="5"/>
        <v>1</v>
      </c>
      <c r="V27" s="13">
        <f t="shared" si="5"/>
        <v>0</v>
      </c>
      <c r="W27" s="13">
        <f t="shared" si="5"/>
        <v>4</v>
      </c>
      <c r="X27" s="13">
        <f t="shared" si="5"/>
        <v>2</v>
      </c>
      <c r="Y27" s="13">
        <f t="shared" si="5"/>
        <v>0</v>
      </c>
      <c r="Z27" s="13">
        <f t="shared" si="5"/>
        <v>2</v>
      </c>
      <c r="AA27" s="13">
        <f t="shared" si="5"/>
        <v>4</v>
      </c>
      <c r="AB27" s="13">
        <f t="shared" si="5"/>
        <v>0</v>
      </c>
      <c r="AC27" s="13">
        <f t="shared" si="5"/>
        <v>5</v>
      </c>
      <c r="AD27" s="13">
        <f t="shared" si="5"/>
        <v>1</v>
      </c>
      <c r="AE27" s="13">
        <f t="shared" si="5"/>
        <v>7</v>
      </c>
      <c r="AF27" s="13">
        <f t="shared" si="2"/>
        <v>74</v>
      </c>
    </row>
    <row r="28" spans="1:32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E28" si="6">SUM(E19,E22,E25)</f>
        <v>107</v>
      </c>
      <c r="F28" s="13">
        <f t="shared" si="6"/>
        <v>102</v>
      </c>
      <c r="G28" s="13">
        <f t="shared" si="6"/>
        <v>90</v>
      </c>
      <c r="H28" s="13">
        <f t="shared" si="6"/>
        <v>85</v>
      </c>
      <c r="I28" s="13">
        <f t="shared" si="6"/>
        <v>90</v>
      </c>
      <c r="J28" s="13">
        <f t="shared" si="6"/>
        <v>104</v>
      </c>
      <c r="K28" s="13">
        <f t="shared" si="6"/>
        <v>95</v>
      </c>
      <c r="L28" s="13">
        <f t="shared" si="6"/>
        <v>101</v>
      </c>
      <c r="M28" s="13">
        <f t="shared" si="6"/>
        <v>116</v>
      </c>
      <c r="N28" s="13">
        <f t="shared" si="6"/>
        <v>101</v>
      </c>
      <c r="O28" s="13">
        <f t="shared" si="6"/>
        <v>98</v>
      </c>
      <c r="P28" s="13">
        <f t="shared" si="6"/>
        <v>119</v>
      </c>
      <c r="Q28" s="13">
        <f t="shared" si="6"/>
        <v>106</v>
      </c>
      <c r="R28" s="13">
        <f t="shared" si="6"/>
        <v>114</v>
      </c>
      <c r="S28" s="13">
        <f t="shared" si="6"/>
        <v>116</v>
      </c>
      <c r="T28" s="13">
        <f t="shared" si="6"/>
        <v>105</v>
      </c>
      <c r="U28" s="13">
        <f t="shared" si="6"/>
        <v>101</v>
      </c>
      <c r="V28" s="13">
        <f t="shared" si="6"/>
        <v>109</v>
      </c>
      <c r="W28" s="13">
        <f t="shared" si="6"/>
        <v>98</v>
      </c>
      <c r="X28" s="13">
        <f t="shared" si="6"/>
        <v>106</v>
      </c>
      <c r="Y28" s="13">
        <f t="shared" si="6"/>
        <v>104</v>
      </c>
      <c r="Z28" s="13">
        <f t="shared" si="6"/>
        <v>108</v>
      </c>
      <c r="AA28" s="13">
        <f t="shared" si="6"/>
        <v>89</v>
      </c>
      <c r="AB28" s="13">
        <f t="shared" si="6"/>
        <v>106</v>
      </c>
      <c r="AC28" s="13">
        <f t="shared" si="6"/>
        <v>121</v>
      </c>
      <c r="AD28" s="13">
        <f t="shared" si="6"/>
        <v>73</v>
      </c>
      <c r="AE28" s="13">
        <f t="shared" si="6"/>
        <v>71</v>
      </c>
      <c r="AF28" s="13">
        <f t="shared" si="2"/>
        <v>2735</v>
      </c>
    </row>
    <row r="29" spans="1:32" ht="12.75" customHeight="1" x14ac:dyDescent="0.3">
      <c r="A29" s="21"/>
      <c r="B29" s="60"/>
      <c r="C29" s="64"/>
      <c r="D29" s="13" t="s">
        <v>13</v>
      </c>
      <c r="E29" s="13">
        <f t="shared" ref="E29:AE29" si="7">SUM(E20,E23,E26)</f>
        <v>109</v>
      </c>
      <c r="F29" s="13">
        <f t="shared" si="7"/>
        <v>96</v>
      </c>
      <c r="G29" s="13">
        <f t="shared" si="7"/>
        <v>106</v>
      </c>
      <c r="H29" s="13">
        <f t="shared" si="7"/>
        <v>100</v>
      </c>
      <c r="I29" s="13">
        <f t="shared" si="7"/>
        <v>94</v>
      </c>
      <c r="J29" s="13">
        <f t="shared" si="7"/>
        <v>102</v>
      </c>
      <c r="K29" s="13">
        <f t="shared" si="7"/>
        <v>83</v>
      </c>
      <c r="L29" s="13">
        <f t="shared" si="7"/>
        <v>107</v>
      </c>
      <c r="M29" s="13">
        <f t="shared" si="7"/>
        <v>114</v>
      </c>
      <c r="N29" s="13">
        <f t="shared" si="7"/>
        <v>102</v>
      </c>
      <c r="O29" s="13">
        <f t="shared" si="7"/>
        <v>88</v>
      </c>
      <c r="P29" s="13">
        <f t="shared" si="7"/>
        <v>121</v>
      </c>
      <c r="Q29" s="13">
        <f t="shared" si="7"/>
        <v>121</v>
      </c>
      <c r="R29" s="13">
        <f t="shared" si="7"/>
        <v>138</v>
      </c>
      <c r="S29" s="13">
        <f t="shared" si="7"/>
        <v>120</v>
      </c>
      <c r="T29" s="13">
        <f t="shared" si="7"/>
        <v>96</v>
      </c>
      <c r="U29" s="13">
        <f t="shared" si="7"/>
        <v>116</v>
      </c>
      <c r="V29" s="13">
        <f t="shared" si="7"/>
        <v>112</v>
      </c>
      <c r="W29" s="13">
        <f t="shared" si="7"/>
        <v>98</v>
      </c>
      <c r="X29" s="13">
        <f t="shared" si="7"/>
        <v>115</v>
      </c>
      <c r="Y29" s="13">
        <f t="shared" si="7"/>
        <v>119</v>
      </c>
      <c r="Z29" s="13">
        <f t="shared" si="7"/>
        <v>117</v>
      </c>
      <c r="AA29" s="13">
        <f t="shared" si="7"/>
        <v>100</v>
      </c>
      <c r="AB29" s="13">
        <f t="shared" si="7"/>
        <v>105</v>
      </c>
      <c r="AC29" s="13">
        <f t="shared" si="7"/>
        <v>110</v>
      </c>
      <c r="AD29" s="13">
        <f t="shared" si="7"/>
        <v>67</v>
      </c>
      <c r="AE29" s="13">
        <f t="shared" si="7"/>
        <v>69</v>
      </c>
      <c r="AF29" s="13">
        <f t="shared" si="2"/>
        <v>2825</v>
      </c>
    </row>
    <row r="30" spans="1:32" ht="12.75" customHeight="1" x14ac:dyDescent="0.3">
      <c r="A30" s="21"/>
      <c r="B30" s="61"/>
      <c r="C30" s="65"/>
      <c r="D30" s="13" t="s">
        <v>14</v>
      </c>
      <c r="E30" s="13">
        <f t="shared" ref="E30:AE30" si="8">SUM(E28:E29)</f>
        <v>216</v>
      </c>
      <c r="F30" s="13">
        <f t="shared" si="8"/>
        <v>198</v>
      </c>
      <c r="G30" s="13">
        <f t="shared" si="8"/>
        <v>196</v>
      </c>
      <c r="H30" s="13">
        <f t="shared" si="8"/>
        <v>185</v>
      </c>
      <c r="I30" s="13">
        <f t="shared" si="8"/>
        <v>184</v>
      </c>
      <c r="J30" s="13">
        <f t="shared" si="8"/>
        <v>206</v>
      </c>
      <c r="K30" s="13">
        <f t="shared" si="8"/>
        <v>178</v>
      </c>
      <c r="L30" s="13">
        <f t="shared" si="8"/>
        <v>208</v>
      </c>
      <c r="M30" s="13">
        <f t="shared" si="8"/>
        <v>230</v>
      </c>
      <c r="N30" s="13">
        <f t="shared" si="8"/>
        <v>203</v>
      </c>
      <c r="O30" s="13">
        <f t="shared" si="8"/>
        <v>186</v>
      </c>
      <c r="P30" s="13">
        <f t="shared" si="8"/>
        <v>240</v>
      </c>
      <c r="Q30" s="13">
        <f t="shared" si="8"/>
        <v>227</v>
      </c>
      <c r="R30" s="13">
        <f t="shared" si="8"/>
        <v>252</v>
      </c>
      <c r="S30" s="13">
        <f t="shared" si="8"/>
        <v>236</v>
      </c>
      <c r="T30" s="13">
        <f t="shared" si="8"/>
        <v>201</v>
      </c>
      <c r="U30" s="13">
        <f t="shared" si="8"/>
        <v>217</v>
      </c>
      <c r="V30" s="13">
        <f t="shared" si="8"/>
        <v>221</v>
      </c>
      <c r="W30" s="13">
        <f t="shared" si="8"/>
        <v>196</v>
      </c>
      <c r="X30" s="13">
        <f t="shared" si="8"/>
        <v>221</v>
      </c>
      <c r="Y30" s="13">
        <f t="shared" si="8"/>
        <v>223</v>
      </c>
      <c r="Z30" s="13">
        <f t="shared" si="8"/>
        <v>225</v>
      </c>
      <c r="AA30" s="13">
        <f t="shared" si="8"/>
        <v>189</v>
      </c>
      <c r="AB30" s="13">
        <f t="shared" si="8"/>
        <v>211</v>
      </c>
      <c r="AC30" s="13">
        <f t="shared" si="8"/>
        <v>231</v>
      </c>
      <c r="AD30" s="13">
        <f t="shared" si="8"/>
        <v>140</v>
      </c>
      <c r="AE30" s="13">
        <f t="shared" si="8"/>
        <v>140</v>
      </c>
      <c r="AF30" s="13">
        <f t="shared" si="2"/>
        <v>5560</v>
      </c>
    </row>
    <row r="31" spans="1:32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6"/>
    </row>
    <row r="32" spans="1:32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6"/>
    </row>
    <row r="33" spans="1:32" ht="12.75" customHeight="1" x14ac:dyDescent="0.3">
      <c r="A33" s="15">
        <v>1</v>
      </c>
      <c r="B33" s="56" t="s">
        <v>27</v>
      </c>
      <c r="C33" s="49"/>
      <c r="D33" s="50"/>
      <c r="E33" s="15">
        <v>280</v>
      </c>
      <c r="F33" s="15">
        <v>233</v>
      </c>
      <c r="G33" s="15">
        <v>260</v>
      </c>
      <c r="H33" s="15">
        <v>240</v>
      </c>
      <c r="I33" s="15">
        <v>225</v>
      </c>
      <c r="J33" s="15">
        <v>253</v>
      </c>
      <c r="K33" s="15">
        <v>243</v>
      </c>
      <c r="L33" s="15">
        <v>279</v>
      </c>
      <c r="M33" s="15">
        <v>290</v>
      </c>
      <c r="N33" s="15">
        <v>271</v>
      </c>
      <c r="O33" s="15">
        <v>227</v>
      </c>
      <c r="P33" s="15">
        <v>302</v>
      </c>
      <c r="Q33" s="15">
        <v>296</v>
      </c>
      <c r="R33" s="15">
        <v>300</v>
      </c>
      <c r="S33" s="15">
        <v>296</v>
      </c>
      <c r="T33" s="15">
        <v>272</v>
      </c>
      <c r="U33" s="15">
        <v>289</v>
      </c>
      <c r="V33" s="15">
        <v>303</v>
      </c>
      <c r="W33" s="15">
        <v>241</v>
      </c>
      <c r="X33" s="15">
        <v>298</v>
      </c>
      <c r="Y33" s="15">
        <v>297</v>
      </c>
      <c r="Z33" s="15">
        <v>287</v>
      </c>
      <c r="AA33" s="15">
        <v>233</v>
      </c>
      <c r="AB33" s="15">
        <v>268</v>
      </c>
      <c r="AC33" s="15">
        <v>295</v>
      </c>
      <c r="AD33" s="15">
        <v>167</v>
      </c>
      <c r="AE33" s="15">
        <v>173</v>
      </c>
      <c r="AF33" s="13">
        <f t="shared" ref="AF33:AF36" si="9">SUM(E33:AE33)</f>
        <v>7118</v>
      </c>
    </row>
    <row r="34" spans="1:32" ht="12.75" customHeight="1" x14ac:dyDescent="0.3">
      <c r="A34" s="15">
        <v>2</v>
      </c>
      <c r="B34" s="56" t="s">
        <v>28</v>
      </c>
      <c r="C34" s="49"/>
      <c r="D34" s="50"/>
      <c r="E34" s="13">
        <v>216</v>
      </c>
      <c r="F34" s="13">
        <v>198</v>
      </c>
      <c r="G34" s="13">
        <v>196</v>
      </c>
      <c r="H34" s="13">
        <v>185</v>
      </c>
      <c r="I34" s="13">
        <v>184</v>
      </c>
      <c r="J34" s="13">
        <v>206</v>
      </c>
      <c r="K34" s="13">
        <v>178</v>
      </c>
      <c r="L34" s="13">
        <v>208</v>
      </c>
      <c r="M34" s="13">
        <v>230</v>
      </c>
      <c r="N34" s="13">
        <v>203</v>
      </c>
      <c r="O34" s="13">
        <v>186</v>
      </c>
      <c r="P34" s="13">
        <v>240</v>
      </c>
      <c r="Q34" s="13">
        <v>227</v>
      </c>
      <c r="R34" s="13">
        <v>252</v>
      </c>
      <c r="S34" s="13">
        <v>236</v>
      </c>
      <c r="T34" s="13">
        <v>201</v>
      </c>
      <c r="U34" s="13">
        <v>217</v>
      </c>
      <c r="V34" s="13">
        <v>221</v>
      </c>
      <c r="W34" s="13">
        <v>196</v>
      </c>
      <c r="X34" s="13">
        <v>221</v>
      </c>
      <c r="Y34" s="13">
        <v>223</v>
      </c>
      <c r="Z34" s="13">
        <v>225</v>
      </c>
      <c r="AA34" s="13">
        <v>189</v>
      </c>
      <c r="AB34" s="13">
        <v>211</v>
      </c>
      <c r="AC34" s="13">
        <v>231</v>
      </c>
      <c r="AD34" s="13">
        <v>140</v>
      </c>
      <c r="AE34" s="13">
        <v>140</v>
      </c>
      <c r="AF34" s="13">
        <f t="shared" si="9"/>
        <v>5560</v>
      </c>
    </row>
    <row r="35" spans="1:32" ht="12.75" customHeight="1" x14ac:dyDescent="0.3">
      <c r="A35" s="15">
        <v>3</v>
      </c>
      <c r="B35" s="56" t="s">
        <v>29</v>
      </c>
      <c r="C35" s="49"/>
      <c r="D35" s="50"/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1</v>
      </c>
      <c r="K35" s="15">
        <v>0</v>
      </c>
      <c r="L35" s="15">
        <v>0</v>
      </c>
      <c r="M35" s="15">
        <v>2</v>
      </c>
      <c r="N35" s="15">
        <v>0</v>
      </c>
      <c r="O35" s="15">
        <v>0</v>
      </c>
      <c r="P35" s="15">
        <v>6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77</v>
      </c>
      <c r="Y35" s="15">
        <v>0</v>
      </c>
      <c r="Z35" s="15">
        <v>0</v>
      </c>
      <c r="AA35" s="15">
        <v>0</v>
      </c>
      <c r="AB35" s="15">
        <v>0</v>
      </c>
      <c r="AC35" s="15">
        <v>2</v>
      </c>
      <c r="AD35" s="15">
        <v>0</v>
      </c>
      <c r="AE35" s="15">
        <v>0</v>
      </c>
      <c r="AF35" s="13">
        <f t="shared" si="9"/>
        <v>88</v>
      </c>
    </row>
    <row r="36" spans="1:32" ht="12.75" customHeight="1" x14ac:dyDescent="0.3">
      <c r="A36" s="15">
        <v>4</v>
      </c>
      <c r="B36" s="56" t="s">
        <v>30</v>
      </c>
      <c r="C36" s="49"/>
      <c r="D36" s="50"/>
      <c r="E36" s="13">
        <f t="shared" ref="E36:AE36" si="10">E33-(E34+E35)</f>
        <v>64</v>
      </c>
      <c r="F36" s="13">
        <f t="shared" si="10"/>
        <v>35</v>
      </c>
      <c r="G36" s="13">
        <f t="shared" si="10"/>
        <v>64</v>
      </c>
      <c r="H36" s="13">
        <f t="shared" si="10"/>
        <v>55</v>
      </c>
      <c r="I36" s="13">
        <f t="shared" si="10"/>
        <v>41</v>
      </c>
      <c r="J36" s="13">
        <f t="shared" si="10"/>
        <v>46</v>
      </c>
      <c r="K36" s="13">
        <f t="shared" si="10"/>
        <v>65</v>
      </c>
      <c r="L36" s="13">
        <f t="shared" si="10"/>
        <v>71</v>
      </c>
      <c r="M36" s="13">
        <f t="shared" si="10"/>
        <v>58</v>
      </c>
      <c r="N36" s="13">
        <f t="shared" si="10"/>
        <v>68</v>
      </c>
      <c r="O36" s="13">
        <f t="shared" si="10"/>
        <v>41</v>
      </c>
      <c r="P36" s="13">
        <f t="shared" si="10"/>
        <v>56</v>
      </c>
      <c r="Q36" s="13">
        <f t="shared" si="10"/>
        <v>69</v>
      </c>
      <c r="R36" s="13">
        <f t="shared" si="10"/>
        <v>48</v>
      </c>
      <c r="S36" s="13">
        <f t="shared" si="10"/>
        <v>60</v>
      </c>
      <c r="T36" s="13">
        <f t="shared" si="10"/>
        <v>71</v>
      </c>
      <c r="U36" s="13">
        <f t="shared" si="10"/>
        <v>72</v>
      </c>
      <c r="V36" s="13">
        <f t="shared" si="10"/>
        <v>82</v>
      </c>
      <c r="W36" s="13">
        <f t="shared" si="10"/>
        <v>45</v>
      </c>
      <c r="X36" s="13">
        <f t="shared" si="10"/>
        <v>0</v>
      </c>
      <c r="Y36" s="13">
        <f t="shared" si="10"/>
        <v>74</v>
      </c>
      <c r="Z36" s="13">
        <f t="shared" si="10"/>
        <v>62</v>
      </c>
      <c r="AA36" s="13">
        <f t="shared" si="10"/>
        <v>44</v>
      </c>
      <c r="AB36" s="13">
        <f t="shared" si="10"/>
        <v>57</v>
      </c>
      <c r="AC36" s="13">
        <f t="shared" si="10"/>
        <v>62</v>
      </c>
      <c r="AD36" s="13">
        <f t="shared" si="10"/>
        <v>27</v>
      </c>
      <c r="AE36" s="13">
        <f t="shared" si="10"/>
        <v>33</v>
      </c>
      <c r="AF36" s="13">
        <f t="shared" si="9"/>
        <v>1470</v>
      </c>
    </row>
    <row r="37" spans="1:32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46"/>
    </row>
    <row r="38" spans="1:32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6"/>
    </row>
    <row r="39" spans="1:32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1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3">
        <f t="shared" ref="AF39:AF41" si="11">SUM(E39:AE39)</f>
        <v>4</v>
      </c>
    </row>
    <row r="40" spans="1:32" ht="12.75" customHeight="1" x14ac:dyDescent="0.3">
      <c r="A40" s="20"/>
      <c r="B40" s="70"/>
      <c r="C40" s="60"/>
      <c r="D40" s="15" t="s">
        <v>13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1</v>
      </c>
      <c r="L40" s="15">
        <v>0</v>
      </c>
      <c r="M40" s="15">
        <v>0</v>
      </c>
      <c r="N40" s="15">
        <v>0</v>
      </c>
      <c r="O40" s="15">
        <v>1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1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3">
        <f t="shared" si="11"/>
        <v>3</v>
      </c>
    </row>
    <row r="41" spans="1:32" ht="12.75" customHeight="1" x14ac:dyDescent="0.3">
      <c r="A41" s="24"/>
      <c r="B41" s="71"/>
      <c r="C41" s="61"/>
      <c r="D41" s="13" t="s">
        <v>14</v>
      </c>
      <c r="E41" s="13">
        <f t="shared" ref="E41:AE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2</v>
      </c>
      <c r="K41" s="13">
        <f t="shared" si="12"/>
        <v>2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0</v>
      </c>
      <c r="W41" s="13">
        <f t="shared" si="12"/>
        <v>2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0</v>
      </c>
      <c r="AD41" s="13">
        <f t="shared" si="12"/>
        <v>0</v>
      </c>
      <c r="AE41" s="13">
        <f t="shared" si="12"/>
        <v>0</v>
      </c>
      <c r="AF41" s="13">
        <f t="shared" si="11"/>
        <v>7</v>
      </c>
    </row>
    <row r="42" spans="1:32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45"/>
      <c r="AC42" s="15"/>
      <c r="AD42" s="45"/>
      <c r="AE42" s="15"/>
      <c r="AF42" s="13"/>
    </row>
    <row r="43" spans="1:32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47"/>
      <c r="AC43" s="13"/>
      <c r="AD43" s="47"/>
      <c r="AE43" s="13"/>
      <c r="AF43" s="13"/>
    </row>
    <row r="44" spans="1:32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5"/>
      <c r="AA44" s="15"/>
      <c r="AB44" s="45"/>
      <c r="AC44" s="15"/>
      <c r="AD44" s="45"/>
      <c r="AE44" s="15"/>
      <c r="AF44" s="13"/>
    </row>
    <row r="45" spans="1:32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8</v>
      </c>
      <c r="F45" s="15">
        <v>7</v>
      </c>
      <c r="G45" s="15">
        <v>2</v>
      </c>
      <c r="H45" s="15">
        <v>1</v>
      </c>
      <c r="I45" s="15">
        <v>3</v>
      </c>
      <c r="J45" s="15">
        <v>4</v>
      </c>
      <c r="K45" s="15">
        <v>3</v>
      </c>
      <c r="L45" s="15">
        <v>3</v>
      </c>
      <c r="M45" s="15">
        <v>3</v>
      </c>
      <c r="N45" s="15">
        <v>5</v>
      </c>
      <c r="O45" s="15">
        <v>5</v>
      </c>
      <c r="P45" s="15">
        <v>13</v>
      </c>
      <c r="Q45" s="15">
        <v>4</v>
      </c>
      <c r="R45" s="15">
        <v>5</v>
      </c>
      <c r="S45" s="15">
        <v>2</v>
      </c>
      <c r="T45" s="15">
        <v>3</v>
      </c>
      <c r="U45" s="15">
        <v>6</v>
      </c>
      <c r="V45" s="15">
        <v>3</v>
      </c>
      <c r="W45" s="15">
        <v>3</v>
      </c>
      <c r="X45" s="15">
        <v>0</v>
      </c>
      <c r="Y45" s="15">
        <v>2</v>
      </c>
      <c r="Z45" s="15">
        <v>1</v>
      </c>
      <c r="AA45" s="15">
        <v>0</v>
      </c>
      <c r="AB45" s="15">
        <v>2</v>
      </c>
      <c r="AC45" s="15">
        <v>4</v>
      </c>
      <c r="AD45" s="15">
        <v>0</v>
      </c>
      <c r="AE45" s="15">
        <v>0</v>
      </c>
      <c r="AF45" s="13">
        <f t="shared" ref="AF45:AF186" si="13">SUM(E45:AE45)</f>
        <v>92</v>
      </c>
    </row>
    <row r="46" spans="1:32" ht="12.75" customHeight="1" x14ac:dyDescent="0.3">
      <c r="A46" s="19" t="s">
        <v>39</v>
      </c>
      <c r="B46" s="27"/>
      <c r="C46" s="28" t="s">
        <v>40</v>
      </c>
      <c r="D46" s="29"/>
      <c r="E46" s="15">
        <v>32</v>
      </c>
      <c r="F46" s="15">
        <v>7</v>
      </c>
      <c r="G46" s="15">
        <v>5</v>
      </c>
      <c r="H46" s="15">
        <v>1</v>
      </c>
      <c r="I46" s="15">
        <v>5</v>
      </c>
      <c r="J46" s="15">
        <v>18</v>
      </c>
      <c r="K46" s="15">
        <v>1</v>
      </c>
      <c r="L46" s="15">
        <v>3</v>
      </c>
      <c r="M46" s="15">
        <v>9</v>
      </c>
      <c r="N46" s="15">
        <v>16</v>
      </c>
      <c r="O46" s="15">
        <v>5</v>
      </c>
      <c r="P46" s="15">
        <v>15</v>
      </c>
      <c r="Q46" s="15">
        <v>13</v>
      </c>
      <c r="R46" s="15">
        <v>17</v>
      </c>
      <c r="S46" s="15">
        <v>12</v>
      </c>
      <c r="T46" s="15">
        <v>8</v>
      </c>
      <c r="U46" s="15">
        <v>2</v>
      </c>
      <c r="V46" s="15">
        <v>9</v>
      </c>
      <c r="W46" s="15">
        <v>2</v>
      </c>
      <c r="X46" s="15">
        <v>0</v>
      </c>
      <c r="Y46" s="15">
        <v>3</v>
      </c>
      <c r="Z46" s="15">
        <v>2</v>
      </c>
      <c r="AA46" s="15">
        <v>3</v>
      </c>
      <c r="AB46" s="15">
        <v>7</v>
      </c>
      <c r="AC46" s="15">
        <v>2</v>
      </c>
      <c r="AD46" s="15">
        <v>2</v>
      </c>
      <c r="AE46" s="15">
        <v>1</v>
      </c>
      <c r="AF46" s="13">
        <f t="shared" si="13"/>
        <v>200</v>
      </c>
    </row>
    <row r="47" spans="1:32" ht="12.75" customHeight="1" x14ac:dyDescent="0.3">
      <c r="A47" s="14"/>
      <c r="B47" s="27"/>
      <c r="C47" s="28" t="s">
        <v>41</v>
      </c>
      <c r="D47" s="29"/>
      <c r="E47" s="15">
        <v>2</v>
      </c>
      <c r="F47" s="15">
        <v>0</v>
      </c>
      <c r="G47" s="15">
        <v>1</v>
      </c>
      <c r="H47" s="15">
        <v>0</v>
      </c>
      <c r="I47" s="15">
        <v>0</v>
      </c>
      <c r="J47" s="15">
        <v>0</v>
      </c>
      <c r="K47" s="15">
        <v>0</v>
      </c>
      <c r="L47" s="15">
        <v>3</v>
      </c>
      <c r="M47" s="15">
        <v>2</v>
      </c>
      <c r="N47" s="15">
        <v>4</v>
      </c>
      <c r="O47" s="15">
        <v>0</v>
      </c>
      <c r="P47" s="15">
        <v>13</v>
      </c>
      <c r="Q47" s="15">
        <v>1</v>
      </c>
      <c r="R47" s="15">
        <v>0</v>
      </c>
      <c r="S47" s="15">
        <v>0</v>
      </c>
      <c r="T47" s="15">
        <v>2</v>
      </c>
      <c r="U47" s="15">
        <v>2</v>
      </c>
      <c r="V47" s="15">
        <v>3</v>
      </c>
      <c r="W47" s="15">
        <v>0</v>
      </c>
      <c r="X47" s="15">
        <v>1</v>
      </c>
      <c r="Y47" s="15">
        <v>2</v>
      </c>
      <c r="Z47" s="15">
        <v>4</v>
      </c>
      <c r="AA47" s="15">
        <v>2</v>
      </c>
      <c r="AB47" s="15">
        <v>0</v>
      </c>
      <c r="AC47" s="15">
        <v>1</v>
      </c>
      <c r="AD47" s="15">
        <v>1</v>
      </c>
      <c r="AE47" s="15">
        <v>0</v>
      </c>
      <c r="AF47" s="13">
        <f t="shared" si="13"/>
        <v>44</v>
      </c>
    </row>
    <row r="48" spans="1:32" ht="12.75" customHeight="1" x14ac:dyDescent="0.3">
      <c r="A48" s="14"/>
      <c r="B48" s="27"/>
      <c r="C48" s="28" t="s">
        <v>42</v>
      </c>
      <c r="D48" s="29"/>
      <c r="E48" s="15">
        <v>0</v>
      </c>
      <c r="F48" s="15">
        <v>0</v>
      </c>
      <c r="G48" s="15">
        <v>0</v>
      </c>
      <c r="H48" s="15">
        <v>1</v>
      </c>
      <c r="I48" s="15">
        <v>1</v>
      </c>
      <c r="J48" s="15">
        <v>4</v>
      </c>
      <c r="K48" s="15">
        <v>0</v>
      </c>
      <c r="L48" s="15">
        <v>2</v>
      </c>
      <c r="M48" s="15">
        <v>1</v>
      </c>
      <c r="N48" s="15">
        <v>2</v>
      </c>
      <c r="O48" s="15">
        <v>1</v>
      </c>
      <c r="P48" s="15">
        <v>4</v>
      </c>
      <c r="Q48" s="15">
        <v>0</v>
      </c>
      <c r="R48" s="15">
        <v>2</v>
      </c>
      <c r="S48" s="15">
        <v>0</v>
      </c>
      <c r="T48" s="15">
        <v>3</v>
      </c>
      <c r="U48" s="15">
        <v>0</v>
      </c>
      <c r="V48" s="15">
        <v>1</v>
      </c>
      <c r="W48" s="15">
        <v>2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1</v>
      </c>
      <c r="AD48" s="15">
        <v>0</v>
      </c>
      <c r="AE48" s="15">
        <v>0</v>
      </c>
      <c r="AF48" s="13">
        <f t="shared" si="13"/>
        <v>25</v>
      </c>
    </row>
    <row r="49" spans="1:32" ht="12.75" customHeight="1" x14ac:dyDescent="0.3">
      <c r="A49" s="14"/>
      <c r="B49" s="27"/>
      <c r="C49" s="28" t="s">
        <v>43</v>
      </c>
      <c r="D49" s="29"/>
      <c r="E49" s="15">
        <v>0</v>
      </c>
      <c r="F49" s="15">
        <v>2</v>
      </c>
      <c r="G49" s="15">
        <v>0</v>
      </c>
      <c r="H49" s="15">
        <v>2</v>
      </c>
      <c r="I49" s="15">
        <v>0</v>
      </c>
      <c r="J49" s="15">
        <v>2</v>
      </c>
      <c r="K49" s="15">
        <v>0</v>
      </c>
      <c r="L49" s="15">
        <v>3</v>
      </c>
      <c r="M49" s="15">
        <v>1</v>
      </c>
      <c r="N49" s="15">
        <v>6</v>
      </c>
      <c r="O49" s="15">
        <v>0</v>
      </c>
      <c r="P49" s="15">
        <v>12</v>
      </c>
      <c r="Q49" s="15">
        <v>1</v>
      </c>
      <c r="R49" s="15">
        <v>7</v>
      </c>
      <c r="S49" s="15">
        <v>1</v>
      </c>
      <c r="T49" s="15">
        <v>0</v>
      </c>
      <c r="U49" s="15">
        <v>3</v>
      </c>
      <c r="V49" s="15">
        <v>0</v>
      </c>
      <c r="W49" s="15">
        <v>1</v>
      </c>
      <c r="X49" s="15">
        <v>0</v>
      </c>
      <c r="Y49" s="15">
        <v>0</v>
      </c>
      <c r="Z49" s="15">
        <v>3</v>
      </c>
      <c r="AA49" s="15">
        <v>2</v>
      </c>
      <c r="AB49" s="15">
        <v>1</v>
      </c>
      <c r="AC49" s="15">
        <v>1</v>
      </c>
      <c r="AD49" s="15">
        <v>1</v>
      </c>
      <c r="AE49" s="15">
        <v>1</v>
      </c>
      <c r="AF49" s="13">
        <f t="shared" si="13"/>
        <v>50</v>
      </c>
    </row>
    <row r="50" spans="1:32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1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1</v>
      </c>
      <c r="Y50" s="15">
        <v>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1</v>
      </c>
      <c r="AF50" s="13">
        <f t="shared" si="13"/>
        <v>4</v>
      </c>
    </row>
    <row r="51" spans="1:32" ht="12.75" customHeight="1" x14ac:dyDescent="0.3">
      <c r="A51" s="14"/>
      <c r="B51" s="27"/>
      <c r="C51" s="28" t="s">
        <v>45</v>
      </c>
      <c r="D51" s="29"/>
      <c r="E51" s="15">
        <v>1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1</v>
      </c>
      <c r="M51" s="15">
        <v>0</v>
      </c>
      <c r="N51" s="15">
        <v>1</v>
      </c>
      <c r="O51" s="15">
        <v>1</v>
      </c>
      <c r="P51" s="15">
        <v>1</v>
      </c>
      <c r="Q51" s="15">
        <v>0</v>
      </c>
      <c r="R51" s="15">
        <v>0</v>
      </c>
      <c r="S51" s="15">
        <v>0</v>
      </c>
      <c r="T51" s="15">
        <v>0</v>
      </c>
      <c r="U51" s="15">
        <v>2</v>
      </c>
      <c r="V51" s="15">
        <v>5</v>
      </c>
      <c r="W51" s="15">
        <v>0</v>
      </c>
      <c r="X51" s="15">
        <v>0</v>
      </c>
      <c r="Y51" s="15">
        <v>0</v>
      </c>
      <c r="Z51" s="15">
        <v>0</v>
      </c>
      <c r="AA51" s="15">
        <v>2</v>
      </c>
      <c r="AB51" s="15">
        <v>0</v>
      </c>
      <c r="AC51" s="15">
        <v>0</v>
      </c>
      <c r="AD51" s="15">
        <v>0</v>
      </c>
      <c r="AE51" s="15">
        <v>0</v>
      </c>
      <c r="AF51" s="13">
        <f t="shared" si="13"/>
        <v>14</v>
      </c>
    </row>
    <row r="52" spans="1:32" ht="12.75" customHeight="1" x14ac:dyDescent="0.3">
      <c r="A52" s="14"/>
      <c r="B52" s="27"/>
      <c r="C52" s="28" t="s">
        <v>46</v>
      </c>
      <c r="D52" s="29"/>
      <c r="E52" s="15">
        <v>0</v>
      </c>
      <c r="F52" s="15">
        <v>0</v>
      </c>
      <c r="G52" s="15">
        <v>0</v>
      </c>
      <c r="H52" s="15">
        <v>0</v>
      </c>
      <c r="I52" s="15">
        <v>0</v>
      </c>
      <c r="J52" s="15">
        <v>1</v>
      </c>
      <c r="K52" s="15">
        <v>0</v>
      </c>
      <c r="L52" s="15">
        <v>2</v>
      </c>
      <c r="M52" s="15">
        <v>0</v>
      </c>
      <c r="N52" s="15">
        <v>0</v>
      </c>
      <c r="O52" s="15">
        <v>2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5">
        <v>1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3">
        <f t="shared" si="13"/>
        <v>6</v>
      </c>
    </row>
    <row r="53" spans="1:32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AE53" si="14">SUM(E45:E52)</f>
        <v>43</v>
      </c>
      <c r="F53" s="34">
        <f t="shared" si="14"/>
        <v>16</v>
      </c>
      <c r="G53" s="34">
        <f t="shared" si="14"/>
        <v>8</v>
      </c>
      <c r="H53" s="34">
        <f t="shared" si="14"/>
        <v>5</v>
      </c>
      <c r="I53" s="34">
        <f t="shared" si="14"/>
        <v>9</v>
      </c>
      <c r="J53" s="34">
        <f t="shared" si="14"/>
        <v>30</v>
      </c>
      <c r="K53" s="34">
        <f t="shared" si="14"/>
        <v>4</v>
      </c>
      <c r="L53" s="34">
        <f t="shared" si="14"/>
        <v>17</v>
      </c>
      <c r="M53" s="34">
        <f t="shared" si="14"/>
        <v>16</v>
      </c>
      <c r="N53" s="34">
        <f t="shared" si="14"/>
        <v>34</v>
      </c>
      <c r="O53" s="34">
        <f t="shared" si="14"/>
        <v>14</v>
      </c>
      <c r="P53" s="34">
        <f t="shared" si="14"/>
        <v>58</v>
      </c>
      <c r="Q53" s="34">
        <f t="shared" si="14"/>
        <v>19</v>
      </c>
      <c r="R53" s="34">
        <f t="shared" si="14"/>
        <v>31</v>
      </c>
      <c r="S53" s="34">
        <f t="shared" si="14"/>
        <v>15</v>
      </c>
      <c r="T53" s="34">
        <f t="shared" si="14"/>
        <v>16</v>
      </c>
      <c r="U53" s="34">
        <f t="shared" si="14"/>
        <v>15</v>
      </c>
      <c r="V53" s="34">
        <f t="shared" si="14"/>
        <v>21</v>
      </c>
      <c r="W53" s="34">
        <f t="shared" si="14"/>
        <v>9</v>
      </c>
      <c r="X53" s="34">
        <f t="shared" si="14"/>
        <v>2</v>
      </c>
      <c r="Y53" s="34">
        <f t="shared" si="14"/>
        <v>8</v>
      </c>
      <c r="Z53" s="34">
        <f t="shared" si="14"/>
        <v>10</v>
      </c>
      <c r="AA53" s="34">
        <f t="shared" si="14"/>
        <v>9</v>
      </c>
      <c r="AB53" s="34">
        <f t="shared" si="14"/>
        <v>10</v>
      </c>
      <c r="AC53" s="34">
        <f t="shared" si="14"/>
        <v>9</v>
      </c>
      <c r="AD53" s="34">
        <f t="shared" si="14"/>
        <v>4</v>
      </c>
      <c r="AE53" s="34">
        <f t="shared" si="14"/>
        <v>3</v>
      </c>
      <c r="AF53" s="13">
        <f t="shared" si="13"/>
        <v>435</v>
      </c>
    </row>
    <row r="54" spans="1:32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13">
        <f t="shared" si="13"/>
        <v>0</v>
      </c>
    </row>
    <row r="55" spans="1:32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1</v>
      </c>
      <c r="F55" s="15">
        <v>1</v>
      </c>
      <c r="G55" s="15">
        <v>0</v>
      </c>
      <c r="H55" s="15">
        <v>5</v>
      </c>
      <c r="I55" s="15">
        <v>4</v>
      </c>
      <c r="J55" s="15">
        <v>4</v>
      </c>
      <c r="K55" s="15">
        <v>5</v>
      </c>
      <c r="L55" s="15">
        <v>6</v>
      </c>
      <c r="M55" s="15">
        <v>6</v>
      </c>
      <c r="N55" s="15">
        <v>3</v>
      </c>
      <c r="O55" s="15">
        <v>4</v>
      </c>
      <c r="P55" s="15">
        <v>4</v>
      </c>
      <c r="Q55" s="15">
        <v>1</v>
      </c>
      <c r="R55" s="15">
        <v>4</v>
      </c>
      <c r="S55" s="15">
        <v>3</v>
      </c>
      <c r="T55" s="15">
        <v>2</v>
      </c>
      <c r="U55" s="15">
        <v>2</v>
      </c>
      <c r="V55" s="15">
        <v>10</v>
      </c>
      <c r="W55" s="15">
        <v>5</v>
      </c>
      <c r="X55" s="15">
        <v>3</v>
      </c>
      <c r="Y55" s="15">
        <v>5</v>
      </c>
      <c r="Z55" s="15">
        <v>3</v>
      </c>
      <c r="AA55" s="15">
        <v>2</v>
      </c>
      <c r="AB55" s="15">
        <v>2</v>
      </c>
      <c r="AC55" s="15">
        <v>4</v>
      </c>
      <c r="AD55" s="15">
        <v>1</v>
      </c>
      <c r="AE55" s="15">
        <v>1</v>
      </c>
      <c r="AF55" s="13">
        <f t="shared" si="13"/>
        <v>91</v>
      </c>
    </row>
    <row r="56" spans="1:32" ht="12.75" customHeight="1" x14ac:dyDescent="0.3">
      <c r="A56" s="19" t="s">
        <v>39</v>
      </c>
      <c r="B56" s="27"/>
      <c r="C56" s="28" t="s">
        <v>49</v>
      </c>
      <c r="D56" s="29"/>
      <c r="E56" s="15">
        <v>2</v>
      </c>
      <c r="F56" s="15">
        <v>2</v>
      </c>
      <c r="G56" s="15">
        <v>2</v>
      </c>
      <c r="H56" s="15">
        <v>2</v>
      </c>
      <c r="I56" s="15">
        <v>1</v>
      </c>
      <c r="J56" s="15">
        <v>13</v>
      </c>
      <c r="K56" s="15">
        <v>0</v>
      </c>
      <c r="L56" s="15">
        <v>4</v>
      </c>
      <c r="M56" s="15">
        <v>2</v>
      </c>
      <c r="N56" s="15">
        <v>2</v>
      </c>
      <c r="O56" s="15">
        <v>5</v>
      </c>
      <c r="P56" s="15">
        <v>3</v>
      </c>
      <c r="Q56" s="15">
        <v>4</v>
      </c>
      <c r="R56" s="15">
        <v>1</v>
      </c>
      <c r="S56" s="15">
        <v>0</v>
      </c>
      <c r="T56" s="15">
        <v>0</v>
      </c>
      <c r="U56" s="15">
        <v>7</v>
      </c>
      <c r="V56" s="15">
        <v>6</v>
      </c>
      <c r="W56" s="15">
        <v>2</v>
      </c>
      <c r="X56" s="15">
        <v>0</v>
      </c>
      <c r="Y56" s="15">
        <v>1</v>
      </c>
      <c r="Z56" s="15">
        <v>1</v>
      </c>
      <c r="AA56" s="15">
        <v>1</v>
      </c>
      <c r="AB56" s="15">
        <v>0</v>
      </c>
      <c r="AC56" s="15">
        <v>2</v>
      </c>
      <c r="AD56" s="15">
        <v>0</v>
      </c>
      <c r="AE56" s="15">
        <v>0</v>
      </c>
      <c r="AF56" s="13">
        <f t="shared" si="13"/>
        <v>63</v>
      </c>
    </row>
    <row r="57" spans="1:32" ht="12.75" customHeight="1" x14ac:dyDescent="0.3">
      <c r="A57" s="14"/>
      <c r="B57" s="27"/>
      <c r="C57" s="28" t="s">
        <v>50</v>
      </c>
      <c r="D57" s="29"/>
      <c r="E57" s="15">
        <v>7</v>
      </c>
      <c r="F57" s="15">
        <v>4</v>
      </c>
      <c r="G57" s="15">
        <v>1</v>
      </c>
      <c r="H57" s="15">
        <v>3</v>
      </c>
      <c r="I57" s="15">
        <v>3</v>
      </c>
      <c r="J57" s="15">
        <v>3</v>
      </c>
      <c r="K57" s="15">
        <v>3</v>
      </c>
      <c r="L57" s="15">
        <v>4</v>
      </c>
      <c r="M57" s="15">
        <v>5</v>
      </c>
      <c r="N57" s="15">
        <v>7</v>
      </c>
      <c r="O57" s="15">
        <v>1</v>
      </c>
      <c r="P57" s="15">
        <v>6</v>
      </c>
      <c r="Q57" s="15">
        <v>1</v>
      </c>
      <c r="R57" s="15">
        <v>8</v>
      </c>
      <c r="S57" s="15">
        <v>3</v>
      </c>
      <c r="T57" s="15">
        <v>4</v>
      </c>
      <c r="U57" s="15">
        <v>11</v>
      </c>
      <c r="V57" s="15">
        <v>8</v>
      </c>
      <c r="W57" s="15">
        <v>3</v>
      </c>
      <c r="X57" s="15">
        <v>1</v>
      </c>
      <c r="Y57" s="15">
        <v>3</v>
      </c>
      <c r="Z57" s="15">
        <v>1</v>
      </c>
      <c r="AA57" s="15">
        <v>0</v>
      </c>
      <c r="AB57" s="15">
        <v>1</v>
      </c>
      <c r="AC57" s="15">
        <v>3</v>
      </c>
      <c r="AD57" s="15">
        <v>1</v>
      </c>
      <c r="AE57" s="15">
        <v>2</v>
      </c>
      <c r="AF57" s="13">
        <f t="shared" si="13"/>
        <v>97</v>
      </c>
    </row>
    <row r="58" spans="1:32" ht="12.75" customHeight="1" x14ac:dyDescent="0.3">
      <c r="A58" s="14"/>
      <c r="B58" s="27"/>
      <c r="C58" s="28" t="s">
        <v>51</v>
      </c>
      <c r="D58" s="29"/>
      <c r="E58" s="15">
        <v>0</v>
      </c>
      <c r="F58" s="15">
        <v>0</v>
      </c>
      <c r="G58" s="15">
        <v>0</v>
      </c>
      <c r="H58" s="15">
        <v>1</v>
      </c>
      <c r="I58" s="15">
        <v>0</v>
      </c>
      <c r="J58" s="15">
        <v>0</v>
      </c>
      <c r="K58" s="15">
        <v>2</v>
      </c>
      <c r="L58" s="15">
        <v>1</v>
      </c>
      <c r="M58" s="15">
        <v>2</v>
      </c>
      <c r="N58" s="15">
        <v>0</v>
      </c>
      <c r="O58" s="15">
        <v>1</v>
      </c>
      <c r="P58" s="15">
        <v>3</v>
      </c>
      <c r="Q58" s="15">
        <v>1</v>
      </c>
      <c r="R58" s="15">
        <v>1</v>
      </c>
      <c r="S58" s="15">
        <v>1</v>
      </c>
      <c r="T58" s="15">
        <v>1</v>
      </c>
      <c r="U58" s="15">
        <v>4</v>
      </c>
      <c r="V58" s="15">
        <v>2</v>
      </c>
      <c r="W58" s="15">
        <v>0</v>
      </c>
      <c r="X58" s="15">
        <v>0</v>
      </c>
      <c r="Y58" s="15">
        <v>2</v>
      </c>
      <c r="Z58" s="15">
        <v>0</v>
      </c>
      <c r="AA58" s="15">
        <v>2</v>
      </c>
      <c r="AB58" s="15">
        <v>0</v>
      </c>
      <c r="AC58" s="15">
        <v>5</v>
      </c>
      <c r="AD58" s="15">
        <v>0</v>
      </c>
      <c r="AE58" s="15">
        <v>0</v>
      </c>
      <c r="AF58" s="13">
        <f t="shared" si="13"/>
        <v>29</v>
      </c>
    </row>
    <row r="59" spans="1:32" ht="12.75" customHeight="1" x14ac:dyDescent="0.3">
      <c r="A59" s="14"/>
      <c r="B59" s="27"/>
      <c r="C59" s="28" t="s">
        <v>52</v>
      </c>
      <c r="D59" s="29"/>
      <c r="E59" s="15">
        <v>0</v>
      </c>
      <c r="F59" s="15">
        <v>1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1</v>
      </c>
      <c r="M59" s="15">
        <v>0</v>
      </c>
      <c r="N59" s="15">
        <v>0</v>
      </c>
      <c r="O59" s="15">
        <v>1</v>
      </c>
      <c r="P59" s="15">
        <v>1</v>
      </c>
      <c r="Q59" s="15">
        <v>0</v>
      </c>
      <c r="R59" s="15">
        <v>0</v>
      </c>
      <c r="S59" s="15">
        <v>0</v>
      </c>
      <c r="T59" s="15">
        <v>0</v>
      </c>
      <c r="U59" s="15">
        <v>2</v>
      </c>
      <c r="V59" s="15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3">
        <f t="shared" si="13"/>
        <v>7</v>
      </c>
    </row>
    <row r="60" spans="1:32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1</v>
      </c>
      <c r="L60" s="15">
        <v>0</v>
      </c>
      <c r="M60" s="15">
        <v>2</v>
      </c>
      <c r="N60" s="15">
        <v>0</v>
      </c>
      <c r="O60" s="15">
        <v>0</v>
      </c>
      <c r="P60" s="15">
        <v>2</v>
      </c>
      <c r="Q60" s="15">
        <v>1</v>
      </c>
      <c r="R60" s="15">
        <v>0</v>
      </c>
      <c r="S60" s="15">
        <v>0</v>
      </c>
      <c r="T60" s="15">
        <v>1</v>
      </c>
      <c r="U60" s="15">
        <v>0</v>
      </c>
      <c r="V60" s="15">
        <v>0</v>
      </c>
      <c r="W60" s="15">
        <v>0</v>
      </c>
      <c r="X60" s="15">
        <v>1</v>
      </c>
      <c r="Y60" s="15">
        <v>0</v>
      </c>
      <c r="Z60" s="15">
        <v>0</v>
      </c>
      <c r="AA60" s="15">
        <v>1</v>
      </c>
      <c r="AB60" s="15">
        <v>0</v>
      </c>
      <c r="AC60" s="15">
        <v>0</v>
      </c>
      <c r="AD60" s="15">
        <v>0</v>
      </c>
      <c r="AE60" s="15">
        <v>0</v>
      </c>
      <c r="AF60" s="13">
        <f t="shared" si="13"/>
        <v>9</v>
      </c>
    </row>
    <row r="61" spans="1:32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3">
        <f t="shared" si="13"/>
        <v>0</v>
      </c>
    </row>
    <row r="62" spans="1:32" ht="12.75" customHeight="1" x14ac:dyDescent="0.3">
      <c r="A62" s="14"/>
      <c r="B62" s="27"/>
      <c r="C62" s="28" t="s">
        <v>55</v>
      </c>
      <c r="D62" s="29"/>
      <c r="E62" s="15">
        <v>1</v>
      </c>
      <c r="F62" s="15">
        <v>1</v>
      </c>
      <c r="G62" s="15">
        <v>0</v>
      </c>
      <c r="H62" s="15">
        <v>0</v>
      </c>
      <c r="I62" s="15">
        <v>0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3">
        <f t="shared" si="13"/>
        <v>2</v>
      </c>
    </row>
    <row r="63" spans="1:32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AE63" si="15">SUM(E55:E62)</f>
        <v>11</v>
      </c>
      <c r="F63" s="34">
        <f t="shared" si="15"/>
        <v>9</v>
      </c>
      <c r="G63" s="34">
        <f t="shared" si="15"/>
        <v>3</v>
      </c>
      <c r="H63" s="34">
        <f t="shared" si="15"/>
        <v>11</v>
      </c>
      <c r="I63" s="34">
        <f t="shared" si="15"/>
        <v>8</v>
      </c>
      <c r="J63" s="34">
        <f t="shared" si="15"/>
        <v>20</v>
      </c>
      <c r="K63" s="34">
        <f t="shared" si="15"/>
        <v>11</v>
      </c>
      <c r="L63" s="34">
        <f t="shared" si="15"/>
        <v>16</v>
      </c>
      <c r="M63" s="34">
        <f t="shared" si="15"/>
        <v>17</v>
      </c>
      <c r="N63" s="34">
        <f t="shared" si="15"/>
        <v>12</v>
      </c>
      <c r="O63" s="34">
        <f t="shared" si="15"/>
        <v>12</v>
      </c>
      <c r="P63" s="34">
        <f t="shared" si="15"/>
        <v>19</v>
      </c>
      <c r="Q63" s="34">
        <f t="shared" si="15"/>
        <v>8</v>
      </c>
      <c r="R63" s="34">
        <f t="shared" si="15"/>
        <v>14</v>
      </c>
      <c r="S63" s="34">
        <f t="shared" si="15"/>
        <v>7</v>
      </c>
      <c r="T63" s="34">
        <f t="shared" si="15"/>
        <v>8</v>
      </c>
      <c r="U63" s="34">
        <f t="shared" si="15"/>
        <v>26</v>
      </c>
      <c r="V63" s="34">
        <f t="shared" si="15"/>
        <v>27</v>
      </c>
      <c r="W63" s="34">
        <f t="shared" si="15"/>
        <v>10</v>
      </c>
      <c r="X63" s="34">
        <f t="shared" si="15"/>
        <v>5</v>
      </c>
      <c r="Y63" s="34">
        <f t="shared" si="15"/>
        <v>11</v>
      </c>
      <c r="Z63" s="34">
        <f t="shared" si="15"/>
        <v>5</v>
      </c>
      <c r="AA63" s="34">
        <f t="shared" si="15"/>
        <v>6</v>
      </c>
      <c r="AB63" s="34">
        <f t="shared" si="15"/>
        <v>3</v>
      </c>
      <c r="AC63" s="34">
        <f t="shared" si="15"/>
        <v>14</v>
      </c>
      <c r="AD63" s="34">
        <f t="shared" si="15"/>
        <v>2</v>
      </c>
      <c r="AE63" s="34">
        <f t="shared" si="15"/>
        <v>3</v>
      </c>
      <c r="AF63" s="13">
        <f t="shared" si="13"/>
        <v>298</v>
      </c>
    </row>
    <row r="64" spans="1:32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13">
        <f t="shared" si="13"/>
        <v>0</v>
      </c>
    </row>
    <row r="65" spans="1:32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3</v>
      </c>
      <c r="F65" s="15">
        <v>7</v>
      </c>
      <c r="G65" s="15">
        <v>2</v>
      </c>
      <c r="H65" s="15">
        <v>11</v>
      </c>
      <c r="I65" s="15">
        <v>3</v>
      </c>
      <c r="J65" s="15">
        <v>0</v>
      </c>
      <c r="K65" s="15">
        <v>4</v>
      </c>
      <c r="L65" s="15">
        <v>10</v>
      </c>
      <c r="M65" s="15">
        <v>6</v>
      </c>
      <c r="N65" s="15">
        <v>4</v>
      </c>
      <c r="O65" s="15">
        <v>15</v>
      </c>
      <c r="P65" s="15">
        <v>6</v>
      </c>
      <c r="Q65" s="15">
        <v>9</v>
      </c>
      <c r="R65" s="15">
        <v>4</v>
      </c>
      <c r="S65" s="15">
        <v>7</v>
      </c>
      <c r="T65" s="15">
        <v>7</v>
      </c>
      <c r="U65" s="15">
        <v>6</v>
      </c>
      <c r="V65" s="15">
        <v>8</v>
      </c>
      <c r="W65" s="15">
        <v>7</v>
      </c>
      <c r="X65" s="15">
        <v>12</v>
      </c>
      <c r="Y65" s="15">
        <v>5</v>
      </c>
      <c r="Z65" s="15">
        <v>5</v>
      </c>
      <c r="AA65" s="15">
        <v>5</v>
      </c>
      <c r="AB65" s="15">
        <v>3</v>
      </c>
      <c r="AC65" s="15">
        <v>2</v>
      </c>
      <c r="AD65" s="15">
        <v>3</v>
      </c>
      <c r="AE65" s="15">
        <v>1</v>
      </c>
      <c r="AF65" s="13">
        <f t="shared" si="13"/>
        <v>155</v>
      </c>
    </row>
    <row r="66" spans="1:32" ht="12.75" customHeight="1" x14ac:dyDescent="0.3">
      <c r="A66" s="19" t="s">
        <v>39</v>
      </c>
      <c r="B66" s="27"/>
      <c r="C66" s="28" t="s">
        <v>57</v>
      </c>
      <c r="D66" s="29"/>
      <c r="E66" s="15">
        <v>7</v>
      </c>
      <c r="F66" s="15">
        <v>7</v>
      </c>
      <c r="G66" s="15">
        <v>11</v>
      </c>
      <c r="H66" s="15">
        <v>23</v>
      </c>
      <c r="I66" s="15">
        <v>27</v>
      </c>
      <c r="J66" s="15">
        <v>0</v>
      </c>
      <c r="K66" s="15">
        <v>16</v>
      </c>
      <c r="L66" s="15">
        <v>8</v>
      </c>
      <c r="M66" s="15">
        <v>2</v>
      </c>
      <c r="N66" s="15">
        <v>4</v>
      </c>
      <c r="O66" s="15">
        <v>5</v>
      </c>
      <c r="P66" s="15">
        <v>2</v>
      </c>
      <c r="Q66" s="15">
        <v>7</v>
      </c>
      <c r="R66" s="15">
        <v>3</v>
      </c>
      <c r="S66" s="15">
        <v>0</v>
      </c>
      <c r="T66" s="15">
        <v>1</v>
      </c>
      <c r="U66" s="15">
        <v>2</v>
      </c>
      <c r="V66" s="15">
        <v>11</v>
      </c>
      <c r="W66" s="15">
        <v>1</v>
      </c>
      <c r="X66" s="15">
        <v>7</v>
      </c>
      <c r="Y66" s="15">
        <v>11</v>
      </c>
      <c r="Z66" s="15">
        <v>22</v>
      </c>
      <c r="AA66" s="15">
        <v>30</v>
      </c>
      <c r="AB66" s="15">
        <v>6</v>
      </c>
      <c r="AC66" s="15">
        <v>2</v>
      </c>
      <c r="AD66" s="15">
        <v>16</v>
      </c>
      <c r="AE66" s="15">
        <v>2</v>
      </c>
      <c r="AF66" s="13">
        <f t="shared" si="13"/>
        <v>233</v>
      </c>
    </row>
    <row r="67" spans="1:32" ht="12.75" customHeight="1" x14ac:dyDescent="0.3">
      <c r="A67" s="14"/>
      <c r="B67" s="27"/>
      <c r="C67" s="28" t="s">
        <v>58</v>
      </c>
      <c r="D67" s="29"/>
      <c r="E67" s="15">
        <v>8</v>
      </c>
      <c r="F67" s="15">
        <v>4</v>
      </c>
      <c r="G67" s="15">
        <v>0</v>
      </c>
      <c r="H67" s="15">
        <v>62</v>
      </c>
      <c r="I67" s="15">
        <v>30</v>
      </c>
      <c r="J67" s="15">
        <v>21</v>
      </c>
      <c r="K67" s="15">
        <v>10</v>
      </c>
      <c r="L67" s="15">
        <v>27</v>
      </c>
      <c r="M67" s="15">
        <v>104</v>
      </c>
      <c r="N67" s="15">
        <v>5</v>
      </c>
      <c r="O67" s="15">
        <v>43</v>
      </c>
      <c r="P67" s="15">
        <v>1</v>
      </c>
      <c r="Q67" s="15">
        <v>0</v>
      </c>
      <c r="R67" s="15">
        <v>4</v>
      </c>
      <c r="S67" s="15">
        <v>1</v>
      </c>
      <c r="T67" s="15">
        <v>0</v>
      </c>
      <c r="U67" s="15">
        <v>2</v>
      </c>
      <c r="V67" s="15">
        <v>2</v>
      </c>
      <c r="W67" s="15">
        <v>0</v>
      </c>
      <c r="X67" s="15">
        <v>1</v>
      </c>
      <c r="Y67" s="15">
        <v>1</v>
      </c>
      <c r="Z67" s="15">
        <v>3</v>
      </c>
      <c r="AA67" s="15">
        <v>2</v>
      </c>
      <c r="AB67" s="15">
        <v>3</v>
      </c>
      <c r="AC67" s="15">
        <v>8</v>
      </c>
      <c r="AD67" s="15">
        <v>0</v>
      </c>
      <c r="AE67" s="15">
        <v>4</v>
      </c>
      <c r="AF67" s="13">
        <f t="shared" si="13"/>
        <v>346</v>
      </c>
    </row>
    <row r="68" spans="1:32" ht="12.75" customHeight="1" x14ac:dyDescent="0.3">
      <c r="A68" s="14"/>
      <c r="B68" s="27"/>
      <c r="C68" s="28" t="s">
        <v>59</v>
      </c>
      <c r="D68" s="29"/>
      <c r="E68" s="15">
        <v>1</v>
      </c>
      <c r="F68" s="15">
        <v>0</v>
      </c>
      <c r="G68" s="15">
        <v>0</v>
      </c>
      <c r="H68" s="15">
        <v>1</v>
      </c>
      <c r="I68" s="15">
        <v>0</v>
      </c>
      <c r="J68" s="15">
        <v>0</v>
      </c>
      <c r="K68" s="15">
        <v>2</v>
      </c>
      <c r="L68" s="15">
        <v>1</v>
      </c>
      <c r="M68" s="15">
        <v>0</v>
      </c>
      <c r="N68" s="15">
        <v>1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1</v>
      </c>
      <c r="U68" s="15">
        <v>0</v>
      </c>
      <c r="V68" s="15">
        <v>0</v>
      </c>
      <c r="W68" s="15">
        <v>1</v>
      </c>
      <c r="X68" s="15">
        <v>0</v>
      </c>
      <c r="Y68" s="15">
        <v>0</v>
      </c>
      <c r="Z68" s="15">
        <v>1</v>
      </c>
      <c r="AA68" s="15">
        <v>0</v>
      </c>
      <c r="AB68" s="15">
        <v>1</v>
      </c>
      <c r="AC68" s="15">
        <v>0</v>
      </c>
      <c r="AD68" s="15">
        <v>0</v>
      </c>
      <c r="AE68" s="15">
        <v>1</v>
      </c>
      <c r="AF68" s="13">
        <f t="shared" si="13"/>
        <v>11</v>
      </c>
    </row>
    <row r="69" spans="1:32" ht="12.75" customHeight="1" x14ac:dyDescent="0.3">
      <c r="A69" s="14"/>
      <c r="B69" s="27"/>
      <c r="C69" s="28" t="s">
        <v>60</v>
      </c>
      <c r="D69" s="29"/>
      <c r="E69" s="15">
        <v>1</v>
      </c>
      <c r="F69" s="15">
        <v>1</v>
      </c>
      <c r="G69" s="15">
        <v>0</v>
      </c>
      <c r="H69" s="15">
        <v>1</v>
      </c>
      <c r="I69" s="15">
        <v>0</v>
      </c>
      <c r="J69" s="15">
        <v>1</v>
      </c>
      <c r="K69" s="15">
        <v>2</v>
      </c>
      <c r="L69" s="15">
        <v>1</v>
      </c>
      <c r="M69" s="15">
        <v>0</v>
      </c>
      <c r="N69" s="15">
        <v>1</v>
      </c>
      <c r="O69" s="15">
        <v>0</v>
      </c>
      <c r="P69" s="15">
        <v>1</v>
      </c>
      <c r="Q69" s="15">
        <v>0</v>
      </c>
      <c r="R69" s="15">
        <v>0</v>
      </c>
      <c r="S69" s="15">
        <v>1</v>
      </c>
      <c r="T69" s="15">
        <v>0</v>
      </c>
      <c r="U69" s="15">
        <v>1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1</v>
      </c>
      <c r="AB69" s="15">
        <v>0</v>
      </c>
      <c r="AC69" s="15">
        <v>0</v>
      </c>
      <c r="AD69" s="15">
        <v>0</v>
      </c>
      <c r="AE69" s="15">
        <v>0</v>
      </c>
      <c r="AF69" s="13">
        <f t="shared" si="13"/>
        <v>12</v>
      </c>
    </row>
    <row r="70" spans="1:32" ht="12.75" customHeight="1" x14ac:dyDescent="0.3">
      <c r="A70" s="14"/>
      <c r="B70" s="27"/>
      <c r="C70" s="28" t="s">
        <v>61</v>
      </c>
      <c r="D70" s="29"/>
      <c r="E70" s="15">
        <v>35</v>
      </c>
      <c r="F70" s="15">
        <v>9</v>
      </c>
      <c r="G70" s="15">
        <v>25</v>
      </c>
      <c r="H70" s="15">
        <v>23</v>
      </c>
      <c r="I70" s="15">
        <v>17</v>
      </c>
      <c r="J70" s="15">
        <v>23</v>
      </c>
      <c r="K70" s="15">
        <v>63</v>
      </c>
      <c r="L70" s="15">
        <v>51</v>
      </c>
      <c r="M70" s="15">
        <v>43</v>
      </c>
      <c r="N70" s="15">
        <v>45</v>
      </c>
      <c r="O70" s="15">
        <v>36</v>
      </c>
      <c r="P70" s="15">
        <v>96</v>
      </c>
      <c r="Q70" s="15">
        <v>66</v>
      </c>
      <c r="R70" s="15">
        <v>133</v>
      </c>
      <c r="S70" s="15">
        <v>132</v>
      </c>
      <c r="T70" s="15">
        <v>130</v>
      </c>
      <c r="U70" s="15">
        <v>94</v>
      </c>
      <c r="V70" s="15">
        <v>79</v>
      </c>
      <c r="W70" s="15">
        <v>70</v>
      </c>
      <c r="X70" s="15">
        <v>118</v>
      </c>
      <c r="Y70" s="15">
        <v>73</v>
      </c>
      <c r="Z70" s="15">
        <v>84</v>
      </c>
      <c r="AA70" s="15">
        <v>73</v>
      </c>
      <c r="AB70" s="15">
        <v>30</v>
      </c>
      <c r="AC70" s="15">
        <v>27</v>
      </c>
      <c r="AD70" s="15">
        <v>6</v>
      </c>
      <c r="AE70" s="15">
        <v>8</v>
      </c>
      <c r="AF70" s="13">
        <f t="shared" si="13"/>
        <v>1589</v>
      </c>
    </row>
    <row r="71" spans="1:32" ht="12.75" customHeight="1" x14ac:dyDescent="0.3">
      <c r="A71" s="14"/>
      <c r="B71" s="27"/>
      <c r="C71" s="28" t="s">
        <v>62</v>
      </c>
      <c r="D71" s="29"/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1</v>
      </c>
      <c r="K71" s="15">
        <v>0</v>
      </c>
      <c r="L71" s="15">
        <v>0</v>
      </c>
      <c r="M71" s="15">
        <v>0</v>
      </c>
      <c r="N71" s="15">
        <v>1</v>
      </c>
      <c r="O71" s="15">
        <v>0</v>
      </c>
      <c r="P71" s="15">
        <v>0</v>
      </c>
      <c r="Q71" s="15">
        <v>1</v>
      </c>
      <c r="R71" s="15">
        <v>1</v>
      </c>
      <c r="S71" s="15">
        <v>0</v>
      </c>
      <c r="T71" s="15">
        <v>1</v>
      </c>
      <c r="U71" s="15">
        <v>0</v>
      </c>
      <c r="V71" s="15">
        <v>0</v>
      </c>
      <c r="W71" s="15">
        <v>0</v>
      </c>
      <c r="X71" s="15">
        <v>1</v>
      </c>
      <c r="Y71" s="15">
        <v>1</v>
      </c>
      <c r="Z71" s="15">
        <v>0</v>
      </c>
      <c r="AA71" s="15">
        <v>1</v>
      </c>
      <c r="AB71" s="15">
        <v>0</v>
      </c>
      <c r="AC71" s="15">
        <v>0</v>
      </c>
      <c r="AD71" s="15">
        <v>0</v>
      </c>
      <c r="AE71" s="15">
        <v>0</v>
      </c>
      <c r="AF71" s="13">
        <f t="shared" si="13"/>
        <v>8</v>
      </c>
    </row>
    <row r="72" spans="1:32" ht="12.75" customHeight="1" x14ac:dyDescent="0.3">
      <c r="A72" s="14"/>
      <c r="B72" s="27"/>
      <c r="C72" s="28" t="s">
        <v>63</v>
      </c>
      <c r="D72" s="29"/>
      <c r="E72" s="15">
        <v>15</v>
      </c>
      <c r="F72" s="15">
        <v>85</v>
      </c>
      <c r="G72" s="15">
        <v>1</v>
      </c>
      <c r="H72" s="15">
        <v>2</v>
      </c>
      <c r="I72" s="15">
        <v>0</v>
      </c>
      <c r="J72" s="15">
        <v>0</v>
      </c>
      <c r="K72" s="15">
        <v>34</v>
      </c>
      <c r="L72" s="15">
        <v>2</v>
      </c>
      <c r="M72" s="15">
        <v>2</v>
      </c>
      <c r="N72" s="15">
        <v>11</v>
      </c>
      <c r="O72" s="15">
        <v>3</v>
      </c>
      <c r="P72" s="15">
        <v>4</v>
      </c>
      <c r="Q72" s="15">
        <v>2</v>
      </c>
      <c r="R72" s="15">
        <v>1</v>
      </c>
      <c r="S72" s="15">
        <v>2</v>
      </c>
      <c r="T72" s="15">
        <v>2</v>
      </c>
      <c r="U72" s="15">
        <v>1</v>
      </c>
      <c r="V72" s="15">
        <v>1</v>
      </c>
      <c r="W72" s="15">
        <v>0</v>
      </c>
      <c r="X72" s="15">
        <v>6</v>
      </c>
      <c r="Y72" s="15">
        <v>13</v>
      </c>
      <c r="Z72" s="15">
        <v>6</v>
      </c>
      <c r="AA72" s="15">
        <v>0</v>
      </c>
      <c r="AB72" s="15">
        <v>5</v>
      </c>
      <c r="AC72" s="15">
        <v>8</v>
      </c>
      <c r="AD72" s="15">
        <v>34</v>
      </c>
      <c r="AE72" s="15">
        <v>49</v>
      </c>
      <c r="AF72" s="13">
        <f t="shared" si="13"/>
        <v>289</v>
      </c>
    </row>
    <row r="73" spans="1:32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AE73" si="16">SUM(E65:E72)</f>
        <v>70</v>
      </c>
      <c r="F73" s="34">
        <f t="shared" si="16"/>
        <v>113</v>
      </c>
      <c r="G73" s="34">
        <f t="shared" si="16"/>
        <v>39</v>
      </c>
      <c r="H73" s="34">
        <f t="shared" si="16"/>
        <v>123</v>
      </c>
      <c r="I73" s="34">
        <f t="shared" si="16"/>
        <v>77</v>
      </c>
      <c r="J73" s="34">
        <f t="shared" si="16"/>
        <v>46</v>
      </c>
      <c r="K73" s="34">
        <f t="shared" si="16"/>
        <v>131</v>
      </c>
      <c r="L73" s="34">
        <f t="shared" si="16"/>
        <v>100</v>
      </c>
      <c r="M73" s="34">
        <f t="shared" si="16"/>
        <v>157</v>
      </c>
      <c r="N73" s="34">
        <f t="shared" si="16"/>
        <v>72</v>
      </c>
      <c r="O73" s="34">
        <f t="shared" si="16"/>
        <v>102</v>
      </c>
      <c r="P73" s="34">
        <f t="shared" si="16"/>
        <v>110</v>
      </c>
      <c r="Q73" s="34">
        <f t="shared" si="16"/>
        <v>85</v>
      </c>
      <c r="R73" s="34">
        <f t="shared" si="16"/>
        <v>146</v>
      </c>
      <c r="S73" s="34">
        <f t="shared" si="16"/>
        <v>143</v>
      </c>
      <c r="T73" s="34">
        <f t="shared" si="16"/>
        <v>142</v>
      </c>
      <c r="U73" s="34">
        <f t="shared" si="16"/>
        <v>106</v>
      </c>
      <c r="V73" s="34">
        <f t="shared" si="16"/>
        <v>101</v>
      </c>
      <c r="W73" s="34">
        <f t="shared" si="16"/>
        <v>79</v>
      </c>
      <c r="X73" s="34">
        <f t="shared" si="16"/>
        <v>145</v>
      </c>
      <c r="Y73" s="34">
        <f t="shared" si="16"/>
        <v>104</v>
      </c>
      <c r="Z73" s="34">
        <f t="shared" si="16"/>
        <v>121</v>
      </c>
      <c r="AA73" s="34">
        <f t="shared" si="16"/>
        <v>112</v>
      </c>
      <c r="AB73" s="34">
        <f t="shared" si="16"/>
        <v>48</v>
      </c>
      <c r="AC73" s="34">
        <f t="shared" si="16"/>
        <v>47</v>
      </c>
      <c r="AD73" s="34">
        <f t="shared" si="16"/>
        <v>59</v>
      </c>
      <c r="AE73" s="34">
        <f t="shared" si="16"/>
        <v>65</v>
      </c>
      <c r="AF73" s="13">
        <f t="shared" si="13"/>
        <v>2643</v>
      </c>
    </row>
    <row r="74" spans="1:32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13">
        <f t="shared" si="13"/>
        <v>0</v>
      </c>
    </row>
    <row r="75" spans="1:32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2</v>
      </c>
      <c r="F75" s="15">
        <v>2</v>
      </c>
      <c r="G75" s="15">
        <v>4</v>
      </c>
      <c r="H75" s="15">
        <v>0</v>
      </c>
      <c r="I75" s="15">
        <v>1</v>
      </c>
      <c r="J75" s="15">
        <v>1</v>
      </c>
      <c r="K75" s="15">
        <v>1</v>
      </c>
      <c r="L75" s="15">
        <v>2</v>
      </c>
      <c r="M75" s="15">
        <v>0</v>
      </c>
      <c r="N75" s="15">
        <v>0</v>
      </c>
      <c r="O75" s="15">
        <v>1</v>
      </c>
      <c r="P75" s="15">
        <v>2</v>
      </c>
      <c r="Q75" s="15">
        <v>2</v>
      </c>
      <c r="R75" s="15">
        <v>0</v>
      </c>
      <c r="S75" s="15">
        <v>1</v>
      </c>
      <c r="T75" s="15">
        <v>0</v>
      </c>
      <c r="U75" s="15">
        <v>1</v>
      </c>
      <c r="V75" s="15">
        <v>0</v>
      </c>
      <c r="W75" s="15">
        <v>3</v>
      </c>
      <c r="X75" s="15">
        <v>2</v>
      </c>
      <c r="Y75" s="15">
        <v>1</v>
      </c>
      <c r="Z75" s="15">
        <v>2</v>
      </c>
      <c r="AA75" s="15">
        <v>1</v>
      </c>
      <c r="AB75" s="15">
        <v>0</v>
      </c>
      <c r="AC75" s="15">
        <v>0</v>
      </c>
      <c r="AD75" s="15">
        <v>0</v>
      </c>
      <c r="AE75" s="15">
        <v>0</v>
      </c>
      <c r="AF75" s="13">
        <f t="shared" si="13"/>
        <v>29</v>
      </c>
    </row>
    <row r="76" spans="1:32" ht="12.75" customHeight="1" x14ac:dyDescent="0.3">
      <c r="A76" s="19" t="s">
        <v>39</v>
      </c>
      <c r="B76" s="27"/>
      <c r="C76" s="28" t="s">
        <v>65</v>
      </c>
      <c r="D76" s="29"/>
      <c r="E76" s="15">
        <v>2</v>
      </c>
      <c r="F76" s="15">
        <v>5</v>
      </c>
      <c r="G76" s="15">
        <v>20</v>
      </c>
      <c r="H76" s="15">
        <v>0</v>
      </c>
      <c r="I76" s="15">
        <v>1</v>
      </c>
      <c r="J76" s="15">
        <v>0</v>
      </c>
      <c r="K76" s="15">
        <v>6</v>
      </c>
      <c r="L76" s="15">
        <v>1</v>
      </c>
      <c r="M76" s="15">
        <v>1</v>
      </c>
      <c r="N76" s="15">
        <v>0</v>
      </c>
      <c r="O76" s="15">
        <v>7</v>
      </c>
      <c r="P76" s="15">
        <v>0</v>
      </c>
      <c r="Q76" s="15">
        <v>10</v>
      </c>
      <c r="R76" s="15">
        <v>2</v>
      </c>
      <c r="S76" s="15">
        <v>0</v>
      </c>
      <c r="T76" s="15">
        <v>0</v>
      </c>
      <c r="U76" s="15">
        <v>0</v>
      </c>
      <c r="V76" s="15">
        <v>0</v>
      </c>
      <c r="W76" s="15">
        <v>6</v>
      </c>
      <c r="X76" s="15">
        <v>0</v>
      </c>
      <c r="Y76" s="15">
        <v>1</v>
      </c>
      <c r="Z76" s="15">
        <v>2</v>
      </c>
      <c r="AA76" s="15">
        <v>0</v>
      </c>
      <c r="AB76" s="15">
        <v>3</v>
      </c>
      <c r="AC76" s="15">
        <v>1</v>
      </c>
      <c r="AD76" s="15">
        <v>0</v>
      </c>
      <c r="AE76" s="15">
        <v>0</v>
      </c>
      <c r="AF76" s="13">
        <f t="shared" si="13"/>
        <v>68</v>
      </c>
    </row>
    <row r="77" spans="1:32" ht="12.75" customHeight="1" x14ac:dyDescent="0.3">
      <c r="A77" s="14"/>
      <c r="B77" s="27"/>
      <c r="C77" s="28" t="s">
        <v>66</v>
      </c>
      <c r="D77" s="29"/>
      <c r="E77" s="15">
        <v>3</v>
      </c>
      <c r="F77" s="15">
        <v>1</v>
      </c>
      <c r="G77" s="15">
        <v>0</v>
      </c>
      <c r="H77" s="15">
        <v>1</v>
      </c>
      <c r="I77" s="15">
        <v>5</v>
      </c>
      <c r="J77" s="15">
        <v>0</v>
      </c>
      <c r="K77" s="15">
        <v>2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1</v>
      </c>
      <c r="U77" s="15">
        <v>0</v>
      </c>
      <c r="V77" s="15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15">
        <v>1</v>
      </c>
      <c r="AD77" s="15">
        <v>0</v>
      </c>
      <c r="AE77" s="15">
        <v>1</v>
      </c>
      <c r="AF77" s="13">
        <f t="shared" si="13"/>
        <v>16</v>
      </c>
    </row>
    <row r="78" spans="1:32" ht="12.75" customHeight="1" x14ac:dyDescent="0.3">
      <c r="A78" s="14"/>
      <c r="B78" s="27"/>
      <c r="C78" s="28" t="s">
        <v>67</v>
      </c>
      <c r="D78" s="29"/>
      <c r="E78" s="15">
        <v>0</v>
      </c>
      <c r="F78" s="15">
        <v>1</v>
      </c>
      <c r="G78" s="15">
        <v>1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1</v>
      </c>
      <c r="V78" s="15">
        <v>0</v>
      </c>
      <c r="W78" s="15">
        <v>0</v>
      </c>
      <c r="X78" s="15">
        <v>1</v>
      </c>
      <c r="Y78" s="15">
        <v>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3">
        <f t="shared" si="13"/>
        <v>4</v>
      </c>
    </row>
    <row r="79" spans="1:32" ht="12.75" customHeight="1" x14ac:dyDescent="0.3">
      <c r="A79" s="14"/>
      <c r="B79" s="27"/>
      <c r="C79" s="28" t="s">
        <v>68</v>
      </c>
      <c r="D79" s="29"/>
      <c r="E79" s="15">
        <v>1</v>
      </c>
      <c r="F79" s="15">
        <v>1</v>
      </c>
      <c r="G79" s="15">
        <v>0</v>
      </c>
      <c r="H79" s="15">
        <v>0</v>
      </c>
      <c r="I79" s="15">
        <v>0</v>
      </c>
      <c r="J79" s="15">
        <v>0</v>
      </c>
      <c r="K79" s="15">
        <v>1</v>
      </c>
      <c r="L79" s="15">
        <v>1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5">
        <v>1</v>
      </c>
      <c r="AD79" s="15">
        <v>0</v>
      </c>
      <c r="AE79" s="15">
        <v>1</v>
      </c>
      <c r="AF79" s="13">
        <f t="shared" si="13"/>
        <v>6</v>
      </c>
    </row>
    <row r="80" spans="1:32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1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3">
        <f t="shared" si="13"/>
        <v>1</v>
      </c>
    </row>
    <row r="81" spans="1:32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3">
        <f t="shared" si="13"/>
        <v>0</v>
      </c>
    </row>
    <row r="82" spans="1:32" ht="12.75" customHeight="1" x14ac:dyDescent="0.3">
      <c r="A82" s="14"/>
      <c r="B82" s="27"/>
      <c r="C82" s="28" t="s">
        <v>71</v>
      </c>
      <c r="D82" s="29"/>
      <c r="E82" s="15">
        <v>0</v>
      </c>
      <c r="F82" s="15">
        <v>0</v>
      </c>
      <c r="G82" s="15">
        <v>0</v>
      </c>
      <c r="H82" s="15">
        <v>0</v>
      </c>
      <c r="I82" s="15">
        <v>1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1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3">
        <f t="shared" si="13"/>
        <v>2</v>
      </c>
    </row>
    <row r="83" spans="1:32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E83" si="17">SUM(E75:E82)</f>
        <v>8</v>
      </c>
      <c r="F83" s="34">
        <f t="shared" si="17"/>
        <v>10</v>
      </c>
      <c r="G83" s="34">
        <f t="shared" si="17"/>
        <v>25</v>
      </c>
      <c r="H83" s="34">
        <f t="shared" si="17"/>
        <v>1</v>
      </c>
      <c r="I83" s="34">
        <f t="shared" si="17"/>
        <v>8</v>
      </c>
      <c r="J83" s="34">
        <f t="shared" si="17"/>
        <v>1</v>
      </c>
      <c r="K83" s="34">
        <f t="shared" si="17"/>
        <v>10</v>
      </c>
      <c r="L83" s="34">
        <f t="shared" si="17"/>
        <v>4</v>
      </c>
      <c r="M83" s="34">
        <f t="shared" si="17"/>
        <v>1</v>
      </c>
      <c r="N83" s="34">
        <f t="shared" si="17"/>
        <v>0</v>
      </c>
      <c r="O83" s="34">
        <f t="shared" si="17"/>
        <v>8</v>
      </c>
      <c r="P83" s="34">
        <f t="shared" si="17"/>
        <v>2</v>
      </c>
      <c r="Q83" s="34">
        <f t="shared" si="17"/>
        <v>13</v>
      </c>
      <c r="R83" s="34">
        <f t="shared" si="17"/>
        <v>2</v>
      </c>
      <c r="S83" s="34">
        <f t="shared" si="17"/>
        <v>1</v>
      </c>
      <c r="T83" s="34">
        <f t="shared" si="17"/>
        <v>1</v>
      </c>
      <c r="U83" s="34">
        <f t="shared" si="17"/>
        <v>3</v>
      </c>
      <c r="V83" s="34">
        <f t="shared" si="17"/>
        <v>1</v>
      </c>
      <c r="W83" s="34">
        <f t="shared" si="17"/>
        <v>9</v>
      </c>
      <c r="X83" s="34">
        <f t="shared" si="17"/>
        <v>3</v>
      </c>
      <c r="Y83" s="34">
        <f t="shared" si="17"/>
        <v>2</v>
      </c>
      <c r="Z83" s="34">
        <f t="shared" si="17"/>
        <v>4</v>
      </c>
      <c r="AA83" s="34">
        <f t="shared" si="17"/>
        <v>1</v>
      </c>
      <c r="AB83" s="34">
        <f t="shared" si="17"/>
        <v>3</v>
      </c>
      <c r="AC83" s="34">
        <f t="shared" si="17"/>
        <v>3</v>
      </c>
      <c r="AD83" s="34">
        <f t="shared" si="17"/>
        <v>0</v>
      </c>
      <c r="AE83" s="34">
        <f t="shared" si="17"/>
        <v>2</v>
      </c>
      <c r="AF83" s="13">
        <f t="shared" si="13"/>
        <v>126</v>
      </c>
    </row>
    <row r="84" spans="1:32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13">
        <f t="shared" si="13"/>
        <v>0</v>
      </c>
    </row>
    <row r="85" spans="1:32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2</v>
      </c>
      <c r="F85" s="15">
        <v>4</v>
      </c>
      <c r="G85" s="15">
        <v>6</v>
      </c>
      <c r="H85" s="15">
        <v>4</v>
      </c>
      <c r="I85" s="15">
        <v>4</v>
      </c>
      <c r="J85" s="15">
        <v>0</v>
      </c>
      <c r="K85" s="15">
        <v>2</v>
      </c>
      <c r="L85" s="15">
        <v>7</v>
      </c>
      <c r="M85" s="15">
        <v>3</v>
      </c>
      <c r="N85" s="15">
        <v>3</v>
      </c>
      <c r="O85" s="15">
        <v>2</v>
      </c>
      <c r="P85" s="15">
        <v>2</v>
      </c>
      <c r="Q85" s="15">
        <v>7</v>
      </c>
      <c r="R85" s="15">
        <v>7</v>
      </c>
      <c r="S85" s="15">
        <v>8</v>
      </c>
      <c r="T85" s="15">
        <v>0</v>
      </c>
      <c r="U85" s="15">
        <v>4</v>
      </c>
      <c r="V85" s="15">
        <v>9</v>
      </c>
      <c r="W85" s="15">
        <v>0</v>
      </c>
      <c r="X85" s="15">
        <v>5</v>
      </c>
      <c r="Y85" s="15">
        <v>4</v>
      </c>
      <c r="Z85" s="15">
        <v>8</v>
      </c>
      <c r="AA85" s="15">
        <v>1</v>
      </c>
      <c r="AB85" s="15">
        <v>5</v>
      </c>
      <c r="AC85" s="15">
        <v>2</v>
      </c>
      <c r="AD85" s="15">
        <v>0</v>
      </c>
      <c r="AE85" s="15">
        <v>0</v>
      </c>
      <c r="AF85" s="13">
        <f t="shared" si="13"/>
        <v>99</v>
      </c>
    </row>
    <row r="86" spans="1:32" ht="12.75" customHeight="1" x14ac:dyDescent="0.3">
      <c r="A86" s="19" t="s">
        <v>39</v>
      </c>
      <c r="B86" s="27"/>
      <c r="C86" s="28" t="s">
        <v>74</v>
      </c>
      <c r="D86" s="29"/>
      <c r="E86" s="15">
        <v>2</v>
      </c>
      <c r="F86" s="15">
        <v>3</v>
      </c>
      <c r="G86" s="15">
        <v>2</v>
      </c>
      <c r="H86" s="15">
        <v>0</v>
      </c>
      <c r="I86" s="15">
        <v>0</v>
      </c>
      <c r="J86" s="15">
        <v>0</v>
      </c>
      <c r="K86" s="15">
        <v>2</v>
      </c>
      <c r="L86" s="15">
        <v>3</v>
      </c>
      <c r="M86" s="15">
        <v>0</v>
      </c>
      <c r="N86" s="15">
        <v>4</v>
      </c>
      <c r="O86" s="15">
        <v>3</v>
      </c>
      <c r="P86" s="15">
        <v>0</v>
      </c>
      <c r="Q86" s="15">
        <v>1</v>
      </c>
      <c r="R86" s="15">
        <v>1</v>
      </c>
      <c r="S86" s="15">
        <v>0</v>
      </c>
      <c r="T86" s="15">
        <v>3</v>
      </c>
      <c r="U86" s="15">
        <v>1</v>
      </c>
      <c r="V86" s="15">
        <v>0</v>
      </c>
      <c r="W86" s="15">
        <v>1</v>
      </c>
      <c r="X86" s="15">
        <v>1</v>
      </c>
      <c r="Y86" s="15">
        <v>0</v>
      </c>
      <c r="Z86" s="15">
        <v>1</v>
      </c>
      <c r="AA86" s="15">
        <v>3</v>
      </c>
      <c r="AB86" s="15">
        <v>0</v>
      </c>
      <c r="AC86" s="15">
        <v>0</v>
      </c>
      <c r="AD86" s="15">
        <v>0</v>
      </c>
      <c r="AE86" s="15">
        <v>0</v>
      </c>
      <c r="AF86" s="13">
        <f t="shared" si="13"/>
        <v>31</v>
      </c>
    </row>
    <row r="87" spans="1:32" ht="12.75" customHeight="1" x14ac:dyDescent="0.3">
      <c r="A87" s="14"/>
      <c r="B87" s="27"/>
      <c r="C87" s="28" t="s">
        <v>75</v>
      </c>
      <c r="D87" s="29"/>
      <c r="E87" s="15">
        <v>1</v>
      </c>
      <c r="F87" s="15">
        <v>0</v>
      </c>
      <c r="G87" s="15">
        <v>0</v>
      </c>
      <c r="H87" s="15">
        <v>0</v>
      </c>
      <c r="I87" s="15">
        <v>0</v>
      </c>
      <c r="J87" s="15">
        <v>2</v>
      </c>
      <c r="K87" s="15">
        <v>1</v>
      </c>
      <c r="L87" s="15">
        <v>1</v>
      </c>
      <c r="M87" s="15">
        <v>2</v>
      </c>
      <c r="N87" s="15">
        <v>3</v>
      </c>
      <c r="O87" s="15">
        <v>4</v>
      </c>
      <c r="P87" s="15">
        <v>0</v>
      </c>
      <c r="Q87" s="15">
        <v>5</v>
      </c>
      <c r="R87" s="15">
        <v>0</v>
      </c>
      <c r="S87" s="15">
        <v>0</v>
      </c>
      <c r="T87" s="15">
        <v>0</v>
      </c>
      <c r="U87" s="15">
        <v>0</v>
      </c>
      <c r="V87" s="15">
        <v>1</v>
      </c>
      <c r="W87" s="15">
        <v>0</v>
      </c>
      <c r="X87" s="15">
        <v>1</v>
      </c>
      <c r="Y87" s="15">
        <v>0</v>
      </c>
      <c r="Z87" s="15">
        <v>0</v>
      </c>
      <c r="AA87" s="15">
        <v>1</v>
      </c>
      <c r="AB87" s="15">
        <v>0</v>
      </c>
      <c r="AC87" s="15">
        <v>3</v>
      </c>
      <c r="AD87" s="15">
        <v>0</v>
      </c>
      <c r="AE87" s="15">
        <v>0</v>
      </c>
      <c r="AF87" s="13">
        <f t="shared" si="13"/>
        <v>25</v>
      </c>
    </row>
    <row r="88" spans="1:32" ht="12.75" customHeight="1" x14ac:dyDescent="0.3">
      <c r="A88" s="14"/>
      <c r="B88" s="27"/>
      <c r="C88" s="28" t="s">
        <v>76</v>
      </c>
      <c r="D88" s="29"/>
      <c r="E88" s="15">
        <v>0</v>
      </c>
      <c r="F88" s="15">
        <v>0</v>
      </c>
      <c r="G88" s="15">
        <v>0</v>
      </c>
      <c r="H88" s="15">
        <v>0</v>
      </c>
      <c r="I88" s="15">
        <v>0</v>
      </c>
      <c r="J88" s="15">
        <v>0</v>
      </c>
      <c r="K88" s="15">
        <v>1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1</v>
      </c>
      <c r="AC88" s="15">
        <v>1</v>
      </c>
      <c r="AD88" s="15">
        <v>0</v>
      </c>
      <c r="AE88" s="15">
        <v>0</v>
      </c>
      <c r="AF88" s="13">
        <f t="shared" si="13"/>
        <v>3</v>
      </c>
    </row>
    <row r="89" spans="1:32" ht="12.75" customHeight="1" x14ac:dyDescent="0.3">
      <c r="A89" s="14"/>
      <c r="B89" s="27"/>
      <c r="C89" s="28" t="s">
        <v>77</v>
      </c>
      <c r="D89" s="29"/>
      <c r="E89" s="15">
        <v>0</v>
      </c>
      <c r="F89" s="15">
        <v>0</v>
      </c>
      <c r="G89" s="15">
        <v>1</v>
      </c>
      <c r="H89" s="15">
        <v>0</v>
      </c>
      <c r="I89" s="15">
        <v>0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2</v>
      </c>
      <c r="R89" s="15">
        <v>0</v>
      </c>
      <c r="S89" s="15">
        <v>1</v>
      </c>
      <c r="T89" s="15">
        <v>0</v>
      </c>
      <c r="U89" s="15">
        <v>1</v>
      </c>
      <c r="V89" s="15">
        <v>0</v>
      </c>
      <c r="W89" s="15">
        <v>0</v>
      </c>
      <c r="X89" s="15">
        <v>0</v>
      </c>
      <c r="Y89" s="15">
        <v>0</v>
      </c>
      <c r="Z89" s="15">
        <v>0</v>
      </c>
      <c r="AA89" s="15">
        <v>1</v>
      </c>
      <c r="AB89" s="15">
        <v>0</v>
      </c>
      <c r="AC89" s="15">
        <v>1</v>
      </c>
      <c r="AD89" s="15">
        <v>0</v>
      </c>
      <c r="AE89" s="15">
        <v>0</v>
      </c>
      <c r="AF89" s="13">
        <f t="shared" si="13"/>
        <v>7</v>
      </c>
    </row>
    <row r="90" spans="1:32" ht="12.75" customHeight="1" x14ac:dyDescent="0.3">
      <c r="A90" s="14"/>
      <c r="B90" s="27"/>
      <c r="C90" s="28" t="s">
        <v>78</v>
      </c>
      <c r="D90" s="29"/>
      <c r="E90" s="15">
        <v>39</v>
      </c>
      <c r="F90" s="15">
        <v>21</v>
      </c>
      <c r="G90" s="15">
        <v>90</v>
      </c>
      <c r="H90" s="15">
        <v>25</v>
      </c>
      <c r="I90" s="15">
        <v>33</v>
      </c>
      <c r="J90" s="15">
        <v>8</v>
      </c>
      <c r="K90" s="15">
        <v>2</v>
      </c>
      <c r="L90" s="15">
        <v>37</v>
      </c>
      <c r="M90" s="15">
        <v>16</v>
      </c>
      <c r="N90" s="15">
        <v>54</v>
      </c>
      <c r="O90" s="15">
        <v>26</v>
      </c>
      <c r="P90" s="15">
        <v>17</v>
      </c>
      <c r="Q90" s="15">
        <v>49</v>
      </c>
      <c r="R90" s="15">
        <v>20</v>
      </c>
      <c r="S90" s="15">
        <v>43</v>
      </c>
      <c r="T90" s="15">
        <v>8</v>
      </c>
      <c r="U90" s="15">
        <v>18</v>
      </c>
      <c r="V90" s="15">
        <v>21</v>
      </c>
      <c r="W90" s="15">
        <v>5</v>
      </c>
      <c r="X90" s="15">
        <v>37</v>
      </c>
      <c r="Y90" s="15">
        <v>73</v>
      </c>
      <c r="Z90" s="15">
        <v>54</v>
      </c>
      <c r="AA90" s="15">
        <v>49</v>
      </c>
      <c r="AB90" s="15">
        <v>120</v>
      </c>
      <c r="AC90" s="15">
        <v>83</v>
      </c>
      <c r="AD90" s="15">
        <v>1</v>
      </c>
      <c r="AE90" s="15">
        <v>2</v>
      </c>
      <c r="AF90" s="13">
        <f t="shared" si="13"/>
        <v>951</v>
      </c>
    </row>
    <row r="91" spans="1:32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1</v>
      </c>
      <c r="W91" s="15">
        <v>0</v>
      </c>
      <c r="X91" s="15">
        <v>1</v>
      </c>
      <c r="Y91" s="15">
        <v>1</v>
      </c>
      <c r="Z91" s="15">
        <v>2</v>
      </c>
      <c r="AA91" s="15">
        <v>2</v>
      </c>
      <c r="AB91" s="15">
        <v>0</v>
      </c>
      <c r="AC91" s="15">
        <v>1</v>
      </c>
      <c r="AD91" s="15">
        <v>0</v>
      </c>
      <c r="AE91" s="15">
        <v>0</v>
      </c>
      <c r="AF91" s="13">
        <f t="shared" si="13"/>
        <v>8</v>
      </c>
    </row>
    <row r="92" spans="1:32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3">
        <f t="shared" si="13"/>
        <v>0</v>
      </c>
    </row>
    <row r="93" spans="1:32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AE93" si="18">SUM(E85:E92)</f>
        <v>44</v>
      </c>
      <c r="F93" s="34">
        <f t="shared" si="18"/>
        <v>28</v>
      </c>
      <c r="G93" s="34">
        <f t="shared" si="18"/>
        <v>99</v>
      </c>
      <c r="H93" s="34">
        <f t="shared" si="18"/>
        <v>29</v>
      </c>
      <c r="I93" s="34">
        <f t="shared" si="18"/>
        <v>37</v>
      </c>
      <c r="J93" s="34">
        <f t="shared" si="18"/>
        <v>10</v>
      </c>
      <c r="K93" s="34">
        <f t="shared" si="18"/>
        <v>8</v>
      </c>
      <c r="L93" s="34">
        <f t="shared" si="18"/>
        <v>48</v>
      </c>
      <c r="M93" s="34">
        <f t="shared" si="18"/>
        <v>21</v>
      </c>
      <c r="N93" s="34">
        <f t="shared" si="18"/>
        <v>64</v>
      </c>
      <c r="O93" s="34">
        <f t="shared" si="18"/>
        <v>35</v>
      </c>
      <c r="P93" s="34">
        <f t="shared" si="18"/>
        <v>19</v>
      </c>
      <c r="Q93" s="34">
        <f t="shared" si="18"/>
        <v>64</v>
      </c>
      <c r="R93" s="34">
        <f t="shared" si="18"/>
        <v>28</v>
      </c>
      <c r="S93" s="34">
        <f t="shared" si="18"/>
        <v>52</v>
      </c>
      <c r="T93" s="34">
        <f t="shared" si="18"/>
        <v>11</v>
      </c>
      <c r="U93" s="34">
        <f t="shared" si="18"/>
        <v>24</v>
      </c>
      <c r="V93" s="34">
        <f t="shared" si="18"/>
        <v>32</v>
      </c>
      <c r="W93" s="34">
        <f t="shared" si="18"/>
        <v>6</v>
      </c>
      <c r="X93" s="34">
        <f t="shared" si="18"/>
        <v>45</v>
      </c>
      <c r="Y93" s="34">
        <f t="shared" si="18"/>
        <v>78</v>
      </c>
      <c r="Z93" s="34">
        <f t="shared" si="18"/>
        <v>65</v>
      </c>
      <c r="AA93" s="34">
        <f t="shared" si="18"/>
        <v>57</v>
      </c>
      <c r="AB93" s="34">
        <f t="shared" si="18"/>
        <v>126</v>
      </c>
      <c r="AC93" s="34">
        <f t="shared" si="18"/>
        <v>91</v>
      </c>
      <c r="AD93" s="34">
        <f t="shared" si="18"/>
        <v>1</v>
      </c>
      <c r="AE93" s="34">
        <f t="shared" si="18"/>
        <v>2</v>
      </c>
      <c r="AF93" s="13">
        <f t="shared" si="13"/>
        <v>1124</v>
      </c>
    </row>
    <row r="94" spans="1:32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13">
        <f t="shared" si="13"/>
        <v>0</v>
      </c>
    </row>
    <row r="95" spans="1:32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0</v>
      </c>
      <c r="F95" s="15">
        <v>0</v>
      </c>
      <c r="G95" s="15">
        <v>0</v>
      </c>
      <c r="H95" s="15">
        <v>1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1</v>
      </c>
      <c r="R95" s="15">
        <v>1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1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1</v>
      </c>
      <c r="AF95" s="13">
        <f t="shared" si="13"/>
        <v>5</v>
      </c>
    </row>
    <row r="96" spans="1:32" ht="12.75" customHeight="1" x14ac:dyDescent="0.3">
      <c r="A96" s="19" t="s">
        <v>39</v>
      </c>
      <c r="B96" s="27"/>
      <c r="C96" s="28" t="s">
        <v>83</v>
      </c>
      <c r="D96" s="40"/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1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3">
        <f t="shared" si="13"/>
        <v>1</v>
      </c>
    </row>
    <row r="97" spans="1:32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AE97" si="19">SUM(E95:E96)</f>
        <v>0</v>
      </c>
      <c r="F97" s="34">
        <f t="shared" si="19"/>
        <v>0</v>
      </c>
      <c r="G97" s="34">
        <f t="shared" si="19"/>
        <v>0</v>
      </c>
      <c r="H97" s="34">
        <f t="shared" si="19"/>
        <v>1</v>
      </c>
      <c r="I97" s="34">
        <f t="shared" si="19"/>
        <v>0</v>
      </c>
      <c r="J97" s="34">
        <f t="shared" si="19"/>
        <v>0</v>
      </c>
      <c r="K97" s="34">
        <f t="shared" si="19"/>
        <v>1</v>
      </c>
      <c r="L97" s="34">
        <f t="shared" si="19"/>
        <v>0</v>
      </c>
      <c r="M97" s="34">
        <f t="shared" si="19"/>
        <v>0</v>
      </c>
      <c r="N97" s="34">
        <f t="shared" si="19"/>
        <v>0</v>
      </c>
      <c r="O97" s="34">
        <f t="shared" si="19"/>
        <v>0</v>
      </c>
      <c r="P97" s="34">
        <f t="shared" si="19"/>
        <v>0</v>
      </c>
      <c r="Q97" s="34">
        <f t="shared" si="19"/>
        <v>1</v>
      </c>
      <c r="R97" s="34">
        <f t="shared" si="19"/>
        <v>1</v>
      </c>
      <c r="S97" s="34">
        <f t="shared" si="19"/>
        <v>0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0</v>
      </c>
      <c r="X97" s="34">
        <f t="shared" si="19"/>
        <v>1</v>
      </c>
      <c r="Y97" s="34">
        <f t="shared" si="19"/>
        <v>0</v>
      </c>
      <c r="Z97" s="34">
        <f t="shared" si="19"/>
        <v>0</v>
      </c>
      <c r="AA97" s="34">
        <f t="shared" si="19"/>
        <v>0</v>
      </c>
      <c r="AB97" s="34">
        <f t="shared" si="19"/>
        <v>0</v>
      </c>
      <c r="AC97" s="34">
        <f t="shared" si="19"/>
        <v>0</v>
      </c>
      <c r="AD97" s="34">
        <f t="shared" si="19"/>
        <v>0</v>
      </c>
      <c r="AE97" s="34">
        <f t="shared" si="19"/>
        <v>1</v>
      </c>
      <c r="AF97" s="13">
        <f t="shared" si="13"/>
        <v>6</v>
      </c>
    </row>
    <row r="98" spans="1:32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13">
        <f t="shared" si="13"/>
        <v>0</v>
      </c>
    </row>
    <row r="99" spans="1:32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1</v>
      </c>
      <c r="F99" s="15">
        <v>3</v>
      </c>
      <c r="G99" s="15">
        <v>1</v>
      </c>
      <c r="H99" s="15">
        <v>0</v>
      </c>
      <c r="I99" s="15">
        <v>0</v>
      </c>
      <c r="J99" s="15">
        <v>0</v>
      </c>
      <c r="K99" s="15">
        <v>2</v>
      </c>
      <c r="L99" s="15">
        <v>2</v>
      </c>
      <c r="M99" s="15">
        <v>1</v>
      </c>
      <c r="N99" s="15">
        <v>0</v>
      </c>
      <c r="O99" s="15">
        <v>0</v>
      </c>
      <c r="P99" s="15">
        <v>0</v>
      </c>
      <c r="Q99" s="15">
        <v>1</v>
      </c>
      <c r="R99" s="15">
        <v>0</v>
      </c>
      <c r="S99" s="15">
        <v>0</v>
      </c>
      <c r="T99" s="15">
        <v>0</v>
      </c>
      <c r="U99" s="15">
        <v>1</v>
      </c>
      <c r="V99" s="15">
        <v>1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4</v>
      </c>
      <c r="AC99" s="15">
        <v>2</v>
      </c>
      <c r="AD99" s="15">
        <v>2</v>
      </c>
      <c r="AE99" s="15">
        <v>1</v>
      </c>
      <c r="AF99" s="13">
        <f t="shared" si="13"/>
        <v>22</v>
      </c>
    </row>
    <row r="100" spans="1:32" ht="12.75" customHeight="1" x14ac:dyDescent="0.3">
      <c r="A100" s="19" t="s">
        <v>39</v>
      </c>
      <c r="B100" s="27"/>
      <c r="C100" s="28" t="s">
        <v>86</v>
      </c>
      <c r="D100" s="29"/>
      <c r="E100" s="15">
        <v>1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1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1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1</v>
      </c>
      <c r="AF100" s="13">
        <f t="shared" si="13"/>
        <v>4</v>
      </c>
    </row>
    <row r="101" spans="1:32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E101" si="20">SUM(E99:E100)</f>
        <v>2</v>
      </c>
      <c r="F101" s="34">
        <f t="shared" si="20"/>
        <v>3</v>
      </c>
      <c r="G101" s="34">
        <f t="shared" si="20"/>
        <v>1</v>
      </c>
      <c r="H101" s="34">
        <f t="shared" si="20"/>
        <v>0</v>
      </c>
      <c r="I101" s="34">
        <f t="shared" si="20"/>
        <v>0</v>
      </c>
      <c r="J101" s="34">
        <f t="shared" si="20"/>
        <v>0</v>
      </c>
      <c r="K101" s="34">
        <f t="shared" si="20"/>
        <v>2</v>
      </c>
      <c r="L101" s="34">
        <f t="shared" si="20"/>
        <v>2</v>
      </c>
      <c r="M101" s="34">
        <f t="shared" si="20"/>
        <v>1</v>
      </c>
      <c r="N101" s="34">
        <f t="shared" si="20"/>
        <v>1</v>
      </c>
      <c r="O101" s="34">
        <f t="shared" si="20"/>
        <v>0</v>
      </c>
      <c r="P101" s="34">
        <f t="shared" si="20"/>
        <v>0</v>
      </c>
      <c r="Q101" s="34">
        <f t="shared" si="20"/>
        <v>1</v>
      </c>
      <c r="R101" s="34">
        <f t="shared" si="20"/>
        <v>0</v>
      </c>
      <c r="S101" s="34">
        <f t="shared" si="20"/>
        <v>0</v>
      </c>
      <c r="T101" s="34">
        <f t="shared" si="20"/>
        <v>0</v>
      </c>
      <c r="U101" s="34">
        <f t="shared" si="20"/>
        <v>1</v>
      </c>
      <c r="V101" s="34">
        <f t="shared" si="20"/>
        <v>1</v>
      </c>
      <c r="W101" s="34">
        <f t="shared" si="20"/>
        <v>1</v>
      </c>
      <c r="X101" s="34">
        <f t="shared" si="20"/>
        <v>0</v>
      </c>
      <c r="Y101" s="34">
        <f t="shared" si="20"/>
        <v>0</v>
      </c>
      <c r="Z101" s="34">
        <f t="shared" si="20"/>
        <v>0</v>
      </c>
      <c r="AA101" s="34">
        <f t="shared" si="20"/>
        <v>0</v>
      </c>
      <c r="AB101" s="34">
        <f t="shared" si="20"/>
        <v>4</v>
      </c>
      <c r="AC101" s="34">
        <f t="shared" si="20"/>
        <v>2</v>
      </c>
      <c r="AD101" s="34">
        <f t="shared" si="20"/>
        <v>2</v>
      </c>
      <c r="AE101" s="34">
        <f t="shared" si="20"/>
        <v>2</v>
      </c>
      <c r="AF101" s="13">
        <f t="shared" si="13"/>
        <v>26</v>
      </c>
    </row>
    <row r="102" spans="1:32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13">
        <f t="shared" si="13"/>
        <v>0</v>
      </c>
    </row>
    <row r="103" spans="1:32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0</v>
      </c>
      <c r="I103" s="15">
        <v>0</v>
      </c>
      <c r="J103" s="15">
        <v>0</v>
      </c>
      <c r="K103" s="15">
        <v>0</v>
      </c>
      <c r="L103" s="15">
        <v>0</v>
      </c>
      <c r="M103" s="15">
        <v>0</v>
      </c>
      <c r="N103" s="15">
        <v>1</v>
      </c>
      <c r="O103" s="15">
        <v>1</v>
      </c>
      <c r="P103" s="15">
        <v>0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1</v>
      </c>
      <c r="W103" s="15">
        <v>0</v>
      </c>
      <c r="X103" s="15">
        <v>0</v>
      </c>
      <c r="Y103" s="15">
        <v>0</v>
      </c>
      <c r="Z103" s="15">
        <v>1</v>
      </c>
      <c r="AA103" s="15">
        <v>1</v>
      </c>
      <c r="AB103" s="15">
        <v>0</v>
      </c>
      <c r="AC103" s="15">
        <v>0</v>
      </c>
      <c r="AD103" s="15">
        <v>0</v>
      </c>
      <c r="AE103" s="15">
        <v>0</v>
      </c>
      <c r="AF103" s="13">
        <f t="shared" si="13"/>
        <v>5</v>
      </c>
    </row>
    <row r="104" spans="1:32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3</v>
      </c>
      <c r="P104" s="15">
        <v>0</v>
      </c>
      <c r="Q104" s="15">
        <v>0</v>
      </c>
      <c r="R104" s="15">
        <v>0</v>
      </c>
      <c r="S104" s="15">
        <v>0</v>
      </c>
      <c r="T104" s="15">
        <v>1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1</v>
      </c>
      <c r="AC104" s="15">
        <v>0</v>
      </c>
      <c r="AD104" s="15">
        <v>0</v>
      </c>
      <c r="AE104" s="15">
        <v>0</v>
      </c>
      <c r="AF104" s="13">
        <f t="shared" si="13"/>
        <v>5</v>
      </c>
    </row>
    <row r="105" spans="1:32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0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0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3">
        <f t="shared" si="13"/>
        <v>0</v>
      </c>
    </row>
    <row r="106" spans="1:32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1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3">
        <f t="shared" si="13"/>
        <v>1</v>
      </c>
    </row>
    <row r="107" spans="1:32" ht="12.75" customHeight="1" x14ac:dyDescent="0.3">
      <c r="A107" s="14"/>
      <c r="B107" s="27"/>
      <c r="C107" s="28" t="s">
        <v>92</v>
      </c>
      <c r="D107" s="29"/>
      <c r="E107" s="15">
        <v>1</v>
      </c>
      <c r="F107" s="15">
        <v>1</v>
      </c>
      <c r="G107" s="15">
        <v>1</v>
      </c>
      <c r="H107" s="15">
        <v>0</v>
      </c>
      <c r="I107" s="15">
        <v>0</v>
      </c>
      <c r="J107" s="15">
        <v>0</v>
      </c>
      <c r="K107" s="15">
        <v>0</v>
      </c>
      <c r="L107" s="15">
        <v>1</v>
      </c>
      <c r="M107" s="15">
        <v>0</v>
      </c>
      <c r="N107" s="15">
        <v>0</v>
      </c>
      <c r="O107" s="15">
        <v>0</v>
      </c>
      <c r="P107" s="15">
        <v>1</v>
      </c>
      <c r="Q107" s="15">
        <v>1</v>
      </c>
      <c r="R107" s="15">
        <v>0</v>
      </c>
      <c r="S107" s="15">
        <v>0</v>
      </c>
      <c r="T107" s="15">
        <v>0</v>
      </c>
      <c r="U107" s="15">
        <v>0</v>
      </c>
      <c r="V107" s="15">
        <v>3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3">
        <f t="shared" si="13"/>
        <v>9</v>
      </c>
    </row>
    <row r="108" spans="1:32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3">
        <f t="shared" si="13"/>
        <v>0</v>
      </c>
    </row>
    <row r="109" spans="1:32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3">
        <f t="shared" si="13"/>
        <v>0</v>
      </c>
    </row>
    <row r="110" spans="1:32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3">
        <f t="shared" si="13"/>
        <v>0</v>
      </c>
    </row>
    <row r="111" spans="1:32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AE111" si="21">SUM(E103:E110)</f>
        <v>1</v>
      </c>
      <c r="F111" s="34">
        <f t="shared" si="21"/>
        <v>1</v>
      </c>
      <c r="G111" s="34">
        <f t="shared" si="21"/>
        <v>1</v>
      </c>
      <c r="H111" s="34">
        <f t="shared" si="21"/>
        <v>0</v>
      </c>
      <c r="I111" s="34">
        <f t="shared" si="21"/>
        <v>0</v>
      </c>
      <c r="J111" s="34">
        <f t="shared" si="21"/>
        <v>0</v>
      </c>
      <c r="K111" s="34">
        <f t="shared" si="21"/>
        <v>0</v>
      </c>
      <c r="L111" s="34">
        <f t="shared" si="21"/>
        <v>1</v>
      </c>
      <c r="M111" s="34">
        <f t="shared" si="21"/>
        <v>0</v>
      </c>
      <c r="N111" s="34">
        <f t="shared" si="21"/>
        <v>1</v>
      </c>
      <c r="O111" s="34">
        <f t="shared" si="21"/>
        <v>4</v>
      </c>
      <c r="P111" s="34">
        <f t="shared" si="21"/>
        <v>1</v>
      </c>
      <c r="Q111" s="34">
        <f t="shared" si="21"/>
        <v>1</v>
      </c>
      <c r="R111" s="34">
        <f t="shared" si="21"/>
        <v>0</v>
      </c>
      <c r="S111" s="34">
        <f t="shared" si="21"/>
        <v>0</v>
      </c>
      <c r="T111" s="34">
        <f t="shared" si="21"/>
        <v>1</v>
      </c>
      <c r="U111" s="34">
        <f t="shared" si="21"/>
        <v>0</v>
      </c>
      <c r="V111" s="34">
        <f t="shared" si="21"/>
        <v>4</v>
      </c>
      <c r="W111" s="34">
        <f t="shared" si="21"/>
        <v>0</v>
      </c>
      <c r="X111" s="34">
        <f t="shared" si="21"/>
        <v>1</v>
      </c>
      <c r="Y111" s="34">
        <f t="shared" si="21"/>
        <v>0</v>
      </c>
      <c r="Z111" s="34">
        <f t="shared" si="21"/>
        <v>1</v>
      </c>
      <c r="AA111" s="34">
        <f t="shared" si="21"/>
        <v>1</v>
      </c>
      <c r="AB111" s="34">
        <f t="shared" si="21"/>
        <v>1</v>
      </c>
      <c r="AC111" s="34">
        <f t="shared" si="21"/>
        <v>0</v>
      </c>
      <c r="AD111" s="34">
        <f t="shared" si="21"/>
        <v>0</v>
      </c>
      <c r="AE111" s="34">
        <f t="shared" si="21"/>
        <v>0</v>
      </c>
      <c r="AF111" s="13">
        <f t="shared" si="13"/>
        <v>20</v>
      </c>
    </row>
    <row r="112" spans="1:32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13">
        <f t="shared" si="13"/>
        <v>0</v>
      </c>
    </row>
    <row r="113" spans="1:34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3">
        <f t="shared" si="13"/>
        <v>0</v>
      </c>
    </row>
    <row r="114" spans="1:34" ht="12.75" customHeight="1" x14ac:dyDescent="0.3">
      <c r="A114" s="19" t="s">
        <v>39</v>
      </c>
      <c r="B114" s="26"/>
      <c r="C114" s="28" t="s">
        <v>98</v>
      </c>
      <c r="D114" s="40"/>
      <c r="E114" s="15">
        <v>4</v>
      </c>
      <c r="F114" s="15">
        <v>0</v>
      </c>
      <c r="G114" s="15">
        <v>0</v>
      </c>
      <c r="H114" s="15">
        <v>0</v>
      </c>
      <c r="I114" s="15">
        <v>0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3">
        <f t="shared" si="13"/>
        <v>4</v>
      </c>
    </row>
    <row r="115" spans="1:34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E115" si="22">SUM(E113:E114)</f>
        <v>4</v>
      </c>
      <c r="F115" s="34">
        <f t="shared" si="22"/>
        <v>0</v>
      </c>
      <c r="G115" s="34">
        <f t="shared" si="22"/>
        <v>0</v>
      </c>
      <c r="H115" s="34">
        <f t="shared" si="22"/>
        <v>0</v>
      </c>
      <c r="I115" s="34">
        <f t="shared" si="22"/>
        <v>0</v>
      </c>
      <c r="J115" s="34">
        <f t="shared" si="22"/>
        <v>0</v>
      </c>
      <c r="K115" s="34">
        <f t="shared" si="22"/>
        <v>0</v>
      </c>
      <c r="L115" s="34">
        <f t="shared" si="22"/>
        <v>0</v>
      </c>
      <c r="M115" s="34">
        <f t="shared" si="22"/>
        <v>0</v>
      </c>
      <c r="N115" s="34">
        <f t="shared" si="22"/>
        <v>0</v>
      </c>
      <c r="O115" s="34">
        <f t="shared" si="22"/>
        <v>0</v>
      </c>
      <c r="P115" s="34">
        <f t="shared" si="22"/>
        <v>0</v>
      </c>
      <c r="Q115" s="34">
        <f t="shared" si="22"/>
        <v>0</v>
      </c>
      <c r="R115" s="34">
        <f t="shared" si="22"/>
        <v>0</v>
      </c>
      <c r="S115" s="34">
        <f t="shared" si="22"/>
        <v>0</v>
      </c>
      <c r="T115" s="34">
        <f t="shared" si="22"/>
        <v>0</v>
      </c>
      <c r="U115" s="34">
        <f t="shared" si="22"/>
        <v>0</v>
      </c>
      <c r="V115" s="34">
        <f t="shared" si="22"/>
        <v>0</v>
      </c>
      <c r="W115" s="34">
        <f t="shared" si="22"/>
        <v>0</v>
      </c>
      <c r="X115" s="34">
        <f t="shared" si="22"/>
        <v>0</v>
      </c>
      <c r="Y115" s="34">
        <f t="shared" si="22"/>
        <v>0</v>
      </c>
      <c r="Z115" s="34">
        <f t="shared" si="22"/>
        <v>0</v>
      </c>
      <c r="AA115" s="34">
        <f t="shared" si="22"/>
        <v>0</v>
      </c>
      <c r="AB115" s="34">
        <f t="shared" si="22"/>
        <v>0</v>
      </c>
      <c r="AC115" s="34">
        <f t="shared" si="22"/>
        <v>0</v>
      </c>
      <c r="AD115" s="34">
        <f t="shared" si="22"/>
        <v>0</v>
      </c>
      <c r="AE115" s="34">
        <f t="shared" si="22"/>
        <v>0</v>
      </c>
      <c r="AF115" s="13">
        <f t="shared" si="13"/>
        <v>4</v>
      </c>
    </row>
    <row r="116" spans="1:34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13">
        <f t="shared" si="13"/>
        <v>0</v>
      </c>
    </row>
    <row r="117" spans="1:34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1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3">
        <f t="shared" si="13"/>
        <v>1</v>
      </c>
      <c r="AG117" s="5"/>
      <c r="AH117" s="5"/>
    </row>
    <row r="118" spans="1:34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1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1</v>
      </c>
      <c r="P118" s="15">
        <v>0</v>
      </c>
      <c r="Q118" s="15">
        <v>0</v>
      </c>
      <c r="R118" s="15">
        <v>5</v>
      </c>
      <c r="S118" s="15">
        <v>0</v>
      </c>
      <c r="T118" s="15">
        <v>4</v>
      </c>
      <c r="U118" s="15">
        <v>1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3">
        <f t="shared" si="13"/>
        <v>12</v>
      </c>
      <c r="AG118" s="5"/>
      <c r="AH118" s="5"/>
    </row>
    <row r="119" spans="1:34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3">
        <f t="shared" si="13"/>
        <v>0</v>
      </c>
      <c r="AG119" s="5"/>
      <c r="AH119" s="5"/>
    </row>
    <row r="120" spans="1:34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3">
        <f t="shared" si="13"/>
        <v>0</v>
      </c>
      <c r="AG120" s="5"/>
      <c r="AH120" s="5"/>
    </row>
    <row r="121" spans="1:34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3">
        <f t="shared" si="13"/>
        <v>0</v>
      </c>
      <c r="AG121" s="5"/>
      <c r="AH121" s="5"/>
    </row>
    <row r="122" spans="1:34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1</v>
      </c>
      <c r="Q122" s="15">
        <v>4</v>
      </c>
      <c r="R122" s="15">
        <v>0</v>
      </c>
      <c r="S122" s="15">
        <v>0</v>
      </c>
      <c r="T122" s="15">
        <v>0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3">
        <f t="shared" si="13"/>
        <v>5</v>
      </c>
      <c r="AG122" s="5"/>
      <c r="AH122" s="5"/>
    </row>
    <row r="123" spans="1:34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3">
        <f t="shared" si="13"/>
        <v>0</v>
      </c>
      <c r="AG123" s="5"/>
      <c r="AH123" s="5"/>
    </row>
    <row r="124" spans="1:34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3">
        <f t="shared" si="13"/>
        <v>0</v>
      </c>
      <c r="AG124" s="5"/>
      <c r="AH124" s="5"/>
    </row>
    <row r="125" spans="1:34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E125" si="23">SUM(E117:E124)</f>
        <v>0</v>
      </c>
      <c r="F125" s="34">
        <f t="shared" si="23"/>
        <v>0</v>
      </c>
      <c r="G125" s="34">
        <f t="shared" si="23"/>
        <v>1</v>
      </c>
      <c r="H125" s="34">
        <f t="shared" si="23"/>
        <v>0</v>
      </c>
      <c r="I125" s="34">
        <f t="shared" si="23"/>
        <v>0</v>
      </c>
      <c r="J125" s="34">
        <f t="shared" si="23"/>
        <v>0</v>
      </c>
      <c r="K125" s="34">
        <f t="shared" si="23"/>
        <v>0</v>
      </c>
      <c r="L125" s="34">
        <f t="shared" si="23"/>
        <v>0</v>
      </c>
      <c r="M125" s="34">
        <f t="shared" si="23"/>
        <v>0</v>
      </c>
      <c r="N125" s="34">
        <f t="shared" si="23"/>
        <v>0</v>
      </c>
      <c r="O125" s="34">
        <f t="shared" si="23"/>
        <v>1</v>
      </c>
      <c r="P125" s="34">
        <f t="shared" si="23"/>
        <v>1</v>
      </c>
      <c r="Q125" s="34">
        <f t="shared" si="23"/>
        <v>5</v>
      </c>
      <c r="R125" s="34">
        <f t="shared" si="23"/>
        <v>5</v>
      </c>
      <c r="S125" s="34">
        <f t="shared" si="23"/>
        <v>0</v>
      </c>
      <c r="T125" s="34">
        <f t="shared" si="23"/>
        <v>4</v>
      </c>
      <c r="U125" s="34">
        <f t="shared" si="23"/>
        <v>1</v>
      </c>
      <c r="V125" s="34">
        <f t="shared" si="23"/>
        <v>0</v>
      </c>
      <c r="W125" s="34">
        <f t="shared" si="23"/>
        <v>0</v>
      </c>
      <c r="X125" s="34">
        <f t="shared" si="23"/>
        <v>0</v>
      </c>
      <c r="Y125" s="34">
        <f t="shared" si="23"/>
        <v>0</v>
      </c>
      <c r="Z125" s="34">
        <f t="shared" si="23"/>
        <v>0</v>
      </c>
      <c r="AA125" s="34">
        <f t="shared" si="23"/>
        <v>0</v>
      </c>
      <c r="AB125" s="34">
        <f t="shared" si="23"/>
        <v>0</v>
      </c>
      <c r="AC125" s="34">
        <f t="shared" si="23"/>
        <v>0</v>
      </c>
      <c r="AD125" s="34">
        <f t="shared" si="23"/>
        <v>0</v>
      </c>
      <c r="AE125" s="34">
        <f t="shared" si="23"/>
        <v>0</v>
      </c>
      <c r="AF125" s="13">
        <f t="shared" si="13"/>
        <v>18</v>
      </c>
      <c r="AG125" s="5"/>
      <c r="AH125" s="5"/>
    </row>
    <row r="126" spans="1:34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13">
        <f t="shared" si="13"/>
        <v>0</v>
      </c>
      <c r="AG126" s="5"/>
      <c r="AH126" s="5"/>
    </row>
    <row r="127" spans="1:34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3">
        <f t="shared" si="13"/>
        <v>0</v>
      </c>
      <c r="AG127" s="5"/>
      <c r="AH127" s="5"/>
    </row>
    <row r="128" spans="1:34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3">
        <f t="shared" si="13"/>
        <v>0</v>
      </c>
      <c r="AG128" s="5"/>
      <c r="AH128" s="5"/>
    </row>
    <row r="129" spans="1:34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E129" si="24">SUM(E127:E128)</f>
        <v>0</v>
      </c>
      <c r="F129" s="34">
        <f t="shared" si="24"/>
        <v>0</v>
      </c>
      <c r="G129" s="34">
        <f t="shared" si="24"/>
        <v>0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0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0</v>
      </c>
      <c r="T129" s="34">
        <f t="shared" si="24"/>
        <v>0</v>
      </c>
      <c r="U129" s="34">
        <f t="shared" si="24"/>
        <v>0</v>
      </c>
      <c r="V129" s="34">
        <f t="shared" si="24"/>
        <v>0</v>
      </c>
      <c r="W129" s="34">
        <f t="shared" si="24"/>
        <v>0</v>
      </c>
      <c r="X129" s="34">
        <f t="shared" si="24"/>
        <v>0</v>
      </c>
      <c r="Y129" s="34">
        <f t="shared" si="24"/>
        <v>0</v>
      </c>
      <c r="Z129" s="34">
        <f t="shared" si="24"/>
        <v>0</v>
      </c>
      <c r="AA129" s="34">
        <f t="shared" si="24"/>
        <v>0</v>
      </c>
      <c r="AB129" s="34">
        <f t="shared" si="24"/>
        <v>0</v>
      </c>
      <c r="AC129" s="34">
        <f t="shared" si="24"/>
        <v>0</v>
      </c>
      <c r="AD129" s="34">
        <f t="shared" si="24"/>
        <v>0</v>
      </c>
      <c r="AE129" s="34">
        <f t="shared" si="24"/>
        <v>0</v>
      </c>
      <c r="AF129" s="13">
        <f t="shared" si="13"/>
        <v>0</v>
      </c>
      <c r="AG129" s="5"/>
      <c r="AH129" s="5"/>
    </row>
    <row r="130" spans="1:34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13">
        <f t="shared" si="13"/>
        <v>0</v>
      </c>
      <c r="AG130" s="1"/>
      <c r="AH130" s="1"/>
    </row>
    <row r="131" spans="1:34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1</v>
      </c>
      <c r="F131" s="15">
        <v>0</v>
      </c>
      <c r="G131" s="15">
        <v>0</v>
      </c>
      <c r="H131" s="15">
        <v>0</v>
      </c>
      <c r="I131" s="15">
        <v>0</v>
      </c>
      <c r="J131" s="15">
        <v>1</v>
      </c>
      <c r="K131" s="15">
        <v>1</v>
      </c>
      <c r="L131" s="15">
        <v>0</v>
      </c>
      <c r="M131" s="15">
        <v>0</v>
      </c>
      <c r="N131" s="15">
        <v>0</v>
      </c>
      <c r="O131" s="15">
        <v>0</v>
      </c>
      <c r="P131" s="15">
        <v>1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5">
        <v>0</v>
      </c>
      <c r="W131" s="15">
        <v>1</v>
      </c>
      <c r="X131" s="15">
        <v>0</v>
      </c>
      <c r="Y131" s="15">
        <v>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3">
        <f t="shared" si="13"/>
        <v>5</v>
      </c>
      <c r="AG131" s="31"/>
      <c r="AH131" s="31"/>
    </row>
    <row r="132" spans="1:34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>
        <v>0</v>
      </c>
      <c r="U132" s="15">
        <v>2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3">
        <f t="shared" si="13"/>
        <v>2</v>
      </c>
      <c r="AG132" s="5"/>
      <c r="AH132" s="5"/>
    </row>
    <row r="133" spans="1:34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15">
        <v>0</v>
      </c>
      <c r="L133" s="15">
        <v>1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1</v>
      </c>
      <c r="S133" s="15">
        <v>0</v>
      </c>
      <c r="T133" s="15">
        <v>0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3">
        <f t="shared" si="13"/>
        <v>2</v>
      </c>
      <c r="AG133" s="5"/>
      <c r="AH133" s="5"/>
    </row>
    <row r="134" spans="1:34" ht="12.75" customHeight="1" x14ac:dyDescent="0.3">
      <c r="A134" s="14"/>
      <c r="B134" s="27"/>
      <c r="C134" s="28" t="s">
        <v>114</v>
      </c>
      <c r="D134" s="29"/>
      <c r="E134" s="15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3">
        <f t="shared" si="13"/>
        <v>0</v>
      </c>
      <c r="AG134" s="5"/>
      <c r="AH134" s="5"/>
    </row>
    <row r="135" spans="1:34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3">
        <f t="shared" si="13"/>
        <v>1</v>
      </c>
      <c r="AG135" s="5"/>
      <c r="AH135" s="5"/>
    </row>
    <row r="136" spans="1:34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E136" si="25">SUM(E131:E135)</f>
        <v>1</v>
      </c>
      <c r="F136" s="34">
        <f t="shared" si="25"/>
        <v>0</v>
      </c>
      <c r="G136" s="34">
        <f t="shared" si="25"/>
        <v>0</v>
      </c>
      <c r="H136" s="34">
        <f t="shared" si="25"/>
        <v>0</v>
      </c>
      <c r="I136" s="34">
        <f t="shared" si="25"/>
        <v>0</v>
      </c>
      <c r="J136" s="34">
        <f t="shared" si="25"/>
        <v>1</v>
      </c>
      <c r="K136" s="34">
        <f t="shared" si="25"/>
        <v>1</v>
      </c>
      <c r="L136" s="34">
        <f t="shared" si="25"/>
        <v>2</v>
      </c>
      <c r="M136" s="34">
        <f t="shared" si="25"/>
        <v>0</v>
      </c>
      <c r="N136" s="34">
        <f t="shared" si="25"/>
        <v>0</v>
      </c>
      <c r="O136" s="34">
        <f t="shared" si="25"/>
        <v>0</v>
      </c>
      <c r="P136" s="34">
        <f t="shared" si="25"/>
        <v>1</v>
      </c>
      <c r="Q136" s="34">
        <f t="shared" si="25"/>
        <v>0</v>
      </c>
      <c r="R136" s="34">
        <f t="shared" si="25"/>
        <v>1</v>
      </c>
      <c r="S136" s="34">
        <f t="shared" si="25"/>
        <v>0</v>
      </c>
      <c r="T136" s="34">
        <f t="shared" si="25"/>
        <v>0</v>
      </c>
      <c r="U136" s="34">
        <f t="shared" si="25"/>
        <v>2</v>
      </c>
      <c r="V136" s="34">
        <f t="shared" si="25"/>
        <v>0</v>
      </c>
      <c r="W136" s="34">
        <f t="shared" si="25"/>
        <v>1</v>
      </c>
      <c r="X136" s="34">
        <f t="shared" si="25"/>
        <v>0</v>
      </c>
      <c r="Y136" s="34">
        <f t="shared" si="25"/>
        <v>0</v>
      </c>
      <c r="Z136" s="34">
        <f t="shared" si="25"/>
        <v>0</v>
      </c>
      <c r="AA136" s="34">
        <f t="shared" si="25"/>
        <v>0</v>
      </c>
      <c r="AB136" s="34">
        <f t="shared" si="25"/>
        <v>0</v>
      </c>
      <c r="AC136" s="34">
        <f t="shared" si="25"/>
        <v>0</v>
      </c>
      <c r="AD136" s="34">
        <f t="shared" si="25"/>
        <v>0</v>
      </c>
      <c r="AE136" s="34">
        <f t="shared" si="25"/>
        <v>0</v>
      </c>
      <c r="AF136" s="13">
        <f t="shared" si="13"/>
        <v>10</v>
      </c>
      <c r="AG136" s="5"/>
      <c r="AH136" s="5"/>
    </row>
    <row r="137" spans="1:34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13">
        <f t="shared" si="13"/>
        <v>0</v>
      </c>
      <c r="AG137" s="5"/>
      <c r="AH137" s="5"/>
    </row>
    <row r="138" spans="1:34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>
        <v>0</v>
      </c>
      <c r="F138" s="15">
        <v>0</v>
      </c>
      <c r="G138" s="15">
        <v>0</v>
      </c>
      <c r="H138" s="15">
        <v>0</v>
      </c>
      <c r="I138" s="15">
        <v>0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1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3">
        <f t="shared" si="13"/>
        <v>1</v>
      </c>
      <c r="AG138" s="5"/>
      <c r="AH138" s="5"/>
    </row>
    <row r="139" spans="1:34" ht="12.75" customHeight="1" x14ac:dyDescent="0.3">
      <c r="A139" s="19" t="s">
        <v>39</v>
      </c>
      <c r="B139" s="27"/>
      <c r="C139" s="28" t="s">
        <v>118</v>
      </c>
      <c r="D139" s="29"/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3">
        <f t="shared" si="13"/>
        <v>0</v>
      </c>
      <c r="AG139" s="5"/>
      <c r="AH139" s="5"/>
    </row>
    <row r="140" spans="1:34" ht="12.75" customHeight="1" x14ac:dyDescent="0.3">
      <c r="A140" s="14"/>
      <c r="B140" s="27"/>
      <c r="C140" s="28" t="s">
        <v>119</v>
      </c>
      <c r="D140" s="29"/>
      <c r="E140" s="15">
        <v>0</v>
      </c>
      <c r="F140" s="15">
        <v>0</v>
      </c>
      <c r="G140" s="15">
        <v>0</v>
      </c>
      <c r="H140" s="15">
        <v>0</v>
      </c>
      <c r="I140" s="15">
        <v>0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1</v>
      </c>
      <c r="P140" s="15">
        <v>0</v>
      </c>
      <c r="Q140" s="15">
        <v>0</v>
      </c>
      <c r="R140" s="15">
        <v>0</v>
      </c>
      <c r="S140" s="15">
        <v>0</v>
      </c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1</v>
      </c>
      <c r="AF140" s="13">
        <f t="shared" si="13"/>
        <v>2</v>
      </c>
      <c r="AG140" s="5"/>
      <c r="AH140" s="5"/>
    </row>
    <row r="141" spans="1:34" ht="12.75" customHeight="1" x14ac:dyDescent="0.3">
      <c r="A141" s="14"/>
      <c r="B141" s="27"/>
      <c r="C141" s="28" t="s">
        <v>120</v>
      </c>
      <c r="D141" s="29"/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3">
        <f t="shared" si="13"/>
        <v>0</v>
      </c>
      <c r="AG141" s="1"/>
      <c r="AH141" s="1"/>
    </row>
    <row r="142" spans="1:34" ht="12.75" customHeight="1" x14ac:dyDescent="0.3">
      <c r="A142" s="14"/>
      <c r="B142" s="27"/>
      <c r="C142" s="28" t="s">
        <v>121</v>
      </c>
      <c r="D142" s="29"/>
      <c r="E142" s="15">
        <v>0</v>
      </c>
      <c r="F142" s="15">
        <v>0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3">
        <f t="shared" si="13"/>
        <v>0</v>
      </c>
      <c r="AG142" s="31"/>
      <c r="AH142" s="31"/>
    </row>
    <row r="143" spans="1:34" ht="12.75" customHeight="1" x14ac:dyDescent="0.3">
      <c r="A143" s="14"/>
      <c r="B143" s="27"/>
      <c r="C143" s="28" t="s">
        <v>122</v>
      </c>
      <c r="D143" s="29"/>
      <c r="E143" s="15">
        <v>0</v>
      </c>
      <c r="F143" s="15">
        <v>0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5">
        <v>0</v>
      </c>
      <c r="W143" s="15">
        <v>0</v>
      </c>
      <c r="X143" s="15">
        <v>1</v>
      </c>
      <c r="Y143" s="15">
        <v>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3">
        <f t="shared" si="13"/>
        <v>1</v>
      </c>
      <c r="AG143" s="5"/>
      <c r="AH143" s="5"/>
    </row>
    <row r="144" spans="1:34" ht="12.75" customHeight="1" x14ac:dyDescent="0.3">
      <c r="A144" s="14"/>
      <c r="B144" s="27"/>
      <c r="C144" s="28" t="s">
        <v>123</v>
      </c>
      <c r="D144" s="29"/>
      <c r="E144" s="15">
        <v>0</v>
      </c>
      <c r="F144" s="15">
        <v>0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3">
        <f t="shared" si="13"/>
        <v>0</v>
      </c>
      <c r="AG144" s="5"/>
      <c r="AH144" s="5"/>
    </row>
    <row r="145" spans="1:34" ht="12.75" customHeight="1" x14ac:dyDescent="0.3">
      <c r="A145" s="14"/>
      <c r="B145" s="27"/>
      <c r="C145" s="28" t="s">
        <v>124</v>
      </c>
      <c r="D145" s="29"/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3">
        <f t="shared" si="13"/>
        <v>0</v>
      </c>
      <c r="AG145" s="5"/>
      <c r="AH145" s="5"/>
    </row>
    <row r="146" spans="1:34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E146" si="26">SUM(E138:E145)</f>
        <v>0</v>
      </c>
      <c r="F146" s="34">
        <f t="shared" si="26"/>
        <v>0</v>
      </c>
      <c r="G146" s="34">
        <f t="shared" si="26"/>
        <v>0</v>
      </c>
      <c r="H146" s="34">
        <f t="shared" si="26"/>
        <v>0</v>
      </c>
      <c r="I146" s="34">
        <f t="shared" si="26"/>
        <v>0</v>
      </c>
      <c r="J146" s="34">
        <f t="shared" si="26"/>
        <v>0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1</v>
      </c>
      <c r="P146" s="34">
        <f t="shared" si="26"/>
        <v>0</v>
      </c>
      <c r="Q146" s="34">
        <f t="shared" si="26"/>
        <v>1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0</v>
      </c>
      <c r="V146" s="34">
        <f t="shared" si="26"/>
        <v>0</v>
      </c>
      <c r="W146" s="34">
        <f t="shared" si="26"/>
        <v>0</v>
      </c>
      <c r="X146" s="34">
        <f t="shared" si="26"/>
        <v>1</v>
      </c>
      <c r="Y146" s="34">
        <f t="shared" si="26"/>
        <v>0</v>
      </c>
      <c r="Z146" s="34">
        <f t="shared" si="26"/>
        <v>0</v>
      </c>
      <c r="AA146" s="34">
        <f t="shared" si="26"/>
        <v>0</v>
      </c>
      <c r="AB146" s="34">
        <f t="shared" si="26"/>
        <v>0</v>
      </c>
      <c r="AC146" s="34">
        <f t="shared" si="26"/>
        <v>0</v>
      </c>
      <c r="AD146" s="34">
        <f t="shared" si="26"/>
        <v>0</v>
      </c>
      <c r="AE146" s="34">
        <f t="shared" si="26"/>
        <v>1</v>
      </c>
      <c r="AF146" s="13">
        <f t="shared" si="13"/>
        <v>4</v>
      </c>
      <c r="AG146" s="5"/>
      <c r="AH146" s="5"/>
    </row>
    <row r="147" spans="1:34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13">
        <f t="shared" si="13"/>
        <v>0</v>
      </c>
      <c r="AG147" s="5"/>
      <c r="AH147" s="5"/>
    </row>
    <row r="148" spans="1:34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2</v>
      </c>
      <c r="F148" s="15">
        <v>1</v>
      </c>
      <c r="G148" s="15">
        <v>0</v>
      </c>
      <c r="H148" s="15">
        <v>0</v>
      </c>
      <c r="I148" s="15">
        <v>1</v>
      </c>
      <c r="J148" s="15">
        <v>0</v>
      </c>
      <c r="K148" s="15">
        <v>0</v>
      </c>
      <c r="L148" s="15">
        <v>3</v>
      </c>
      <c r="M148" s="15">
        <v>0</v>
      </c>
      <c r="N148" s="15">
        <v>1</v>
      </c>
      <c r="O148" s="15">
        <v>0</v>
      </c>
      <c r="P148" s="15">
        <v>1</v>
      </c>
      <c r="Q148" s="15">
        <v>3</v>
      </c>
      <c r="R148" s="15">
        <v>2</v>
      </c>
      <c r="S148" s="15">
        <v>2</v>
      </c>
      <c r="T148" s="15">
        <v>0</v>
      </c>
      <c r="U148" s="15">
        <v>2</v>
      </c>
      <c r="V148" s="15">
        <v>4</v>
      </c>
      <c r="W148" s="15">
        <v>2</v>
      </c>
      <c r="X148" s="15">
        <v>0</v>
      </c>
      <c r="Y148" s="15">
        <v>0</v>
      </c>
      <c r="Z148" s="15">
        <v>3</v>
      </c>
      <c r="AA148" s="15">
        <v>1</v>
      </c>
      <c r="AB148" s="15">
        <v>2</v>
      </c>
      <c r="AC148" s="15">
        <v>1</v>
      </c>
      <c r="AD148" s="15">
        <v>2</v>
      </c>
      <c r="AE148" s="15">
        <v>0</v>
      </c>
      <c r="AF148" s="13">
        <f t="shared" si="13"/>
        <v>33</v>
      </c>
      <c r="AG148" s="5"/>
      <c r="AH148" s="5"/>
    </row>
    <row r="149" spans="1:34" ht="12.75" customHeight="1" x14ac:dyDescent="0.3">
      <c r="A149" s="19" t="s">
        <v>39</v>
      </c>
      <c r="B149" s="27"/>
      <c r="C149" s="28" t="s">
        <v>127</v>
      </c>
      <c r="D149" s="29"/>
      <c r="E149" s="15">
        <v>5</v>
      </c>
      <c r="F149" s="15">
        <v>2</v>
      </c>
      <c r="G149" s="15">
        <v>0</v>
      </c>
      <c r="H149" s="15">
        <v>0</v>
      </c>
      <c r="I149" s="15">
        <v>1</v>
      </c>
      <c r="J149" s="15">
        <v>0</v>
      </c>
      <c r="K149" s="15">
        <v>1</v>
      </c>
      <c r="L149" s="15">
        <v>1</v>
      </c>
      <c r="M149" s="15">
        <v>3</v>
      </c>
      <c r="N149" s="15">
        <v>3</v>
      </c>
      <c r="O149" s="15">
        <v>0</v>
      </c>
      <c r="P149" s="15">
        <v>5</v>
      </c>
      <c r="Q149" s="15">
        <v>1</v>
      </c>
      <c r="R149" s="15">
        <v>0</v>
      </c>
      <c r="S149" s="15">
        <v>1</v>
      </c>
      <c r="T149" s="15">
        <v>2</v>
      </c>
      <c r="U149" s="15">
        <v>3</v>
      </c>
      <c r="V149" s="15">
        <v>1</v>
      </c>
      <c r="W149" s="15">
        <v>1</v>
      </c>
      <c r="X149" s="15">
        <v>0</v>
      </c>
      <c r="Y149" s="15">
        <v>1</v>
      </c>
      <c r="Z149" s="15">
        <v>1</v>
      </c>
      <c r="AA149" s="15">
        <v>0</v>
      </c>
      <c r="AB149" s="15">
        <v>1</v>
      </c>
      <c r="AC149" s="15">
        <v>1</v>
      </c>
      <c r="AD149" s="15">
        <v>1</v>
      </c>
      <c r="AE149" s="15">
        <v>0</v>
      </c>
      <c r="AF149" s="13">
        <f t="shared" si="13"/>
        <v>35</v>
      </c>
      <c r="AG149" s="5"/>
      <c r="AH149" s="5"/>
    </row>
    <row r="150" spans="1:34" ht="12.75" customHeight="1" x14ac:dyDescent="0.3">
      <c r="A150" s="14"/>
      <c r="B150" s="27"/>
      <c r="C150" s="28" t="s">
        <v>128</v>
      </c>
      <c r="D150" s="29"/>
      <c r="E150" s="15">
        <v>0</v>
      </c>
      <c r="F150" s="15">
        <v>0</v>
      </c>
      <c r="G150" s="15">
        <v>0</v>
      </c>
      <c r="H150" s="15">
        <v>0</v>
      </c>
      <c r="I150" s="15">
        <v>2</v>
      </c>
      <c r="J150" s="15">
        <v>0</v>
      </c>
      <c r="K150" s="15">
        <v>0</v>
      </c>
      <c r="L150" s="15">
        <v>1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13</v>
      </c>
      <c r="V150" s="15">
        <v>16</v>
      </c>
      <c r="W150" s="15">
        <v>40</v>
      </c>
      <c r="X150" s="15">
        <v>3</v>
      </c>
      <c r="Y150" s="15">
        <v>0</v>
      </c>
      <c r="Z150" s="15">
        <v>0</v>
      </c>
      <c r="AA150" s="15">
        <v>0</v>
      </c>
      <c r="AB150" s="15">
        <v>0</v>
      </c>
      <c r="AC150" s="15">
        <v>1</v>
      </c>
      <c r="AD150" s="15">
        <v>0</v>
      </c>
      <c r="AE150" s="15">
        <v>0</v>
      </c>
      <c r="AF150" s="13">
        <f t="shared" si="13"/>
        <v>76</v>
      </c>
      <c r="AG150" s="5"/>
      <c r="AH150" s="5"/>
    </row>
    <row r="151" spans="1:34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0</v>
      </c>
      <c r="G151" s="15">
        <v>0</v>
      </c>
      <c r="H151" s="15">
        <v>0</v>
      </c>
      <c r="I151" s="15">
        <v>0</v>
      </c>
      <c r="J151" s="15">
        <v>0</v>
      </c>
      <c r="K151" s="15">
        <v>0</v>
      </c>
      <c r="L151" s="15">
        <v>0</v>
      </c>
      <c r="M151" s="15">
        <v>0</v>
      </c>
      <c r="N151" s="15">
        <v>1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1</v>
      </c>
      <c r="V151" s="15">
        <v>1</v>
      </c>
      <c r="W151" s="15">
        <v>1</v>
      </c>
      <c r="X151" s="15">
        <v>0</v>
      </c>
      <c r="Y151" s="15">
        <v>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1</v>
      </c>
      <c r="AF151" s="13">
        <f t="shared" si="13"/>
        <v>5</v>
      </c>
      <c r="AG151" s="1"/>
      <c r="AH151" s="1"/>
    </row>
    <row r="152" spans="1:34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0</v>
      </c>
      <c r="G152" s="15">
        <v>0</v>
      </c>
      <c r="H152" s="15">
        <v>1</v>
      </c>
      <c r="I152" s="15">
        <v>0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  <c r="W152" s="15">
        <v>0</v>
      </c>
      <c r="X152" s="15">
        <v>0</v>
      </c>
      <c r="Y152" s="15">
        <v>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3">
        <f t="shared" si="13"/>
        <v>2</v>
      </c>
      <c r="AG152" s="31"/>
      <c r="AH152" s="31"/>
    </row>
    <row r="153" spans="1:34" ht="12.75" customHeight="1" x14ac:dyDescent="0.3">
      <c r="A153" s="14"/>
      <c r="B153" s="27"/>
      <c r="C153" s="28" t="s">
        <v>131</v>
      </c>
      <c r="D153" s="29"/>
      <c r="E153" s="15">
        <v>3</v>
      </c>
      <c r="F153" s="15">
        <v>0</v>
      </c>
      <c r="G153" s="15">
        <v>0</v>
      </c>
      <c r="H153" s="15">
        <v>0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1</v>
      </c>
      <c r="AF153" s="13">
        <f t="shared" si="13"/>
        <v>4</v>
      </c>
      <c r="AG153" s="5"/>
      <c r="AH153" s="5"/>
    </row>
    <row r="154" spans="1:34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1</v>
      </c>
      <c r="S154" s="15">
        <v>0</v>
      </c>
      <c r="T154" s="15">
        <v>0</v>
      </c>
      <c r="U154" s="15">
        <v>0</v>
      </c>
      <c r="V154" s="15">
        <v>0</v>
      </c>
      <c r="W154" s="15">
        <v>2</v>
      </c>
      <c r="X154" s="15">
        <v>0</v>
      </c>
      <c r="Y154" s="15">
        <v>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3">
        <f t="shared" si="13"/>
        <v>3</v>
      </c>
      <c r="AG154" s="5"/>
      <c r="AH154" s="5"/>
    </row>
    <row r="155" spans="1:34" ht="12.75" customHeight="1" x14ac:dyDescent="0.3">
      <c r="A155" s="14"/>
      <c r="B155" s="27"/>
      <c r="C155" s="28" t="s">
        <v>133</v>
      </c>
      <c r="D155" s="29"/>
      <c r="E155" s="15">
        <v>10</v>
      </c>
      <c r="F155" s="15">
        <v>4</v>
      </c>
      <c r="G155" s="15">
        <v>0</v>
      </c>
      <c r="H155" s="15">
        <v>2</v>
      </c>
      <c r="I155" s="15">
        <v>0</v>
      </c>
      <c r="J155" s="15">
        <v>0</v>
      </c>
      <c r="K155" s="15">
        <v>1</v>
      </c>
      <c r="L155" s="15">
        <v>1</v>
      </c>
      <c r="M155" s="15">
        <v>0</v>
      </c>
      <c r="N155" s="15">
        <v>0</v>
      </c>
      <c r="O155" s="15">
        <v>0</v>
      </c>
      <c r="P155" s="15">
        <v>2</v>
      </c>
      <c r="Q155" s="15">
        <v>1</v>
      </c>
      <c r="R155" s="15">
        <v>1</v>
      </c>
      <c r="S155" s="15">
        <v>0</v>
      </c>
      <c r="T155" s="15">
        <v>0</v>
      </c>
      <c r="U155" s="15">
        <v>1</v>
      </c>
      <c r="V155" s="15">
        <v>1</v>
      </c>
      <c r="W155" s="15">
        <v>5</v>
      </c>
      <c r="X155" s="15">
        <v>1</v>
      </c>
      <c r="Y155" s="15">
        <v>0</v>
      </c>
      <c r="Z155" s="15">
        <v>2</v>
      </c>
      <c r="AA155" s="15">
        <v>1</v>
      </c>
      <c r="AB155" s="15">
        <v>10</v>
      </c>
      <c r="AC155" s="15">
        <v>48</v>
      </c>
      <c r="AD155" s="15">
        <v>64</v>
      </c>
      <c r="AE155" s="15">
        <v>52</v>
      </c>
      <c r="AF155" s="13">
        <f t="shared" si="13"/>
        <v>207</v>
      </c>
      <c r="AG155" s="5"/>
      <c r="AH155" s="5"/>
    </row>
    <row r="156" spans="1:34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E156" si="27">SUM(E148:E155)</f>
        <v>20</v>
      </c>
      <c r="F156" s="34">
        <f t="shared" si="27"/>
        <v>7</v>
      </c>
      <c r="G156" s="34">
        <f t="shared" si="27"/>
        <v>0</v>
      </c>
      <c r="H156" s="34">
        <f t="shared" si="27"/>
        <v>3</v>
      </c>
      <c r="I156" s="34">
        <f t="shared" si="27"/>
        <v>4</v>
      </c>
      <c r="J156" s="34">
        <f t="shared" si="27"/>
        <v>0</v>
      </c>
      <c r="K156" s="34">
        <f t="shared" si="27"/>
        <v>2</v>
      </c>
      <c r="L156" s="34">
        <f t="shared" si="27"/>
        <v>6</v>
      </c>
      <c r="M156" s="34">
        <f t="shared" si="27"/>
        <v>3</v>
      </c>
      <c r="N156" s="34">
        <f t="shared" si="27"/>
        <v>5</v>
      </c>
      <c r="O156" s="34">
        <f t="shared" si="27"/>
        <v>0</v>
      </c>
      <c r="P156" s="34">
        <f t="shared" si="27"/>
        <v>8</v>
      </c>
      <c r="Q156" s="34">
        <f t="shared" si="27"/>
        <v>5</v>
      </c>
      <c r="R156" s="34">
        <f t="shared" si="27"/>
        <v>4</v>
      </c>
      <c r="S156" s="34">
        <f t="shared" si="27"/>
        <v>3</v>
      </c>
      <c r="T156" s="34">
        <f t="shared" si="27"/>
        <v>2</v>
      </c>
      <c r="U156" s="34">
        <f t="shared" si="27"/>
        <v>20</v>
      </c>
      <c r="V156" s="34">
        <f t="shared" si="27"/>
        <v>23</v>
      </c>
      <c r="W156" s="34">
        <f t="shared" si="27"/>
        <v>51</v>
      </c>
      <c r="X156" s="34">
        <f t="shared" si="27"/>
        <v>4</v>
      </c>
      <c r="Y156" s="34">
        <f t="shared" si="27"/>
        <v>2</v>
      </c>
      <c r="Z156" s="34">
        <f t="shared" si="27"/>
        <v>6</v>
      </c>
      <c r="AA156" s="34">
        <f t="shared" si="27"/>
        <v>2</v>
      </c>
      <c r="AB156" s="34">
        <f t="shared" si="27"/>
        <v>13</v>
      </c>
      <c r="AC156" s="34">
        <f t="shared" si="27"/>
        <v>51</v>
      </c>
      <c r="AD156" s="34">
        <f t="shared" si="27"/>
        <v>67</v>
      </c>
      <c r="AE156" s="34">
        <f t="shared" si="27"/>
        <v>54</v>
      </c>
      <c r="AF156" s="13">
        <f t="shared" si="13"/>
        <v>365</v>
      </c>
      <c r="AG156" s="5"/>
      <c r="AH156" s="5"/>
    </row>
    <row r="157" spans="1:34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13">
        <f t="shared" si="13"/>
        <v>0</v>
      </c>
      <c r="AG157" s="5"/>
      <c r="AH157" s="5"/>
    </row>
    <row r="158" spans="1:34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1</v>
      </c>
      <c r="F158" s="15">
        <v>1</v>
      </c>
      <c r="G158" s="15">
        <v>0</v>
      </c>
      <c r="H158" s="15">
        <v>0</v>
      </c>
      <c r="I158" s="15">
        <v>0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1</v>
      </c>
      <c r="S158" s="15">
        <v>0</v>
      </c>
      <c r="T158" s="15">
        <v>1</v>
      </c>
      <c r="U158" s="15">
        <v>0</v>
      </c>
      <c r="V158" s="15">
        <v>0</v>
      </c>
      <c r="W158" s="15">
        <v>2</v>
      </c>
      <c r="X158" s="15">
        <v>1</v>
      </c>
      <c r="Y158" s="15">
        <v>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3">
        <f t="shared" si="13"/>
        <v>7</v>
      </c>
      <c r="AG158" s="5"/>
      <c r="AH158" s="5"/>
    </row>
    <row r="159" spans="1:34" ht="12.75" customHeight="1" x14ac:dyDescent="0.3">
      <c r="A159" s="19" t="s">
        <v>39</v>
      </c>
      <c r="B159" s="27"/>
      <c r="C159" s="28" t="s">
        <v>136</v>
      </c>
      <c r="D159" s="29"/>
      <c r="E159" s="15">
        <v>2</v>
      </c>
      <c r="F159" s="15">
        <v>0</v>
      </c>
      <c r="G159" s="15">
        <v>0</v>
      </c>
      <c r="H159" s="15">
        <v>0</v>
      </c>
      <c r="I159" s="15">
        <v>0</v>
      </c>
      <c r="J159" s="15">
        <v>0</v>
      </c>
      <c r="K159" s="15">
        <v>1</v>
      </c>
      <c r="L159" s="15">
        <v>0</v>
      </c>
      <c r="M159" s="15">
        <v>0</v>
      </c>
      <c r="N159" s="15">
        <v>1</v>
      </c>
      <c r="O159" s="15">
        <v>0</v>
      </c>
      <c r="P159" s="15">
        <v>1</v>
      </c>
      <c r="Q159" s="15">
        <v>0</v>
      </c>
      <c r="R159" s="15">
        <v>0</v>
      </c>
      <c r="S159" s="15">
        <v>0</v>
      </c>
      <c r="T159" s="15">
        <v>1</v>
      </c>
      <c r="U159" s="15">
        <v>0</v>
      </c>
      <c r="V159" s="15">
        <v>0</v>
      </c>
      <c r="W159" s="15">
        <v>0</v>
      </c>
      <c r="X159" s="15">
        <v>0</v>
      </c>
      <c r="Y159" s="15">
        <v>2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3">
        <f t="shared" si="13"/>
        <v>8</v>
      </c>
      <c r="AG159" s="5"/>
      <c r="AH159" s="5"/>
    </row>
    <row r="160" spans="1:34" ht="12.75" customHeight="1" x14ac:dyDescent="0.3">
      <c r="A160" s="19"/>
      <c r="B160" s="27"/>
      <c r="C160" s="28" t="s">
        <v>137</v>
      </c>
      <c r="D160" s="29"/>
      <c r="E160" s="15">
        <v>0</v>
      </c>
      <c r="F160" s="15">
        <v>0</v>
      </c>
      <c r="G160" s="15">
        <v>0</v>
      </c>
      <c r="H160" s="15">
        <v>0</v>
      </c>
      <c r="I160" s="15">
        <v>0</v>
      </c>
      <c r="J160" s="15">
        <v>0</v>
      </c>
      <c r="K160" s="15">
        <v>1</v>
      </c>
      <c r="L160" s="15">
        <v>0</v>
      </c>
      <c r="M160" s="15">
        <v>0</v>
      </c>
      <c r="N160" s="15">
        <v>1</v>
      </c>
      <c r="O160" s="15">
        <v>0</v>
      </c>
      <c r="P160" s="15">
        <v>0</v>
      </c>
      <c r="Q160" s="15">
        <v>0</v>
      </c>
      <c r="R160" s="15">
        <v>1</v>
      </c>
      <c r="S160" s="15">
        <v>1</v>
      </c>
      <c r="T160" s="15">
        <v>0</v>
      </c>
      <c r="U160" s="15">
        <v>0</v>
      </c>
      <c r="V160" s="15">
        <v>0</v>
      </c>
      <c r="W160" s="15">
        <v>1</v>
      </c>
      <c r="X160" s="15">
        <v>0</v>
      </c>
      <c r="Y160" s="15">
        <v>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3">
        <f t="shared" si="13"/>
        <v>5</v>
      </c>
      <c r="AG160" s="5"/>
      <c r="AH160" s="5"/>
    </row>
    <row r="161" spans="1:34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E161" si="28">SUM(E158:E160)</f>
        <v>3</v>
      </c>
      <c r="F161" s="34">
        <f t="shared" si="28"/>
        <v>1</v>
      </c>
      <c r="G161" s="34">
        <f t="shared" si="28"/>
        <v>0</v>
      </c>
      <c r="H161" s="34">
        <f t="shared" si="28"/>
        <v>0</v>
      </c>
      <c r="I161" s="34">
        <f t="shared" si="28"/>
        <v>0</v>
      </c>
      <c r="J161" s="34">
        <f t="shared" si="28"/>
        <v>0</v>
      </c>
      <c r="K161" s="34">
        <f t="shared" si="28"/>
        <v>2</v>
      </c>
      <c r="L161" s="34">
        <f t="shared" si="28"/>
        <v>0</v>
      </c>
      <c r="M161" s="34">
        <f t="shared" si="28"/>
        <v>0</v>
      </c>
      <c r="N161" s="34">
        <f t="shared" si="28"/>
        <v>2</v>
      </c>
      <c r="O161" s="34">
        <f t="shared" si="28"/>
        <v>0</v>
      </c>
      <c r="P161" s="34">
        <f t="shared" si="28"/>
        <v>1</v>
      </c>
      <c r="Q161" s="34">
        <f t="shared" si="28"/>
        <v>0</v>
      </c>
      <c r="R161" s="34">
        <f t="shared" si="28"/>
        <v>2</v>
      </c>
      <c r="S161" s="34">
        <f t="shared" si="28"/>
        <v>1</v>
      </c>
      <c r="T161" s="34">
        <f t="shared" si="28"/>
        <v>2</v>
      </c>
      <c r="U161" s="34">
        <f t="shared" si="28"/>
        <v>0</v>
      </c>
      <c r="V161" s="34">
        <f t="shared" si="28"/>
        <v>0</v>
      </c>
      <c r="W161" s="34">
        <f t="shared" si="28"/>
        <v>3</v>
      </c>
      <c r="X161" s="34">
        <f t="shared" si="28"/>
        <v>1</v>
      </c>
      <c r="Y161" s="34">
        <f t="shared" si="28"/>
        <v>2</v>
      </c>
      <c r="Z161" s="34">
        <f t="shared" si="28"/>
        <v>0</v>
      </c>
      <c r="AA161" s="34">
        <f t="shared" si="28"/>
        <v>0</v>
      </c>
      <c r="AB161" s="34">
        <f t="shared" si="28"/>
        <v>0</v>
      </c>
      <c r="AC161" s="34">
        <f t="shared" si="28"/>
        <v>0</v>
      </c>
      <c r="AD161" s="34">
        <f t="shared" si="28"/>
        <v>0</v>
      </c>
      <c r="AE161" s="34">
        <f t="shared" si="28"/>
        <v>0</v>
      </c>
      <c r="AF161" s="13">
        <f t="shared" si="13"/>
        <v>20</v>
      </c>
      <c r="AG161" s="5"/>
      <c r="AH161" s="5"/>
    </row>
    <row r="162" spans="1:34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13">
        <f t="shared" si="13"/>
        <v>0</v>
      </c>
      <c r="AG162" s="5"/>
      <c r="AH162" s="5"/>
    </row>
    <row r="163" spans="1:34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0</v>
      </c>
      <c r="G163" s="15">
        <v>0</v>
      </c>
      <c r="H163" s="15">
        <v>0</v>
      </c>
      <c r="I163" s="15">
        <v>0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>
        <v>0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3">
        <f t="shared" si="13"/>
        <v>0</v>
      </c>
      <c r="AG163" s="5"/>
      <c r="AH163" s="5"/>
    </row>
    <row r="164" spans="1:34" ht="12.75" customHeight="1" x14ac:dyDescent="0.3">
      <c r="A164" s="19" t="s">
        <v>39</v>
      </c>
      <c r="B164" s="26"/>
      <c r="C164" s="28" t="s">
        <v>140</v>
      </c>
      <c r="D164" s="40"/>
      <c r="E164" s="15">
        <v>3</v>
      </c>
      <c r="F164" s="15">
        <v>0</v>
      </c>
      <c r="G164" s="15">
        <v>0</v>
      </c>
      <c r="H164" s="15">
        <v>0</v>
      </c>
      <c r="I164" s="15">
        <v>0</v>
      </c>
      <c r="J164" s="15">
        <v>0</v>
      </c>
      <c r="K164" s="15">
        <v>0</v>
      </c>
      <c r="L164" s="15">
        <v>0</v>
      </c>
      <c r="M164" s="15">
        <v>1</v>
      </c>
      <c r="N164" s="15">
        <v>0</v>
      </c>
      <c r="O164" s="15">
        <v>0</v>
      </c>
      <c r="P164" s="15">
        <v>0</v>
      </c>
      <c r="Q164" s="15">
        <v>4</v>
      </c>
      <c r="R164" s="15">
        <v>0</v>
      </c>
      <c r="S164" s="15">
        <v>0</v>
      </c>
      <c r="T164" s="15">
        <v>1</v>
      </c>
      <c r="U164" s="15">
        <v>0</v>
      </c>
      <c r="V164" s="15">
        <v>0</v>
      </c>
      <c r="W164" s="15">
        <v>0</v>
      </c>
      <c r="X164" s="15">
        <v>1</v>
      </c>
      <c r="Y164" s="15">
        <v>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3">
        <f t="shared" si="13"/>
        <v>10</v>
      </c>
      <c r="AG164" s="5"/>
      <c r="AH164" s="5"/>
    </row>
    <row r="165" spans="1:34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E165" si="29">SUM(E163:E164)</f>
        <v>3</v>
      </c>
      <c r="F165" s="34">
        <f t="shared" si="29"/>
        <v>0</v>
      </c>
      <c r="G165" s="34">
        <f t="shared" si="29"/>
        <v>0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1</v>
      </c>
      <c r="N165" s="34">
        <f t="shared" si="29"/>
        <v>0</v>
      </c>
      <c r="O165" s="34">
        <f t="shared" si="29"/>
        <v>0</v>
      </c>
      <c r="P165" s="34">
        <f t="shared" si="29"/>
        <v>0</v>
      </c>
      <c r="Q165" s="34">
        <f t="shared" si="29"/>
        <v>4</v>
      </c>
      <c r="R165" s="34">
        <f t="shared" si="29"/>
        <v>0</v>
      </c>
      <c r="S165" s="34">
        <f t="shared" si="29"/>
        <v>0</v>
      </c>
      <c r="T165" s="34">
        <f t="shared" si="29"/>
        <v>1</v>
      </c>
      <c r="U165" s="34">
        <f t="shared" si="29"/>
        <v>0</v>
      </c>
      <c r="V165" s="34">
        <f t="shared" si="29"/>
        <v>0</v>
      </c>
      <c r="W165" s="34">
        <f t="shared" si="29"/>
        <v>0</v>
      </c>
      <c r="X165" s="34">
        <f t="shared" si="29"/>
        <v>1</v>
      </c>
      <c r="Y165" s="34">
        <f t="shared" si="29"/>
        <v>0</v>
      </c>
      <c r="Z165" s="34">
        <f t="shared" si="29"/>
        <v>0</v>
      </c>
      <c r="AA165" s="34">
        <f t="shared" si="29"/>
        <v>0</v>
      </c>
      <c r="AB165" s="34">
        <f t="shared" si="29"/>
        <v>0</v>
      </c>
      <c r="AC165" s="34">
        <f t="shared" si="29"/>
        <v>0</v>
      </c>
      <c r="AD165" s="34">
        <f t="shared" si="29"/>
        <v>0</v>
      </c>
      <c r="AE165" s="34">
        <f t="shared" si="29"/>
        <v>0</v>
      </c>
      <c r="AF165" s="13">
        <f t="shared" si="13"/>
        <v>10</v>
      </c>
      <c r="AG165" s="1"/>
      <c r="AH165" s="1"/>
    </row>
    <row r="166" spans="1:34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13">
        <f t="shared" si="13"/>
        <v>0</v>
      </c>
      <c r="AG166" s="31"/>
      <c r="AH166" s="31"/>
    </row>
    <row r="167" spans="1:34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0</v>
      </c>
      <c r="F167" s="15">
        <v>0</v>
      </c>
      <c r="G167" s="15">
        <v>3</v>
      </c>
      <c r="H167" s="15">
        <v>0</v>
      </c>
      <c r="I167" s="15">
        <v>4</v>
      </c>
      <c r="J167" s="15">
        <v>11</v>
      </c>
      <c r="K167" s="15">
        <v>1</v>
      </c>
      <c r="L167" s="15">
        <v>0</v>
      </c>
      <c r="M167" s="15">
        <v>1</v>
      </c>
      <c r="N167" s="15">
        <v>1</v>
      </c>
      <c r="O167" s="15">
        <v>1</v>
      </c>
      <c r="P167" s="15">
        <v>1</v>
      </c>
      <c r="Q167" s="15">
        <v>1</v>
      </c>
      <c r="R167" s="15">
        <v>1</v>
      </c>
      <c r="S167" s="15">
        <v>0</v>
      </c>
      <c r="T167" s="15">
        <v>0</v>
      </c>
      <c r="U167" s="15">
        <v>1</v>
      </c>
      <c r="V167" s="15">
        <v>0</v>
      </c>
      <c r="W167" s="15">
        <v>0</v>
      </c>
      <c r="X167" s="15">
        <v>0</v>
      </c>
      <c r="Y167" s="15">
        <v>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1</v>
      </c>
      <c r="AF167" s="13">
        <f t="shared" si="13"/>
        <v>27</v>
      </c>
      <c r="AG167" s="5"/>
      <c r="AH167" s="5"/>
    </row>
    <row r="168" spans="1:34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0</v>
      </c>
      <c r="G168" s="15">
        <v>9</v>
      </c>
      <c r="H168" s="15">
        <v>0</v>
      </c>
      <c r="I168" s="15">
        <v>30</v>
      </c>
      <c r="J168" s="15">
        <v>74</v>
      </c>
      <c r="K168" s="15">
        <v>0</v>
      </c>
      <c r="L168" s="15">
        <v>0</v>
      </c>
      <c r="M168" s="15">
        <v>2</v>
      </c>
      <c r="N168" s="15">
        <v>2</v>
      </c>
      <c r="O168" s="15">
        <v>1</v>
      </c>
      <c r="P168" s="15">
        <v>3</v>
      </c>
      <c r="Q168" s="15">
        <v>5</v>
      </c>
      <c r="R168" s="15">
        <v>1</v>
      </c>
      <c r="S168" s="15">
        <v>0</v>
      </c>
      <c r="T168" s="15">
        <v>2</v>
      </c>
      <c r="U168" s="15">
        <v>0</v>
      </c>
      <c r="V168" s="15">
        <v>0</v>
      </c>
      <c r="W168" s="15">
        <v>0</v>
      </c>
      <c r="X168" s="15">
        <v>0</v>
      </c>
      <c r="Y168" s="15">
        <v>1</v>
      </c>
      <c r="Z168" s="15">
        <v>0</v>
      </c>
      <c r="AA168" s="15">
        <v>0</v>
      </c>
      <c r="AB168" s="15">
        <v>0</v>
      </c>
      <c r="AC168" s="15">
        <v>0</v>
      </c>
      <c r="AD168" s="15">
        <v>1</v>
      </c>
      <c r="AE168" s="15">
        <v>0</v>
      </c>
      <c r="AF168" s="13">
        <f t="shared" si="13"/>
        <v>131</v>
      </c>
      <c r="AG168" s="5"/>
      <c r="AH168" s="5"/>
    </row>
    <row r="169" spans="1:34" ht="12.75" customHeight="1" x14ac:dyDescent="0.3">
      <c r="A169" s="14"/>
      <c r="B169" s="27"/>
      <c r="C169" s="28" t="s">
        <v>144</v>
      </c>
      <c r="D169" s="29"/>
      <c r="E169" s="15">
        <v>0</v>
      </c>
      <c r="F169" s="15">
        <v>0</v>
      </c>
      <c r="G169" s="15">
        <v>0</v>
      </c>
      <c r="H169" s="15">
        <v>0</v>
      </c>
      <c r="I169" s="15">
        <v>0</v>
      </c>
      <c r="J169" s="15">
        <v>5</v>
      </c>
      <c r="K169" s="15">
        <v>0</v>
      </c>
      <c r="L169" s="15">
        <v>0</v>
      </c>
      <c r="M169" s="15">
        <v>1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1</v>
      </c>
      <c r="W169" s="15">
        <v>1</v>
      </c>
      <c r="X169" s="15">
        <v>0</v>
      </c>
      <c r="Y169" s="15">
        <v>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3">
        <f t="shared" si="13"/>
        <v>8</v>
      </c>
      <c r="AG169" s="5"/>
      <c r="AH169" s="5"/>
    </row>
    <row r="170" spans="1:34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1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3">
        <f t="shared" si="13"/>
        <v>1</v>
      </c>
      <c r="AG170" s="5"/>
      <c r="AH170" s="5"/>
    </row>
    <row r="171" spans="1:34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0</v>
      </c>
      <c r="H171" s="15">
        <v>0</v>
      </c>
      <c r="I171" s="15">
        <v>0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3">
        <f t="shared" si="13"/>
        <v>0</v>
      </c>
      <c r="AG171" s="5"/>
      <c r="AH171" s="5"/>
    </row>
    <row r="172" spans="1:34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1</v>
      </c>
      <c r="M172" s="15">
        <v>1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1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3">
        <f t="shared" si="13"/>
        <v>3</v>
      </c>
      <c r="AG172" s="5"/>
      <c r="AH172" s="5"/>
    </row>
    <row r="173" spans="1:34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1</v>
      </c>
      <c r="G173" s="15">
        <v>0</v>
      </c>
      <c r="H173" s="15">
        <v>0</v>
      </c>
      <c r="I173" s="15">
        <v>0</v>
      </c>
      <c r="J173" s="15">
        <v>3</v>
      </c>
      <c r="K173" s="15">
        <v>0</v>
      </c>
      <c r="L173" s="15">
        <v>0</v>
      </c>
      <c r="M173" s="15">
        <v>0</v>
      </c>
      <c r="N173" s="15">
        <v>1</v>
      </c>
      <c r="O173" s="15">
        <v>0</v>
      </c>
      <c r="P173" s="15">
        <v>1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5">
        <v>0</v>
      </c>
      <c r="W173" s="15">
        <v>6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>
        <v>1</v>
      </c>
      <c r="AD173" s="15">
        <v>0</v>
      </c>
      <c r="AE173" s="15">
        <v>0</v>
      </c>
      <c r="AF173" s="13">
        <f t="shared" si="13"/>
        <v>13</v>
      </c>
      <c r="AG173" s="5"/>
      <c r="AH173" s="5"/>
    </row>
    <row r="174" spans="1:34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0</v>
      </c>
      <c r="L174" s="15">
        <v>0</v>
      </c>
      <c r="M174" s="15">
        <v>2</v>
      </c>
      <c r="N174" s="15">
        <v>0</v>
      </c>
      <c r="O174" s="15">
        <v>0</v>
      </c>
      <c r="P174" s="15">
        <v>0</v>
      </c>
      <c r="Q174" s="15">
        <v>1</v>
      </c>
      <c r="R174" s="15">
        <v>0</v>
      </c>
      <c r="S174" s="15">
        <v>0</v>
      </c>
      <c r="T174" s="15">
        <v>0</v>
      </c>
      <c r="U174" s="15">
        <v>0</v>
      </c>
      <c r="V174" s="15">
        <v>0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3">
        <f t="shared" si="13"/>
        <v>3</v>
      </c>
      <c r="AG174" s="5"/>
      <c r="AH174" s="5"/>
    </row>
    <row r="175" spans="1:34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AE175" si="30">SUM(E167:E174)</f>
        <v>0</v>
      </c>
      <c r="F175" s="34">
        <f t="shared" si="30"/>
        <v>1</v>
      </c>
      <c r="G175" s="34">
        <f t="shared" si="30"/>
        <v>13</v>
      </c>
      <c r="H175" s="34">
        <f t="shared" si="30"/>
        <v>0</v>
      </c>
      <c r="I175" s="34">
        <f t="shared" si="30"/>
        <v>34</v>
      </c>
      <c r="J175" s="34">
        <f t="shared" si="30"/>
        <v>93</v>
      </c>
      <c r="K175" s="34">
        <f t="shared" si="30"/>
        <v>1</v>
      </c>
      <c r="L175" s="34">
        <f t="shared" si="30"/>
        <v>1</v>
      </c>
      <c r="M175" s="34">
        <f t="shared" si="30"/>
        <v>7</v>
      </c>
      <c r="N175" s="34">
        <f t="shared" si="30"/>
        <v>4</v>
      </c>
      <c r="O175" s="34">
        <f t="shared" si="30"/>
        <v>2</v>
      </c>
      <c r="P175" s="34">
        <f t="shared" si="30"/>
        <v>5</v>
      </c>
      <c r="Q175" s="34">
        <f t="shared" si="30"/>
        <v>7</v>
      </c>
      <c r="R175" s="34">
        <f t="shared" si="30"/>
        <v>2</v>
      </c>
      <c r="S175" s="34">
        <f t="shared" si="30"/>
        <v>0</v>
      </c>
      <c r="T175" s="34">
        <f t="shared" si="30"/>
        <v>3</v>
      </c>
      <c r="U175" s="34">
        <f t="shared" si="30"/>
        <v>1</v>
      </c>
      <c r="V175" s="34">
        <f t="shared" si="30"/>
        <v>1</v>
      </c>
      <c r="W175" s="34">
        <f t="shared" si="30"/>
        <v>7</v>
      </c>
      <c r="X175" s="34">
        <f t="shared" si="30"/>
        <v>0</v>
      </c>
      <c r="Y175" s="34">
        <f t="shared" si="30"/>
        <v>1</v>
      </c>
      <c r="Z175" s="34">
        <f t="shared" si="30"/>
        <v>0</v>
      </c>
      <c r="AA175" s="34">
        <f t="shared" si="30"/>
        <v>0</v>
      </c>
      <c r="AB175" s="34">
        <f t="shared" si="30"/>
        <v>0</v>
      </c>
      <c r="AC175" s="34">
        <f t="shared" si="30"/>
        <v>1</v>
      </c>
      <c r="AD175" s="34">
        <f t="shared" si="30"/>
        <v>1</v>
      </c>
      <c r="AE175" s="34">
        <f t="shared" si="30"/>
        <v>1</v>
      </c>
      <c r="AF175" s="13">
        <f t="shared" si="13"/>
        <v>186</v>
      </c>
      <c r="AG175" s="5"/>
      <c r="AH175" s="5"/>
    </row>
    <row r="176" spans="1:34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13">
        <f t="shared" si="13"/>
        <v>0</v>
      </c>
      <c r="AG176" s="1"/>
      <c r="AH176" s="1"/>
    </row>
    <row r="177" spans="1:34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0</v>
      </c>
      <c r="H177" s="15">
        <v>0</v>
      </c>
      <c r="I177" s="15">
        <v>0</v>
      </c>
      <c r="J177" s="15">
        <v>0</v>
      </c>
      <c r="K177" s="15">
        <v>1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1</v>
      </c>
      <c r="W177" s="15">
        <v>0</v>
      </c>
      <c r="X177" s="15">
        <v>0</v>
      </c>
      <c r="Y177" s="15">
        <v>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1</v>
      </c>
      <c r="AF177" s="13">
        <f t="shared" si="13"/>
        <v>3</v>
      </c>
    </row>
    <row r="178" spans="1:34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1</v>
      </c>
      <c r="U178" s="15">
        <v>1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3">
        <f t="shared" si="13"/>
        <v>2</v>
      </c>
      <c r="AG178" s="5"/>
      <c r="AH178" s="5"/>
    </row>
    <row r="179" spans="1:34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5">
        <v>0</v>
      </c>
      <c r="W179" s="15">
        <v>0</v>
      </c>
      <c r="X179" s="15">
        <v>1</v>
      </c>
      <c r="Y179" s="15">
        <v>0</v>
      </c>
      <c r="Z179" s="15">
        <v>0</v>
      </c>
      <c r="AA179" s="15">
        <v>0</v>
      </c>
      <c r="AB179" s="15">
        <v>0</v>
      </c>
      <c r="AC179" s="15">
        <v>0</v>
      </c>
      <c r="AD179" s="15">
        <v>1</v>
      </c>
      <c r="AE179" s="15">
        <v>0</v>
      </c>
      <c r="AF179" s="13">
        <f t="shared" si="13"/>
        <v>2</v>
      </c>
      <c r="AG179" s="5"/>
      <c r="AH179" s="5"/>
    </row>
    <row r="180" spans="1:34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3">
        <f t="shared" si="13"/>
        <v>0</v>
      </c>
      <c r="AG180" s="5"/>
      <c r="AH180" s="5"/>
    </row>
    <row r="181" spans="1:34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AE181" si="31">SUM(E177:E180)</f>
        <v>0</v>
      </c>
      <c r="F181" s="34">
        <f t="shared" si="31"/>
        <v>0</v>
      </c>
      <c r="G181" s="34">
        <f t="shared" si="31"/>
        <v>0</v>
      </c>
      <c r="H181" s="34">
        <f t="shared" si="31"/>
        <v>0</v>
      </c>
      <c r="I181" s="34">
        <f t="shared" si="31"/>
        <v>0</v>
      </c>
      <c r="J181" s="34">
        <f t="shared" si="31"/>
        <v>0</v>
      </c>
      <c r="K181" s="34">
        <f t="shared" si="31"/>
        <v>1</v>
      </c>
      <c r="L181" s="34">
        <f t="shared" si="31"/>
        <v>0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0</v>
      </c>
      <c r="Q181" s="34">
        <f t="shared" si="31"/>
        <v>0</v>
      </c>
      <c r="R181" s="34">
        <f t="shared" si="31"/>
        <v>0</v>
      </c>
      <c r="S181" s="34">
        <f t="shared" si="31"/>
        <v>0</v>
      </c>
      <c r="T181" s="34">
        <f t="shared" si="31"/>
        <v>1</v>
      </c>
      <c r="U181" s="34">
        <f t="shared" si="31"/>
        <v>1</v>
      </c>
      <c r="V181" s="34">
        <f t="shared" si="31"/>
        <v>1</v>
      </c>
      <c r="W181" s="34">
        <f t="shared" si="31"/>
        <v>0</v>
      </c>
      <c r="X181" s="34">
        <f t="shared" si="31"/>
        <v>1</v>
      </c>
      <c r="Y181" s="34">
        <f t="shared" si="31"/>
        <v>0</v>
      </c>
      <c r="Z181" s="34">
        <f t="shared" si="31"/>
        <v>0</v>
      </c>
      <c r="AA181" s="34">
        <f t="shared" si="31"/>
        <v>0</v>
      </c>
      <c r="AB181" s="34">
        <f t="shared" si="31"/>
        <v>0</v>
      </c>
      <c r="AC181" s="34">
        <f t="shared" si="31"/>
        <v>0</v>
      </c>
      <c r="AD181" s="34">
        <f t="shared" si="31"/>
        <v>1</v>
      </c>
      <c r="AE181" s="34">
        <f t="shared" si="31"/>
        <v>1</v>
      </c>
      <c r="AF181" s="13">
        <f t="shared" si="13"/>
        <v>7</v>
      </c>
      <c r="AG181" s="5"/>
      <c r="AH181" s="5"/>
    </row>
    <row r="182" spans="1:34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3">
        <f t="shared" si="13"/>
        <v>0</v>
      </c>
      <c r="AG182" s="5"/>
      <c r="AH182" s="5"/>
    </row>
    <row r="183" spans="1:34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>
        <f t="shared" si="13"/>
        <v>0</v>
      </c>
      <c r="AG183" s="5"/>
      <c r="AH183" s="5"/>
    </row>
    <row r="184" spans="1:34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210</v>
      </c>
      <c r="F184" s="15">
        <f t="shared" ref="F184:AF184" si="32">F53+F63+F73+F83+F93+F97+F101+F111+F115+F125+F129+F136+F146+F156+F161+F165+F175+F181</f>
        <v>189</v>
      </c>
      <c r="G184" s="15">
        <f t="shared" si="32"/>
        <v>190</v>
      </c>
      <c r="H184" s="15">
        <f t="shared" si="32"/>
        <v>173</v>
      </c>
      <c r="I184" s="15">
        <f t="shared" si="32"/>
        <v>177</v>
      </c>
      <c r="J184" s="15">
        <f t="shared" si="32"/>
        <v>201</v>
      </c>
      <c r="K184" s="15">
        <f t="shared" si="32"/>
        <v>174</v>
      </c>
      <c r="L184" s="15">
        <f t="shared" si="32"/>
        <v>197</v>
      </c>
      <c r="M184" s="15">
        <f t="shared" si="32"/>
        <v>224</v>
      </c>
      <c r="N184" s="15">
        <f t="shared" si="32"/>
        <v>195</v>
      </c>
      <c r="O184" s="15">
        <f t="shared" si="32"/>
        <v>179</v>
      </c>
      <c r="P184" s="15">
        <f t="shared" si="32"/>
        <v>225</v>
      </c>
      <c r="Q184" s="15">
        <f t="shared" si="32"/>
        <v>214</v>
      </c>
      <c r="R184" s="15">
        <f t="shared" si="32"/>
        <v>236</v>
      </c>
      <c r="S184" s="15">
        <f t="shared" si="32"/>
        <v>222</v>
      </c>
      <c r="T184" s="15">
        <f t="shared" si="32"/>
        <v>192</v>
      </c>
      <c r="U184" s="15">
        <f t="shared" si="32"/>
        <v>200</v>
      </c>
      <c r="V184" s="15">
        <f t="shared" si="32"/>
        <v>212</v>
      </c>
      <c r="W184" s="15">
        <f t="shared" si="32"/>
        <v>176</v>
      </c>
      <c r="X184" s="15">
        <f t="shared" si="32"/>
        <v>210</v>
      </c>
      <c r="Y184" s="15">
        <f t="shared" si="32"/>
        <v>208</v>
      </c>
      <c r="Z184" s="15">
        <f t="shared" si="32"/>
        <v>212</v>
      </c>
      <c r="AA184" s="15">
        <f t="shared" si="32"/>
        <v>188</v>
      </c>
      <c r="AB184" s="15">
        <f t="shared" si="32"/>
        <v>208</v>
      </c>
      <c r="AC184" s="15">
        <f t="shared" si="32"/>
        <v>218</v>
      </c>
      <c r="AD184" s="15">
        <f t="shared" si="32"/>
        <v>137</v>
      </c>
      <c r="AE184" s="15">
        <f t="shared" si="32"/>
        <v>135</v>
      </c>
      <c r="AF184" s="15">
        <f t="shared" si="32"/>
        <v>5302</v>
      </c>
      <c r="AG184" s="5"/>
      <c r="AH184" s="5"/>
    </row>
    <row r="185" spans="1:34" ht="12.75" customHeight="1" x14ac:dyDescent="0.3">
      <c r="A185" s="21"/>
      <c r="B185" s="42" t="s">
        <v>159</v>
      </c>
      <c r="C185" s="52" t="s">
        <v>160</v>
      </c>
      <c r="D185" s="50"/>
      <c r="E185" s="15">
        <v>6</v>
      </c>
      <c r="F185" s="15">
        <v>9</v>
      </c>
      <c r="G185" s="15">
        <v>6</v>
      </c>
      <c r="H185" s="15">
        <v>12</v>
      </c>
      <c r="I185" s="15">
        <v>7</v>
      </c>
      <c r="J185" s="15">
        <v>5</v>
      </c>
      <c r="K185" s="15">
        <v>4</v>
      </c>
      <c r="L185" s="15">
        <v>11</v>
      </c>
      <c r="M185" s="15">
        <v>6</v>
      </c>
      <c r="N185" s="15">
        <v>8</v>
      </c>
      <c r="O185" s="15">
        <v>7</v>
      </c>
      <c r="P185" s="15">
        <v>15</v>
      </c>
      <c r="Q185" s="15">
        <v>13</v>
      </c>
      <c r="R185" s="15">
        <v>16</v>
      </c>
      <c r="S185" s="15">
        <v>14</v>
      </c>
      <c r="T185" s="15">
        <v>9</v>
      </c>
      <c r="U185" s="15">
        <v>17</v>
      </c>
      <c r="V185" s="15">
        <v>9</v>
      </c>
      <c r="W185" s="15">
        <v>20</v>
      </c>
      <c r="X185" s="15">
        <v>11</v>
      </c>
      <c r="Y185" s="15">
        <v>15</v>
      </c>
      <c r="Z185" s="15">
        <v>13</v>
      </c>
      <c r="AA185" s="15">
        <v>1</v>
      </c>
      <c r="AB185" s="15">
        <v>3</v>
      </c>
      <c r="AC185" s="15">
        <v>13</v>
      </c>
      <c r="AD185" s="15">
        <v>3</v>
      </c>
      <c r="AE185" s="15">
        <v>5</v>
      </c>
      <c r="AF185" s="13">
        <f t="shared" si="13"/>
        <v>258</v>
      </c>
      <c r="AG185" s="5"/>
      <c r="AH185" s="5"/>
    </row>
    <row r="186" spans="1:34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AE186" si="33">SUM(E184:E185)</f>
        <v>216</v>
      </c>
      <c r="F186" s="13">
        <f t="shared" si="33"/>
        <v>198</v>
      </c>
      <c r="G186" s="13">
        <f t="shared" si="33"/>
        <v>196</v>
      </c>
      <c r="H186" s="13">
        <f t="shared" si="33"/>
        <v>185</v>
      </c>
      <c r="I186" s="13">
        <f t="shared" si="33"/>
        <v>184</v>
      </c>
      <c r="J186" s="13">
        <f t="shared" si="33"/>
        <v>206</v>
      </c>
      <c r="K186" s="13">
        <f t="shared" si="33"/>
        <v>178</v>
      </c>
      <c r="L186" s="13">
        <f t="shared" si="33"/>
        <v>208</v>
      </c>
      <c r="M186" s="13">
        <f t="shared" si="33"/>
        <v>230</v>
      </c>
      <c r="N186" s="13">
        <f t="shared" si="33"/>
        <v>203</v>
      </c>
      <c r="O186" s="13">
        <f t="shared" si="33"/>
        <v>186</v>
      </c>
      <c r="P186" s="13">
        <f t="shared" si="33"/>
        <v>240</v>
      </c>
      <c r="Q186" s="13">
        <f t="shared" si="33"/>
        <v>227</v>
      </c>
      <c r="R186" s="13">
        <f t="shared" si="33"/>
        <v>252</v>
      </c>
      <c r="S186" s="13">
        <f t="shared" si="33"/>
        <v>236</v>
      </c>
      <c r="T186" s="13">
        <f t="shared" si="33"/>
        <v>201</v>
      </c>
      <c r="U186" s="13">
        <f t="shared" si="33"/>
        <v>217</v>
      </c>
      <c r="V186" s="13">
        <f t="shared" si="33"/>
        <v>221</v>
      </c>
      <c r="W186" s="13">
        <f t="shared" si="33"/>
        <v>196</v>
      </c>
      <c r="X186" s="13">
        <f t="shared" si="33"/>
        <v>221</v>
      </c>
      <c r="Y186" s="13">
        <f t="shared" si="33"/>
        <v>223</v>
      </c>
      <c r="Z186" s="13">
        <f t="shared" si="33"/>
        <v>225</v>
      </c>
      <c r="AA186" s="13">
        <f t="shared" si="33"/>
        <v>189</v>
      </c>
      <c r="AB186" s="13">
        <f t="shared" si="33"/>
        <v>211</v>
      </c>
      <c r="AC186" s="13">
        <f t="shared" si="33"/>
        <v>231</v>
      </c>
      <c r="AD186" s="13">
        <f t="shared" si="33"/>
        <v>140</v>
      </c>
      <c r="AE186" s="13">
        <f t="shared" si="33"/>
        <v>140</v>
      </c>
      <c r="AF186" s="13">
        <f t="shared" si="13"/>
        <v>5560</v>
      </c>
      <c r="AG186" s="5"/>
      <c r="AH186" s="5"/>
    </row>
    <row r="187" spans="1:34" ht="12.75" customHeight="1" x14ac:dyDescent="0.3"/>
    <row r="188" spans="1:34" ht="12.75" customHeight="1" x14ac:dyDescent="0.3"/>
    <row r="189" spans="1:34" ht="12.75" customHeight="1" x14ac:dyDescent="0.3"/>
    <row r="190" spans="1:34" ht="12.75" customHeight="1" x14ac:dyDescent="0.3"/>
    <row r="191" spans="1:34" ht="12.75" customHeight="1" x14ac:dyDescent="0.3"/>
    <row r="192" spans="1:34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E12"/>
    <mergeCell ref="AF12:AF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130" priority="2">
      <formula>E34&lt;&gt;E64</formula>
    </cfRule>
  </conditionalFormatting>
  <conditionalFormatting sqref="E14:AE15">
    <cfRule type="containsBlanks" dxfId="129" priority="3">
      <formula>LEN(TRIM(E14))=0</formula>
    </cfRule>
  </conditionalFormatting>
  <conditionalFormatting sqref="E19:AE20">
    <cfRule type="containsBlanks" dxfId="128" priority="4">
      <formula>LEN(TRIM(E19))=0</formula>
    </cfRule>
  </conditionalFormatting>
  <conditionalFormatting sqref="E22:AE23 E25:AE26 E33:AE33 E35:AE35 E39:AE40">
    <cfRule type="containsBlanks" dxfId="127" priority="5">
      <formula>LEN(TRIM(E22))=0</formula>
    </cfRule>
  </conditionalFormatting>
  <conditionalFormatting sqref="E30:AE30">
    <cfRule type="expression" dxfId="126" priority="6">
      <formula>E30&lt;&gt;E47</formula>
    </cfRule>
    <cfRule type="expression" dxfId="125" priority="7">
      <formula>E30&lt;&gt;E34</formula>
    </cfRule>
  </conditionalFormatting>
  <conditionalFormatting sqref="E34:AE34">
    <cfRule type="expression" dxfId="124" priority="8">
      <formula>E30&lt;&gt;E34</formula>
    </cfRule>
    <cfRule type="expression" dxfId="123" priority="9">
      <formula>E30=E34</formula>
    </cfRule>
    <cfRule type="expression" dxfId="122" priority="10">
      <formula>E34&lt;&gt;E30</formula>
    </cfRule>
  </conditionalFormatting>
  <conditionalFormatting sqref="E45:AE52">
    <cfRule type="containsBlanks" dxfId="121" priority="12">
      <formula>LEN(TRIM(E45))=0</formula>
    </cfRule>
  </conditionalFormatting>
  <conditionalFormatting sqref="E55:AE62">
    <cfRule type="containsBlanks" dxfId="120" priority="13">
      <formula>LEN(TRIM(E55))=0</formula>
    </cfRule>
  </conditionalFormatting>
  <conditionalFormatting sqref="E65:AE72">
    <cfRule type="containsBlanks" dxfId="119" priority="14">
      <formula>LEN(TRIM(E65))=0</formula>
    </cfRule>
  </conditionalFormatting>
  <conditionalFormatting sqref="E75:AE82">
    <cfRule type="containsBlanks" dxfId="118" priority="15">
      <formula>LEN(TRIM(E75))=0</formula>
    </cfRule>
  </conditionalFormatting>
  <conditionalFormatting sqref="E85:AE92">
    <cfRule type="containsBlanks" dxfId="117" priority="16">
      <formula>LEN(TRIM(E85))=0</formula>
    </cfRule>
  </conditionalFormatting>
  <conditionalFormatting sqref="E95:AE96">
    <cfRule type="containsBlanks" dxfId="116" priority="17">
      <formula>LEN(TRIM(E95))=0</formula>
    </cfRule>
  </conditionalFormatting>
  <conditionalFormatting sqref="E99:AE100">
    <cfRule type="containsBlanks" dxfId="115" priority="18">
      <formula>LEN(TRIM(E99))=0</formula>
    </cfRule>
  </conditionalFormatting>
  <conditionalFormatting sqref="E103:AE110">
    <cfRule type="containsBlanks" dxfId="114" priority="19">
      <formula>LEN(TRIM(E103))=0</formula>
    </cfRule>
  </conditionalFormatting>
  <conditionalFormatting sqref="E113:AE114">
    <cfRule type="containsBlanks" dxfId="113" priority="20">
      <formula>LEN(TRIM(E113))=0</formula>
    </cfRule>
  </conditionalFormatting>
  <conditionalFormatting sqref="E117:AE124">
    <cfRule type="containsBlanks" dxfId="112" priority="21">
      <formula>LEN(TRIM(E117))=0</formula>
    </cfRule>
  </conditionalFormatting>
  <conditionalFormatting sqref="E127:AE128">
    <cfRule type="containsBlanks" dxfId="111" priority="22">
      <formula>LEN(TRIM(E127))=0</formula>
    </cfRule>
  </conditionalFormatting>
  <conditionalFormatting sqref="E131:AE135">
    <cfRule type="containsBlanks" dxfId="110" priority="23">
      <formula>LEN(TRIM(E131))=0</formula>
    </cfRule>
  </conditionalFormatting>
  <conditionalFormatting sqref="E138:AE145">
    <cfRule type="containsBlanks" dxfId="109" priority="24">
      <formula>LEN(TRIM(E138))=0</formula>
    </cfRule>
  </conditionalFormatting>
  <conditionalFormatting sqref="E148:AE155">
    <cfRule type="containsBlanks" dxfId="108" priority="25">
      <formula>LEN(TRIM(E148))=0</formula>
    </cfRule>
  </conditionalFormatting>
  <conditionalFormatting sqref="E158:AE160">
    <cfRule type="containsBlanks" dxfId="107" priority="26">
      <formula>LEN(TRIM(E158))=0</formula>
    </cfRule>
  </conditionalFormatting>
  <conditionalFormatting sqref="E163:AE164">
    <cfRule type="containsBlanks" dxfId="106" priority="27">
      <formula>LEN(TRIM(E163))=0</formula>
    </cfRule>
  </conditionalFormatting>
  <conditionalFormatting sqref="E167:AE174">
    <cfRule type="containsBlanks" dxfId="105" priority="28">
      <formula>LEN(TRIM(E167))=0</formula>
    </cfRule>
  </conditionalFormatting>
  <conditionalFormatting sqref="E177:AE180">
    <cfRule type="containsBlanks" dxfId="104" priority="29">
      <formula>LEN(TRIM(E177))=0</formula>
    </cfRule>
  </conditionalFormatting>
  <conditionalFormatting sqref="E185:AE185">
    <cfRule type="containsBlanks" dxfId="103" priority="30">
      <formula>LEN(TRIM(E185))=0</formula>
    </cfRule>
  </conditionalFormatting>
  <conditionalFormatting sqref="E186:AE186">
    <cfRule type="expression" dxfId="102" priority="33">
      <formula>#REF!=E186</formula>
    </cfRule>
    <cfRule type="expression" dxfId="101" priority="31">
      <formula>E186&lt;&gt;#REF!</formula>
    </cfRule>
    <cfRule type="expression" dxfId="100" priority="32">
      <formula>#REF!&lt;&gt;E186</formula>
    </cfRule>
  </conditionalFormatting>
  <conditionalFormatting sqref="E184:AF184">
    <cfRule type="containsBlanks" dxfId="99" priority="1">
      <formula>LEN(TRIM(E184))=0</formula>
    </cfRule>
  </conditionalFormatting>
  <conditionalFormatting sqref="U34:AE34">
    <cfRule type="expression" dxfId="98" priority="11">
      <formula>U34&lt;&gt;U47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H922"/>
  <sheetViews>
    <sheetView topLeftCell="O109" workbookViewId="0">
      <selection activeCell="E184" sqref="E184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31" width="8.69921875" customWidth="1"/>
    <col min="32" max="32" width="13.296875" customWidth="1"/>
    <col min="33" max="34" width="8.69921875" customWidth="1"/>
  </cols>
  <sheetData>
    <row r="1" spans="1:32" ht="12.75" customHeight="1" x14ac:dyDescent="0.3"/>
    <row r="2" spans="1:32" ht="12.75" customHeight="1" x14ac:dyDescent="0.3">
      <c r="C2" s="8" t="s">
        <v>0</v>
      </c>
      <c r="D2" s="8" t="s">
        <v>1</v>
      </c>
    </row>
    <row r="3" spans="1:32" ht="12.75" customHeight="1" x14ac:dyDescent="0.3">
      <c r="C3" s="8" t="s">
        <v>2</v>
      </c>
      <c r="D3" s="8" t="s">
        <v>3</v>
      </c>
    </row>
    <row r="4" spans="1:32" ht="12.75" customHeight="1" x14ac:dyDescent="0.3">
      <c r="C4" s="8" t="s">
        <v>4</v>
      </c>
      <c r="D4" s="8" t="s">
        <v>5</v>
      </c>
    </row>
    <row r="5" spans="1:32" ht="12.75" customHeight="1" x14ac:dyDescent="0.3">
      <c r="C5" s="8"/>
      <c r="D5" s="8"/>
    </row>
    <row r="6" spans="1:32" ht="12.75" customHeight="1" x14ac:dyDescent="0.3">
      <c r="C6" s="8"/>
      <c r="D6" s="8"/>
    </row>
    <row r="7" spans="1:32" ht="12.75" customHeight="1" x14ac:dyDescent="0.3">
      <c r="C7" s="8"/>
      <c r="D7" s="8"/>
    </row>
    <row r="8" spans="1:32" ht="12.75" customHeight="1" x14ac:dyDescent="0.3">
      <c r="C8" s="8"/>
      <c r="D8" s="8"/>
    </row>
    <row r="9" spans="1:32" ht="12.75" customHeight="1" x14ac:dyDescent="0.3">
      <c r="C9" s="8" t="s">
        <v>163</v>
      </c>
      <c r="D9" s="8" t="s">
        <v>196</v>
      </c>
    </row>
    <row r="10" spans="1:32" ht="12.75" customHeight="1" x14ac:dyDescent="0.3"/>
    <row r="11" spans="1:32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2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75" t="s">
        <v>8</v>
      </c>
    </row>
    <row r="13" spans="1:32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13" t="s">
        <v>187</v>
      </c>
      <c r="AC13" s="13" t="s">
        <v>188</v>
      </c>
      <c r="AD13" s="13" t="s">
        <v>189</v>
      </c>
      <c r="AE13" s="13" t="s">
        <v>190</v>
      </c>
      <c r="AF13" s="65"/>
    </row>
    <row r="14" spans="1:32" ht="12.75" customHeight="1" x14ac:dyDescent="0.3">
      <c r="A14" s="14"/>
      <c r="B14" s="57" t="s">
        <v>11</v>
      </c>
      <c r="C14" s="58"/>
      <c r="D14" s="15" t="s">
        <v>12</v>
      </c>
      <c r="E14" s="15">
        <v>154</v>
      </c>
      <c r="F14" s="15">
        <v>144</v>
      </c>
      <c r="G14" s="15">
        <v>142</v>
      </c>
      <c r="H14" s="15">
        <v>113</v>
      </c>
      <c r="I14" s="15">
        <v>124</v>
      </c>
      <c r="J14" s="15">
        <v>132</v>
      </c>
      <c r="K14" s="15">
        <v>113</v>
      </c>
      <c r="L14" s="15">
        <v>131</v>
      </c>
      <c r="M14" s="15">
        <v>131</v>
      </c>
      <c r="N14" s="15">
        <v>116</v>
      </c>
      <c r="O14" s="15">
        <v>138</v>
      </c>
      <c r="P14" s="15">
        <v>130</v>
      </c>
      <c r="Q14" s="15">
        <v>147</v>
      </c>
      <c r="R14" s="15">
        <v>152</v>
      </c>
      <c r="S14" s="15">
        <v>146</v>
      </c>
      <c r="T14" s="15">
        <v>121</v>
      </c>
      <c r="U14" s="15">
        <v>142</v>
      </c>
      <c r="V14" s="15">
        <v>144</v>
      </c>
      <c r="W14" s="15">
        <v>120</v>
      </c>
      <c r="X14" s="15">
        <v>113</v>
      </c>
      <c r="Y14" s="15">
        <v>139</v>
      </c>
      <c r="Z14" s="15">
        <v>129</v>
      </c>
      <c r="AA14" s="15">
        <v>138</v>
      </c>
      <c r="AB14" s="15">
        <v>150</v>
      </c>
      <c r="AC14" s="15">
        <v>136</v>
      </c>
      <c r="AD14" s="15">
        <v>131</v>
      </c>
      <c r="AE14" s="15">
        <v>137</v>
      </c>
      <c r="AF14" s="13">
        <f>SUM(E14:AE14)</f>
        <v>3613</v>
      </c>
    </row>
    <row r="15" spans="1:32" ht="12.75" customHeight="1" x14ac:dyDescent="0.3">
      <c r="A15" s="14"/>
      <c r="B15" s="59"/>
      <c r="C15" s="60"/>
      <c r="D15" s="15" t="s">
        <v>13</v>
      </c>
      <c r="E15" s="15">
        <v>141</v>
      </c>
      <c r="F15" s="15">
        <v>136</v>
      </c>
      <c r="G15" s="15">
        <v>135</v>
      </c>
      <c r="H15" s="15">
        <v>116</v>
      </c>
      <c r="I15" s="15">
        <v>108</v>
      </c>
      <c r="J15" s="15">
        <v>134</v>
      </c>
      <c r="K15" s="15">
        <v>125</v>
      </c>
      <c r="L15" s="15">
        <v>148</v>
      </c>
      <c r="M15" s="15">
        <v>149</v>
      </c>
      <c r="N15" s="15">
        <v>115</v>
      </c>
      <c r="O15" s="15">
        <v>124</v>
      </c>
      <c r="P15" s="15">
        <v>132</v>
      </c>
      <c r="Q15" s="15">
        <v>139</v>
      </c>
      <c r="R15" s="15">
        <v>131</v>
      </c>
      <c r="S15" s="15">
        <v>138</v>
      </c>
      <c r="T15" s="15">
        <v>114</v>
      </c>
      <c r="U15" s="15">
        <v>139</v>
      </c>
      <c r="V15" s="15">
        <v>132</v>
      </c>
      <c r="W15" s="15">
        <v>118</v>
      </c>
      <c r="X15" s="15">
        <v>126</v>
      </c>
      <c r="Y15" s="15">
        <v>138</v>
      </c>
      <c r="Z15" s="15">
        <v>125</v>
      </c>
      <c r="AA15" s="15">
        <v>141</v>
      </c>
      <c r="AB15" s="15">
        <v>129</v>
      </c>
      <c r="AC15" s="15">
        <v>146</v>
      </c>
      <c r="AD15" s="15">
        <v>125</v>
      </c>
      <c r="AE15" s="15">
        <v>146</v>
      </c>
      <c r="AF15" s="13">
        <f t="shared" ref="AF15:AF16" si="0">SUM(E15:AE15)</f>
        <v>3550</v>
      </c>
    </row>
    <row r="16" spans="1:32" ht="12.75" customHeight="1" x14ac:dyDescent="0.3">
      <c r="A16" s="17"/>
      <c r="B16" s="55"/>
      <c r="C16" s="61"/>
      <c r="D16" s="13" t="s">
        <v>14</v>
      </c>
      <c r="E16" s="13">
        <f t="shared" ref="E16:AE16" si="1">SUM(E14:E15)</f>
        <v>295</v>
      </c>
      <c r="F16" s="13">
        <f t="shared" si="1"/>
        <v>280</v>
      </c>
      <c r="G16" s="13">
        <f t="shared" si="1"/>
        <v>277</v>
      </c>
      <c r="H16" s="13">
        <f t="shared" si="1"/>
        <v>229</v>
      </c>
      <c r="I16" s="13">
        <f t="shared" si="1"/>
        <v>232</v>
      </c>
      <c r="J16" s="13">
        <f t="shared" si="1"/>
        <v>266</v>
      </c>
      <c r="K16" s="13">
        <f t="shared" si="1"/>
        <v>238</v>
      </c>
      <c r="L16" s="13">
        <f t="shared" si="1"/>
        <v>279</v>
      </c>
      <c r="M16" s="13">
        <f t="shared" si="1"/>
        <v>280</v>
      </c>
      <c r="N16" s="13">
        <f t="shared" si="1"/>
        <v>231</v>
      </c>
      <c r="O16" s="13">
        <f t="shared" si="1"/>
        <v>262</v>
      </c>
      <c r="P16" s="13">
        <f t="shared" si="1"/>
        <v>262</v>
      </c>
      <c r="Q16" s="13">
        <f t="shared" si="1"/>
        <v>286</v>
      </c>
      <c r="R16" s="13">
        <f t="shared" si="1"/>
        <v>283</v>
      </c>
      <c r="S16" s="13">
        <f t="shared" si="1"/>
        <v>284</v>
      </c>
      <c r="T16" s="13">
        <f t="shared" si="1"/>
        <v>235</v>
      </c>
      <c r="U16" s="13">
        <f t="shared" si="1"/>
        <v>281</v>
      </c>
      <c r="V16" s="13">
        <f t="shared" si="1"/>
        <v>276</v>
      </c>
      <c r="W16" s="13">
        <f t="shared" si="1"/>
        <v>238</v>
      </c>
      <c r="X16" s="13">
        <f t="shared" si="1"/>
        <v>239</v>
      </c>
      <c r="Y16" s="13">
        <f t="shared" si="1"/>
        <v>277</v>
      </c>
      <c r="Z16" s="13">
        <f t="shared" si="1"/>
        <v>254</v>
      </c>
      <c r="AA16" s="13">
        <f t="shared" si="1"/>
        <v>279</v>
      </c>
      <c r="AB16" s="13">
        <f t="shared" si="1"/>
        <v>279</v>
      </c>
      <c r="AC16" s="13">
        <f t="shared" si="1"/>
        <v>282</v>
      </c>
      <c r="AD16" s="13">
        <f t="shared" si="1"/>
        <v>256</v>
      </c>
      <c r="AE16" s="13">
        <f t="shared" si="1"/>
        <v>283</v>
      </c>
      <c r="AF16" s="13">
        <f t="shared" si="0"/>
        <v>7163</v>
      </c>
    </row>
    <row r="17" spans="1:32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6"/>
    </row>
    <row r="18" spans="1:32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6"/>
    </row>
    <row r="19" spans="1:32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130</v>
      </c>
      <c r="F19" s="15">
        <v>127</v>
      </c>
      <c r="G19" s="15">
        <v>99</v>
      </c>
      <c r="H19" s="15">
        <v>92</v>
      </c>
      <c r="I19" s="15">
        <v>98</v>
      </c>
      <c r="J19" s="15">
        <v>107</v>
      </c>
      <c r="K19" s="15">
        <v>89</v>
      </c>
      <c r="L19" s="15">
        <v>92</v>
      </c>
      <c r="M19" s="15">
        <v>94</v>
      </c>
      <c r="N19" s="15">
        <v>79</v>
      </c>
      <c r="O19" s="15">
        <v>104</v>
      </c>
      <c r="P19" s="15">
        <v>95</v>
      </c>
      <c r="Q19" s="15">
        <v>110</v>
      </c>
      <c r="R19" s="15">
        <v>105</v>
      </c>
      <c r="S19" s="15">
        <v>99</v>
      </c>
      <c r="T19" s="15">
        <v>83</v>
      </c>
      <c r="U19" s="15">
        <v>98</v>
      </c>
      <c r="V19" s="15">
        <v>102</v>
      </c>
      <c r="W19" s="15">
        <v>102</v>
      </c>
      <c r="X19" s="15">
        <v>88</v>
      </c>
      <c r="Y19" s="15">
        <v>103</v>
      </c>
      <c r="Z19" s="15">
        <v>102</v>
      </c>
      <c r="AA19" s="15">
        <v>114</v>
      </c>
      <c r="AB19" s="15">
        <v>104</v>
      </c>
      <c r="AC19" s="15">
        <v>103</v>
      </c>
      <c r="AD19" s="15">
        <v>109</v>
      </c>
      <c r="AE19" s="15">
        <v>105</v>
      </c>
      <c r="AF19" s="13">
        <f t="shared" ref="AF19:AF30" si="2">SUM(E19:AE19)</f>
        <v>2733</v>
      </c>
    </row>
    <row r="20" spans="1:32" ht="12.75" customHeight="1" x14ac:dyDescent="0.3">
      <c r="A20" s="20"/>
      <c r="B20" s="60"/>
      <c r="C20" s="64"/>
      <c r="D20" s="15" t="s">
        <v>13</v>
      </c>
      <c r="E20" s="15">
        <v>112</v>
      </c>
      <c r="F20" s="15">
        <v>109</v>
      </c>
      <c r="G20" s="15">
        <v>115</v>
      </c>
      <c r="H20" s="15">
        <v>90</v>
      </c>
      <c r="I20" s="15">
        <v>89</v>
      </c>
      <c r="J20" s="15">
        <v>108</v>
      </c>
      <c r="K20" s="15">
        <v>101</v>
      </c>
      <c r="L20" s="15">
        <v>123</v>
      </c>
      <c r="M20" s="15">
        <v>121</v>
      </c>
      <c r="N20" s="15">
        <v>91</v>
      </c>
      <c r="O20" s="15">
        <v>95</v>
      </c>
      <c r="P20" s="15">
        <v>95</v>
      </c>
      <c r="Q20" s="15">
        <v>111</v>
      </c>
      <c r="R20" s="15">
        <v>100</v>
      </c>
      <c r="S20" s="15">
        <v>101</v>
      </c>
      <c r="T20" s="15">
        <v>81</v>
      </c>
      <c r="U20" s="15">
        <v>102</v>
      </c>
      <c r="V20" s="15">
        <v>92</v>
      </c>
      <c r="W20" s="15">
        <v>97</v>
      </c>
      <c r="X20" s="15">
        <v>94</v>
      </c>
      <c r="Y20" s="15">
        <v>110</v>
      </c>
      <c r="Z20" s="15">
        <v>103</v>
      </c>
      <c r="AA20" s="15">
        <v>121</v>
      </c>
      <c r="AB20" s="15">
        <v>107</v>
      </c>
      <c r="AC20" s="15">
        <v>119</v>
      </c>
      <c r="AD20" s="15">
        <v>105</v>
      </c>
      <c r="AE20" s="15">
        <v>108</v>
      </c>
      <c r="AF20" s="13">
        <f t="shared" si="2"/>
        <v>2800</v>
      </c>
    </row>
    <row r="21" spans="1:32" ht="12.75" customHeight="1" x14ac:dyDescent="0.3">
      <c r="A21" s="21"/>
      <c r="B21" s="61"/>
      <c r="C21" s="65"/>
      <c r="D21" s="13" t="s">
        <v>14</v>
      </c>
      <c r="E21" s="13">
        <f t="shared" ref="E21:AE21" si="3">SUM(E19:E20)</f>
        <v>242</v>
      </c>
      <c r="F21" s="13">
        <f t="shared" si="3"/>
        <v>236</v>
      </c>
      <c r="G21" s="13">
        <f t="shared" si="3"/>
        <v>214</v>
      </c>
      <c r="H21" s="13">
        <f t="shared" si="3"/>
        <v>182</v>
      </c>
      <c r="I21" s="13">
        <f t="shared" si="3"/>
        <v>187</v>
      </c>
      <c r="J21" s="13">
        <f t="shared" si="3"/>
        <v>215</v>
      </c>
      <c r="K21" s="13">
        <f t="shared" si="3"/>
        <v>190</v>
      </c>
      <c r="L21" s="13">
        <f t="shared" si="3"/>
        <v>215</v>
      </c>
      <c r="M21" s="13">
        <f t="shared" si="3"/>
        <v>215</v>
      </c>
      <c r="N21" s="13">
        <f t="shared" si="3"/>
        <v>170</v>
      </c>
      <c r="O21" s="13">
        <f t="shared" si="3"/>
        <v>199</v>
      </c>
      <c r="P21" s="13">
        <f t="shared" si="3"/>
        <v>190</v>
      </c>
      <c r="Q21" s="13">
        <f t="shared" si="3"/>
        <v>221</v>
      </c>
      <c r="R21" s="13">
        <f t="shared" si="3"/>
        <v>205</v>
      </c>
      <c r="S21" s="13">
        <f t="shared" si="3"/>
        <v>200</v>
      </c>
      <c r="T21" s="13">
        <f t="shared" si="3"/>
        <v>164</v>
      </c>
      <c r="U21" s="13">
        <f t="shared" si="3"/>
        <v>200</v>
      </c>
      <c r="V21" s="13">
        <f t="shared" si="3"/>
        <v>194</v>
      </c>
      <c r="W21" s="13">
        <f t="shared" si="3"/>
        <v>199</v>
      </c>
      <c r="X21" s="13">
        <f t="shared" si="3"/>
        <v>182</v>
      </c>
      <c r="Y21" s="13">
        <f t="shared" si="3"/>
        <v>213</v>
      </c>
      <c r="Z21" s="13">
        <f t="shared" si="3"/>
        <v>205</v>
      </c>
      <c r="AA21" s="13">
        <f t="shared" si="3"/>
        <v>235</v>
      </c>
      <c r="AB21" s="13">
        <f t="shared" si="3"/>
        <v>211</v>
      </c>
      <c r="AC21" s="13">
        <f t="shared" si="3"/>
        <v>222</v>
      </c>
      <c r="AD21" s="13">
        <f t="shared" si="3"/>
        <v>214</v>
      </c>
      <c r="AE21" s="13">
        <f t="shared" si="3"/>
        <v>213</v>
      </c>
      <c r="AF21" s="13">
        <f t="shared" si="2"/>
        <v>5533</v>
      </c>
    </row>
    <row r="22" spans="1:32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>
        <v>0</v>
      </c>
      <c r="F22" s="15">
        <v>1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3">
        <f t="shared" si="2"/>
        <v>1</v>
      </c>
    </row>
    <row r="23" spans="1:32" ht="12.75" customHeight="1" x14ac:dyDescent="0.3">
      <c r="A23" s="20"/>
      <c r="B23" s="60"/>
      <c r="C23" s="64"/>
      <c r="D23" s="15" t="s">
        <v>13</v>
      </c>
      <c r="E23" s="15">
        <v>0</v>
      </c>
      <c r="F23" s="15">
        <v>1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1</v>
      </c>
      <c r="AB23" s="15">
        <v>1</v>
      </c>
      <c r="AC23" s="15">
        <v>0</v>
      </c>
      <c r="AD23" s="15">
        <v>1</v>
      </c>
      <c r="AE23" s="15">
        <v>0</v>
      </c>
      <c r="AF23" s="13">
        <f t="shared" si="2"/>
        <v>4</v>
      </c>
    </row>
    <row r="24" spans="1:32" ht="12.75" customHeight="1" x14ac:dyDescent="0.3">
      <c r="A24" s="21"/>
      <c r="B24" s="61"/>
      <c r="C24" s="65"/>
      <c r="D24" s="13" t="s">
        <v>14</v>
      </c>
      <c r="E24" s="13">
        <f t="shared" ref="E24:AE24" si="4">SUM(E22:E23)</f>
        <v>0</v>
      </c>
      <c r="F24" s="13">
        <f t="shared" si="4"/>
        <v>2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1</v>
      </c>
      <c r="AB24" s="13">
        <f t="shared" si="4"/>
        <v>1</v>
      </c>
      <c r="AC24" s="13">
        <f t="shared" si="4"/>
        <v>0</v>
      </c>
      <c r="AD24" s="13">
        <f t="shared" si="4"/>
        <v>1</v>
      </c>
      <c r="AE24" s="13">
        <f t="shared" si="4"/>
        <v>0</v>
      </c>
      <c r="AF24" s="13">
        <f t="shared" si="2"/>
        <v>5</v>
      </c>
    </row>
    <row r="25" spans="1:32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0</v>
      </c>
      <c r="F25" s="15">
        <v>2</v>
      </c>
      <c r="G25" s="15">
        <v>2</v>
      </c>
      <c r="H25" s="15">
        <v>1</v>
      </c>
      <c r="I25" s="15">
        <v>0</v>
      </c>
      <c r="J25" s="15">
        <v>0</v>
      </c>
      <c r="K25" s="15">
        <v>2</v>
      </c>
      <c r="L25" s="15">
        <v>0</v>
      </c>
      <c r="M25" s="15">
        <v>0</v>
      </c>
      <c r="N25" s="15">
        <v>1</v>
      </c>
      <c r="O25" s="15">
        <v>3</v>
      </c>
      <c r="P25" s="15">
        <v>1</v>
      </c>
      <c r="Q25" s="15">
        <v>0</v>
      </c>
      <c r="R25" s="15">
        <v>0</v>
      </c>
      <c r="S25" s="15">
        <v>1</v>
      </c>
      <c r="T25" s="15">
        <v>2</v>
      </c>
      <c r="U25" s="15">
        <v>0</v>
      </c>
      <c r="V25" s="15">
        <v>0</v>
      </c>
      <c r="W25" s="15">
        <v>0</v>
      </c>
      <c r="X25" s="15">
        <v>0</v>
      </c>
      <c r="Y25" s="15">
        <v>1</v>
      </c>
      <c r="Z25" s="15">
        <v>2</v>
      </c>
      <c r="AA25" s="15">
        <v>0</v>
      </c>
      <c r="AB25" s="15">
        <v>0</v>
      </c>
      <c r="AC25" s="15">
        <v>1</v>
      </c>
      <c r="AD25" s="15">
        <v>0</v>
      </c>
      <c r="AE25" s="15">
        <v>0</v>
      </c>
      <c r="AF25" s="13">
        <f t="shared" si="2"/>
        <v>19</v>
      </c>
    </row>
    <row r="26" spans="1:32" ht="12.75" customHeight="1" x14ac:dyDescent="0.3">
      <c r="A26" s="20"/>
      <c r="B26" s="60"/>
      <c r="C26" s="64"/>
      <c r="D26" s="15" t="s">
        <v>13</v>
      </c>
      <c r="E26" s="15">
        <v>0</v>
      </c>
      <c r="F26" s="15">
        <v>3</v>
      </c>
      <c r="G26" s="15">
        <v>2</v>
      </c>
      <c r="H26" s="15">
        <v>4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1</v>
      </c>
      <c r="O26" s="15">
        <v>0</v>
      </c>
      <c r="P26" s="15">
        <v>0</v>
      </c>
      <c r="Q26" s="15">
        <v>0</v>
      </c>
      <c r="R26" s="15">
        <v>0</v>
      </c>
      <c r="S26" s="15">
        <v>1</v>
      </c>
      <c r="T26" s="15">
        <v>1</v>
      </c>
      <c r="U26" s="15">
        <v>0</v>
      </c>
      <c r="V26" s="15">
        <v>3</v>
      </c>
      <c r="W26" s="15">
        <v>1</v>
      </c>
      <c r="X26" s="15">
        <v>3</v>
      </c>
      <c r="Y26" s="15">
        <v>1</v>
      </c>
      <c r="Z26" s="15">
        <v>0</v>
      </c>
      <c r="AA26" s="15">
        <v>0</v>
      </c>
      <c r="AB26" s="15">
        <v>0</v>
      </c>
      <c r="AC26" s="15">
        <v>1</v>
      </c>
      <c r="AD26" s="15">
        <v>2</v>
      </c>
      <c r="AE26" s="15">
        <v>1</v>
      </c>
      <c r="AF26" s="13">
        <f t="shared" si="2"/>
        <v>24</v>
      </c>
    </row>
    <row r="27" spans="1:32" ht="12.75" customHeight="1" x14ac:dyDescent="0.3">
      <c r="A27" s="21"/>
      <c r="B27" s="61"/>
      <c r="C27" s="65"/>
      <c r="D27" s="13" t="s">
        <v>14</v>
      </c>
      <c r="E27" s="13">
        <f t="shared" ref="E27:AE27" si="5">SUM(E25:E26)</f>
        <v>0</v>
      </c>
      <c r="F27" s="13">
        <f t="shared" si="5"/>
        <v>5</v>
      </c>
      <c r="G27" s="13">
        <f t="shared" si="5"/>
        <v>4</v>
      </c>
      <c r="H27" s="13">
        <f t="shared" si="5"/>
        <v>5</v>
      </c>
      <c r="I27" s="13">
        <f t="shared" si="5"/>
        <v>0</v>
      </c>
      <c r="J27" s="13">
        <f t="shared" si="5"/>
        <v>0</v>
      </c>
      <c r="K27" s="13">
        <f t="shared" si="5"/>
        <v>2</v>
      </c>
      <c r="L27" s="13">
        <f t="shared" si="5"/>
        <v>0</v>
      </c>
      <c r="M27" s="13">
        <f t="shared" si="5"/>
        <v>0</v>
      </c>
      <c r="N27" s="13">
        <f t="shared" si="5"/>
        <v>2</v>
      </c>
      <c r="O27" s="13">
        <f t="shared" si="5"/>
        <v>3</v>
      </c>
      <c r="P27" s="13">
        <f t="shared" si="5"/>
        <v>1</v>
      </c>
      <c r="Q27" s="13">
        <f t="shared" si="5"/>
        <v>0</v>
      </c>
      <c r="R27" s="13">
        <f t="shared" si="5"/>
        <v>0</v>
      </c>
      <c r="S27" s="13">
        <f t="shared" si="5"/>
        <v>2</v>
      </c>
      <c r="T27" s="13">
        <f t="shared" si="5"/>
        <v>3</v>
      </c>
      <c r="U27" s="13">
        <f t="shared" si="5"/>
        <v>0</v>
      </c>
      <c r="V27" s="13">
        <f t="shared" si="5"/>
        <v>3</v>
      </c>
      <c r="W27" s="13">
        <f t="shared" si="5"/>
        <v>1</v>
      </c>
      <c r="X27" s="13">
        <f t="shared" si="5"/>
        <v>3</v>
      </c>
      <c r="Y27" s="13">
        <f t="shared" si="5"/>
        <v>2</v>
      </c>
      <c r="Z27" s="13">
        <f t="shared" si="5"/>
        <v>2</v>
      </c>
      <c r="AA27" s="13">
        <f t="shared" si="5"/>
        <v>0</v>
      </c>
      <c r="AB27" s="13">
        <f t="shared" si="5"/>
        <v>0</v>
      </c>
      <c r="AC27" s="13">
        <f t="shared" si="5"/>
        <v>2</v>
      </c>
      <c r="AD27" s="13">
        <f t="shared" si="5"/>
        <v>2</v>
      </c>
      <c r="AE27" s="13">
        <f t="shared" si="5"/>
        <v>1</v>
      </c>
      <c r="AF27" s="13">
        <f t="shared" si="2"/>
        <v>43</v>
      </c>
    </row>
    <row r="28" spans="1:32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E28" si="6">SUM(E19,E22,E25)</f>
        <v>130</v>
      </c>
      <c r="F28" s="13">
        <f t="shared" si="6"/>
        <v>130</v>
      </c>
      <c r="G28" s="13">
        <f t="shared" si="6"/>
        <v>101</v>
      </c>
      <c r="H28" s="13">
        <f t="shared" si="6"/>
        <v>93</v>
      </c>
      <c r="I28" s="13">
        <f t="shared" si="6"/>
        <v>98</v>
      </c>
      <c r="J28" s="13">
        <f t="shared" si="6"/>
        <v>107</v>
      </c>
      <c r="K28" s="13">
        <f t="shared" si="6"/>
        <v>91</v>
      </c>
      <c r="L28" s="13">
        <f t="shared" si="6"/>
        <v>92</v>
      </c>
      <c r="M28" s="13">
        <f t="shared" si="6"/>
        <v>94</v>
      </c>
      <c r="N28" s="13">
        <f t="shared" si="6"/>
        <v>80</v>
      </c>
      <c r="O28" s="13">
        <f t="shared" si="6"/>
        <v>107</v>
      </c>
      <c r="P28" s="13">
        <f t="shared" si="6"/>
        <v>96</v>
      </c>
      <c r="Q28" s="13">
        <f t="shared" si="6"/>
        <v>110</v>
      </c>
      <c r="R28" s="13">
        <f t="shared" si="6"/>
        <v>105</v>
      </c>
      <c r="S28" s="13">
        <f t="shared" si="6"/>
        <v>100</v>
      </c>
      <c r="T28" s="13">
        <f t="shared" si="6"/>
        <v>85</v>
      </c>
      <c r="U28" s="13">
        <f t="shared" si="6"/>
        <v>98</v>
      </c>
      <c r="V28" s="13">
        <f t="shared" si="6"/>
        <v>102</v>
      </c>
      <c r="W28" s="13">
        <f t="shared" si="6"/>
        <v>102</v>
      </c>
      <c r="X28" s="13">
        <f t="shared" si="6"/>
        <v>88</v>
      </c>
      <c r="Y28" s="13">
        <f t="shared" si="6"/>
        <v>104</v>
      </c>
      <c r="Z28" s="13">
        <f t="shared" si="6"/>
        <v>104</v>
      </c>
      <c r="AA28" s="13">
        <f t="shared" si="6"/>
        <v>114</v>
      </c>
      <c r="AB28" s="13">
        <f t="shared" si="6"/>
        <v>104</v>
      </c>
      <c r="AC28" s="13">
        <f t="shared" si="6"/>
        <v>104</v>
      </c>
      <c r="AD28" s="13">
        <f t="shared" si="6"/>
        <v>109</v>
      </c>
      <c r="AE28" s="13">
        <f t="shared" si="6"/>
        <v>105</v>
      </c>
      <c r="AF28" s="13">
        <f t="shared" si="2"/>
        <v>2753</v>
      </c>
    </row>
    <row r="29" spans="1:32" ht="12.75" customHeight="1" x14ac:dyDescent="0.3">
      <c r="A29" s="21"/>
      <c r="B29" s="60"/>
      <c r="C29" s="64"/>
      <c r="D29" s="13" t="s">
        <v>13</v>
      </c>
      <c r="E29" s="13">
        <f t="shared" ref="E29:AE29" si="7">SUM(E20,E23,E26)</f>
        <v>112</v>
      </c>
      <c r="F29" s="13">
        <f t="shared" si="7"/>
        <v>113</v>
      </c>
      <c r="G29" s="13">
        <f t="shared" si="7"/>
        <v>117</v>
      </c>
      <c r="H29" s="13">
        <f t="shared" si="7"/>
        <v>94</v>
      </c>
      <c r="I29" s="13">
        <f t="shared" si="7"/>
        <v>89</v>
      </c>
      <c r="J29" s="13">
        <f t="shared" si="7"/>
        <v>108</v>
      </c>
      <c r="K29" s="13">
        <f t="shared" si="7"/>
        <v>101</v>
      </c>
      <c r="L29" s="13">
        <f t="shared" si="7"/>
        <v>123</v>
      </c>
      <c r="M29" s="13">
        <f t="shared" si="7"/>
        <v>121</v>
      </c>
      <c r="N29" s="13">
        <f t="shared" si="7"/>
        <v>92</v>
      </c>
      <c r="O29" s="13">
        <f t="shared" si="7"/>
        <v>95</v>
      </c>
      <c r="P29" s="13">
        <f t="shared" si="7"/>
        <v>95</v>
      </c>
      <c r="Q29" s="13">
        <f t="shared" si="7"/>
        <v>111</v>
      </c>
      <c r="R29" s="13">
        <f t="shared" si="7"/>
        <v>100</v>
      </c>
      <c r="S29" s="13">
        <f t="shared" si="7"/>
        <v>102</v>
      </c>
      <c r="T29" s="13">
        <f t="shared" si="7"/>
        <v>82</v>
      </c>
      <c r="U29" s="13">
        <f t="shared" si="7"/>
        <v>102</v>
      </c>
      <c r="V29" s="13">
        <f t="shared" si="7"/>
        <v>95</v>
      </c>
      <c r="W29" s="13">
        <f t="shared" si="7"/>
        <v>98</v>
      </c>
      <c r="X29" s="13">
        <f t="shared" si="7"/>
        <v>97</v>
      </c>
      <c r="Y29" s="13">
        <f t="shared" si="7"/>
        <v>111</v>
      </c>
      <c r="Z29" s="13">
        <f t="shared" si="7"/>
        <v>103</v>
      </c>
      <c r="AA29" s="13">
        <f t="shared" si="7"/>
        <v>122</v>
      </c>
      <c r="AB29" s="13">
        <f t="shared" si="7"/>
        <v>108</v>
      </c>
      <c r="AC29" s="13">
        <f t="shared" si="7"/>
        <v>120</v>
      </c>
      <c r="AD29" s="13">
        <f t="shared" si="7"/>
        <v>108</v>
      </c>
      <c r="AE29" s="13">
        <f t="shared" si="7"/>
        <v>109</v>
      </c>
      <c r="AF29" s="13">
        <f t="shared" si="2"/>
        <v>2828</v>
      </c>
    </row>
    <row r="30" spans="1:32" ht="12.75" customHeight="1" x14ac:dyDescent="0.3">
      <c r="A30" s="21"/>
      <c r="B30" s="61"/>
      <c r="C30" s="65"/>
      <c r="D30" s="13" t="s">
        <v>14</v>
      </c>
      <c r="E30" s="13">
        <f t="shared" ref="E30:AE30" si="8">SUM(E28:E29)</f>
        <v>242</v>
      </c>
      <c r="F30" s="13">
        <f t="shared" si="8"/>
        <v>243</v>
      </c>
      <c r="G30" s="13">
        <f t="shared" si="8"/>
        <v>218</v>
      </c>
      <c r="H30" s="13">
        <f t="shared" si="8"/>
        <v>187</v>
      </c>
      <c r="I30" s="13">
        <f t="shared" si="8"/>
        <v>187</v>
      </c>
      <c r="J30" s="13">
        <f t="shared" si="8"/>
        <v>215</v>
      </c>
      <c r="K30" s="13">
        <f t="shared" si="8"/>
        <v>192</v>
      </c>
      <c r="L30" s="13">
        <f t="shared" si="8"/>
        <v>215</v>
      </c>
      <c r="M30" s="13">
        <f t="shared" si="8"/>
        <v>215</v>
      </c>
      <c r="N30" s="13">
        <f t="shared" si="8"/>
        <v>172</v>
      </c>
      <c r="O30" s="13">
        <f t="shared" si="8"/>
        <v>202</v>
      </c>
      <c r="P30" s="13">
        <f t="shared" si="8"/>
        <v>191</v>
      </c>
      <c r="Q30" s="13">
        <f t="shared" si="8"/>
        <v>221</v>
      </c>
      <c r="R30" s="13">
        <f t="shared" si="8"/>
        <v>205</v>
      </c>
      <c r="S30" s="13">
        <f t="shared" si="8"/>
        <v>202</v>
      </c>
      <c r="T30" s="13">
        <f t="shared" si="8"/>
        <v>167</v>
      </c>
      <c r="U30" s="13">
        <f t="shared" si="8"/>
        <v>200</v>
      </c>
      <c r="V30" s="13">
        <f t="shared" si="8"/>
        <v>197</v>
      </c>
      <c r="W30" s="13">
        <f t="shared" si="8"/>
        <v>200</v>
      </c>
      <c r="X30" s="13">
        <f t="shared" si="8"/>
        <v>185</v>
      </c>
      <c r="Y30" s="13">
        <f t="shared" si="8"/>
        <v>215</v>
      </c>
      <c r="Z30" s="13">
        <f t="shared" si="8"/>
        <v>207</v>
      </c>
      <c r="AA30" s="13">
        <f t="shared" si="8"/>
        <v>236</v>
      </c>
      <c r="AB30" s="13">
        <f t="shared" si="8"/>
        <v>212</v>
      </c>
      <c r="AC30" s="13">
        <f t="shared" si="8"/>
        <v>224</v>
      </c>
      <c r="AD30" s="13">
        <f t="shared" si="8"/>
        <v>217</v>
      </c>
      <c r="AE30" s="13">
        <f t="shared" si="8"/>
        <v>214</v>
      </c>
      <c r="AF30" s="13">
        <f t="shared" si="2"/>
        <v>5581</v>
      </c>
    </row>
    <row r="31" spans="1:32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6"/>
    </row>
    <row r="32" spans="1:32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6"/>
    </row>
    <row r="33" spans="1:32" ht="12.75" customHeight="1" x14ac:dyDescent="0.3">
      <c r="A33" s="15">
        <v>1</v>
      </c>
      <c r="B33" s="56" t="s">
        <v>27</v>
      </c>
      <c r="C33" s="49"/>
      <c r="D33" s="50"/>
      <c r="E33" s="15">
        <v>300</v>
      </c>
      <c r="F33" s="15">
        <v>288</v>
      </c>
      <c r="G33" s="15">
        <v>283</v>
      </c>
      <c r="H33" s="15">
        <v>234</v>
      </c>
      <c r="I33" s="15">
        <v>235</v>
      </c>
      <c r="J33" s="15">
        <v>272</v>
      </c>
      <c r="K33" s="15">
        <v>243</v>
      </c>
      <c r="L33" s="15">
        <v>285</v>
      </c>
      <c r="M33" s="15">
        <v>286</v>
      </c>
      <c r="N33" s="15">
        <v>236</v>
      </c>
      <c r="O33" s="15">
        <v>268</v>
      </c>
      <c r="P33" s="15">
        <v>268</v>
      </c>
      <c r="Q33" s="15">
        <v>291</v>
      </c>
      <c r="R33" s="15">
        <v>289</v>
      </c>
      <c r="S33" s="15">
        <v>290</v>
      </c>
      <c r="T33" s="15">
        <v>239</v>
      </c>
      <c r="U33" s="15">
        <v>288</v>
      </c>
      <c r="V33" s="15">
        <v>276</v>
      </c>
      <c r="W33" s="15">
        <v>243</v>
      </c>
      <c r="X33" s="15">
        <v>244</v>
      </c>
      <c r="Y33" s="15">
        <v>283</v>
      </c>
      <c r="Z33" s="15">
        <v>260</v>
      </c>
      <c r="AA33" s="15">
        <v>285</v>
      </c>
      <c r="AB33" s="15">
        <v>285</v>
      </c>
      <c r="AC33" s="15">
        <v>288</v>
      </c>
      <c r="AD33" s="15">
        <v>262</v>
      </c>
      <c r="AE33" s="15">
        <v>289</v>
      </c>
      <c r="AF33" s="13">
        <f t="shared" ref="AF33:AF36" si="9">SUM(E33:AE33)</f>
        <v>7310</v>
      </c>
    </row>
    <row r="34" spans="1:32" ht="12.75" customHeight="1" x14ac:dyDescent="0.3">
      <c r="A34" s="15">
        <v>2</v>
      </c>
      <c r="B34" s="56" t="s">
        <v>28</v>
      </c>
      <c r="C34" s="49"/>
      <c r="D34" s="50"/>
      <c r="E34" s="13">
        <v>242</v>
      </c>
      <c r="F34" s="13">
        <v>243</v>
      </c>
      <c r="G34" s="13">
        <v>218</v>
      </c>
      <c r="H34" s="13">
        <v>187</v>
      </c>
      <c r="I34" s="13">
        <v>187</v>
      </c>
      <c r="J34" s="13">
        <v>215</v>
      </c>
      <c r="K34" s="13">
        <v>192</v>
      </c>
      <c r="L34" s="13">
        <v>215</v>
      </c>
      <c r="M34" s="13">
        <v>215</v>
      </c>
      <c r="N34" s="13">
        <v>172</v>
      </c>
      <c r="O34" s="13">
        <v>202</v>
      </c>
      <c r="P34" s="13">
        <v>191</v>
      </c>
      <c r="Q34" s="13">
        <v>221</v>
      </c>
      <c r="R34" s="13">
        <v>205</v>
      </c>
      <c r="S34" s="13">
        <v>202</v>
      </c>
      <c r="T34" s="13">
        <v>167</v>
      </c>
      <c r="U34" s="13">
        <v>200</v>
      </c>
      <c r="V34" s="13">
        <v>197</v>
      </c>
      <c r="W34" s="13">
        <v>200</v>
      </c>
      <c r="X34" s="13">
        <v>185</v>
      </c>
      <c r="Y34" s="13">
        <v>215</v>
      </c>
      <c r="Z34" s="13">
        <v>207</v>
      </c>
      <c r="AA34" s="13">
        <v>236</v>
      </c>
      <c r="AB34" s="13">
        <v>212</v>
      </c>
      <c r="AC34" s="13">
        <v>224</v>
      </c>
      <c r="AD34" s="13">
        <v>217</v>
      </c>
      <c r="AE34" s="13">
        <v>214</v>
      </c>
      <c r="AF34" s="13">
        <f t="shared" si="9"/>
        <v>5581</v>
      </c>
    </row>
    <row r="35" spans="1:32" ht="12.75" customHeight="1" x14ac:dyDescent="0.3">
      <c r="A35" s="15">
        <v>3</v>
      </c>
      <c r="B35" s="56" t="s">
        <v>29</v>
      </c>
      <c r="C35" s="49"/>
      <c r="D35" s="50"/>
      <c r="E35" s="15">
        <v>3</v>
      </c>
      <c r="F35" s="15">
        <v>0</v>
      </c>
      <c r="G35" s="15">
        <v>0</v>
      </c>
      <c r="H35" s="15">
        <v>1</v>
      </c>
      <c r="I35" s="15">
        <v>0</v>
      </c>
      <c r="J35" s="15">
        <v>3</v>
      </c>
      <c r="K35" s="15">
        <v>4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1</v>
      </c>
      <c r="U35" s="15">
        <v>0</v>
      </c>
      <c r="V35" s="15">
        <v>0</v>
      </c>
      <c r="W35" s="15">
        <v>0</v>
      </c>
      <c r="X35" s="15">
        <v>1</v>
      </c>
      <c r="Y35" s="15">
        <v>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3">
        <f t="shared" si="9"/>
        <v>14</v>
      </c>
    </row>
    <row r="36" spans="1:32" ht="12.75" customHeight="1" x14ac:dyDescent="0.3">
      <c r="A36" s="15">
        <v>4</v>
      </c>
      <c r="B36" s="56" t="s">
        <v>30</v>
      </c>
      <c r="C36" s="49"/>
      <c r="D36" s="50"/>
      <c r="E36" s="13">
        <f t="shared" ref="E36:AE36" si="10">E33-(E34+E35)</f>
        <v>55</v>
      </c>
      <c r="F36" s="13">
        <f t="shared" si="10"/>
        <v>45</v>
      </c>
      <c r="G36" s="13">
        <f t="shared" si="10"/>
        <v>65</v>
      </c>
      <c r="H36" s="13">
        <f t="shared" si="10"/>
        <v>46</v>
      </c>
      <c r="I36" s="13">
        <f t="shared" si="10"/>
        <v>48</v>
      </c>
      <c r="J36" s="13">
        <f t="shared" si="10"/>
        <v>54</v>
      </c>
      <c r="K36" s="13">
        <f t="shared" si="10"/>
        <v>47</v>
      </c>
      <c r="L36" s="13">
        <f t="shared" si="10"/>
        <v>70</v>
      </c>
      <c r="M36" s="13">
        <f t="shared" si="10"/>
        <v>71</v>
      </c>
      <c r="N36" s="13">
        <f t="shared" si="10"/>
        <v>64</v>
      </c>
      <c r="O36" s="13">
        <f t="shared" si="10"/>
        <v>66</v>
      </c>
      <c r="P36" s="13">
        <f t="shared" si="10"/>
        <v>77</v>
      </c>
      <c r="Q36" s="13">
        <f t="shared" si="10"/>
        <v>70</v>
      </c>
      <c r="R36" s="13">
        <f t="shared" si="10"/>
        <v>84</v>
      </c>
      <c r="S36" s="13">
        <f t="shared" si="10"/>
        <v>88</v>
      </c>
      <c r="T36" s="13">
        <f t="shared" si="10"/>
        <v>71</v>
      </c>
      <c r="U36" s="13">
        <f t="shared" si="10"/>
        <v>88</v>
      </c>
      <c r="V36" s="13">
        <f t="shared" si="10"/>
        <v>79</v>
      </c>
      <c r="W36" s="13">
        <f t="shared" si="10"/>
        <v>43</v>
      </c>
      <c r="X36" s="13">
        <f t="shared" si="10"/>
        <v>58</v>
      </c>
      <c r="Y36" s="13">
        <f t="shared" si="10"/>
        <v>67</v>
      </c>
      <c r="Z36" s="13">
        <f t="shared" si="10"/>
        <v>53</v>
      </c>
      <c r="AA36" s="13">
        <f t="shared" si="10"/>
        <v>49</v>
      </c>
      <c r="AB36" s="13">
        <f t="shared" si="10"/>
        <v>73</v>
      </c>
      <c r="AC36" s="13">
        <f t="shared" si="10"/>
        <v>64</v>
      </c>
      <c r="AD36" s="13">
        <f t="shared" si="10"/>
        <v>45</v>
      </c>
      <c r="AE36" s="13">
        <f t="shared" si="10"/>
        <v>75</v>
      </c>
      <c r="AF36" s="13">
        <f t="shared" si="9"/>
        <v>1715</v>
      </c>
    </row>
    <row r="37" spans="1:32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46"/>
    </row>
    <row r="38" spans="1:32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6"/>
    </row>
    <row r="39" spans="1:32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1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1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1</v>
      </c>
      <c r="AD39" s="15">
        <v>0</v>
      </c>
      <c r="AE39" s="15">
        <v>0</v>
      </c>
      <c r="AF39" s="13">
        <f t="shared" ref="AF39:AF41" si="11">SUM(E39:AE39)</f>
        <v>3</v>
      </c>
    </row>
    <row r="40" spans="1:32" ht="12.75" customHeight="1" x14ac:dyDescent="0.3">
      <c r="A40" s="20"/>
      <c r="B40" s="70"/>
      <c r="C40" s="60"/>
      <c r="D40" s="15" t="s">
        <v>13</v>
      </c>
      <c r="E40" s="15">
        <v>1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1</v>
      </c>
      <c r="AF40" s="13">
        <f t="shared" si="11"/>
        <v>2</v>
      </c>
    </row>
    <row r="41" spans="1:32" ht="12.75" customHeight="1" x14ac:dyDescent="0.3">
      <c r="A41" s="24"/>
      <c r="B41" s="71"/>
      <c r="C41" s="61"/>
      <c r="D41" s="13" t="s">
        <v>14</v>
      </c>
      <c r="E41" s="13">
        <f t="shared" ref="E41:AE41" si="12">SUM(E39:E40)</f>
        <v>1</v>
      </c>
      <c r="F41" s="13">
        <f t="shared" si="12"/>
        <v>1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1</v>
      </c>
      <c r="W41" s="13">
        <f t="shared" si="12"/>
        <v>0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1</v>
      </c>
      <c r="AD41" s="13">
        <f t="shared" si="12"/>
        <v>0</v>
      </c>
      <c r="AE41" s="13">
        <f t="shared" si="12"/>
        <v>1</v>
      </c>
      <c r="AF41" s="13">
        <f t="shared" si="11"/>
        <v>5</v>
      </c>
    </row>
    <row r="42" spans="1:32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45"/>
      <c r="AC42" s="15"/>
      <c r="AD42" s="45"/>
      <c r="AE42" s="15"/>
      <c r="AF42" s="13"/>
    </row>
    <row r="43" spans="1:32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47"/>
      <c r="AC43" s="13"/>
      <c r="AD43" s="47"/>
      <c r="AE43" s="13"/>
      <c r="AF43" s="13"/>
    </row>
    <row r="44" spans="1:32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5"/>
      <c r="AA44" s="15"/>
      <c r="AB44" s="45"/>
      <c r="AC44" s="15"/>
      <c r="AD44" s="45"/>
      <c r="AE44" s="15"/>
      <c r="AF44" s="13"/>
    </row>
    <row r="45" spans="1:32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0</v>
      </c>
      <c r="F45" s="15">
        <v>6</v>
      </c>
      <c r="G45" s="15">
        <v>15</v>
      </c>
      <c r="H45" s="15">
        <v>7</v>
      </c>
      <c r="I45" s="15">
        <v>2</v>
      </c>
      <c r="J45" s="15">
        <v>5</v>
      </c>
      <c r="K45" s="15">
        <v>3</v>
      </c>
      <c r="L45" s="15">
        <v>4</v>
      </c>
      <c r="M45" s="15">
        <v>1</v>
      </c>
      <c r="N45" s="15">
        <v>5</v>
      </c>
      <c r="O45" s="15">
        <v>1</v>
      </c>
      <c r="P45" s="15">
        <v>3</v>
      </c>
      <c r="Q45" s="15">
        <v>5</v>
      </c>
      <c r="R45" s="15">
        <v>4</v>
      </c>
      <c r="S45" s="15">
        <v>7</v>
      </c>
      <c r="T45" s="15">
        <v>3</v>
      </c>
      <c r="U45" s="15">
        <v>6</v>
      </c>
      <c r="V45" s="15">
        <v>2</v>
      </c>
      <c r="W45" s="15">
        <v>0</v>
      </c>
      <c r="X45" s="15">
        <v>5</v>
      </c>
      <c r="Y45" s="15">
        <v>3</v>
      </c>
      <c r="Z45" s="15">
        <v>5</v>
      </c>
      <c r="AA45" s="15">
        <v>3</v>
      </c>
      <c r="AB45" s="15">
        <v>4</v>
      </c>
      <c r="AC45" s="15">
        <v>1</v>
      </c>
      <c r="AD45" s="15">
        <v>1</v>
      </c>
      <c r="AE45" s="15">
        <v>1</v>
      </c>
      <c r="AF45" s="13">
        <f t="shared" ref="AF45:AF186" si="13">SUM(E45:AE45)</f>
        <v>102</v>
      </c>
    </row>
    <row r="46" spans="1:32" ht="12.75" customHeight="1" x14ac:dyDescent="0.3">
      <c r="A46" s="19" t="s">
        <v>39</v>
      </c>
      <c r="B46" s="27"/>
      <c r="C46" s="28" t="s">
        <v>40</v>
      </c>
      <c r="D46" s="29"/>
      <c r="E46" s="15">
        <v>6</v>
      </c>
      <c r="F46" s="15">
        <v>15</v>
      </c>
      <c r="G46" s="15">
        <v>80</v>
      </c>
      <c r="H46" s="15">
        <v>25</v>
      </c>
      <c r="I46" s="15">
        <v>1</v>
      </c>
      <c r="J46" s="15">
        <v>14</v>
      </c>
      <c r="K46" s="15">
        <v>4</v>
      </c>
      <c r="L46" s="15">
        <v>11</v>
      </c>
      <c r="M46" s="15">
        <v>1</v>
      </c>
      <c r="N46" s="15">
        <v>1</v>
      </c>
      <c r="O46" s="15">
        <v>1</v>
      </c>
      <c r="P46" s="15">
        <v>2</v>
      </c>
      <c r="Q46" s="15">
        <v>15</v>
      </c>
      <c r="R46" s="15">
        <v>12</v>
      </c>
      <c r="S46" s="15">
        <v>7</v>
      </c>
      <c r="T46" s="15">
        <v>11</v>
      </c>
      <c r="U46" s="15">
        <v>27</v>
      </c>
      <c r="V46" s="15">
        <v>5</v>
      </c>
      <c r="W46" s="15">
        <v>10</v>
      </c>
      <c r="X46" s="15">
        <v>2</v>
      </c>
      <c r="Y46" s="15">
        <v>7</v>
      </c>
      <c r="Z46" s="15">
        <v>20</v>
      </c>
      <c r="AA46" s="15">
        <v>35</v>
      </c>
      <c r="AB46" s="15">
        <v>5</v>
      </c>
      <c r="AC46" s="15">
        <v>1</v>
      </c>
      <c r="AD46" s="15">
        <v>2</v>
      </c>
      <c r="AE46" s="15">
        <v>9</v>
      </c>
      <c r="AF46" s="13">
        <f t="shared" si="13"/>
        <v>329</v>
      </c>
    </row>
    <row r="47" spans="1:32" ht="12.75" customHeight="1" x14ac:dyDescent="0.3">
      <c r="A47" s="14"/>
      <c r="B47" s="27"/>
      <c r="C47" s="28" t="s">
        <v>41</v>
      </c>
      <c r="D47" s="29"/>
      <c r="E47" s="15">
        <v>1</v>
      </c>
      <c r="F47" s="15">
        <v>0</v>
      </c>
      <c r="G47" s="15">
        <v>2</v>
      </c>
      <c r="H47" s="15">
        <v>1</v>
      </c>
      <c r="I47" s="15">
        <v>1</v>
      </c>
      <c r="J47" s="15">
        <v>0</v>
      </c>
      <c r="K47" s="15">
        <v>3</v>
      </c>
      <c r="L47" s="15">
        <v>9</v>
      </c>
      <c r="M47" s="15">
        <v>1</v>
      </c>
      <c r="N47" s="15">
        <v>0</v>
      </c>
      <c r="O47" s="15">
        <v>0</v>
      </c>
      <c r="P47" s="15">
        <v>0</v>
      </c>
      <c r="Q47" s="15">
        <v>5</v>
      </c>
      <c r="R47" s="15">
        <v>0</v>
      </c>
      <c r="S47" s="15">
        <v>0</v>
      </c>
      <c r="T47" s="15">
        <v>1</v>
      </c>
      <c r="U47" s="15">
        <v>0</v>
      </c>
      <c r="V47" s="15">
        <v>1</v>
      </c>
      <c r="W47" s="15">
        <v>2</v>
      </c>
      <c r="X47" s="15">
        <v>0</v>
      </c>
      <c r="Y47" s="15">
        <v>1</v>
      </c>
      <c r="Z47" s="15">
        <v>0</v>
      </c>
      <c r="AA47" s="15">
        <v>1</v>
      </c>
      <c r="AB47" s="15">
        <v>1</v>
      </c>
      <c r="AC47" s="15">
        <v>3</v>
      </c>
      <c r="AD47" s="15">
        <v>0</v>
      </c>
      <c r="AE47" s="15">
        <v>1</v>
      </c>
      <c r="AF47" s="13">
        <f t="shared" si="13"/>
        <v>34</v>
      </c>
    </row>
    <row r="48" spans="1:32" ht="12.75" customHeight="1" x14ac:dyDescent="0.3">
      <c r="A48" s="14"/>
      <c r="B48" s="27"/>
      <c r="C48" s="28" t="s">
        <v>42</v>
      </c>
      <c r="D48" s="29"/>
      <c r="E48" s="15">
        <v>1</v>
      </c>
      <c r="F48" s="15">
        <v>1</v>
      </c>
      <c r="G48" s="15">
        <v>1</v>
      </c>
      <c r="H48" s="15">
        <v>0</v>
      </c>
      <c r="I48" s="15">
        <v>0</v>
      </c>
      <c r="J48" s="15">
        <v>0</v>
      </c>
      <c r="K48" s="15">
        <v>30</v>
      </c>
      <c r="L48" s="15">
        <v>24</v>
      </c>
      <c r="M48" s="15">
        <v>0</v>
      </c>
      <c r="N48" s="15">
        <v>0</v>
      </c>
      <c r="O48" s="15">
        <v>0</v>
      </c>
      <c r="P48" s="15">
        <v>1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1</v>
      </c>
      <c r="Y48" s="15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1</v>
      </c>
      <c r="AF48" s="13">
        <f t="shared" si="13"/>
        <v>60</v>
      </c>
    </row>
    <row r="49" spans="1:32" ht="12.75" customHeight="1" x14ac:dyDescent="0.3">
      <c r="A49" s="14"/>
      <c r="B49" s="27"/>
      <c r="C49" s="28" t="s">
        <v>43</v>
      </c>
      <c r="D49" s="29"/>
      <c r="E49" s="15">
        <v>3</v>
      </c>
      <c r="F49" s="15">
        <v>14</v>
      </c>
      <c r="G49" s="15">
        <v>12</v>
      </c>
      <c r="H49" s="15">
        <v>9</v>
      </c>
      <c r="I49" s="15">
        <v>2</v>
      </c>
      <c r="J49" s="15">
        <v>3</v>
      </c>
      <c r="K49" s="15">
        <v>3</v>
      </c>
      <c r="L49" s="15">
        <v>10</v>
      </c>
      <c r="M49" s="15">
        <v>1</v>
      </c>
      <c r="N49" s="15">
        <v>1</v>
      </c>
      <c r="O49" s="15">
        <v>1</v>
      </c>
      <c r="P49" s="15">
        <v>7</v>
      </c>
      <c r="Q49" s="15">
        <v>4</v>
      </c>
      <c r="R49" s="15">
        <v>7</v>
      </c>
      <c r="S49" s="15">
        <v>5</v>
      </c>
      <c r="T49" s="15">
        <v>2</v>
      </c>
      <c r="U49" s="15">
        <v>2</v>
      </c>
      <c r="V49" s="15">
        <v>8</v>
      </c>
      <c r="W49" s="15">
        <v>6</v>
      </c>
      <c r="X49" s="15">
        <v>26</v>
      </c>
      <c r="Y49" s="15">
        <v>42</v>
      </c>
      <c r="Z49" s="15">
        <v>13</v>
      </c>
      <c r="AA49" s="15">
        <v>15</v>
      </c>
      <c r="AB49" s="15">
        <v>9</v>
      </c>
      <c r="AC49" s="15">
        <v>5</v>
      </c>
      <c r="AD49" s="15">
        <v>3</v>
      </c>
      <c r="AE49" s="15">
        <v>0</v>
      </c>
      <c r="AF49" s="13">
        <f t="shared" si="13"/>
        <v>213</v>
      </c>
    </row>
    <row r="50" spans="1:32" ht="12.75" customHeight="1" x14ac:dyDescent="0.3">
      <c r="A50" s="14"/>
      <c r="B50" s="27"/>
      <c r="C50" s="28" t="s">
        <v>44</v>
      </c>
      <c r="D50" s="29"/>
      <c r="E50" s="15">
        <v>1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1</v>
      </c>
      <c r="Q50" s="15">
        <v>0</v>
      </c>
      <c r="R50" s="15">
        <v>0</v>
      </c>
      <c r="S50" s="15">
        <v>0</v>
      </c>
      <c r="T50" s="15">
        <v>2</v>
      </c>
      <c r="U50" s="15">
        <v>0</v>
      </c>
      <c r="V50" s="15">
        <v>0</v>
      </c>
      <c r="W50" s="15">
        <v>0</v>
      </c>
      <c r="X50" s="15">
        <v>0</v>
      </c>
      <c r="Y50" s="15">
        <v>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3">
        <f t="shared" si="13"/>
        <v>5</v>
      </c>
    </row>
    <row r="51" spans="1:32" ht="12.75" customHeight="1" x14ac:dyDescent="0.3">
      <c r="A51" s="14"/>
      <c r="B51" s="27"/>
      <c r="C51" s="28" t="s">
        <v>45</v>
      </c>
      <c r="D51" s="29"/>
      <c r="E51" s="15">
        <v>1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1</v>
      </c>
      <c r="V51" s="15">
        <v>0</v>
      </c>
      <c r="W51" s="15">
        <v>0</v>
      </c>
      <c r="X51" s="15">
        <v>0</v>
      </c>
      <c r="Y51" s="15">
        <v>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3">
        <f t="shared" si="13"/>
        <v>3</v>
      </c>
    </row>
    <row r="52" spans="1:32" ht="12.75" customHeight="1" x14ac:dyDescent="0.3">
      <c r="A52" s="14"/>
      <c r="B52" s="27"/>
      <c r="C52" s="28" t="s">
        <v>46</v>
      </c>
      <c r="D52" s="29"/>
      <c r="E52" s="15">
        <v>0</v>
      </c>
      <c r="F52" s="15">
        <v>0</v>
      </c>
      <c r="G52" s="15">
        <v>1</v>
      </c>
      <c r="H52" s="15">
        <v>0</v>
      </c>
      <c r="I52" s="15">
        <v>0</v>
      </c>
      <c r="J52" s="15">
        <v>2</v>
      </c>
      <c r="K52" s="15">
        <v>0</v>
      </c>
      <c r="L52" s="15">
        <v>0</v>
      </c>
      <c r="M52" s="15">
        <v>0</v>
      </c>
      <c r="N52" s="15">
        <v>2</v>
      </c>
      <c r="O52" s="15">
        <v>1</v>
      </c>
      <c r="P52" s="15">
        <v>1</v>
      </c>
      <c r="Q52" s="15">
        <v>0</v>
      </c>
      <c r="R52" s="15">
        <v>1</v>
      </c>
      <c r="S52" s="15">
        <v>0</v>
      </c>
      <c r="T52" s="15">
        <v>0</v>
      </c>
      <c r="U52" s="15">
        <v>0</v>
      </c>
      <c r="V52" s="15">
        <v>0</v>
      </c>
      <c r="W52" s="15">
        <v>0</v>
      </c>
      <c r="X52" s="15">
        <v>0</v>
      </c>
      <c r="Y52" s="15">
        <v>3</v>
      </c>
      <c r="Z52" s="15">
        <v>1</v>
      </c>
      <c r="AA52" s="15">
        <v>0</v>
      </c>
      <c r="AB52" s="15">
        <v>0</v>
      </c>
      <c r="AC52" s="15">
        <v>0</v>
      </c>
      <c r="AD52" s="15">
        <v>0</v>
      </c>
      <c r="AE52" s="15">
        <v>1</v>
      </c>
      <c r="AF52" s="13">
        <f t="shared" si="13"/>
        <v>13</v>
      </c>
    </row>
    <row r="53" spans="1:32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AE53" si="14">SUM(E45:E52)</f>
        <v>13</v>
      </c>
      <c r="F53" s="34">
        <f t="shared" si="14"/>
        <v>36</v>
      </c>
      <c r="G53" s="34">
        <f t="shared" si="14"/>
        <v>111</v>
      </c>
      <c r="H53" s="34">
        <f t="shared" si="14"/>
        <v>42</v>
      </c>
      <c r="I53" s="34">
        <f t="shared" si="14"/>
        <v>6</v>
      </c>
      <c r="J53" s="34">
        <f t="shared" si="14"/>
        <v>24</v>
      </c>
      <c r="K53" s="34">
        <f t="shared" si="14"/>
        <v>43</v>
      </c>
      <c r="L53" s="34">
        <f t="shared" si="14"/>
        <v>58</v>
      </c>
      <c r="M53" s="34">
        <f t="shared" si="14"/>
        <v>4</v>
      </c>
      <c r="N53" s="34">
        <f t="shared" si="14"/>
        <v>9</v>
      </c>
      <c r="O53" s="34">
        <f t="shared" si="14"/>
        <v>4</v>
      </c>
      <c r="P53" s="34">
        <f t="shared" si="14"/>
        <v>15</v>
      </c>
      <c r="Q53" s="34">
        <f t="shared" si="14"/>
        <v>29</v>
      </c>
      <c r="R53" s="34">
        <f t="shared" si="14"/>
        <v>24</v>
      </c>
      <c r="S53" s="34">
        <f t="shared" si="14"/>
        <v>19</v>
      </c>
      <c r="T53" s="34">
        <f t="shared" si="14"/>
        <v>19</v>
      </c>
      <c r="U53" s="34">
        <f t="shared" si="14"/>
        <v>36</v>
      </c>
      <c r="V53" s="34">
        <f t="shared" si="14"/>
        <v>16</v>
      </c>
      <c r="W53" s="34">
        <f t="shared" si="14"/>
        <v>18</v>
      </c>
      <c r="X53" s="34">
        <f t="shared" si="14"/>
        <v>34</v>
      </c>
      <c r="Y53" s="34">
        <f t="shared" si="14"/>
        <v>58</v>
      </c>
      <c r="Z53" s="34">
        <f t="shared" si="14"/>
        <v>39</v>
      </c>
      <c r="AA53" s="34">
        <f t="shared" si="14"/>
        <v>54</v>
      </c>
      <c r="AB53" s="34">
        <f t="shared" si="14"/>
        <v>19</v>
      </c>
      <c r="AC53" s="34">
        <f t="shared" si="14"/>
        <v>10</v>
      </c>
      <c r="AD53" s="34">
        <f t="shared" si="14"/>
        <v>6</v>
      </c>
      <c r="AE53" s="34">
        <f t="shared" si="14"/>
        <v>13</v>
      </c>
      <c r="AF53" s="13">
        <f t="shared" si="13"/>
        <v>759</v>
      </c>
    </row>
    <row r="54" spans="1:32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13">
        <f t="shared" si="13"/>
        <v>0</v>
      </c>
    </row>
    <row r="55" spans="1:32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3</v>
      </c>
      <c r="F55" s="15">
        <v>2</v>
      </c>
      <c r="G55" s="15">
        <v>3</v>
      </c>
      <c r="H55" s="15">
        <v>4</v>
      </c>
      <c r="I55" s="15">
        <v>4</v>
      </c>
      <c r="J55" s="15">
        <v>15</v>
      </c>
      <c r="K55" s="15">
        <v>6</v>
      </c>
      <c r="L55" s="15">
        <v>8</v>
      </c>
      <c r="M55" s="15">
        <v>6</v>
      </c>
      <c r="N55" s="15">
        <v>0</v>
      </c>
      <c r="O55" s="15">
        <v>10</v>
      </c>
      <c r="P55" s="15">
        <v>4</v>
      </c>
      <c r="Q55" s="15">
        <v>10</v>
      </c>
      <c r="R55" s="15">
        <v>5</v>
      </c>
      <c r="S55" s="15">
        <v>7</v>
      </c>
      <c r="T55" s="15">
        <v>4</v>
      </c>
      <c r="U55" s="15">
        <v>6</v>
      </c>
      <c r="V55" s="15">
        <v>4</v>
      </c>
      <c r="W55" s="15">
        <v>2</v>
      </c>
      <c r="X55" s="15">
        <v>2</v>
      </c>
      <c r="Y55" s="15">
        <v>8</v>
      </c>
      <c r="Z55" s="15">
        <v>0</v>
      </c>
      <c r="AA55" s="15">
        <v>3</v>
      </c>
      <c r="AB55" s="15">
        <v>3</v>
      </c>
      <c r="AC55" s="15">
        <v>7</v>
      </c>
      <c r="AD55" s="15">
        <v>0</v>
      </c>
      <c r="AE55" s="15">
        <v>2</v>
      </c>
      <c r="AF55" s="13">
        <f t="shared" si="13"/>
        <v>128</v>
      </c>
    </row>
    <row r="56" spans="1:32" ht="12.75" customHeight="1" x14ac:dyDescent="0.3">
      <c r="A56" s="19" t="s">
        <v>39</v>
      </c>
      <c r="B56" s="27"/>
      <c r="C56" s="28" t="s">
        <v>49</v>
      </c>
      <c r="D56" s="29"/>
      <c r="E56" s="15">
        <v>1</v>
      </c>
      <c r="F56" s="15">
        <v>4</v>
      </c>
      <c r="G56" s="15">
        <v>34</v>
      </c>
      <c r="H56" s="15">
        <v>13</v>
      </c>
      <c r="I56" s="15">
        <v>3</v>
      </c>
      <c r="J56" s="15">
        <v>81</v>
      </c>
      <c r="K56" s="15">
        <v>11</v>
      </c>
      <c r="L56" s="15">
        <v>2</v>
      </c>
      <c r="M56" s="15">
        <v>5</v>
      </c>
      <c r="N56" s="15">
        <v>0</v>
      </c>
      <c r="O56" s="15">
        <v>6</v>
      </c>
      <c r="P56" s="15">
        <v>0</v>
      </c>
      <c r="Q56" s="15">
        <v>0</v>
      </c>
      <c r="R56" s="15">
        <v>0</v>
      </c>
      <c r="S56" s="15">
        <v>1</v>
      </c>
      <c r="T56" s="15">
        <v>3</v>
      </c>
      <c r="U56" s="15">
        <v>3</v>
      </c>
      <c r="V56" s="15">
        <v>0</v>
      </c>
      <c r="W56" s="15">
        <v>1</v>
      </c>
      <c r="X56" s="15">
        <v>1</v>
      </c>
      <c r="Y56" s="15">
        <v>2</v>
      </c>
      <c r="Z56" s="15">
        <v>1</v>
      </c>
      <c r="AA56" s="15">
        <v>1</v>
      </c>
      <c r="AB56" s="15">
        <v>1</v>
      </c>
      <c r="AC56" s="15">
        <v>0</v>
      </c>
      <c r="AD56" s="15">
        <v>1</v>
      </c>
      <c r="AE56" s="15">
        <v>3</v>
      </c>
      <c r="AF56" s="13">
        <f t="shared" si="13"/>
        <v>178</v>
      </c>
    </row>
    <row r="57" spans="1:32" ht="12.75" customHeight="1" x14ac:dyDescent="0.3">
      <c r="A57" s="14"/>
      <c r="B57" s="27"/>
      <c r="C57" s="28" t="s">
        <v>50</v>
      </c>
      <c r="D57" s="29"/>
      <c r="E57" s="15">
        <v>0</v>
      </c>
      <c r="F57" s="15">
        <v>1</v>
      </c>
      <c r="G57" s="15">
        <v>10</v>
      </c>
      <c r="H57" s="15">
        <v>5</v>
      </c>
      <c r="I57" s="15">
        <v>3</v>
      </c>
      <c r="J57" s="15">
        <v>10</v>
      </c>
      <c r="K57" s="15">
        <v>13</v>
      </c>
      <c r="L57" s="15">
        <v>6</v>
      </c>
      <c r="M57" s="15">
        <v>9</v>
      </c>
      <c r="N57" s="15">
        <v>5</v>
      </c>
      <c r="O57" s="15">
        <v>7</v>
      </c>
      <c r="P57" s="15">
        <v>5</v>
      </c>
      <c r="Q57" s="15">
        <v>1</v>
      </c>
      <c r="R57" s="15">
        <v>11</v>
      </c>
      <c r="S57" s="15">
        <v>4</v>
      </c>
      <c r="T57" s="15">
        <v>5</v>
      </c>
      <c r="U57" s="15">
        <v>5</v>
      </c>
      <c r="V57" s="15">
        <v>0</v>
      </c>
      <c r="W57" s="15">
        <v>7</v>
      </c>
      <c r="X57" s="15">
        <v>3</v>
      </c>
      <c r="Y57" s="15">
        <v>8</v>
      </c>
      <c r="Z57" s="15">
        <v>2</v>
      </c>
      <c r="AA57" s="15">
        <v>0</v>
      </c>
      <c r="AB57" s="15">
        <v>5</v>
      </c>
      <c r="AC57" s="15">
        <v>3</v>
      </c>
      <c r="AD57" s="15">
        <v>4</v>
      </c>
      <c r="AE57" s="15">
        <v>2</v>
      </c>
      <c r="AF57" s="13">
        <f t="shared" si="13"/>
        <v>134</v>
      </c>
    </row>
    <row r="58" spans="1:32" ht="12.75" customHeight="1" x14ac:dyDescent="0.3">
      <c r="A58" s="14"/>
      <c r="B58" s="27"/>
      <c r="C58" s="28" t="s">
        <v>51</v>
      </c>
      <c r="D58" s="29"/>
      <c r="E58" s="15">
        <v>0</v>
      </c>
      <c r="F58" s="15">
        <v>2</v>
      </c>
      <c r="G58" s="15">
        <v>1</v>
      </c>
      <c r="H58" s="15">
        <v>0</v>
      </c>
      <c r="I58" s="15">
        <v>1</v>
      </c>
      <c r="J58" s="15">
        <v>0</v>
      </c>
      <c r="K58" s="15">
        <v>1</v>
      </c>
      <c r="L58" s="15">
        <v>5</v>
      </c>
      <c r="M58" s="15">
        <v>0</v>
      </c>
      <c r="N58" s="15">
        <v>0</v>
      </c>
      <c r="O58" s="15">
        <v>3</v>
      </c>
      <c r="P58" s="15">
        <v>0</v>
      </c>
      <c r="Q58" s="15">
        <v>1</v>
      </c>
      <c r="R58" s="15">
        <v>0</v>
      </c>
      <c r="S58" s="15">
        <v>2</v>
      </c>
      <c r="T58" s="15">
        <v>0</v>
      </c>
      <c r="U58" s="15">
        <v>1</v>
      </c>
      <c r="V58" s="15">
        <v>0</v>
      </c>
      <c r="W58" s="15">
        <v>4</v>
      </c>
      <c r="X58" s="15">
        <v>1</v>
      </c>
      <c r="Y58" s="15">
        <v>0</v>
      </c>
      <c r="Z58" s="15">
        <v>0</v>
      </c>
      <c r="AA58" s="15">
        <v>0</v>
      </c>
      <c r="AB58" s="15">
        <v>1</v>
      </c>
      <c r="AC58" s="15">
        <v>0</v>
      </c>
      <c r="AD58" s="15">
        <v>0</v>
      </c>
      <c r="AE58" s="15">
        <v>2</v>
      </c>
      <c r="AF58" s="13">
        <f t="shared" si="13"/>
        <v>25</v>
      </c>
    </row>
    <row r="59" spans="1:32" ht="12.75" customHeight="1" x14ac:dyDescent="0.3">
      <c r="A59" s="14"/>
      <c r="B59" s="27"/>
      <c r="C59" s="28" t="s">
        <v>52</v>
      </c>
      <c r="D59" s="29"/>
      <c r="E59" s="15">
        <v>0</v>
      </c>
      <c r="F59" s="15">
        <v>0</v>
      </c>
      <c r="G59" s="15">
        <v>0</v>
      </c>
      <c r="H59" s="15">
        <v>1</v>
      </c>
      <c r="I59" s="15">
        <v>0</v>
      </c>
      <c r="J59" s="15">
        <v>1</v>
      </c>
      <c r="K59" s="15">
        <v>1</v>
      </c>
      <c r="L59" s="15">
        <v>1</v>
      </c>
      <c r="M59" s="15">
        <v>1</v>
      </c>
      <c r="N59" s="15">
        <v>0</v>
      </c>
      <c r="O59" s="15">
        <v>1</v>
      </c>
      <c r="P59" s="15">
        <v>5</v>
      </c>
      <c r="Q59" s="15">
        <v>2</v>
      </c>
      <c r="R59" s="15">
        <v>1</v>
      </c>
      <c r="S59" s="15">
        <v>1</v>
      </c>
      <c r="T59" s="15">
        <v>1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3">
        <f t="shared" si="13"/>
        <v>16</v>
      </c>
    </row>
    <row r="60" spans="1:32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1</v>
      </c>
      <c r="K60" s="15">
        <v>0</v>
      </c>
      <c r="L60" s="15">
        <v>1</v>
      </c>
      <c r="M60" s="15">
        <v>0</v>
      </c>
      <c r="N60" s="15">
        <v>0</v>
      </c>
      <c r="O60" s="15">
        <v>0</v>
      </c>
      <c r="P60" s="15">
        <v>0</v>
      </c>
      <c r="Q60" s="15">
        <v>1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1</v>
      </c>
      <c r="AC60" s="15">
        <v>0</v>
      </c>
      <c r="AD60" s="15">
        <v>0</v>
      </c>
      <c r="AE60" s="15">
        <v>0</v>
      </c>
      <c r="AF60" s="13">
        <f t="shared" si="13"/>
        <v>4</v>
      </c>
    </row>
    <row r="61" spans="1:32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3">
        <f t="shared" si="13"/>
        <v>0</v>
      </c>
    </row>
    <row r="62" spans="1:32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0</v>
      </c>
      <c r="H62" s="15">
        <v>1</v>
      </c>
      <c r="I62" s="15">
        <v>0</v>
      </c>
      <c r="J62" s="15">
        <v>0</v>
      </c>
      <c r="K62" s="15">
        <v>0</v>
      </c>
      <c r="L62" s="15">
        <v>0</v>
      </c>
      <c r="M62" s="15">
        <v>0</v>
      </c>
      <c r="N62" s="15">
        <v>1</v>
      </c>
      <c r="O62" s="15">
        <v>0</v>
      </c>
      <c r="P62" s="15">
        <v>1</v>
      </c>
      <c r="Q62" s="15">
        <v>0</v>
      </c>
      <c r="R62" s="15">
        <v>0</v>
      </c>
      <c r="S62" s="15">
        <v>1</v>
      </c>
      <c r="T62" s="15">
        <v>1</v>
      </c>
      <c r="U62" s="15">
        <v>0</v>
      </c>
      <c r="V62" s="15">
        <v>1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3">
        <f t="shared" si="13"/>
        <v>6</v>
      </c>
    </row>
    <row r="63" spans="1:32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AE63" si="15">SUM(E55:E62)</f>
        <v>4</v>
      </c>
      <c r="F63" s="34">
        <f t="shared" si="15"/>
        <v>9</v>
      </c>
      <c r="G63" s="34">
        <f t="shared" si="15"/>
        <v>48</v>
      </c>
      <c r="H63" s="34">
        <f t="shared" si="15"/>
        <v>24</v>
      </c>
      <c r="I63" s="34">
        <f t="shared" si="15"/>
        <v>11</v>
      </c>
      <c r="J63" s="34">
        <f t="shared" si="15"/>
        <v>108</v>
      </c>
      <c r="K63" s="34">
        <f t="shared" si="15"/>
        <v>32</v>
      </c>
      <c r="L63" s="34">
        <f t="shared" si="15"/>
        <v>23</v>
      </c>
      <c r="M63" s="34">
        <f t="shared" si="15"/>
        <v>21</v>
      </c>
      <c r="N63" s="34">
        <f t="shared" si="15"/>
        <v>6</v>
      </c>
      <c r="O63" s="34">
        <f t="shared" si="15"/>
        <v>27</v>
      </c>
      <c r="P63" s="34">
        <f t="shared" si="15"/>
        <v>15</v>
      </c>
      <c r="Q63" s="34">
        <f t="shared" si="15"/>
        <v>15</v>
      </c>
      <c r="R63" s="34">
        <f t="shared" si="15"/>
        <v>17</v>
      </c>
      <c r="S63" s="34">
        <f t="shared" si="15"/>
        <v>16</v>
      </c>
      <c r="T63" s="34">
        <f t="shared" si="15"/>
        <v>14</v>
      </c>
      <c r="U63" s="34">
        <f t="shared" si="15"/>
        <v>15</v>
      </c>
      <c r="V63" s="34">
        <f t="shared" si="15"/>
        <v>5</v>
      </c>
      <c r="W63" s="34">
        <f t="shared" si="15"/>
        <v>14</v>
      </c>
      <c r="X63" s="34">
        <f t="shared" si="15"/>
        <v>7</v>
      </c>
      <c r="Y63" s="34">
        <f t="shared" si="15"/>
        <v>18</v>
      </c>
      <c r="Z63" s="34">
        <f t="shared" si="15"/>
        <v>3</v>
      </c>
      <c r="AA63" s="34">
        <f t="shared" si="15"/>
        <v>4</v>
      </c>
      <c r="AB63" s="34">
        <f t="shared" si="15"/>
        <v>11</v>
      </c>
      <c r="AC63" s="34">
        <f t="shared" si="15"/>
        <v>10</v>
      </c>
      <c r="AD63" s="34">
        <f t="shared" si="15"/>
        <v>5</v>
      </c>
      <c r="AE63" s="34">
        <f t="shared" si="15"/>
        <v>9</v>
      </c>
      <c r="AF63" s="13">
        <f t="shared" si="13"/>
        <v>491</v>
      </c>
    </row>
    <row r="64" spans="1:32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13">
        <f t="shared" si="13"/>
        <v>0</v>
      </c>
    </row>
    <row r="65" spans="1:32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2</v>
      </c>
      <c r="F65" s="15">
        <v>8</v>
      </c>
      <c r="G65" s="15">
        <v>4</v>
      </c>
      <c r="H65" s="15">
        <v>1</v>
      </c>
      <c r="I65" s="15">
        <v>3</v>
      </c>
      <c r="J65" s="15">
        <v>2</v>
      </c>
      <c r="K65" s="15">
        <v>3</v>
      </c>
      <c r="L65" s="15">
        <v>3</v>
      </c>
      <c r="M65" s="15">
        <v>2</v>
      </c>
      <c r="N65" s="15">
        <v>5</v>
      </c>
      <c r="O65" s="15">
        <v>9</v>
      </c>
      <c r="P65" s="15">
        <v>6</v>
      </c>
      <c r="Q65" s="15">
        <v>11</v>
      </c>
      <c r="R65" s="15">
        <v>7</v>
      </c>
      <c r="S65" s="15">
        <v>7</v>
      </c>
      <c r="T65" s="15">
        <v>7</v>
      </c>
      <c r="U65" s="15">
        <v>14</v>
      </c>
      <c r="V65" s="15">
        <v>11</v>
      </c>
      <c r="W65" s="15">
        <v>3</v>
      </c>
      <c r="X65" s="15">
        <v>4</v>
      </c>
      <c r="Y65" s="15">
        <v>7</v>
      </c>
      <c r="Z65" s="15">
        <v>7</v>
      </c>
      <c r="AA65" s="15">
        <v>6</v>
      </c>
      <c r="AB65" s="15">
        <v>12</v>
      </c>
      <c r="AC65" s="15">
        <v>13</v>
      </c>
      <c r="AD65" s="15">
        <v>7</v>
      </c>
      <c r="AE65" s="15">
        <v>16</v>
      </c>
      <c r="AF65" s="13">
        <f t="shared" si="13"/>
        <v>180</v>
      </c>
    </row>
    <row r="66" spans="1:32" ht="12.75" customHeight="1" x14ac:dyDescent="0.3">
      <c r="A66" s="19" t="s">
        <v>39</v>
      </c>
      <c r="B66" s="27"/>
      <c r="C66" s="28" t="s">
        <v>57</v>
      </c>
      <c r="D66" s="29"/>
      <c r="E66" s="15">
        <v>13</v>
      </c>
      <c r="F66" s="15">
        <v>17</v>
      </c>
      <c r="G66" s="15">
        <v>1</v>
      </c>
      <c r="H66" s="15">
        <v>2</v>
      </c>
      <c r="I66" s="15">
        <v>1</v>
      </c>
      <c r="J66" s="15">
        <v>5</v>
      </c>
      <c r="K66" s="15">
        <v>19</v>
      </c>
      <c r="L66" s="15">
        <v>5</v>
      </c>
      <c r="M66" s="15">
        <v>6</v>
      </c>
      <c r="N66" s="15">
        <v>3</v>
      </c>
      <c r="O66" s="15">
        <v>8</v>
      </c>
      <c r="P66" s="15">
        <v>15</v>
      </c>
      <c r="Q66" s="15">
        <v>14</v>
      </c>
      <c r="R66" s="15">
        <v>10</v>
      </c>
      <c r="S66" s="15">
        <v>16</v>
      </c>
      <c r="T66" s="15">
        <v>3</v>
      </c>
      <c r="U66" s="15">
        <v>13</v>
      </c>
      <c r="V66" s="15">
        <v>49</v>
      </c>
      <c r="W66" s="15">
        <v>69</v>
      </c>
      <c r="X66" s="15">
        <v>3</v>
      </c>
      <c r="Y66" s="15">
        <v>16</v>
      </c>
      <c r="Z66" s="15">
        <v>18</v>
      </c>
      <c r="AA66" s="15">
        <v>58</v>
      </c>
      <c r="AB66" s="15">
        <v>27</v>
      </c>
      <c r="AC66" s="15">
        <v>25</v>
      </c>
      <c r="AD66" s="15">
        <v>17</v>
      </c>
      <c r="AE66" s="15">
        <v>14</v>
      </c>
      <c r="AF66" s="13">
        <f t="shared" si="13"/>
        <v>447</v>
      </c>
    </row>
    <row r="67" spans="1:32" ht="12.75" customHeight="1" x14ac:dyDescent="0.3">
      <c r="A67" s="14"/>
      <c r="B67" s="27"/>
      <c r="C67" s="28" t="s">
        <v>58</v>
      </c>
      <c r="D67" s="29"/>
      <c r="E67" s="15">
        <v>0</v>
      </c>
      <c r="F67" s="15">
        <v>1</v>
      </c>
      <c r="G67" s="15">
        <v>0</v>
      </c>
      <c r="H67" s="15">
        <v>2</v>
      </c>
      <c r="I67" s="15">
        <v>18</v>
      </c>
      <c r="J67" s="15">
        <v>1</v>
      </c>
      <c r="K67" s="15">
        <v>1</v>
      </c>
      <c r="L67" s="15">
        <v>3</v>
      </c>
      <c r="M67" s="15">
        <v>3</v>
      </c>
      <c r="N67" s="15">
        <v>2</v>
      </c>
      <c r="O67" s="15">
        <v>8</v>
      </c>
      <c r="P67" s="15">
        <v>1</v>
      </c>
      <c r="Q67" s="15">
        <v>1</v>
      </c>
      <c r="R67" s="15">
        <v>1</v>
      </c>
      <c r="S67" s="15">
        <v>3</v>
      </c>
      <c r="T67" s="15">
        <v>2</v>
      </c>
      <c r="U67" s="15">
        <v>0</v>
      </c>
      <c r="V67" s="15">
        <v>1</v>
      </c>
      <c r="W67" s="15">
        <v>8</v>
      </c>
      <c r="X67" s="15">
        <v>1</v>
      </c>
      <c r="Y67" s="15">
        <v>1</v>
      </c>
      <c r="Z67" s="15">
        <v>1</v>
      </c>
      <c r="AA67" s="15">
        <v>2</v>
      </c>
      <c r="AB67" s="15">
        <v>3</v>
      </c>
      <c r="AC67" s="15">
        <v>1</v>
      </c>
      <c r="AD67" s="15">
        <v>0</v>
      </c>
      <c r="AE67" s="15">
        <v>1</v>
      </c>
      <c r="AF67" s="13">
        <f t="shared" si="13"/>
        <v>66</v>
      </c>
    </row>
    <row r="68" spans="1:32" ht="12.75" customHeight="1" x14ac:dyDescent="0.3">
      <c r="A68" s="14"/>
      <c r="B68" s="27"/>
      <c r="C68" s="28" t="s">
        <v>59</v>
      </c>
      <c r="D68" s="29"/>
      <c r="E68" s="15">
        <v>0</v>
      </c>
      <c r="F68" s="15">
        <v>1</v>
      </c>
      <c r="G68" s="15">
        <v>0</v>
      </c>
      <c r="H68" s="15">
        <v>0</v>
      </c>
      <c r="I68" s="15">
        <v>2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2</v>
      </c>
      <c r="P68" s="15">
        <v>1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2</v>
      </c>
      <c r="W68" s="15">
        <v>3</v>
      </c>
      <c r="X68" s="15">
        <v>0</v>
      </c>
      <c r="Y68" s="15">
        <v>0</v>
      </c>
      <c r="Z68" s="15">
        <v>1</v>
      </c>
      <c r="AA68" s="15">
        <v>0</v>
      </c>
      <c r="AB68" s="15">
        <v>1</v>
      </c>
      <c r="AC68" s="15">
        <v>2</v>
      </c>
      <c r="AD68" s="15">
        <v>0</v>
      </c>
      <c r="AE68" s="15">
        <v>0</v>
      </c>
      <c r="AF68" s="13">
        <f t="shared" si="13"/>
        <v>15</v>
      </c>
    </row>
    <row r="69" spans="1:32" ht="12.75" customHeight="1" x14ac:dyDescent="0.3">
      <c r="A69" s="14"/>
      <c r="B69" s="27"/>
      <c r="C69" s="28" t="s">
        <v>60</v>
      </c>
      <c r="D69" s="29"/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1</v>
      </c>
      <c r="K69" s="15">
        <v>0</v>
      </c>
      <c r="L69" s="15">
        <v>0</v>
      </c>
      <c r="M69" s="15">
        <v>0</v>
      </c>
      <c r="N69" s="15">
        <v>1</v>
      </c>
      <c r="O69" s="15">
        <v>1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1</v>
      </c>
      <c r="V69" s="15">
        <v>0</v>
      </c>
      <c r="W69" s="15">
        <v>3</v>
      </c>
      <c r="X69" s="15">
        <v>0</v>
      </c>
      <c r="Y69" s="15">
        <v>0</v>
      </c>
      <c r="Z69" s="15">
        <v>0</v>
      </c>
      <c r="AA69" s="15">
        <v>2</v>
      </c>
      <c r="AB69" s="15">
        <v>1</v>
      </c>
      <c r="AC69" s="15">
        <v>0</v>
      </c>
      <c r="AD69" s="15">
        <v>1</v>
      </c>
      <c r="AE69" s="15">
        <v>2</v>
      </c>
      <c r="AF69" s="13">
        <f t="shared" si="13"/>
        <v>13</v>
      </c>
    </row>
    <row r="70" spans="1:32" ht="12.75" customHeight="1" x14ac:dyDescent="0.3">
      <c r="A70" s="14"/>
      <c r="B70" s="27"/>
      <c r="C70" s="28" t="s">
        <v>61</v>
      </c>
      <c r="D70" s="29"/>
      <c r="E70" s="15">
        <v>122</v>
      </c>
      <c r="F70" s="15">
        <v>58</v>
      </c>
      <c r="G70" s="15">
        <v>2</v>
      </c>
      <c r="H70" s="15">
        <v>10</v>
      </c>
      <c r="I70" s="15">
        <v>10</v>
      </c>
      <c r="J70" s="15">
        <v>1</v>
      </c>
      <c r="K70" s="15">
        <v>0</v>
      </c>
      <c r="L70" s="15">
        <v>5</v>
      </c>
      <c r="M70" s="15">
        <v>27</v>
      </c>
      <c r="N70" s="15">
        <v>14</v>
      </c>
      <c r="O70" s="15">
        <v>13</v>
      </c>
      <c r="P70" s="15">
        <v>32</v>
      </c>
      <c r="Q70" s="15">
        <v>56</v>
      </c>
      <c r="R70" s="15">
        <v>17</v>
      </c>
      <c r="S70" s="15">
        <v>12</v>
      </c>
      <c r="T70" s="15">
        <v>21</v>
      </c>
      <c r="U70" s="15">
        <v>13</v>
      </c>
      <c r="V70" s="15">
        <v>13</v>
      </c>
      <c r="W70" s="15">
        <v>13</v>
      </c>
      <c r="X70" s="15">
        <v>31</v>
      </c>
      <c r="Y70" s="15">
        <v>40</v>
      </c>
      <c r="Z70" s="15">
        <v>74</v>
      </c>
      <c r="AA70" s="15">
        <v>46</v>
      </c>
      <c r="AB70" s="15">
        <v>48</v>
      </c>
      <c r="AC70" s="15">
        <v>48</v>
      </c>
      <c r="AD70" s="15">
        <v>95</v>
      </c>
      <c r="AE70" s="15">
        <v>77</v>
      </c>
      <c r="AF70" s="13">
        <f t="shared" si="13"/>
        <v>898</v>
      </c>
    </row>
    <row r="71" spans="1:32" ht="12.75" customHeight="1" x14ac:dyDescent="0.3">
      <c r="A71" s="14"/>
      <c r="B71" s="27"/>
      <c r="C71" s="28" t="s">
        <v>62</v>
      </c>
      <c r="D71" s="29"/>
      <c r="E71" s="15">
        <v>1</v>
      </c>
      <c r="F71" s="15">
        <v>0</v>
      </c>
      <c r="G71" s="15">
        <v>0</v>
      </c>
      <c r="H71" s="15">
        <v>0</v>
      </c>
      <c r="I71" s="15">
        <v>1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1</v>
      </c>
      <c r="Y71" s="15">
        <v>0</v>
      </c>
      <c r="Z71" s="15">
        <v>0</v>
      </c>
      <c r="AA71" s="15">
        <v>1</v>
      </c>
      <c r="AB71" s="15">
        <v>0</v>
      </c>
      <c r="AC71" s="15">
        <v>0</v>
      </c>
      <c r="AD71" s="15">
        <v>2</v>
      </c>
      <c r="AE71" s="15">
        <v>0</v>
      </c>
      <c r="AF71" s="13">
        <f t="shared" si="13"/>
        <v>8</v>
      </c>
    </row>
    <row r="72" spans="1:32" ht="12.75" customHeight="1" x14ac:dyDescent="0.3">
      <c r="A72" s="14"/>
      <c r="B72" s="27"/>
      <c r="C72" s="28" t="s">
        <v>63</v>
      </c>
      <c r="D72" s="29"/>
      <c r="E72" s="15">
        <v>0</v>
      </c>
      <c r="F72" s="15">
        <v>0</v>
      </c>
      <c r="G72" s="15">
        <v>2</v>
      </c>
      <c r="H72" s="15">
        <v>16</v>
      </c>
      <c r="I72" s="15">
        <v>48</v>
      </c>
      <c r="J72" s="15">
        <v>2</v>
      </c>
      <c r="K72" s="15">
        <v>0</v>
      </c>
      <c r="L72" s="15">
        <v>1</v>
      </c>
      <c r="M72" s="15">
        <v>1</v>
      </c>
      <c r="N72" s="15">
        <v>0</v>
      </c>
      <c r="O72" s="15">
        <v>0</v>
      </c>
      <c r="P72" s="15">
        <v>0</v>
      </c>
      <c r="Q72" s="15">
        <v>3</v>
      </c>
      <c r="R72" s="15">
        <v>3</v>
      </c>
      <c r="S72" s="15">
        <v>0</v>
      </c>
      <c r="T72" s="15">
        <v>2</v>
      </c>
      <c r="U72" s="15">
        <v>3</v>
      </c>
      <c r="V72" s="15">
        <v>0</v>
      </c>
      <c r="W72" s="15">
        <v>11</v>
      </c>
      <c r="X72" s="15">
        <v>0</v>
      </c>
      <c r="Y72" s="15">
        <v>6</v>
      </c>
      <c r="Z72" s="15">
        <v>2</v>
      </c>
      <c r="AA72" s="15">
        <v>0</v>
      </c>
      <c r="AB72" s="15">
        <v>1</v>
      </c>
      <c r="AC72" s="15">
        <v>10</v>
      </c>
      <c r="AD72" s="15">
        <v>4</v>
      </c>
      <c r="AE72" s="15">
        <v>0</v>
      </c>
      <c r="AF72" s="13">
        <f t="shared" si="13"/>
        <v>115</v>
      </c>
    </row>
    <row r="73" spans="1:32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AE73" si="16">SUM(E65:E72)</f>
        <v>138</v>
      </c>
      <c r="F73" s="34">
        <f t="shared" si="16"/>
        <v>85</v>
      </c>
      <c r="G73" s="34">
        <f t="shared" si="16"/>
        <v>9</v>
      </c>
      <c r="H73" s="34">
        <f t="shared" si="16"/>
        <v>31</v>
      </c>
      <c r="I73" s="34">
        <f t="shared" si="16"/>
        <v>83</v>
      </c>
      <c r="J73" s="34">
        <f t="shared" si="16"/>
        <v>12</v>
      </c>
      <c r="K73" s="34">
        <f t="shared" si="16"/>
        <v>24</v>
      </c>
      <c r="L73" s="34">
        <f t="shared" si="16"/>
        <v>17</v>
      </c>
      <c r="M73" s="34">
        <f t="shared" si="16"/>
        <v>39</v>
      </c>
      <c r="N73" s="34">
        <f t="shared" si="16"/>
        <v>25</v>
      </c>
      <c r="O73" s="34">
        <f t="shared" si="16"/>
        <v>41</v>
      </c>
      <c r="P73" s="34">
        <f t="shared" si="16"/>
        <v>56</v>
      </c>
      <c r="Q73" s="34">
        <f t="shared" si="16"/>
        <v>85</v>
      </c>
      <c r="R73" s="34">
        <f t="shared" si="16"/>
        <v>38</v>
      </c>
      <c r="S73" s="34">
        <f t="shared" si="16"/>
        <v>38</v>
      </c>
      <c r="T73" s="34">
        <f t="shared" si="16"/>
        <v>35</v>
      </c>
      <c r="U73" s="34">
        <f t="shared" si="16"/>
        <v>44</v>
      </c>
      <c r="V73" s="34">
        <f t="shared" si="16"/>
        <v>76</v>
      </c>
      <c r="W73" s="34">
        <f t="shared" si="16"/>
        <v>110</v>
      </c>
      <c r="X73" s="34">
        <f t="shared" si="16"/>
        <v>40</v>
      </c>
      <c r="Y73" s="34">
        <f t="shared" si="16"/>
        <v>70</v>
      </c>
      <c r="Z73" s="34">
        <f t="shared" si="16"/>
        <v>103</v>
      </c>
      <c r="AA73" s="34">
        <f t="shared" si="16"/>
        <v>115</v>
      </c>
      <c r="AB73" s="34">
        <f t="shared" si="16"/>
        <v>93</v>
      </c>
      <c r="AC73" s="34">
        <f t="shared" si="16"/>
        <v>99</v>
      </c>
      <c r="AD73" s="34">
        <f t="shared" si="16"/>
        <v>126</v>
      </c>
      <c r="AE73" s="34">
        <f t="shared" si="16"/>
        <v>110</v>
      </c>
      <c r="AF73" s="13">
        <f t="shared" si="13"/>
        <v>1742</v>
      </c>
    </row>
    <row r="74" spans="1:32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13">
        <f t="shared" si="13"/>
        <v>0</v>
      </c>
    </row>
    <row r="75" spans="1:32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1</v>
      </c>
      <c r="F75" s="15">
        <v>0</v>
      </c>
      <c r="G75" s="15">
        <v>0</v>
      </c>
      <c r="H75" s="15">
        <v>1</v>
      </c>
      <c r="I75" s="15">
        <v>0</v>
      </c>
      <c r="J75" s="15">
        <v>1</v>
      </c>
      <c r="K75" s="15">
        <v>1</v>
      </c>
      <c r="L75" s="15">
        <v>4</v>
      </c>
      <c r="M75" s="15">
        <v>8</v>
      </c>
      <c r="N75" s="15">
        <v>5</v>
      </c>
      <c r="O75" s="15">
        <v>3</v>
      </c>
      <c r="P75" s="15">
        <v>4</v>
      </c>
      <c r="Q75" s="15">
        <v>2</v>
      </c>
      <c r="R75" s="15">
        <v>2</v>
      </c>
      <c r="S75" s="15">
        <v>0</v>
      </c>
      <c r="T75" s="15">
        <v>3</v>
      </c>
      <c r="U75" s="15">
        <v>2</v>
      </c>
      <c r="V75" s="15">
        <v>4</v>
      </c>
      <c r="W75" s="15">
        <v>0</v>
      </c>
      <c r="X75" s="15">
        <v>4</v>
      </c>
      <c r="Y75" s="15">
        <v>0</v>
      </c>
      <c r="Z75" s="15">
        <v>2</v>
      </c>
      <c r="AA75" s="15">
        <v>3</v>
      </c>
      <c r="AB75" s="15">
        <v>3</v>
      </c>
      <c r="AC75" s="15">
        <v>1</v>
      </c>
      <c r="AD75" s="15">
        <v>0</v>
      </c>
      <c r="AE75" s="15">
        <v>0</v>
      </c>
      <c r="AF75" s="13">
        <f t="shared" si="13"/>
        <v>54</v>
      </c>
    </row>
    <row r="76" spans="1:32" ht="12.75" customHeight="1" x14ac:dyDescent="0.3">
      <c r="A76" s="19" t="s">
        <v>39</v>
      </c>
      <c r="B76" s="27"/>
      <c r="C76" s="28" t="s">
        <v>65</v>
      </c>
      <c r="D76" s="29"/>
      <c r="E76" s="15">
        <v>1</v>
      </c>
      <c r="F76" s="15">
        <v>3</v>
      </c>
      <c r="G76" s="15">
        <v>1</v>
      </c>
      <c r="H76" s="15">
        <v>2</v>
      </c>
      <c r="I76" s="15">
        <v>2</v>
      </c>
      <c r="J76" s="15">
        <v>2</v>
      </c>
      <c r="K76" s="15">
        <v>2</v>
      </c>
      <c r="L76" s="15">
        <v>6</v>
      </c>
      <c r="M76" s="15">
        <v>30</v>
      </c>
      <c r="N76" s="15">
        <v>8</v>
      </c>
      <c r="O76" s="15">
        <v>15</v>
      </c>
      <c r="P76" s="15">
        <v>8</v>
      </c>
      <c r="Q76" s="15">
        <v>6</v>
      </c>
      <c r="R76" s="15">
        <v>14</v>
      </c>
      <c r="S76" s="15">
        <v>5</v>
      </c>
      <c r="T76" s="15">
        <v>6</v>
      </c>
      <c r="U76" s="15">
        <v>1</v>
      </c>
      <c r="V76" s="15">
        <v>4</v>
      </c>
      <c r="W76" s="15">
        <v>2</v>
      </c>
      <c r="X76" s="15">
        <v>10</v>
      </c>
      <c r="Y76" s="15">
        <v>5</v>
      </c>
      <c r="Z76" s="15">
        <v>10</v>
      </c>
      <c r="AA76" s="15">
        <v>6</v>
      </c>
      <c r="AB76" s="15">
        <v>3</v>
      </c>
      <c r="AC76" s="15">
        <v>1</v>
      </c>
      <c r="AD76" s="15">
        <v>7</v>
      </c>
      <c r="AE76" s="15">
        <v>5</v>
      </c>
      <c r="AF76" s="13">
        <f t="shared" si="13"/>
        <v>165</v>
      </c>
    </row>
    <row r="77" spans="1:32" ht="12.75" customHeight="1" x14ac:dyDescent="0.3">
      <c r="A77" s="14"/>
      <c r="B77" s="27"/>
      <c r="C77" s="28" t="s">
        <v>66</v>
      </c>
      <c r="D77" s="29"/>
      <c r="E77" s="15">
        <v>0</v>
      </c>
      <c r="F77" s="15">
        <v>0</v>
      </c>
      <c r="G77" s="15">
        <v>0</v>
      </c>
      <c r="H77" s="15">
        <v>0</v>
      </c>
      <c r="I77" s="15">
        <v>3</v>
      </c>
      <c r="J77" s="15">
        <v>1</v>
      </c>
      <c r="K77" s="15">
        <v>1</v>
      </c>
      <c r="L77" s="15">
        <v>5</v>
      </c>
      <c r="M77" s="15">
        <v>1</v>
      </c>
      <c r="N77" s="15">
        <v>2</v>
      </c>
      <c r="O77" s="15">
        <v>0</v>
      </c>
      <c r="P77" s="15">
        <v>1</v>
      </c>
      <c r="Q77" s="15">
        <v>1</v>
      </c>
      <c r="R77" s="15">
        <v>1</v>
      </c>
      <c r="S77" s="15">
        <v>0</v>
      </c>
      <c r="T77" s="15">
        <v>0</v>
      </c>
      <c r="U77" s="15">
        <v>0</v>
      </c>
      <c r="V77" s="15">
        <v>0</v>
      </c>
      <c r="W77" s="15">
        <v>3</v>
      </c>
      <c r="X77" s="15">
        <v>1</v>
      </c>
      <c r="Y77" s="15">
        <v>0</v>
      </c>
      <c r="Z77" s="15">
        <v>3</v>
      </c>
      <c r="AA77" s="15">
        <v>0</v>
      </c>
      <c r="AB77" s="15">
        <v>5</v>
      </c>
      <c r="AC77" s="15">
        <v>0</v>
      </c>
      <c r="AD77" s="15">
        <v>0</v>
      </c>
      <c r="AE77" s="15">
        <v>0</v>
      </c>
      <c r="AF77" s="13">
        <f t="shared" si="13"/>
        <v>28</v>
      </c>
    </row>
    <row r="78" spans="1:32" ht="12.75" customHeight="1" x14ac:dyDescent="0.3">
      <c r="A78" s="14"/>
      <c r="B78" s="27"/>
      <c r="C78" s="28" t="s">
        <v>67</v>
      </c>
      <c r="D78" s="29"/>
      <c r="E78" s="15">
        <v>0</v>
      </c>
      <c r="F78" s="15">
        <v>1</v>
      </c>
      <c r="G78" s="15">
        <v>0</v>
      </c>
      <c r="H78" s="15">
        <v>0</v>
      </c>
      <c r="I78" s="15">
        <v>1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1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1</v>
      </c>
      <c r="Y78" s="15">
        <v>0</v>
      </c>
      <c r="Z78" s="15">
        <v>1</v>
      </c>
      <c r="AA78" s="15">
        <v>0</v>
      </c>
      <c r="AB78" s="15">
        <v>1</v>
      </c>
      <c r="AC78" s="15">
        <v>0</v>
      </c>
      <c r="AD78" s="15">
        <v>0</v>
      </c>
      <c r="AE78" s="15">
        <v>0</v>
      </c>
      <c r="AF78" s="13">
        <f t="shared" si="13"/>
        <v>6</v>
      </c>
    </row>
    <row r="79" spans="1:32" ht="12.75" customHeight="1" x14ac:dyDescent="0.3">
      <c r="A79" s="14"/>
      <c r="B79" s="27"/>
      <c r="C79" s="28" t="s">
        <v>68</v>
      </c>
      <c r="D79" s="29"/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1</v>
      </c>
      <c r="L79" s="15">
        <v>0</v>
      </c>
      <c r="M79" s="15">
        <v>0</v>
      </c>
      <c r="N79" s="15">
        <v>0</v>
      </c>
      <c r="O79" s="15">
        <v>1</v>
      </c>
      <c r="P79" s="15">
        <v>0</v>
      </c>
      <c r="Q79" s="15">
        <v>0</v>
      </c>
      <c r="R79" s="15">
        <v>1</v>
      </c>
      <c r="S79" s="15">
        <v>0</v>
      </c>
      <c r="T79" s="15">
        <v>1</v>
      </c>
      <c r="U79" s="15">
        <v>0</v>
      </c>
      <c r="V79" s="15">
        <v>1</v>
      </c>
      <c r="W79" s="15">
        <v>0</v>
      </c>
      <c r="X79" s="15">
        <v>1</v>
      </c>
      <c r="Y79" s="15">
        <v>0</v>
      </c>
      <c r="Z79" s="15">
        <v>0</v>
      </c>
      <c r="AA79" s="15">
        <v>1</v>
      </c>
      <c r="AB79" s="15">
        <v>0</v>
      </c>
      <c r="AC79" s="15">
        <v>0</v>
      </c>
      <c r="AD79" s="15">
        <v>0</v>
      </c>
      <c r="AE79" s="15">
        <v>0</v>
      </c>
      <c r="AF79" s="13">
        <f t="shared" si="13"/>
        <v>7</v>
      </c>
    </row>
    <row r="80" spans="1:32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1</v>
      </c>
      <c r="N80" s="15">
        <v>0</v>
      </c>
      <c r="O80" s="15">
        <v>1</v>
      </c>
      <c r="P80" s="15">
        <v>0</v>
      </c>
      <c r="Q80" s="15">
        <v>1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1</v>
      </c>
      <c r="AB80" s="15">
        <v>0</v>
      </c>
      <c r="AC80" s="15">
        <v>0</v>
      </c>
      <c r="AD80" s="15">
        <v>0</v>
      </c>
      <c r="AE80" s="15">
        <v>0</v>
      </c>
      <c r="AF80" s="13">
        <f t="shared" si="13"/>
        <v>4</v>
      </c>
    </row>
    <row r="81" spans="1:32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1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3">
        <f t="shared" si="13"/>
        <v>1</v>
      </c>
    </row>
    <row r="82" spans="1:32" ht="12.75" customHeight="1" x14ac:dyDescent="0.3">
      <c r="A82" s="14"/>
      <c r="B82" s="27"/>
      <c r="C82" s="28" t="s">
        <v>71</v>
      </c>
      <c r="D82" s="29"/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1</v>
      </c>
      <c r="N82" s="15">
        <v>0</v>
      </c>
      <c r="O82" s="15">
        <v>1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1</v>
      </c>
      <c r="AC82" s="15">
        <v>0</v>
      </c>
      <c r="AD82" s="15">
        <v>0</v>
      </c>
      <c r="AE82" s="15">
        <v>0</v>
      </c>
      <c r="AF82" s="13">
        <f t="shared" si="13"/>
        <v>3</v>
      </c>
    </row>
    <row r="83" spans="1:32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E83" si="17">SUM(E75:E82)</f>
        <v>2</v>
      </c>
      <c r="F83" s="34">
        <f t="shared" si="17"/>
        <v>4</v>
      </c>
      <c r="G83" s="34">
        <f t="shared" si="17"/>
        <v>1</v>
      </c>
      <c r="H83" s="34">
        <f t="shared" si="17"/>
        <v>3</v>
      </c>
      <c r="I83" s="34">
        <f t="shared" si="17"/>
        <v>6</v>
      </c>
      <c r="J83" s="34">
        <f t="shared" si="17"/>
        <v>4</v>
      </c>
      <c r="K83" s="34">
        <f t="shared" si="17"/>
        <v>5</v>
      </c>
      <c r="L83" s="34">
        <f t="shared" si="17"/>
        <v>15</v>
      </c>
      <c r="M83" s="34">
        <f t="shared" si="17"/>
        <v>41</v>
      </c>
      <c r="N83" s="34">
        <f t="shared" si="17"/>
        <v>15</v>
      </c>
      <c r="O83" s="34">
        <f t="shared" si="17"/>
        <v>21</v>
      </c>
      <c r="P83" s="34">
        <f t="shared" si="17"/>
        <v>14</v>
      </c>
      <c r="Q83" s="34">
        <f t="shared" si="17"/>
        <v>10</v>
      </c>
      <c r="R83" s="34">
        <f t="shared" si="17"/>
        <v>18</v>
      </c>
      <c r="S83" s="34">
        <f t="shared" si="17"/>
        <v>5</v>
      </c>
      <c r="T83" s="34">
        <f t="shared" si="17"/>
        <v>10</v>
      </c>
      <c r="U83" s="34">
        <f t="shared" si="17"/>
        <v>4</v>
      </c>
      <c r="V83" s="34">
        <f t="shared" si="17"/>
        <v>9</v>
      </c>
      <c r="W83" s="34">
        <f t="shared" si="17"/>
        <v>5</v>
      </c>
      <c r="X83" s="34">
        <f t="shared" si="17"/>
        <v>17</v>
      </c>
      <c r="Y83" s="34">
        <f t="shared" si="17"/>
        <v>5</v>
      </c>
      <c r="Z83" s="34">
        <f t="shared" si="17"/>
        <v>16</v>
      </c>
      <c r="AA83" s="34">
        <f t="shared" si="17"/>
        <v>11</v>
      </c>
      <c r="AB83" s="34">
        <f t="shared" si="17"/>
        <v>13</v>
      </c>
      <c r="AC83" s="34">
        <f t="shared" si="17"/>
        <v>2</v>
      </c>
      <c r="AD83" s="34">
        <f t="shared" si="17"/>
        <v>7</v>
      </c>
      <c r="AE83" s="34">
        <f t="shared" si="17"/>
        <v>5</v>
      </c>
      <c r="AF83" s="13">
        <f t="shared" si="13"/>
        <v>268</v>
      </c>
    </row>
    <row r="84" spans="1:32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13">
        <f t="shared" si="13"/>
        <v>0</v>
      </c>
    </row>
    <row r="85" spans="1:32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6</v>
      </c>
      <c r="F85" s="15">
        <v>4</v>
      </c>
      <c r="G85" s="15">
        <v>1</v>
      </c>
      <c r="H85" s="15">
        <v>1</v>
      </c>
      <c r="I85" s="15">
        <v>6</v>
      </c>
      <c r="J85" s="15">
        <v>6</v>
      </c>
      <c r="K85" s="15">
        <v>4</v>
      </c>
      <c r="L85" s="15">
        <v>1</v>
      </c>
      <c r="M85" s="15">
        <v>10</v>
      </c>
      <c r="N85" s="15">
        <v>1</v>
      </c>
      <c r="O85" s="15">
        <v>9</v>
      </c>
      <c r="P85" s="15">
        <v>8</v>
      </c>
      <c r="Q85" s="15">
        <v>7</v>
      </c>
      <c r="R85" s="15">
        <v>13</v>
      </c>
      <c r="S85" s="15">
        <v>17</v>
      </c>
      <c r="T85" s="15">
        <v>9</v>
      </c>
      <c r="U85" s="15">
        <v>14</v>
      </c>
      <c r="V85" s="15">
        <v>11</v>
      </c>
      <c r="W85" s="15">
        <v>2</v>
      </c>
      <c r="X85" s="15">
        <v>13</v>
      </c>
      <c r="Y85" s="15">
        <v>1</v>
      </c>
      <c r="Z85" s="15">
        <v>2</v>
      </c>
      <c r="AA85" s="15">
        <v>2</v>
      </c>
      <c r="AB85" s="15">
        <v>7</v>
      </c>
      <c r="AC85" s="15">
        <v>8</v>
      </c>
      <c r="AD85" s="15">
        <v>6</v>
      </c>
      <c r="AE85" s="15">
        <v>6</v>
      </c>
      <c r="AF85" s="13">
        <f t="shared" si="13"/>
        <v>175</v>
      </c>
    </row>
    <row r="86" spans="1:32" ht="12.75" customHeight="1" x14ac:dyDescent="0.3">
      <c r="A86" s="19" t="s">
        <v>39</v>
      </c>
      <c r="B86" s="27"/>
      <c r="C86" s="28" t="s">
        <v>74</v>
      </c>
      <c r="D86" s="29"/>
      <c r="E86" s="15">
        <v>0</v>
      </c>
      <c r="F86" s="15">
        <v>5</v>
      </c>
      <c r="G86" s="15">
        <v>0</v>
      </c>
      <c r="H86" s="15">
        <v>1</v>
      </c>
      <c r="I86" s="15">
        <v>0</v>
      </c>
      <c r="J86" s="15">
        <v>0</v>
      </c>
      <c r="K86" s="15">
        <v>1</v>
      </c>
      <c r="L86" s="15">
        <v>1</v>
      </c>
      <c r="M86" s="15">
        <v>8</v>
      </c>
      <c r="N86" s="15">
        <v>2</v>
      </c>
      <c r="O86" s="15">
        <v>1</v>
      </c>
      <c r="P86" s="15">
        <v>2</v>
      </c>
      <c r="Q86" s="15">
        <v>4</v>
      </c>
      <c r="R86" s="15">
        <v>3</v>
      </c>
      <c r="S86" s="15">
        <v>1</v>
      </c>
      <c r="T86" s="15">
        <v>4</v>
      </c>
      <c r="U86" s="15">
        <v>1</v>
      </c>
      <c r="V86" s="15">
        <v>4</v>
      </c>
      <c r="W86" s="15">
        <v>0</v>
      </c>
      <c r="X86" s="15">
        <v>1</v>
      </c>
      <c r="Y86" s="15">
        <v>0</v>
      </c>
      <c r="Z86" s="15">
        <v>1</v>
      </c>
      <c r="AA86" s="15">
        <v>1</v>
      </c>
      <c r="AB86" s="15">
        <v>0</v>
      </c>
      <c r="AC86" s="15">
        <v>1</v>
      </c>
      <c r="AD86" s="15">
        <v>0</v>
      </c>
      <c r="AE86" s="15">
        <v>1</v>
      </c>
      <c r="AF86" s="13">
        <f t="shared" si="13"/>
        <v>43</v>
      </c>
    </row>
    <row r="87" spans="1:32" ht="12.75" customHeight="1" x14ac:dyDescent="0.3">
      <c r="A87" s="14"/>
      <c r="B87" s="27"/>
      <c r="C87" s="28" t="s">
        <v>75</v>
      </c>
      <c r="D87" s="29"/>
      <c r="E87" s="15">
        <v>0</v>
      </c>
      <c r="F87" s="15">
        <v>0</v>
      </c>
      <c r="G87" s="15">
        <v>0</v>
      </c>
      <c r="H87" s="15">
        <v>0</v>
      </c>
      <c r="I87" s="15">
        <v>0</v>
      </c>
      <c r="J87" s="15">
        <v>0</v>
      </c>
      <c r="K87" s="15">
        <v>0</v>
      </c>
      <c r="L87" s="15">
        <v>6</v>
      </c>
      <c r="M87" s="15">
        <v>6</v>
      </c>
      <c r="N87" s="15">
        <v>0</v>
      </c>
      <c r="O87" s="15">
        <v>0</v>
      </c>
      <c r="P87" s="15">
        <v>1</v>
      </c>
      <c r="Q87" s="15">
        <v>1</v>
      </c>
      <c r="R87" s="15">
        <v>0</v>
      </c>
      <c r="S87" s="15">
        <v>3</v>
      </c>
      <c r="T87" s="15">
        <v>0</v>
      </c>
      <c r="U87" s="15">
        <v>1</v>
      </c>
      <c r="V87" s="15">
        <v>2</v>
      </c>
      <c r="W87" s="15">
        <v>0</v>
      </c>
      <c r="X87" s="15">
        <v>1</v>
      </c>
      <c r="Y87" s="15">
        <v>0</v>
      </c>
      <c r="Z87" s="15">
        <v>0</v>
      </c>
      <c r="AA87" s="15">
        <v>0</v>
      </c>
      <c r="AB87" s="15">
        <v>0</v>
      </c>
      <c r="AC87" s="15">
        <v>1</v>
      </c>
      <c r="AD87" s="15">
        <v>1</v>
      </c>
      <c r="AE87" s="15">
        <v>0</v>
      </c>
      <c r="AF87" s="13">
        <f t="shared" si="13"/>
        <v>23</v>
      </c>
    </row>
    <row r="88" spans="1:32" ht="12.75" customHeight="1" x14ac:dyDescent="0.3">
      <c r="A88" s="14"/>
      <c r="B88" s="27"/>
      <c r="C88" s="28" t="s">
        <v>76</v>
      </c>
      <c r="D88" s="29"/>
      <c r="E88" s="15">
        <v>0</v>
      </c>
      <c r="F88" s="15">
        <v>0</v>
      </c>
      <c r="G88" s="15">
        <v>3</v>
      </c>
      <c r="H88" s="15">
        <v>1</v>
      </c>
      <c r="I88" s="15">
        <v>1</v>
      </c>
      <c r="J88" s="15">
        <v>2</v>
      </c>
      <c r="K88" s="15">
        <v>1</v>
      </c>
      <c r="L88" s="15">
        <v>8</v>
      </c>
      <c r="M88" s="15">
        <v>1</v>
      </c>
      <c r="N88" s="15">
        <v>0</v>
      </c>
      <c r="O88" s="15">
        <v>5</v>
      </c>
      <c r="P88" s="15">
        <v>0</v>
      </c>
      <c r="Q88" s="15">
        <v>3</v>
      </c>
      <c r="R88" s="15">
        <v>0</v>
      </c>
      <c r="S88" s="15">
        <v>1</v>
      </c>
      <c r="T88" s="15">
        <v>2</v>
      </c>
      <c r="U88" s="15">
        <v>0</v>
      </c>
      <c r="V88" s="15">
        <v>0</v>
      </c>
      <c r="W88" s="15">
        <v>2</v>
      </c>
      <c r="X88" s="15">
        <v>0</v>
      </c>
      <c r="Y88" s="15">
        <v>0</v>
      </c>
      <c r="Z88" s="15">
        <v>0</v>
      </c>
      <c r="AA88" s="15">
        <v>0</v>
      </c>
      <c r="AB88" s="15">
        <v>2</v>
      </c>
      <c r="AC88" s="15">
        <v>0</v>
      </c>
      <c r="AD88" s="15">
        <v>0</v>
      </c>
      <c r="AE88" s="15">
        <v>0</v>
      </c>
      <c r="AF88" s="13">
        <f t="shared" si="13"/>
        <v>32</v>
      </c>
    </row>
    <row r="89" spans="1:32" ht="12.75" customHeight="1" x14ac:dyDescent="0.3">
      <c r="A89" s="14"/>
      <c r="B89" s="27"/>
      <c r="C89" s="28" t="s">
        <v>77</v>
      </c>
      <c r="D89" s="29"/>
      <c r="E89" s="15">
        <v>0</v>
      </c>
      <c r="F89" s="15">
        <v>0</v>
      </c>
      <c r="G89" s="15">
        <v>0</v>
      </c>
      <c r="H89" s="15">
        <v>0</v>
      </c>
      <c r="I89" s="15">
        <v>1</v>
      </c>
      <c r="J89" s="15">
        <v>0</v>
      </c>
      <c r="K89" s="15">
        <v>0</v>
      </c>
      <c r="L89" s="15">
        <v>1</v>
      </c>
      <c r="M89" s="15">
        <v>1</v>
      </c>
      <c r="N89" s="15">
        <v>0</v>
      </c>
      <c r="O89" s="15">
        <v>1</v>
      </c>
      <c r="P89" s="15">
        <v>1</v>
      </c>
      <c r="Q89" s="15">
        <v>0</v>
      </c>
      <c r="R89" s="15">
        <v>0</v>
      </c>
      <c r="S89" s="15">
        <v>1</v>
      </c>
      <c r="T89" s="15">
        <v>0</v>
      </c>
      <c r="U89" s="15">
        <v>0</v>
      </c>
      <c r="V89" s="15">
        <v>1</v>
      </c>
      <c r="W89" s="15">
        <v>0</v>
      </c>
      <c r="X89" s="15">
        <v>0</v>
      </c>
      <c r="Y89" s="15">
        <v>1</v>
      </c>
      <c r="Z89" s="15">
        <v>0</v>
      </c>
      <c r="AA89" s="15">
        <v>0</v>
      </c>
      <c r="AB89" s="15">
        <v>1</v>
      </c>
      <c r="AC89" s="15">
        <v>0</v>
      </c>
      <c r="AD89" s="15">
        <v>0</v>
      </c>
      <c r="AE89" s="15">
        <v>0</v>
      </c>
      <c r="AF89" s="13">
        <f t="shared" si="13"/>
        <v>9</v>
      </c>
    </row>
    <row r="90" spans="1:32" ht="12.75" customHeight="1" x14ac:dyDescent="0.3">
      <c r="A90" s="14"/>
      <c r="B90" s="27"/>
      <c r="C90" s="28" t="s">
        <v>78</v>
      </c>
      <c r="D90" s="29"/>
      <c r="E90" s="15">
        <v>55</v>
      </c>
      <c r="F90" s="15">
        <v>70</v>
      </c>
      <c r="G90" s="15">
        <v>21</v>
      </c>
      <c r="H90" s="15">
        <v>57</v>
      </c>
      <c r="I90" s="15">
        <v>60</v>
      </c>
      <c r="J90" s="15">
        <v>44</v>
      </c>
      <c r="K90" s="15">
        <v>59</v>
      </c>
      <c r="L90" s="15">
        <v>28</v>
      </c>
      <c r="M90" s="15">
        <v>37</v>
      </c>
      <c r="N90" s="15">
        <v>24</v>
      </c>
      <c r="O90" s="15">
        <v>44</v>
      </c>
      <c r="P90" s="15">
        <v>40</v>
      </c>
      <c r="Q90" s="15">
        <v>34</v>
      </c>
      <c r="R90" s="15">
        <v>51</v>
      </c>
      <c r="S90" s="15">
        <v>55</v>
      </c>
      <c r="T90" s="15">
        <v>41</v>
      </c>
      <c r="U90" s="15">
        <v>55</v>
      </c>
      <c r="V90" s="15">
        <v>51</v>
      </c>
      <c r="W90" s="15">
        <v>36</v>
      </c>
      <c r="X90" s="15">
        <v>50</v>
      </c>
      <c r="Y90" s="15">
        <v>40</v>
      </c>
      <c r="Z90" s="15">
        <v>26</v>
      </c>
      <c r="AA90" s="15">
        <v>30</v>
      </c>
      <c r="AB90" s="15">
        <v>51</v>
      </c>
      <c r="AC90" s="15">
        <v>65</v>
      </c>
      <c r="AD90" s="15">
        <v>53</v>
      </c>
      <c r="AE90" s="15">
        <v>49</v>
      </c>
      <c r="AF90" s="13">
        <f t="shared" si="13"/>
        <v>1226</v>
      </c>
    </row>
    <row r="91" spans="1:32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1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1</v>
      </c>
      <c r="Q91" s="15">
        <v>0</v>
      </c>
      <c r="R91" s="15">
        <v>1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2</v>
      </c>
      <c r="AD91" s="15">
        <v>0</v>
      </c>
      <c r="AE91" s="15">
        <v>1</v>
      </c>
      <c r="AF91" s="13">
        <f t="shared" si="13"/>
        <v>6</v>
      </c>
    </row>
    <row r="92" spans="1:32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3</v>
      </c>
      <c r="N92" s="15">
        <v>0</v>
      </c>
      <c r="O92" s="15">
        <v>0</v>
      </c>
      <c r="P92" s="15">
        <v>2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2</v>
      </c>
      <c r="W92" s="15">
        <v>0</v>
      </c>
      <c r="X92" s="15">
        <v>0</v>
      </c>
      <c r="Y92" s="15">
        <v>0</v>
      </c>
      <c r="Z92" s="15">
        <v>0</v>
      </c>
      <c r="AA92" s="15">
        <v>1</v>
      </c>
      <c r="AB92" s="15">
        <v>0</v>
      </c>
      <c r="AC92" s="15">
        <v>0</v>
      </c>
      <c r="AD92" s="15">
        <v>0</v>
      </c>
      <c r="AE92" s="15">
        <v>2</v>
      </c>
      <c r="AF92" s="13">
        <f t="shared" si="13"/>
        <v>10</v>
      </c>
    </row>
    <row r="93" spans="1:32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AE93" si="18">SUM(E85:E92)</f>
        <v>61</v>
      </c>
      <c r="F93" s="34">
        <f t="shared" si="18"/>
        <v>79</v>
      </c>
      <c r="G93" s="34">
        <f t="shared" si="18"/>
        <v>25</v>
      </c>
      <c r="H93" s="34">
        <f t="shared" si="18"/>
        <v>60</v>
      </c>
      <c r="I93" s="34">
        <f t="shared" si="18"/>
        <v>68</v>
      </c>
      <c r="J93" s="34">
        <f t="shared" si="18"/>
        <v>53</v>
      </c>
      <c r="K93" s="34">
        <f t="shared" si="18"/>
        <v>65</v>
      </c>
      <c r="L93" s="34">
        <f t="shared" si="18"/>
        <v>45</v>
      </c>
      <c r="M93" s="34">
        <f t="shared" si="18"/>
        <v>66</v>
      </c>
      <c r="N93" s="34">
        <f t="shared" si="18"/>
        <v>27</v>
      </c>
      <c r="O93" s="34">
        <f t="shared" si="18"/>
        <v>60</v>
      </c>
      <c r="P93" s="34">
        <f t="shared" si="18"/>
        <v>55</v>
      </c>
      <c r="Q93" s="34">
        <f t="shared" si="18"/>
        <v>49</v>
      </c>
      <c r="R93" s="34">
        <f t="shared" si="18"/>
        <v>68</v>
      </c>
      <c r="S93" s="34">
        <f t="shared" si="18"/>
        <v>78</v>
      </c>
      <c r="T93" s="34">
        <f t="shared" si="18"/>
        <v>56</v>
      </c>
      <c r="U93" s="34">
        <f t="shared" si="18"/>
        <v>71</v>
      </c>
      <c r="V93" s="34">
        <f t="shared" si="18"/>
        <v>71</v>
      </c>
      <c r="W93" s="34">
        <f t="shared" si="18"/>
        <v>40</v>
      </c>
      <c r="X93" s="34">
        <f t="shared" si="18"/>
        <v>65</v>
      </c>
      <c r="Y93" s="34">
        <f t="shared" si="18"/>
        <v>42</v>
      </c>
      <c r="Z93" s="34">
        <f t="shared" si="18"/>
        <v>29</v>
      </c>
      <c r="AA93" s="34">
        <f t="shared" si="18"/>
        <v>34</v>
      </c>
      <c r="AB93" s="34">
        <f t="shared" si="18"/>
        <v>61</v>
      </c>
      <c r="AC93" s="34">
        <f t="shared" si="18"/>
        <v>77</v>
      </c>
      <c r="AD93" s="34">
        <f t="shared" si="18"/>
        <v>60</v>
      </c>
      <c r="AE93" s="34">
        <f t="shared" si="18"/>
        <v>59</v>
      </c>
      <c r="AF93" s="13">
        <f t="shared" si="13"/>
        <v>1524</v>
      </c>
    </row>
    <row r="94" spans="1:32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13">
        <f t="shared" si="13"/>
        <v>0</v>
      </c>
    </row>
    <row r="95" spans="1:32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1</v>
      </c>
      <c r="M95" s="15">
        <v>1</v>
      </c>
      <c r="N95" s="15">
        <v>1</v>
      </c>
      <c r="O95" s="15">
        <v>0</v>
      </c>
      <c r="P95" s="15">
        <v>1</v>
      </c>
      <c r="Q95" s="15">
        <v>0</v>
      </c>
      <c r="R95" s="15">
        <v>0</v>
      </c>
      <c r="S95" s="15">
        <v>0</v>
      </c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3">
        <f t="shared" si="13"/>
        <v>4</v>
      </c>
    </row>
    <row r="96" spans="1:32" ht="12.75" customHeight="1" x14ac:dyDescent="0.3">
      <c r="A96" s="19" t="s">
        <v>39</v>
      </c>
      <c r="B96" s="27"/>
      <c r="C96" s="28" t="s">
        <v>83</v>
      </c>
      <c r="D96" s="40"/>
      <c r="E96" s="15">
        <v>1</v>
      </c>
      <c r="F96" s="15">
        <v>0</v>
      </c>
      <c r="G96" s="15">
        <v>0</v>
      </c>
      <c r="H96" s="15">
        <v>1</v>
      </c>
      <c r="I96" s="15">
        <v>0</v>
      </c>
      <c r="J96" s="15">
        <v>0</v>
      </c>
      <c r="K96" s="15">
        <v>0</v>
      </c>
      <c r="L96" s="15">
        <v>0</v>
      </c>
      <c r="M96" s="15">
        <v>1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>
        <v>2</v>
      </c>
      <c r="AF96" s="13">
        <f t="shared" si="13"/>
        <v>5</v>
      </c>
    </row>
    <row r="97" spans="1:32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AE97" si="19">SUM(E95:E96)</f>
        <v>1</v>
      </c>
      <c r="F97" s="34">
        <f t="shared" si="19"/>
        <v>0</v>
      </c>
      <c r="G97" s="34">
        <f t="shared" si="19"/>
        <v>0</v>
      </c>
      <c r="H97" s="34">
        <f t="shared" si="19"/>
        <v>1</v>
      </c>
      <c r="I97" s="34">
        <f t="shared" si="19"/>
        <v>0</v>
      </c>
      <c r="J97" s="34">
        <f t="shared" si="19"/>
        <v>0</v>
      </c>
      <c r="K97" s="34">
        <f t="shared" si="19"/>
        <v>0</v>
      </c>
      <c r="L97" s="34">
        <f t="shared" si="19"/>
        <v>1</v>
      </c>
      <c r="M97" s="34">
        <f t="shared" si="19"/>
        <v>2</v>
      </c>
      <c r="N97" s="34">
        <f t="shared" si="19"/>
        <v>1</v>
      </c>
      <c r="O97" s="34">
        <f t="shared" si="19"/>
        <v>0</v>
      </c>
      <c r="P97" s="34">
        <f t="shared" si="19"/>
        <v>1</v>
      </c>
      <c r="Q97" s="34">
        <f t="shared" si="19"/>
        <v>0</v>
      </c>
      <c r="R97" s="34">
        <f t="shared" si="19"/>
        <v>0</v>
      </c>
      <c r="S97" s="34">
        <f t="shared" si="19"/>
        <v>0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0</v>
      </c>
      <c r="X97" s="34">
        <f t="shared" si="19"/>
        <v>0</v>
      </c>
      <c r="Y97" s="34">
        <f t="shared" si="19"/>
        <v>0</v>
      </c>
      <c r="Z97" s="34">
        <f t="shared" si="19"/>
        <v>0</v>
      </c>
      <c r="AA97" s="34">
        <f t="shared" si="19"/>
        <v>0</v>
      </c>
      <c r="AB97" s="34">
        <f t="shared" si="19"/>
        <v>0</v>
      </c>
      <c r="AC97" s="34">
        <f t="shared" si="19"/>
        <v>0</v>
      </c>
      <c r="AD97" s="34">
        <f t="shared" si="19"/>
        <v>0</v>
      </c>
      <c r="AE97" s="34">
        <f t="shared" si="19"/>
        <v>2</v>
      </c>
      <c r="AF97" s="13">
        <f t="shared" si="13"/>
        <v>9</v>
      </c>
    </row>
    <row r="98" spans="1:32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13">
        <f t="shared" si="13"/>
        <v>0</v>
      </c>
    </row>
    <row r="99" spans="1:32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1</v>
      </c>
      <c r="F99" s="15">
        <v>0</v>
      </c>
      <c r="G99" s="15">
        <v>0</v>
      </c>
      <c r="H99" s="15">
        <v>0</v>
      </c>
      <c r="I99" s="15">
        <v>0</v>
      </c>
      <c r="J99" s="15">
        <v>0</v>
      </c>
      <c r="K99" s="15">
        <v>1</v>
      </c>
      <c r="L99" s="15">
        <v>0</v>
      </c>
      <c r="M99" s="15">
        <v>1</v>
      </c>
      <c r="N99" s="15">
        <v>1</v>
      </c>
      <c r="O99" s="15">
        <v>0</v>
      </c>
      <c r="P99" s="15">
        <v>0</v>
      </c>
      <c r="Q99" s="15">
        <v>2</v>
      </c>
      <c r="R99" s="15">
        <v>4</v>
      </c>
      <c r="S99" s="15">
        <v>2</v>
      </c>
      <c r="T99" s="15">
        <v>1</v>
      </c>
      <c r="U99" s="15">
        <v>0</v>
      </c>
      <c r="V99" s="15">
        <v>0</v>
      </c>
      <c r="W99" s="15">
        <v>0</v>
      </c>
      <c r="X99" s="15">
        <v>0</v>
      </c>
      <c r="Y99" s="15">
        <v>1</v>
      </c>
      <c r="Z99" s="15">
        <v>0</v>
      </c>
      <c r="AA99" s="15">
        <v>0</v>
      </c>
      <c r="AB99" s="15">
        <v>0</v>
      </c>
      <c r="AC99" s="15">
        <v>1</v>
      </c>
      <c r="AD99" s="15">
        <v>0</v>
      </c>
      <c r="AE99" s="15">
        <v>1</v>
      </c>
      <c r="AF99" s="13">
        <f t="shared" si="13"/>
        <v>16</v>
      </c>
    </row>
    <row r="100" spans="1:32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0</v>
      </c>
      <c r="G100" s="15">
        <v>0</v>
      </c>
      <c r="H100" s="15">
        <v>1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1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0</v>
      </c>
      <c r="Z100" s="15">
        <v>1</v>
      </c>
      <c r="AA100" s="15">
        <v>0</v>
      </c>
      <c r="AB100" s="15">
        <v>0</v>
      </c>
      <c r="AC100" s="15">
        <v>1</v>
      </c>
      <c r="AD100" s="15">
        <v>0</v>
      </c>
      <c r="AE100" s="15">
        <v>0</v>
      </c>
      <c r="AF100" s="13">
        <f t="shared" si="13"/>
        <v>4</v>
      </c>
    </row>
    <row r="101" spans="1:32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E101" si="20">SUM(E99:E100)</f>
        <v>1</v>
      </c>
      <c r="F101" s="34">
        <f t="shared" si="20"/>
        <v>0</v>
      </c>
      <c r="G101" s="34">
        <f t="shared" si="20"/>
        <v>0</v>
      </c>
      <c r="H101" s="34">
        <f t="shared" si="20"/>
        <v>1</v>
      </c>
      <c r="I101" s="34">
        <f t="shared" si="20"/>
        <v>0</v>
      </c>
      <c r="J101" s="34">
        <f t="shared" si="20"/>
        <v>0</v>
      </c>
      <c r="K101" s="34">
        <f t="shared" si="20"/>
        <v>1</v>
      </c>
      <c r="L101" s="34">
        <f t="shared" si="20"/>
        <v>0</v>
      </c>
      <c r="M101" s="34">
        <f t="shared" si="20"/>
        <v>1</v>
      </c>
      <c r="N101" s="34">
        <f t="shared" si="20"/>
        <v>1</v>
      </c>
      <c r="O101" s="34">
        <f t="shared" si="20"/>
        <v>1</v>
      </c>
      <c r="P101" s="34">
        <f t="shared" si="20"/>
        <v>0</v>
      </c>
      <c r="Q101" s="34">
        <f t="shared" si="20"/>
        <v>2</v>
      </c>
      <c r="R101" s="34">
        <f t="shared" si="20"/>
        <v>4</v>
      </c>
      <c r="S101" s="34">
        <f t="shared" si="20"/>
        <v>2</v>
      </c>
      <c r="T101" s="34">
        <f t="shared" si="20"/>
        <v>1</v>
      </c>
      <c r="U101" s="34">
        <f t="shared" si="20"/>
        <v>0</v>
      </c>
      <c r="V101" s="34">
        <f t="shared" si="20"/>
        <v>0</v>
      </c>
      <c r="W101" s="34">
        <f t="shared" si="20"/>
        <v>0</v>
      </c>
      <c r="X101" s="34">
        <f t="shared" si="20"/>
        <v>0</v>
      </c>
      <c r="Y101" s="34">
        <f t="shared" si="20"/>
        <v>1</v>
      </c>
      <c r="Z101" s="34">
        <f t="shared" si="20"/>
        <v>1</v>
      </c>
      <c r="AA101" s="34">
        <f t="shared" si="20"/>
        <v>0</v>
      </c>
      <c r="AB101" s="34">
        <f t="shared" si="20"/>
        <v>0</v>
      </c>
      <c r="AC101" s="34">
        <f t="shared" si="20"/>
        <v>2</v>
      </c>
      <c r="AD101" s="34">
        <f t="shared" si="20"/>
        <v>0</v>
      </c>
      <c r="AE101" s="34">
        <f t="shared" si="20"/>
        <v>1</v>
      </c>
      <c r="AF101" s="13">
        <f t="shared" si="13"/>
        <v>20</v>
      </c>
    </row>
    <row r="102" spans="1:32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13">
        <f t="shared" si="13"/>
        <v>0</v>
      </c>
    </row>
    <row r="103" spans="1:32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1</v>
      </c>
      <c r="I103" s="15">
        <v>0</v>
      </c>
      <c r="J103" s="15">
        <v>0</v>
      </c>
      <c r="K103" s="15">
        <v>1</v>
      </c>
      <c r="L103" s="15">
        <v>0</v>
      </c>
      <c r="M103" s="15">
        <v>0</v>
      </c>
      <c r="N103" s="15">
        <v>0</v>
      </c>
      <c r="O103" s="15">
        <v>1</v>
      </c>
      <c r="P103" s="15">
        <v>0</v>
      </c>
      <c r="Q103" s="15">
        <v>1</v>
      </c>
      <c r="R103" s="15">
        <v>0</v>
      </c>
      <c r="S103" s="15">
        <v>3</v>
      </c>
      <c r="T103" s="15">
        <v>1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1</v>
      </c>
      <c r="AF103" s="13">
        <f t="shared" si="13"/>
        <v>9</v>
      </c>
    </row>
    <row r="104" spans="1:32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0</v>
      </c>
      <c r="G104" s="15">
        <v>1</v>
      </c>
      <c r="H104" s="15">
        <v>0</v>
      </c>
      <c r="I104" s="15">
        <v>0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1</v>
      </c>
      <c r="R104" s="15">
        <v>1</v>
      </c>
      <c r="S104" s="15">
        <v>0</v>
      </c>
      <c r="T104" s="15">
        <v>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1</v>
      </c>
      <c r="AF104" s="13">
        <f t="shared" si="13"/>
        <v>4</v>
      </c>
    </row>
    <row r="105" spans="1:32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0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1</v>
      </c>
      <c r="O105" s="15">
        <v>0</v>
      </c>
      <c r="P105" s="15">
        <v>0</v>
      </c>
      <c r="Q105" s="15">
        <v>2</v>
      </c>
      <c r="R105" s="15">
        <v>0</v>
      </c>
      <c r="S105" s="15">
        <v>0</v>
      </c>
      <c r="T105" s="15">
        <v>0</v>
      </c>
      <c r="U105" s="15">
        <v>0</v>
      </c>
      <c r="V105" s="15">
        <v>0</v>
      </c>
      <c r="W105" s="15">
        <v>1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3">
        <f t="shared" si="13"/>
        <v>4</v>
      </c>
    </row>
    <row r="106" spans="1:32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1</v>
      </c>
      <c r="M106" s="15">
        <v>0</v>
      </c>
      <c r="N106" s="15">
        <v>0</v>
      </c>
      <c r="O106" s="15">
        <v>1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1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3">
        <f t="shared" si="13"/>
        <v>3</v>
      </c>
    </row>
    <row r="107" spans="1:32" ht="12.75" customHeight="1" x14ac:dyDescent="0.3">
      <c r="A107" s="14"/>
      <c r="B107" s="27"/>
      <c r="C107" s="28" t="s">
        <v>92</v>
      </c>
      <c r="D107" s="29"/>
      <c r="E107" s="15">
        <v>0</v>
      </c>
      <c r="F107" s="15">
        <v>0</v>
      </c>
      <c r="G107" s="15">
        <v>0</v>
      </c>
      <c r="H107" s="15">
        <v>0</v>
      </c>
      <c r="I107" s="15">
        <v>0</v>
      </c>
      <c r="J107" s="15">
        <v>0</v>
      </c>
      <c r="K107" s="15">
        <v>0</v>
      </c>
      <c r="L107" s="15">
        <v>0</v>
      </c>
      <c r="M107" s="15">
        <v>1</v>
      </c>
      <c r="N107" s="15">
        <v>0</v>
      </c>
      <c r="O107" s="15">
        <v>0</v>
      </c>
      <c r="P107" s="15">
        <v>0</v>
      </c>
      <c r="Q107" s="15">
        <v>1</v>
      </c>
      <c r="R107" s="15">
        <v>1</v>
      </c>
      <c r="S107" s="15">
        <v>1</v>
      </c>
      <c r="T107" s="15">
        <v>0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1</v>
      </c>
      <c r="AA107" s="15">
        <v>5</v>
      </c>
      <c r="AB107" s="15">
        <v>1</v>
      </c>
      <c r="AC107" s="15">
        <v>0</v>
      </c>
      <c r="AD107" s="15">
        <v>0</v>
      </c>
      <c r="AE107" s="15">
        <v>0</v>
      </c>
      <c r="AF107" s="13">
        <f t="shared" si="13"/>
        <v>11</v>
      </c>
    </row>
    <row r="108" spans="1:32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3">
        <f t="shared" si="13"/>
        <v>0</v>
      </c>
    </row>
    <row r="109" spans="1:32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3">
        <f t="shared" si="13"/>
        <v>0</v>
      </c>
    </row>
    <row r="110" spans="1:32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3">
        <f t="shared" si="13"/>
        <v>0</v>
      </c>
    </row>
    <row r="111" spans="1:32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AE111" si="21">SUM(E103:E110)</f>
        <v>0</v>
      </c>
      <c r="F111" s="34">
        <f t="shared" si="21"/>
        <v>0</v>
      </c>
      <c r="G111" s="34">
        <f t="shared" si="21"/>
        <v>1</v>
      </c>
      <c r="H111" s="34">
        <f t="shared" si="21"/>
        <v>1</v>
      </c>
      <c r="I111" s="34">
        <f t="shared" si="21"/>
        <v>0</v>
      </c>
      <c r="J111" s="34">
        <f t="shared" si="21"/>
        <v>0</v>
      </c>
      <c r="K111" s="34">
        <f t="shared" si="21"/>
        <v>1</v>
      </c>
      <c r="L111" s="34">
        <f t="shared" si="21"/>
        <v>1</v>
      </c>
      <c r="M111" s="34">
        <f t="shared" si="21"/>
        <v>1</v>
      </c>
      <c r="N111" s="34">
        <f t="shared" si="21"/>
        <v>1</v>
      </c>
      <c r="O111" s="34">
        <f t="shared" si="21"/>
        <v>2</v>
      </c>
      <c r="P111" s="34">
        <f t="shared" si="21"/>
        <v>0</v>
      </c>
      <c r="Q111" s="34">
        <f t="shared" si="21"/>
        <v>5</v>
      </c>
      <c r="R111" s="34">
        <f t="shared" si="21"/>
        <v>2</v>
      </c>
      <c r="S111" s="34">
        <f t="shared" si="21"/>
        <v>4</v>
      </c>
      <c r="T111" s="34">
        <f t="shared" si="21"/>
        <v>1</v>
      </c>
      <c r="U111" s="34">
        <f t="shared" si="21"/>
        <v>1</v>
      </c>
      <c r="V111" s="34">
        <f t="shared" si="21"/>
        <v>0</v>
      </c>
      <c r="W111" s="34">
        <f t="shared" si="21"/>
        <v>1</v>
      </c>
      <c r="X111" s="34">
        <f t="shared" si="21"/>
        <v>0</v>
      </c>
      <c r="Y111" s="34">
        <f t="shared" si="21"/>
        <v>0</v>
      </c>
      <c r="Z111" s="34">
        <f t="shared" si="21"/>
        <v>1</v>
      </c>
      <c r="AA111" s="34">
        <f t="shared" si="21"/>
        <v>5</v>
      </c>
      <c r="AB111" s="34">
        <f t="shared" si="21"/>
        <v>1</v>
      </c>
      <c r="AC111" s="34">
        <f t="shared" si="21"/>
        <v>0</v>
      </c>
      <c r="AD111" s="34">
        <f t="shared" si="21"/>
        <v>0</v>
      </c>
      <c r="AE111" s="34">
        <f t="shared" si="21"/>
        <v>2</v>
      </c>
      <c r="AF111" s="13">
        <f t="shared" si="13"/>
        <v>31</v>
      </c>
    </row>
    <row r="112" spans="1:32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13">
        <f t="shared" si="13"/>
        <v>0</v>
      </c>
    </row>
    <row r="113" spans="1:34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1</v>
      </c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3">
        <f t="shared" si="13"/>
        <v>1</v>
      </c>
    </row>
    <row r="114" spans="1:34" ht="12.75" customHeight="1" x14ac:dyDescent="0.3">
      <c r="A114" s="19" t="s">
        <v>39</v>
      </c>
      <c r="B114" s="26"/>
      <c r="C114" s="28" t="s">
        <v>98</v>
      </c>
      <c r="D114" s="40"/>
      <c r="E114" s="15">
        <v>1</v>
      </c>
      <c r="F114" s="15">
        <v>0</v>
      </c>
      <c r="G114" s="15">
        <v>0</v>
      </c>
      <c r="H114" s="15">
        <v>0</v>
      </c>
      <c r="I114" s="15">
        <v>0</v>
      </c>
      <c r="J114" s="15">
        <v>0</v>
      </c>
      <c r="K114" s="15">
        <v>0</v>
      </c>
      <c r="L114" s="15">
        <v>1</v>
      </c>
      <c r="M114" s="15">
        <v>0</v>
      </c>
      <c r="N114" s="15">
        <v>0</v>
      </c>
      <c r="O114" s="15">
        <v>0</v>
      </c>
      <c r="P114" s="15">
        <v>8</v>
      </c>
      <c r="Q114" s="15">
        <v>0</v>
      </c>
      <c r="R114" s="15">
        <v>0</v>
      </c>
      <c r="S114" s="15">
        <v>0</v>
      </c>
      <c r="T114" s="15"/>
      <c r="U114" s="15">
        <v>1</v>
      </c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3">
        <f t="shared" si="13"/>
        <v>11</v>
      </c>
    </row>
    <row r="115" spans="1:34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E115" si="22">SUM(E113:E114)</f>
        <v>1</v>
      </c>
      <c r="F115" s="34">
        <f t="shared" si="22"/>
        <v>0</v>
      </c>
      <c r="G115" s="34">
        <f t="shared" si="22"/>
        <v>0</v>
      </c>
      <c r="H115" s="34">
        <f t="shared" si="22"/>
        <v>0</v>
      </c>
      <c r="I115" s="34">
        <f t="shared" si="22"/>
        <v>0</v>
      </c>
      <c r="J115" s="34">
        <f t="shared" si="22"/>
        <v>0</v>
      </c>
      <c r="K115" s="34">
        <f t="shared" si="22"/>
        <v>0</v>
      </c>
      <c r="L115" s="34">
        <f t="shared" si="22"/>
        <v>1</v>
      </c>
      <c r="M115" s="34">
        <f t="shared" si="22"/>
        <v>0</v>
      </c>
      <c r="N115" s="34">
        <f t="shared" si="22"/>
        <v>0</v>
      </c>
      <c r="O115" s="34">
        <f t="shared" si="22"/>
        <v>0</v>
      </c>
      <c r="P115" s="34">
        <f t="shared" si="22"/>
        <v>8</v>
      </c>
      <c r="Q115" s="34">
        <f t="shared" si="22"/>
        <v>0</v>
      </c>
      <c r="R115" s="34">
        <f t="shared" si="22"/>
        <v>0</v>
      </c>
      <c r="S115" s="34">
        <f t="shared" si="22"/>
        <v>1</v>
      </c>
      <c r="T115" s="34">
        <f t="shared" si="22"/>
        <v>0</v>
      </c>
      <c r="U115" s="34">
        <f t="shared" si="22"/>
        <v>1</v>
      </c>
      <c r="V115" s="34">
        <f t="shared" si="22"/>
        <v>0</v>
      </c>
      <c r="W115" s="34">
        <f t="shared" si="22"/>
        <v>0</v>
      </c>
      <c r="X115" s="34">
        <f t="shared" si="22"/>
        <v>0</v>
      </c>
      <c r="Y115" s="34">
        <f t="shared" si="22"/>
        <v>0</v>
      </c>
      <c r="Z115" s="34">
        <f t="shared" si="22"/>
        <v>0</v>
      </c>
      <c r="AA115" s="34">
        <f t="shared" si="22"/>
        <v>0</v>
      </c>
      <c r="AB115" s="34">
        <f t="shared" si="22"/>
        <v>0</v>
      </c>
      <c r="AC115" s="34">
        <f t="shared" si="22"/>
        <v>0</v>
      </c>
      <c r="AD115" s="34">
        <f t="shared" si="22"/>
        <v>0</v>
      </c>
      <c r="AE115" s="34">
        <f t="shared" si="22"/>
        <v>0</v>
      </c>
      <c r="AF115" s="13">
        <f t="shared" si="13"/>
        <v>12</v>
      </c>
    </row>
    <row r="116" spans="1:34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13">
        <f t="shared" si="13"/>
        <v>0</v>
      </c>
    </row>
    <row r="117" spans="1:34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1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1</v>
      </c>
      <c r="Z117" s="15">
        <v>0</v>
      </c>
      <c r="AA117" s="15">
        <v>0</v>
      </c>
      <c r="AB117" s="15">
        <v>0</v>
      </c>
      <c r="AC117" s="15">
        <v>1</v>
      </c>
      <c r="AD117" s="15">
        <v>0</v>
      </c>
      <c r="AE117" s="15">
        <v>0</v>
      </c>
      <c r="AF117" s="13">
        <f t="shared" si="13"/>
        <v>3</v>
      </c>
      <c r="AG117" s="5"/>
      <c r="AH117" s="5"/>
    </row>
    <row r="118" spans="1:34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0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1</v>
      </c>
      <c r="P118" s="15">
        <v>0</v>
      </c>
      <c r="Q118" s="15">
        <v>0</v>
      </c>
      <c r="R118" s="15">
        <v>1</v>
      </c>
      <c r="S118" s="15">
        <v>0</v>
      </c>
      <c r="T118" s="15">
        <v>0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3">
        <f t="shared" si="13"/>
        <v>2</v>
      </c>
      <c r="AG118" s="5"/>
      <c r="AH118" s="5"/>
    </row>
    <row r="119" spans="1:34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1</v>
      </c>
      <c r="T119" s="15">
        <v>0</v>
      </c>
      <c r="U119" s="15">
        <v>0</v>
      </c>
      <c r="V119" s="15">
        <v>1</v>
      </c>
      <c r="W119" s="15">
        <v>0</v>
      </c>
      <c r="X119" s="15">
        <v>0</v>
      </c>
      <c r="Y119" s="15">
        <v>0</v>
      </c>
      <c r="Z119" s="15">
        <v>1</v>
      </c>
      <c r="AA119" s="15">
        <v>0</v>
      </c>
      <c r="AB119" s="15">
        <v>0</v>
      </c>
      <c r="AC119" s="15">
        <v>2</v>
      </c>
      <c r="AD119" s="15">
        <v>0</v>
      </c>
      <c r="AE119" s="15">
        <v>0</v>
      </c>
      <c r="AF119" s="13">
        <f t="shared" si="13"/>
        <v>5</v>
      </c>
      <c r="AG119" s="5"/>
      <c r="AH119" s="5"/>
    </row>
    <row r="120" spans="1:34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3">
        <f t="shared" si="13"/>
        <v>0</v>
      </c>
      <c r="AG120" s="5"/>
      <c r="AH120" s="5"/>
    </row>
    <row r="121" spans="1:34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3">
        <f t="shared" si="13"/>
        <v>0</v>
      </c>
      <c r="AG121" s="5"/>
      <c r="AH121" s="5"/>
    </row>
    <row r="122" spans="1:34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0</v>
      </c>
      <c r="M122" s="15">
        <v>2</v>
      </c>
      <c r="N122" s="15">
        <v>0</v>
      </c>
      <c r="O122" s="15">
        <v>1</v>
      </c>
      <c r="P122" s="15">
        <v>0</v>
      </c>
      <c r="Q122" s="15">
        <v>0</v>
      </c>
      <c r="R122" s="15">
        <v>0</v>
      </c>
      <c r="S122" s="15">
        <v>0</v>
      </c>
      <c r="T122" s="15">
        <v>0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3">
        <f t="shared" si="13"/>
        <v>3</v>
      </c>
      <c r="AG122" s="5"/>
      <c r="AH122" s="5"/>
    </row>
    <row r="123" spans="1:34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3">
        <f t="shared" si="13"/>
        <v>0</v>
      </c>
      <c r="AG123" s="5"/>
      <c r="AH123" s="5"/>
    </row>
    <row r="124" spans="1:34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3">
        <f t="shared" si="13"/>
        <v>0</v>
      </c>
      <c r="AG124" s="5"/>
      <c r="AH124" s="5"/>
    </row>
    <row r="125" spans="1:34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E125" si="23">SUM(E117:E124)</f>
        <v>0</v>
      </c>
      <c r="F125" s="34">
        <f t="shared" si="23"/>
        <v>0</v>
      </c>
      <c r="G125" s="34">
        <f t="shared" si="23"/>
        <v>0</v>
      </c>
      <c r="H125" s="34">
        <f t="shared" si="23"/>
        <v>0</v>
      </c>
      <c r="I125" s="34">
        <f t="shared" si="23"/>
        <v>0</v>
      </c>
      <c r="J125" s="34">
        <f t="shared" si="23"/>
        <v>1</v>
      </c>
      <c r="K125" s="34">
        <f t="shared" si="23"/>
        <v>0</v>
      </c>
      <c r="L125" s="34">
        <f t="shared" si="23"/>
        <v>0</v>
      </c>
      <c r="M125" s="34">
        <f t="shared" si="23"/>
        <v>2</v>
      </c>
      <c r="N125" s="34">
        <f t="shared" si="23"/>
        <v>0</v>
      </c>
      <c r="O125" s="34">
        <f t="shared" si="23"/>
        <v>2</v>
      </c>
      <c r="P125" s="34">
        <f t="shared" si="23"/>
        <v>0</v>
      </c>
      <c r="Q125" s="34">
        <f t="shared" si="23"/>
        <v>0</v>
      </c>
      <c r="R125" s="34">
        <f t="shared" si="23"/>
        <v>1</v>
      </c>
      <c r="S125" s="34">
        <f t="shared" si="23"/>
        <v>1</v>
      </c>
      <c r="T125" s="34">
        <f t="shared" si="23"/>
        <v>0</v>
      </c>
      <c r="U125" s="34">
        <f t="shared" si="23"/>
        <v>0</v>
      </c>
      <c r="V125" s="34">
        <f t="shared" si="23"/>
        <v>1</v>
      </c>
      <c r="W125" s="34">
        <f t="shared" si="23"/>
        <v>0</v>
      </c>
      <c r="X125" s="34">
        <f t="shared" si="23"/>
        <v>0</v>
      </c>
      <c r="Y125" s="34">
        <f t="shared" si="23"/>
        <v>1</v>
      </c>
      <c r="Z125" s="34">
        <f t="shared" si="23"/>
        <v>1</v>
      </c>
      <c r="AA125" s="34">
        <f t="shared" si="23"/>
        <v>0</v>
      </c>
      <c r="AB125" s="34">
        <f t="shared" si="23"/>
        <v>0</v>
      </c>
      <c r="AC125" s="34">
        <f t="shared" si="23"/>
        <v>3</v>
      </c>
      <c r="AD125" s="34">
        <f t="shared" si="23"/>
        <v>0</v>
      </c>
      <c r="AE125" s="34">
        <f t="shared" si="23"/>
        <v>0</v>
      </c>
      <c r="AF125" s="13">
        <f t="shared" si="13"/>
        <v>13</v>
      </c>
      <c r="AG125" s="5"/>
      <c r="AH125" s="5"/>
    </row>
    <row r="126" spans="1:34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13">
        <f t="shared" si="13"/>
        <v>0</v>
      </c>
      <c r="AG126" s="5"/>
      <c r="AH126" s="5"/>
    </row>
    <row r="127" spans="1:34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/>
      <c r="F127" s="15"/>
      <c r="G127" s="15">
        <v>1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>
        <v>1</v>
      </c>
      <c r="AC127" s="15"/>
      <c r="AD127" s="15"/>
      <c r="AE127" s="15"/>
      <c r="AF127" s="13">
        <f t="shared" si="13"/>
        <v>2</v>
      </c>
      <c r="AG127" s="5"/>
      <c r="AH127" s="5"/>
    </row>
    <row r="128" spans="1:34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3">
        <f t="shared" si="13"/>
        <v>0</v>
      </c>
      <c r="AG128" s="5"/>
      <c r="AH128" s="5"/>
    </row>
    <row r="129" spans="1:34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E129" si="24">SUM(E127:E128)</f>
        <v>0</v>
      </c>
      <c r="F129" s="34">
        <f t="shared" si="24"/>
        <v>0</v>
      </c>
      <c r="G129" s="34">
        <f t="shared" si="24"/>
        <v>1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0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0</v>
      </c>
      <c r="T129" s="34">
        <f t="shared" si="24"/>
        <v>0</v>
      </c>
      <c r="U129" s="34">
        <f t="shared" si="24"/>
        <v>0</v>
      </c>
      <c r="V129" s="34">
        <f t="shared" si="24"/>
        <v>0</v>
      </c>
      <c r="W129" s="34">
        <f t="shared" si="24"/>
        <v>0</v>
      </c>
      <c r="X129" s="34">
        <f t="shared" si="24"/>
        <v>0</v>
      </c>
      <c r="Y129" s="34">
        <f t="shared" si="24"/>
        <v>0</v>
      </c>
      <c r="Z129" s="34">
        <f t="shared" si="24"/>
        <v>0</v>
      </c>
      <c r="AA129" s="34">
        <f t="shared" si="24"/>
        <v>0</v>
      </c>
      <c r="AB129" s="34">
        <f t="shared" si="24"/>
        <v>1</v>
      </c>
      <c r="AC129" s="34">
        <f t="shared" si="24"/>
        <v>0</v>
      </c>
      <c r="AD129" s="34">
        <f t="shared" si="24"/>
        <v>0</v>
      </c>
      <c r="AE129" s="34">
        <f t="shared" si="24"/>
        <v>0</v>
      </c>
      <c r="AF129" s="13">
        <f t="shared" si="13"/>
        <v>2</v>
      </c>
      <c r="AG129" s="5"/>
      <c r="AH129" s="5"/>
    </row>
    <row r="130" spans="1:34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13">
        <f t="shared" si="13"/>
        <v>0</v>
      </c>
      <c r="AG130" s="1"/>
      <c r="AH130" s="1"/>
    </row>
    <row r="131" spans="1:34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0</v>
      </c>
      <c r="F131" s="15">
        <v>0</v>
      </c>
      <c r="G131" s="15">
        <v>0</v>
      </c>
      <c r="H131" s="15">
        <v>0</v>
      </c>
      <c r="I131" s="15">
        <v>0</v>
      </c>
      <c r="J131" s="15">
        <v>0</v>
      </c>
      <c r="K131" s="15">
        <v>0</v>
      </c>
      <c r="L131" s="15">
        <v>1</v>
      </c>
      <c r="M131" s="15">
        <v>0</v>
      </c>
      <c r="N131" s="15">
        <v>0</v>
      </c>
      <c r="O131" s="15">
        <v>0</v>
      </c>
      <c r="P131" s="15">
        <v>0</v>
      </c>
      <c r="Q131" s="15">
        <v>2</v>
      </c>
      <c r="R131" s="15">
        <v>1</v>
      </c>
      <c r="S131" s="15">
        <v>2</v>
      </c>
      <c r="T131" s="15">
        <v>0</v>
      </c>
      <c r="U131" s="15">
        <v>2</v>
      </c>
      <c r="V131" s="15">
        <v>0</v>
      </c>
      <c r="W131" s="15">
        <v>0</v>
      </c>
      <c r="X131" s="15">
        <v>0</v>
      </c>
      <c r="Y131" s="15">
        <v>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1</v>
      </c>
      <c r="AF131" s="13">
        <f t="shared" si="13"/>
        <v>10</v>
      </c>
      <c r="AG131" s="31"/>
      <c r="AH131" s="31"/>
    </row>
    <row r="132" spans="1:34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0</v>
      </c>
      <c r="K132" s="15">
        <v>0</v>
      </c>
      <c r="L132" s="15">
        <v>1</v>
      </c>
      <c r="M132" s="15">
        <v>0</v>
      </c>
      <c r="N132" s="15">
        <v>0</v>
      </c>
      <c r="O132" s="15">
        <v>1</v>
      </c>
      <c r="P132" s="15">
        <v>0</v>
      </c>
      <c r="Q132" s="15">
        <v>0</v>
      </c>
      <c r="R132" s="15">
        <v>0</v>
      </c>
      <c r="S132" s="15">
        <v>0</v>
      </c>
      <c r="T132" s="15">
        <v>0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3">
        <f t="shared" si="13"/>
        <v>2</v>
      </c>
      <c r="AG132" s="5"/>
      <c r="AH132" s="5"/>
    </row>
    <row r="133" spans="1:34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1</v>
      </c>
      <c r="P133" s="15">
        <v>0</v>
      </c>
      <c r="Q133" s="15">
        <v>0</v>
      </c>
      <c r="R133" s="15">
        <v>0</v>
      </c>
      <c r="S133" s="15">
        <v>1</v>
      </c>
      <c r="T133" s="15">
        <v>0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1</v>
      </c>
      <c r="AF133" s="13">
        <f t="shared" si="13"/>
        <v>3</v>
      </c>
      <c r="AG133" s="5"/>
      <c r="AH133" s="5"/>
    </row>
    <row r="134" spans="1:34" ht="12.75" customHeight="1" x14ac:dyDescent="0.3">
      <c r="A134" s="14"/>
      <c r="B134" s="27"/>
      <c r="C134" s="28" t="s">
        <v>114</v>
      </c>
      <c r="D134" s="29"/>
      <c r="E134" s="15">
        <v>1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1</v>
      </c>
      <c r="X134" s="15">
        <v>0</v>
      </c>
      <c r="Y134" s="15">
        <v>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3">
        <f t="shared" si="13"/>
        <v>3</v>
      </c>
      <c r="AG134" s="5"/>
      <c r="AH134" s="5"/>
    </row>
    <row r="135" spans="1:34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3">
        <f t="shared" si="13"/>
        <v>0</v>
      </c>
      <c r="AG135" s="5"/>
      <c r="AH135" s="5"/>
    </row>
    <row r="136" spans="1:34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E136" si="25">SUM(E131:E135)</f>
        <v>1</v>
      </c>
      <c r="F136" s="34">
        <f t="shared" si="25"/>
        <v>0</v>
      </c>
      <c r="G136" s="34">
        <f t="shared" si="25"/>
        <v>0</v>
      </c>
      <c r="H136" s="34">
        <f t="shared" si="25"/>
        <v>0</v>
      </c>
      <c r="I136" s="34">
        <f t="shared" si="25"/>
        <v>0</v>
      </c>
      <c r="J136" s="34">
        <f t="shared" si="25"/>
        <v>0</v>
      </c>
      <c r="K136" s="34">
        <f t="shared" si="25"/>
        <v>0</v>
      </c>
      <c r="L136" s="34">
        <f t="shared" si="25"/>
        <v>2</v>
      </c>
      <c r="M136" s="34">
        <f t="shared" si="25"/>
        <v>0</v>
      </c>
      <c r="N136" s="34">
        <f t="shared" si="25"/>
        <v>0</v>
      </c>
      <c r="O136" s="34">
        <f t="shared" si="25"/>
        <v>2</v>
      </c>
      <c r="P136" s="34">
        <f t="shared" si="25"/>
        <v>0</v>
      </c>
      <c r="Q136" s="34">
        <f t="shared" si="25"/>
        <v>2</v>
      </c>
      <c r="R136" s="34">
        <f t="shared" si="25"/>
        <v>1</v>
      </c>
      <c r="S136" s="34">
        <f t="shared" si="25"/>
        <v>3</v>
      </c>
      <c r="T136" s="34">
        <f t="shared" si="25"/>
        <v>0</v>
      </c>
      <c r="U136" s="34">
        <f t="shared" si="25"/>
        <v>2</v>
      </c>
      <c r="V136" s="34">
        <f t="shared" si="25"/>
        <v>0</v>
      </c>
      <c r="W136" s="34">
        <f t="shared" si="25"/>
        <v>1</v>
      </c>
      <c r="X136" s="34">
        <f t="shared" si="25"/>
        <v>0</v>
      </c>
      <c r="Y136" s="34">
        <f t="shared" si="25"/>
        <v>2</v>
      </c>
      <c r="Z136" s="34">
        <f t="shared" si="25"/>
        <v>0</v>
      </c>
      <c r="AA136" s="34">
        <f t="shared" si="25"/>
        <v>0</v>
      </c>
      <c r="AB136" s="34">
        <f t="shared" si="25"/>
        <v>0</v>
      </c>
      <c r="AC136" s="34">
        <f t="shared" si="25"/>
        <v>0</v>
      </c>
      <c r="AD136" s="34">
        <f t="shared" si="25"/>
        <v>0</v>
      </c>
      <c r="AE136" s="34">
        <f t="shared" si="25"/>
        <v>2</v>
      </c>
      <c r="AF136" s="13">
        <f t="shared" si="13"/>
        <v>18</v>
      </c>
      <c r="AG136" s="5"/>
      <c r="AH136" s="5"/>
    </row>
    <row r="137" spans="1:34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13">
        <f t="shared" si="13"/>
        <v>0</v>
      </c>
      <c r="AG137" s="5"/>
      <c r="AH137" s="5"/>
    </row>
    <row r="138" spans="1:34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>
        <v>0</v>
      </c>
      <c r="U138" s="15">
        <v>0</v>
      </c>
      <c r="V138" s="15">
        <v>0</v>
      </c>
      <c r="W138" s="15">
        <v>0</v>
      </c>
      <c r="X138" s="15">
        <v>1</v>
      </c>
      <c r="Y138" s="15">
        <v>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3">
        <f t="shared" si="13"/>
        <v>1</v>
      </c>
      <c r="AG138" s="5"/>
      <c r="AH138" s="5"/>
    </row>
    <row r="139" spans="1:34" ht="12.75" customHeight="1" x14ac:dyDescent="0.3">
      <c r="A139" s="19" t="s">
        <v>39</v>
      </c>
      <c r="B139" s="27"/>
      <c r="C139" s="28" t="s">
        <v>118</v>
      </c>
      <c r="D139" s="29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3">
        <f t="shared" si="13"/>
        <v>0</v>
      </c>
      <c r="AG139" s="5"/>
      <c r="AH139" s="5"/>
    </row>
    <row r="140" spans="1:34" ht="12.75" customHeight="1" x14ac:dyDescent="0.3">
      <c r="A140" s="14"/>
      <c r="B140" s="27"/>
      <c r="C140" s="28" t="s">
        <v>119</v>
      </c>
      <c r="D140" s="29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3">
        <f t="shared" si="13"/>
        <v>0</v>
      </c>
      <c r="AG140" s="5"/>
      <c r="AH140" s="5"/>
    </row>
    <row r="141" spans="1:34" ht="12.75" customHeight="1" x14ac:dyDescent="0.3">
      <c r="A141" s="14"/>
      <c r="B141" s="27"/>
      <c r="C141" s="28" t="s">
        <v>120</v>
      </c>
      <c r="D141" s="29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>
        <v>0</v>
      </c>
      <c r="U141" s="15">
        <v>0</v>
      </c>
      <c r="V141" s="15">
        <v>0</v>
      </c>
      <c r="W141" s="15">
        <v>0</v>
      </c>
      <c r="X141" s="15">
        <v>1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3">
        <f t="shared" si="13"/>
        <v>1</v>
      </c>
      <c r="AG141" s="1"/>
      <c r="AH141" s="1"/>
    </row>
    <row r="142" spans="1:34" ht="12.75" customHeight="1" x14ac:dyDescent="0.3">
      <c r="A142" s="14"/>
      <c r="B142" s="27"/>
      <c r="C142" s="28" t="s">
        <v>121</v>
      </c>
      <c r="D142" s="29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1</v>
      </c>
      <c r="AB142" s="15">
        <v>0</v>
      </c>
      <c r="AC142" s="15">
        <v>0</v>
      </c>
      <c r="AD142" s="15">
        <v>0</v>
      </c>
      <c r="AE142" s="15">
        <v>0</v>
      </c>
      <c r="AF142" s="13">
        <f t="shared" si="13"/>
        <v>1</v>
      </c>
      <c r="AG142" s="31"/>
      <c r="AH142" s="31"/>
    </row>
    <row r="143" spans="1:34" ht="12.75" customHeight="1" x14ac:dyDescent="0.3">
      <c r="A143" s="14"/>
      <c r="B143" s="27"/>
      <c r="C143" s="28" t="s">
        <v>122</v>
      </c>
      <c r="D143" s="29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>
        <v>0</v>
      </c>
      <c r="U143" s="15">
        <v>1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3">
        <f t="shared" si="13"/>
        <v>1</v>
      </c>
      <c r="AG143" s="5"/>
      <c r="AH143" s="5"/>
    </row>
    <row r="144" spans="1:34" ht="12.75" customHeight="1" x14ac:dyDescent="0.3">
      <c r="A144" s="14"/>
      <c r="B144" s="27"/>
      <c r="C144" s="28" t="s">
        <v>123</v>
      </c>
      <c r="D144" s="29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3">
        <f t="shared" si="13"/>
        <v>0</v>
      </c>
      <c r="AG144" s="5"/>
      <c r="AH144" s="5"/>
    </row>
    <row r="145" spans="1:34" ht="12.75" customHeight="1" x14ac:dyDescent="0.3">
      <c r="A145" s="14"/>
      <c r="B145" s="27"/>
      <c r="C145" s="28" t="s">
        <v>124</v>
      </c>
      <c r="D145" s="29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3">
        <f t="shared" si="13"/>
        <v>0</v>
      </c>
      <c r="AG145" s="5"/>
      <c r="AH145" s="5"/>
    </row>
    <row r="146" spans="1:34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E146" si="26">SUM(E138:E145)</f>
        <v>0</v>
      </c>
      <c r="F146" s="34">
        <f t="shared" si="26"/>
        <v>0</v>
      </c>
      <c r="G146" s="34">
        <f t="shared" si="26"/>
        <v>0</v>
      </c>
      <c r="H146" s="34">
        <f t="shared" si="26"/>
        <v>0</v>
      </c>
      <c r="I146" s="34">
        <f t="shared" si="26"/>
        <v>0</v>
      </c>
      <c r="J146" s="34">
        <f t="shared" si="26"/>
        <v>0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0</v>
      </c>
      <c r="P146" s="34">
        <f t="shared" si="26"/>
        <v>0</v>
      </c>
      <c r="Q146" s="34">
        <f t="shared" si="26"/>
        <v>0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1</v>
      </c>
      <c r="V146" s="34">
        <f t="shared" si="26"/>
        <v>0</v>
      </c>
      <c r="W146" s="34">
        <f t="shared" si="26"/>
        <v>0</v>
      </c>
      <c r="X146" s="34">
        <f t="shared" si="26"/>
        <v>2</v>
      </c>
      <c r="Y146" s="34">
        <f t="shared" si="26"/>
        <v>0</v>
      </c>
      <c r="Z146" s="34">
        <f t="shared" si="26"/>
        <v>0</v>
      </c>
      <c r="AA146" s="34">
        <f t="shared" si="26"/>
        <v>1</v>
      </c>
      <c r="AB146" s="34">
        <f t="shared" si="26"/>
        <v>0</v>
      </c>
      <c r="AC146" s="34">
        <f t="shared" si="26"/>
        <v>0</v>
      </c>
      <c r="AD146" s="34">
        <f t="shared" si="26"/>
        <v>0</v>
      </c>
      <c r="AE146" s="34">
        <f t="shared" si="26"/>
        <v>0</v>
      </c>
      <c r="AF146" s="13">
        <f t="shared" si="13"/>
        <v>4</v>
      </c>
      <c r="AG146" s="5"/>
      <c r="AH146" s="5"/>
    </row>
    <row r="147" spans="1:34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13">
        <f t="shared" si="13"/>
        <v>0</v>
      </c>
      <c r="AG147" s="5"/>
      <c r="AH147" s="5"/>
    </row>
    <row r="148" spans="1:34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1</v>
      </c>
      <c r="F148" s="15">
        <v>7</v>
      </c>
      <c r="G148" s="15">
        <v>2</v>
      </c>
      <c r="H148" s="15">
        <v>3</v>
      </c>
      <c r="I148" s="15">
        <v>0</v>
      </c>
      <c r="J148" s="15">
        <v>2</v>
      </c>
      <c r="K148" s="15">
        <v>1</v>
      </c>
      <c r="L148" s="15">
        <v>2</v>
      </c>
      <c r="M148" s="15">
        <v>5</v>
      </c>
      <c r="N148" s="15">
        <v>3</v>
      </c>
      <c r="O148" s="15">
        <v>2</v>
      </c>
      <c r="P148" s="15">
        <v>1</v>
      </c>
      <c r="Q148" s="15">
        <v>3</v>
      </c>
      <c r="R148" s="15">
        <v>3</v>
      </c>
      <c r="S148" s="15">
        <v>4</v>
      </c>
      <c r="T148" s="15">
        <v>3</v>
      </c>
      <c r="U148" s="15">
        <v>3</v>
      </c>
      <c r="V148" s="15">
        <v>1</v>
      </c>
      <c r="W148" s="15">
        <v>0</v>
      </c>
      <c r="X148" s="15">
        <v>2</v>
      </c>
      <c r="Y148" s="15">
        <v>0</v>
      </c>
      <c r="Z148" s="15">
        <v>0</v>
      </c>
      <c r="AA148" s="15">
        <v>0</v>
      </c>
      <c r="AB148" s="15">
        <v>0</v>
      </c>
      <c r="AC148" s="15">
        <v>2</v>
      </c>
      <c r="AD148" s="15">
        <v>0</v>
      </c>
      <c r="AE148" s="15">
        <v>0</v>
      </c>
      <c r="AF148" s="13">
        <f t="shared" si="13"/>
        <v>50</v>
      </c>
      <c r="AG148" s="5"/>
      <c r="AH148" s="5"/>
    </row>
    <row r="149" spans="1:34" ht="12.75" customHeight="1" x14ac:dyDescent="0.3">
      <c r="A149" s="19" t="s">
        <v>39</v>
      </c>
      <c r="B149" s="27"/>
      <c r="C149" s="28" t="s">
        <v>127</v>
      </c>
      <c r="D149" s="29"/>
      <c r="E149" s="15">
        <v>3</v>
      </c>
      <c r="F149" s="15">
        <v>6</v>
      </c>
      <c r="G149" s="15">
        <v>0</v>
      </c>
      <c r="H149" s="15">
        <v>2</v>
      </c>
      <c r="I149" s="15">
        <v>1</v>
      </c>
      <c r="J149" s="15">
        <v>2</v>
      </c>
      <c r="K149" s="15">
        <v>0</v>
      </c>
      <c r="L149" s="15">
        <v>3</v>
      </c>
      <c r="M149" s="15">
        <v>5</v>
      </c>
      <c r="N149" s="15">
        <v>14</v>
      </c>
      <c r="O149" s="15">
        <v>18</v>
      </c>
      <c r="P149" s="15">
        <v>21</v>
      </c>
      <c r="Q149" s="15">
        <v>2</v>
      </c>
      <c r="R149" s="15">
        <v>5</v>
      </c>
      <c r="S149" s="15">
        <v>13</v>
      </c>
      <c r="T149" s="15">
        <v>8</v>
      </c>
      <c r="U149" s="15">
        <v>1</v>
      </c>
      <c r="V149" s="15">
        <v>0</v>
      </c>
      <c r="W149" s="15">
        <v>2</v>
      </c>
      <c r="X149" s="15">
        <v>1</v>
      </c>
      <c r="Y149" s="15">
        <v>3</v>
      </c>
      <c r="Z149" s="15">
        <v>2</v>
      </c>
      <c r="AA149" s="15">
        <v>2</v>
      </c>
      <c r="AB149" s="15">
        <v>1</v>
      </c>
      <c r="AC149" s="15">
        <v>0</v>
      </c>
      <c r="AD149" s="15">
        <v>0</v>
      </c>
      <c r="AE149" s="15">
        <v>0</v>
      </c>
      <c r="AF149" s="13">
        <f t="shared" si="13"/>
        <v>115</v>
      </c>
      <c r="AG149" s="5"/>
      <c r="AH149" s="5"/>
    </row>
    <row r="150" spans="1:34" ht="12.75" customHeight="1" x14ac:dyDescent="0.3">
      <c r="A150" s="14"/>
      <c r="B150" s="27"/>
      <c r="C150" s="28" t="s">
        <v>128</v>
      </c>
      <c r="D150" s="29"/>
      <c r="E150" s="15">
        <v>0</v>
      </c>
      <c r="F150" s="15">
        <v>1</v>
      </c>
      <c r="G150" s="15">
        <v>0</v>
      </c>
      <c r="H150" s="15">
        <v>0</v>
      </c>
      <c r="I150" s="15">
        <v>0</v>
      </c>
      <c r="J150" s="15">
        <v>1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1</v>
      </c>
      <c r="T150" s="15">
        <v>0</v>
      </c>
      <c r="U150" s="15">
        <v>0</v>
      </c>
      <c r="V150" s="15">
        <v>0</v>
      </c>
      <c r="W150" s="15">
        <v>0</v>
      </c>
      <c r="X150" s="15">
        <v>0</v>
      </c>
      <c r="Y150" s="15">
        <v>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3">
        <f t="shared" si="13"/>
        <v>3</v>
      </c>
      <c r="AG150" s="5"/>
      <c r="AH150" s="5"/>
    </row>
    <row r="151" spans="1:34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0</v>
      </c>
      <c r="G151" s="15">
        <v>1</v>
      </c>
      <c r="H151" s="15">
        <v>0</v>
      </c>
      <c r="I151" s="15">
        <v>0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1</v>
      </c>
      <c r="P151" s="15">
        <v>0</v>
      </c>
      <c r="Q151" s="15">
        <v>0</v>
      </c>
      <c r="R151" s="15">
        <v>1</v>
      </c>
      <c r="S151" s="15">
        <v>0</v>
      </c>
      <c r="T151" s="15">
        <v>0</v>
      </c>
      <c r="U151" s="15">
        <v>1</v>
      </c>
      <c r="V151" s="15">
        <v>0</v>
      </c>
      <c r="W151" s="15">
        <v>0</v>
      </c>
      <c r="X151" s="15">
        <v>1</v>
      </c>
      <c r="Y151" s="15">
        <v>0</v>
      </c>
      <c r="Z151" s="15">
        <v>1</v>
      </c>
      <c r="AA151" s="15">
        <v>1</v>
      </c>
      <c r="AB151" s="15">
        <v>0</v>
      </c>
      <c r="AC151" s="15">
        <v>0</v>
      </c>
      <c r="AD151" s="15">
        <v>0</v>
      </c>
      <c r="AE151" s="15">
        <v>0</v>
      </c>
      <c r="AF151" s="13">
        <f t="shared" si="13"/>
        <v>7</v>
      </c>
      <c r="AG151" s="1"/>
      <c r="AH151" s="1"/>
    </row>
    <row r="152" spans="1:34" ht="12.75" customHeight="1" x14ac:dyDescent="0.3">
      <c r="A152" s="14"/>
      <c r="B152" s="27"/>
      <c r="C152" s="28" t="s">
        <v>130</v>
      </c>
      <c r="D152" s="29"/>
      <c r="E152" s="15">
        <v>1</v>
      </c>
      <c r="F152" s="15">
        <v>1</v>
      </c>
      <c r="G152" s="15">
        <v>0</v>
      </c>
      <c r="H152" s="15">
        <v>0</v>
      </c>
      <c r="I152" s="15">
        <v>0</v>
      </c>
      <c r="J152" s="15">
        <v>0</v>
      </c>
      <c r="K152" s="15">
        <v>0</v>
      </c>
      <c r="L152" s="15">
        <v>0</v>
      </c>
      <c r="M152" s="15">
        <v>2</v>
      </c>
      <c r="N152" s="15">
        <v>0</v>
      </c>
      <c r="O152" s="15">
        <v>0</v>
      </c>
      <c r="P152" s="15">
        <v>0</v>
      </c>
      <c r="Q152" s="15">
        <v>0</v>
      </c>
      <c r="R152" s="15">
        <v>2</v>
      </c>
      <c r="S152" s="15">
        <v>0</v>
      </c>
      <c r="T152" s="15">
        <v>1</v>
      </c>
      <c r="U152" s="15">
        <v>2</v>
      </c>
      <c r="V152" s="15">
        <v>1</v>
      </c>
      <c r="W152" s="15">
        <v>0</v>
      </c>
      <c r="X152" s="15">
        <v>0</v>
      </c>
      <c r="Y152" s="15">
        <v>2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3">
        <f t="shared" si="13"/>
        <v>12</v>
      </c>
      <c r="AG152" s="31"/>
      <c r="AH152" s="31"/>
    </row>
    <row r="153" spans="1:34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1</v>
      </c>
      <c r="G153" s="15">
        <v>0</v>
      </c>
      <c r="H153" s="15">
        <v>0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1</v>
      </c>
      <c r="R153" s="15">
        <v>0</v>
      </c>
      <c r="S153" s="15">
        <v>0</v>
      </c>
      <c r="T153" s="15">
        <v>0</v>
      </c>
      <c r="U153" s="15">
        <v>1</v>
      </c>
      <c r="V153" s="15">
        <v>0</v>
      </c>
      <c r="W153" s="15">
        <v>0</v>
      </c>
      <c r="X153" s="15">
        <v>1</v>
      </c>
      <c r="Y153" s="15">
        <v>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3">
        <f t="shared" si="13"/>
        <v>5</v>
      </c>
      <c r="AG153" s="5"/>
      <c r="AH153" s="5"/>
    </row>
    <row r="154" spans="1:34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1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3">
        <f t="shared" si="13"/>
        <v>1</v>
      </c>
      <c r="AG154" s="5"/>
      <c r="AH154" s="5"/>
    </row>
    <row r="155" spans="1:34" ht="12.75" customHeight="1" x14ac:dyDescent="0.3">
      <c r="A155" s="14"/>
      <c r="B155" s="27"/>
      <c r="C155" s="28" t="s">
        <v>133</v>
      </c>
      <c r="D155" s="29"/>
      <c r="E155" s="15">
        <v>0</v>
      </c>
      <c r="F155" s="15">
        <v>0</v>
      </c>
      <c r="G155" s="15">
        <v>1</v>
      </c>
      <c r="H155" s="15">
        <v>2</v>
      </c>
      <c r="I155" s="15">
        <v>0</v>
      </c>
      <c r="J155" s="15">
        <v>0</v>
      </c>
      <c r="K155" s="15">
        <v>1</v>
      </c>
      <c r="L155" s="15">
        <v>10</v>
      </c>
      <c r="M155" s="15">
        <v>1</v>
      </c>
      <c r="N155" s="15">
        <v>0</v>
      </c>
      <c r="O155" s="15">
        <v>2</v>
      </c>
      <c r="P155" s="15">
        <v>0</v>
      </c>
      <c r="Q155" s="15">
        <v>4</v>
      </c>
      <c r="R155" s="15">
        <v>1</v>
      </c>
      <c r="S155" s="15">
        <v>0</v>
      </c>
      <c r="T155" s="15">
        <v>2</v>
      </c>
      <c r="U155" s="15">
        <v>2</v>
      </c>
      <c r="V155" s="15">
        <v>0</v>
      </c>
      <c r="W155" s="15">
        <v>2</v>
      </c>
      <c r="X155" s="15">
        <v>5</v>
      </c>
      <c r="Y155" s="15">
        <v>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3">
        <f t="shared" si="13"/>
        <v>34</v>
      </c>
      <c r="AG155" s="5"/>
      <c r="AH155" s="5"/>
    </row>
    <row r="156" spans="1:34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E156" si="27">SUM(E148:E155)</f>
        <v>5</v>
      </c>
      <c r="F156" s="34">
        <f t="shared" si="27"/>
        <v>17</v>
      </c>
      <c r="G156" s="34">
        <f t="shared" si="27"/>
        <v>4</v>
      </c>
      <c r="H156" s="34">
        <f t="shared" si="27"/>
        <v>7</v>
      </c>
      <c r="I156" s="34">
        <f t="shared" si="27"/>
        <v>1</v>
      </c>
      <c r="J156" s="34">
        <f t="shared" si="27"/>
        <v>5</v>
      </c>
      <c r="K156" s="34">
        <f t="shared" si="27"/>
        <v>2</v>
      </c>
      <c r="L156" s="34">
        <f t="shared" si="27"/>
        <v>15</v>
      </c>
      <c r="M156" s="34">
        <f t="shared" si="27"/>
        <v>13</v>
      </c>
      <c r="N156" s="34">
        <f t="shared" si="27"/>
        <v>17</v>
      </c>
      <c r="O156" s="34">
        <f t="shared" si="27"/>
        <v>23</v>
      </c>
      <c r="P156" s="34">
        <f t="shared" si="27"/>
        <v>22</v>
      </c>
      <c r="Q156" s="34">
        <f t="shared" si="27"/>
        <v>10</v>
      </c>
      <c r="R156" s="34">
        <f t="shared" si="27"/>
        <v>12</v>
      </c>
      <c r="S156" s="34">
        <f t="shared" si="27"/>
        <v>18</v>
      </c>
      <c r="T156" s="34">
        <f t="shared" si="27"/>
        <v>14</v>
      </c>
      <c r="U156" s="34">
        <f t="shared" si="27"/>
        <v>10</v>
      </c>
      <c r="V156" s="34">
        <f t="shared" si="27"/>
        <v>2</v>
      </c>
      <c r="W156" s="34">
        <f t="shared" si="27"/>
        <v>4</v>
      </c>
      <c r="X156" s="34">
        <f t="shared" si="27"/>
        <v>10</v>
      </c>
      <c r="Y156" s="34">
        <f t="shared" si="27"/>
        <v>7</v>
      </c>
      <c r="Z156" s="34">
        <f t="shared" si="27"/>
        <v>3</v>
      </c>
      <c r="AA156" s="34">
        <f t="shared" si="27"/>
        <v>3</v>
      </c>
      <c r="AB156" s="34">
        <f t="shared" si="27"/>
        <v>1</v>
      </c>
      <c r="AC156" s="34">
        <f t="shared" si="27"/>
        <v>2</v>
      </c>
      <c r="AD156" s="34">
        <f t="shared" si="27"/>
        <v>0</v>
      </c>
      <c r="AE156" s="34">
        <f t="shared" si="27"/>
        <v>0</v>
      </c>
      <c r="AF156" s="13">
        <f t="shared" si="13"/>
        <v>227</v>
      </c>
      <c r="AG156" s="5"/>
      <c r="AH156" s="5"/>
    </row>
    <row r="157" spans="1:34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13">
        <f t="shared" si="13"/>
        <v>0</v>
      </c>
      <c r="AG157" s="5"/>
      <c r="AH157" s="5"/>
    </row>
    <row r="158" spans="1:34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0</v>
      </c>
      <c r="F158" s="15">
        <v>1</v>
      </c>
      <c r="G158" s="15">
        <v>2</v>
      </c>
      <c r="H158" s="15">
        <v>0</v>
      </c>
      <c r="I158" s="15">
        <v>1</v>
      </c>
      <c r="J158" s="15">
        <v>0</v>
      </c>
      <c r="K158" s="15">
        <v>0</v>
      </c>
      <c r="L158" s="15">
        <v>1</v>
      </c>
      <c r="M158" s="15">
        <v>2</v>
      </c>
      <c r="N158" s="15">
        <v>3</v>
      </c>
      <c r="O158" s="15">
        <v>0</v>
      </c>
      <c r="P158" s="15">
        <v>0</v>
      </c>
      <c r="Q158" s="15">
        <v>2</v>
      </c>
      <c r="R158" s="15">
        <v>2</v>
      </c>
      <c r="S158" s="15">
        <v>1</v>
      </c>
      <c r="T158" s="15">
        <v>0</v>
      </c>
      <c r="U158" s="15">
        <v>1</v>
      </c>
      <c r="V158" s="15">
        <v>0</v>
      </c>
      <c r="W158" s="15">
        <v>1</v>
      </c>
      <c r="X158" s="15">
        <v>0</v>
      </c>
      <c r="Y158" s="15">
        <v>0</v>
      </c>
      <c r="Z158" s="15">
        <v>1</v>
      </c>
      <c r="AA158" s="15">
        <v>4</v>
      </c>
      <c r="AB158" s="15">
        <v>0</v>
      </c>
      <c r="AC158" s="15">
        <v>1</v>
      </c>
      <c r="AD158" s="15">
        <v>1</v>
      </c>
      <c r="AE158" s="15">
        <v>0</v>
      </c>
      <c r="AF158" s="13">
        <f t="shared" si="13"/>
        <v>24</v>
      </c>
      <c r="AG158" s="5"/>
      <c r="AH158" s="5"/>
    </row>
    <row r="159" spans="1:34" ht="12.75" customHeight="1" x14ac:dyDescent="0.3">
      <c r="A159" s="19" t="s">
        <v>39</v>
      </c>
      <c r="B159" s="27"/>
      <c r="C159" s="28" t="s">
        <v>136</v>
      </c>
      <c r="D159" s="29"/>
      <c r="E159" s="15">
        <v>0</v>
      </c>
      <c r="F159" s="15">
        <v>0</v>
      </c>
      <c r="G159" s="15">
        <v>0</v>
      </c>
      <c r="H159" s="15">
        <v>0</v>
      </c>
      <c r="I159" s="15">
        <v>0</v>
      </c>
      <c r="J159" s="15">
        <v>0</v>
      </c>
      <c r="K159" s="15">
        <v>0</v>
      </c>
      <c r="L159" s="15">
        <v>2</v>
      </c>
      <c r="M159" s="15">
        <v>2</v>
      </c>
      <c r="N159" s="15">
        <v>5</v>
      </c>
      <c r="O159" s="15">
        <v>2</v>
      </c>
      <c r="P159" s="15">
        <v>1</v>
      </c>
      <c r="Q159" s="15">
        <v>2</v>
      </c>
      <c r="R159" s="15">
        <v>2</v>
      </c>
      <c r="S159" s="15">
        <v>1</v>
      </c>
      <c r="T159" s="15">
        <v>1</v>
      </c>
      <c r="U159" s="15">
        <v>0</v>
      </c>
      <c r="V159" s="15">
        <v>2</v>
      </c>
      <c r="W159" s="15">
        <v>0</v>
      </c>
      <c r="X159" s="15">
        <v>2</v>
      </c>
      <c r="Y159" s="15">
        <v>0</v>
      </c>
      <c r="Z159" s="15">
        <v>1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3">
        <f t="shared" si="13"/>
        <v>23</v>
      </c>
      <c r="AG159" s="5"/>
      <c r="AH159" s="5"/>
    </row>
    <row r="160" spans="1:34" ht="12.75" customHeight="1" x14ac:dyDescent="0.3">
      <c r="A160" s="19"/>
      <c r="B160" s="27"/>
      <c r="C160" s="28" t="s">
        <v>137</v>
      </c>
      <c r="D160" s="29"/>
      <c r="E160" s="15">
        <v>0</v>
      </c>
      <c r="F160" s="15">
        <v>0</v>
      </c>
      <c r="G160" s="15">
        <v>0</v>
      </c>
      <c r="H160" s="15">
        <v>1</v>
      </c>
      <c r="I160" s="15">
        <v>0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>
        <v>0</v>
      </c>
      <c r="U160" s="15">
        <v>0</v>
      </c>
      <c r="V160" s="15">
        <v>0</v>
      </c>
      <c r="W160" s="15">
        <v>1</v>
      </c>
      <c r="X160" s="15">
        <v>0</v>
      </c>
      <c r="Y160" s="15">
        <v>0</v>
      </c>
      <c r="Z160" s="15">
        <v>0</v>
      </c>
      <c r="AA160" s="15">
        <v>0</v>
      </c>
      <c r="AB160" s="15">
        <v>1</v>
      </c>
      <c r="AC160" s="15">
        <v>0</v>
      </c>
      <c r="AD160" s="15">
        <v>0</v>
      </c>
      <c r="AE160" s="15">
        <v>3</v>
      </c>
      <c r="AF160" s="13">
        <f t="shared" si="13"/>
        <v>6</v>
      </c>
      <c r="AG160" s="5"/>
      <c r="AH160" s="5"/>
    </row>
    <row r="161" spans="1:34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E161" si="28">SUM(E158:E160)</f>
        <v>0</v>
      </c>
      <c r="F161" s="34">
        <f t="shared" si="28"/>
        <v>1</v>
      </c>
      <c r="G161" s="34">
        <f t="shared" si="28"/>
        <v>2</v>
      </c>
      <c r="H161" s="34">
        <f t="shared" si="28"/>
        <v>1</v>
      </c>
      <c r="I161" s="34">
        <f t="shared" si="28"/>
        <v>1</v>
      </c>
      <c r="J161" s="34">
        <f t="shared" si="28"/>
        <v>0</v>
      </c>
      <c r="K161" s="34">
        <f t="shared" si="28"/>
        <v>0</v>
      </c>
      <c r="L161" s="34">
        <f t="shared" si="28"/>
        <v>3</v>
      </c>
      <c r="M161" s="34">
        <f t="shared" si="28"/>
        <v>4</v>
      </c>
      <c r="N161" s="34">
        <f t="shared" si="28"/>
        <v>8</v>
      </c>
      <c r="O161" s="34">
        <f t="shared" si="28"/>
        <v>2</v>
      </c>
      <c r="P161" s="34">
        <f t="shared" si="28"/>
        <v>1</v>
      </c>
      <c r="Q161" s="34">
        <f t="shared" si="28"/>
        <v>4</v>
      </c>
      <c r="R161" s="34">
        <f t="shared" si="28"/>
        <v>4</v>
      </c>
      <c r="S161" s="34">
        <f t="shared" si="28"/>
        <v>2</v>
      </c>
      <c r="T161" s="34">
        <f t="shared" si="28"/>
        <v>1</v>
      </c>
      <c r="U161" s="34">
        <f t="shared" si="28"/>
        <v>1</v>
      </c>
      <c r="V161" s="34">
        <f t="shared" si="28"/>
        <v>2</v>
      </c>
      <c r="W161" s="34">
        <f t="shared" si="28"/>
        <v>2</v>
      </c>
      <c r="X161" s="34">
        <f t="shared" si="28"/>
        <v>2</v>
      </c>
      <c r="Y161" s="34">
        <f t="shared" si="28"/>
        <v>0</v>
      </c>
      <c r="Z161" s="34">
        <f t="shared" si="28"/>
        <v>2</v>
      </c>
      <c r="AA161" s="34">
        <f t="shared" si="28"/>
        <v>4</v>
      </c>
      <c r="AB161" s="34">
        <f t="shared" si="28"/>
        <v>1</v>
      </c>
      <c r="AC161" s="34">
        <f t="shared" si="28"/>
        <v>1</v>
      </c>
      <c r="AD161" s="34">
        <f t="shared" si="28"/>
        <v>1</v>
      </c>
      <c r="AE161" s="34">
        <f t="shared" si="28"/>
        <v>3</v>
      </c>
      <c r="AF161" s="13">
        <f t="shared" si="13"/>
        <v>53</v>
      </c>
      <c r="AG161" s="5"/>
      <c r="AH161" s="5"/>
    </row>
    <row r="162" spans="1:34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13">
        <f t="shared" si="13"/>
        <v>0</v>
      </c>
      <c r="AG162" s="5"/>
      <c r="AH162" s="5"/>
    </row>
    <row r="163" spans="1:34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>
        <v>1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3">
        <f t="shared" si="13"/>
        <v>1</v>
      </c>
      <c r="AG163" s="5"/>
      <c r="AH163" s="5"/>
    </row>
    <row r="164" spans="1:34" ht="12.75" customHeight="1" x14ac:dyDescent="0.3">
      <c r="A164" s="19" t="s">
        <v>39</v>
      </c>
      <c r="B164" s="26"/>
      <c r="C164" s="28" t="s">
        <v>140</v>
      </c>
      <c r="D164" s="4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>
        <v>0</v>
      </c>
      <c r="U164" s="15">
        <v>1</v>
      </c>
      <c r="V164" s="15">
        <v>0</v>
      </c>
      <c r="W164" s="15">
        <v>0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3">
        <f t="shared" si="13"/>
        <v>1</v>
      </c>
      <c r="AG164" s="5"/>
      <c r="AH164" s="5"/>
    </row>
    <row r="165" spans="1:34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E165" si="29">SUM(E163:E164)</f>
        <v>0</v>
      </c>
      <c r="F165" s="34">
        <f t="shared" si="29"/>
        <v>0</v>
      </c>
      <c r="G165" s="34">
        <f t="shared" si="29"/>
        <v>0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0</v>
      </c>
      <c r="N165" s="34">
        <f t="shared" si="29"/>
        <v>0</v>
      </c>
      <c r="O165" s="34">
        <f t="shared" si="29"/>
        <v>0</v>
      </c>
      <c r="P165" s="34">
        <f t="shared" si="29"/>
        <v>0</v>
      </c>
      <c r="Q165" s="34">
        <f t="shared" si="29"/>
        <v>0</v>
      </c>
      <c r="R165" s="34">
        <f t="shared" si="29"/>
        <v>0</v>
      </c>
      <c r="S165" s="34">
        <f t="shared" si="29"/>
        <v>0</v>
      </c>
      <c r="T165" s="34">
        <f t="shared" si="29"/>
        <v>1</v>
      </c>
      <c r="U165" s="34">
        <f t="shared" si="29"/>
        <v>1</v>
      </c>
      <c r="V165" s="34">
        <f t="shared" si="29"/>
        <v>0</v>
      </c>
      <c r="W165" s="34">
        <f t="shared" si="29"/>
        <v>0</v>
      </c>
      <c r="X165" s="34">
        <f t="shared" si="29"/>
        <v>0</v>
      </c>
      <c r="Y165" s="34">
        <f t="shared" si="29"/>
        <v>0</v>
      </c>
      <c r="Z165" s="34">
        <f t="shared" si="29"/>
        <v>0</v>
      </c>
      <c r="AA165" s="34">
        <f t="shared" si="29"/>
        <v>0</v>
      </c>
      <c r="AB165" s="34">
        <f t="shared" si="29"/>
        <v>0</v>
      </c>
      <c r="AC165" s="34">
        <f t="shared" si="29"/>
        <v>0</v>
      </c>
      <c r="AD165" s="34">
        <f t="shared" si="29"/>
        <v>0</v>
      </c>
      <c r="AE165" s="34">
        <f t="shared" si="29"/>
        <v>0</v>
      </c>
      <c r="AF165" s="13">
        <f t="shared" si="13"/>
        <v>2</v>
      </c>
      <c r="AG165" s="1"/>
      <c r="AH165" s="1"/>
    </row>
    <row r="166" spans="1:34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13">
        <f t="shared" si="13"/>
        <v>0</v>
      </c>
      <c r="AG166" s="31"/>
      <c r="AH166" s="31"/>
    </row>
    <row r="167" spans="1:34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1</v>
      </c>
      <c r="F167" s="15">
        <v>2</v>
      </c>
      <c r="G167" s="15">
        <v>0</v>
      </c>
      <c r="H167" s="15">
        <v>1</v>
      </c>
      <c r="I167" s="15">
        <v>0</v>
      </c>
      <c r="J167" s="15">
        <v>0</v>
      </c>
      <c r="K167" s="15">
        <v>1</v>
      </c>
      <c r="L167" s="15">
        <v>0</v>
      </c>
      <c r="M167" s="15">
        <v>1</v>
      </c>
      <c r="N167" s="15">
        <v>3</v>
      </c>
      <c r="O167" s="15">
        <v>0</v>
      </c>
      <c r="P167" s="15">
        <v>0</v>
      </c>
      <c r="Q167" s="15">
        <v>0</v>
      </c>
      <c r="R167" s="15">
        <v>0</v>
      </c>
      <c r="S167" s="15">
        <v>1</v>
      </c>
      <c r="T167" s="15">
        <v>0</v>
      </c>
      <c r="U167" s="15">
        <v>0</v>
      </c>
      <c r="V167" s="15">
        <v>0</v>
      </c>
      <c r="W167" s="15">
        <v>0</v>
      </c>
      <c r="X167" s="15">
        <v>1</v>
      </c>
      <c r="Y167" s="15">
        <v>1</v>
      </c>
      <c r="Z167" s="15">
        <v>3</v>
      </c>
      <c r="AA167" s="15">
        <v>0</v>
      </c>
      <c r="AB167" s="15">
        <v>1</v>
      </c>
      <c r="AC167" s="15">
        <v>0</v>
      </c>
      <c r="AD167" s="15">
        <v>0</v>
      </c>
      <c r="AE167" s="15">
        <v>0</v>
      </c>
      <c r="AF167" s="13">
        <f t="shared" si="13"/>
        <v>16</v>
      </c>
      <c r="AG167" s="5"/>
      <c r="AH167" s="5"/>
    </row>
    <row r="168" spans="1:34" ht="12.75" customHeight="1" x14ac:dyDescent="0.3">
      <c r="A168" s="19" t="s">
        <v>39</v>
      </c>
      <c r="B168" s="27"/>
      <c r="C168" s="28" t="s">
        <v>143</v>
      </c>
      <c r="D168" s="29"/>
      <c r="E168" s="15">
        <v>6</v>
      </c>
      <c r="F168" s="15">
        <v>0</v>
      </c>
      <c r="G168" s="15">
        <v>4</v>
      </c>
      <c r="H168" s="15">
        <v>0</v>
      </c>
      <c r="I168" s="15">
        <v>2</v>
      </c>
      <c r="J168" s="15">
        <v>2</v>
      </c>
      <c r="K168" s="15">
        <v>13</v>
      </c>
      <c r="L168" s="15">
        <v>20</v>
      </c>
      <c r="M168" s="15">
        <v>6</v>
      </c>
      <c r="N168" s="15">
        <v>45</v>
      </c>
      <c r="O168" s="15">
        <v>6</v>
      </c>
      <c r="P168" s="15">
        <v>0</v>
      </c>
      <c r="Q168" s="15">
        <v>1</v>
      </c>
      <c r="R168" s="15">
        <v>1</v>
      </c>
      <c r="S168" s="15">
        <v>1</v>
      </c>
      <c r="T168" s="15">
        <v>3</v>
      </c>
      <c r="U168" s="15">
        <v>1</v>
      </c>
      <c r="V168" s="15">
        <v>2</v>
      </c>
      <c r="W168" s="15">
        <v>0</v>
      </c>
      <c r="X168" s="15">
        <v>0</v>
      </c>
      <c r="Y168" s="15">
        <v>0</v>
      </c>
      <c r="Z168" s="15">
        <v>1</v>
      </c>
      <c r="AA168" s="15">
        <v>0</v>
      </c>
      <c r="AB168" s="15">
        <v>0</v>
      </c>
      <c r="AC168" s="15">
        <v>1</v>
      </c>
      <c r="AD168" s="15">
        <v>0</v>
      </c>
      <c r="AE168" s="15">
        <v>0</v>
      </c>
      <c r="AF168" s="13">
        <f t="shared" si="13"/>
        <v>115</v>
      </c>
      <c r="AG168" s="5"/>
      <c r="AH168" s="5"/>
    </row>
    <row r="169" spans="1:34" ht="12.75" customHeight="1" x14ac:dyDescent="0.3">
      <c r="A169" s="14"/>
      <c r="B169" s="27"/>
      <c r="C169" s="28" t="s">
        <v>144</v>
      </c>
      <c r="D169" s="29"/>
      <c r="E169" s="15">
        <v>0</v>
      </c>
      <c r="F169" s="15">
        <v>0</v>
      </c>
      <c r="G169" s="15">
        <v>1</v>
      </c>
      <c r="H169" s="15">
        <v>0</v>
      </c>
      <c r="I169" s="15">
        <v>0</v>
      </c>
      <c r="J169" s="15">
        <v>0</v>
      </c>
      <c r="K169" s="15">
        <v>0</v>
      </c>
      <c r="L169" s="15">
        <v>0</v>
      </c>
      <c r="M169" s="15">
        <v>0</v>
      </c>
      <c r="N169" s="15">
        <v>2</v>
      </c>
      <c r="O169" s="15">
        <v>0</v>
      </c>
      <c r="P169" s="15">
        <v>0</v>
      </c>
      <c r="Q169" s="15">
        <v>0</v>
      </c>
      <c r="R169" s="15">
        <v>1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0</v>
      </c>
      <c r="Y169" s="15">
        <v>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3">
        <f t="shared" si="13"/>
        <v>5</v>
      </c>
      <c r="AG169" s="5"/>
      <c r="AH169" s="5"/>
    </row>
    <row r="170" spans="1:34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3">
        <f t="shared" si="13"/>
        <v>0</v>
      </c>
      <c r="AG170" s="5"/>
      <c r="AH170" s="5"/>
    </row>
    <row r="171" spans="1:34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0</v>
      </c>
      <c r="H171" s="15">
        <v>0</v>
      </c>
      <c r="I171" s="15">
        <v>0</v>
      </c>
      <c r="J171" s="15">
        <v>0</v>
      </c>
      <c r="K171" s="15">
        <v>1</v>
      </c>
      <c r="L171" s="15">
        <v>1</v>
      </c>
      <c r="M171" s="15">
        <v>1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3">
        <f t="shared" si="13"/>
        <v>3</v>
      </c>
      <c r="AG171" s="5"/>
      <c r="AH171" s="5"/>
    </row>
    <row r="172" spans="1:34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0</v>
      </c>
      <c r="M172" s="15">
        <v>1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3">
        <f t="shared" si="13"/>
        <v>1</v>
      </c>
      <c r="AG172" s="5"/>
      <c r="AH172" s="5"/>
    </row>
    <row r="173" spans="1:34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0</v>
      </c>
      <c r="G173" s="15">
        <v>1</v>
      </c>
      <c r="H173" s="15">
        <v>4</v>
      </c>
      <c r="I173" s="15">
        <v>0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3</v>
      </c>
      <c r="S173" s="15">
        <v>0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3">
        <f t="shared" si="13"/>
        <v>9</v>
      </c>
      <c r="AG173" s="5"/>
      <c r="AH173" s="5"/>
    </row>
    <row r="174" spans="1:34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1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0</v>
      </c>
      <c r="U174" s="15">
        <v>1</v>
      </c>
      <c r="V174" s="15">
        <v>0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5">
        <v>1</v>
      </c>
      <c r="AC174" s="15">
        <v>0</v>
      </c>
      <c r="AD174" s="15">
        <v>1</v>
      </c>
      <c r="AE174" s="15">
        <v>0</v>
      </c>
      <c r="AF174" s="13">
        <f t="shared" si="13"/>
        <v>4</v>
      </c>
      <c r="AG174" s="5"/>
      <c r="AH174" s="5"/>
    </row>
    <row r="175" spans="1:34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AE175" si="30">SUM(E167:E174)</f>
        <v>7</v>
      </c>
      <c r="F175" s="34">
        <f t="shared" si="30"/>
        <v>2</v>
      </c>
      <c r="G175" s="34">
        <f t="shared" si="30"/>
        <v>6</v>
      </c>
      <c r="H175" s="34">
        <f t="shared" si="30"/>
        <v>5</v>
      </c>
      <c r="I175" s="34">
        <f t="shared" si="30"/>
        <v>2</v>
      </c>
      <c r="J175" s="34">
        <f t="shared" si="30"/>
        <v>3</v>
      </c>
      <c r="K175" s="34">
        <f t="shared" si="30"/>
        <v>15</v>
      </c>
      <c r="L175" s="34">
        <f t="shared" si="30"/>
        <v>21</v>
      </c>
      <c r="M175" s="34">
        <f t="shared" si="30"/>
        <v>9</v>
      </c>
      <c r="N175" s="34">
        <f t="shared" si="30"/>
        <v>50</v>
      </c>
      <c r="O175" s="34">
        <f t="shared" si="30"/>
        <v>6</v>
      </c>
      <c r="P175" s="34">
        <f t="shared" si="30"/>
        <v>0</v>
      </c>
      <c r="Q175" s="34">
        <f t="shared" si="30"/>
        <v>1</v>
      </c>
      <c r="R175" s="34">
        <f t="shared" si="30"/>
        <v>5</v>
      </c>
      <c r="S175" s="34">
        <f t="shared" si="30"/>
        <v>2</v>
      </c>
      <c r="T175" s="34">
        <f t="shared" si="30"/>
        <v>3</v>
      </c>
      <c r="U175" s="34">
        <f t="shared" si="30"/>
        <v>2</v>
      </c>
      <c r="V175" s="34">
        <f t="shared" si="30"/>
        <v>2</v>
      </c>
      <c r="W175" s="34">
        <f t="shared" si="30"/>
        <v>0</v>
      </c>
      <c r="X175" s="34">
        <f t="shared" si="30"/>
        <v>1</v>
      </c>
      <c r="Y175" s="34">
        <f t="shared" si="30"/>
        <v>3</v>
      </c>
      <c r="Z175" s="34">
        <f t="shared" si="30"/>
        <v>4</v>
      </c>
      <c r="AA175" s="34">
        <f t="shared" si="30"/>
        <v>0</v>
      </c>
      <c r="AB175" s="34">
        <f t="shared" si="30"/>
        <v>2</v>
      </c>
      <c r="AC175" s="34">
        <f t="shared" si="30"/>
        <v>1</v>
      </c>
      <c r="AD175" s="34">
        <f t="shared" si="30"/>
        <v>1</v>
      </c>
      <c r="AE175" s="34">
        <f t="shared" si="30"/>
        <v>0</v>
      </c>
      <c r="AF175" s="13">
        <f t="shared" si="13"/>
        <v>153</v>
      </c>
      <c r="AG175" s="5"/>
      <c r="AH175" s="5"/>
    </row>
    <row r="176" spans="1:34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13">
        <f t="shared" si="13"/>
        <v>0</v>
      </c>
      <c r="AG176" s="1"/>
      <c r="AH176" s="1"/>
    </row>
    <row r="177" spans="1:34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0</v>
      </c>
      <c r="H177" s="15">
        <v>0</v>
      </c>
      <c r="I177" s="15">
        <v>0</v>
      </c>
      <c r="J177" s="15">
        <v>0</v>
      </c>
      <c r="K177" s="15">
        <v>0</v>
      </c>
      <c r="L177" s="15">
        <v>1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3">
        <f t="shared" si="13"/>
        <v>1</v>
      </c>
    </row>
    <row r="178" spans="1:34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1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1</v>
      </c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3">
        <f t="shared" si="13"/>
        <v>2</v>
      </c>
      <c r="AG178" s="5"/>
      <c r="AH178" s="5"/>
    </row>
    <row r="179" spans="1:34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3">
        <f t="shared" si="13"/>
        <v>0</v>
      </c>
      <c r="AG179" s="5"/>
      <c r="AH179" s="5"/>
    </row>
    <row r="180" spans="1:34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3">
        <f t="shared" si="13"/>
        <v>0</v>
      </c>
      <c r="AG180" s="5"/>
      <c r="AH180" s="5"/>
    </row>
    <row r="181" spans="1:34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AE181" si="31">SUM(E177:E180)</f>
        <v>0</v>
      </c>
      <c r="F181" s="34">
        <f t="shared" si="31"/>
        <v>0</v>
      </c>
      <c r="G181" s="34">
        <f t="shared" si="31"/>
        <v>0</v>
      </c>
      <c r="H181" s="34">
        <f t="shared" si="31"/>
        <v>0</v>
      </c>
      <c r="I181" s="34">
        <f t="shared" si="31"/>
        <v>0</v>
      </c>
      <c r="J181" s="34">
        <f t="shared" si="31"/>
        <v>1</v>
      </c>
      <c r="K181" s="34">
        <f t="shared" si="31"/>
        <v>0</v>
      </c>
      <c r="L181" s="34">
        <f t="shared" si="31"/>
        <v>1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0</v>
      </c>
      <c r="Q181" s="34">
        <f t="shared" si="31"/>
        <v>0</v>
      </c>
      <c r="R181" s="34">
        <f t="shared" si="31"/>
        <v>0</v>
      </c>
      <c r="S181" s="34">
        <f t="shared" si="31"/>
        <v>1</v>
      </c>
      <c r="T181" s="34">
        <f t="shared" si="31"/>
        <v>0</v>
      </c>
      <c r="U181" s="34">
        <f t="shared" si="31"/>
        <v>0</v>
      </c>
      <c r="V181" s="34">
        <f t="shared" si="31"/>
        <v>0</v>
      </c>
      <c r="W181" s="34">
        <f t="shared" si="31"/>
        <v>0</v>
      </c>
      <c r="X181" s="34">
        <f t="shared" si="31"/>
        <v>0</v>
      </c>
      <c r="Y181" s="34">
        <f t="shared" si="31"/>
        <v>0</v>
      </c>
      <c r="Z181" s="34">
        <f t="shared" si="31"/>
        <v>0</v>
      </c>
      <c r="AA181" s="34">
        <f t="shared" si="31"/>
        <v>0</v>
      </c>
      <c r="AB181" s="34">
        <f t="shared" si="31"/>
        <v>0</v>
      </c>
      <c r="AC181" s="34">
        <f t="shared" si="31"/>
        <v>0</v>
      </c>
      <c r="AD181" s="34">
        <f t="shared" si="31"/>
        <v>0</v>
      </c>
      <c r="AE181" s="34">
        <f t="shared" si="31"/>
        <v>0</v>
      </c>
      <c r="AF181" s="13">
        <f t="shared" si="13"/>
        <v>3</v>
      </c>
      <c r="AG181" s="5"/>
      <c r="AH181" s="5"/>
    </row>
    <row r="182" spans="1:34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3">
        <f t="shared" si="13"/>
        <v>0</v>
      </c>
      <c r="AG182" s="5"/>
      <c r="AH182" s="5"/>
    </row>
    <row r="183" spans="1:34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>
        <f t="shared" si="13"/>
        <v>0</v>
      </c>
      <c r="AG183" s="5"/>
      <c r="AH183" s="5"/>
    </row>
    <row r="184" spans="1:34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234</v>
      </c>
      <c r="F184" s="15">
        <f t="shared" ref="F184:AF184" si="32">F53+F63+F73+F83+F93+F97+F101+F111+F115+F125+F129+F136+F146+F156+F161+F165+F175+F181</f>
        <v>233</v>
      </c>
      <c r="G184" s="15">
        <f t="shared" si="32"/>
        <v>208</v>
      </c>
      <c r="H184" s="15">
        <f t="shared" si="32"/>
        <v>176</v>
      </c>
      <c r="I184" s="15">
        <f t="shared" si="32"/>
        <v>178</v>
      </c>
      <c r="J184" s="15">
        <f t="shared" si="32"/>
        <v>211</v>
      </c>
      <c r="K184" s="15">
        <f t="shared" si="32"/>
        <v>188</v>
      </c>
      <c r="L184" s="15">
        <f t="shared" si="32"/>
        <v>203</v>
      </c>
      <c r="M184" s="15">
        <f t="shared" si="32"/>
        <v>203</v>
      </c>
      <c r="N184" s="15">
        <f t="shared" si="32"/>
        <v>160</v>
      </c>
      <c r="O184" s="15">
        <f t="shared" si="32"/>
        <v>191</v>
      </c>
      <c r="P184" s="15">
        <f t="shared" si="32"/>
        <v>187</v>
      </c>
      <c r="Q184" s="15">
        <f t="shared" si="32"/>
        <v>212</v>
      </c>
      <c r="R184" s="15">
        <f t="shared" si="32"/>
        <v>194</v>
      </c>
      <c r="S184" s="15">
        <f t="shared" si="32"/>
        <v>190</v>
      </c>
      <c r="T184" s="15">
        <f t="shared" si="32"/>
        <v>155</v>
      </c>
      <c r="U184" s="15">
        <f t="shared" si="32"/>
        <v>189</v>
      </c>
      <c r="V184" s="15">
        <f t="shared" si="32"/>
        <v>184</v>
      </c>
      <c r="W184" s="15">
        <f t="shared" si="32"/>
        <v>195</v>
      </c>
      <c r="X184" s="15">
        <f t="shared" si="32"/>
        <v>178</v>
      </c>
      <c r="Y184" s="15">
        <f t="shared" si="32"/>
        <v>207</v>
      </c>
      <c r="Z184" s="15">
        <f t="shared" si="32"/>
        <v>202</v>
      </c>
      <c r="AA184" s="15">
        <f t="shared" si="32"/>
        <v>231</v>
      </c>
      <c r="AB184" s="15">
        <f t="shared" si="32"/>
        <v>203</v>
      </c>
      <c r="AC184" s="15">
        <f t="shared" si="32"/>
        <v>207</v>
      </c>
      <c r="AD184" s="15">
        <f t="shared" si="32"/>
        <v>206</v>
      </c>
      <c r="AE184" s="15">
        <f t="shared" si="32"/>
        <v>206</v>
      </c>
      <c r="AF184" s="15">
        <f t="shared" si="32"/>
        <v>5331</v>
      </c>
      <c r="AG184" s="5"/>
      <c r="AH184" s="5"/>
    </row>
    <row r="185" spans="1:34" ht="12.75" customHeight="1" x14ac:dyDescent="0.3">
      <c r="A185" s="21"/>
      <c r="B185" s="42" t="s">
        <v>159</v>
      </c>
      <c r="C185" s="52" t="s">
        <v>160</v>
      </c>
      <c r="D185" s="50"/>
      <c r="E185" s="15">
        <v>8</v>
      </c>
      <c r="F185" s="15">
        <v>10</v>
      </c>
      <c r="G185" s="15">
        <v>10</v>
      </c>
      <c r="H185" s="15">
        <v>11</v>
      </c>
      <c r="I185" s="15">
        <v>9</v>
      </c>
      <c r="J185" s="15">
        <v>4</v>
      </c>
      <c r="K185" s="15">
        <v>4</v>
      </c>
      <c r="L185" s="15">
        <v>12</v>
      </c>
      <c r="M185" s="15">
        <v>12</v>
      </c>
      <c r="N185" s="15">
        <v>12</v>
      </c>
      <c r="O185" s="15">
        <v>11</v>
      </c>
      <c r="P185" s="15">
        <v>4</v>
      </c>
      <c r="Q185" s="15">
        <v>9</v>
      </c>
      <c r="R185" s="15">
        <v>11</v>
      </c>
      <c r="S185" s="15">
        <v>12</v>
      </c>
      <c r="T185" s="15">
        <v>12</v>
      </c>
      <c r="U185" s="15">
        <v>11</v>
      </c>
      <c r="V185" s="15">
        <v>13</v>
      </c>
      <c r="W185" s="15">
        <v>5</v>
      </c>
      <c r="X185" s="15">
        <v>7</v>
      </c>
      <c r="Y185" s="15">
        <v>8</v>
      </c>
      <c r="Z185" s="15">
        <v>5</v>
      </c>
      <c r="AA185" s="15">
        <v>5</v>
      </c>
      <c r="AB185" s="15">
        <v>9</v>
      </c>
      <c r="AC185" s="15">
        <v>17</v>
      </c>
      <c r="AD185" s="15">
        <v>11</v>
      </c>
      <c r="AE185" s="15">
        <v>8</v>
      </c>
      <c r="AF185" s="13">
        <f t="shared" si="13"/>
        <v>250</v>
      </c>
      <c r="AG185" s="5"/>
      <c r="AH185" s="5"/>
    </row>
    <row r="186" spans="1:34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AE186" si="33">SUM(E184:E185)</f>
        <v>242</v>
      </c>
      <c r="F186" s="13">
        <f t="shared" si="33"/>
        <v>243</v>
      </c>
      <c r="G186" s="13">
        <f t="shared" si="33"/>
        <v>218</v>
      </c>
      <c r="H186" s="13">
        <f t="shared" si="33"/>
        <v>187</v>
      </c>
      <c r="I186" s="13">
        <f t="shared" si="33"/>
        <v>187</v>
      </c>
      <c r="J186" s="13">
        <f t="shared" si="33"/>
        <v>215</v>
      </c>
      <c r="K186" s="13">
        <f t="shared" si="33"/>
        <v>192</v>
      </c>
      <c r="L186" s="13">
        <f t="shared" si="33"/>
        <v>215</v>
      </c>
      <c r="M186" s="13">
        <f t="shared" si="33"/>
        <v>215</v>
      </c>
      <c r="N186" s="13">
        <f t="shared" si="33"/>
        <v>172</v>
      </c>
      <c r="O186" s="13">
        <f t="shared" si="33"/>
        <v>202</v>
      </c>
      <c r="P186" s="13">
        <f t="shared" si="33"/>
        <v>191</v>
      </c>
      <c r="Q186" s="13">
        <f t="shared" si="33"/>
        <v>221</v>
      </c>
      <c r="R186" s="13">
        <f t="shared" si="33"/>
        <v>205</v>
      </c>
      <c r="S186" s="13">
        <f t="shared" si="33"/>
        <v>202</v>
      </c>
      <c r="T186" s="13">
        <f t="shared" si="33"/>
        <v>167</v>
      </c>
      <c r="U186" s="13">
        <f t="shared" si="33"/>
        <v>200</v>
      </c>
      <c r="V186" s="13">
        <f t="shared" si="33"/>
        <v>197</v>
      </c>
      <c r="W186" s="13">
        <f t="shared" si="33"/>
        <v>200</v>
      </c>
      <c r="X186" s="13">
        <f t="shared" si="33"/>
        <v>185</v>
      </c>
      <c r="Y186" s="13">
        <f t="shared" si="33"/>
        <v>215</v>
      </c>
      <c r="Z186" s="13">
        <f t="shared" si="33"/>
        <v>207</v>
      </c>
      <c r="AA186" s="13">
        <f t="shared" si="33"/>
        <v>236</v>
      </c>
      <c r="AB186" s="13">
        <f t="shared" si="33"/>
        <v>212</v>
      </c>
      <c r="AC186" s="13">
        <f t="shared" si="33"/>
        <v>224</v>
      </c>
      <c r="AD186" s="13">
        <f t="shared" si="33"/>
        <v>217</v>
      </c>
      <c r="AE186" s="13">
        <f t="shared" si="33"/>
        <v>214</v>
      </c>
      <c r="AF186" s="13">
        <f t="shared" si="13"/>
        <v>5581</v>
      </c>
      <c r="AG186" s="5"/>
      <c r="AH186" s="5"/>
    </row>
    <row r="187" spans="1:34" ht="12.75" customHeight="1" x14ac:dyDescent="0.3"/>
    <row r="188" spans="1:34" ht="12.75" customHeight="1" x14ac:dyDescent="0.3"/>
    <row r="189" spans="1:34" ht="12.75" customHeight="1" x14ac:dyDescent="0.3"/>
    <row r="190" spans="1:34" ht="12.75" customHeight="1" x14ac:dyDescent="0.3"/>
    <row r="191" spans="1:34" ht="12.75" customHeight="1" x14ac:dyDescent="0.3"/>
    <row r="192" spans="1:34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E12"/>
    <mergeCell ref="AF12:AF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97" priority="2">
      <formula>E34&lt;&gt;E64</formula>
    </cfRule>
  </conditionalFormatting>
  <conditionalFormatting sqref="E14:AE15">
    <cfRule type="containsBlanks" dxfId="96" priority="3">
      <formula>LEN(TRIM(E14))=0</formula>
    </cfRule>
  </conditionalFormatting>
  <conditionalFormatting sqref="E19:AE20">
    <cfRule type="containsBlanks" dxfId="95" priority="4">
      <formula>LEN(TRIM(E19))=0</formula>
    </cfRule>
  </conditionalFormatting>
  <conditionalFormatting sqref="E22:AE23 E25:AE26 E33:AE33 E35:AE35 E39:AE40">
    <cfRule type="containsBlanks" dxfId="94" priority="5">
      <formula>LEN(TRIM(E22))=0</formula>
    </cfRule>
  </conditionalFormatting>
  <conditionalFormatting sqref="E30:AE30">
    <cfRule type="expression" dxfId="93" priority="6">
      <formula>E30&lt;&gt;E47</formula>
    </cfRule>
    <cfRule type="expression" dxfId="92" priority="7">
      <formula>E30&lt;&gt;E34</formula>
    </cfRule>
  </conditionalFormatting>
  <conditionalFormatting sqref="E34:AE34">
    <cfRule type="expression" dxfId="91" priority="8">
      <formula>E30&lt;&gt;E34</formula>
    </cfRule>
    <cfRule type="expression" dxfId="90" priority="9">
      <formula>E30=E34</formula>
    </cfRule>
    <cfRule type="expression" dxfId="89" priority="10">
      <formula>E34&lt;&gt;E30</formula>
    </cfRule>
  </conditionalFormatting>
  <conditionalFormatting sqref="E45:AE52">
    <cfRule type="containsBlanks" dxfId="88" priority="12">
      <formula>LEN(TRIM(E45))=0</formula>
    </cfRule>
  </conditionalFormatting>
  <conditionalFormatting sqref="E55:AE62">
    <cfRule type="containsBlanks" dxfId="87" priority="13">
      <formula>LEN(TRIM(E55))=0</formula>
    </cfRule>
  </conditionalFormatting>
  <conditionalFormatting sqref="E65:AE72">
    <cfRule type="containsBlanks" dxfId="86" priority="14">
      <formula>LEN(TRIM(E65))=0</formula>
    </cfRule>
  </conditionalFormatting>
  <conditionalFormatting sqref="E75:AE82">
    <cfRule type="containsBlanks" dxfId="85" priority="15">
      <formula>LEN(TRIM(E75))=0</formula>
    </cfRule>
  </conditionalFormatting>
  <conditionalFormatting sqref="E85:AE92">
    <cfRule type="containsBlanks" dxfId="84" priority="16">
      <formula>LEN(TRIM(E85))=0</formula>
    </cfRule>
  </conditionalFormatting>
  <conditionalFormatting sqref="E95:AE96">
    <cfRule type="containsBlanks" dxfId="83" priority="17">
      <formula>LEN(TRIM(E95))=0</formula>
    </cfRule>
  </conditionalFormatting>
  <conditionalFormatting sqref="E99:AE100">
    <cfRule type="containsBlanks" dxfId="82" priority="18">
      <formula>LEN(TRIM(E99))=0</formula>
    </cfRule>
  </conditionalFormatting>
  <conditionalFormatting sqref="E103:AE110">
    <cfRule type="containsBlanks" dxfId="81" priority="19">
      <formula>LEN(TRIM(E103))=0</formula>
    </cfRule>
  </conditionalFormatting>
  <conditionalFormatting sqref="E113:AE114">
    <cfRule type="containsBlanks" dxfId="80" priority="20">
      <formula>LEN(TRIM(E113))=0</formula>
    </cfRule>
  </conditionalFormatting>
  <conditionalFormatting sqref="E117:AE124">
    <cfRule type="containsBlanks" dxfId="79" priority="21">
      <formula>LEN(TRIM(E117))=0</formula>
    </cfRule>
  </conditionalFormatting>
  <conditionalFormatting sqref="E127:AE128">
    <cfRule type="containsBlanks" dxfId="78" priority="22">
      <formula>LEN(TRIM(E127))=0</formula>
    </cfRule>
  </conditionalFormatting>
  <conditionalFormatting sqref="E131:AE135">
    <cfRule type="containsBlanks" dxfId="77" priority="23">
      <formula>LEN(TRIM(E131))=0</formula>
    </cfRule>
  </conditionalFormatting>
  <conditionalFormatting sqref="E138:AE145">
    <cfRule type="containsBlanks" dxfId="76" priority="24">
      <formula>LEN(TRIM(E138))=0</formula>
    </cfRule>
  </conditionalFormatting>
  <conditionalFormatting sqref="E148:AE155">
    <cfRule type="containsBlanks" dxfId="75" priority="25">
      <formula>LEN(TRIM(E148))=0</formula>
    </cfRule>
  </conditionalFormatting>
  <conditionalFormatting sqref="E158:AE160">
    <cfRule type="containsBlanks" dxfId="74" priority="26">
      <formula>LEN(TRIM(E158))=0</formula>
    </cfRule>
  </conditionalFormatting>
  <conditionalFormatting sqref="E163:AE164">
    <cfRule type="containsBlanks" dxfId="73" priority="27">
      <formula>LEN(TRIM(E163))=0</formula>
    </cfRule>
  </conditionalFormatting>
  <conditionalFormatting sqref="E167:AE174">
    <cfRule type="containsBlanks" dxfId="72" priority="28">
      <formula>LEN(TRIM(E167))=0</formula>
    </cfRule>
  </conditionalFormatting>
  <conditionalFormatting sqref="E177:AE180">
    <cfRule type="containsBlanks" dxfId="71" priority="29">
      <formula>LEN(TRIM(E177))=0</formula>
    </cfRule>
  </conditionalFormatting>
  <conditionalFormatting sqref="E185:AE185">
    <cfRule type="containsBlanks" dxfId="70" priority="30">
      <formula>LEN(TRIM(E185))=0</formula>
    </cfRule>
  </conditionalFormatting>
  <conditionalFormatting sqref="E186:AE186">
    <cfRule type="expression" dxfId="69" priority="33">
      <formula>#REF!=E186</formula>
    </cfRule>
    <cfRule type="expression" dxfId="68" priority="31">
      <formula>E186&lt;&gt;#REF!</formula>
    </cfRule>
    <cfRule type="expression" dxfId="67" priority="32">
      <formula>#REF!&lt;&gt;E186</formula>
    </cfRule>
  </conditionalFormatting>
  <conditionalFormatting sqref="E184:AF184">
    <cfRule type="containsBlanks" dxfId="66" priority="1">
      <formula>LEN(TRIM(E184))=0</formula>
    </cfRule>
  </conditionalFormatting>
  <conditionalFormatting sqref="U34:AE34">
    <cfRule type="expression" dxfId="65" priority="11">
      <formula>U34&lt;&gt;U47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D922"/>
  <sheetViews>
    <sheetView topLeftCell="E1" zoomScale="80" zoomScaleNormal="80" workbookViewId="0">
      <selection activeCell="E184" sqref="E184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27" width="8.69921875" customWidth="1"/>
    <col min="28" max="28" width="13.296875" customWidth="1"/>
    <col min="29" max="30" width="8.69921875" customWidth="1"/>
  </cols>
  <sheetData>
    <row r="1" spans="1:28" ht="12.75" customHeight="1" x14ac:dyDescent="0.3"/>
    <row r="2" spans="1:28" ht="12.75" customHeight="1" x14ac:dyDescent="0.3">
      <c r="C2" s="8" t="s">
        <v>0</v>
      </c>
      <c r="D2" s="8" t="s">
        <v>1</v>
      </c>
    </row>
    <row r="3" spans="1:28" ht="12.75" customHeight="1" x14ac:dyDescent="0.3">
      <c r="C3" s="8" t="s">
        <v>2</v>
      </c>
      <c r="D3" s="8" t="s">
        <v>3</v>
      </c>
    </row>
    <row r="4" spans="1:28" ht="12.75" customHeight="1" x14ac:dyDescent="0.3">
      <c r="C4" s="8" t="s">
        <v>4</v>
      </c>
      <c r="D4" s="8" t="s">
        <v>5</v>
      </c>
    </row>
    <row r="5" spans="1:28" ht="12.75" customHeight="1" x14ac:dyDescent="0.3">
      <c r="C5" s="8"/>
      <c r="D5" s="8"/>
    </row>
    <row r="6" spans="1:28" ht="12.75" customHeight="1" x14ac:dyDescent="0.3">
      <c r="C6" s="8"/>
      <c r="D6" s="8"/>
    </row>
    <row r="7" spans="1:28" ht="12.75" customHeight="1" x14ac:dyDescent="0.3">
      <c r="C7" s="8"/>
      <c r="D7" s="8"/>
    </row>
    <row r="8" spans="1:28" ht="12.75" customHeight="1" x14ac:dyDescent="0.3">
      <c r="C8" s="8"/>
      <c r="D8" s="8"/>
    </row>
    <row r="9" spans="1:28" ht="12.75" customHeight="1" x14ac:dyDescent="0.3">
      <c r="C9" s="8" t="s">
        <v>163</v>
      </c>
      <c r="D9" s="8" t="s">
        <v>197</v>
      </c>
    </row>
    <row r="10" spans="1:28" ht="12.75" customHeight="1" x14ac:dyDescent="0.3"/>
    <row r="11" spans="1:28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8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75" t="s">
        <v>8</v>
      </c>
    </row>
    <row r="13" spans="1:28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65"/>
    </row>
    <row r="14" spans="1:28" ht="12.75" customHeight="1" x14ac:dyDescent="0.3">
      <c r="A14" s="14"/>
      <c r="B14" s="57" t="s">
        <v>11</v>
      </c>
      <c r="C14" s="58"/>
      <c r="D14" s="15" t="s">
        <v>12</v>
      </c>
      <c r="E14" s="15">
        <v>148</v>
      </c>
      <c r="F14" s="15">
        <v>141</v>
      </c>
      <c r="G14" s="15">
        <v>141</v>
      </c>
      <c r="H14" s="15">
        <v>107</v>
      </c>
      <c r="I14" s="15">
        <v>110</v>
      </c>
      <c r="J14" s="15">
        <v>133</v>
      </c>
      <c r="K14" s="15">
        <v>127</v>
      </c>
      <c r="L14" s="15">
        <v>115</v>
      </c>
      <c r="M14" s="15">
        <v>105</v>
      </c>
      <c r="N14" s="15">
        <v>128</v>
      </c>
      <c r="O14" s="15">
        <v>145</v>
      </c>
      <c r="P14" s="15">
        <v>157</v>
      </c>
      <c r="Q14" s="15">
        <v>141</v>
      </c>
      <c r="R14" s="15">
        <v>151</v>
      </c>
      <c r="S14" s="15">
        <v>132</v>
      </c>
      <c r="T14" s="15">
        <v>141</v>
      </c>
      <c r="U14" s="15">
        <v>153</v>
      </c>
      <c r="V14" s="15">
        <v>151</v>
      </c>
      <c r="W14" s="15">
        <v>137</v>
      </c>
      <c r="X14" s="15">
        <v>155</v>
      </c>
      <c r="Y14" s="15">
        <v>146</v>
      </c>
      <c r="Z14" s="15">
        <v>147</v>
      </c>
      <c r="AA14" s="15">
        <v>144</v>
      </c>
      <c r="AB14" s="13">
        <f>SUM(E14:AA14)</f>
        <v>3155</v>
      </c>
    </row>
    <row r="15" spans="1:28" ht="12.75" customHeight="1" x14ac:dyDescent="0.3">
      <c r="A15" s="14"/>
      <c r="B15" s="59"/>
      <c r="C15" s="60"/>
      <c r="D15" s="15" t="s">
        <v>13</v>
      </c>
      <c r="E15" s="15">
        <v>131</v>
      </c>
      <c r="F15" s="15">
        <v>149</v>
      </c>
      <c r="G15" s="15">
        <v>143</v>
      </c>
      <c r="H15" s="15">
        <v>100</v>
      </c>
      <c r="I15" s="15">
        <v>107</v>
      </c>
      <c r="J15" s="15">
        <v>132</v>
      </c>
      <c r="K15" s="15">
        <v>127</v>
      </c>
      <c r="L15" s="15">
        <v>102</v>
      </c>
      <c r="M15" s="15">
        <v>112</v>
      </c>
      <c r="N15" s="15">
        <v>122</v>
      </c>
      <c r="O15" s="15">
        <v>149</v>
      </c>
      <c r="P15" s="15">
        <v>133</v>
      </c>
      <c r="Q15" s="15">
        <v>143</v>
      </c>
      <c r="R15" s="15">
        <v>135</v>
      </c>
      <c r="S15" s="15">
        <v>122</v>
      </c>
      <c r="T15" s="15">
        <v>140</v>
      </c>
      <c r="U15" s="15">
        <v>139</v>
      </c>
      <c r="V15" s="15">
        <v>139</v>
      </c>
      <c r="W15" s="15">
        <v>156</v>
      </c>
      <c r="X15" s="15">
        <v>127</v>
      </c>
      <c r="Y15" s="15">
        <v>147</v>
      </c>
      <c r="Z15" s="15">
        <v>143</v>
      </c>
      <c r="AA15" s="15">
        <v>147</v>
      </c>
      <c r="AB15" s="13">
        <f t="shared" ref="AB15:AB78" si="0">SUM(E15:AA15)</f>
        <v>3045</v>
      </c>
    </row>
    <row r="16" spans="1:28" ht="12.75" customHeight="1" x14ac:dyDescent="0.3">
      <c r="A16" s="17"/>
      <c r="B16" s="55"/>
      <c r="C16" s="61"/>
      <c r="D16" s="13" t="s">
        <v>14</v>
      </c>
      <c r="E16" s="13">
        <f t="shared" ref="E16:AA16" si="1">SUM(E14:E15)</f>
        <v>279</v>
      </c>
      <c r="F16" s="13">
        <f t="shared" si="1"/>
        <v>290</v>
      </c>
      <c r="G16" s="13">
        <f t="shared" si="1"/>
        <v>284</v>
      </c>
      <c r="H16" s="13">
        <f t="shared" si="1"/>
        <v>207</v>
      </c>
      <c r="I16" s="13">
        <f t="shared" si="1"/>
        <v>217</v>
      </c>
      <c r="J16" s="13">
        <f t="shared" si="1"/>
        <v>265</v>
      </c>
      <c r="K16" s="13">
        <f t="shared" si="1"/>
        <v>254</v>
      </c>
      <c r="L16" s="13">
        <f t="shared" si="1"/>
        <v>217</v>
      </c>
      <c r="M16" s="13">
        <f t="shared" si="1"/>
        <v>217</v>
      </c>
      <c r="N16" s="13">
        <f t="shared" si="1"/>
        <v>250</v>
      </c>
      <c r="O16" s="13">
        <f t="shared" si="1"/>
        <v>294</v>
      </c>
      <c r="P16" s="13">
        <f t="shared" si="1"/>
        <v>290</v>
      </c>
      <c r="Q16" s="13">
        <f t="shared" si="1"/>
        <v>284</v>
      </c>
      <c r="R16" s="13">
        <f t="shared" si="1"/>
        <v>286</v>
      </c>
      <c r="S16" s="13">
        <f t="shared" si="1"/>
        <v>254</v>
      </c>
      <c r="T16" s="13">
        <f t="shared" si="1"/>
        <v>281</v>
      </c>
      <c r="U16" s="13">
        <f t="shared" si="1"/>
        <v>292</v>
      </c>
      <c r="V16" s="13">
        <f t="shared" si="1"/>
        <v>290</v>
      </c>
      <c r="W16" s="13">
        <f t="shared" si="1"/>
        <v>293</v>
      </c>
      <c r="X16" s="13">
        <f t="shared" si="1"/>
        <v>282</v>
      </c>
      <c r="Y16" s="13">
        <f t="shared" si="1"/>
        <v>293</v>
      </c>
      <c r="Z16" s="13">
        <f t="shared" si="1"/>
        <v>290</v>
      </c>
      <c r="AA16" s="13">
        <f t="shared" si="1"/>
        <v>291</v>
      </c>
      <c r="AB16" s="13">
        <f t="shared" si="0"/>
        <v>6200</v>
      </c>
    </row>
    <row r="17" spans="1:28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13">
        <f t="shared" si="0"/>
        <v>0</v>
      </c>
    </row>
    <row r="18" spans="1:28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13">
        <f t="shared" si="0"/>
        <v>0</v>
      </c>
    </row>
    <row r="19" spans="1:28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105</v>
      </c>
      <c r="F19" s="15">
        <v>112</v>
      </c>
      <c r="G19" s="15">
        <v>116</v>
      </c>
      <c r="H19" s="15">
        <v>90</v>
      </c>
      <c r="I19" s="15">
        <v>76</v>
      </c>
      <c r="J19" s="15">
        <v>104</v>
      </c>
      <c r="K19" s="15">
        <v>96</v>
      </c>
      <c r="L19" s="15">
        <v>88</v>
      </c>
      <c r="M19" s="15">
        <v>82</v>
      </c>
      <c r="N19" s="15">
        <v>109</v>
      </c>
      <c r="O19" s="15">
        <v>125</v>
      </c>
      <c r="P19" s="15">
        <v>109</v>
      </c>
      <c r="Q19" s="15">
        <v>102</v>
      </c>
      <c r="R19" s="15">
        <v>107</v>
      </c>
      <c r="S19" s="15">
        <v>105</v>
      </c>
      <c r="T19" s="15">
        <v>103</v>
      </c>
      <c r="U19" s="15">
        <v>115</v>
      </c>
      <c r="V19" s="15">
        <v>120</v>
      </c>
      <c r="W19" s="15">
        <v>104</v>
      </c>
      <c r="X19" s="15">
        <v>114</v>
      </c>
      <c r="Y19" s="15">
        <v>118</v>
      </c>
      <c r="Z19" s="15">
        <v>122</v>
      </c>
      <c r="AA19" s="15">
        <v>102</v>
      </c>
      <c r="AB19" s="13">
        <f t="shared" si="0"/>
        <v>2424</v>
      </c>
    </row>
    <row r="20" spans="1:28" ht="12.75" customHeight="1" x14ac:dyDescent="0.3">
      <c r="A20" s="20"/>
      <c r="B20" s="60"/>
      <c r="C20" s="64"/>
      <c r="D20" s="15" t="s">
        <v>13</v>
      </c>
      <c r="E20" s="15">
        <v>107</v>
      </c>
      <c r="F20" s="15">
        <v>122</v>
      </c>
      <c r="G20" s="15">
        <v>121</v>
      </c>
      <c r="H20" s="15">
        <v>78</v>
      </c>
      <c r="I20" s="15">
        <v>78</v>
      </c>
      <c r="J20" s="15">
        <v>106</v>
      </c>
      <c r="K20" s="15">
        <v>109</v>
      </c>
      <c r="L20" s="15">
        <v>81</v>
      </c>
      <c r="M20" s="15">
        <v>84</v>
      </c>
      <c r="N20" s="15">
        <v>103</v>
      </c>
      <c r="O20" s="15">
        <v>122</v>
      </c>
      <c r="P20" s="15">
        <v>102</v>
      </c>
      <c r="Q20" s="15">
        <v>111</v>
      </c>
      <c r="R20" s="15">
        <v>110</v>
      </c>
      <c r="S20" s="15">
        <v>103</v>
      </c>
      <c r="T20" s="15">
        <v>118</v>
      </c>
      <c r="U20" s="15">
        <v>118</v>
      </c>
      <c r="V20" s="15">
        <v>122</v>
      </c>
      <c r="W20" s="15">
        <v>120</v>
      </c>
      <c r="X20" s="15">
        <v>116</v>
      </c>
      <c r="Y20" s="15">
        <v>126</v>
      </c>
      <c r="Z20" s="15">
        <v>120</v>
      </c>
      <c r="AA20" s="15">
        <v>113</v>
      </c>
      <c r="AB20" s="13">
        <f t="shared" si="0"/>
        <v>2490</v>
      </c>
    </row>
    <row r="21" spans="1:28" ht="12.75" customHeight="1" x14ac:dyDescent="0.3">
      <c r="A21" s="21"/>
      <c r="B21" s="61"/>
      <c r="C21" s="65"/>
      <c r="D21" s="13" t="s">
        <v>14</v>
      </c>
      <c r="E21" s="13">
        <f t="shared" ref="E21:AA21" si="2">SUM(E19:E20)</f>
        <v>212</v>
      </c>
      <c r="F21" s="13">
        <f t="shared" si="2"/>
        <v>234</v>
      </c>
      <c r="G21" s="13">
        <f t="shared" si="2"/>
        <v>237</v>
      </c>
      <c r="H21" s="13">
        <f t="shared" si="2"/>
        <v>168</v>
      </c>
      <c r="I21" s="13">
        <f t="shared" si="2"/>
        <v>154</v>
      </c>
      <c r="J21" s="13">
        <f t="shared" si="2"/>
        <v>210</v>
      </c>
      <c r="K21" s="13">
        <f t="shared" si="2"/>
        <v>205</v>
      </c>
      <c r="L21" s="13">
        <f t="shared" si="2"/>
        <v>169</v>
      </c>
      <c r="M21" s="13">
        <f t="shared" si="2"/>
        <v>166</v>
      </c>
      <c r="N21" s="13">
        <f t="shared" si="2"/>
        <v>212</v>
      </c>
      <c r="O21" s="13">
        <f t="shared" si="2"/>
        <v>247</v>
      </c>
      <c r="P21" s="13">
        <f t="shared" si="2"/>
        <v>211</v>
      </c>
      <c r="Q21" s="13">
        <f t="shared" si="2"/>
        <v>213</v>
      </c>
      <c r="R21" s="13">
        <f t="shared" si="2"/>
        <v>217</v>
      </c>
      <c r="S21" s="13">
        <f t="shared" si="2"/>
        <v>208</v>
      </c>
      <c r="T21" s="13">
        <f t="shared" si="2"/>
        <v>221</v>
      </c>
      <c r="U21" s="13">
        <f t="shared" si="2"/>
        <v>233</v>
      </c>
      <c r="V21" s="13">
        <f t="shared" si="2"/>
        <v>242</v>
      </c>
      <c r="W21" s="13">
        <f t="shared" si="2"/>
        <v>224</v>
      </c>
      <c r="X21" s="13">
        <f t="shared" si="2"/>
        <v>230</v>
      </c>
      <c r="Y21" s="13">
        <f t="shared" si="2"/>
        <v>244</v>
      </c>
      <c r="Z21" s="13">
        <f t="shared" si="2"/>
        <v>242</v>
      </c>
      <c r="AA21" s="13">
        <f t="shared" si="2"/>
        <v>215</v>
      </c>
      <c r="AB21" s="13">
        <f t="shared" si="0"/>
        <v>4914</v>
      </c>
    </row>
    <row r="22" spans="1:28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3">
        <f t="shared" si="0"/>
        <v>0</v>
      </c>
    </row>
    <row r="23" spans="1:28" ht="12.75" customHeight="1" x14ac:dyDescent="0.3">
      <c r="A23" s="20"/>
      <c r="B23" s="60"/>
      <c r="C23" s="64"/>
      <c r="D23" s="15" t="s">
        <v>13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3">
        <f t="shared" si="0"/>
        <v>0</v>
      </c>
    </row>
    <row r="24" spans="1:28" ht="12.75" customHeight="1" x14ac:dyDescent="0.3">
      <c r="A24" s="21"/>
      <c r="B24" s="61"/>
      <c r="C24" s="65"/>
      <c r="D24" s="13" t="s">
        <v>14</v>
      </c>
      <c r="E24" s="13">
        <f t="shared" ref="E24:AA24" si="3">SUM(E22:E23)</f>
        <v>0</v>
      </c>
      <c r="F24" s="13">
        <f t="shared" si="3"/>
        <v>0</v>
      </c>
      <c r="G24" s="13">
        <f t="shared" si="3"/>
        <v>0</v>
      </c>
      <c r="H24" s="13">
        <f t="shared" si="3"/>
        <v>0</v>
      </c>
      <c r="I24" s="13">
        <f t="shared" si="3"/>
        <v>0</v>
      </c>
      <c r="J24" s="13">
        <f t="shared" si="3"/>
        <v>0</v>
      </c>
      <c r="K24" s="13">
        <f t="shared" si="3"/>
        <v>0</v>
      </c>
      <c r="L24" s="13">
        <f t="shared" si="3"/>
        <v>0</v>
      </c>
      <c r="M24" s="13">
        <f t="shared" si="3"/>
        <v>0</v>
      </c>
      <c r="N24" s="13">
        <f t="shared" si="3"/>
        <v>0</v>
      </c>
      <c r="O24" s="13">
        <f t="shared" si="3"/>
        <v>0</v>
      </c>
      <c r="P24" s="13">
        <f t="shared" si="3"/>
        <v>0</v>
      </c>
      <c r="Q24" s="13">
        <f t="shared" si="3"/>
        <v>0</v>
      </c>
      <c r="R24" s="13">
        <f t="shared" si="3"/>
        <v>0</v>
      </c>
      <c r="S24" s="13">
        <f t="shared" si="3"/>
        <v>0</v>
      </c>
      <c r="T24" s="13">
        <f t="shared" si="3"/>
        <v>0</v>
      </c>
      <c r="U24" s="13">
        <f t="shared" si="3"/>
        <v>0</v>
      </c>
      <c r="V24" s="13">
        <f t="shared" si="3"/>
        <v>0</v>
      </c>
      <c r="W24" s="13">
        <f t="shared" si="3"/>
        <v>0</v>
      </c>
      <c r="X24" s="13">
        <f t="shared" si="3"/>
        <v>0</v>
      </c>
      <c r="Y24" s="13">
        <f t="shared" si="3"/>
        <v>0</v>
      </c>
      <c r="Z24" s="13">
        <f t="shared" si="3"/>
        <v>0</v>
      </c>
      <c r="AA24" s="13">
        <f t="shared" si="3"/>
        <v>0</v>
      </c>
      <c r="AB24" s="13">
        <f t="shared" si="0"/>
        <v>0</v>
      </c>
    </row>
    <row r="25" spans="1:28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0</v>
      </c>
      <c r="F25" s="15">
        <v>1</v>
      </c>
      <c r="G25" s="15">
        <v>0</v>
      </c>
      <c r="H25" s="15">
        <v>2</v>
      </c>
      <c r="I25" s="15">
        <v>0</v>
      </c>
      <c r="J25" s="15">
        <v>2</v>
      </c>
      <c r="K25" s="15">
        <v>0</v>
      </c>
      <c r="L25" s="15">
        <v>0</v>
      </c>
      <c r="M25" s="15">
        <v>0</v>
      </c>
      <c r="N25" s="15">
        <v>2</v>
      </c>
      <c r="O25" s="15">
        <v>3</v>
      </c>
      <c r="P25" s="15">
        <v>1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1</v>
      </c>
      <c r="X25" s="15">
        <v>0</v>
      </c>
      <c r="Y25" s="15">
        <v>0</v>
      </c>
      <c r="Z25" s="15">
        <v>1</v>
      </c>
      <c r="AA25" s="15">
        <v>1</v>
      </c>
      <c r="AB25" s="13">
        <f t="shared" si="0"/>
        <v>14</v>
      </c>
    </row>
    <row r="26" spans="1:28" ht="12.75" customHeight="1" x14ac:dyDescent="0.3">
      <c r="A26" s="20"/>
      <c r="B26" s="60"/>
      <c r="C26" s="64"/>
      <c r="D26" s="15" t="s">
        <v>13</v>
      </c>
      <c r="E26" s="15">
        <v>0</v>
      </c>
      <c r="F26" s="15">
        <v>2</v>
      </c>
      <c r="G26" s="15">
        <v>0</v>
      </c>
      <c r="H26" s="15">
        <v>3</v>
      </c>
      <c r="I26" s="15">
        <v>3</v>
      </c>
      <c r="J26" s="15">
        <v>0</v>
      </c>
      <c r="K26" s="15">
        <v>0</v>
      </c>
      <c r="L26" s="15">
        <v>2</v>
      </c>
      <c r="M26" s="15">
        <v>0</v>
      </c>
      <c r="N26" s="15">
        <v>5</v>
      </c>
      <c r="O26" s="15">
        <v>6</v>
      </c>
      <c r="P26" s="15">
        <v>2</v>
      </c>
      <c r="Q26" s="15">
        <v>0</v>
      </c>
      <c r="R26" s="15">
        <v>1</v>
      </c>
      <c r="S26" s="15">
        <v>0</v>
      </c>
      <c r="T26" s="15">
        <v>0</v>
      </c>
      <c r="U26" s="15">
        <v>0</v>
      </c>
      <c r="V26" s="15">
        <v>0</v>
      </c>
      <c r="W26" s="15">
        <v>1</v>
      </c>
      <c r="X26" s="15">
        <v>0</v>
      </c>
      <c r="Y26" s="15">
        <v>0</v>
      </c>
      <c r="Z26" s="15">
        <v>2</v>
      </c>
      <c r="AA26" s="15">
        <v>1</v>
      </c>
      <c r="AB26" s="13">
        <f t="shared" si="0"/>
        <v>28</v>
      </c>
    </row>
    <row r="27" spans="1:28" ht="12.75" customHeight="1" x14ac:dyDescent="0.3">
      <c r="A27" s="21"/>
      <c r="B27" s="61"/>
      <c r="C27" s="65"/>
      <c r="D27" s="13" t="s">
        <v>14</v>
      </c>
      <c r="E27" s="13">
        <f t="shared" ref="E27:AA27" si="4">SUM(E25:E26)</f>
        <v>0</v>
      </c>
      <c r="F27" s="13">
        <f t="shared" si="4"/>
        <v>3</v>
      </c>
      <c r="G27" s="13">
        <f t="shared" si="4"/>
        <v>0</v>
      </c>
      <c r="H27" s="13">
        <f t="shared" si="4"/>
        <v>5</v>
      </c>
      <c r="I27" s="13">
        <f t="shared" si="4"/>
        <v>3</v>
      </c>
      <c r="J27" s="13">
        <f t="shared" si="4"/>
        <v>2</v>
      </c>
      <c r="K27" s="13">
        <f t="shared" si="4"/>
        <v>0</v>
      </c>
      <c r="L27" s="13">
        <f t="shared" si="4"/>
        <v>2</v>
      </c>
      <c r="M27" s="13">
        <f t="shared" si="4"/>
        <v>0</v>
      </c>
      <c r="N27" s="13">
        <f t="shared" si="4"/>
        <v>7</v>
      </c>
      <c r="O27" s="13">
        <f t="shared" si="4"/>
        <v>9</v>
      </c>
      <c r="P27" s="13">
        <f t="shared" si="4"/>
        <v>3</v>
      </c>
      <c r="Q27" s="13">
        <f t="shared" si="4"/>
        <v>0</v>
      </c>
      <c r="R27" s="13">
        <f t="shared" si="4"/>
        <v>1</v>
      </c>
      <c r="S27" s="13">
        <f t="shared" si="4"/>
        <v>0</v>
      </c>
      <c r="T27" s="13">
        <f t="shared" si="4"/>
        <v>0</v>
      </c>
      <c r="U27" s="13">
        <f t="shared" si="4"/>
        <v>0</v>
      </c>
      <c r="V27" s="13">
        <f t="shared" si="4"/>
        <v>0</v>
      </c>
      <c r="W27" s="13">
        <f t="shared" si="4"/>
        <v>2</v>
      </c>
      <c r="X27" s="13">
        <f t="shared" si="4"/>
        <v>0</v>
      </c>
      <c r="Y27" s="13">
        <f t="shared" si="4"/>
        <v>0</v>
      </c>
      <c r="Z27" s="13">
        <f t="shared" si="4"/>
        <v>3</v>
      </c>
      <c r="AA27" s="13">
        <f t="shared" si="4"/>
        <v>2</v>
      </c>
      <c r="AB27" s="13">
        <f t="shared" si="0"/>
        <v>42</v>
      </c>
    </row>
    <row r="28" spans="1:28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A28" si="5">SUM(E19,E22,E25)</f>
        <v>105</v>
      </c>
      <c r="F28" s="13">
        <f t="shared" si="5"/>
        <v>113</v>
      </c>
      <c r="G28" s="13">
        <f t="shared" si="5"/>
        <v>116</v>
      </c>
      <c r="H28" s="13">
        <f t="shared" si="5"/>
        <v>92</v>
      </c>
      <c r="I28" s="13">
        <f t="shared" si="5"/>
        <v>76</v>
      </c>
      <c r="J28" s="13">
        <f t="shared" si="5"/>
        <v>106</v>
      </c>
      <c r="K28" s="13">
        <f t="shared" si="5"/>
        <v>96</v>
      </c>
      <c r="L28" s="13">
        <f t="shared" si="5"/>
        <v>88</v>
      </c>
      <c r="M28" s="13">
        <f t="shared" si="5"/>
        <v>82</v>
      </c>
      <c r="N28" s="13">
        <f t="shared" si="5"/>
        <v>111</v>
      </c>
      <c r="O28" s="13">
        <f t="shared" si="5"/>
        <v>128</v>
      </c>
      <c r="P28" s="13">
        <f t="shared" si="5"/>
        <v>110</v>
      </c>
      <c r="Q28" s="13">
        <f t="shared" si="5"/>
        <v>102</v>
      </c>
      <c r="R28" s="13">
        <f t="shared" si="5"/>
        <v>107</v>
      </c>
      <c r="S28" s="13">
        <f t="shared" si="5"/>
        <v>105</v>
      </c>
      <c r="T28" s="13">
        <f t="shared" si="5"/>
        <v>103</v>
      </c>
      <c r="U28" s="13">
        <f t="shared" si="5"/>
        <v>115</v>
      </c>
      <c r="V28" s="13">
        <f t="shared" si="5"/>
        <v>120</v>
      </c>
      <c r="W28" s="13">
        <f t="shared" si="5"/>
        <v>105</v>
      </c>
      <c r="X28" s="13">
        <f t="shared" si="5"/>
        <v>114</v>
      </c>
      <c r="Y28" s="13">
        <f t="shared" si="5"/>
        <v>118</v>
      </c>
      <c r="Z28" s="13">
        <f t="shared" si="5"/>
        <v>123</v>
      </c>
      <c r="AA28" s="13">
        <f t="shared" si="5"/>
        <v>103</v>
      </c>
      <c r="AB28" s="13">
        <f t="shared" si="0"/>
        <v>2438</v>
      </c>
    </row>
    <row r="29" spans="1:28" ht="12.75" customHeight="1" x14ac:dyDescent="0.3">
      <c r="A29" s="21"/>
      <c r="B29" s="60"/>
      <c r="C29" s="64"/>
      <c r="D29" s="13" t="s">
        <v>13</v>
      </c>
      <c r="E29" s="13">
        <f t="shared" ref="E29:AA29" si="6">SUM(E20,E23,E26)</f>
        <v>107</v>
      </c>
      <c r="F29" s="13">
        <f t="shared" si="6"/>
        <v>124</v>
      </c>
      <c r="G29" s="13">
        <f t="shared" si="6"/>
        <v>121</v>
      </c>
      <c r="H29" s="13">
        <f t="shared" si="6"/>
        <v>81</v>
      </c>
      <c r="I29" s="13">
        <f t="shared" si="6"/>
        <v>81</v>
      </c>
      <c r="J29" s="13">
        <f t="shared" si="6"/>
        <v>106</v>
      </c>
      <c r="K29" s="13">
        <f t="shared" si="6"/>
        <v>109</v>
      </c>
      <c r="L29" s="13">
        <f t="shared" si="6"/>
        <v>83</v>
      </c>
      <c r="M29" s="13">
        <f t="shared" si="6"/>
        <v>84</v>
      </c>
      <c r="N29" s="13">
        <f t="shared" si="6"/>
        <v>108</v>
      </c>
      <c r="O29" s="13">
        <f t="shared" si="6"/>
        <v>128</v>
      </c>
      <c r="P29" s="13">
        <f t="shared" si="6"/>
        <v>104</v>
      </c>
      <c r="Q29" s="13">
        <f t="shared" si="6"/>
        <v>111</v>
      </c>
      <c r="R29" s="13">
        <f t="shared" si="6"/>
        <v>111</v>
      </c>
      <c r="S29" s="13">
        <f t="shared" si="6"/>
        <v>103</v>
      </c>
      <c r="T29" s="13">
        <f t="shared" si="6"/>
        <v>118</v>
      </c>
      <c r="U29" s="13">
        <f t="shared" si="6"/>
        <v>118</v>
      </c>
      <c r="V29" s="13">
        <f t="shared" si="6"/>
        <v>122</v>
      </c>
      <c r="W29" s="13">
        <f t="shared" si="6"/>
        <v>121</v>
      </c>
      <c r="X29" s="13">
        <f t="shared" si="6"/>
        <v>116</v>
      </c>
      <c r="Y29" s="13">
        <f t="shared" si="6"/>
        <v>126</v>
      </c>
      <c r="Z29" s="13">
        <f t="shared" si="6"/>
        <v>122</v>
      </c>
      <c r="AA29" s="13">
        <f t="shared" si="6"/>
        <v>114</v>
      </c>
      <c r="AB29" s="13">
        <f t="shared" si="0"/>
        <v>2518</v>
      </c>
    </row>
    <row r="30" spans="1:28" ht="12.75" customHeight="1" x14ac:dyDescent="0.3">
      <c r="A30" s="21"/>
      <c r="B30" s="61"/>
      <c r="C30" s="65"/>
      <c r="D30" s="13" t="s">
        <v>14</v>
      </c>
      <c r="E30" s="13">
        <f t="shared" ref="E30:AA30" si="7">SUM(E28:E29)</f>
        <v>212</v>
      </c>
      <c r="F30" s="13">
        <f t="shared" si="7"/>
        <v>237</v>
      </c>
      <c r="G30" s="13">
        <f t="shared" si="7"/>
        <v>237</v>
      </c>
      <c r="H30" s="13">
        <f t="shared" si="7"/>
        <v>173</v>
      </c>
      <c r="I30" s="13">
        <f t="shared" si="7"/>
        <v>157</v>
      </c>
      <c r="J30" s="13">
        <f t="shared" si="7"/>
        <v>212</v>
      </c>
      <c r="K30" s="13">
        <f t="shared" si="7"/>
        <v>205</v>
      </c>
      <c r="L30" s="13">
        <f t="shared" si="7"/>
        <v>171</v>
      </c>
      <c r="M30" s="13">
        <f t="shared" si="7"/>
        <v>166</v>
      </c>
      <c r="N30" s="13">
        <f t="shared" si="7"/>
        <v>219</v>
      </c>
      <c r="O30" s="13">
        <f t="shared" si="7"/>
        <v>256</v>
      </c>
      <c r="P30" s="13">
        <f t="shared" si="7"/>
        <v>214</v>
      </c>
      <c r="Q30" s="13">
        <f t="shared" si="7"/>
        <v>213</v>
      </c>
      <c r="R30" s="13">
        <f t="shared" si="7"/>
        <v>218</v>
      </c>
      <c r="S30" s="13">
        <f t="shared" si="7"/>
        <v>208</v>
      </c>
      <c r="T30" s="13">
        <f t="shared" si="7"/>
        <v>221</v>
      </c>
      <c r="U30" s="13">
        <f t="shared" si="7"/>
        <v>233</v>
      </c>
      <c r="V30" s="13">
        <f t="shared" si="7"/>
        <v>242</v>
      </c>
      <c r="W30" s="13">
        <f t="shared" si="7"/>
        <v>226</v>
      </c>
      <c r="X30" s="13">
        <f t="shared" si="7"/>
        <v>230</v>
      </c>
      <c r="Y30" s="13">
        <f t="shared" si="7"/>
        <v>244</v>
      </c>
      <c r="Z30" s="13">
        <f t="shared" si="7"/>
        <v>245</v>
      </c>
      <c r="AA30" s="13">
        <f t="shared" si="7"/>
        <v>217</v>
      </c>
      <c r="AB30" s="13">
        <f t="shared" si="0"/>
        <v>4956</v>
      </c>
    </row>
    <row r="31" spans="1:28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13">
        <f t="shared" si="0"/>
        <v>0</v>
      </c>
    </row>
    <row r="32" spans="1:28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3">
        <f t="shared" si="0"/>
        <v>0</v>
      </c>
    </row>
    <row r="33" spans="1:28" ht="12.75" customHeight="1" x14ac:dyDescent="0.3">
      <c r="A33" s="15">
        <v>1</v>
      </c>
      <c r="B33" s="56" t="s">
        <v>27</v>
      </c>
      <c r="C33" s="49"/>
      <c r="D33" s="50"/>
      <c r="E33" s="15">
        <v>285</v>
      </c>
      <c r="F33" s="15">
        <v>296</v>
      </c>
      <c r="G33" s="15">
        <v>290</v>
      </c>
      <c r="H33" s="15">
        <v>212</v>
      </c>
      <c r="I33" s="15">
        <v>221</v>
      </c>
      <c r="J33" s="15">
        <v>270</v>
      </c>
      <c r="K33" s="15">
        <v>259</v>
      </c>
      <c r="L33" s="15">
        <v>221</v>
      </c>
      <c r="M33" s="15">
        <v>221</v>
      </c>
      <c r="N33" s="15">
        <v>255</v>
      </c>
      <c r="O33" s="15">
        <v>300</v>
      </c>
      <c r="P33" s="15">
        <v>296</v>
      </c>
      <c r="Q33" s="15">
        <v>290</v>
      </c>
      <c r="R33" s="15">
        <v>292</v>
      </c>
      <c r="S33" s="15">
        <v>260</v>
      </c>
      <c r="T33" s="15">
        <v>287</v>
      </c>
      <c r="U33" s="15">
        <v>298</v>
      </c>
      <c r="V33" s="15">
        <v>296</v>
      </c>
      <c r="W33" s="15">
        <v>299</v>
      </c>
      <c r="X33" s="15">
        <v>288</v>
      </c>
      <c r="Y33" s="15">
        <v>299</v>
      </c>
      <c r="Z33" s="15">
        <v>296</v>
      </c>
      <c r="AA33" s="15">
        <v>297</v>
      </c>
      <c r="AB33" s="13">
        <f t="shared" si="0"/>
        <v>6328</v>
      </c>
    </row>
    <row r="34" spans="1:28" ht="12.75" customHeight="1" x14ac:dyDescent="0.3">
      <c r="A34" s="15">
        <v>2</v>
      </c>
      <c r="B34" s="56" t="s">
        <v>28</v>
      </c>
      <c r="C34" s="49"/>
      <c r="D34" s="50"/>
      <c r="E34" s="13">
        <v>212</v>
      </c>
      <c r="F34" s="13">
        <v>237</v>
      </c>
      <c r="G34" s="13">
        <v>237</v>
      </c>
      <c r="H34" s="13">
        <v>173</v>
      </c>
      <c r="I34" s="13">
        <v>157</v>
      </c>
      <c r="J34" s="13">
        <v>212</v>
      </c>
      <c r="K34" s="13">
        <v>205</v>
      </c>
      <c r="L34" s="13">
        <v>171</v>
      </c>
      <c r="M34" s="13">
        <v>166</v>
      </c>
      <c r="N34" s="13">
        <v>219</v>
      </c>
      <c r="O34" s="13">
        <v>256</v>
      </c>
      <c r="P34" s="13">
        <v>214</v>
      </c>
      <c r="Q34" s="13">
        <v>213</v>
      </c>
      <c r="R34" s="13">
        <v>218</v>
      </c>
      <c r="S34" s="13">
        <v>208</v>
      </c>
      <c r="T34" s="13">
        <v>221</v>
      </c>
      <c r="U34" s="13">
        <v>233</v>
      </c>
      <c r="V34" s="13">
        <v>242</v>
      </c>
      <c r="W34" s="13">
        <v>226</v>
      </c>
      <c r="X34" s="13">
        <v>230</v>
      </c>
      <c r="Y34" s="13">
        <v>244</v>
      </c>
      <c r="Z34" s="13">
        <v>245</v>
      </c>
      <c r="AA34" s="13">
        <v>217</v>
      </c>
      <c r="AB34" s="13">
        <f t="shared" si="0"/>
        <v>4956</v>
      </c>
    </row>
    <row r="35" spans="1:28" ht="12.75" customHeight="1" x14ac:dyDescent="0.3">
      <c r="A35" s="15">
        <v>3</v>
      </c>
      <c r="B35" s="56" t="s">
        <v>29</v>
      </c>
      <c r="C35" s="49"/>
      <c r="D35" s="50"/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3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3">
        <f t="shared" si="0"/>
        <v>3</v>
      </c>
    </row>
    <row r="36" spans="1:28" ht="12.75" customHeight="1" x14ac:dyDescent="0.3">
      <c r="A36" s="15">
        <v>4</v>
      </c>
      <c r="B36" s="56" t="s">
        <v>30</v>
      </c>
      <c r="C36" s="49"/>
      <c r="D36" s="50"/>
      <c r="E36" s="13">
        <f t="shared" ref="E36:AA36" si="8">E33-(E34+E35)</f>
        <v>73</v>
      </c>
      <c r="F36" s="13">
        <f t="shared" si="8"/>
        <v>59</v>
      </c>
      <c r="G36" s="13">
        <f t="shared" si="8"/>
        <v>53</v>
      </c>
      <c r="H36" s="13">
        <f t="shared" si="8"/>
        <v>39</v>
      </c>
      <c r="I36" s="13">
        <f t="shared" si="8"/>
        <v>64</v>
      </c>
      <c r="J36" s="13">
        <f t="shared" si="8"/>
        <v>58</v>
      </c>
      <c r="K36" s="13">
        <f t="shared" si="8"/>
        <v>54</v>
      </c>
      <c r="L36" s="13">
        <f t="shared" si="8"/>
        <v>50</v>
      </c>
      <c r="M36" s="13">
        <f t="shared" si="8"/>
        <v>55</v>
      </c>
      <c r="N36" s="13">
        <f t="shared" si="8"/>
        <v>36</v>
      </c>
      <c r="O36" s="13">
        <f t="shared" si="8"/>
        <v>44</v>
      </c>
      <c r="P36" s="13">
        <f t="shared" si="8"/>
        <v>82</v>
      </c>
      <c r="Q36" s="13">
        <f t="shared" si="8"/>
        <v>77</v>
      </c>
      <c r="R36" s="13">
        <f t="shared" si="8"/>
        <v>74</v>
      </c>
      <c r="S36" s="13">
        <f t="shared" si="8"/>
        <v>52</v>
      </c>
      <c r="T36" s="13">
        <f t="shared" si="8"/>
        <v>66</v>
      </c>
      <c r="U36" s="13">
        <f t="shared" si="8"/>
        <v>65</v>
      </c>
      <c r="V36" s="13">
        <f t="shared" si="8"/>
        <v>51</v>
      </c>
      <c r="W36" s="13">
        <f t="shared" si="8"/>
        <v>73</v>
      </c>
      <c r="X36" s="13">
        <f t="shared" si="8"/>
        <v>58</v>
      </c>
      <c r="Y36" s="13">
        <f t="shared" si="8"/>
        <v>55</v>
      </c>
      <c r="Z36" s="13">
        <f t="shared" si="8"/>
        <v>51</v>
      </c>
      <c r="AA36" s="13">
        <f t="shared" si="8"/>
        <v>80</v>
      </c>
      <c r="AB36" s="13">
        <f t="shared" si="0"/>
        <v>1369</v>
      </c>
    </row>
    <row r="37" spans="1:28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13">
        <f t="shared" si="0"/>
        <v>0</v>
      </c>
    </row>
    <row r="38" spans="1:28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13">
        <f t="shared" si="0"/>
        <v>0</v>
      </c>
    </row>
    <row r="39" spans="1:28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3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/>
      <c r="U39" s="15"/>
      <c r="V39" s="15"/>
      <c r="W39" s="15"/>
      <c r="X39" s="15"/>
      <c r="Y39" s="15"/>
      <c r="Z39" s="15"/>
      <c r="AA39" s="15"/>
      <c r="AB39" s="13">
        <f t="shared" si="0"/>
        <v>3</v>
      </c>
    </row>
    <row r="40" spans="1:28" ht="12.75" customHeight="1" x14ac:dyDescent="0.3">
      <c r="A40" s="20"/>
      <c r="B40" s="70"/>
      <c r="C40" s="60"/>
      <c r="D40" s="15" t="s">
        <v>13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/>
      <c r="U40" s="15"/>
      <c r="V40" s="15"/>
      <c r="W40" s="15"/>
      <c r="X40" s="15"/>
      <c r="Y40" s="15"/>
      <c r="Z40" s="15"/>
      <c r="AA40" s="15"/>
      <c r="AB40" s="13">
        <f t="shared" si="0"/>
        <v>0</v>
      </c>
    </row>
    <row r="41" spans="1:28" ht="12.75" customHeight="1" x14ac:dyDescent="0.3">
      <c r="A41" s="24"/>
      <c r="B41" s="71"/>
      <c r="C41" s="61"/>
      <c r="D41" s="13" t="s">
        <v>14</v>
      </c>
      <c r="E41" s="13">
        <f t="shared" ref="E41:AA41" si="9">SUM(E39:E40)</f>
        <v>0</v>
      </c>
      <c r="F41" s="13">
        <f t="shared" si="9"/>
        <v>0</v>
      </c>
      <c r="G41" s="13">
        <f t="shared" si="9"/>
        <v>0</v>
      </c>
      <c r="H41" s="13">
        <f t="shared" si="9"/>
        <v>3</v>
      </c>
      <c r="I41" s="13">
        <f t="shared" si="9"/>
        <v>0</v>
      </c>
      <c r="J41" s="13">
        <f t="shared" si="9"/>
        <v>0</v>
      </c>
      <c r="K41" s="13">
        <f t="shared" si="9"/>
        <v>0</v>
      </c>
      <c r="L41" s="13">
        <f t="shared" si="9"/>
        <v>0</v>
      </c>
      <c r="M41" s="13">
        <f t="shared" si="9"/>
        <v>0</v>
      </c>
      <c r="N41" s="13">
        <f t="shared" si="9"/>
        <v>0</v>
      </c>
      <c r="O41" s="13">
        <f t="shared" si="9"/>
        <v>0</v>
      </c>
      <c r="P41" s="13">
        <f t="shared" si="9"/>
        <v>0</v>
      </c>
      <c r="Q41" s="13">
        <f t="shared" si="9"/>
        <v>0</v>
      </c>
      <c r="R41" s="13">
        <f t="shared" si="9"/>
        <v>0</v>
      </c>
      <c r="S41" s="13">
        <f t="shared" si="9"/>
        <v>0</v>
      </c>
      <c r="T41" s="13">
        <f t="shared" si="9"/>
        <v>0</v>
      </c>
      <c r="U41" s="13">
        <f t="shared" si="9"/>
        <v>0</v>
      </c>
      <c r="V41" s="13">
        <f t="shared" si="9"/>
        <v>0</v>
      </c>
      <c r="W41" s="13">
        <f t="shared" si="9"/>
        <v>0</v>
      </c>
      <c r="X41" s="13">
        <f t="shared" si="9"/>
        <v>0</v>
      </c>
      <c r="Y41" s="13">
        <f t="shared" si="9"/>
        <v>0</v>
      </c>
      <c r="Z41" s="13">
        <f t="shared" si="9"/>
        <v>0</v>
      </c>
      <c r="AA41" s="13">
        <f t="shared" si="9"/>
        <v>0</v>
      </c>
      <c r="AB41" s="13">
        <f t="shared" si="0"/>
        <v>3</v>
      </c>
    </row>
    <row r="42" spans="1:28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13">
        <f t="shared" si="0"/>
        <v>0</v>
      </c>
    </row>
    <row r="43" spans="1:28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13">
        <f t="shared" si="0"/>
        <v>0</v>
      </c>
    </row>
    <row r="44" spans="1:28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5"/>
      <c r="AA44" s="15"/>
      <c r="AB44" s="13">
        <f t="shared" si="0"/>
        <v>0</v>
      </c>
    </row>
    <row r="45" spans="1:28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5</v>
      </c>
      <c r="F45" s="15">
        <v>1</v>
      </c>
      <c r="G45" s="15">
        <v>5</v>
      </c>
      <c r="H45" s="15">
        <v>12</v>
      </c>
      <c r="I45" s="15">
        <v>5</v>
      </c>
      <c r="J45" s="15">
        <v>3</v>
      </c>
      <c r="K45" s="15">
        <v>1</v>
      </c>
      <c r="L45" s="15">
        <v>8</v>
      </c>
      <c r="M45" s="15">
        <v>3</v>
      </c>
      <c r="N45" s="15">
        <v>16</v>
      </c>
      <c r="O45" s="15">
        <v>2</v>
      </c>
      <c r="P45" s="15">
        <v>2</v>
      </c>
      <c r="Q45" s="15">
        <v>5</v>
      </c>
      <c r="R45" s="15">
        <v>2</v>
      </c>
      <c r="S45" s="15">
        <v>2</v>
      </c>
      <c r="T45" s="15">
        <v>3</v>
      </c>
      <c r="U45" s="15">
        <v>6</v>
      </c>
      <c r="V45" s="15">
        <v>4</v>
      </c>
      <c r="W45" s="15">
        <v>1</v>
      </c>
      <c r="X45" s="15">
        <v>3</v>
      </c>
      <c r="Y45" s="15">
        <v>2</v>
      </c>
      <c r="Z45" s="15">
        <v>4</v>
      </c>
      <c r="AA45" s="15">
        <v>3</v>
      </c>
      <c r="AB45" s="13">
        <f t="shared" si="0"/>
        <v>98</v>
      </c>
    </row>
    <row r="46" spans="1:28" ht="12.75" customHeight="1" x14ac:dyDescent="0.3">
      <c r="A46" s="19" t="s">
        <v>39</v>
      </c>
      <c r="B46" s="27"/>
      <c r="C46" s="28" t="s">
        <v>40</v>
      </c>
      <c r="D46" s="29"/>
      <c r="E46" s="15">
        <v>34</v>
      </c>
      <c r="F46" s="15">
        <v>25</v>
      </c>
      <c r="G46" s="15">
        <v>8</v>
      </c>
      <c r="H46" s="15">
        <v>21</v>
      </c>
      <c r="I46" s="15">
        <v>6</v>
      </c>
      <c r="J46" s="15">
        <v>11</v>
      </c>
      <c r="K46" s="15">
        <v>6</v>
      </c>
      <c r="L46" s="15">
        <v>8</v>
      </c>
      <c r="M46" s="15">
        <v>4</v>
      </c>
      <c r="N46" s="15">
        <v>22</v>
      </c>
      <c r="O46" s="15">
        <v>2</v>
      </c>
      <c r="P46" s="15">
        <v>3</v>
      </c>
      <c r="Q46" s="15">
        <v>1</v>
      </c>
      <c r="R46" s="15">
        <v>17</v>
      </c>
      <c r="S46" s="15">
        <v>5</v>
      </c>
      <c r="T46" s="15">
        <v>2</v>
      </c>
      <c r="U46" s="15">
        <v>6</v>
      </c>
      <c r="V46" s="15">
        <v>2</v>
      </c>
      <c r="W46" s="15">
        <v>6</v>
      </c>
      <c r="X46" s="15">
        <v>6</v>
      </c>
      <c r="Y46" s="15">
        <v>2</v>
      </c>
      <c r="Z46" s="15">
        <v>5</v>
      </c>
      <c r="AA46" s="15">
        <v>3</v>
      </c>
      <c r="AB46" s="13">
        <f t="shared" si="0"/>
        <v>205</v>
      </c>
    </row>
    <row r="47" spans="1:28" ht="12.75" customHeight="1" x14ac:dyDescent="0.3">
      <c r="A47" s="14"/>
      <c r="B47" s="27"/>
      <c r="C47" s="28" t="s">
        <v>41</v>
      </c>
      <c r="D47" s="29"/>
      <c r="E47" s="15">
        <v>0</v>
      </c>
      <c r="F47" s="15">
        <v>1</v>
      </c>
      <c r="G47" s="15">
        <v>1</v>
      </c>
      <c r="H47" s="15">
        <v>1</v>
      </c>
      <c r="I47" s="15">
        <v>2</v>
      </c>
      <c r="J47" s="15">
        <v>0</v>
      </c>
      <c r="K47" s="15">
        <v>0</v>
      </c>
      <c r="L47" s="15">
        <v>0</v>
      </c>
      <c r="M47" s="15">
        <v>0</v>
      </c>
      <c r="N47" s="15">
        <v>5</v>
      </c>
      <c r="O47" s="15">
        <v>0</v>
      </c>
      <c r="P47" s="15">
        <v>0</v>
      </c>
      <c r="Q47" s="15">
        <v>0</v>
      </c>
      <c r="R47" s="15">
        <v>0</v>
      </c>
      <c r="S47" s="15">
        <v>2</v>
      </c>
      <c r="T47" s="15">
        <v>0</v>
      </c>
      <c r="U47" s="15">
        <v>2</v>
      </c>
      <c r="V47" s="15">
        <v>0</v>
      </c>
      <c r="W47" s="15">
        <v>0</v>
      </c>
      <c r="X47" s="15">
        <v>3</v>
      </c>
      <c r="Y47" s="15">
        <v>2</v>
      </c>
      <c r="Z47" s="15">
        <v>3</v>
      </c>
      <c r="AA47" s="15">
        <v>0</v>
      </c>
      <c r="AB47" s="13">
        <f t="shared" si="0"/>
        <v>22</v>
      </c>
    </row>
    <row r="48" spans="1:28" ht="12.75" customHeight="1" x14ac:dyDescent="0.3">
      <c r="A48" s="14"/>
      <c r="B48" s="27"/>
      <c r="C48" s="28" t="s">
        <v>42</v>
      </c>
      <c r="D48" s="29"/>
      <c r="E48" s="15">
        <v>4</v>
      </c>
      <c r="F48" s="15">
        <v>0</v>
      </c>
      <c r="G48" s="15">
        <v>0</v>
      </c>
      <c r="H48" s="15">
        <v>0</v>
      </c>
      <c r="I48" s="15">
        <v>0</v>
      </c>
      <c r="J48" s="15">
        <v>2</v>
      </c>
      <c r="K48" s="15">
        <v>0</v>
      </c>
      <c r="L48" s="15">
        <v>0</v>
      </c>
      <c r="M48" s="15">
        <v>0</v>
      </c>
      <c r="N48" s="15">
        <v>0</v>
      </c>
      <c r="O48" s="15">
        <v>1</v>
      </c>
      <c r="P48" s="15">
        <v>0</v>
      </c>
      <c r="Q48" s="15">
        <v>1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1</v>
      </c>
      <c r="X48" s="15">
        <v>0</v>
      </c>
      <c r="Y48" s="15">
        <v>0</v>
      </c>
      <c r="Z48" s="15">
        <v>0</v>
      </c>
      <c r="AA48" s="15">
        <v>0</v>
      </c>
      <c r="AB48" s="13">
        <f t="shared" si="0"/>
        <v>9</v>
      </c>
    </row>
    <row r="49" spans="1:28" ht="12.75" customHeight="1" x14ac:dyDescent="0.3">
      <c r="A49" s="14"/>
      <c r="B49" s="27"/>
      <c r="C49" s="28" t="s">
        <v>43</v>
      </c>
      <c r="D49" s="29"/>
      <c r="E49" s="15">
        <v>12</v>
      </c>
      <c r="F49" s="15">
        <v>6</v>
      </c>
      <c r="G49" s="15">
        <v>7</v>
      </c>
      <c r="H49" s="15">
        <v>4</v>
      </c>
      <c r="I49" s="15">
        <v>2</v>
      </c>
      <c r="J49" s="15">
        <v>1</v>
      </c>
      <c r="K49" s="15">
        <v>1</v>
      </c>
      <c r="L49" s="15">
        <v>1</v>
      </c>
      <c r="M49" s="15">
        <v>0</v>
      </c>
      <c r="N49" s="15">
        <v>3</v>
      </c>
      <c r="O49" s="15">
        <v>1</v>
      </c>
      <c r="P49" s="15">
        <v>0</v>
      </c>
      <c r="Q49" s="15">
        <v>3</v>
      </c>
      <c r="R49" s="15">
        <v>5</v>
      </c>
      <c r="S49" s="15">
        <v>7</v>
      </c>
      <c r="T49" s="15">
        <v>6</v>
      </c>
      <c r="U49" s="15">
        <v>5</v>
      </c>
      <c r="V49" s="15">
        <v>4</v>
      </c>
      <c r="W49" s="15">
        <v>20</v>
      </c>
      <c r="X49" s="15">
        <v>7</v>
      </c>
      <c r="Y49" s="15">
        <v>1</v>
      </c>
      <c r="Z49" s="15">
        <v>10</v>
      </c>
      <c r="AA49" s="15">
        <v>0</v>
      </c>
      <c r="AB49" s="13">
        <f t="shared" si="0"/>
        <v>106</v>
      </c>
    </row>
    <row r="50" spans="1:28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2</v>
      </c>
      <c r="G50" s="15">
        <v>0</v>
      </c>
      <c r="H50" s="15">
        <v>1</v>
      </c>
      <c r="I50" s="15">
        <v>1</v>
      </c>
      <c r="J50" s="15">
        <v>0</v>
      </c>
      <c r="K50" s="15">
        <v>1</v>
      </c>
      <c r="L50" s="15">
        <v>0</v>
      </c>
      <c r="M50" s="15">
        <v>0</v>
      </c>
      <c r="N50" s="15">
        <v>1</v>
      </c>
      <c r="O50" s="15">
        <v>0</v>
      </c>
      <c r="P50" s="15">
        <v>1</v>
      </c>
      <c r="Q50" s="15">
        <v>1</v>
      </c>
      <c r="R50" s="15">
        <v>1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3">
        <f t="shared" si="0"/>
        <v>9</v>
      </c>
    </row>
    <row r="51" spans="1:28" ht="12.75" customHeight="1" x14ac:dyDescent="0.3">
      <c r="A51" s="14"/>
      <c r="B51" s="27"/>
      <c r="C51" s="28" t="s">
        <v>45</v>
      </c>
      <c r="D51" s="29"/>
      <c r="E51" s="15">
        <v>2</v>
      </c>
      <c r="F51" s="15">
        <v>0</v>
      </c>
      <c r="G51" s="15">
        <v>0</v>
      </c>
      <c r="H51" s="15">
        <v>1</v>
      </c>
      <c r="I51" s="15">
        <v>0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1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3">
        <f t="shared" si="0"/>
        <v>4</v>
      </c>
    </row>
    <row r="52" spans="1:28" ht="12.75" customHeight="1" x14ac:dyDescent="0.3">
      <c r="A52" s="14"/>
      <c r="B52" s="27"/>
      <c r="C52" s="28" t="s">
        <v>46</v>
      </c>
      <c r="D52" s="29"/>
      <c r="E52" s="15">
        <v>0</v>
      </c>
      <c r="F52" s="15">
        <v>1</v>
      </c>
      <c r="G52" s="15">
        <v>0</v>
      </c>
      <c r="H52" s="15">
        <v>1</v>
      </c>
      <c r="I52" s="15">
        <v>2</v>
      </c>
      <c r="J52" s="15">
        <v>0</v>
      </c>
      <c r="K52" s="15">
        <v>0</v>
      </c>
      <c r="L52" s="15">
        <v>0</v>
      </c>
      <c r="M52" s="15">
        <v>3</v>
      </c>
      <c r="N52" s="15">
        <v>9</v>
      </c>
      <c r="O52" s="15">
        <v>2</v>
      </c>
      <c r="P52" s="15">
        <v>3</v>
      </c>
      <c r="Q52" s="15">
        <v>3</v>
      </c>
      <c r="R52" s="15">
        <v>7</v>
      </c>
      <c r="S52" s="15">
        <v>6</v>
      </c>
      <c r="T52" s="15">
        <v>1</v>
      </c>
      <c r="U52" s="15">
        <v>75</v>
      </c>
      <c r="V52" s="15">
        <v>50</v>
      </c>
      <c r="W52" s="15">
        <v>19</v>
      </c>
      <c r="X52" s="15">
        <v>6</v>
      </c>
      <c r="Y52" s="15">
        <v>12</v>
      </c>
      <c r="Z52" s="15">
        <v>25</v>
      </c>
      <c r="AA52" s="15">
        <v>2</v>
      </c>
      <c r="AB52" s="13">
        <f t="shared" si="0"/>
        <v>227</v>
      </c>
    </row>
    <row r="53" spans="1:28" ht="12.75" customHeight="1" x14ac:dyDescent="0.3">
      <c r="A53" s="15" t="s">
        <v>15</v>
      </c>
      <c r="B53" s="48" t="s">
        <v>47</v>
      </c>
      <c r="C53" s="49"/>
      <c r="D53" s="50"/>
      <c r="E53" s="34">
        <f>SUM(E45:E52)</f>
        <v>57</v>
      </c>
      <c r="F53" s="34">
        <f t="shared" ref="F53:AA53" si="10">SUM(F45:F52)</f>
        <v>36</v>
      </c>
      <c r="G53" s="34">
        <f t="shared" si="10"/>
        <v>21</v>
      </c>
      <c r="H53" s="34">
        <f t="shared" si="10"/>
        <v>41</v>
      </c>
      <c r="I53" s="34">
        <f t="shared" si="10"/>
        <v>18</v>
      </c>
      <c r="J53" s="34">
        <f t="shared" si="10"/>
        <v>17</v>
      </c>
      <c r="K53" s="34">
        <f t="shared" si="10"/>
        <v>9</v>
      </c>
      <c r="L53" s="34">
        <f t="shared" si="10"/>
        <v>17</v>
      </c>
      <c r="M53" s="34">
        <f t="shared" si="10"/>
        <v>10</v>
      </c>
      <c r="N53" s="34">
        <f t="shared" si="10"/>
        <v>56</v>
      </c>
      <c r="O53" s="34">
        <f t="shared" si="10"/>
        <v>8</v>
      </c>
      <c r="P53" s="34">
        <f t="shared" si="10"/>
        <v>9</v>
      </c>
      <c r="Q53" s="34">
        <f t="shared" si="10"/>
        <v>14</v>
      </c>
      <c r="R53" s="34">
        <f t="shared" si="10"/>
        <v>32</v>
      </c>
      <c r="S53" s="34">
        <f t="shared" si="10"/>
        <v>22</v>
      </c>
      <c r="T53" s="34">
        <f t="shared" si="10"/>
        <v>12</v>
      </c>
      <c r="U53" s="34">
        <f t="shared" si="10"/>
        <v>94</v>
      </c>
      <c r="V53" s="34">
        <f t="shared" si="10"/>
        <v>61</v>
      </c>
      <c r="W53" s="34">
        <f t="shared" si="10"/>
        <v>47</v>
      </c>
      <c r="X53" s="34">
        <f t="shared" si="10"/>
        <v>25</v>
      </c>
      <c r="Y53" s="34">
        <f t="shared" si="10"/>
        <v>19</v>
      </c>
      <c r="Z53" s="34">
        <f t="shared" si="10"/>
        <v>47</v>
      </c>
      <c r="AA53" s="34">
        <f t="shared" si="10"/>
        <v>8</v>
      </c>
      <c r="AB53" s="13">
        <f t="shared" si="0"/>
        <v>680</v>
      </c>
    </row>
    <row r="54" spans="1:28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13">
        <f t="shared" si="0"/>
        <v>0</v>
      </c>
    </row>
    <row r="55" spans="1:28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10</v>
      </c>
      <c r="F55" s="15">
        <v>3</v>
      </c>
      <c r="G55" s="15">
        <v>4</v>
      </c>
      <c r="H55" s="15">
        <v>7</v>
      </c>
      <c r="I55" s="15">
        <v>9</v>
      </c>
      <c r="J55" s="15">
        <v>4</v>
      </c>
      <c r="K55" s="15">
        <v>10</v>
      </c>
      <c r="L55" s="15">
        <v>3</v>
      </c>
      <c r="M55" s="15">
        <v>3</v>
      </c>
      <c r="N55" s="15">
        <v>3</v>
      </c>
      <c r="O55" s="15">
        <v>2</v>
      </c>
      <c r="P55" s="15">
        <v>3</v>
      </c>
      <c r="Q55" s="15">
        <v>6</v>
      </c>
      <c r="R55" s="15">
        <v>5</v>
      </c>
      <c r="S55" s="15">
        <v>4</v>
      </c>
      <c r="T55" s="15">
        <v>11</v>
      </c>
      <c r="U55" s="15">
        <v>5</v>
      </c>
      <c r="V55" s="15">
        <v>13</v>
      </c>
      <c r="W55" s="15">
        <v>8</v>
      </c>
      <c r="X55" s="15">
        <v>6</v>
      </c>
      <c r="Y55" s="15">
        <v>5</v>
      </c>
      <c r="Z55" s="15">
        <v>7</v>
      </c>
      <c r="AA55" s="15">
        <v>2</v>
      </c>
      <c r="AB55" s="13">
        <f t="shared" si="0"/>
        <v>133</v>
      </c>
    </row>
    <row r="56" spans="1:28" ht="12.75" customHeight="1" x14ac:dyDescent="0.3">
      <c r="A56" s="19" t="s">
        <v>39</v>
      </c>
      <c r="B56" s="27"/>
      <c r="C56" s="28" t="s">
        <v>49</v>
      </c>
      <c r="D56" s="29"/>
      <c r="E56" s="15">
        <v>6</v>
      </c>
      <c r="F56" s="15">
        <v>5</v>
      </c>
      <c r="G56" s="15">
        <v>0</v>
      </c>
      <c r="H56" s="15">
        <v>1</v>
      </c>
      <c r="I56" s="15">
        <v>2</v>
      </c>
      <c r="J56" s="15">
        <v>0</v>
      </c>
      <c r="K56" s="15">
        <v>4</v>
      </c>
      <c r="L56" s="15">
        <v>3</v>
      </c>
      <c r="M56" s="15">
        <v>0</v>
      </c>
      <c r="N56" s="15">
        <v>1</v>
      </c>
      <c r="O56" s="15">
        <v>1</v>
      </c>
      <c r="P56" s="15">
        <v>1</v>
      </c>
      <c r="Q56" s="15">
        <v>3</v>
      </c>
      <c r="R56" s="15">
        <v>1</v>
      </c>
      <c r="S56" s="15">
        <v>1</v>
      </c>
      <c r="T56" s="15">
        <v>0</v>
      </c>
      <c r="U56" s="15">
        <v>0</v>
      </c>
      <c r="V56" s="15">
        <v>4</v>
      </c>
      <c r="W56" s="15">
        <v>0</v>
      </c>
      <c r="X56" s="15">
        <v>1</v>
      </c>
      <c r="Y56" s="15">
        <v>1</v>
      </c>
      <c r="Z56" s="15">
        <v>2</v>
      </c>
      <c r="AA56" s="15">
        <v>1</v>
      </c>
      <c r="AB56" s="13">
        <f t="shared" si="0"/>
        <v>38</v>
      </c>
    </row>
    <row r="57" spans="1:28" ht="12.75" customHeight="1" x14ac:dyDescent="0.3">
      <c r="A57" s="14"/>
      <c r="B57" s="27"/>
      <c r="C57" s="28" t="s">
        <v>50</v>
      </c>
      <c r="D57" s="29"/>
      <c r="E57" s="15">
        <v>24</v>
      </c>
      <c r="F57" s="15">
        <v>16</v>
      </c>
      <c r="G57" s="15">
        <v>31</v>
      </c>
      <c r="H57" s="15">
        <v>14</v>
      </c>
      <c r="I57" s="15">
        <v>9</v>
      </c>
      <c r="J57" s="15">
        <v>15</v>
      </c>
      <c r="K57" s="15">
        <v>18</v>
      </c>
      <c r="L57" s="15">
        <v>7</v>
      </c>
      <c r="M57" s="15">
        <v>3</v>
      </c>
      <c r="N57" s="15">
        <v>6</v>
      </c>
      <c r="O57" s="15">
        <v>1</v>
      </c>
      <c r="P57" s="15">
        <v>3</v>
      </c>
      <c r="Q57" s="15">
        <v>6</v>
      </c>
      <c r="R57" s="15">
        <v>12</v>
      </c>
      <c r="S57" s="15">
        <v>11</v>
      </c>
      <c r="T57" s="15">
        <v>28</v>
      </c>
      <c r="U57" s="15">
        <v>3</v>
      </c>
      <c r="V57" s="15">
        <v>26</v>
      </c>
      <c r="W57" s="15">
        <v>17</v>
      </c>
      <c r="X57" s="15">
        <v>6</v>
      </c>
      <c r="Y57" s="15">
        <v>12</v>
      </c>
      <c r="Z57" s="15">
        <v>5</v>
      </c>
      <c r="AA57" s="15">
        <v>2</v>
      </c>
      <c r="AB57" s="13">
        <f t="shared" si="0"/>
        <v>275</v>
      </c>
    </row>
    <row r="58" spans="1:28" ht="12.75" customHeight="1" x14ac:dyDescent="0.3">
      <c r="A58" s="14"/>
      <c r="B58" s="27"/>
      <c r="C58" s="28" t="s">
        <v>51</v>
      </c>
      <c r="D58" s="29"/>
      <c r="E58" s="15">
        <v>1</v>
      </c>
      <c r="F58" s="15">
        <v>3</v>
      </c>
      <c r="G58" s="15">
        <v>1</v>
      </c>
      <c r="H58" s="15">
        <v>2</v>
      </c>
      <c r="I58" s="15">
        <v>0</v>
      </c>
      <c r="J58" s="15">
        <v>0</v>
      </c>
      <c r="K58" s="15">
        <v>2</v>
      </c>
      <c r="L58" s="15">
        <v>2</v>
      </c>
      <c r="M58" s="15">
        <v>0</v>
      </c>
      <c r="N58" s="15">
        <v>1</v>
      </c>
      <c r="O58" s="15">
        <v>1</v>
      </c>
      <c r="P58" s="15">
        <v>0</v>
      </c>
      <c r="Q58" s="15">
        <v>1</v>
      </c>
      <c r="R58" s="15">
        <v>2</v>
      </c>
      <c r="S58" s="15">
        <v>1</v>
      </c>
      <c r="T58" s="15">
        <v>1</v>
      </c>
      <c r="U58" s="15">
        <v>3</v>
      </c>
      <c r="V58" s="15">
        <v>2</v>
      </c>
      <c r="W58" s="15">
        <v>1</v>
      </c>
      <c r="X58" s="15">
        <v>3</v>
      </c>
      <c r="Y58" s="15">
        <v>1</v>
      </c>
      <c r="Z58" s="15">
        <v>1</v>
      </c>
      <c r="AA58" s="15">
        <v>1</v>
      </c>
      <c r="AB58" s="13">
        <f t="shared" si="0"/>
        <v>30</v>
      </c>
    </row>
    <row r="59" spans="1:28" ht="12.75" customHeight="1" x14ac:dyDescent="0.3">
      <c r="A59" s="14"/>
      <c r="B59" s="27"/>
      <c r="C59" s="28" t="s">
        <v>52</v>
      </c>
      <c r="D59" s="29"/>
      <c r="E59" s="15">
        <v>0</v>
      </c>
      <c r="F59" s="15">
        <v>1</v>
      </c>
      <c r="G59" s="15">
        <v>2</v>
      </c>
      <c r="H59" s="15">
        <v>5</v>
      </c>
      <c r="I59" s="15">
        <v>5</v>
      </c>
      <c r="J59" s="15">
        <v>4</v>
      </c>
      <c r="K59" s="15">
        <v>2</v>
      </c>
      <c r="L59" s="15">
        <v>5</v>
      </c>
      <c r="M59" s="15">
        <v>1</v>
      </c>
      <c r="N59" s="15">
        <v>4</v>
      </c>
      <c r="O59" s="15">
        <v>0</v>
      </c>
      <c r="P59" s="15">
        <v>0</v>
      </c>
      <c r="Q59" s="15">
        <v>0</v>
      </c>
      <c r="R59" s="15">
        <v>6</v>
      </c>
      <c r="S59" s="15">
        <v>5</v>
      </c>
      <c r="T59" s="15">
        <v>5</v>
      </c>
      <c r="U59" s="15">
        <v>11</v>
      </c>
      <c r="V59" s="15">
        <v>5</v>
      </c>
      <c r="W59" s="15">
        <v>10</v>
      </c>
      <c r="X59" s="15">
        <v>6</v>
      </c>
      <c r="Y59" s="15">
        <v>5</v>
      </c>
      <c r="Z59" s="15">
        <v>7</v>
      </c>
      <c r="AA59" s="15">
        <v>1</v>
      </c>
      <c r="AB59" s="13">
        <f t="shared" si="0"/>
        <v>90</v>
      </c>
    </row>
    <row r="60" spans="1:28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1</v>
      </c>
      <c r="T60" s="15">
        <v>0</v>
      </c>
      <c r="U60" s="15">
        <v>0</v>
      </c>
      <c r="V60" s="15">
        <v>0</v>
      </c>
      <c r="W60" s="15">
        <v>1</v>
      </c>
      <c r="X60" s="15">
        <v>1</v>
      </c>
      <c r="Y60" s="15">
        <v>1</v>
      </c>
      <c r="Z60" s="15">
        <v>0</v>
      </c>
      <c r="AA60" s="15">
        <v>1</v>
      </c>
      <c r="AB60" s="13">
        <f t="shared" si="0"/>
        <v>6</v>
      </c>
    </row>
    <row r="61" spans="1:28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3">
        <f t="shared" si="0"/>
        <v>0</v>
      </c>
    </row>
    <row r="62" spans="1:28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0</v>
      </c>
      <c r="H62" s="15">
        <v>0</v>
      </c>
      <c r="I62" s="15">
        <v>3</v>
      </c>
      <c r="J62" s="15">
        <v>0</v>
      </c>
      <c r="K62" s="15">
        <v>0</v>
      </c>
      <c r="L62" s="15">
        <v>0</v>
      </c>
      <c r="M62" s="15">
        <v>0</v>
      </c>
      <c r="N62" s="15">
        <v>1</v>
      </c>
      <c r="O62" s="15">
        <v>1</v>
      </c>
      <c r="P62" s="15">
        <v>0</v>
      </c>
      <c r="Q62" s="15">
        <v>0</v>
      </c>
      <c r="R62" s="15">
        <v>0</v>
      </c>
      <c r="S62" s="15">
        <v>2</v>
      </c>
      <c r="T62" s="15">
        <v>0</v>
      </c>
      <c r="U62" s="15">
        <v>1</v>
      </c>
      <c r="V62" s="15">
        <v>0</v>
      </c>
      <c r="W62" s="15">
        <v>0</v>
      </c>
      <c r="X62" s="15">
        <v>2</v>
      </c>
      <c r="Y62" s="15">
        <v>0</v>
      </c>
      <c r="Z62" s="15">
        <v>0</v>
      </c>
      <c r="AA62" s="15">
        <v>0</v>
      </c>
      <c r="AB62" s="13">
        <f t="shared" si="0"/>
        <v>10</v>
      </c>
    </row>
    <row r="63" spans="1:28" ht="12.75" customHeight="1" x14ac:dyDescent="0.3">
      <c r="A63" s="15" t="s">
        <v>15</v>
      </c>
      <c r="B63" s="48" t="s">
        <v>47</v>
      </c>
      <c r="C63" s="49"/>
      <c r="D63" s="50"/>
      <c r="E63" s="34">
        <f>SUM(E55:E62)</f>
        <v>41</v>
      </c>
      <c r="F63" s="34">
        <f t="shared" ref="F63:AA63" si="11">SUM(F55:F62)</f>
        <v>28</v>
      </c>
      <c r="G63" s="34">
        <f t="shared" si="11"/>
        <v>38</v>
      </c>
      <c r="H63" s="34">
        <f t="shared" si="11"/>
        <v>29</v>
      </c>
      <c r="I63" s="34">
        <f t="shared" si="11"/>
        <v>28</v>
      </c>
      <c r="J63" s="34">
        <f t="shared" si="11"/>
        <v>23</v>
      </c>
      <c r="K63" s="34">
        <f t="shared" si="11"/>
        <v>37</v>
      </c>
      <c r="L63" s="34">
        <f t="shared" si="11"/>
        <v>20</v>
      </c>
      <c r="M63" s="34">
        <f t="shared" si="11"/>
        <v>7</v>
      </c>
      <c r="N63" s="34">
        <f t="shared" si="11"/>
        <v>16</v>
      </c>
      <c r="O63" s="34">
        <f t="shared" si="11"/>
        <v>6</v>
      </c>
      <c r="P63" s="34">
        <f t="shared" si="11"/>
        <v>7</v>
      </c>
      <c r="Q63" s="34">
        <f t="shared" si="11"/>
        <v>16</v>
      </c>
      <c r="R63" s="34">
        <f t="shared" si="11"/>
        <v>26</v>
      </c>
      <c r="S63" s="34">
        <f t="shared" si="11"/>
        <v>25</v>
      </c>
      <c r="T63" s="34">
        <f t="shared" si="11"/>
        <v>45</v>
      </c>
      <c r="U63" s="34">
        <f t="shared" si="11"/>
        <v>23</v>
      </c>
      <c r="V63" s="34">
        <f t="shared" si="11"/>
        <v>50</v>
      </c>
      <c r="W63" s="34">
        <f t="shared" si="11"/>
        <v>37</v>
      </c>
      <c r="X63" s="34">
        <f t="shared" si="11"/>
        <v>25</v>
      </c>
      <c r="Y63" s="34">
        <f t="shared" si="11"/>
        <v>25</v>
      </c>
      <c r="Z63" s="34">
        <f t="shared" si="11"/>
        <v>22</v>
      </c>
      <c r="AA63" s="34">
        <f t="shared" si="11"/>
        <v>8</v>
      </c>
      <c r="AB63" s="13">
        <f t="shared" si="0"/>
        <v>582</v>
      </c>
    </row>
    <row r="64" spans="1:28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13">
        <f t="shared" si="0"/>
        <v>0</v>
      </c>
    </row>
    <row r="65" spans="1:28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5</v>
      </c>
      <c r="F65" s="15">
        <v>3</v>
      </c>
      <c r="G65" s="15">
        <v>6</v>
      </c>
      <c r="H65" s="15">
        <v>4</v>
      </c>
      <c r="I65" s="15">
        <v>3</v>
      </c>
      <c r="J65" s="15">
        <v>6</v>
      </c>
      <c r="K65" s="15">
        <v>5</v>
      </c>
      <c r="L65" s="15">
        <v>3</v>
      </c>
      <c r="M65" s="15">
        <v>14</v>
      </c>
      <c r="N65" s="15">
        <v>11</v>
      </c>
      <c r="O65" s="15">
        <v>9</v>
      </c>
      <c r="P65" s="15">
        <v>14</v>
      </c>
      <c r="Q65" s="15">
        <v>13</v>
      </c>
      <c r="R65" s="15">
        <v>8</v>
      </c>
      <c r="S65" s="15">
        <v>15</v>
      </c>
      <c r="T65" s="15">
        <v>10</v>
      </c>
      <c r="U65" s="15">
        <v>2</v>
      </c>
      <c r="V65" s="15">
        <v>5</v>
      </c>
      <c r="W65" s="15">
        <v>11</v>
      </c>
      <c r="X65" s="15">
        <v>8</v>
      </c>
      <c r="Y65" s="15">
        <v>7</v>
      </c>
      <c r="Z65" s="15">
        <v>8</v>
      </c>
      <c r="AA65" s="15">
        <v>13</v>
      </c>
      <c r="AB65" s="13">
        <f t="shared" si="0"/>
        <v>183</v>
      </c>
    </row>
    <row r="66" spans="1:28" ht="12.75" customHeight="1" x14ac:dyDescent="0.3">
      <c r="A66" s="19" t="s">
        <v>39</v>
      </c>
      <c r="B66" s="27"/>
      <c r="C66" s="28" t="s">
        <v>57</v>
      </c>
      <c r="D66" s="29"/>
      <c r="E66" s="15">
        <v>7</v>
      </c>
      <c r="F66" s="15">
        <v>15</v>
      </c>
      <c r="G66" s="15">
        <v>22</v>
      </c>
      <c r="H66" s="15">
        <v>16</v>
      </c>
      <c r="I66" s="15">
        <v>1</v>
      </c>
      <c r="J66" s="15">
        <v>9</v>
      </c>
      <c r="K66" s="15">
        <v>10</v>
      </c>
      <c r="L66" s="15">
        <v>5</v>
      </c>
      <c r="M66" s="15">
        <v>13</v>
      </c>
      <c r="N66" s="15">
        <v>20</v>
      </c>
      <c r="O66" s="15">
        <v>28</v>
      </c>
      <c r="P66" s="15">
        <v>70</v>
      </c>
      <c r="Q66" s="15">
        <v>31</v>
      </c>
      <c r="R66" s="15">
        <v>41</v>
      </c>
      <c r="S66" s="15">
        <v>55</v>
      </c>
      <c r="T66" s="15">
        <v>42</v>
      </c>
      <c r="U66" s="15">
        <v>17</v>
      </c>
      <c r="V66" s="15">
        <v>45</v>
      </c>
      <c r="W66" s="15">
        <v>38</v>
      </c>
      <c r="X66" s="15">
        <v>53</v>
      </c>
      <c r="Y66" s="15">
        <v>30</v>
      </c>
      <c r="Z66" s="15">
        <v>21</v>
      </c>
      <c r="AA66" s="15">
        <v>36</v>
      </c>
      <c r="AB66" s="13">
        <f t="shared" si="0"/>
        <v>625</v>
      </c>
    </row>
    <row r="67" spans="1:28" ht="12.75" customHeight="1" x14ac:dyDescent="0.3">
      <c r="A67" s="14"/>
      <c r="B67" s="27"/>
      <c r="C67" s="28" t="s">
        <v>58</v>
      </c>
      <c r="D67" s="29"/>
      <c r="E67" s="15">
        <v>8</v>
      </c>
      <c r="F67" s="15">
        <v>0</v>
      </c>
      <c r="G67" s="15">
        <v>8</v>
      </c>
      <c r="H67" s="15">
        <v>4</v>
      </c>
      <c r="I67" s="15">
        <v>5</v>
      </c>
      <c r="J67" s="15">
        <v>15</v>
      </c>
      <c r="K67" s="15">
        <v>5</v>
      </c>
      <c r="L67" s="15">
        <v>0</v>
      </c>
      <c r="M67" s="15">
        <v>2</v>
      </c>
      <c r="N67" s="15">
        <v>0</v>
      </c>
      <c r="O67" s="15">
        <v>1</v>
      </c>
      <c r="P67" s="15">
        <v>9</v>
      </c>
      <c r="Q67" s="15">
        <v>9</v>
      </c>
      <c r="R67" s="15">
        <v>28</v>
      </c>
      <c r="S67" s="15">
        <v>9</v>
      </c>
      <c r="T67" s="15">
        <v>0</v>
      </c>
      <c r="U67" s="15">
        <v>1</v>
      </c>
      <c r="V67" s="15">
        <v>13</v>
      </c>
      <c r="W67" s="15">
        <v>4</v>
      </c>
      <c r="X67" s="15">
        <v>14</v>
      </c>
      <c r="Y67" s="15">
        <v>10</v>
      </c>
      <c r="Z67" s="15">
        <v>21</v>
      </c>
      <c r="AA67" s="15">
        <v>12</v>
      </c>
      <c r="AB67" s="13">
        <f t="shared" si="0"/>
        <v>178</v>
      </c>
    </row>
    <row r="68" spans="1:28" ht="12.75" customHeight="1" x14ac:dyDescent="0.3">
      <c r="A68" s="14"/>
      <c r="B68" s="27"/>
      <c r="C68" s="28" t="s">
        <v>59</v>
      </c>
      <c r="D68" s="29"/>
      <c r="E68" s="15">
        <v>3</v>
      </c>
      <c r="F68" s="15">
        <v>0</v>
      </c>
      <c r="G68" s="15">
        <v>1</v>
      </c>
      <c r="H68" s="15">
        <v>2</v>
      </c>
      <c r="I68" s="15">
        <v>0</v>
      </c>
      <c r="J68" s="15">
        <v>1</v>
      </c>
      <c r="K68" s="15">
        <v>0</v>
      </c>
      <c r="L68" s="15">
        <v>0</v>
      </c>
      <c r="M68" s="15">
        <v>2</v>
      </c>
      <c r="N68" s="15">
        <v>0</v>
      </c>
      <c r="O68" s="15">
        <v>0</v>
      </c>
      <c r="P68" s="15">
        <v>0</v>
      </c>
      <c r="Q68" s="15">
        <v>0</v>
      </c>
      <c r="R68" s="15">
        <v>1</v>
      </c>
      <c r="S68" s="15">
        <v>0</v>
      </c>
      <c r="T68" s="15">
        <v>1</v>
      </c>
      <c r="U68" s="15">
        <v>0</v>
      </c>
      <c r="V68" s="15">
        <v>1</v>
      </c>
      <c r="W68" s="15">
        <v>0</v>
      </c>
      <c r="X68" s="15">
        <v>0</v>
      </c>
      <c r="Y68" s="15">
        <v>0</v>
      </c>
      <c r="Z68" s="15">
        <v>1</v>
      </c>
      <c r="AA68" s="15">
        <v>3</v>
      </c>
      <c r="AB68" s="13">
        <f t="shared" si="0"/>
        <v>16</v>
      </c>
    </row>
    <row r="69" spans="1:28" ht="12.75" customHeight="1" x14ac:dyDescent="0.3">
      <c r="A69" s="14"/>
      <c r="B69" s="27"/>
      <c r="C69" s="28" t="s">
        <v>60</v>
      </c>
      <c r="D69" s="29"/>
      <c r="E69" s="15">
        <v>1</v>
      </c>
      <c r="F69" s="15">
        <v>1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1</v>
      </c>
      <c r="N69" s="15">
        <v>0</v>
      </c>
      <c r="O69" s="15">
        <v>0</v>
      </c>
      <c r="P69" s="15">
        <v>0</v>
      </c>
      <c r="Q69" s="15">
        <v>1</v>
      </c>
      <c r="R69" s="15">
        <v>2</v>
      </c>
      <c r="S69" s="15">
        <v>0</v>
      </c>
      <c r="T69" s="15">
        <v>0</v>
      </c>
      <c r="U69" s="15">
        <v>0</v>
      </c>
      <c r="V69" s="15">
        <v>0</v>
      </c>
      <c r="W69" s="15">
        <v>1</v>
      </c>
      <c r="X69" s="15">
        <v>0</v>
      </c>
      <c r="Y69" s="15">
        <v>0</v>
      </c>
      <c r="Z69" s="15">
        <v>0</v>
      </c>
      <c r="AA69" s="15">
        <v>1</v>
      </c>
      <c r="AB69" s="13">
        <f t="shared" si="0"/>
        <v>8</v>
      </c>
    </row>
    <row r="70" spans="1:28" ht="12.75" customHeight="1" x14ac:dyDescent="0.3">
      <c r="A70" s="14"/>
      <c r="B70" s="27"/>
      <c r="C70" s="28" t="s">
        <v>61</v>
      </c>
      <c r="D70" s="29"/>
      <c r="E70" s="15">
        <v>7</v>
      </c>
      <c r="F70" s="15">
        <v>0</v>
      </c>
      <c r="G70" s="15">
        <v>4</v>
      </c>
      <c r="H70" s="15">
        <v>0</v>
      </c>
      <c r="I70" s="15">
        <v>0</v>
      </c>
      <c r="J70" s="15">
        <v>6</v>
      </c>
      <c r="K70" s="15">
        <v>10</v>
      </c>
      <c r="L70" s="15">
        <v>7</v>
      </c>
      <c r="M70" s="15">
        <v>2</v>
      </c>
      <c r="N70" s="15">
        <v>1</v>
      </c>
      <c r="O70" s="15">
        <v>4</v>
      </c>
      <c r="P70" s="15">
        <v>4</v>
      </c>
      <c r="Q70" s="15">
        <v>4</v>
      </c>
      <c r="R70" s="15">
        <v>2</v>
      </c>
      <c r="S70" s="15">
        <v>1</v>
      </c>
      <c r="T70" s="15">
        <v>11</v>
      </c>
      <c r="U70" s="15">
        <v>10</v>
      </c>
      <c r="V70" s="15">
        <v>0</v>
      </c>
      <c r="W70" s="15">
        <v>7</v>
      </c>
      <c r="X70" s="15">
        <v>2</v>
      </c>
      <c r="Y70" s="15">
        <v>0</v>
      </c>
      <c r="Z70" s="15">
        <v>28</v>
      </c>
      <c r="AA70" s="15">
        <v>37</v>
      </c>
      <c r="AB70" s="13">
        <f t="shared" si="0"/>
        <v>147</v>
      </c>
    </row>
    <row r="71" spans="1:28" ht="12.75" customHeight="1" x14ac:dyDescent="0.3">
      <c r="A71" s="14"/>
      <c r="B71" s="27"/>
      <c r="C71" s="28" t="s">
        <v>62</v>
      </c>
      <c r="D71" s="29"/>
      <c r="E71" s="15">
        <v>1</v>
      </c>
      <c r="F71" s="15">
        <v>2</v>
      </c>
      <c r="G71" s="15">
        <v>1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1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1</v>
      </c>
      <c r="AA71" s="15">
        <v>0</v>
      </c>
      <c r="AB71" s="13">
        <f t="shared" si="0"/>
        <v>6</v>
      </c>
    </row>
    <row r="72" spans="1:28" ht="12.75" customHeight="1" x14ac:dyDescent="0.3">
      <c r="A72" s="14"/>
      <c r="B72" s="27"/>
      <c r="C72" s="28" t="s">
        <v>63</v>
      </c>
      <c r="D72" s="29"/>
      <c r="E72" s="15">
        <v>15</v>
      </c>
      <c r="F72" s="15">
        <v>8</v>
      </c>
      <c r="G72" s="15">
        <v>4</v>
      </c>
      <c r="H72" s="15">
        <v>9</v>
      </c>
      <c r="I72" s="15">
        <v>9</v>
      </c>
      <c r="J72" s="15">
        <v>5</v>
      </c>
      <c r="K72" s="15">
        <v>16</v>
      </c>
      <c r="L72" s="15">
        <v>21</v>
      </c>
      <c r="M72" s="15">
        <v>25</v>
      </c>
      <c r="N72" s="15">
        <v>25</v>
      </c>
      <c r="O72" s="15">
        <v>6</v>
      </c>
      <c r="P72" s="15">
        <v>6</v>
      </c>
      <c r="Q72" s="15">
        <v>4</v>
      </c>
      <c r="R72" s="15">
        <v>32</v>
      </c>
      <c r="S72" s="15">
        <v>41</v>
      </c>
      <c r="T72" s="15">
        <v>1</v>
      </c>
      <c r="U72" s="15">
        <v>18</v>
      </c>
      <c r="V72" s="15">
        <v>9</v>
      </c>
      <c r="W72" s="15">
        <v>15</v>
      </c>
      <c r="X72" s="15">
        <v>13</v>
      </c>
      <c r="Y72" s="15">
        <v>18</v>
      </c>
      <c r="Z72" s="15">
        <v>6</v>
      </c>
      <c r="AA72" s="15">
        <v>11</v>
      </c>
      <c r="AB72" s="13">
        <f t="shared" si="0"/>
        <v>317</v>
      </c>
    </row>
    <row r="73" spans="1:28" ht="12.75" customHeight="1" x14ac:dyDescent="0.3">
      <c r="A73" s="15" t="s">
        <v>15</v>
      </c>
      <c r="B73" s="48" t="s">
        <v>47</v>
      </c>
      <c r="C73" s="49"/>
      <c r="D73" s="50"/>
      <c r="E73" s="34">
        <f>SUM(E65:E72)</f>
        <v>47</v>
      </c>
      <c r="F73" s="34">
        <f t="shared" ref="F73:AA73" si="12">SUM(F65:F72)</f>
        <v>29</v>
      </c>
      <c r="G73" s="34">
        <f t="shared" si="12"/>
        <v>46</v>
      </c>
      <c r="H73" s="34">
        <f t="shared" si="12"/>
        <v>35</v>
      </c>
      <c r="I73" s="34">
        <f t="shared" si="12"/>
        <v>18</v>
      </c>
      <c r="J73" s="34">
        <f t="shared" si="12"/>
        <v>42</v>
      </c>
      <c r="K73" s="34">
        <f t="shared" si="12"/>
        <v>46</v>
      </c>
      <c r="L73" s="34">
        <f t="shared" si="12"/>
        <v>36</v>
      </c>
      <c r="M73" s="34">
        <f t="shared" si="12"/>
        <v>59</v>
      </c>
      <c r="N73" s="34">
        <f t="shared" si="12"/>
        <v>57</v>
      </c>
      <c r="O73" s="34">
        <f t="shared" si="12"/>
        <v>48</v>
      </c>
      <c r="P73" s="34">
        <f t="shared" si="12"/>
        <v>103</v>
      </c>
      <c r="Q73" s="34">
        <f t="shared" si="12"/>
        <v>62</v>
      </c>
      <c r="R73" s="34">
        <f t="shared" si="12"/>
        <v>114</v>
      </c>
      <c r="S73" s="34">
        <f t="shared" si="12"/>
        <v>122</v>
      </c>
      <c r="T73" s="34">
        <f t="shared" si="12"/>
        <v>65</v>
      </c>
      <c r="U73" s="34">
        <f t="shared" si="12"/>
        <v>48</v>
      </c>
      <c r="V73" s="34">
        <f t="shared" si="12"/>
        <v>73</v>
      </c>
      <c r="W73" s="34">
        <f t="shared" si="12"/>
        <v>76</v>
      </c>
      <c r="X73" s="34">
        <f t="shared" si="12"/>
        <v>90</v>
      </c>
      <c r="Y73" s="34">
        <f t="shared" si="12"/>
        <v>65</v>
      </c>
      <c r="Z73" s="34">
        <f t="shared" si="12"/>
        <v>86</v>
      </c>
      <c r="AA73" s="34">
        <f t="shared" si="12"/>
        <v>113</v>
      </c>
      <c r="AB73" s="13">
        <f t="shared" si="0"/>
        <v>1480</v>
      </c>
    </row>
    <row r="74" spans="1:28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13">
        <f t="shared" si="0"/>
        <v>0</v>
      </c>
    </row>
    <row r="75" spans="1:28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2</v>
      </c>
      <c r="F75" s="15">
        <v>2</v>
      </c>
      <c r="G75" s="15">
        <v>2</v>
      </c>
      <c r="H75" s="15">
        <v>3</v>
      </c>
      <c r="I75" s="15">
        <v>8</v>
      </c>
      <c r="J75" s="15">
        <v>4</v>
      </c>
      <c r="K75" s="15">
        <v>0</v>
      </c>
      <c r="L75" s="15">
        <v>8</v>
      </c>
      <c r="M75" s="15">
        <v>3</v>
      </c>
      <c r="N75" s="15">
        <v>2</v>
      </c>
      <c r="O75" s="15">
        <v>1</v>
      </c>
      <c r="P75" s="15">
        <v>1</v>
      </c>
      <c r="Q75" s="15">
        <v>8</v>
      </c>
      <c r="R75" s="15">
        <v>4</v>
      </c>
      <c r="S75" s="15">
        <v>1</v>
      </c>
      <c r="T75" s="15">
        <v>8</v>
      </c>
      <c r="U75" s="15">
        <v>2</v>
      </c>
      <c r="V75" s="15">
        <v>1</v>
      </c>
      <c r="W75" s="15">
        <v>6</v>
      </c>
      <c r="X75" s="15">
        <v>0</v>
      </c>
      <c r="Y75" s="15">
        <v>2</v>
      </c>
      <c r="Z75" s="15">
        <v>2</v>
      </c>
      <c r="AA75" s="15">
        <v>6</v>
      </c>
      <c r="AB75" s="13">
        <f t="shared" si="0"/>
        <v>76</v>
      </c>
    </row>
    <row r="76" spans="1:28" ht="12.75" customHeight="1" x14ac:dyDescent="0.3">
      <c r="A76" s="19" t="s">
        <v>39</v>
      </c>
      <c r="B76" s="27"/>
      <c r="C76" s="28" t="s">
        <v>65</v>
      </c>
      <c r="D76" s="29"/>
      <c r="E76" s="15">
        <v>7</v>
      </c>
      <c r="F76" s="15">
        <v>2</v>
      </c>
      <c r="G76" s="15">
        <v>9</v>
      </c>
      <c r="H76" s="15">
        <v>8</v>
      </c>
      <c r="I76" s="15">
        <v>32</v>
      </c>
      <c r="J76" s="15">
        <v>33</v>
      </c>
      <c r="K76" s="15">
        <v>10</v>
      </c>
      <c r="L76" s="15">
        <v>32</v>
      </c>
      <c r="M76" s="15">
        <v>19</v>
      </c>
      <c r="N76" s="15">
        <v>14</v>
      </c>
      <c r="O76" s="15">
        <v>3</v>
      </c>
      <c r="P76" s="15">
        <v>7</v>
      </c>
      <c r="Q76" s="15">
        <v>56</v>
      </c>
      <c r="R76" s="15">
        <v>10</v>
      </c>
      <c r="S76" s="15">
        <v>14</v>
      </c>
      <c r="T76" s="15">
        <v>30</v>
      </c>
      <c r="U76" s="15">
        <v>14</v>
      </c>
      <c r="V76" s="15">
        <v>9</v>
      </c>
      <c r="W76" s="15">
        <v>12</v>
      </c>
      <c r="X76" s="15">
        <v>1</v>
      </c>
      <c r="Y76" s="15">
        <v>10</v>
      </c>
      <c r="Z76" s="15">
        <v>15</v>
      </c>
      <c r="AA76" s="15">
        <v>41</v>
      </c>
      <c r="AB76" s="13">
        <f t="shared" si="0"/>
        <v>388</v>
      </c>
    </row>
    <row r="77" spans="1:28" ht="12.75" customHeight="1" x14ac:dyDescent="0.3">
      <c r="A77" s="14"/>
      <c r="B77" s="27"/>
      <c r="C77" s="28" t="s">
        <v>66</v>
      </c>
      <c r="D77" s="29"/>
      <c r="E77" s="15">
        <v>0</v>
      </c>
      <c r="F77" s="15">
        <v>0</v>
      </c>
      <c r="G77" s="15">
        <v>0</v>
      </c>
      <c r="H77" s="15">
        <v>4</v>
      </c>
      <c r="I77" s="15">
        <v>1</v>
      </c>
      <c r="J77" s="15">
        <v>0</v>
      </c>
      <c r="K77" s="15">
        <v>1</v>
      </c>
      <c r="L77" s="15">
        <v>1</v>
      </c>
      <c r="M77" s="15">
        <v>0</v>
      </c>
      <c r="N77" s="15">
        <v>1</v>
      </c>
      <c r="O77" s="15">
        <v>0</v>
      </c>
      <c r="P77" s="15">
        <v>1</v>
      </c>
      <c r="Q77" s="15">
        <v>2</v>
      </c>
      <c r="R77" s="15">
        <v>1</v>
      </c>
      <c r="S77" s="15">
        <v>2</v>
      </c>
      <c r="T77" s="15">
        <v>1</v>
      </c>
      <c r="U77" s="15">
        <v>0</v>
      </c>
      <c r="V77" s="15">
        <v>1</v>
      </c>
      <c r="W77" s="15">
        <v>1</v>
      </c>
      <c r="X77" s="15">
        <v>5</v>
      </c>
      <c r="Y77" s="15">
        <v>0</v>
      </c>
      <c r="Z77" s="15">
        <v>1</v>
      </c>
      <c r="AA77" s="15">
        <v>0</v>
      </c>
      <c r="AB77" s="13">
        <f t="shared" si="0"/>
        <v>23</v>
      </c>
    </row>
    <row r="78" spans="1:28" ht="12.75" customHeight="1" x14ac:dyDescent="0.3">
      <c r="A78" s="14"/>
      <c r="B78" s="27"/>
      <c r="C78" s="28" t="s">
        <v>67</v>
      </c>
      <c r="D78" s="29"/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1</v>
      </c>
      <c r="K78" s="15">
        <v>1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3">
        <f t="shared" si="0"/>
        <v>2</v>
      </c>
    </row>
    <row r="79" spans="1:28" ht="12.75" customHeight="1" x14ac:dyDescent="0.3">
      <c r="A79" s="14"/>
      <c r="B79" s="27"/>
      <c r="C79" s="28" t="s">
        <v>68</v>
      </c>
      <c r="D79" s="29"/>
      <c r="E79" s="15">
        <v>0</v>
      </c>
      <c r="F79" s="15">
        <v>1</v>
      </c>
      <c r="G79" s="15">
        <v>0</v>
      </c>
      <c r="H79" s="15">
        <v>1</v>
      </c>
      <c r="I79" s="15">
        <v>1</v>
      </c>
      <c r="J79" s="15">
        <v>1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1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3">
        <f t="shared" ref="AB79:AB142" si="13">SUM(E79:AA79)</f>
        <v>5</v>
      </c>
    </row>
    <row r="80" spans="1:28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1</v>
      </c>
      <c r="K80" s="15">
        <v>0</v>
      </c>
      <c r="L80" s="15">
        <v>1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3">
        <f t="shared" si="13"/>
        <v>2</v>
      </c>
    </row>
    <row r="81" spans="1:28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3">
        <f t="shared" si="13"/>
        <v>0</v>
      </c>
    </row>
    <row r="82" spans="1:28" ht="12.75" customHeight="1" x14ac:dyDescent="0.3">
      <c r="A82" s="14"/>
      <c r="B82" s="27"/>
      <c r="C82" s="28" t="s">
        <v>71</v>
      </c>
      <c r="D82" s="29"/>
      <c r="E82" s="15">
        <v>1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1</v>
      </c>
      <c r="L82" s="15">
        <v>0</v>
      </c>
      <c r="M82" s="15">
        <v>1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3">
        <f t="shared" si="13"/>
        <v>3</v>
      </c>
    </row>
    <row r="83" spans="1:28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A83" si="14">SUM(E75:E82)</f>
        <v>10</v>
      </c>
      <c r="F83" s="34">
        <f t="shared" si="14"/>
        <v>5</v>
      </c>
      <c r="G83" s="34">
        <f t="shared" si="14"/>
        <v>11</v>
      </c>
      <c r="H83" s="34">
        <f t="shared" si="14"/>
        <v>16</v>
      </c>
      <c r="I83" s="34">
        <f t="shared" si="14"/>
        <v>42</v>
      </c>
      <c r="J83" s="34">
        <f t="shared" si="14"/>
        <v>40</v>
      </c>
      <c r="K83" s="34">
        <f t="shared" si="14"/>
        <v>13</v>
      </c>
      <c r="L83" s="34">
        <f t="shared" si="14"/>
        <v>42</v>
      </c>
      <c r="M83" s="34">
        <f t="shared" si="14"/>
        <v>23</v>
      </c>
      <c r="N83" s="34">
        <f t="shared" si="14"/>
        <v>17</v>
      </c>
      <c r="O83" s="34">
        <f t="shared" si="14"/>
        <v>4</v>
      </c>
      <c r="P83" s="34">
        <f t="shared" si="14"/>
        <v>9</v>
      </c>
      <c r="Q83" s="34">
        <f t="shared" si="14"/>
        <v>67</v>
      </c>
      <c r="R83" s="34">
        <f t="shared" si="14"/>
        <v>15</v>
      </c>
      <c r="S83" s="34">
        <f t="shared" si="14"/>
        <v>17</v>
      </c>
      <c r="T83" s="34">
        <f t="shared" si="14"/>
        <v>39</v>
      </c>
      <c r="U83" s="34">
        <f t="shared" si="14"/>
        <v>16</v>
      </c>
      <c r="V83" s="34">
        <f t="shared" si="14"/>
        <v>11</v>
      </c>
      <c r="W83" s="34">
        <f t="shared" si="14"/>
        <v>19</v>
      </c>
      <c r="X83" s="34">
        <f t="shared" si="14"/>
        <v>6</v>
      </c>
      <c r="Y83" s="34">
        <f t="shared" si="14"/>
        <v>12</v>
      </c>
      <c r="Z83" s="34">
        <f t="shared" si="14"/>
        <v>18</v>
      </c>
      <c r="AA83" s="34">
        <f t="shared" si="14"/>
        <v>47</v>
      </c>
      <c r="AB83" s="13">
        <f t="shared" si="13"/>
        <v>499</v>
      </c>
    </row>
    <row r="84" spans="1:28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13">
        <f t="shared" si="13"/>
        <v>0</v>
      </c>
    </row>
    <row r="85" spans="1:28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5</v>
      </c>
      <c r="F85" s="15">
        <v>1</v>
      </c>
      <c r="G85" s="15">
        <v>0</v>
      </c>
      <c r="H85" s="15">
        <v>0</v>
      </c>
      <c r="I85" s="15">
        <v>0</v>
      </c>
      <c r="J85" s="15">
        <v>0</v>
      </c>
      <c r="K85" s="15">
        <v>7</v>
      </c>
      <c r="L85" s="15">
        <v>1</v>
      </c>
      <c r="M85" s="15">
        <v>0</v>
      </c>
      <c r="N85" s="15">
        <v>0</v>
      </c>
      <c r="O85" s="15">
        <v>0</v>
      </c>
      <c r="P85" s="15">
        <v>2</v>
      </c>
      <c r="Q85" s="15">
        <v>4</v>
      </c>
      <c r="R85" s="15">
        <v>0</v>
      </c>
      <c r="S85" s="15">
        <v>0</v>
      </c>
      <c r="T85" s="15">
        <v>1</v>
      </c>
      <c r="U85" s="15">
        <v>4</v>
      </c>
      <c r="V85" s="15">
        <v>3</v>
      </c>
      <c r="W85" s="15">
        <v>0</v>
      </c>
      <c r="X85" s="15">
        <v>0</v>
      </c>
      <c r="Y85" s="15">
        <v>0</v>
      </c>
      <c r="Z85" s="15">
        <v>1</v>
      </c>
      <c r="AA85" s="15">
        <v>7</v>
      </c>
      <c r="AB85" s="13">
        <f t="shared" si="13"/>
        <v>36</v>
      </c>
    </row>
    <row r="86" spans="1:28" ht="12.75" customHeight="1" x14ac:dyDescent="0.3">
      <c r="A86" s="19" t="s">
        <v>39</v>
      </c>
      <c r="B86" s="27"/>
      <c r="C86" s="28" t="s">
        <v>74</v>
      </c>
      <c r="D86" s="29"/>
      <c r="E86" s="15">
        <v>19</v>
      </c>
      <c r="F86" s="15">
        <v>1</v>
      </c>
      <c r="G86" s="15">
        <v>2</v>
      </c>
      <c r="H86" s="15">
        <v>1</v>
      </c>
      <c r="I86" s="15">
        <v>0</v>
      </c>
      <c r="J86" s="15">
        <v>1</v>
      </c>
      <c r="K86" s="15">
        <v>3</v>
      </c>
      <c r="L86" s="15">
        <v>1</v>
      </c>
      <c r="M86" s="15">
        <v>2</v>
      </c>
      <c r="N86" s="15">
        <v>2</v>
      </c>
      <c r="O86" s="15">
        <v>1</v>
      </c>
      <c r="P86" s="15">
        <v>5</v>
      </c>
      <c r="Q86" s="15">
        <v>0</v>
      </c>
      <c r="R86" s="15">
        <v>0</v>
      </c>
      <c r="S86" s="15">
        <v>3</v>
      </c>
      <c r="T86" s="15">
        <v>19</v>
      </c>
      <c r="U86" s="15">
        <v>2</v>
      </c>
      <c r="V86" s="15">
        <v>18</v>
      </c>
      <c r="W86" s="15">
        <v>10</v>
      </c>
      <c r="X86" s="15">
        <v>0</v>
      </c>
      <c r="Y86" s="15">
        <v>1</v>
      </c>
      <c r="Z86" s="15">
        <v>17</v>
      </c>
      <c r="AA86" s="15">
        <v>0</v>
      </c>
      <c r="AB86" s="13">
        <f t="shared" si="13"/>
        <v>108</v>
      </c>
    </row>
    <row r="87" spans="1:28" ht="12.75" customHeight="1" x14ac:dyDescent="0.3">
      <c r="A87" s="14"/>
      <c r="B87" s="27"/>
      <c r="C87" s="28" t="s">
        <v>75</v>
      </c>
      <c r="D87" s="29"/>
      <c r="E87" s="15">
        <v>1</v>
      </c>
      <c r="F87" s="15">
        <v>1</v>
      </c>
      <c r="G87" s="15">
        <v>0</v>
      </c>
      <c r="H87" s="15">
        <v>1</v>
      </c>
      <c r="I87" s="15">
        <v>0</v>
      </c>
      <c r="J87" s="15">
        <v>0</v>
      </c>
      <c r="K87" s="15">
        <v>0</v>
      </c>
      <c r="L87" s="15">
        <v>0</v>
      </c>
      <c r="M87" s="15">
        <v>0</v>
      </c>
      <c r="N87" s="15">
        <v>1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7</v>
      </c>
      <c r="U87" s="15">
        <v>0</v>
      </c>
      <c r="V87" s="15">
        <v>2</v>
      </c>
      <c r="W87" s="15">
        <v>0</v>
      </c>
      <c r="X87" s="15">
        <v>0</v>
      </c>
      <c r="Y87" s="15">
        <v>1</v>
      </c>
      <c r="Z87" s="15">
        <v>0</v>
      </c>
      <c r="AA87" s="15">
        <v>0</v>
      </c>
      <c r="AB87" s="13">
        <f t="shared" si="13"/>
        <v>14</v>
      </c>
    </row>
    <row r="88" spans="1:28" ht="12.75" customHeight="1" x14ac:dyDescent="0.3">
      <c r="A88" s="14"/>
      <c r="B88" s="27"/>
      <c r="C88" s="28" t="s">
        <v>76</v>
      </c>
      <c r="D88" s="29"/>
      <c r="E88" s="15">
        <v>2</v>
      </c>
      <c r="F88" s="15">
        <v>0</v>
      </c>
      <c r="G88" s="15">
        <v>0</v>
      </c>
      <c r="H88" s="15">
        <v>1</v>
      </c>
      <c r="I88" s="15">
        <v>0</v>
      </c>
      <c r="J88" s="15">
        <v>1</v>
      </c>
      <c r="K88" s="15">
        <v>2</v>
      </c>
      <c r="L88" s="15">
        <v>2</v>
      </c>
      <c r="M88" s="15">
        <v>1</v>
      </c>
      <c r="N88" s="15">
        <v>2</v>
      </c>
      <c r="O88" s="15">
        <v>0</v>
      </c>
      <c r="P88" s="15">
        <v>0</v>
      </c>
      <c r="Q88" s="15">
        <v>12</v>
      </c>
      <c r="R88" s="15">
        <v>0</v>
      </c>
      <c r="S88" s="15">
        <v>0</v>
      </c>
      <c r="T88" s="15">
        <v>0</v>
      </c>
      <c r="U88" s="15">
        <v>4</v>
      </c>
      <c r="V88" s="15">
        <v>1</v>
      </c>
      <c r="W88" s="15">
        <v>0</v>
      </c>
      <c r="X88" s="15">
        <v>1</v>
      </c>
      <c r="Y88" s="15">
        <v>1</v>
      </c>
      <c r="Z88" s="15">
        <v>0</v>
      </c>
      <c r="AA88" s="15">
        <v>1</v>
      </c>
      <c r="AB88" s="13">
        <f t="shared" si="13"/>
        <v>31</v>
      </c>
    </row>
    <row r="89" spans="1:28" ht="12.75" customHeight="1" x14ac:dyDescent="0.3">
      <c r="A89" s="14"/>
      <c r="B89" s="27"/>
      <c r="C89" s="28" t="s">
        <v>77</v>
      </c>
      <c r="D89" s="29"/>
      <c r="E89" s="15">
        <v>2</v>
      </c>
      <c r="F89" s="15">
        <v>0</v>
      </c>
      <c r="G89" s="15">
        <v>0</v>
      </c>
      <c r="H89" s="15">
        <v>1</v>
      </c>
      <c r="I89" s="15">
        <v>0</v>
      </c>
      <c r="J89" s="15">
        <v>0</v>
      </c>
      <c r="K89" s="15">
        <v>2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3">
        <f t="shared" si="13"/>
        <v>5</v>
      </c>
    </row>
    <row r="90" spans="1:28" ht="12.75" customHeight="1" x14ac:dyDescent="0.3">
      <c r="A90" s="14"/>
      <c r="B90" s="27"/>
      <c r="C90" s="28" t="s">
        <v>78</v>
      </c>
      <c r="D90" s="29"/>
      <c r="E90" s="15">
        <v>3</v>
      </c>
      <c r="F90" s="15">
        <v>0</v>
      </c>
      <c r="G90" s="15">
        <v>0</v>
      </c>
      <c r="H90" s="15">
        <v>0</v>
      </c>
      <c r="I90" s="15">
        <v>0</v>
      </c>
      <c r="J90" s="15">
        <v>6</v>
      </c>
      <c r="K90" s="15">
        <v>50</v>
      </c>
      <c r="L90" s="15">
        <v>8</v>
      </c>
      <c r="M90" s="15">
        <v>1</v>
      </c>
      <c r="N90" s="15">
        <v>1</v>
      </c>
      <c r="O90" s="15">
        <v>11</v>
      </c>
      <c r="P90" s="15">
        <v>1</v>
      </c>
      <c r="Q90" s="15">
        <v>3</v>
      </c>
      <c r="R90" s="15">
        <v>5</v>
      </c>
      <c r="S90" s="15">
        <v>0</v>
      </c>
      <c r="T90" s="15">
        <v>2</v>
      </c>
      <c r="U90" s="15">
        <v>12</v>
      </c>
      <c r="V90" s="15">
        <v>0</v>
      </c>
      <c r="W90" s="15">
        <v>2</v>
      </c>
      <c r="X90" s="15">
        <v>2</v>
      </c>
      <c r="Y90" s="15">
        <v>4</v>
      </c>
      <c r="Z90" s="15">
        <v>21</v>
      </c>
      <c r="AA90" s="15">
        <v>22</v>
      </c>
      <c r="AB90" s="13">
        <f t="shared" si="13"/>
        <v>154</v>
      </c>
    </row>
    <row r="91" spans="1:28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2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1</v>
      </c>
      <c r="R91" s="15">
        <v>1</v>
      </c>
      <c r="S91" s="15">
        <v>1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3">
        <f t="shared" si="13"/>
        <v>5</v>
      </c>
    </row>
    <row r="92" spans="1:28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4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3</v>
      </c>
      <c r="Q92" s="15">
        <v>1</v>
      </c>
      <c r="R92" s="15">
        <v>1</v>
      </c>
      <c r="S92" s="15">
        <v>0</v>
      </c>
      <c r="T92" s="15">
        <v>0</v>
      </c>
      <c r="U92" s="15">
        <v>0</v>
      </c>
      <c r="V92" s="15">
        <v>1</v>
      </c>
      <c r="W92" s="15">
        <v>2</v>
      </c>
      <c r="X92" s="15">
        <v>0</v>
      </c>
      <c r="Y92" s="15">
        <v>0</v>
      </c>
      <c r="Z92" s="15">
        <v>0</v>
      </c>
      <c r="AA92" s="15">
        <v>0</v>
      </c>
      <c r="AB92" s="13">
        <f t="shared" si="13"/>
        <v>12</v>
      </c>
    </row>
    <row r="93" spans="1:28" ht="12.75" customHeight="1" x14ac:dyDescent="0.3">
      <c r="A93" s="15" t="s">
        <v>15</v>
      </c>
      <c r="B93" s="48" t="s">
        <v>47</v>
      </c>
      <c r="C93" s="49"/>
      <c r="D93" s="50"/>
      <c r="E93" s="34">
        <f>SUM(E85:E92)</f>
        <v>32</v>
      </c>
      <c r="F93" s="34">
        <f t="shared" ref="F93:AA93" si="15">SUM(F85:F92)</f>
        <v>3</v>
      </c>
      <c r="G93" s="34">
        <f t="shared" si="15"/>
        <v>2</v>
      </c>
      <c r="H93" s="34">
        <f t="shared" si="15"/>
        <v>4</v>
      </c>
      <c r="I93" s="34">
        <f t="shared" si="15"/>
        <v>0</v>
      </c>
      <c r="J93" s="34">
        <f t="shared" si="15"/>
        <v>12</v>
      </c>
      <c r="K93" s="34">
        <f t="shared" si="15"/>
        <v>66</v>
      </c>
      <c r="L93" s="34">
        <f t="shared" si="15"/>
        <v>12</v>
      </c>
      <c r="M93" s="34">
        <f t="shared" si="15"/>
        <v>4</v>
      </c>
      <c r="N93" s="34">
        <f t="shared" si="15"/>
        <v>6</v>
      </c>
      <c r="O93" s="34">
        <f t="shared" si="15"/>
        <v>12</v>
      </c>
      <c r="P93" s="34">
        <f t="shared" si="15"/>
        <v>11</v>
      </c>
      <c r="Q93" s="34">
        <f t="shared" si="15"/>
        <v>21</v>
      </c>
      <c r="R93" s="34">
        <f t="shared" si="15"/>
        <v>7</v>
      </c>
      <c r="S93" s="34">
        <f t="shared" si="15"/>
        <v>4</v>
      </c>
      <c r="T93" s="34">
        <f t="shared" si="15"/>
        <v>29</v>
      </c>
      <c r="U93" s="34">
        <f t="shared" si="15"/>
        <v>22</v>
      </c>
      <c r="V93" s="34">
        <f t="shared" si="15"/>
        <v>25</v>
      </c>
      <c r="W93" s="34">
        <f t="shared" si="15"/>
        <v>14</v>
      </c>
      <c r="X93" s="34">
        <f t="shared" si="15"/>
        <v>3</v>
      </c>
      <c r="Y93" s="34">
        <f t="shared" si="15"/>
        <v>7</v>
      </c>
      <c r="Z93" s="34">
        <f t="shared" si="15"/>
        <v>39</v>
      </c>
      <c r="AA93" s="34">
        <f t="shared" si="15"/>
        <v>30</v>
      </c>
      <c r="AB93" s="13">
        <f t="shared" si="13"/>
        <v>365</v>
      </c>
    </row>
    <row r="94" spans="1:28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13">
        <f t="shared" si="13"/>
        <v>0</v>
      </c>
    </row>
    <row r="95" spans="1:28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>
        <v>0</v>
      </c>
      <c r="U95" s="15">
        <v>0</v>
      </c>
      <c r="V95" s="15">
        <v>2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3">
        <f t="shared" si="13"/>
        <v>2</v>
      </c>
    </row>
    <row r="96" spans="1:28" ht="12.75" customHeight="1" x14ac:dyDescent="0.3">
      <c r="A96" s="19" t="s">
        <v>39</v>
      </c>
      <c r="B96" s="27"/>
      <c r="C96" s="28" t="s">
        <v>83</v>
      </c>
      <c r="D96" s="4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>
        <v>0</v>
      </c>
      <c r="U96" s="15">
        <v>0</v>
      </c>
      <c r="V96" s="15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1</v>
      </c>
      <c r="AB96" s="13">
        <f t="shared" si="13"/>
        <v>2</v>
      </c>
    </row>
    <row r="97" spans="1:28" ht="12.75" customHeight="1" x14ac:dyDescent="0.3">
      <c r="A97" s="15" t="s">
        <v>15</v>
      </c>
      <c r="B97" s="48" t="s">
        <v>47</v>
      </c>
      <c r="C97" s="49"/>
      <c r="D97" s="50"/>
      <c r="E97" s="34">
        <f>SUM(E95:E96)</f>
        <v>0</v>
      </c>
      <c r="F97" s="34">
        <f t="shared" ref="F97:AA97" si="16">SUM(F95:F96)</f>
        <v>0</v>
      </c>
      <c r="G97" s="34">
        <f t="shared" si="16"/>
        <v>0</v>
      </c>
      <c r="H97" s="34">
        <f t="shared" si="16"/>
        <v>0</v>
      </c>
      <c r="I97" s="34">
        <f t="shared" si="16"/>
        <v>0</v>
      </c>
      <c r="J97" s="34">
        <f t="shared" si="16"/>
        <v>0</v>
      </c>
      <c r="K97" s="34">
        <f t="shared" si="16"/>
        <v>0</v>
      </c>
      <c r="L97" s="34">
        <f t="shared" si="16"/>
        <v>0</v>
      </c>
      <c r="M97" s="34">
        <f t="shared" si="16"/>
        <v>0</v>
      </c>
      <c r="N97" s="34">
        <f t="shared" si="16"/>
        <v>0</v>
      </c>
      <c r="O97" s="34">
        <f t="shared" si="16"/>
        <v>0</v>
      </c>
      <c r="P97" s="34">
        <f t="shared" si="16"/>
        <v>0</v>
      </c>
      <c r="Q97" s="34">
        <f t="shared" si="16"/>
        <v>0</v>
      </c>
      <c r="R97" s="34">
        <f t="shared" si="16"/>
        <v>0</v>
      </c>
      <c r="S97" s="34">
        <f t="shared" si="16"/>
        <v>0</v>
      </c>
      <c r="T97" s="34">
        <f t="shared" si="16"/>
        <v>0</v>
      </c>
      <c r="U97" s="34">
        <f t="shared" si="16"/>
        <v>0</v>
      </c>
      <c r="V97" s="34">
        <f t="shared" si="16"/>
        <v>3</v>
      </c>
      <c r="W97" s="34">
        <f t="shared" si="16"/>
        <v>0</v>
      </c>
      <c r="X97" s="34">
        <f t="shared" si="16"/>
        <v>0</v>
      </c>
      <c r="Y97" s="34">
        <f t="shared" si="16"/>
        <v>0</v>
      </c>
      <c r="Z97" s="34">
        <f t="shared" si="16"/>
        <v>0</v>
      </c>
      <c r="AA97" s="34">
        <f t="shared" si="16"/>
        <v>1</v>
      </c>
      <c r="AB97" s="13">
        <f t="shared" si="13"/>
        <v>4</v>
      </c>
    </row>
    <row r="98" spans="1:28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13">
        <f t="shared" si="13"/>
        <v>0</v>
      </c>
    </row>
    <row r="99" spans="1:28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0</v>
      </c>
      <c r="F99" s="15">
        <v>0</v>
      </c>
      <c r="G99" s="15">
        <v>2</v>
      </c>
      <c r="H99" s="15">
        <v>2</v>
      </c>
      <c r="I99" s="15">
        <v>0</v>
      </c>
      <c r="J99" s="15">
        <v>3</v>
      </c>
      <c r="K99" s="15">
        <v>0</v>
      </c>
      <c r="L99" s="15">
        <v>0</v>
      </c>
      <c r="M99" s="15">
        <v>2</v>
      </c>
      <c r="N99" s="15">
        <v>1</v>
      </c>
      <c r="O99" s="15">
        <v>1</v>
      </c>
      <c r="P99" s="15">
        <v>3</v>
      </c>
      <c r="Q99" s="15">
        <v>1</v>
      </c>
      <c r="R99" s="15">
        <v>1</v>
      </c>
      <c r="S99" s="15">
        <v>1</v>
      </c>
      <c r="T99" s="15">
        <v>1</v>
      </c>
      <c r="U99" s="15">
        <v>4</v>
      </c>
      <c r="V99" s="15">
        <v>3</v>
      </c>
      <c r="W99" s="15">
        <v>3</v>
      </c>
      <c r="X99" s="15">
        <v>2</v>
      </c>
      <c r="Y99" s="15">
        <v>6</v>
      </c>
      <c r="Z99" s="15">
        <v>2</v>
      </c>
      <c r="AA99" s="15">
        <v>1</v>
      </c>
      <c r="AB99" s="13">
        <f t="shared" si="13"/>
        <v>39</v>
      </c>
    </row>
    <row r="100" spans="1:28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1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1</v>
      </c>
      <c r="V100" s="15">
        <v>0</v>
      </c>
      <c r="W100" s="15">
        <v>0</v>
      </c>
      <c r="X100" s="15">
        <v>0</v>
      </c>
      <c r="Y100" s="15">
        <v>0</v>
      </c>
      <c r="Z100" s="15">
        <v>1</v>
      </c>
      <c r="AA100" s="15">
        <v>0</v>
      </c>
      <c r="AB100" s="13">
        <f t="shared" si="13"/>
        <v>3</v>
      </c>
    </row>
    <row r="101" spans="1:28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A101" si="17">SUM(E99:E100)</f>
        <v>0</v>
      </c>
      <c r="F101" s="34">
        <f t="shared" si="17"/>
        <v>0</v>
      </c>
      <c r="G101" s="34">
        <f t="shared" si="17"/>
        <v>2</v>
      </c>
      <c r="H101" s="34">
        <f t="shared" si="17"/>
        <v>2</v>
      </c>
      <c r="I101" s="34">
        <f t="shared" si="17"/>
        <v>0</v>
      </c>
      <c r="J101" s="34">
        <f t="shared" si="17"/>
        <v>3</v>
      </c>
      <c r="K101" s="34">
        <f t="shared" si="17"/>
        <v>1</v>
      </c>
      <c r="L101" s="34">
        <f t="shared" si="17"/>
        <v>0</v>
      </c>
      <c r="M101" s="34">
        <f t="shared" si="17"/>
        <v>2</v>
      </c>
      <c r="N101" s="34">
        <f t="shared" si="17"/>
        <v>1</v>
      </c>
      <c r="O101" s="34">
        <f t="shared" si="17"/>
        <v>1</v>
      </c>
      <c r="P101" s="34">
        <f t="shared" si="17"/>
        <v>3</v>
      </c>
      <c r="Q101" s="34">
        <f t="shared" si="17"/>
        <v>1</v>
      </c>
      <c r="R101" s="34">
        <f t="shared" si="17"/>
        <v>1</v>
      </c>
      <c r="S101" s="34">
        <f t="shared" si="17"/>
        <v>1</v>
      </c>
      <c r="T101" s="34">
        <f t="shared" si="17"/>
        <v>1</v>
      </c>
      <c r="U101" s="34">
        <f t="shared" si="17"/>
        <v>5</v>
      </c>
      <c r="V101" s="34">
        <f t="shared" si="17"/>
        <v>3</v>
      </c>
      <c r="W101" s="34">
        <f t="shared" si="17"/>
        <v>3</v>
      </c>
      <c r="X101" s="34">
        <f t="shared" si="17"/>
        <v>2</v>
      </c>
      <c r="Y101" s="34">
        <f t="shared" si="17"/>
        <v>6</v>
      </c>
      <c r="Z101" s="34">
        <f t="shared" si="17"/>
        <v>3</v>
      </c>
      <c r="AA101" s="34">
        <f t="shared" si="17"/>
        <v>1</v>
      </c>
      <c r="AB101" s="13">
        <f t="shared" si="13"/>
        <v>42</v>
      </c>
    </row>
    <row r="102" spans="1:28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13">
        <f t="shared" si="13"/>
        <v>0</v>
      </c>
    </row>
    <row r="103" spans="1:28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0</v>
      </c>
      <c r="I103" s="15">
        <v>0</v>
      </c>
      <c r="J103" s="15">
        <v>0</v>
      </c>
      <c r="K103" s="15">
        <v>6</v>
      </c>
      <c r="L103" s="15">
        <v>0</v>
      </c>
      <c r="M103" s="15">
        <v>0</v>
      </c>
      <c r="N103" s="15">
        <v>0</v>
      </c>
      <c r="O103" s="15">
        <v>0</v>
      </c>
      <c r="P103" s="15">
        <v>1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0</v>
      </c>
      <c r="W103" s="15">
        <v>0</v>
      </c>
      <c r="X103" s="15">
        <v>1</v>
      </c>
      <c r="Y103" s="15">
        <v>0</v>
      </c>
      <c r="Z103" s="15">
        <v>0</v>
      </c>
      <c r="AA103" s="15">
        <v>0</v>
      </c>
      <c r="AB103" s="13">
        <f t="shared" si="13"/>
        <v>8</v>
      </c>
    </row>
    <row r="104" spans="1:28" ht="12.75" customHeight="1" x14ac:dyDescent="0.3">
      <c r="A104" s="19" t="s">
        <v>39</v>
      </c>
      <c r="B104" s="27"/>
      <c r="C104" s="28" t="s">
        <v>89</v>
      </c>
      <c r="D104" s="29"/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5">
        <v>0</v>
      </c>
      <c r="W104" s="15">
        <v>0</v>
      </c>
      <c r="X104" s="15">
        <v>1</v>
      </c>
      <c r="Y104" s="15">
        <v>0</v>
      </c>
      <c r="Z104" s="15">
        <v>0</v>
      </c>
      <c r="AA104" s="15">
        <v>0</v>
      </c>
      <c r="AB104" s="13">
        <f t="shared" si="13"/>
        <v>1</v>
      </c>
    </row>
    <row r="105" spans="1:28" ht="12.75" customHeight="1" x14ac:dyDescent="0.3">
      <c r="A105" s="14"/>
      <c r="B105" s="27"/>
      <c r="C105" s="28" t="s">
        <v>90</v>
      </c>
      <c r="D105" s="29"/>
      <c r="E105" s="15">
        <v>0</v>
      </c>
      <c r="F105" s="15">
        <v>0</v>
      </c>
      <c r="G105" s="15">
        <v>1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1</v>
      </c>
      <c r="O105" s="15">
        <v>1</v>
      </c>
      <c r="P105" s="15">
        <v>1</v>
      </c>
      <c r="Q105" s="15">
        <v>0</v>
      </c>
      <c r="R105" s="15">
        <v>0</v>
      </c>
      <c r="S105" s="15">
        <v>0</v>
      </c>
      <c r="T105" s="15">
        <v>0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3">
        <f t="shared" si="13"/>
        <v>4</v>
      </c>
    </row>
    <row r="106" spans="1:28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1</v>
      </c>
      <c r="Q106" s="15">
        <v>0</v>
      </c>
      <c r="R106" s="15">
        <v>0</v>
      </c>
      <c r="S106" s="15">
        <v>1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3">
        <f t="shared" si="13"/>
        <v>2</v>
      </c>
    </row>
    <row r="107" spans="1:28" ht="12.75" customHeight="1" x14ac:dyDescent="0.3">
      <c r="A107" s="14"/>
      <c r="B107" s="27"/>
      <c r="C107" s="28" t="s">
        <v>92</v>
      </c>
      <c r="D107" s="29"/>
      <c r="E107" s="15">
        <v>1</v>
      </c>
      <c r="F107" s="15">
        <v>1</v>
      </c>
      <c r="G107" s="15">
        <v>0</v>
      </c>
      <c r="H107" s="15">
        <v>1</v>
      </c>
      <c r="I107" s="15">
        <v>1</v>
      </c>
      <c r="J107" s="15">
        <v>0</v>
      </c>
      <c r="K107" s="15">
        <v>1</v>
      </c>
      <c r="L107" s="15">
        <v>1</v>
      </c>
      <c r="M107" s="15">
        <v>0</v>
      </c>
      <c r="N107" s="15">
        <v>0</v>
      </c>
      <c r="O107" s="15">
        <v>0</v>
      </c>
      <c r="P107" s="15">
        <v>1</v>
      </c>
      <c r="Q107" s="15">
        <v>0</v>
      </c>
      <c r="R107" s="15">
        <v>0</v>
      </c>
      <c r="S107" s="15">
        <v>0</v>
      </c>
      <c r="T107" s="15">
        <v>3</v>
      </c>
      <c r="U107" s="15">
        <v>2</v>
      </c>
      <c r="V107" s="15">
        <v>0</v>
      </c>
      <c r="W107" s="15">
        <v>4</v>
      </c>
      <c r="X107" s="15">
        <v>0</v>
      </c>
      <c r="Y107" s="15">
        <v>0</v>
      </c>
      <c r="Z107" s="15">
        <v>1</v>
      </c>
      <c r="AA107" s="15">
        <v>0</v>
      </c>
      <c r="AB107" s="13">
        <f t="shared" si="13"/>
        <v>17</v>
      </c>
    </row>
    <row r="108" spans="1:28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1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3">
        <f t="shared" si="13"/>
        <v>1</v>
      </c>
    </row>
    <row r="109" spans="1:28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3">
        <f t="shared" si="13"/>
        <v>0</v>
      </c>
    </row>
    <row r="110" spans="1:28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1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3">
        <f t="shared" si="13"/>
        <v>1</v>
      </c>
    </row>
    <row r="111" spans="1:28" ht="12.75" customHeight="1" x14ac:dyDescent="0.3">
      <c r="A111" s="15" t="s">
        <v>15</v>
      </c>
      <c r="B111" s="48" t="s">
        <v>47</v>
      </c>
      <c r="C111" s="49"/>
      <c r="D111" s="50"/>
      <c r="E111" s="34">
        <f>SUM(E103:E110)</f>
        <v>1</v>
      </c>
      <c r="F111" s="34">
        <f t="shared" ref="F111:AA111" si="18">SUM(F103:F110)</f>
        <v>1</v>
      </c>
      <c r="G111" s="34">
        <f t="shared" si="18"/>
        <v>1</v>
      </c>
      <c r="H111" s="34">
        <f t="shared" si="18"/>
        <v>1</v>
      </c>
      <c r="I111" s="34">
        <f t="shared" si="18"/>
        <v>2</v>
      </c>
      <c r="J111" s="34">
        <f t="shared" si="18"/>
        <v>0</v>
      </c>
      <c r="K111" s="34">
        <f t="shared" si="18"/>
        <v>7</v>
      </c>
      <c r="L111" s="34">
        <f t="shared" si="18"/>
        <v>1</v>
      </c>
      <c r="M111" s="34">
        <f t="shared" si="18"/>
        <v>0</v>
      </c>
      <c r="N111" s="34">
        <f t="shared" si="18"/>
        <v>1</v>
      </c>
      <c r="O111" s="34">
        <f t="shared" si="18"/>
        <v>1</v>
      </c>
      <c r="P111" s="34">
        <f t="shared" si="18"/>
        <v>5</v>
      </c>
      <c r="Q111" s="34">
        <f t="shared" si="18"/>
        <v>0</v>
      </c>
      <c r="R111" s="34">
        <f t="shared" si="18"/>
        <v>0</v>
      </c>
      <c r="S111" s="34">
        <f t="shared" si="18"/>
        <v>1</v>
      </c>
      <c r="T111" s="34">
        <f t="shared" si="18"/>
        <v>3</v>
      </c>
      <c r="U111" s="34">
        <f t="shared" si="18"/>
        <v>2</v>
      </c>
      <c r="V111" s="34">
        <f t="shared" si="18"/>
        <v>0</v>
      </c>
      <c r="W111" s="34">
        <f t="shared" si="18"/>
        <v>4</v>
      </c>
      <c r="X111" s="34">
        <f t="shared" si="18"/>
        <v>2</v>
      </c>
      <c r="Y111" s="34">
        <f t="shared" si="18"/>
        <v>0</v>
      </c>
      <c r="Z111" s="34">
        <f t="shared" si="18"/>
        <v>1</v>
      </c>
      <c r="AA111" s="34">
        <f t="shared" si="18"/>
        <v>0</v>
      </c>
      <c r="AB111" s="13">
        <f t="shared" si="13"/>
        <v>34</v>
      </c>
    </row>
    <row r="112" spans="1:28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13">
        <f t="shared" si="13"/>
        <v>0</v>
      </c>
    </row>
    <row r="113" spans="1:30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1</v>
      </c>
      <c r="J113" s="15">
        <v>0</v>
      </c>
      <c r="K113" s="15">
        <v>1</v>
      </c>
      <c r="L113" s="15">
        <v>1</v>
      </c>
      <c r="M113" s="15">
        <v>0</v>
      </c>
      <c r="N113" s="15">
        <v>0</v>
      </c>
      <c r="O113" s="15">
        <v>1</v>
      </c>
      <c r="P113" s="15">
        <v>0</v>
      </c>
      <c r="Q113" s="15">
        <v>1</v>
      </c>
      <c r="R113" s="15">
        <v>0</v>
      </c>
      <c r="S113" s="15">
        <v>0</v>
      </c>
      <c r="T113" s="15">
        <v>6</v>
      </c>
      <c r="U113" s="15">
        <v>0</v>
      </c>
      <c r="V113" s="15">
        <v>0</v>
      </c>
      <c r="W113" s="15">
        <v>0</v>
      </c>
      <c r="X113" s="15">
        <v>0</v>
      </c>
      <c r="Y113" s="15">
        <v>6</v>
      </c>
      <c r="Z113" s="15">
        <v>0</v>
      </c>
      <c r="AA113" s="15">
        <v>0</v>
      </c>
      <c r="AB113" s="13">
        <f t="shared" si="13"/>
        <v>17</v>
      </c>
    </row>
    <row r="114" spans="1:30" ht="12.75" customHeight="1" x14ac:dyDescent="0.3">
      <c r="A114" s="19" t="s">
        <v>39</v>
      </c>
      <c r="B114" s="26"/>
      <c r="C114" s="28" t="s">
        <v>98</v>
      </c>
      <c r="D114" s="40"/>
      <c r="E114" s="15">
        <v>0</v>
      </c>
      <c r="F114" s="15">
        <v>0</v>
      </c>
      <c r="G114" s="15">
        <v>0</v>
      </c>
      <c r="H114" s="15">
        <v>0</v>
      </c>
      <c r="I114" s="15">
        <v>0</v>
      </c>
      <c r="J114" s="15">
        <v>2</v>
      </c>
      <c r="K114" s="15">
        <v>1</v>
      </c>
      <c r="L114" s="15">
        <v>3</v>
      </c>
      <c r="M114" s="15">
        <v>3</v>
      </c>
      <c r="N114" s="15">
        <v>1</v>
      </c>
      <c r="O114" s="15">
        <v>0</v>
      </c>
      <c r="P114" s="15">
        <v>0</v>
      </c>
      <c r="Q114" s="15">
        <v>1</v>
      </c>
      <c r="R114" s="15">
        <v>0</v>
      </c>
      <c r="S114" s="15">
        <v>0</v>
      </c>
      <c r="T114" s="15">
        <v>4</v>
      </c>
      <c r="U114" s="15">
        <v>0</v>
      </c>
      <c r="V114" s="15">
        <v>0</v>
      </c>
      <c r="W114" s="15">
        <v>0</v>
      </c>
      <c r="X114" s="15">
        <v>0</v>
      </c>
      <c r="Y114" s="15">
        <v>7</v>
      </c>
      <c r="Z114" s="15">
        <v>2</v>
      </c>
      <c r="AA114" s="15">
        <v>0</v>
      </c>
      <c r="AB114" s="13">
        <f t="shared" si="13"/>
        <v>24</v>
      </c>
    </row>
    <row r="115" spans="1:30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A115" si="19">SUM(E113:E114)</f>
        <v>0</v>
      </c>
      <c r="F115" s="34">
        <f t="shared" si="19"/>
        <v>0</v>
      </c>
      <c r="G115" s="34">
        <f t="shared" si="19"/>
        <v>0</v>
      </c>
      <c r="H115" s="34">
        <f t="shared" si="19"/>
        <v>0</v>
      </c>
      <c r="I115" s="34">
        <f t="shared" si="19"/>
        <v>1</v>
      </c>
      <c r="J115" s="34">
        <f t="shared" si="19"/>
        <v>2</v>
      </c>
      <c r="K115" s="34">
        <f t="shared" si="19"/>
        <v>2</v>
      </c>
      <c r="L115" s="34">
        <f t="shared" si="19"/>
        <v>4</v>
      </c>
      <c r="M115" s="34">
        <f t="shared" si="19"/>
        <v>3</v>
      </c>
      <c r="N115" s="34">
        <f t="shared" si="19"/>
        <v>1</v>
      </c>
      <c r="O115" s="34">
        <f t="shared" si="19"/>
        <v>1</v>
      </c>
      <c r="P115" s="34">
        <f t="shared" si="19"/>
        <v>0</v>
      </c>
      <c r="Q115" s="34">
        <f t="shared" si="19"/>
        <v>2</v>
      </c>
      <c r="R115" s="34">
        <f t="shared" si="19"/>
        <v>0</v>
      </c>
      <c r="S115" s="34">
        <f t="shared" si="19"/>
        <v>0</v>
      </c>
      <c r="T115" s="34">
        <f t="shared" si="19"/>
        <v>10</v>
      </c>
      <c r="U115" s="34">
        <f t="shared" si="19"/>
        <v>0</v>
      </c>
      <c r="V115" s="34">
        <f t="shared" si="19"/>
        <v>0</v>
      </c>
      <c r="W115" s="34">
        <f t="shared" si="19"/>
        <v>0</v>
      </c>
      <c r="X115" s="34">
        <f t="shared" si="19"/>
        <v>0</v>
      </c>
      <c r="Y115" s="34">
        <f t="shared" si="19"/>
        <v>13</v>
      </c>
      <c r="Z115" s="34">
        <f t="shared" si="19"/>
        <v>2</v>
      </c>
      <c r="AA115" s="34">
        <f t="shared" si="19"/>
        <v>0</v>
      </c>
      <c r="AB115" s="13">
        <f t="shared" si="13"/>
        <v>41</v>
      </c>
    </row>
    <row r="116" spans="1:30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13">
        <f t="shared" si="13"/>
        <v>0</v>
      </c>
    </row>
    <row r="117" spans="1:30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3">
        <f t="shared" si="13"/>
        <v>0</v>
      </c>
      <c r="AC117" s="5"/>
      <c r="AD117" s="5"/>
    </row>
    <row r="118" spans="1:30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2</v>
      </c>
      <c r="G118" s="15">
        <v>0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3">
        <f t="shared" si="13"/>
        <v>2</v>
      </c>
      <c r="AC118" s="5"/>
      <c r="AD118" s="5"/>
    </row>
    <row r="119" spans="1:30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3">
        <f t="shared" si="13"/>
        <v>0</v>
      </c>
      <c r="AC119" s="5"/>
      <c r="AD119" s="5"/>
    </row>
    <row r="120" spans="1:30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1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3">
        <f t="shared" si="13"/>
        <v>1</v>
      </c>
      <c r="AC120" s="5"/>
      <c r="AD120" s="5"/>
    </row>
    <row r="121" spans="1:30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3">
        <f t="shared" si="13"/>
        <v>0</v>
      </c>
      <c r="AC121" s="5"/>
      <c r="AD121" s="5"/>
    </row>
    <row r="122" spans="1:30" ht="12.75" customHeight="1" x14ac:dyDescent="0.3">
      <c r="A122" s="14"/>
      <c r="B122" s="27"/>
      <c r="C122" s="28" t="s">
        <v>105</v>
      </c>
      <c r="D122" s="29"/>
      <c r="E122" s="15">
        <v>0</v>
      </c>
      <c r="F122" s="15">
        <v>1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0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3">
        <f t="shared" si="13"/>
        <v>1</v>
      </c>
      <c r="AC122" s="5"/>
      <c r="AD122" s="5"/>
    </row>
    <row r="123" spans="1:30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3">
        <f t="shared" si="13"/>
        <v>0</v>
      </c>
      <c r="AC123" s="5"/>
      <c r="AD123" s="5"/>
    </row>
    <row r="124" spans="1:30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3">
        <f t="shared" si="13"/>
        <v>0</v>
      </c>
      <c r="AC124" s="5"/>
      <c r="AD124" s="5"/>
    </row>
    <row r="125" spans="1:30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A125" si="20">SUM(E117:E124)</f>
        <v>0</v>
      </c>
      <c r="F125" s="34">
        <f t="shared" si="20"/>
        <v>3</v>
      </c>
      <c r="G125" s="34">
        <f t="shared" si="20"/>
        <v>0</v>
      </c>
      <c r="H125" s="34">
        <f t="shared" si="20"/>
        <v>0</v>
      </c>
      <c r="I125" s="34">
        <f t="shared" si="20"/>
        <v>0</v>
      </c>
      <c r="J125" s="34">
        <f t="shared" si="20"/>
        <v>0</v>
      </c>
      <c r="K125" s="34">
        <f t="shared" si="20"/>
        <v>0</v>
      </c>
      <c r="L125" s="34">
        <f t="shared" si="20"/>
        <v>0</v>
      </c>
      <c r="M125" s="34">
        <f t="shared" si="20"/>
        <v>0</v>
      </c>
      <c r="N125" s="34">
        <f t="shared" si="20"/>
        <v>0</v>
      </c>
      <c r="O125" s="34">
        <f t="shared" si="20"/>
        <v>0</v>
      </c>
      <c r="P125" s="34">
        <f t="shared" si="20"/>
        <v>0</v>
      </c>
      <c r="Q125" s="34">
        <f t="shared" si="20"/>
        <v>0</v>
      </c>
      <c r="R125" s="34">
        <f t="shared" si="20"/>
        <v>0</v>
      </c>
      <c r="S125" s="34">
        <f t="shared" si="20"/>
        <v>0</v>
      </c>
      <c r="T125" s="34">
        <f t="shared" si="20"/>
        <v>0</v>
      </c>
      <c r="U125" s="34">
        <f t="shared" si="20"/>
        <v>1</v>
      </c>
      <c r="V125" s="34">
        <f t="shared" si="20"/>
        <v>0</v>
      </c>
      <c r="W125" s="34">
        <f t="shared" si="20"/>
        <v>0</v>
      </c>
      <c r="X125" s="34">
        <f t="shared" si="20"/>
        <v>0</v>
      </c>
      <c r="Y125" s="34">
        <f t="shared" si="20"/>
        <v>0</v>
      </c>
      <c r="Z125" s="34">
        <f t="shared" si="20"/>
        <v>0</v>
      </c>
      <c r="AA125" s="34">
        <f t="shared" si="20"/>
        <v>0</v>
      </c>
      <c r="AB125" s="13">
        <f t="shared" si="13"/>
        <v>4</v>
      </c>
      <c r="AC125" s="5"/>
      <c r="AD125" s="5"/>
    </row>
    <row r="126" spans="1:30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13">
        <f t="shared" si="13"/>
        <v>0</v>
      </c>
      <c r="AC126" s="5"/>
      <c r="AD126" s="5"/>
    </row>
    <row r="127" spans="1:30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>
        <v>0</v>
      </c>
      <c r="F127" s="15">
        <v>1</v>
      </c>
      <c r="G127" s="15">
        <v>0</v>
      </c>
      <c r="H127" s="15">
        <v>1</v>
      </c>
      <c r="I127" s="15">
        <v>0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  <c r="U127" s="15"/>
      <c r="V127" s="15">
        <v>2</v>
      </c>
      <c r="W127" s="15"/>
      <c r="X127" s="15"/>
      <c r="Y127" s="15"/>
      <c r="Z127" s="15"/>
      <c r="AA127" s="15"/>
      <c r="AB127" s="13">
        <f t="shared" si="13"/>
        <v>4</v>
      </c>
      <c r="AC127" s="5"/>
      <c r="AD127" s="5"/>
    </row>
    <row r="128" spans="1:30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3">
        <f t="shared" si="13"/>
        <v>0</v>
      </c>
      <c r="AC128" s="5"/>
      <c r="AD128" s="5"/>
    </row>
    <row r="129" spans="1:30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A129" si="21">SUM(E127:E128)</f>
        <v>0</v>
      </c>
      <c r="F129" s="34">
        <f t="shared" si="21"/>
        <v>1</v>
      </c>
      <c r="G129" s="34">
        <f t="shared" si="21"/>
        <v>0</v>
      </c>
      <c r="H129" s="34">
        <f t="shared" si="21"/>
        <v>1</v>
      </c>
      <c r="I129" s="34">
        <f t="shared" si="21"/>
        <v>0</v>
      </c>
      <c r="J129" s="34">
        <f t="shared" si="21"/>
        <v>0</v>
      </c>
      <c r="K129" s="34">
        <f t="shared" si="21"/>
        <v>0</v>
      </c>
      <c r="L129" s="34">
        <f t="shared" si="21"/>
        <v>0</v>
      </c>
      <c r="M129" s="34">
        <f t="shared" si="21"/>
        <v>0</v>
      </c>
      <c r="N129" s="34">
        <f t="shared" si="21"/>
        <v>0</v>
      </c>
      <c r="O129" s="34">
        <f t="shared" si="21"/>
        <v>0</v>
      </c>
      <c r="P129" s="34">
        <f t="shared" si="21"/>
        <v>0</v>
      </c>
      <c r="Q129" s="34">
        <f t="shared" si="21"/>
        <v>0</v>
      </c>
      <c r="R129" s="34">
        <f t="shared" si="21"/>
        <v>0</v>
      </c>
      <c r="S129" s="34">
        <f t="shared" si="21"/>
        <v>0</v>
      </c>
      <c r="T129" s="34">
        <f t="shared" si="21"/>
        <v>0</v>
      </c>
      <c r="U129" s="34">
        <f t="shared" si="21"/>
        <v>0</v>
      </c>
      <c r="V129" s="34">
        <f t="shared" si="21"/>
        <v>2</v>
      </c>
      <c r="W129" s="34">
        <f t="shared" si="21"/>
        <v>0</v>
      </c>
      <c r="X129" s="34">
        <f t="shared" si="21"/>
        <v>0</v>
      </c>
      <c r="Y129" s="34">
        <f t="shared" si="21"/>
        <v>0</v>
      </c>
      <c r="Z129" s="34">
        <f t="shared" si="21"/>
        <v>0</v>
      </c>
      <c r="AA129" s="34">
        <f t="shared" si="21"/>
        <v>0</v>
      </c>
      <c r="AB129" s="13">
        <f t="shared" si="13"/>
        <v>4</v>
      </c>
      <c r="AC129" s="5"/>
      <c r="AD129" s="5"/>
    </row>
    <row r="130" spans="1:30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13">
        <f t="shared" si="13"/>
        <v>0</v>
      </c>
      <c r="AC130" s="1"/>
      <c r="AD130" s="1"/>
    </row>
    <row r="131" spans="1:30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0</v>
      </c>
      <c r="F131" s="15">
        <v>1</v>
      </c>
      <c r="G131" s="15">
        <v>0</v>
      </c>
      <c r="H131" s="15">
        <v>1</v>
      </c>
      <c r="I131" s="15">
        <v>0</v>
      </c>
      <c r="J131" s="15">
        <v>0</v>
      </c>
      <c r="K131" s="15">
        <v>0</v>
      </c>
      <c r="L131" s="15">
        <v>1</v>
      </c>
      <c r="M131" s="15">
        <v>0</v>
      </c>
      <c r="N131" s="15">
        <v>1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1</v>
      </c>
      <c r="U131" s="15">
        <v>0</v>
      </c>
      <c r="V131" s="15">
        <v>0</v>
      </c>
      <c r="W131" s="15">
        <v>1</v>
      </c>
      <c r="X131" s="15">
        <v>0</v>
      </c>
      <c r="Y131" s="15">
        <v>0</v>
      </c>
      <c r="Z131" s="15">
        <v>0</v>
      </c>
      <c r="AA131" s="15">
        <v>0</v>
      </c>
      <c r="AB131" s="13">
        <f t="shared" si="13"/>
        <v>6</v>
      </c>
      <c r="AC131" s="31"/>
      <c r="AD131" s="31"/>
    </row>
    <row r="132" spans="1:30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2</v>
      </c>
      <c r="R132" s="15">
        <v>0</v>
      </c>
      <c r="S132" s="15">
        <v>0</v>
      </c>
      <c r="T132" s="15">
        <v>0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3">
        <f t="shared" si="13"/>
        <v>2</v>
      </c>
      <c r="AC132" s="5"/>
      <c r="AD132" s="5"/>
    </row>
    <row r="133" spans="1:30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1</v>
      </c>
      <c r="K133" s="15">
        <v>0</v>
      </c>
      <c r="L133" s="15">
        <v>0</v>
      </c>
      <c r="M133" s="15">
        <v>0</v>
      </c>
      <c r="N133" s="15">
        <v>1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>
        <v>0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3">
        <f t="shared" si="13"/>
        <v>2</v>
      </c>
      <c r="AC133" s="5"/>
      <c r="AD133" s="5"/>
    </row>
    <row r="134" spans="1:30" ht="12.75" customHeight="1" x14ac:dyDescent="0.3">
      <c r="A134" s="14"/>
      <c r="B134" s="27"/>
      <c r="C134" s="28" t="s">
        <v>114</v>
      </c>
      <c r="D134" s="29"/>
      <c r="E134" s="15">
        <v>0</v>
      </c>
      <c r="F134" s="15">
        <v>0</v>
      </c>
      <c r="G134" s="15">
        <v>1</v>
      </c>
      <c r="H134" s="15">
        <v>0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5">
        <v>0</v>
      </c>
      <c r="AA134" s="15">
        <v>1</v>
      </c>
      <c r="AB134" s="13">
        <f t="shared" si="13"/>
        <v>2</v>
      </c>
      <c r="AC134" s="5"/>
      <c r="AD134" s="5"/>
    </row>
    <row r="135" spans="1:30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3">
        <f t="shared" si="13"/>
        <v>0</v>
      </c>
      <c r="AC135" s="5"/>
      <c r="AD135" s="5"/>
    </row>
    <row r="136" spans="1:30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A136" si="22">SUM(E131:E135)</f>
        <v>0</v>
      </c>
      <c r="F136" s="34">
        <f t="shared" si="22"/>
        <v>1</v>
      </c>
      <c r="G136" s="34">
        <f t="shared" si="22"/>
        <v>1</v>
      </c>
      <c r="H136" s="34">
        <f t="shared" si="22"/>
        <v>1</v>
      </c>
      <c r="I136" s="34">
        <f t="shared" si="22"/>
        <v>0</v>
      </c>
      <c r="J136" s="34">
        <f t="shared" si="22"/>
        <v>1</v>
      </c>
      <c r="K136" s="34">
        <f t="shared" si="22"/>
        <v>0</v>
      </c>
      <c r="L136" s="34">
        <f t="shared" si="22"/>
        <v>1</v>
      </c>
      <c r="M136" s="34">
        <f t="shared" si="22"/>
        <v>0</v>
      </c>
      <c r="N136" s="34">
        <f t="shared" si="22"/>
        <v>2</v>
      </c>
      <c r="O136" s="34">
        <f t="shared" si="22"/>
        <v>0</v>
      </c>
      <c r="P136" s="34">
        <f t="shared" si="22"/>
        <v>0</v>
      </c>
      <c r="Q136" s="34">
        <f t="shared" si="22"/>
        <v>2</v>
      </c>
      <c r="R136" s="34">
        <f t="shared" si="22"/>
        <v>0</v>
      </c>
      <c r="S136" s="34">
        <f t="shared" si="22"/>
        <v>0</v>
      </c>
      <c r="T136" s="34">
        <f t="shared" si="22"/>
        <v>1</v>
      </c>
      <c r="U136" s="34">
        <f t="shared" si="22"/>
        <v>0</v>
      </c>
      <c r="V136" s="34">
        <f t="shared" si="22"/>
        <v>0</v>
      </c>
      <c r="W136" s="34">
        <f t="shared" si="22"/>
        <v>1</v>
      </c>
      <c r="X136" s="34">
        <f t="shared" si="22"/>
        <v>0</v>
      </c>
      <c r="Y136" s="34">
        <f t="shared" si="22"/>
        <v>0</v>
      </c>
      <c r="Z136" s="34">
        <f t="shared" si="22"/>
        <v>0</v>
      </c>
      <c r="AA136" s="34">
        <f t="shared" si="22"/>
        <v>1</v>
      </c>
      <c r="AB136" s="13">
        <f t="shared" si="13"/>
        <v>12</v>
      </c>
      <c r="AC136" s="5"/>
      <c r="AD136" s="5"/>
    </row>
    <row r="137" spans="1:30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13">
        <f t="shared" si="13"/>
        <v>0</v>
      </c>
      <c r="AC137" s="5"/>
      <c r="AD137" s="5"/>
    </row>
    <row r="138" spans="1:30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>
        <v>0</v>
      </c>
      <c r="F138" s="15">
        <v>0</v>
      </c>
      <c r="G138" s="15">
        <v>0</v>
      </c>
      <c r="H138" s="15">
        <v>0</v>
      </c>
      <c r="I138" s="15">
        <v>0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  <c r="U138" s="15"/>
      <c r="V138" s="15"/>
      <c r="W138" s="15"/>
      <c r="X138" s="15"/>
      <c r="Y138" s="15"/>
      <c r="Z138" s="15"/>
      <c r="AA138" s="15"/>
      <c r="AB138" s="13">
        <f t="shared" si="13"/>
        <v>0</v>
      </c>
      <c r="AC138" s="5"/>
      <c r="AD138" s="5"/>
    </row>
    <row r="139" spans="1:30" ht="12.75" customHeight="1" x14ac:dyDescent="0.3">
      <c r="A139" s="19" t="s">
        <v>39</v>
      </c>
      <c r="B139" s="27"/>
      <c r="C139" s="28" t="s">
        <v>118</v>
      </c>
      <c r="D139" s="29"/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  <c r="U139" s="15"/>
      <c r="V139" s="15"/>
      <c r="W139" s="15"/>
      <c r="X139" s="15"/>
      <c r="Y139" s="15"/>
      <c r="Z139" s="15"/>
      <c r="AA139" s="15"/>
      <c r="AB139" s="13">
        <f t="shared" si="13"/>
        <v>0</v>
      </c>
      <c r="AC139" s="5"/>
      <c r="AD139" s="5"/>
    </row>
    <row r="140" spans="1:30" ht="12.75" customHeight="1" x14ac:dyDescent="0.3">
      <c r="A140" s="14"/>
      <c r="B140" s="27"/>
      <c r="C140" s="28" t="s">
        <v>119</v>
      </c>
      <c r="D140" s="29"/>
      <c r="E140" s="15">
        <v>1</v>
      </c>
      <c r="F140" s="15">
        <v>3</v>
      </c>
      <c r="G140" s="15">
        <v>0</v>
      </c>
      <c r="H140" s="15">
        <v>0</v>
      </c>
      <c r="I140" s="15">
        <v>0</v>
      </c>
      <c r="J140" s="15">
        <v>4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  <c r="U140" s="15"/>
      <c r="V140" s="15"/>
      <c r="W140" s="15"/>
      <c r="X140" s="15"/>
      <c r="Y140" s="15"/>
      <c r="Z140" s="15"/>
      <c r="AA140" s="15"/>
      <c r="AB140" s="13">
        <f t="shared" si="13"/>
        <v>8</v>
      </c>
      <c r="AC140" s="5"/>
      <c r="AD140" s="5"/>
    </row>
    <row r="141" spans="1:30" ht="12.75" customHeight="1" x14ac:dyDescent="0.3">
      <c r="A141" s="14"/>
      <c r="B141" s="27"/>
      <c r="C141" s="28" t="s">
        <v>120</v>
      </c>
      <c r="D141" s="29"/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  <c r="U141" s="15"/>
      <c r="V141" s="15"/>
      <c r="W141" s="15"/>
      <c r="X141" s="15"/>
      <c r="Y141" s="15"/>
      <c r="Z141" s="15"/>
      <c r="AA141" s="15"/>
      <c r="AB141" s="13">
        <f t="shared" si="13"/>
        <v>0</v>
      </c>
      <c r="AC141" s="1"/>
      <c r="AD141" s="1"/>
    </row>
    <row r="142" spans="1:30" ht="12.75" customHeight="1" x14ac:dyDescent="0.3">
      <c r="A142" s="14"/>
      <c r="B142" s="27"/>
      <c r="C142" s="28" t="s">
        <v>121</v>
      </c>
      <c r="D142" s="29"/>
      <c r="E142" s="15">
        <v>0</v>
      </c>
      <c r="F142" s="15">
        <v>0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  <c r="U142" s="15"/>
      <c r="V142" s="15"/>
      <c r="W142" s="15"/>
      <c r="X142" s="15"/>
      <c r="Y142" s="15"/>
      <c r="Z142" s="15"/>
      <c r="AA142" s="15"/>
      <c r="AB142" s="13">
        <f t="shared" si="13"/>
        <v>0</v>
      </c>
      <c r="AC142" s="31"/>
      <c r="AD142" s="31"/>
    </row>
    <row r="143" spans="1:30" ht="12.75" customHeight="1" x14ac:dyDescent="0.3">
      <c r="A143" s="14"/>
      <c r="B143" s="27"/>
      <c r="C143" s="28" t="s">
        <v>122</v>
      </c>
      <c r="D143" s="29"/>
      <c r="E143" s="15">
        <v>0</v>
      </c>
      <c r="F143" s="15">
        <v>0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  <c r="U143" s="15"/>
      <c r="V143" s="15"/>
      <c r="W143" s="15"/>
      <c r="X143" s="15"/>
      <c r="Y143" s="15"/>
      <c r="Z143" s="15"/>
      <c r="AA143" s="15"/>
      <c r="AB143" s="13">
        <f t="shared" ref="AB143:AB186" si="23">SUM(E143:AA143)</f>
        <v>0</v>
      </c>
      <c r="AC143" s="5"/>
      <c r="AD143" s="5"/>
    </row>
    <row r="144" spans="1:30" ht="12.75" customHeight="1" x14ac:dyDescent="0.3">
      <c r="A144" s="14"/>
      <c r="B144" s="27"/>
      <c r="C144" s="28" t="s">
        <v>123</v>
      </c>
      <c r="D144" s="29"/>
      <c r="E144" s="15">
        <v>0</v>
      </c>
      <c r="F144" s="15">
        <v>1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  <c r="U144" s="15"/>
      <c r="V144" s="15"/>
      <c r="W144" s="15"/>
      <c r="X144" s="15"/>
      <c r="Y144" s="15"/>
      <c r="Z144" s="15"/>
      <c r="AA144" s="15"/>
      <c r="AB144" s="13">
        <f t="shared" si="23"/>
        <v>1</v>
      </c>
      <c r="AC144" s="5"/>
      <c r="AD144" s="5"/>
    </row>
    <row r="145" spans="1:30" ht="12.75" customHeight="1" x14ac:dyDescent="0.3">
      <c r="A145" s="14"/>
      <c r="B145" s="27"/>
      <c r="C145" s="28" t="s">
        <v>124</v>
      </c>
      <c r="D145" s="29"/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  <c r="U145" s="15"/>
      <c r="V145" s="15"/>
      <c r="W145" s="15"/>
      <c r="X145" s="15"/>
      <c r="Y145" s="15"/>
      <c r="Z145" s="15"/>
      <c r="AA145" s="15"/>
      <c r="AB145" s="13">
        <f t="shared" si="23"/>
        <v>0</v>
      </c>
      <c r="AC145" s="5"/>
      <c r="AD145" s="5"/>
    </row>
    <row r="146" spans="1:30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A146" si="24">SUM(E138:E145)</f>
        <v>1</v>
      </c>
      <c r="F146" s="34">
        <f t="shared" si="24"/>
        <v>4</v>
      </c>
      <c r="G146" s="34">
        <f t="shared" si="24"/>
        <v>0</v>
      </c>
      <c r="H146" s="34">
        <f t="shared" si="24"/>
        <v>0</v>
      </c>
      <c r="I146" s="34">
        <f t="shared" si="24"/>
        <v>0</v>
      </c>
      <c r="J146" s="34">
        <f t="shared" si="24"/>
        <v>4</v>
      </c>
      <c r="K146" s="34">
        <f t="shared" si="24"/>
        <v>0</v>
      </c>
      <c r="L146" s="34">
        <f t="shared" si="24"/>
        <v>0</v>
      </c>
      <c r="M146" s="34">
        <f t="shared" si="24"/>
        <v>0</v>
      </c>
      <c r="N146" s="34">
        <f t="shared" si="24"/>
        <v>0</v>
      </c>
      <c r="O146" s="34">
        <f t="shared" si="24"/>
        <v>0</v>
      </c>
      <c r="P146" s="34">
        <f t="shared" si="24"/>
        <v>0</v>
      </c>
      <c r="Q146" s="34">
        <f t="shared" si="24"/>
        <v>0</v>
      </c>
      <c r="R146" s="34">
        <f t="shared" si="24"/>
        <v>0</v>
      </c>
      <c r="S146" s="34">
        <f t="shared" si="24"/>
        <v>0</v>
      </c>
      <c r="T146" s="34">
        <f t="shared" si="24"/>
        <v>0</v>
      </c>
      <c r="U146" s="34">
        <f t="shared" si="24"/>
        <v>0</v>
      </c>
      <c r="V146" s="34">
        <f t="shared" si="24"/>
        <v>0</v>
      </c>
      <c r="W146" s="34">
        <f t="shared" si="24"/>
        <v>0</v>
      </c>
      <c r="X146" s="34">
        <f t="shared" si="24"/>
        <v>0</v>
      </c>
      <c r="Y146" s="34">
        <f t="shared" si="24"/>
        <v>0</v>
      </c>
      <c r="Z146" s="34">
        <f t="shared" si="24"/>
        <v>0</v>
      </c>
      <c r="AA146" s="34">
        <f t="shared" si="24"/>
        <v>0</v>
      </c>
      <c r="AB146" s="13">
        <f t="shared" si="23"/>
        <v>9</v>
      </c>
      <c r="AC146" s="5"/>
      <c r="AD146" s="5"/>
    </row>
    <row r="147" spans="1:30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13">
        <f t="shared" si="23"/>
        <v>0</v>
      </c>
      <c r="AC147" s="5"/>
      <c r="AD147" s="5"/>
    </row>
    <row r="148" spans="1:30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0</v>
      </c>
      <c r="F148" s="15">
        <v>4</v>
      </c>
      <c r="G148" s="15">
        <v>4</v>
      </c>
      <c r="H148" s="15">
        <v>1</v>
      </c>
      <c r="I148" s="15">
        <v>2</v>
      </c>
      <c r="J148" s="15">
        <v>7</v>
      </c>
      <c r="K148" s="15">
        <v>2</v>
      </c>
      <c r="L148" s="15">
        <v>1</v>
      </c>
      <c r="M148" s="15">
        <v>2</v>
      </c>
      <c r="N148" s="15">
        <v>2</v>
      </c>
      <c r="O148" s="15">
        <v>4</v>
      </c>
      <c r="P148" s="15">
        <v>1</v>
      </c>
      <c r="Q148" s="15">
        <v>0</v>
      </c>
      <c r="R148" s="15">
        <v>0</v>
      </c>
      <c r="S148" s="15">
        <v>2</v>
      </c>
      <c r="T148" s="15">
        <v>3</v>
      </c>
      <c r="U148" s="15">
        <v>1</v>
      </c>
      <c r="V148" s="15">
        <v>1</v>
      </c>
      <c r="W148" s="15">
        <v>0</v>
      </c>
      <c r="X148" s="15">
        <v>4</v>
      </c>
      <c r="Y148" s="15">
        <v>3</v>
      </c>
      <c r="Z148" s="15">
        <v>0</v>
      </c>
      <c r="AA148" s="15">
        <v>0</v>
      </c>
      <c r="AB148" s="13">
        <f t="shared" si="23"/>
        <v>44</v>
      </c>
      <c r="AC148" s="5"/>
      <c r="AD148" s="5"/>
    </row>
    <row r="149" spans="1:30" ht="12.75" customHeight="1" x14ac:dyDescent="0.3">
      <c r="A149" s="19" t="s">
        <v>39</v>
      </c>
      <c r="B149" s="27"/>
      <c r="C149" s="28" t="s">
        <v>127</v>
      </c>
      <c r="D149" s="29"/>
      <c r="E149" s="15">
        <v>1</v>
      </c>
      <c r="F149" s="15">
        <v>0</v>
      </c>
      <c r="G149" s="15">
        <v>5</v>
      </c>
      <c r="H149" s="15">
        <v>4</v>
      </c>
      <c r="I149" s="15">
        <v>1</v>
      </c>
      <c r="J149" s="15">
        <v>0</v>
      </c>
      <c r="K149" s="15">
        <v>1</v>
      </c>
      <c r="L149" s="15">
        <v>3</v>
      </c>
      <c r="M149" s="15">
        <v>1</v>
      </c>
      <c r="N149" s="15">
        <v>3</v>
      </c>
      <c r="O149" s="15">
        <v>0</v>
      </c>
      <c r="P149" s="15">
        <v>1</v>
      </c>
      <c r="Q149" s="15">
        <v>0</v>
      </c>
      <c r="R149" s="15">
        <v>2</v>
      </c>
      <c r="S149" s="15">
        <v>0</v>
      </c>
      <c r="T149" s="15">
        <v>4</v>
      </c>
      <c r="U149" s="15">
        <v>2</v>
      </c>
      <c r="V149" s="15">
        <v>3</v>
      </c>
      <c r="W149" s="15">
        <v>2</v>
      </c>
      <c r="X149" s="15">
        <v>1</v>
      </c>
      <c r="Y149" s="15">
        <v>1</v>
      </c>
      <c r="Z149" s="15">
        <v>4</v>
      </c>
      <c r="AA149" s="15">
        <v>0</v>
      </c>
      <c r="AB149" s="13">
        <f t="shared" si="23"/>
        <v>39</v>
      </c>
      <c r="AC149" s="5"/>
      <c r="AD149" s="5"/>
    </row>
    <row r="150" spans="1:30" ht="12.75" customHeight="1" x14ac:dyDescent="0.3">
      <c r="A150" s="14"/>
      <c r="B150" s="27"/>
      <c r="C150" s="28" t="s">
        <v>128</v>
      </c>
      <c r="D150" s="29"/>
      <c r="E150" s="15">
        <v>1</v>
      </c>
      <c r="F150" s="15">
        <v>1</v>
      </c>
      <c r="G150" s="15">
        <v>0</v>
      </c>
      <c r="H150" s="15">
        <v>0</v>
      </c>
      <c r="I150" s="15">
        <v>0</v>
      </c>
      <c r="J150" s="15">
        <v>1</v>
      </c>
      <c r="K150" s="15">
        <v>1</v>
      </c>
      <c r="L150" s="15">
        <v>1</v>
      </c>
      <c r="M150" s="15">
        <v>1</v>
      </c>
      <c r="N150" s="15">
        <v>0</v>
      </c>
      <c r="O150" s="15">
        <v>1</v>
      </c>
      <c r="P150" s="15">
        <v>1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  <c r="W150" s="15">
        <v>0</v>
      </c>
      <c r="X150" s="15">
        <v>0</v>
      </c>
      <c r="Y150" s="15">
        <v>1</v>
      </c>
      <c r="Z150" s="15">
        <v>0</v>
      </c>
      <c r="AA150" s="15">
        <v>0</v>
      </c>
      <c r="AB150" s="13">
        <f t="shared" si="23"/>
        <v>9</v>
      </c>
      <c r="AC150" s="5"/>
      <c r="AD150" s="5"/>
    </row>
    <row r="151" spans="1:30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1</v>
      </c>
      <c r="G151" s="15">
        <v>0</v>
      </c>
      <c r="H151" s="15">
        <v>0</v>
      </c>
      <c r="I151" s="15">
        <v>0</v>
      </c>
      <c r="J151" s="15">
        <v>0</v>
      </c>
      <c r="K151" s="15">
        <v>0</v>
      </c>
      <c r="L151" s="15">
        <v>2</v>
      </c>
      <c r="M151" s="15">
        <v>0</v>
      </c>
      <c r="N151" s="15">
        <v>0</v>
      </c>
      <c r="O151" s="15">
        <v>1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  <c r="W151" s="15">
        <v>0</v>
      </c>
      <c r="X151" s="15">
        <v>0</v>
      </c>
      <c r="Y151" s="15">
        <v>0</v>
      </c>
      <c r="Z151" s="15">
        <v>0</v>
      </c>
      <c r="AA151" s="15">
        <v>0</v>
      </c>
      <c r="AB151" s="13">
        <f t="shared" si="23"/>
        <v>4</v>
      </c>
      <c r="AC151" s="1"/>
      <c r="AD151" s="1"/>
    </row>
    <row r="152" spans="1:30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0</v>
      </c>
      <c r="G152" s="15">
        <v>0</v>
      </c>
      <c r="H152" s="15">
        <v>0</v>
      </c>
      <c r="I152" s="15">
        <v>0</v>
      </c>
      <c r="J152" s="15">
        <v>0</v>
      </c>
      <c r="K152" s="15">
        <v>1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>
        <v>3</v>
      </c>
      <c r="R152" s="15">
        <v>0</v>
      </c>
      <c r="S152" s="15">
        <v>0</v>
      </c>
      <c r="T152" s="15">
        <v>0</v>
      </c>
      <c r="U152" s="15">
        <v>3</v>
      </c>
      <c r="V152" s="15">
        <v>0</v>
      </c>
      <c r="W152" s="15">
        <v>1</v>
      </c>
      <c r="X152" s="15">
        <v>0</v>
      </c>
      <c r="Y152" s="15">
        <v>0</v>
      </c>
      <c r="Z152" s="15">
        <v>0</v>
      </c>
      <c r="AA152" s="15">
        <v>1</v>
      </c>
      <c r="AB152" s="13">
        <f t="shared" si="23"/>
        <v>9</v>
      </c>
      <c r="AC152" s="31"/>
      <c r="AD152" s="31"/>
    </row>
    <row r="153" spans="1:30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1</v>
      </c>
      <c r="G153" s="15">
        <v>1</v>
      </c>
      <c r="H153" s="15">
        <v>1</v>
      </c>
      <c r="I153" s="15">
        <v>0</v>
      </c>
      <c r="J153" s="15">
        <v>0</v>
      </c>
      <c r="K153" s="15">
        <v>0</v>
      </c>
      <c r="L153" s="15">
        <v>0</v>
      </c>
      <c r="M153" s="15">
        <v>1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3">
        <f t="shared" si="23"/>
        <v>4</v>
      </c>
      <c r="AC153" s="5"/>
      <c r="AD153" s="5"/>
    </row>
    <row r="154" spans="1:30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1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0</v>
      </c>
      <c r="AB154" s="13">
        <f t="shared" si="23"/>
        <v>1</v>
      </c>
      <c r="AC154" s="5"/>
      <c r="AD154" s="5"/>
    </row>
    <row r="155" spans="1:30" ht="12.75" customHeight="1" x14ac:dyDescent="0.3">
      <c r="A155" s="14"/>
      <c r="B155" s="27"/>
      <c r="C155" s="28" t="s">
        <v>133</v>
      </c>
      <c r="D155" s="29"/>
      <c r="E155" s="15">
        <v>9</v>
      </c>
      <c r="F155" s="15">
        <v>95</v>
      </c>
      <c r="G155" s="15">
        <v>93</v>
      </c>
      <c r="H155" s="15">
        <v>33</v>
      </c>
      <c r="I155" s="15">
        <v>31</v>
      </c>
      <c r="J155" s="15">
        <v>43</v>
      </c>
      <c r="K155" s="15">
        <v>4</v>
      </c>
      <c r="L155" s="15">
        <v>24</v>
      </c>
      <c r="M155" s="15">
        <v>41</v>
      </c>
      <c r="N155" s="15">
        <v>34</v>
      </c>
      <c r="O155" s="15">
        <v>156</v>
      </c>
      <c r="P155" s="15">
        <v>52</v>
      </c>
      <c r="Q155" s="15">
        <v>8</v>
      </c>
      <c r="R155" s="15">
        <v>6</v>
      </c>
      <c r="S155" s="15">
        <v>2</v>
      </c>
      <c r="T155" s="15">
        <v>0</v>
      </c>
      <c r="U155" s="15">
        <v>6</v>
      </c>
      <c r="V155" s="15">
        <v>2</v>
      </c>
      <c r="W155" s="15">
        <v>8</v>
      </c>
      <c r="X155" s="15">
        <v>53</v>
      </c>
      <c r="Y155" s="15">
        <v>76</v>
      </c>
      <c r="Z155" s="15">
        <v>6</v>
      </c>
      <c r="AA155" s="15">
        <v>1</v>
      </c>
      <c r="AB155" s="13">
        <f t="shared" si="23"/>
        <v>783</v>
      </c>
      <c r="AC155" s="5"/>
      <c r="AD155" s="5"/>
    </row>
    <row r="156" spans="1:30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A156" si="25">SUM(E148:E155)</f>
        <v>11</v>
      </c>
      <c r="F156" s="34">
        <f t="shared" si="25"/>
        <v>102</v>
      </c>
      <c r="G156" s="34">
        <f t="shared" si="25"/>
        <v>103</v>
      </c>
      <c r="H156" s="34">
        <f t="shared" si="25"/>
        <v>39</v>
      </c>
      <c r="I156" s="34">
        <f t="shared" si="25"/>
        <v>34</v>
      </c>
      <c r="J156" s="34">
        <f t="shared" si="25"/>
        <v>51</v>
      </c>
      <c r="K156" s="34">
        <f t="shared" si="25"/>
        <v>9</v>
      </c>
      <c r="L156" s="34">
        <f t="shared" si="25"/>
        <v>31</v>
      </c>
      <c r="M156" s="34">
        <f t="shared" si="25"/>
        <v>46</v>
      </c>
      <c r="N156" s="34">
        <f t="shared" si="25"/>
        <v>39</v>
      </c>
      <c r="O156" s="34">
        <f t="shared" si="25"/>
        <v>163</v>
      </c>
      <c r="P156" s="34">
        <f t="shared" si="25"/>
        <v>55</v>
      </c>
      <c r="Q156" s="34">
        <f t="shared" si="25"/>
        <v>11</v>
      </c>
      <c r="R156" s="34">
        <f t="shared" si="25"/>
        <v>8</v>
      </c>
      <c r="S156" s="34">
        <f t="shared" si="25"/>
        <v>4</v>
      </c>
      <c r="T156" s="34">
        <f t="shared" si="25"/>
        <v>7</v>
      </c>
      <c r="U156" s="34">
        <f t="shared" si="25"/>
        <v>12</v>
      </c>
      <c r="V156" s="34">
        <f t="shared" si="25"/>
        <v>6</v>
      </c>
      <c r="W156" s="34">
        <f t="shared" si="25"/>
        <v>11</v>
      </c>
      <c r="X156" s="34">
        <f t="shared" si="25"/>
        <v>58</v>
      </c>
      <c r="Y156" s="34">
        <f t="shared" si="25"/>
        <v>81</v>
      </c>
      <c r="Z156" s="34">
        <f t="shared" si="25"/>
        <v>10</v>
      </c>
      <c r="AA156" s="34">
        <f t="shared" si="25"/>
        <v>2</v>
      </c>
      <c r="AB156" s="13">
        <f t="shared" si="23"/>
        <v>893</v>
      </c>
      <c r="AC156" s="5"/>
      <c r="AD156" s="5"/>
    </row>
    <row r="157" spans="1:30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13">
        <f t="shared" si="23"/>
        <v>0</v>
      </c>
      <c r="AC157" s="5"/>
      <c r="AD157" s="5"/>
    </row>
    <row r="158" spans="1:30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1</v>
      </c>
      <c r="F158" s="15">
        <v>2</v>
      </c>
      <c r="G158" s="15">
        <v>0</v>
      </c>
      <c r="H158" s="15">
        <v>0</v>
      </c>
      <c r="I158" s="15">
        <v>0</v>
      </c>
      <c r="J158" s="15">
        <v>0</v>
      </c>
      <c r="K158" s="15">
        <v>1</v>
      </c>
      <c r="L158" s="15">
        <v>0</v>
      </c>
      <c r="M158" s="15">
        <v>2</v>
      </c>
      <c r="N158" s="15">
        <v>0</v>
      </c>
      <c r="O158" s="15">
        <v>0</v>
      </c>
      <c r="P158" s="15">
        <v>0</v>
      </c>
      <c r="Q158" s="15">
        <v>0</v>
      </c>
      <c r="R158" s="15">
        <v>1</v>
      </c>
      <c r="S158" s="15">
        <v>0</v>
      </c>
      <c r="T158" s="15">
        <v>0</v>
      </c>
      <c r="U158" s="15">
        <v>1</v>
      </c>
      <c r="V158" s="15">
        <v>0</v>
      </c>
      <c r="W158" s="15">
        <v>0</v>
      </c>
      <c r="X158" s="15">
        <v>0</v>
      </c>
      <c r="Y158" s="15">
        <v>2</v>
      </c>
      <c r="Z158" s="15">
        <v>0</v>
      </c>
      <c r="AA158" s="15">
        <v>0</v>
      </c>
      <c r="AB158" s="13">
        <f t="shared" si="23"/>
        <v>10</v>
      </c>
      <c r="AC158" s="5"/>
      <c r="AD158" s="5"/>
    </row>
    <row r="159" spans="1:30" ht="12.75" customHeight="1" x14ac:dyDescent="0.3">
      <c r="A159" s="19" t="s">
        <v>39</v>
      </c>
      <c r="B159" s="27"/>
      <c r="C159" s="28" t="s">
        <v>136</v>
      </c>
      <c r="D159" s="29"/>
      <c r="E159" s="15">
        <v>2</v>
      </c>
      <c r="F159" s="15">
        <v>0</v>
      </c>
      <c r="G159" s="15">
        <v>1</v>
      </c>
      <c r="H159" s="15">
        <v>2</v>
      </c>
      <c r="I159" s="15">
        <v>1</v>
      </c>
      <c r="J159" s="15">
        <v>1</v>
      </c>
      <c r="K159" s="15">
        <v>0</v>
      </c>
      <c r="L159" s="15">
        <v>0</v>
      </c>
      <c r="M159" s="15">
        <v>0</v>
      </c>
      <c r="N159" s="15">
        <v>0</v>
      </c>
      <c r="O159" s="15">
        <v>2</v>
      </c>
      <c r="P159" s="15">
        <v>1</v>
      </c>
      <c r="Q159" s="15">
        <v>0</v>
      </c>
      <c r="R159" s="15">
        <v>0</v>
      </c>
      <c r="S159" s="15">
        <v>0</v>
      </c>
      <c r="T159" s="15">
        <v>1</v>
      </c>
      <c r="U159" s="15">
        <v>0</v>
      </c>
      <c r="V159" s="15">
        <v>1</v>
      </c>
      <c r="W159" s="15">
        <v>0</v>
      </c>
      <c r="X159" s="15">
        <v>1</v>
      </c>
      <c r="Y159" s="15">
        <v>0</v>
      </c>
      <c r="Z159" s="15">
        <v>1</v>
      </c>
      <c r="AA159" s="15">
        <v>0</v>
      </c>
      <c r="AB159" s="13">
        <f t="shared" si="23"/>
        <v>14</v>
      </c>
      <c r="AC159" s="5"/>
      <c r="AD159" s="5"/>
    </row>
    <row r="160" spans="1:30" ht="12.75" customHeight="1" x14ac:dyDescent="0.3">
      <c r="A160" s="19"/>
      <c r="B160" s="27"/>
      <c r="C160" s="28" t="s">
        <v>137</v>
      </c>
      <c r="D160" s="29"/>
      <c r="E160" s="15">
        <v>0</v>
      </c>
      <c r="F160" s="15">
        <v>2</v>
      </c>
      <c r="G160" s="15">
        <v>2</v>
      </c>
      <c r="H160" s="15">
        <v>0</v>
      </c>
      <c r="I160" s="15">
        <v>0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>
        <v>1</v>
      </c>
      <c r="R160" s="15">
        <v>1</v>
      </c>
      <c r="S160" s="15">
        <v>0</v>
      </c>
      <c r="T160" s="15">
        <v>1</v>
      </c>
      <c r="U160" s="15">
        <v>0</v>
      </c>
      <c r="V160" s="15">
        <v>0</v>
      </c>
      <c r="W160" s="15">
        <v>0</v>
      </c>
      <c r="X160" s="15">
        <v>1</v>
      </c>
      <c r="Y160" s="15">
        <v>0</v>
      </c>
      <c r="Z160" s="15">
        <v>0</v>
      </c>
      <c r="AA160" s="15">
        <v>0</v>
      </c>
      <c r="AB160" s="13">
        <f t="shared" si="23"/>
        <v>8</v>
      </c>
      <c r="AC160" s="5"/>
      <c r="AD160" s="5"/>
    </row>
    <row r="161" spans="1:30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A161" si="26">SUM(E158:E160)</f>
        <v>3</v>
      </c>
      <c r="F161" s="34">
        <f t="shared" si="26"/>
        <v>4</v>
      </c>
      <c r="G161" s="34">
        <f t="shared" si="26"/>
        <v>3</v>
      </c>
      <c r="H161" s="34">
        <f t="shared" si="26"/>
        <v>2</v>
      </c>
      <c r="I161" s="34">
        <f t="shared" si="26"/>
        <v>1</v>
      </c>
      <c r="J161" s="34">
        <f t="shared" si="26"/>
        <v>1</v>
      </c>
      <c r="K161" s="34">
        <f t="shared" si="26"/>
        <v>1</v>
      </c>
      <c r="L161" s="34">
        <f t="shared" si="26"/>
        <v>0</v>
      </c>
      <c r="M161" s="34">
        <f t="shared" si="26"/>
        <v>2</v>
      </c>
      <c r="N161" s="34">
        <f t="shared" si="26"/>
        <v>0</v>
      </c>
      <c r="O161" s="34">
        <f t="shared" si="26"/>
        <v>2</v>
      </c>
      <c r="P161" s="34">
        <f t="shared" si="26"/>
        <v>1</v>
      </c>
      <c r="Q161" s="34">
        <f t="shared" si="26"/>
        <v>1</v>
      </c>
      <c r="R161" s="34">
        <f t="shared" si="26"/>
        <v>2</v>
      </c>
      <c r="S161" s="34">
        <f t="shared" si="26"/>
        <v>0</v>
      </c>
      <c r="T161" s="34">
        <f t="shared" si="26"/>
        <v>2</v>
      </c>
      <c r="U161" s="34">
        <f t="shared" si="26"/>
        <v>1</v>
      </c>
      <c r="V161" s="34">
        <f t="shared" si="26"/>
        <v>1</v>
      </c>
      <c r="W161" s="34">
        <f t="shared" si="26"/>
        <v>0</v>
      </c>
      <c r="X161" s="34">
        <f t="shared" si="26"/>
        <v>2</v>
      </c>
      <c r="Y161" s="34">
        <f t="shared" si="26"/>
        <v>2</v>
      </c>
      <c r="Z161" s="34">
        <f t="shared" si="26"/>
        <v>1</v>
      </c>
      <c r="AA161" s="34">
        <f t="shared" si="26"/>
        <v>0</v>
      </c>
      <c r="AB161" s="13">
        <f t="shared" si="23"/>
        <v>32</v>
      </c>
      <c r="AC161" s="5"/>
      <c r="AD161" s="5"/>
    </row>
    <row r="162" spans="1:30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13">
        <f t="shared" si="23"/>
        <v>0</v>
      </c>
      <c r="AC162" s="5"/>
      <c r="AD162" s="5"/>
    </row>
    <row r="163" spans="1:30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0</v>
      </c>
      <c r="G163" s="15">
        <v>0</v>
      </c>
      <c r="H163" s="15">
        <v>0</v>
      </c>
      <c r="I163" s="15">
        <v>1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>
        <v>0</v>
      </c>
      <c r="U163" s="15">
        <v>0</v>
      </c>
      <c r="V163" s="15">
        <v>0</v>
      </c>
      <c r="W163" s="15">
        <v>0</v>
      </c>
      <c r="X163" s="15">
        <v>0</v>
      </c>
      <c r="Y163" s="15">
        <v>1</v>
      </c>
      <c r="Z163" s="15">
        <v>0</v>
      </c>
      <c r="AA163" s="15">
        <v>0</v>
      </c>
      <c r="AB163" s="13">
        <f t="shared" si="23"/>
        <v>2</v>
      </c>
      <c r="AC163" s="5"/>
      <c r="AD163" s="5"/>
    </row>
    <row r="164" spans="1:30" ht="12.75" customHeight="1" x14ac:dyDescent="0.3">
      <c r="A164" s="19" t="s">
        <v>39</v>
      </c>
      <c r="B164" s="26"/>
      <c r="C164" s="28" t="s">
        <v>140</v>
      </c>
      <c r="D164" s="40"/>
      <c r="E164" s="15">
        <v>0</v>
      </c>
      <c r="F164" s="15">
        <v>0</v>
      </c>
      <c r="G164" s="15">
        <v>0</v>
      </c>
      <c r="H164" s="15">
        <v>0</v>
      </c>
      <c r="I164" s="15">
        <v>0</v>
      </c>
      <c r="J164" s="15">
        <v>0</v>
      </c>
      <c r="K164" s="15">
        <v>1</v>
      </c>
      <c r="L164" s="15">
        <v>0</v>
      </c>
      <c r="M164" s="15">
        <v>0</v>
      </c>
      <c r="N164" s="15">
        <v>1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0</v>
      </c>
      <c r="W164" s="15">
        <v>2</v>
      </c>
      <c r="X164" s="15">
        <v>0</v>
      </c>
      <c r="Y164" s="15">
        <v>0</v>
      </c>
      <c r="Z164" s="15">
        <v>0</v>
      </c>
      <c r="AA164" s="15">
        <v>0</v>
      </c>
      <c r="AB164" s="13">
        <f t="shared" si="23"/>
        <v>4</v>
      </c>
      <c r="AC164" s="5"/>
      <c r="AD164" s="5"/>
    </row>
    <row r="165" spans="1:30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A165" si="27">SUM(E163:E164)</f>
        <v>0</v>
      </c>
      <c r="F165" s="34">
        <f t="shared" si="27"/>
        <v>0</v>
      </c>
      <c r="G165" s="34">
        <f t="shared" si="27"/>
        <v>0</v>
      </c>
      <c r="H165" s="34">
        <f t="shared" si="27"/>
        <v>0</v>
      </c>
      <c r="I165" s="34">
        <f t="shared" si="27"/>
        <v>1</v>
      </c>
      <c r="J165" s="34">
        <f t="shared" si="27"/>
        <v>0</v>
      </c>
      <c r="K165" s="34">
        <f t="shared" si="27"/>
        <v>1</v>
      </c>
      <c r="L165" s="34">
        <f t="shared" si="27"/>
        <v>0</v>
      </c>
      <c r="M165" s="34">
        <f t="shared" si="27"/>
        <v>0</v>
      </c>
      <c r="N165" s="34">
        <f t="shared" si="27"/>
        <v>1</v>
      </c>
      <c r="O165" s="34">
        <f t="shared" si="27"/>
        <v>0</v>
      </c>
      <c r="P165" s="34">
        <f t="shared" si="27"/>
        <v>0</v>
      </c>
      <c r="Q165" s="34">
        <f t="shared" si="27"/>
        <v>0</v>
      </c>
      <c r="R165" s="34">
        <f t="shared" si="27"/>
        <v>0</v>
      </c>
      <c r="S165" s="34">
        <f t="shared" si="27"/>
        <v>0</v>
      </c>
      <c r="T165" s="34">
        <f t="shared" si="27"/>
        <v>0</v>
      </c>
      <c r="U165" s="34">
        <f t="shared" si="27"/>
        <v>0</v>
      </c>
      <c r="V165" s="34">
        <f t="shared" si="27"/>
        <v>0</v>
      </c>
      <c r="W165" s="34">
        <f t="shared" si="27"/>
        <v>2</v>
      </c>
      <c r="X165" s="34">
        <f t="shared" si="27"/>
        <v>0</v>
      </c>
      <c r="Y165" s="34">
        <f t="shared" si="27"/>
        <v>1</v>
      </c>
      <c r="Z165" s="34">
        <f t="shared" si="27"/>
        <v>0</v>
      </c>
      <c r="AA165" s="34">
        <f t="shared" si="27"/>
        <v>0</v>
      </c>
      <c r="AB165" s="13">
        <f t="shared" si="23"/>
        <v>6</v>
      </c>
      <c r="AC165" s="1"/>
      <c r="AD165" s="1"/>
    </row>
    <row r="166" spans="1:30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13">
        <f t="shared" si="23"/>
        <v>0</v>
      </c>
      <c r="AC166" s="31"/>
      <c r="AD166" s="31"/>
    </row>
    <row r="167" spans="1:30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0</v>
      </c>
      <c r="F167" s="15">
        <v>1</v>
      </c>
      <c r="G167" s="15">
        <v>2</v>
      </c>
      <c r="H167" s="15">
        <v>0</v>
      </c>
      <c r="I167" s="15">
        <v>1</v>
      </c>
      <c r="J167" s="15">
        <v>0</v>
      </c>
      <c r="K167" s="15">
        <v>0</v>
      </c>
      <c r="L167" s="15">
        <v>0</v>
      </c>
      <c r="M167" s="15">
        <v>1</v>
      </c>
      <c r="N167" s="15">
        <v>0</v>
      </c>
      <c r="O167" s="15">
        <v>0</v>
      </c>
      <c r="P167" s="15">
        <v>0</v>
      </c>
      <c r="Q167" s="15">
        <v>0</v>
      </c>
      <c r="R167" s="15">
        <v>1</v>
      </c>
      <c r="S167" s="15">
        <v>0</v>
      </c>
      <c r="T167" s="15">
        <v>1</v>
      </c>
      <c r="U167" s="15">
        <v>0</v>
      </c>
      <c r="V167" s="15">
        <v>1</v>
      </c>
      <c r="W167" s="15">
        <v>1</v>
      </c>
      <c r="X167" s="15">
        <v>2</v>
      </c>
      <c r="Y167" s="15">
        <v>2</v>
      </c>
      <c r="Z167" s="15">
        <v>0</v>
      </c>
      <c r="AA167" s="15">
        <v>0</v>
      </c>
      <c r="AB167" s="13">
        <f t="shared" si="23"/>
        <v>13</v>
      </c>
      <c r="AC167" s="5"/>
      <c r="AD167" s="5"/>
    </row>
    <row r="168" spans="1:30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2</v>
      </c>
      <c r="G168" s="15">
        <v>1</v>
      </c>
      <c r="H168" s="15">
        <v>0</v>
      </c>
      <c r="I168" s="15">
        <v>0</v>
      </c>
      <c r="J168" s="15">
        <v>0</v>
      </c>
      <c r="K168" s="15">
        <v>0</v>
      </c>
      <c r="L168" s="15">
        <v>1</v>
      </c>
      <c r="M168" s="15">
        <v>2</v>
      </c>
      <c r="N168" s="15">
        <v>2</v>
      </c>
      <c r="O168" s="15">
        <v>0</v>
      </c>
      <c r="P168" s="15">
        <v>1</v>
      </c>
      <c r="Q168" s="15">
        <v>2</v>
      </c>
      <c r="R168" s="15">
        <v>1</v>
      </c>
      <c r="S168" s="15">
        <v>0</v>
      </c>
      <c r="T168" s="15">
        <v>0</v>
      </c>
      <c r="U168" s="15">
        <v>0</v>
      </c>
      <c r="V168" s="15">
        <v>0</v>
      </c>
      <c r="W168" s="15">
        <v>1</v>
      </c>
      <c r="X168" s="15">
        <v>1</v>
      </c>
      <c r="Y168" s="15">
        <v>3</v>
      </c>
      <c r="Z168" s="15">
        <v>0</v>
      </c>
      <c r="AA168" s="15">
        <v>1</v>
      </c>
      <c r="AB168" s="13">
        <f t="shared" si="23"/>
        <v>18</v>
      </c>
      <c r="AC168" s="5"/>
      <c r="AD168" s="5"/>
    </row>
    <row r="169" spans="1:30" ht="12.75" customHeight="1" x14ac:dyDescent="0.3">
      <c r="A169" s="14"/>
      <c r="B169" s="27"/>
      <c r="C169" s="28" t="s">
        <v>144</v>
      </c>
      <c r="D169" s="29"/>
      <c r="E169" s="15">
        <v>1</v>
      </c>
      <c r="F169" s="15">
        <v>2</v>
      </c>
      <c r="G169" s="15">
        <v>1</v>
      </c>
      <c r="H169" s="15">
        <v>0</v>
      </c>
      <c r="I169" s="15">
        <v>0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0</v>
      </c>
      <c r="Y169" s="15">
        <v>0</v>
      </c>
      <c r="Z169" s="15">
        <v>0</v>
      </c>
      <c r="AA169" s="15">
        <v>0</v>
      </c>
      <c r="AB169" s="13">
        <f t="shared" si="23"/>
        <v>4</v>
      </c>
      <c r="AC169" s="5"/>
      <c r="AD169" s="5"/>
    </row>
    <row r="170" spans="1:30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1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3">
        <f t="shared" si="23"/>
        <v>1</v>
      </c>
      <c r="AC170" s="5"/>
      <c r="AD170" s="5"/>
    </row>
    <row r="171" spans="1:30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1</v>
      </c>
      <c r="H171" s="15">
        <v>0</v>
      </c>
      <c r="I171" s="15">
        <v>0</v>
      </c>
      <c r="J171" s="15">
        <v>1</v>
      </c>
      <c r="K171" s="15">
        <v>1</v>
      </c>
      <c r="L171" s="15">
        <v>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3">
        <f t="shared" si="23"/>
        <v>4</v>
      </c>
      <c r="AC171" s="5"/>
      <c r="AD171" s="5"/>
    </row>
    <row r="172" spans="1:30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1</v>
      </c>
      <c r="Y172" s="15">
        <v>0</v>
      </c>
      <c r="Z172" s="15">
        <v>0</v>
      </c>
      <c r="AA172" s="15">
        <v>0</v>
      </c>
      <c r="AB172" s="13">
        <f t="shared" si="23"/>
        <v>1</v>
      </c>
      <c r="AC172" s="5"/>
      <c r="AD172" s="5"/>
    </row>
    <row r="173" spans="1:30" ht="12.75" customHeight="1" x14ac:dyDescent="0.3">
      <c r="A173" s="14"/>
      <c r="B173" s="27"/>
      <c r="C173" s="28" t="s">
        <v>148</v>
      </c>
      <c r="D173" s="29"/>
      <c r="E173" s="15">
        <v>0</v>
      </c>
      <c r="F173" s="15">
        <v>0</v>
      </c>
      <c r="G173" s="15">
        <v>0</v>
      </c>
      <c r="H173" s="15">
        <v>0</v>
      </c>
      <c r="I173" s="15">
        <v>1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3">
        <f t="shared" si="23"/>
        <v>1</v>
      </c>
      <c r="AC173" s="5"/>
      <c r="AD173" s="5"/>
    </row>
    <row r="174" spans="1:30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0</v>
      </c>
      <c r="L174" s="15">
        <v>0</v>
      </c>
      <c r="M174" s="15">
        <v>0</v>
      </c>
      <c r="N174" s="15">
        <v>1</v>
      </c>
      <c r="O174" s="15">
        <v>0</v>
      </c>
      <c r="P174" s="15">
        <v>2</v>
      </c>
      <c r="Q174" s="15">
        <v>0</v>
      </c>
      <c r="R174" s="15">
        <v>0</v>
      </c>
      <c r="S174" s="15">
        <v>2</v>
      </c>
      <c r="T174" s="15">
        <v>0</v>
      </c>
      <c r="U174" s="15">
        <v>0</v>
      </c>
      <c r="V174" s="15">
        <v>1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3">
        <f t="shared" si="23"/>
        <v>6</v>
      </c>
      <c r="AC174" s="5"/>
      <c r="AD174" s="5"/>
    </row>
    <row r="175" spans="1:30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AA175" si="28">SUM(E167:E174)</f>
        <v>1</v>
      </c>
      <c r="F175" s="34">
        <f t="shared" si="28"/>
        <v>5</v>
      </c>
      <c r="G175" s="34">
        <f t="shared" si="28"/>
        <v>5</v>
      </c>
      <c r="H175" s="34">
        <f t="shared" si="28"/>
        <v>0</v>
      </c>
      <c r="I175" s="34">
        <f t="shared" si="28"/>
        <v>2</v>
      </c>
      <c r="J175" s="34">
        <f t="shared" si="28"/>
        <v>1</v>
      </c>
      <c r="K175" s="34">
        <f t="shared" si="28"/>
        <v>1</v>
      </c>
      <c r="L175" s="34">
        <f t="shared" si="28"/>
        <v>2</v>
      </c>
      <c r="M175" s="34">
        <f t="shared" si="28"/>
        <v>3</v>
      </c>
      <c r="N175" s="34">
        <f t="shared" si="28"/>
        <v>4</v>
      </c>
      <c r="O175" s="34">
        <f t="shared" si="28"/>
        <v>0</v>
      </c>
      <c r="P175" s="34">
        <f t="shared" si="28"/>
        <v>3</v>
      </c>
      <c r="Q175" s="34">
        <f t="shared" si="28"/>
        <v>2</v>
      </c>
      <c r="R175" s="34">
        <f t="shared" si="28"/>
        <v>2</v>
      </c>
      <c r="S175" s="34">
        <f t="shared" si="28"/>
        <v>2</v>
      </c>
      <c r="T175" s="34">
        <f t="shared" si="28"/>
        <v>1</v>
      </c>
      <c r="U175" s="34">
        <f t="shared" si="28"/>
        <v>0</v>
      </c>
      <c r="V175" s="34">
        <f t="shared" si="28"/>
        <v>2</v>
      </c>
      <c r="W175" s="34">
        <f t="shared" si="28"/>
        <v>2</v>
      </c>
      <c r="X175" s="34">
        <f t="shared" si="28"/>
        <v>4</v>
      </c>
      <c r="Y175" s="34">
        <f t="shared" si="28"/>
        <v>5</v>
      </c>
      <c r="Z175" s="34">
        <f t="shared" si="28"/>
        <v>0</v>
      </c>
      <c r="AA175" s="34">
        <f t="shared" si="28"/>
        <v>1</v>
      </c>
      <c r="AB175" s="13">
        <f t="shared" si="23"/>
        <v>48</v>
      </c>
      <c r="AC175" s="5"/>
      <c r="AD175" s="5"/>
    </row>
    <row r="176" spans="1:30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13">
        <f t="shared" si="23"/>
        <v>0</v>
      </c>
      <c r="AC176" s="1"/>
      <c r="AD176" s="1"/>
    </row>
    <row r="177" spans="1:30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0</v>
      </c>
      <c r="G177" s="15">
        <v>0</v>
      </c>
      <c r="H177" s="15">
        <v>0</v>
      </c>
      <c r="I177" s="15">
        <v>0</v>
      </c>
      <c r="J177" s="15">
        <v>0</v>
      </c>
      <c r="K177" s="15">
        <v>0</v>
      </c>
      <c r="L177" s="15">
        <v>0</v>
      </c>
      <c r="M177" s="15">
        <v>1</v>
      </c>
      <c r="N177" s="15">
        <v>0</v>
      </c>
      <c r="O177" s="15">
        <v>0</v>
      </c>
      <c r="P177" s="15">
        <v>1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5">
        <v>1</v>
      </c>
      <c r="X177" s="15">
        <v>0</v>
      </c>
      <c r="Y177" s="15">
        <v>0</v>
      </c>
      <c r="Z177" s="15">
        <v>1</v>
      </c>
      <c r="AA177" s="15">
        <v>0</v>
      </c>
      <c r="AB177" s="13">
        <f t="shared" si="23"/>
        <v>4</v>
      </c>
    </row>
    <row r="178" spans="1:30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1</v>
      </c>
      <c r="H178" s="15">
        <v>0</v>
      </c>
      <c r="I178" s="15">
        <v>0</v>
      </c>
      <c r="J178" s="15">
        <v>0</v>
      </c>
      <c r="K178" s="15">
        <v>1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2</v>
      </c>
      <c r="U178" s="15">
        <v>0</v>
      </c>
      <c r="V178" s="15">
        <v>0</v>
      </c>
      <c r="W178" s="15">
        <v>2</v>
      </c>
      <c r="X178" s="15">
        <v>0</v>
      </c>
      <c r="Y178" s="15">
        <v>0</v>
      </c>
      <c r="Z178" s="15">
        <v>0</v>
      </c>
      <c r="AA178" s="15">
        <v>0</v>
      </c>
      <c r="AB178" s="13">
        <f t="shared" si="23"/>
        <v>6</v>
      </c>
      <c r="AC178" s="5"/>
      <c r="AD178" s="5"/>
    </row>
    <row r="179" spans="1:30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3">
        <f t="shared" si="23"/>
        <v>0</v>
      </c>
      <c r="AC179" s="5"/>
      <c r="AD179" s="5"/>
    </row>
    <row r="180" spans="1:30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3">
        <f t="shared" si="23"/>
        <v>0</v>
      </c>
      <c r="AC180" s="5"/>
      <c r="AD180" s="5"/>
    </row>
    <row r="181" spans="1:30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AA181" si="29">SUM(E177:E180)</f>
        <v>0</v>
      </c>
      <c r="F181" s="34">
        <f t="shared" si="29"/>
        <v>0</v>
      </c>
      <c r="G181" s="34">
        <f t="shared" si="29"/>
        <v>1</v>
      </c>
      <c r="H181" s="34">
        <f t="shared" si="29"/>
        <v>0</v>
      </c>
      <c r="I181" s="34">
        <f t="shared" si="29"/>
        <v>0</v>
      </c>
      <c r="J181" s="34">
        <f t="shared" si="29"/>
        <v>0</v>
      </c>
      <c r="K181" s="34">
        <f t="shared" si="29"/>
        <v>1</v>
      </c>
      <c r="L181" s="34">
        <f t="shared" si="29"/>
        <v>0</v>
      </c>
      <c r="M181" s="34">
        <f t="shared" si="29"/>
        <v>1</v>
      </c>
      <c r="N181" s="34">
        <f t="shared" si="29"/>
        <v>0</v>
      </c>
      <c r="O181" s="34">
        <f t="shared" si="29"/>
        <v>0</v>
      </c>
      <c r="P181" s="34">
        <f t="shared" si="29"/>
        <v>1</v>
      </c>
      <c r="Q181" s="34">
        <f t="shared" si="29"/>
        <v>0</v>
      </c>
      <c r="R181" s="34">
        <f t="shared" si="29"/>
        <v>0</v>
      </c>
      <c r="S181" s="34">
        <f t="shared" si="29"/>
        <v>0</v>
      </c>
      <c r="T181" s="34">
        <f t="shared" si="29"/>
        <v>2</v>
      </c>
      <c r="U181" s="34">
        <f t="shared" si="29"/>
        <v>0</v>
      </c>
      <c r="V181" s="34">
        <f t="shared" si="29"/>
        <v>0</v>
      </c>
      <c r="W181" s="34">
        <f t="shared" si="29"/>
        <v>3</v>
      </c>
      <c r="X181" s="34">
        <f t="shared" si="29"/>
        <v>0</v>
      </c>
      <c r="Y181" s="34">
        <f t="shared" si="29"/>
        <v>0</v>
      </c>
      <c r="Z181" s="34">
        <f t="shared" si="29"/>
        <v>1</v>
      </c>
      <c r="AA181" s="34">
        <f t="shared" si="29"/>
        <v>0</v>
      </c>
      <c r="AB181" s="13">
        <f t="shared" si="23"/>
        <v>10</v>
      </c>
      <c r="AC181" s="5"/>
      <c r="AD181" s="5"/>
    </row>
    <row r="182" spans="1:30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3">
        <f t="shared" si="23"/>
        <v>0</v>
      </c>
      <c r="AC182" s="5"/>
      <c r="AD182" s="5"/>
    </row>
    <row r="183" spans="1:30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>
        <f t="shared" si="23"/>
        <v>0</v>
      </c>
      <c r="AC183" s="5"/>
      <c r="AD183" s="5"/>
    </row>
    <row r="184" spans="1:30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204</v>
      </c>
      <c r="F184" s="15">
        <f t="shared" ref="F184:AB184" si="30">F53+F63+F73+F83+F93+F97+F101+F111+F115+F125+F129+F136+F146+F156+F161+F165+F175+F181</f>
        <v>222</v>
      </c>
      <c r="G184" s="15">
        <f t="shared" si="30"/>
        <v>234</v>
      </c>
      <c r="H184" s="15">
        <f t="shared" si="30"/>
        <v>171</v>
      </c>
      <c r="I184" s="15">
        <f t="shared" si="30"/>
        <v>147</v>
      </c>
      <c r="J184" s="15">
        <f t="shared" si="30"/>
        <v>197</v>
      </c>
      <c r="K184" s="15">
        <f t="shared" si="30"/>
        <v>194</v>
      </c>
      <c r="L184" s="15">
        <f t="shared" si="30"/>
        <v>166</v>
      </c>
      <c r="M184" s="15">
        <f t="shared" si="30"/>
        <v>160</v>
      </c>
      <c r="N184" s="15">
        <f t="shared" si="30"/>
        <v>201</v>
      </c>
      <c r="O184" s="15">
        <f t="shared" si="30"/>
        <v>246</v>
      </c>
      <c r="P184" s="15">
        <f t="shared" si="30"/>
        <v>207</v>
      </c>
      <c r="Q184" s="15">
        <f t="shared" si="30"/>
        <v>199</v>
      </c>
      <c r="R184" s="15">
        <f t="shared" si="30"/>
        <v>207</v>
      </c>
      <c r="S184" s="15">
        <f t="shared" si="30"/>
        <v>198</v>
      </c>
      <c r="T184" s="15">
        <f t="shared" si="30"/>
        <v>217</v>
      </c>
      <c r="U184" s="15">
        <f t="shared" si="30"/>
        <v>224</v>
      </c>
      <c r="V184" s="15">
        <f t="shared" si="30"/>
        <v>237</v>
      </c>
      <c r="W184" s="15">
        <f t="shared" si="30"/>
        <v>219</v>
      </c>
      <c r="X184" s="15">
        <f t="shared" si="30"/>
        <v>217</v>
      </c>
      <c r="Y184" s="15">
        <f t="shared" si="30"/>
        <v>236</v>
      </c>
      <c r="Z184" s="15">
        <f t="shared" si="30"/>
        <v>230</v>
      </c>
      <c r="AA184" s="15">
        <f t="shared" si="30"/>
        <v>212</v>
      </c>
      <c r="AB184" s="15">
        <f t="shared" si="30"/>
        <v>4745</v>
      </c>
      <c r="AC184" s="5"/>
      <c r="AD184" s="5"/>
    </row>
    <row r="185" spans="1:30" ht="12.75" customHeight="1" x14ac:dyDescent="0.3">
      <c r="A185" s="21"/>
      <c r="B185" s="42" t="s">
        <v>159</v>
      </c>
      <c r="C185" s="52" t="s">
        <v>160</v>
      </c>
      <c r="D185" s="50"/>
      <c r="E185" s="15">
        <v>8</v>
      </c>
      <c r="F185" s="15">
        <v>15</v>
      </c>
      <c r="G185" s="15">
        <v>3</v>
      </c>
      <c r="H185" s="15">
        <v>2</v>
      </c>
      <c r="I185" s="15">
        <v>10</v>
      </c>
      <c r="J185" s="15">
        <v>15</v>
      </c>
      <c r="K185" s="15">
        <v>11</v>
      </c>
      <c r="L185" s="15">
        <v>5</v>
      </c>
      <c r="M185" s="15">
        <v>6</v>
      </c>
      <c r="N185" s="15">
        <v>18</v>
      </c>
      <c r="O185" s="15">
        <v>10</v>
      </c>
      <c r="P185" s="15">
        <v>7</v>
      </c>
      <c r="Q185" s="15">
        <v>14</v>
      </c>
      <c r="R185" s="15">
        <v>11</v>
      </c>
      <c r="S185" s="15">
        <v>10</v>
      </c>
      <c r="T185" s="15">
        <v>4</v>
      </c>
      <c r="U185" s="15">
        <v>9</v>
      </c>
      <c r="V185" s="15">
        <v>5</v>
      </c>
      <c r="W185" s="15">
        <v>7</v>
      </c>
      <c r="X185" s="15">
        <v>13</v>
      </c>
      <c r="Y185" s="15">
        <v>8</v>
      </c>
      <c r="Z185" s="15">
        <v>15</v>
      </c>
      <c r="AA185" s="15">
        <v>5</v>
      </c>
      <c r="AB185" s="13">
        <f t="shared" si="23"/>
        <v>211</v>
      </c>
      <c r="AC185" s="5"/>
      <c r="AD185" s="5"/>
    </row>
    <row r="186" spans="1:30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AA186" si="31">SUM(E184:E185)</f>
        <v>212</v>
      </c>
      <c r="F186" s="13">
        <f t="shared" si="31"/>
        <v>237</v>
      </c>
      <c r="G186" s="13">
        <f t="shared" si="31"/>
        <v>237</v>
      </c>
      <c r="H186" s="13">
        <f t="shared" si="31"/>
        <v>173</v>
      </c>
      <c r="I186" s="13">
        <f t="shared" si="31"/>
        <v>157</v>
      </c>
      <c r="J186" s="13">
        <f t="shared" si="31"/>
        <v>212</v>
      </c>
      <c r="K186" s="13">
        <f t="shared" si="31"/>
        <v>205</v>
      </c>
      <c r="L186" s="13">
        <f t="shared" si="31"/>
        <v>171</v>
      </c>
      <c r="M186" s="13">
        <f t="shared" si="31"/>
        <v>166</v>
      </c>
      <c r="N186" s="13">
        <f t="shared" si="31"/>
        <v>219</v>
      </c>
      <c r="O186" s="13">
        <f t="shared" si="31"/>
        <v>256</v>
      </c>
      <c r="P186" s="13">
        <f t="shared" si="31"/>
        <v>214</v>
      </c>
      <c r="Q186" s="13">
        <f t="shared" si="31"/>
        <v>213</v>
      </c>
      <c r="R186" s="13">
        <f t="shared" si="31"/>
        <v>218</v>
      </c>
      <c r="S186" s="13">
        <f t="shared" si="31"/>
        <v>208</v>
      </c>
      <c r="T186" s="13">
        <f t="shared" si="31"/>
        <v>221</v>
      </c>
      <c r="U186" s="13">
        <f t="shared" si="31"/>
        <v>233</v>
      </c>
      <c r="V186" s="13">
        <f t="shared" si="31"/>
        <v>242</v>
      </c>
      <c r="W186" s="13">
        <f t="shared" si="31"/>
        <v>226</v>
      </c>
      <c r="X186" s="13">
        <f t="shared" si="31"/>
        <v>230</v>
      </c>
      <c r="Y186" s="13">
        <f t="shared" si="31"/>
        <v>244</v>
      </c>
      <c r="Z186" s="13">
        <f t="shared" si="31"/>
        <v>245</v>
      </c>
      <c r="AA186" s="13">
        <f t="shared" si="31"/>
        <v>217</v>
      </c>
      <c r="AB186" s="13">
        <f t="shared" si="23"/>
        <v>4956</v>
      </c>
      <c r="AC186" s="5"/>
      <c r="AD186" s="5"/>
    </row>
    <row r="187" spans="1:30" ht="12.75" customHeight="1" x14ac:dyDescent="0.3"/>
    <row r="188" spans="1:30" ht="12.75" customHeight="1" x14ac:dyDescent="0.3"/>
    <row r="189" spans="1:30" ht="12.75" customHeight="1" x14ac:dyDescent="0.3"/>
    <row r="190" spans="1:30" ht="12.75" customHeight="1" x14ac:dyDescent="0.3"/>
    <row r="191" spans="1:30" ht="12.75" customHeight="1" x14ac:dyDescent="0.3"/>
    <row r="192" spans="1:30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A12"/>
    <mergeCell ref="AB12:AB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64" priority="1">
      <formula>E34&lt;&gt;E64</formula>
    </cfRule>
  </conditionalFormatting>
  <conditionalFormatting sqref="E14:AA15">
    <cfRule type="containsBlanks" dxfId="63" priority="2">
      <formula>LEN(TRIM(E14))=0</formula>
    </cfRule>
  </conditionalFormatting>
  <conditionalFormatting sqref="E19:AA20">
    <cfRule type="containsBlanks" dxfId="62" priority="3">
      <formula>LEN(TRIM(E19))=0</formula>
    </cfRule>
  </conditionalFormatting>
  <conditionalFormatting sqref="E22:AA23 E25:AA26 E33:AA33 E35:AA35 E39:AA40">
    <cfRule type="containsBlanks" dxfId="61" priority="4">
      <formula>LEN(TRIM(E22))=0</formula>
    </cfRule>
  </conditionalFormatting>
  <conditionalFormatting sqref="E30:AA30">
    <cfRule type="expression" dxfId="60" priority="5">
      <formula>E30&lt;&gt;E47</formula>
    </cfRule>
    <cfRule type="expression" dxfId="59" priority="6">
      <formula>E30&lt;&gt;E34</formula>
    </cfRule>
  </conditionalFormatting>
  <conditionalFormatting sqref="E34:AA34">
    <cfRule type="expression" dxfId="58" priority="7">
      <formula>E30&lt;&gt;E34</formula>
    </cfRule>
    <cfRule type="expression" dxfId="57" priority="8">
      <formula>E30=E34</formula>
    </cfRule>
    <cfRule type="expression" dxfId="56" priority="9">
      <formula>E34&lt;&gt;E30</formula>
    </cfRule>
  </conditionalFormatting>
  <conditionalFormatting sqref="E45:AA52">
    <cfRule type="containsBlanks" dxfId="55" priority="11">
      <formula>LEN(TRIM(E45))=0</formula>
    </cfRule>
  </conditionalFormatting>
  <conditionalFormatting sqref="E55:AA62">
    <cfRule type="containsBlanks" dxfId="54" priority="12">
      <formula>LEN(TRIM(E55))=0</formula>
    </cfRule>
  </conditionalFormatting>
  <conditionalFormatting sqref="E65:AA72">
    <cfRule type="containsBlanks" dxfId="53" priority="13">
      <formula>LEN(TRIM(E65))=0</formula>
    </cfRule>
  </conditionalFormatting>
  <conditionalFormatting sqref="E75:AA82">
    <cfRule type="containsBlanks" dxfId="52" priority="14">
      <formula>LEN(TRIM(E75))=0</formula>
    </cfRule>
  </conditionalFormatting>
  <conditionalFormatting sqref="E85:AA92">
    <cfRule type="containsBlanks" dxfId="51" priority="15">
      <formula>LEN(TRIM(E85))=0</formula>
    </cfRule>
  </conditionalFormatting>
  <conditionalFormatting sqref="E95:AA96">
    <cfRule type="containsBlanks" dxfId="50" priority="16">
      <formula>LEN(TRIM(E95))=0</formula>
    </cfRule>
  </conditionalFormatting>
  <conditionalFormatting sqref="E99:AA100">
    <cfRule type="containsBlanks" dxfId="49" priority="17">
      <formula>LEN(TRIM(E99))=0</formula>
    </cfRule>
  </conditionalFormatting>
  <conditionalFormatting sqref="E103:AA110">
    <cfRule type="containsBlanks" dxfId="48" priority="18">
      <formula>LEN(TRIM(E103))=0</formula>
    </cfRule>
  </conditionalFormatting>
  <conditionalFormatting sqref="E113:AA114">
    <cfRule type="containsBlanks" dxfId="47" priority="19">
      <formula>LEN(TRIM(E113))=0</formula>
    </cfRule>
  </conditionalFormatting>
  <conditionalFormatting sqref="E117:AA124">
    <cfRule type="containsBlanks" dxfId="46" priority="20">
      <formula>LEN(TRIM(E117))=0</formula>
    </cfRule>
  </conditionalFormatting>
  <conditionalFormatting sqref="E127:AA128">
    <cfRule type="containsBlanks" dxfId="45" priority="21">
      <formula>LEN(TRIM(E127))=0</formula>
    </cfRule>
  </conditionalFormatting>
  <conditionalFormatting sqref="E131:AA135">
    <cfRule type="containsBlanks" dxfId="44" priority="22">
      <formula>LEN(TRIM(E131))=0</formula>
    </cfRule>
  </conditionalFormatting>
  <conditionalFormatting sqref="E138:AA145">
    <cfRule type="containsBlanks" dxfId="43" priority="23">
      <formula>LEN(TRIM(E138))=0</formula>
    </cfRule>
  </conditionalFormatting>
  <conditionalFormatting sqref="E148:AA155">
    <cfRule type="containsBlanks" dxfId="42" priority="24">
      <formula>LEN(TRIM(E148))=0</formula>
    </cfRule>
  </conditionalFormatting>
  <conditionalFormatting sqref="E158:AA160">
    <cfRule type="containsBlanks" dxfId="41" priority="25">
      <formula>LEN(TRIM(E158))=0</formula>
    </cfRule>
  </conditionalFormatting>
  <conditionalFormatting sqref="E163:AA164">
    <cfRule type="containsBlanks" dxfId="40" priority="26">
      <formula>LEN(TRIM(E163))=0</formula>
    </cfRule>
  </conditionalFormatting>
  <conditionalFormatting sqref="E167:AA174">
    <cfRule type="containsBlanks" dxfId="39" priority="27">
      <formula>LEN(TRIM(E167))=0</formula>
    </cfRule>
  </conditionalFormatting>
  <conditionalFormatting sqref="E177:AA180">
    <cfRule type="containsBlanks" dxfId="38" priority="28">
      <formula>LEN(TRIM(E177))=0</formula>
    </cfRule>
  </conditionalFormatting>
  <conditionalFormatting sqref="E186:AA186">
    <cfRule type="expression" dxfId="37" priority="30">
      <formula>E186&lt;&gt;#REF!</formula>
    </cfRule>
    <cfRule type="expression" dxfId="36" priority="31">
      <formula>#REF!&lt;&gt;E186</formula>
    </cfRule>
    <cfRule type="expression" dxfId="35" priority="32">
      <formula>#REF!=E186</formula>
    </cfRule>
  </conditionalFormatting>
  <conditionalFormatting sqref="U34:AA34">
    <cfRule type="expression" dxfId="34" priority="10">
      <formula>U34&lt;&gt;U47</formula>
    </cfRule>
  </conditionalFormatting>
  <conditionalFormatting sqref="AB184 E184:AA185">
    <cfRule type="containsBlanks" dxfId="33" priority="29">
      <formula>LEN(TRIM(E184))=0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W922"/>
  <sheetViews>
    <sheetView topLeftCell="AB164" workbookViewId="0">
      <selection activeCell="AU185" sqref="AU185"/>
    </sheetView>
  </sheetViews>
  <sheetFormatPr defaultColWidth="14.3984375" defaultRowHeight="15" customHeight="1" x14ac:dyDescent="0.3"/>
  <cols>
    <col min="1" max="2" width="8.69921875" customWidth="1"/>
    <col min="3" max="3" width="67.09765625" customWidth="1"/>
    <col min="4" max="4" width="5.8984375" customWidth="1"/>
    <col min="5" max="46" width="8.69921875" customWidth="1"/>
    <col min="47" max="47" width="13.296875" customWidth="1"/>
    <col min="48" max="49" width="8.69921875" customWidth="1"/>
  </cols>
  <sheetData>
    <row r="1" spans="1:47" ht="12.75" customHeight="1" x14ac:dyDescent="0.3"/>
    <row r="2" spans="1:47" ht="12.75" customHeight="1" x14ac:dyDescent="0.3">
      <c r="C2" s="8" t="s">
        <v>0</v>
      </c>
      <c r="D2" s="8" t="s">
        <v>1</v>
      </c>
    </row>
    <row r="3" spans="1:47" ht="12.75" customHeight="1" x14ac:dyDescent="0.3">
      <c r="C3" s="8" t="s">
        <v>2</v>
      </c>
      <c r="D3" s="8" t="s">
        <v>3</v>
      </c>
    </row>
    <row r="4" spans="1:47" ht="12.75" customHeight="1" x14ac:dyDescent="0.3">
      <c r="C4" s="8" t="s">
        <v>4</v>
      </c>
      <c r="D4" s="8" t="s">
        <v>5</v>
      </c>
    </row>
    <row r="5" spans="1:47" ht="12.75" customHeight="1" x14ac:dyDescent="0.3">
      <c r="C5" s="8"/>
      <c r="D5" s="8"/>
    </row>
    <row r="6" spans="1:47" ht="12.75" customHeight="1" x14ac:dyDescent="0.3">
      <c r="C6" s="8"/>
      <c r="D6" s="8"/>
    </row>
    <row r="7" spans="1:47" ht="12.75" customHeight="1" x14ac:dyDescent="0.3">
      <c r="C7" s="8"/>
      <c r="D7" s="8"/>
    </row>
    <row r="8" spans="1:47" ht="12.75" customHeight="1" x14ac:dyDescent="0.3">
      <c r="C8" s="8"/>
      <c r="D8" s="8"/>
    </row>
    <row r="9" spans="1:47" ht="12.75" customHeight="1" x14ac:dyDescent="0.3">
      <c r="C9" s="8" t="s">
        <v>163</v>
      </c>
      <c r="D9" s="8" t="s">
        <v>198</v>
      </c>
    </row>
    <row r="10" spans="1:47" ht="12.75" customHeight="1" x14ac:dyDescent="0.3"/>
    <row r="11" spans="1:47" ht="12.75" customHeight="1" x14ac:dyDescent="0.3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47" ht="12.75" customHeight="1" x14ac:dyDescent="0.3">
      <c r="A12" s="13" t="s">
        <v>6</v>
      </c>
      <c r="B12" s="53" t="s">
        <v>7</v>
      </c>
      <c r="C12" s="49"/>
      <c r="D12" s="50"/>
      <c r="E12" s="74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75" t="s">
        <v>8</v>
      </c>
    </row>
    <row r="13" spans="1:47" ht="12.75" customHeight="1" x14ac:dyDescent="0.3">
      <c r="A13" s="15" t="s">
        <v>9</v>
      </c>
      <c r="B13" s="56" t="s">
        <v>10</v>
      </c>
      <c r="C13" s="49"/>
      <c r="D13" s="50"/>
      <c r="E13" s="13" t="s">
        <v>164</v>
      </c>
      <c r="F13" s="13" t="s">
        <v>165</v>
      </c>
      <c r="G13" s="13" t="s">
        <v>166</v>
      </c>
      <c r="H13" s="13" t="s">
        <v>167</v>
      </c>
      <c r="I13" s="13" t="s">
        <v>168</v>
      </c>
      <c r="J13" s="13" t="s">
        <v>169</v>
      </c>
      <c r="K13" s="13" t="s">
        <v>170</v>
      </c>
      <c r="L13" s="13" t="s">
        <v>171</v>
      </c>
      <c r="M13" s="13" t="s">
        <v>172</v>
      </c>
      <c r="N13" s="13" t="s">
        <v>173</v>
      </c>
      <c r="O13" s="13" t="s">
        <v>174</v>
      </c>
      <c r="P13" s="13" t="s">
        <v>175</v>
      </c>
      <c r="Q13" s="13" t="s">
        <v>176</v>
      </c>
      <c r="R13" s="13" t="s">
        <v>177</v>
      </c>
      <c r="S13" s="13" t="s">
        <v>178</v>
      </c>
      <c r="T13" s="13" t="s">
        <v>179</v>
      </c>
      <c r="U13" s="13" t="s">
        <v>180</v>
      </c>
      <c r="V13" s="13" t="s">
        <v>181</v>
      </c>
      <c r="W13" s="13" t="s">
        <v>182</v>
      </c>
      <c r="X13" s="13" t="s">
        <v>183</v>
      </c>
      <c r="Y13" s="13" t="s">
        <v>184</v>
      </c>
      <c r="Z13" s="13" t="s">
        <v>185</v>
      </c>
      <c r="AA13" s="13" t="s">
        <v>186</v>
      </c>
      <c r="AB13" s="13" t="s">
        <v>187</v>
      </c>
      <c r="AC13" s="13" t="s">
        <v>188</v>
      </c>
      <c r="AD13" s="13" t="s">
        <v>189</v>
      </c>
      <c r="AE13" s="13" t="s">
        <v>190</v>
      </c>
      <c r="AF13" s="13" t="s">
        <v>191</v>
      </c>
      <c r="AG13" s="13" t="s">
        <v>193</v>
      </c>
      <c r="AH13" s="13" t="s">
        <v>199</v>
      </c>
      <c r="AI13" s="13" t="s">
        <v>200</v>
      </c>
      <c r="AJ13" s="13" t="s">
        <v>201</v>
      </c>
      <c r="AK13" s="13" t="s">
        <v>202</v>
      </c>
      <c r="AL13" s="13" t="s">
        <v>203</v>
      </c>
      <c r="AM13" s="13" t="s">
        <v>204</v>
      </c>
      <c r="AN13" s="13" t="s">
        <v>205</v>
      </c>
      <c r="AO13" s="13" t="s">
        <v>206</v>
      </c>
      <c r="AP13" s="13" t="s">
        <v>207</v>
      </c>
      <c r="AQ13" s="13" t="s">
        <v>208</v>
      </c>
      <c r="AR13" s="13" t="s">
        <v>209</v>
      </c>
      <c r="AS13" s="13" t="s">
        <v>210</v>
      </c>
      <c r="AT13" s="13" t="s">
        <v>211</v>
      </c>
      <c r="AU13" s="65"/>
    </row>
    <row r="14" spans="1:47" ht="12.75" customHeight="1" x14ac:dyDescent="0.3">
      <c r="A14" s="14"/>
      <c r="B14" s="57" t="s">
        <v>11</v>
      </c>
      <c r="C14" s="58"/>
      <c r="D14" s="15" t="s">
        <v>12</v>
      </c>
      <c r="E14" s="15">
        <v>130</v>
      </c>
      <c r="F14" s="15">
        <v>135</v>
      </c>
      <c r="G14" s="15">
        <v>130</v>
      </c>
      <c r="H14" s="15">
        <v>112</v>
      </c>
      <c r="I14" s="15">
        <v>128</v>
      </c>
      <c r="J14" s="15">
        <v>138</v>
      </c>
      <c r="K14" s="15">
        <v>106</v>
      </c>
      <c r="L14" s="15">
        <v>144</v>
      </c>
      <c r="M14" s="15">
        <v>139</v>
      </c>
      <c r="N14" s="15">
        <v>122</v>
      </c>
      <c r="O14" s="15">
        <v>136</v>
      </c>
      <c r="P14" s="15">
        <v>137</v>
      </c>
      <c r="Q14" s="15">
        <v>129</v>
      </c>
      <c r="R14" s="15">
        <v>148</v>
      </c>
      <c r="S14" s="15">
        <v>138</v>
      </c>
      <c r="T14" s="15">
        <v>133</v>
      </c>
      <c r="U14" s="15">
        <v>149</v>
      </c>
      <c r="V14" s="15">
        <v>122</v>
      </c>
      <c r="W14" s="15">
        <v>137</v>
      </c>
      <c r="X14" s="15">
        <v>126</v>
      </c>
      <c r="Y14" s="15">
        <v>115</v>
      </c>
      <c r="Z14" s="15">
        <v>133</v>
      </c>
      <c r="AA14" s="15">
        <v>124</v>
      </c>
      <c r="AB14" s="15">
        <v>121</v>
      </c>
      <c r="AC14" s="15">
        <v>137</v>
      </c>
      <c r="AD14" s="15">
        <v>130</v>
      </c>
      <c r="AE14" s="15">
        <v>142</v>
      </c>
      <c r="AF14" s="15">
        <v>129</v>
      </c>
      <c r="AG14" s="15">
        <v>116</v>
      </c>
      <c r="AH14" s="15">
        <v>128</v>
      </c>
      <c r="AI14" s="15">
        <v>141</v>
      </c>
      <c r="AJ14" s="15">
        <v>110</v>
      </c>
      <c r="AK14" s="15">
        <v>104</v>
      </c>
      <c r="AL14" s="15">
        <v>124</v>
      </c>
      <c r="AM14" s="15">
        <v>122</v>
      </c>
      <c r="AN14" s="15">
        <v>127</v>
      </c>
      <c r="AO14" s="15">
        <v>130</v>
      </c>
      <c r="AP14" s="15">
        <v>122</v>
      </c>
      <c r="AQ14" s="15">
        <v>136</v>
      </c>
      <c r="AR14" s="15">
        <v>132</v>
      </c>
      <c r="AS14" s="15">
        <v>127</v>
      </c>
      <c r="AT14" s="15">
        <v>132</v>
      </c>
      <c r="AU14" s="13">
        <f t="shared" ref="AU14:AU16" si="0">SUM(E14:AT14)</f>
        <v>5421</v>
      </c>
    </row>
    <row r="15" spans="1:47" ht="12.75" customHeight="1" x14ac:dyDescent="0.3">
      <c r="A15" s="14"/>
      <c r="B15" s="59"/>
      <c r="C15" s="60"/>
      <c r="D15" s="15" t="s">
        <v>13</v>
      </c>
      <c r="E15" s="15">
        <v>133</v>
      </c>
      <c r="F15" s="15">
        <v>137</v>
      </c>
      <c r="G15" s="15">
        <v>144</v>
      </c>
      <c r="H15" s="15">
        <v>108</v>
      </c>
      <c r="I15" s="15">
        <v>123</v>
      </c>
      <c r="J15" s="15">
        <v>135</v>
      </c>
      <c r="K15" s="15">
        <v>112</v>
      </c>
      <c r="L15" s="15">
        <v>141</v>
      </c>
      <c r="M15" s="15">
        <v>143</v>
      </c>
      <c r="N15" s="15">
        <v>114</v>
      </c>
      <c r="O15" s="15">
        <v>133</v>
      </c>
      <c r="P15" s="15">
        <v>133</v>
      </c>
      <c r="Q15" s="15">
        <v>124</v>
      </c>
      <c r="R15" s="15">
        <v>133</v>
      </c>
      <c r="S15" s="15">
        <v>126</v>
      </c>
      <c r="T15" s="15">
        <v>138</v>
      </c>
      <c r="U15" s="15">
        <v>136</v>
      </c>
      <c r="V15" s="15">
        <v>124</v>
      </c>
      <c r="W15" s="15">
        <v>147</v>
      </c>
      <c r="X15" s="15">
        <v>120</v>
      </c>
      <c r="Y15" s="15">
        <v>122</v>
      </c>
      <c r="Z15" s="15">
        <v>106</v>
      </c>
      <c r="AA15" s="15">
        <v>137</v>
      </c>
      <c r="AB15" s="15">
        <v>128</v>
      </c>
      <c r="AC15" s="15">
        <v>141</v>
      </c>
      <c r="AD15" s="15">
        <v>136</v>
      </c>
      <c r="AE15" s="15">
        <v>126</v>
      </c>
      <c r="AF15" s="15">
        <v>130</v>
      </c>
      <c r="AG15" s="15">
        <v>105</v>
      </c>
      <c r="AH15" s="15">
        <v>129</v>
      </c>
      <c r="AI15" s="15">
        <v>136</v>
      </c>
      <c r="AJ15" s="15">
        <v>108</v>
      </c>
      <c r="AK15" s="15">
        <v>102</v>
      </c>
      <c r="AL15" s="15">
        <v>128</v>
      </c>
      <c r="AM15" s="15">
        <v>131</v>
      </c>
      <c r="AN15" s="15">
        <v>138</v>
      </c>
      <c r="AO15" s="15">
        <v>133</v>
      </c>
      <c r="AP15" s="15">
        <v>137</v>
      </c>
      <c r="AQ15" s="15">
        <v>128</v>
      </c>
      <c r="AR15" s="15">
        <v>127</v>
      </c>
      <c r="AS15" s="15">
        <v>113</v>
      </c>
      <c r="AT15" s="15">
        <v>130</v>
      </c>
      <c r="AU15" s="13">
        <f t="shared" si="0"/>
        <v>5375</v>
      </c>
    </row>
    <row r="16" spans="1:47" ht="12.75" customHeight="1" x14ac:dyDescent="0.3">
      <c r="A16" s="17"/>
      <c r="B16" s="55"/>
      <c r="C16" s="61"/>
      <c r="D16" s="13" t="s">
        <v>14</v>
      </c>
      <c r="E16" s="13">
        <f t="shared" ref="E16:AT16" si="1">SUM(E14:E15)</f>
        <v>263</v>
      </c>
      <c r="F16" s="13">
        <f t="shared" si="1"/>
        <v>272</v>
      </c>
      <c r="G16" s="13">
        <f t="shared" si="1"/>
        <v>274</v>
      </c>
      <c r="H16" s="13">
        <f t="shared" si="1"/>
        <v>220</v>
      </c>
      <c r="I16" s="13">
        <f t="shared" si="1"/>
        <v>251</v>
      </c>
      <c r="J16" s="13">
        <f t="shared" si="1"/>
        <v>273</v>
      </c>
      <c r="K16" s="13">
        <f t="shared" si="1"/>
        <v>218</v>
      </c>
      <c r="L16" s="13">
        <f t="shared" si="1"/>
        <v>285</v>
      </c>
      <c r="M16" s="13">
        <f t="shared" si="1"/>
        <v>282</v>
      </c>
      <c r="N16" s="13">
        <f t="shared" si="1"/>
        <v>236</v>
      </c>
      <c r="O16" s="13">
        <f t="shared" si="1"/>
        <v>269</v>
      </c>
      <c r="P16" s="13">
        <f t="shared" si="1"/>
        <v>270</v>
      </c>
      <c r="Q16" s="13">
        <f t="shared" si="1"/>
        <v>253</v>
      </c>
      <c r="R16" s="13">
        <f t="shared" si="1"/>
        <v>281</v>
      </c>
      <c r="S16" s="13">
        <f t="shared" si="1"/>
        <v>264</v>
      </c>
      <c r="T16" s="13">
        <f t="shared" si="1"/>
        <v>271</v>
      </c>
      <c r="U16" s="13">
        <f t="shared" si="1"/>
        <v>285</v>
      </c>
      <c r="V16" s="13">
        <f t="shared" si="1"/>
        <v>246</v>
      </c>
      <c r="W16" s="13">
        <f t="shared" si="1"/>
        <v>284</v>
      </c>
      <c r="X16" s="13">
        <f t="shared" si="1"/>
        <v>246</v>
      </c>
      <c r="Y16" s="13">
        <f t="shared" si="1"/>
        <v>237</v>
      </c>
      <c r="Z16" s="13">
        <f t="shared" si="1"/>
        <v>239</v>
      </c>
      <c r="AA16" s="13">
        <f t="shared" si="1"/>
        <v>261</v>
      </c>
      <c r="AB16" s="13">
        <f t="shared" si="1"/>
        <v>249</v>
      </c>
      <c r="AC16" s="13">
        <f t="shared" si="1"/>
        <v>278</v>
      </c>
      <c r="AD16" s="13">
        <f t="shared" si="1"/>
        <v>266</v>
      </c>
      <c r="AE16" s="13">
        <f t="shared" si="1"/>
        <v>268</v>
      </c>
      <c r="AF16" s="13">
        <f t="shared" si="1"/>
        <v>259</v>
      </c>
      <c r="AG16" s="13">
        <f t="shared" si="1"/>
        <v>221</v>
      </c>
      <c r="AH16" s="13">
        <f t="shared" si="1"/>
        <v>257</v>
      </c>
      <c r="AI16" s="13">
        <f t="shared" si="1"/>
        <v>277</v>
      </c>
      <c r="AJ16" s="13">
        <f t="shared" si="1"/>
        <v>218</v>
      </c>
      <c r="AK16" s="13">
        <f t="shared" si="1"/>
        <v>206</v>
      </c>
      <c r="AL16" s="13">
        <f t="shared" si="1"/>
        <v>252</v>
      </c>
      <c r="AM16" s="13">
        <f t="shared" si="1"/>
        <v>253</v>
      </c>
      <c r="AN16" s="13">
        <f t="shared" si="1"/>
        <v>265</v>
      </c>
      <c r="AO16" s="13">
        <f t="shared" si="1"/>
        <v>263</v>
      </c>
      <c r="AP16" s="13">
        <f t="shared" si="1"/>
        <v>259</v>
      </c>
      <c r="AQ16" s="13">
        <f t="shared" si="1"/>
        <v>264</v>
      </c>
      <c r="AR16" s="13">
        <f t="shared" si="1"/>
        <v>259</v>
      </c>
      <c r="AS16" s="13">
        <f t="shared" si="1"/>
        <v>240</v>
      </c>
      <c r="AT16" s="13">
        <f t="shared" si="1"/>
        <v>262</v>
      </c>
      <c r="AU16" s="13">
        <f t="shared" si="0"/>
        <v>10796</v>
      </c>
    </row>
    <row r="17" spans="1:47" ht="12.75" customHeight="1" x14ac:dyDescent="0.3">
      <c r="A17" s="62"/>
      <c r="B17" s="49"/>
      <c r="C17" s="49"/>
      <c r="D17" s="50"/>
      <c r="E17" s="15"/>
      <c r="F17" s="15"/>
      <c r="G17" s="15"/>
      <c r="H17" s="15"/>
      <c r="I17" s="15"/>
      <c r="J17" s="15"/>
      <c r="K17" s="15"/>
      <c r="L17" s="15"/>
      <c r="M17" s="1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6"/>
    </row>
    <row r="18" spans="1:47" ht="12.75" customHeight="1" x14ac:dyDescent="0.3">
      <c r="A18" s="19" t="s">
        <v>15</v>
      </c>
      <c r="B18" s="56" t="s">
        <v>16</v>
      </c>
      <c r="C18" s="49"/>
      <c r="D18" s="50"/>
      <c r="E18" s="15"/>
      <c r="F18" s="15"/>
      <c r="G18" s="15"/>
      <c r="H18" s="15"/>
      <c r="I18" s="15"/>
      <c r="J18" s="15"/>
      <c r="K18" s="15"/>
      <c r="L18" s="15"/>
      <c r="M18" s="1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6"/>
    </row>
    <row r="19" spans="1:47" ht="12.75" customHeight="1" x14ac:dyDescent="0.3">
      <c r="A19" s="19"/>
      <c r="B19" s="66" t="s">
        <v>17</v>
      </c>
      <c r="C19" s="63" t="s">
        <v>18</v>
      </c>
      <c r="D19" s="15" t="s">
        <v>12</v>
      </c>
      <c r="E19" s="15">
        <v>114</v>
      </c>
      <c r="F19" s="15">
        <v>105</v>
      </c>
      <c r="G19" s="15">
        <v>110</v>
      </c>
      <c r="H19" s="15">
        <v>99</v>
      </c>
      <c r="I19" s="15">
        <v>102</v>
      </c>
      <c r="J19" s="15">
        <v>119</v>
      </c>
      <c r="K19" s="15">
        <v>78</v>
      </c>
      <c r="L19" s="15">
        <v>114</v>
      </c>
      <c r="M19" s="15">
        <v>129</v>
      </c>
      <c r="N19" s="15">
        <v>116</v>
      </c>
      <c r="O19" s="15">
        <v>105</v>
      </c>
      <c r="P19" s="15">
        <v>114</v>
      </c>
      <c r="Q19" s="15">
        <v>104</v>
      </c>
      <c r="R19" s="15">
        <v>121</v>
      </c>
      <c r="S19" s="15">
        <v>120</v>
      </c>
      <c r="T19" s="15">
        <v>110</v>
      </c>
      <c r="U19" s="15">
        <v>117</v>
      </c>
      <c r="V19" s="15">
        <v>93</v>
      </c>
      <c r="W19" s="15">
        <v>111</v>
      </c>
      <c r="X19" s="15">
        <v>94</v>
      </c>
      <c r="Y19" s="15">
        <v>91</v>
      </c>
      <c r="Z19" s="15">
        <v>105</v>
      </c>
      <c r="AA19" s="15">
        <v>92</v>
      </c>
      <c r="AB19" s="15">
        <v>96</v>
      </c>
      <c r="AC19" s="15">
        <v>109</v>
      </c>
      <c r="AD19" s="15">
        <v>100</v>
      </c>
      <c r="AE19" s="15">
        <v>106</v>
      </c>
      <c r="AF19" s="15">
        <v>97</v>
      </c>
      <c r="AG19" s="15">
        <v>78</v>
      </c>
      <c r="AH19" s="15">
        <v>95</v>
      </c>
      <c r="AI19" s="15">
        <v>104</v>
      </c>
      <c r="AJ19" s="15">
        <v>85</v>
      </c>
      <c r="AK19" s="15">
        <v>77</v>
      </c>
      <c r="AL19" s="15">
        <v>84</v>
      </c>
      <c r="AM19" s="15">
        <v>92</v>
      </c>
      <c r="AN19" s="15">
        <v>93</v>
      </c>
      <c r="AO19" s="15">
        <v>104</v>
      </c>
      <c r="AP19" s="15">
        <v>102</v>
      </c>
      <c r="AQ19" s="15">
        <v>116</v>
      </c>
      <c r="AR19" s="15">
        <v>111</v>
      </c>
      <c r="AS19" s="15">
        <v>95</v>
      </c>
      <c r="AT19" s="15">
        <v>98</v>
      </c>
      <c r="AU19" s="13">
        <f t="shared" ref="AU19:AU30" si="2">SUM(E19:AT19)</f>
        <v>4305</v>
      </c>
    </row>
    <row r="20" spans="1:47" ht="12.75" customHeight="1" x14ac:dyDescent="0.3">
      <c r="A20" s="20"/>
      <c r="B20" s="60"/>
      <c r="C20" s="64"/>
      <c r="D20" s="15" t="s">
        <v>13</v>
      </c>
      <c r="E20" s="15">
        <v>112</v>
      </c>
      <c r="F20" s="15">
        <v>104</v>
      </c>
      <c r="G20" s="15">
        <v>122</v>
      </c>
      <c r="H20" s="15">
        <v>92</v>
      </c>
      <c r="I20" s="15">
        <v>110</v>
      </c>
      <c r="J20" s="15">
        <v>107</v>
      </c>
      <c r="K20" s="15">
        <v>90</v>
      </c>
      <c r="L20" s="15">
        <v>117</v>
      </c>
      <c r="M20" s="15">
        <v>129</v>
      </c>
      <c r="N20" s="15">
        <v>107</v>
      </c>
      <c r="O20" s="15">
        <v>119</v>
      </c>
      <c r="P20" s="15">
        <v>117</v>
      </c>
      <c r="Q20" s="15">
        <v>99</v>
      </c>
      <c r="R20" s="15">
        <v>115</v>
      </c>
      <c r="S20" s="15">
        <v>105</v>
      </c>
      <c r="T20" s="15">
        <v>119</v>
      </c>
      <c r="U20" s="15">
        <v>106</v>
      </c>
      <c r="V20" s="15">
        <v>99</v>
      </c>
      <c r="W20" s="15">
        <v>122</v>
      </c>
      <c r="X20" s="15">
        <v>94</v>
      </c>
      <c r="Y20" s="15">
        <v>98</v>
      </c>
      <c r="Z20" s="15">
        <v>97</v>
      </c>
      <c r="AA20" s="15">
        <v>95</v>
      </c>
      <c r="AB20" s="15">
        <v>91</v>
      </c>
      <c r="AC20" s="15">
        <v>121</v>
      </c>
      <c r="AD20" s="15">
        <v>110</v>
      </c>
      <c r="AE20" s="15">
        <v>109</v>
      </c>
      <c r="AF20" s="15">
        <v>97</v>
      </c>
      <c r="AG20" s="15">
        <v>76</v>
      </c>
      <c r="AH20" s="15">
        <v>91</v>
      </c>
      <c r="AI20" s="15">
        <v>117</v>
      </c>
      <c r="AJ20" s="15">
        <v>93</v>
      </c>
      <c r="AK20" s="15">
        <v>86</v>
      </c>
      <c r="AL20" s="15">
        <v>99</v>
      </c>
      <c r="AM20" s="15">
        <v>98</v>
      </c>
      <c r="AN20" s="15">
        <v>111</v>
      </c>
      <c r="AO20" s="15">
        <v>114</v>
      </c>
      <c r="AP20" s="15">
        <v>113</v>
      </c>
      <c r="AQ20" s="15">
        <v>110</v>
      </c>
      <c r="AR20" s="15">
        <v>109</v>
      </c>
      <c r="AS20" s="15">
        <v>94</v>
      </c>
      <c r="AT20" s="15">
        <v>106</v>
      </c>
      <c r="AU20" s="13">
        <f t="shared" si="2"/>
        <v>4420</v>
      </c>
    </row>
    <row r="21" spans="1:47" ht="12.75" customHeight="1" x14ac:dyDescent="0.3">
      <c r="A21" s="21"/>
      <c r="B21" s="61"/>
      <c r="C21" s="65"/>
      <c r="D21" s="13" t="s">
        <v>14</v>
      </c>
      <c r="E21" s="13">
        <f t="shared" ref="E21:AT21" si="3">SUM(E19:E20)</f>
        <v>226</v>
      </c>
      <c r="F21" s="13">
        <f t="shared" si="3"/>
        <v>209</v>
      </c>
      <c r="G21" s="13">
        <f t="shared" si="3"/>
        <v>232</v>
      </c>
      <c r="H21" s="13">
        <f t="shared" si="3"/>
        <v>191</v>
      </c>
      <c r="I21" s="13">
        <f t="shared" si="3"/>
        <v>212</v>
      </c>
      <c r="J21" s="13">
        <f t="shared" si="3"/>
        <v>226</v>
      </c>
      <c r="K21" s="13">
        <f t="shared" si="3"/>
        <v>168</v>
      </c>
      <c r="L21" s="13">
        <f t="shared" si="3"/>
        <v>231</v>
      </c>
      <c r="M21" s="13">
        <f t="shared" si="3"/>
        <v>258</v>
      </c>
      <c r="N21" s="13">
        <f t="shared" si="3"/>
        <v>223</v>
      </c>
      <c r="O21" s="13">
        <f t="shared" si="3"/>
        <v>224</v>
      </c>
      <c r="P21" s="13">
        <f t="shared" si="3"/>
        <v>231</v>
      </c>
      <c r="Q21" s="13">
        <f t="shared" si="3"/>
        <v>203</v>
      </c>
      <c r="R21" s="13">
        <f t="shared" si="3"/>
        <v>236</v>
      </c>
      <c r="S21" s="13">
        <f t="shared" si="3"/>
        <v>225</v>
      </c>
      <c r="T21" s="13">
        <f t="shared" si="3"/>
        <v>229</v>
      </c>
      <c r="U21" s="13">
        <f t="shared" si="3"/>
        <v>223</v>
      </c>
      <c r="V21" s="13">
        <f t="shared" si="3"/>
        <v>192</v>
      </c>
      <c r="W21" s="13">
        <f t="shared" si="3"/>
        <v>233</v>
      </c>
      <c r="X21" s="13">
        <f t="shared" si="3"/>
        <v>188</v>
      </c>
      <c r="Y21" s="13">
        <f t="shared" si="3"/>
        <v>189</v>
      </c>
      <c r="Z21" s="13">
        <f t="shared" si="3"/>
        <v>202</v>
      </c>
      <c r="AA21" s="13">
        <f t="shared" si="3"/>
        <v>187</v>
      </c>
      <c r="AB21" s="13">
        <f t="shared" si="3"/>
        <v>187</v>
      </c>
      <c r="AC21" s="13">
        <f t="shared" si="3"/>
        <v>230</v>
      </c>
      <c r="AD21" s="13">
        <f t="shared" si="3"/>
        <v>210</v>
      </c>
      <c r="AE21" s="13">
        <f t="shared" si="3"/>
        <v>215</v>
      </c>
      <c r="AF21" s="13">
        <f t="shared" si="3"/>
        <v>194</v>
      </c>
      <c r="AG21" s="13">
        <f t="shared" si="3"/>
        <v>154</v>
      </c>
      <c r="AH21" s="13">
        <f t="shared" si="3"/>
        <v>186</v>
      </c>
      <c r="AI21" s="13">
        <f t="shared" si="3"/>
        <v>221</v>
      </c>
      <c r="AJ21" s="13">
        <f t="shared" si="3"/>
        <v>178</v>
      </c>
      <c r="AK21" s="13">
        <f t="shared" si="3"/>
        <v>163</v>
      </c>
      <c r="AL21" s="13">
        <f t="shared" si="3"/>
        <v>183</v>
      </c>
      <c r="AM21" s="13">
        <f t="shared" si="3"/>
        <v>190</v>
      </c>
      <c r="AN21" s="13">
        <f t="shared" si="3"/>
        <v>204</v>
      </c>
      <c r="AO21" s="13">
        <f t="shared" si="3"/>
        <v>218</v>
      </c>
      <c r="AP21" s="13">
        <f t="shared" si="3"/>
        <v>215</v>
      </c>
      <c r="AQ21" s="13">
        <f t="shared" si="3"/>
        <v>226</v>
      </c>
      <c r="AR21" s="13">
        <f t="shared" si="3"/>
        <v>220</v>
      </c>
      <c r="AS21" s="13">
        <f t="shared" si="3"/>
        <v>189</v>
      </c>
      <c r="AT21" s="13">
        <f t="shared" si="3"/>
        <v>204</v>
      </c>
      <c r="AU21" s="13">
        <f t="shared" si="2"/>
        <v>8725</v>
      </c>
    </row>
    <row r="22" spans="1:47" ht="12.75" customHeight="1" x14ac:dyDescent="0.3">
      <c r="A22" s="20"/>
      <c r="B22" s="66" t="s">
        <v>19</v>
      </c>
      <c r="C22" s="63" t="s">
        <v>20</v>
      </c>
      <c r="D22" s="15" t="s">
        <v>12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>
        <v>0</v>
      </c>
      <c r="U22" s="15">
        <v>1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1</v>
      </c>
      <c r="AH22" s="15">
        <v>0</v>
      </c>
      <c r="AI22" s="15">
        <v>0</v>
      </c>
      <c r="AJ22" s="15">
        <v>1</v>
      </c>
      <c r="AK22" s="15">
        <v>0</v>
      </c>
      <c r="AL22" s="15">
        <v>0</v>
      </c>
      <c r="AM22" s="15">
        <v>2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3">
        <f t="shared" si="2"/>
        <v>5</v>
      </c>
    </row>
    <row r="23" spans="1:47" ht="12.75" customHeight="1" x14ac:dyDescent="0.3">
      <c r="A23" s="20"/>
      <c r="B23" s="60"/>
      <c r="C23" s="64"/>
      <c r="D23" s="15" t="s">
        <v>13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>
        <v>0</v>
      </c>
      <c r="U23" s="15">
        <v>2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1</v>
      </c>
      <c r="AK23" s="15">
        <v>0</v>
      </c>
      <c r="AL23" s="15">
        <v>0</v>
      </c>
      <c r="AM23" s="15">
        <v>2</v>
      </c>
      <c r="AN23" s="15">
        <v>0</v>
      </c>
      <c r="AO23" s="15">
        <v>1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3">
        <f t="shared" si="2"/>
        <v>6</v>
      </c>
    </row>
    <row r="24" spans="1:47" ht="12.75" customHeight="1" x14ac:dyDescent="0.3">
      <c r="A24" s="21"/>
      <c r="B24" s="61"/>
      <c r="C24" s="65"/>
      <c r="D24" s="13" t="s">
        <v>14</v>
      </c>
      <c r="E24" s="13">
        <f t="shared" ref="E24:AT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3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0</v>
      </c>
      <c r="AE24" s="13">
        <f t="shared" si="4"/>
        <v>0</v>
      </c>
      <c r="AF24" s="13">
        <f t="shared" si="4"/>
        <v>0</v>
      </c>
      <c r="AG24" s="13">
        <f t="shared" si="4"/>
        <v>1</v>
      </c>
      <c r="AH24" s="13">
        <f t="shared" si="4"/>
        <v>0</v>
      </c>
      <c r="AI24" s="13">
        <f t="shared" si="4"/>
        <v>0</v>
      </c>
      <c r="AJ24" s="13">
        <f t="shared" si="4"/>
        <v>2</v>
      </c>
      <c r="AK24" s="13">
        <f t="shared" si="4"/>
        <v>0</v>
      </c>
      <c r="AL24" s="13">
        <f t="shared" si="4"/>
        <v>0</v>
      </c>
      <c r="AM24" s="13">
        <f t="shared" si="4"/>
        <v>4</v>
      </c>
      <c r="AN24" s="13">
        <f t="shared" si="4"/>
        <v>0</v>
      </c>
      <c r="AO24" s="13">
        <f t="shared" si="4"/>
        <v>1</v>
      </c>
      <c r="AP24" s="13">
        <f t="shared" si="4"/>
        <v>0</v>
      </c>
      <c r="AQ24" s="13">
        <f t="shared" si="4"/>
        <v>0</v>
      </c>
      <c r="AR24" s="13">
        <f t="shared" si="4"/>
        <v>0</v>
      </c>
      <c r="AS24" s="13">
        <f t="shared" si="4"/>
        <v>0</v>
      </c>
      <c r="AT24" s="13">
        <f t="shared" si="4"/>
        <v>0</v>
      </c>
      <c r="AU24" s="13">
        <f t="shared" si="2"/>
        <v>11</v>
      </c>
    </row>
    <row r="25" spans="1:47" ht="12.75" customHeight="1" x14ac:dyDescent="0.3">
      <c r="A25" s="20"/>
      <c r="B25" s="66" t="s">
        <v>21</v>
      </c>
      <c r="C25" s="63" t="s">
        <v>22</v>
      </c>
      <c r="D25" s="15" t="s">
        <v>12</v>
      </c>
      <c r="E25" s="15">
        <v>3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1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1</v>
      </c>
      <c r="V25" s="15">
        <v>0</v>
      </c>
      <c r="W25" s="15">
        <v>0</v>
      </c>
      <c r="X25" s="15">
        <v>1</v>
      </c>
      <c r="Y25" s="15">
        <v>0</v>
      </c>
      <c r="Z25" s="15">
        <v>0</v>
      </c>
      <c r="AA25" s="15">
        <v>0</v>
      </c>
      <c r="AB25" s="15">
        <v>0</v>
      </c>
      <c r="AC25" s="15">
        <v>2</v>
      </c>
      <c r="AD25" s="15">
        <v>9</v>
      </c>
      <c r="AE25" s="15">
        <v>0</v>
      </c>
      <c r="AF25" s="15">
        <v>1</v>
      </c>
      <c r="AG25" s="15">
        <v>0</v>
      </c>
      <c r="AH25" s="15">
        <v>0</v>
      </c>
      <c r="AI25" s="15">
        <v>2</v>
      </c>
      <c r="AJ25" s="15">
        <v>0</v>
      </c>
      <c r="AK25" s="15">
        <v>3</v>
      </c>
      <c r="AL25" s="15">
        <v>5</v>
      </c>
      <c r="AM25" s="15">
        <v>4</v>
      </c>
      <c r="AN25" s="15">
        <v>2</v>
      </c>
      <c r="AO25" s="15">
        <v>2</v>
      </c>
      <c r="AP25" s="15">
        <v>1</v>
      </c>
      <c r="AQ25" s="15">
        <v>0</v>
      </c>
      <c r="AR25" s="15">
        <v>2</v>
      </c>
      <c r="AS25" s="15">
        <v>1</v>
      </c>
      <c r="AT25" s="15">
        <v>0</v>
      </c>
      <c r="AU25" s="13">
        <f t="shared" si="2"/>
        <v>40</v>
      </c>
    </row>
    <row r="26" spans="1:47" ht="12.75" customHeight="1" x14ac:dyDescent="0.3">
      <c r="A26" s="20"/>
      <c r="B26" s="60"/>
      <c r="C26" s="64"/>
      <c r="D26" s="15" t="s">
        <v>13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2</v>
      </c>
      <c r="V26" s="15">
        <v>0</v>
      </c>
      <c r="W26" s="15">
        <v>2</v>
      </c>
      <c r="X26" s="15">
        <v>1</v>
      </c>
      <c r="Y26" s="15">
        <v>0</v>
      </c>
      <c r="Z26" s="15">
        <v>0</v>
      </c>
      <c r="AA26" s="15">
        <v>0</v>
      </c>
      <c r="AB26" s="15">
        <v>0</v>
      </c>
      <c r="AC26" s="15">
        <v>2</v>
      </c>
      <c r="AD26" s="15">
        <v>4</v>
      </c>
      <c r="AE26" s="15">
        <v>0</v>
      </c>
      <c r="AF26" s="15">
        <v>1</v>
      </c>
      <c r="AG26" s="15">
        <v>0</v>
      </c>
      <c r="AH26" s="15">
        <v>2</v>
      </c>
      <c r="AI26" s="15">
        <v>1</v>
      </c>
      <c r="AJ26" s="15">
        <v>0</v>
      </c>
      <c r="AK26" s="15">
        <v>4</v>
      </c>
      <c r="AL26" s="15">
        <v>3</v>
      </c>
      <c r="AM26" s="15">
        <v>7</v>
      </c>
      <c r="AN26" s="15">
        <v>2</v>
      </c>
      <c r="AO26" s="15">
        <v>6</v>
      </c>
      <c r="AP26" s="15">
        <v>3</v>
      </c>
      <c r="AQ26" s="15">
        <v>0</v>
      </c>
      <c r="AR26" s="15">
        <v>2</v>
      </c>
      <c r="AS26" s="15">
        <v>0</v>
      </c>
      <c r="AT26" s="15">
        <v>4</v>
      </c>
      <c r="AU26" s="13">
        <f t="shared" si="2"/>
        <v>47</v>
      </c>
    </row>
    <row r="27" spans="1:47" ht="12.75" customHeight="1" x14ac:dyDescent="0.3">
      <c r="A27" s="21"/>
      <c r="B27" s="61"/>
      <c r="C27" s="65"/>
      <c r="D27" s="13" t="s">
        <v>14</v>
      </c>
      <c r="E27" s="13">
        <f t="shared" ref="E27:AT27" si="5">SUM(E25:E26)</f>
        <v>4</v>
      </c>
      <c r="F27" s="13">
        <f t="shared" si="5"/>
        <v>0</v>
      </c>
      <c r="G27" s="13">
        <f t="shared" si="5"/>
        <v>0</v>
      </c>
      <c r="H27" s="13">
        <f t="shared" si="5"/>
        <v>0</v>
      </c>
      <c r="I27" s="13">
        <f t="shared" si="5"/>
        <v>0</v>
      </c>
      <c r="J27" s="13">
        <f t="shared" si="5"/>
        <v>0</v>
      </c>
      <c r="K27" s="13">
        <f t="shared" si="5"/>
        <v>0</v>
      </c>
      <c r="L27" s="13">
        <f t="shared" si="5"/>
        <v>0</v>
      </c>
      <c r="M27" s="13">
        <f t="shared" si="5"/>
        <v>1</v>
      </c>
      <c r="N27" s="13">
        <f t="shared" si="5"/>
        <v>0</v>
      </c>
      <c r="O27" s="13">
        <f t="shared" si="5"/>
        <v>0</v>
      </c>
      <c r="P27" s="13">
        <f t="shared" si="5"/>
        <v>0</v>
      </c>
      <c r="Q27" s="13">
        <f t="shared" si="5"/>
        <v>0</v>
      </c>
      <c r="R27" s="13">
        <f t="shared" si="5"/>
        <v>0</v>
      </c>
      <c r="S27" s="13">
        <f t="shared" si="5"/>
        <v>0</v>
      </c>
      <c r="T27" s="13">
        <f t="shared" si="5"/>
        <v>0</v>
      </c>
      <c r="U27" s="13">
        <f t="shared" si="5"/>
        <v>3</v>
      </c>
      <c r="V27" s="13">
        <f t="shared" si="5"/>
        <v>0</v>
      </c>
      <c r="W27" s="13">
        <f t="shared" si="5"/>
        <v>2</v>
      </c>
      <c r="X27" s="13">
        <f t="shared" si="5"/>
        <v>2</v>
      </c>
      <c r="Y27" s="13">
        <f t="shared" si="5"/>
        <v>0</v>
      </c>
      <c r="Z27" s="13">
        <f t="shared" si="5"/>
        <v>0</v>
      </c>
      <c r="AA27" s="13">
        <f t="shared" si="5"/>
        <v>0</v>
      </c>
      <c r="AB27" s="13">
        <f t="shared" si="5"/>
        <v>0</v>
      </c>
      <c r="AC27" s="13">
        <f t="shared" si="5"/>
        <v>4</v>
      </c>
      <c r="AD27" s="13">
        <f t="shared" si="5"/>
        <v>13</v>
      </c>
      <c r="AE27" s="13">
        <f t="shared" si="5"/>
        <v>0</v>
      </c>
      <c r="AF27" s="13">
        <f t="shared" si="5"/>
        <v>2</v>
      </c>
      <c r="AG27" s="13">
        <f t="shared" si="5"/>
        <v>0</v>
      </c>
      <c r="AH27" s="13">
        <f t="shared" si="5"/>
        <v>2</v>
      </c>
      <c r="AI27" s="13">
        <f t="shared" si="5"/>
        <v>3</v>
      </c>
      <c r="AJ27" s="13">
        <f t="shared" si="5"/>
        <v>0</v>
      </c>
      <c r="AK27" s="13">
        <f t="shared" si="5"/>
        <v>7</v>
      </c>
      <c r="AL27" s="13">
        <f t="shared" si="5"/>
        <v>8</v>
      </c>
      <c r="AM27" s="13">
        <f t="shared" si="5"/>
        <v>11</v>
      </c>
      <c r="AN27" s="13">
        <f t="shared" si="5"/>
        <v>4</v>
      </c>
      <c r="AO27" s="13">
        <f t="shared" si="5"/>
        <v>8</v>
      </c>
      <c r="AP27" s="13">
        <f t="shared" si="5"/>
        <v>4</v>
      </c>
      <c r="AQ27" s="13">
        <f t="shared" si="5"/>
        <v>0</v>
      </c>
      <c r="AR27" s="13">
        <f t="shared" si="5"/>
        <v>4</v>
      </c>
      <c r="AS27" s="13">
        <f t="shared" si="5"/>
        <v>1</v>
      </c>
      <c r="AT27" s="13">
        <f t="shared" si="5"/>
        <v>4</v>
      </c>
      <c r="AU27" s="13">
        <f t="shared" si="2"/>
        <v>87</v>
      </c>
    </row>
    <row r="28" spans="1:47" ht="12.75" customHeight="1" x14ac:dyDescent="0.3">
      <c r="A28" s="21"/>
      <c r="B28" s="67" t="s">
        <v>23</v>
      </c>
      <c r="C28" s="68" t="s">
        <v>24</v>
      </c>
      <c r="D28" s="13" t="s">
        <v>12</v>
      </c>
      <c r="E28" s="13">
        <f t="shared" ref="E28:AT28" si="6">SUM(E19,E22,E25)</f>
        <v>117</v>
      </c>
      <c r="F28" s="13">
        <f t="shared" si="6"/>
        <v>105</v>
      </c>
      <c r="G28" s="13">
        <f t="shared" si="6"/>
        <v>110</v>
      </c>
      <c r="H28" s="13">
        <f t="shared" si="6"/>
        <v>99</v>
      </c>
      <c r="I28" s="13">
        <f t="shared" si="6"/>
        <v>102</v>
      </c>
      <c r="J28" s="13">
        <f t="shared" si="6"/>
        <v>119</v>
      </c>
      <c r="K28" s="13">
        <f t="shared" si="6"/>
        <v>78</v>
      </c>
      <c r="L28" s="13">
        <f t="shared" si="6"/>
        <v>114</v>
      </c>
      <c r="M28" s="13">
        <f t="shared" si="6"/>
        <v>130</v>
      </c>
      <c r="N28" s="13">
        <f t="shared" si="6"/>
        <v>116</v>
      </c>
      <c r="O28" s="13">
        <f t="shared" si="6"/>
        <v>105</v>
      </c>
      <c r="P28" s="13">
        <f t="shared" si="6"/>
        <v>114</v>
      </c>
      <c r="Q28" s="13">
        <f t="shared" si="6"/>
        <v>104</v>
      </c>
      <c r="R28" s="13">
        <f t="shared" si="6"/>
        <v>121</v>
      </c>
      <c r="S28" s="13">
        <f t="shared" si="6"/>
        <v>120</v>
      </c>
      <c r="T28" s="13">
        <f t="shared" si="6"/>
        <v>110</v>
      </c>
      <c r="U28" s="13">
        <f t="shared" si="6"/>
        <v>119</v>
      </c>
      <c r="V28" s="13">
        <f t="shared" si="6"/>
        <v>93</v>
      </c>
      <c r="W28" s="13">
        <f t="shared" si="6"/>
        <v>111</v>
      </c>
      <c r="X28" s="13">
        <f t="shared" si="6"/>
        <v>95</v>
      </c>
      <c r="Y28" s="13">
        <f t="shared" si="6"/>
        <v>91</v>
      </c>
      <c r="Z28" s="13">
        <f t="shared" si="6"/>
        <v>105</v>
      </c>
      <c r="AA28" s="13">
        <f t="shared" si="6"/>
        <v>92</v>
      </c>
      <c r="AB28" s="13">
        <f t="shared" si="6"/>
        <v>96</v>
      </c>
      <c r="AC28" s="13">
        <f t="shared" si="6"/>
        <v>111</v>
      </c>
      <c r="AD28" s="13">
        <f t="shared" si="6"/>
        <v>109</v>
      </c>
      <c r="AE28" s="13">
        <f t="shared" si="6"/>
        <v>106</v>
      </c>
      <c r="AF28" s="13">
        <f t="shared" si="6"/>
        <v>98</v>
      </c>
      <c r="AG28" s="13">
        <f t="shared" si="6"/>
        <v>79</v>
      </c>
      <c r="AH28" s="13">
        <f t="shared" si="6"/>
        <v>95</v>
      </c>
      <c r="AI28" s="13">
        <f t="shared" si="6"/>
        <v>106</v>
      </c>
      <c r="AJ28" s="13">
        <f t="shared" si="6"/>
        <v>86</v>
      </c>
      <c r="AK28" s="13">
        <f t="shared" si="6"/>
        <v>80</v>
      </c>
      <c r="AL28" s="13">
        <f t="shared" si="6"/>
        <v>89</v>
      </c>
      <c r="AM28" s="13">
        <f t="shared" si="6"/>
        <v>98</v>
      </c>
      <c r="AN28" s="13">
        <f t="shared" si="6"/>
        <v>95</v>
      </c>
      <c r="AO28" s="13">
        <f t="shared" si="6"/>
        <v>106</v>
      </c>
      <c r="AP28" s="13">
        <f t="shared" si="6"/>
        <v>103</v>
      </c>
      <c r="AQ28" s="13">
        <f t="shared" si="6"/>
        <v>116</v>
      </c>
      <c r="AR28" s="13">
        <f t="shared" si="6"/>
        <v>113</v>
      </c>
      <c r="AS28" s="13">
        <f t="shared" si="6"/>
        <v>96</v>
      </c>
      <c r="AT28" s="13">
        <f t="shared" si="6"/>
        <v>98</v>
      </c>
      <c r="AU28" s="13">
        <f t="shared" si="2"/>
        <v>4350</v>
      </c>
    </row>
    <row r="29" spans="1:47" ht="12.75" customHeight="1" x14ac:dyDescent="0.3">
      <c r="A29" s="21"/>
      <c r="B29" s="60"/>
      <c r="C29" s="64"/>
      <c r="D29" s="13" t="s">
        <v>13</v>
      </c>
      <c r="E29" s="13">
        <f t="shared" ref="E29:AT29" si="7">SUM(E20,E23,E26)</f>
        <v>113</v>
      </c>
      <c r="F29" s="13">
        <f t="shared" si="7"/>
        <v>104</v>
      </c>
      <c r="G29" s="13">
        <f t="shared" si="7"/>
        <v>122</v>
      </c>
      <c r="H29" s="13">
        <f t="shared" si="7"/>
        <v>92</v>
      </c>
      <c r="I29" s="13">
        <f t="shared" si="7"/>
        <v>110</v>
      </c>
      <c r="J29" s="13">
        <f t="shared" si="7"/>
        <v>107</v>
      </c>
      <c r="K29" s="13">
        <f t="shared" si="7"/>
        <v>90</v>
      </c>
      <c r="L29" s="13">
        <f t="shared" si="7"/>
        <v>117</v>
      </c>
      <c r="M29" s="13">
        <f t="shared" si="7"/>
        <v>129</v>
      </c>
      <c r="N29" s="13">
        <f t="shared" si="7"/>
        <v>107</v>
      </c>
      <c r="O29" s="13">
        <f t="shared" si="7"/>
        <v>119</v>
      </c>
      <c r="P29" s="13">
        <f t="shared" si="7"/>
        <v>117</v>
      </c>
      <c r="Q29" s="13">
        <f t="shared" si="7"/>
        <v>99</v>
      </c>
      <c r="R29" s="13">
        <f t="shared" si="7"/>
        <v>115</v>
      </c>
      <c r="S29" s="13">
        <f t="shared" si="7"/>
        <v>105</v>
      </c>
      <c r="T29" s="13">
        <f t="shared" si="7"/>
        <v>119</v>
      </c>
      <c r="U29" s="13">
        <f t="shared" si="7"/>
        <v>110</v>
      </c>
      <c r="V29" s="13">
        <f t="shared" si="7"/>
        <v>99</v>
      </c>
      <c r="W29" s="13">
        <f t="shared" si="7"/>
        <v>124</v>
      </c>
      <c r="X29" s="13">
        <f t="shared" si="7"/>
        <v>95</v>
      </c>
      <c r="Y29" s="13">
        <f t="shared" si="7"/>
        <v>98</v>
      </c>
      <c r="Z29" s="13">
        <f t="shared" si="7"/>
        <v>97</v>
      </c>
      <c r="AA29" s="13">
        <f t="shared" si="7"/>
        <v>95</v>
      </c>
      <c r="AB29" s="13">
        <f t="shared" si="7"/>
        <v>91</v>
      </c>
      <c r="AC29" s="13">
        <f t="shared" si="7"/>
        <v>123</v>
      </c>
      <c r="AD29" s="13">
        <f t="shared" si="7"/>
        <v>114</v>
      </c>
      <c r="AE29" s="13">
        <f t="shared" si="7"/>
        <v>109</v>
      </c>
      <c r="AF29" s="13">
        <f t="shared" si="7"/>
        <v>98</v>
      </c>
      <c r="AG29" s="13">
        <f t="shared" si="7"/>
        <v>76</v>
      </c>
      <c r="AH29" s="13">
        <f t="shared" si="7"/>
        <v>93</v>
      </c>
      <c r="AI29" s="13">
        <f t="shared" si="7"/>
        <v>118</v>
      </c>
      <c r="AJ29" s="13">
        <f t="shared" si="7"/>
        <v>94</v>
      </c>
      <c r="AK29" s="13">
        <f t="shared" si="7"/>
        <v>90</v>
      </c>
      <c r="AL29" s="13">
        <f t="shared" si="7"/>
        <v>102</v>
      </c>
      <c r="AM29" s="13">
        <f t="shared" si="7"/>
        <v>107</v>
      </c>
      <c r="AN29" s="13">
        <f t="shared" si="7"/>
        <v>113</v>
      </c>
      <c r="AO29" s="13">
        <f t="shared" si="7"/>
        <v>121</v>
      </c>
      <c r="AP29" s="13">
        <f t="shared" si="7"/>
        <v>116</v>
      </c>
      <c r="AQ29" s="13">
        <f t="shared" si="7"/>
        <v>110</v>
      </c>
      <c r="AR29" s="13">
        <f t="shared" si="7"/>
        <v>111</v>
      </c>
      <c r="AS29" s="13">
        <f t="shared" si="7"/>
        <v>94</v>
      </c>
      <c r="AT29" s="13">
        <f t="shared" si="7"/>
        <v>110</v>
      </c>
      <c r="AU29" s="13">
        <f t="shared" si="2"/>
        <v>4473</v>
      </c>
    </row>
    <row r="30" spans="1:47" ht="12.75" customHeight="1" x14ac:dyDescent="0.3">
      <c r="A30" s="21"/>
      <c r="B30" s="61"/>
      <c r="C30" s="65"/>
      <c r="D30" s="13" t="s">
        <v>14</v>
      </c>
      <c r="E30" s="13">
        <f t="shared" ref="E30:AT30" si="8">SUM(E28:E29)</f>
        <v>230</v>
      </c>
      <c r="F30" s="13">
        <f t="shared" si="8"/>
        <v>209</v>
      </c>
      <c r="G30" s="13">
        <f t="shared" si="8"/>
        <v>232</v>
      </c>
      <c r="H30" s="13">
        <f t="shared" si="8"/>
        <v>191</v>
      </c>
      <c r="I30" s="13">
        <f t="shared" si="8"/>
        <v>212</v>
      </c>
      <c r="J30" s="13">
        <f t="shared" si="8"/>
        <v>226</v>
      </c>
      <c r="K30" s="13">
        <f t="shared" si="8"/>
        <v>168</v>
      </c>
      <c r="L30" s="13">
        <f t="shared" si="8"/>
        <v>231</v>
      </c>
      <c r="M30" s="13">
        <f t="shared" si="8"/>
        <v>259</v>
      </c>
      <c r="N30" s="13">
        <f t="shared" si="8"/>
        <v>223</v>
      </c>
      <c r="O30" s="13">
        <f t="shared" si="8"/>
        <v>224</v>
      </c>
      <c r="P30" s="13">
        <f t="shared" si="8"/>
        <v>231</v>
      </c>
      <c r="Q30" s="13">
        <f t="shared" si="8"/>
        <v>203</v>
      </c>
      <c r="R30" s="13">
        <f t="shared" si="8"/>
        <v>236</v>
      </c>
      <c r="S30" s="13">
        <f t="shared" si="8"/>
        <v>225</v>
      </c>
      <c r="T30" s="13">
        <f t="shared" si="8"/>
        <v>229</v>
      </c>
      <c r="U30" s="13">
        <f t="shared" si="8"/>
        <v>229</v>
      </c>
      <c r="V30" s="13">
        <f t="shared" si="8"/>
        <v>192</v>
      </c>
      <c r="W30" s="13">
        <f t="shared" si="8"/>
        <v>235</v>
      </c>
      <c r="X30" s="13">
        <f t="shared" si="8"/>
        <v>190</v>
      </c>
      <c r="Y30" s="13">
        <f t="shared" si="8"/>
        <v>189</v>
      </c>
      <c r="Z30" s="13">
        <f t="shared" si="8"/>
        <v>202</v>
      </c>
      <c r="AA30" s="13">
        <f t="shared" si="8"/>
        <v>187</v>
      </c>
      <c r="AB30" s="13">
        <f t="shared" si="8"/>
        <v>187</v>
      </c>
      <c r="AC30" s="13">
        <f t="shared" si="8"/>
        <v>234</v>
      </c>
      <c r="AD30" s="13">
        <f t="shared" si="8"/>
        <v>223</v>
      </c>
      <c r="AE30" s="13">
        <f t="shared" si="8"/>
        <v>215</v>
      </c>
      <c r="AF30" s="13">
        <f t="shared" si="8"/>
        <v>196</v>
      </c>
      <c r="AG30" s="13">
        <f t="shared" si="8"/>
        <v>155</v>
      </c>
      <c r="AH30" s="13">
        <f t="shared" si="8"/>
        <v>188</v>
      </c>
      <c r="AI30" s="13">
        <f t="shared" si="8"/>
        <v>224</v>
      </c>
      <c r="AJ30" s="13">
        <f t="shared" si="8"/>
        <v>180</v>
      </c>
      <c r="AK30" s="13">
        <f t="shared" si="8"/>
        <v>170</v>
      </c>
      <c r="AL30" s="13">
        <f t="shared" si="8"/>
        <v>191</v>
      </c>
      <c r="AM30" s="13">
        <f t="shared" si="8"/>
        <v>205</v>
      </c>
      <c r="AN30" s="13">
        <f t="shared" si="8"/>
        <v>208</v>
      </c>
      <c r="AO30" s="13">
        <f t="shared" si="8"/>
        <v>227</v>
      </c>
      <c r="AP30" s="13">
        <f t="shared" si="8"/>
        <v>219</v>
      </c>
      <c r="AQ30" s="13">
        <f t="shared" si="8"/>
        <v>226</v>
      </c>
      <c r="AR30" s="13">
        <f t="shared" si="8"/>
        <v>224</v>
      </c>
      <c r="AS30" s="13">
        <f t="shared" si="8"/>
        <v>190</v>
      </c>
      <c r="AT30" s="13">
        <f t="shared" si="8"/>
        <v>208</v>
      </c>
      <c r="AU30" s="13">
        <f t="shared" si="2"/>
        <v>8823</v>
      </c>
    </row>
    <row r="31" spans="1:47" ht="12.75" customHeight="1" x14ac:dyDescent="0.3">
      <c r="A31" s="62"/>
      <c r="B31" s="49"/>
      <c r="C31" s="49"/>
      <c r="D31" s="50"/>
      <c r="E31" s="15"/>
      <c r="F31" s="15"/>
      <c r="G31" s="15"/>
      <c r="H31" s="15"/>
      <c r="I31" s="15"/>
      <c r="J31" s="15"/>
      <c r="K31" s="15"/>
      <c r="L31" s="15"/>
      <c r="M31" s="1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6"/>
    </row>
    <row r="32" spans="1:47" ht="12.75" customHeight="1" x14ac:dyDescent="0.3">
      <c r="A32" s="24" t="s">
        <v>25</v>
      </c>
      <c r="B32" s="53" t="s">
        <v>26</v>
      </c>
      <c r="C32" s="49"/>
      <c r="D32" s="50"/>
      <c r="E32" s="13"/>
      <c r="F32" s="13"/>
      <c r="G32" s="13"/>
      <c r="H32" s="13"/>
      <c r="I32" s="13"/>
      <c r="J32" s="13"/>
      <c r="K32" s="13"/>
      <c r="L32" s="13"/>
      <c r="M32" s="1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6"/>
    </row>
    <row r="33" spans="1:47" ht="12.75" customHeight="1" x14ac:dyDescent="0.3">
      <c r="A33" s="15">
        <v>1</v>
      </c>
      <c r="B33" s="56" t="s">
        <v>27</v>
      </c>
      <c r="C33" s="49"/>
      <c r="D33" s="50"/>
      <c r="E33" s="15">
        <v>267</v>
      </c>
      <c r="F33" s="15">
        <v>278</v>
      </c>
      <c r="G33" s="15">
        <v>280</v>
      </c>
      <c r="H33" s="15">
        <v>225</v>
      </c>
      <c r="I33" s="15">
        <v>257</v>
      </c>
      <c r="J33" s="15">
        <v>278</v>
      </c>
      <c r="K33" s="15">
        <v>223</v>
      </c>
      <c r="L33" s="15">
        <v>291</v>
      </c>
      <c r="M33" s="15">
        <v>287</v>
      </c>
      <c r="N33" s="15">
        <v>241</v>
      </c>
      <c r="O33" s="15">
        <v>276</v>
      </c>
      <c r="P33" s="15">
        <v>276</v>
      </c>
      <c r="Q33" s="15">
        <v>257</v>
      </c>
      <c r="R33" s="15">
        <v>287</v>
      </c>
      <c r="S33" s="15">
        <v>270</v>
      </c>
      <c r="T33" s="15">
        <v>277</v>
      </c>
      <c r="U33" s="15">
        <v>292</v>
      </c>
      <c r="V33" s="15">
        <v>251</v>
      </c>
      <c r="W33" s="15">
        <v>290</v>
      </c>
      <c r="X33" s="15">
        <v>251</v>
      </c>
      <c r="Y33" s="15">
        <v>242</v>
      </c>
      <c r="Z33" s="15">
        <v>244</v>
      </c>
      <c r="AA33" s="15">
        <v>267</v>
      </c>
      <c r="AB33" s="15">
        <v>254</v>
      </c>
      <c r="AC33" s="15">
        <v>284</v>
      </c>
      <c r="AD33" s="15">
        <v>273</v>
      </c>
      <c r="AE33" s="15">
        <v>274</v>
      </c>
      <c r="AF33" s="15">
        <v>259</v>
      </c>
      <c r="AG33" s="15">
        <v>226</v>
      </c>
      <c r="AH33" s="15">
        <v>263</v>
      </c>
      <c r="AI33" s="15">
        <v>284</v>
      </c>
      <c r="AJ33" s="15">
        <v>223</v>
      </c>
      <c r="AK33" s="15">
        <v>212</v>
      </c>
      <c r="AL33" s="15">
        <v>258</v>
      </c>
      <c r="AM33" s="15">
        <v>259</v>
      </c>
      <c r="AN33" s="15">
        <v>270</v>
      </c>
      <c r="AO33" s="15">
        <v>268</v>
      </c>
      <c r="AP33" s="15">
        <v>265</v>
      </c>
      <c r="AQ33" s="15">
        <v>270</v>
      </c>
      <c r="AR33" s="15">
        <v>265</v>
      </c>
      <c r="AS33" s="15">
        <v>245</v>
      </c>
      <c r="AT33" s="15">
        <v>267</v>
      </c>
      <c r="AU33" s="13">
        <f t="shared" ref="AU33:AU36" si="9">SUM(E33:AT33)</f>
        <v>11026</v>
      </c>
    </row>
    <row r="34" spans="1:47" ht="12.75" customHeight="1" x14ac:dyDescent="0.3">
      <c r="A34" s="15">
        <v>2</v>
      </c>
      <c r="B34" s="56" t="s">
        <v>28</v>
      </c>
      <c r="C34" s="49"/>
      <c r="D34" s="50"/>
      <c r="E34" s="13">
        <v>230</v>
      </c>
      <c r="F34" s="13">
        <v>209</v>
      </c>
      <c r="G34" s="13">
        <v>232</v>
      </c>
      <c r="H34" s="13">
        <v>191</v>
      </c>
      <c r="I34" s="13">
        <v>212</v>
      </c>
      <c r="J34" s="13">
        <v>226</v>
      </c>
      <c r="K34" s="13">
        <v>168</v>
      </c>
      <c r="L34" s="13">
        <v>231</v>
      </c>
      <c r="M34" s="13">
        <v>259</v>
      </c>
      <c r="N34" s="13">
        <v>223</v>
      </c>
      <c r="O34" s="13">
        <v>224</v>
      </c>
      <c r="P34" s="13">
        <v>231</v>
      </c>
      <c r="Q34" s="13">
        <v>203</v>
      </c>
      <c r="R34" s="13">
        <v>236</v>
      </c>
      <c r="S34" s="13">
        <v>225</v>
      </c>
      <c r="T34" s="13">
        <v>229</v>
      </c>
      <c r="U34" s="13">
        <v>229</v>
      </c>
      <c r="V34" s="13">
        <v>192</v>
      </c>
      <c r="W34" s="13">
        <v>235</v>
      </c>
      <c r="X34" s="13">
        <v>190</v>
      </c>
      <c r="Y34" s="13">
        <v>189</v>
      </c>
      <c r="Z34" s="13">
        <v>202</v>
      </c>
      <c r="AA34" s="13">
        <v>187</v>
      </c>
      <c r="AB34" s="13">
        <v>187</v>
      </c>
      <c r="AC34" s="13">
        <v>234</v>
      </c>
      <c r="AD34" s="13">
        <v>223</v>
      </c>
      <c r="AE34" s="13">
        <v>215</v>
      </c>
      <c r="AF34" s="13">
        <v>196</v>
      </c>
      <c r="AG34" s="13">
        <v>155</v>
      </c>
      <c r="AH34" s="13">
        <v>188</v>
      </c>
      <c r="AI34" s="13">
        <v>224</v>
      </c>
      <c r="AJ34" s="13">
        <v>180</v>
      </c>
      <c r="AK34" s="13">
        <v>170</v>
      </c>
      <c r="AL34" s="13">
        <v>191</v>
      </c>
      <c r="AM34" s="13">
        <v>205</v>
      </c>
      <c r="AN34" s="13">
        <v>208</v>
      </c>
      <c r="AO34" s="13">
        <v>227</v>
      </c>
      <c r="AP34" s="13">
        <v>219</v>
      </c>
      <c r="AQ34" s="13">
        <v>226</v>
      </c>
      <c r="AR34" s="13">
        <v>224</v>
      </c>
      <c r="AS34" s="13">
        <v>190</v>
      </c>
      <c r="AT34" s="13">
        <v>208</v>
      </c>
      <c r="AU34" s="13">
        <f t="shared" si="9"/>
        <v>8823</v>
      </c>
    </row>
    <row r="35" spans="1:47" ht="12.75" customHeight="1" x14ac:dyDescent="0.3">
      <c r="A35" s="15">
        <v>3</v>
      </c>
      <c r="B35" s="56" t="s">
        <v>29</v>
      </c>
      <c r="C35" s="49"/>
      <c r="D35" s="50"/>
      <c r="E35" s="15">
        <v>0</v>
      </c>
      <c r="F35" s="15">
        <v>0</v>
      </c>
      <c r="G35" s="15">
        <v>1</v>
      </c>
      <c r="H35" s="15">
        <v>0</v>
      </c>
      <c r="I35" s="15">
        <v>3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2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3</v>
      </c>
      <c r="V35" s="15">
        <v>3</v>
      </c>
      <c r="W35" s="15">
        <v>1</v>
      </c>
      <c r="X35" s="15">
        <v>1</v>
      </c>
      <c r="Y35" s="15"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1</v>
      </c>
      <c r="AE35" s="15">
        <v>0</v>
      </c>
      <c r="AF35" s="15">
        <v>0</v>
      </c>
      <c r="AG35" s="15">
        <v>0</v>
      </c>
      <c r="AH35" s="15">
        <v>8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0</v>
      </c>
      <c r="AP35" s="15">
        <v>0</v>
      </c>
      <c r="AQ35" s="15">
        <v>1</v>
      </c>
      <c r="AR35" s="15">
        <v>3</v>
      </c>
      <c r="AS35" s="15">
        <v>1</v>
      </c>
      <c r="AT35" s="15">
        <v>0</v>
      </c>
      <c r="AU35" s="13">
        <f t="shared" si="9"/>
        <v>28</v>
      </c>
    </row>
    <row r="36" spans="1:47" ht="12.75" customHeight="1" x14ac:dyDescent="0.3">
      <c r="A36" s="15">
        <v>4</v>
      </c>
      <c r="B36" s="56" t="s">
        <v>30</v>
      </c>
      <c r="C36" s="49"/>
      <c r="D36" s="50"/>
      <c r="E36" s="13">
        <f t="shared" ref="E36:AT36" si="10">E33-(E34+E35)</f>
        <v>37</v>
      </c>
      <c r="F36" s="13">
        <f t="shared" si="10"/>
        <v>69</v>
      </c>
      <c r="G36" s="13">
        <f t="shared" si="10"/>
        <v>47</v>
      </c>
      <c r="H36" s="13">
        <f t="shared" si="10"/>
        <v>34</v>
      </c>
      <c r="I36" s="13">
        <f t="shared" si="10"/>
        <v>42</v>
      </c>
      <c r="J36" s="13">
        <f t="shared" si="10"/>
        <v>52</v>
      </c>
      <c r="K36" s="13">
        <f t="shared" si="10"/>
        <v>55</v>
      </c>
      <c r="L36" s="13">
        <f t="shared" si="10"/>
        <v>60</v>
      </c>
      <c r="M36" s="13">
        <f t="shared" si="10"/>
        <v>28</v>
      </c>
      <c r="N36" s="13">
        <f t="shared" si="10"/>
        <v>18</v>
      </c>
      <c r="O36" s="13">
        <f t="shared" si="10"/>
        <v>50</v>
      </c>
      <c r="P36" s="13">
        <f t="shared" si="10"/>
        <v>45</v>
      </c>
      <c r="Q36" s="13">
        <f t="shared" si="10"/>
        <v>54</v>
      </c>
      <c r="R36" s="13">
        <f t="shared" si="10"/>
        <v>51</v>
      </c>
      <c r="S36" s="13">
        <f t="shared" si="10"/>
        <v>45</v>
      </c>
      <c r="T36" s="13">
        <f t="shared" si="10"/>
        <v>48</v>
      </c>
      <c r="U36" s="13">
        <f t="shared" si="10"/>
        <v>60</v>
      </c>
      <c r="V36" s="13">
        <f t="shared" si="10"/>
        <v>56</v>
      </c>
      <c r="W36" s="13">
        <f t="shared" si="10"/>
        <v>54</v>
      </c>
      <c r="X36" s="13">
        <f t="shared" si="10"/>
        <v>60</v>
      </c>
      <c r="Y36" s="13">
        <f t="shared" si="10"/>
        <v>53</v>
      </c>
      <c r="Z36" s="13">
        <f t="shared" si="10"/>
        <v>42</v>
      </c>
      <c r="AA36" s="13">
        <f t="shared" si="10"/>
        <v>80</v>
      </c>
      <c r="AB36" s="13">
        <f t="shared" si="10"/>
        <v>67</v>
      </c>
      <c r="AC36" s="13">
        <f t="shared" si="10"/>
        <v>50</v>
      </c>
      <c r="AD36" s="13">
        <f t="shared" si="10"/>
        <v>49</v>
      </c>
      <c r="AE36" s="13">
        <f t="shared" si="10"/>
        <v>59</v>
      </c>
      <c r="AF36" s="13">
        <f t="shared" si="10"/>
        <v>63</v>
      </c>
      <c r="AG36" s="13">
        <f t="shared" si="10"/>
        <v>71</v>
      </c>
      <c r="AH36" s="13">
        <f t="shared" si="10"/>
        <v>67</v>
      </c>
      <c r="AI36" s="13">
        <f t="shared" si="10"/>
        <v>60</v>
      </c>
      <c r="AJ36" s="13">
        <f t="shared" si="10"/>
        <v>43</v>
      </c>
      <c r="AK36" s="13">
        <f t="shared" si="10"/>
        <v>42</v>
      </c>
      <c r="AL36" s="13">
        <f t="shared" si="10"/>
        <v>67</v>
      </c>
      <c r="AM36" s="13">
        <f t="shared" si="10"/>
        <v>54</v>
      </c>
      <c r="AN36" s="13">
        <f t="shared" si="10"/>
        <v>62</v>
      </c>
      <c r="AO36" s="13">
        <f t="shared" si="10"/>
        <v>41</v>
      </c>
      <c r="AP36" s="13">
        <f t="shared" si="10"/>
        <v>46</v>
      </c>
      <c r="AQ36" s="13">
        <f t="shared" si="10"/>
        <v>43</v>
      </c>
      <c r="AR36" s="13">
        <f t="shared" si="10"/>
        <v>38</v>
      </c>
      <c r="AS36" s="13">
        <f t="shared" si="10"/>
        <v>54</v>
      </c>
      <c r="AT36" s="13">
        <f t="shared" si="10"/>
        <v>59</v>
      </c>
      <c r="AU36" s="13">
        <f t="shared" si="9"/>
        <v>2175</v>
      </c>
    </row>
    <row r="37" spans="1:47" ht="12.75" customHeight="1" x14ac:dyDescent="0.3">
      <c r="A37" s="62"/>
      <c r="B37" s="49"/>
      <c r="C37" s="49"/>
      <c r="D37" s="49"/>
      <c r="E37" s="62"/>
      <c r="F37" s="49"/>
      <c r="G37" s="49"/>
      <c r="H37" s="49"/>
      <c r="I37" s="50"/>
      <c r="J37" s="15"/>
      <c r="K37" s="15"/>
      <c r="L37" s="15"/>
      <c r="M37" s="15"/>
      <c r="N37" s="45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46"/>
    </row>
    <row r="38" spans="1:47" ht="12.75" customHeight="1" x14ac:dyDescent="0.3">
      <c r="A38" s="25" t="s">
        <v>31</v>
      </c>
      <c r="B38" s="53" t="s">
        <v>32</v>
      </c>
      <c r="C38" s="49"/>
      <c r="D38" s="50"/>
      <c r="E38" s="13"/>
      <c r="F38" s="13"/>
      <c r="G38" s="13"/>
      <c r="H38" s="13"/>
      <c r="I38" s="13"/>
      <c r="J38" s="13"/>
      <c r="K38" s="13"/>
      <c r="L38" s="13"/>
      <c r="M38" s="1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6"/>
    </row>
    <row r="39" spans="1:47" ht="12.75" customHeight="1" x14ac:dyDescent="0.3">
      <c r="A39" s="19"/>
      <c r="B39" s="69" t="s">
        <v>33</v>
      </c>
      <c r="C39" s="58"/>
      <c r="D39" s="15" t="s">
        <v>12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1</v>
      </c>
      <c r="S39" s="15">
        <v>0</v>
      </c>
      <c r="T39" s="15">
        <v>0</v>
      </c>
      <c r="U39" s="15">
        <v>0</v>
      </c>
      <c r="V39" s="15">
        <v>3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1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1</v>
      </c>
      <c r="AQ39" s="15">
        <v>0</v>
      </c>
      <c r="AR39" s="15">
        <v>0</v>
      </c>
      <c r="AS39" s="15">
        <v>0</v>
      </c>
      <c r="AT39" s="15">
        <v>0</v>
      </c>
      <c r="AU39" s="13">
        <f t="shared" ref="AU39:AU41" si="11">SUM(E39:AT39)</f>
        <v>6</v>
      </c>
    </row>
    <row r="40" spans="1:47" ht="12.75" customHeight="1" x14ac:dyDescent="0.3">
      <c r="A40" s="20"/>
      <c r="B40" s="70"/>
      <c r="C40" s="60"/>
      <c r="D40" s="15" t="s">
        <v>13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1</v>
      </c>
      <c r="S40" s="15">
        <v>0</v>
      </c>
      <c r="T40" s="15">
        <v>0</v>
      </c>
      <c r="U40" s="15">
        <v>0</v>
      </c>
      <c r="V40" s="15">
        <v>8</v>
      </c>
      <c r="W40" s="15">
        <v>0</v>
      </c>
      <c r="X40" s="15">
        <v>1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1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1</v>
      </c>
      <c r="AQ40" s="15">
        <v>0</v>
      </c>
      <c r="AR40" s="15">
        <v>0</v>
      </c>
      <c r="AS40" s="15">
        <v>0</v>
      </c>
      <c r="AT40" s="15">
        <v>0</v>
      </c>
      <c r="AU40" s="13">
        <f t="shared" si="11"/>
        <v>12</v>
      </c>
    </row>
    <row r="41" spans="1:47" ht="12.75" customHeight="1" x14ac:dyDescent="0.3">
      <c r="A41" s="24"/>
      <c r="B41" s="71"/>
      <c r="C41" s="61"/>
      <c r="D41" s="13" t="s">
        <v>14</v>
      </c>
      <c r="E41" s="13">
        <f t="shared" ref="E41:AT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2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11</v>
      </c>
      <c r="W41" s="13">
        <f t="shared" si="12"/>
        <v>0</v>
      </c>
      <c r="X41" s="13">
        <f t="shared" si="12"/>
        <v>1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0</v>
      </c>
      <c r="AD41" s="13">
        <f t="shared" si="12"/>
        <v>0</v>
      </c>
      <c r="AE41" s="13">
        <f t="shared" si="12"/>
        <v>0</v>
      </c>
      <c r="AF41" s="13">
        <f t="shared" si="12"/>
        <v>2</v>
      </c>
      <c r="AG41" s="13">
        <f t="shared" si="12"/>
        <v>0</v>
      </c>
      <c r="AH41" s="13">
        <f t="shared" si="12"/>
        <v>0</v>
      </c>
      <c r="AI41" s="13">
        <f t="shared" si="12"/>
        <v>0</v>
      </c>
      <c r="AJ41" s="13">
        <f t="shared" si="12"/>
        <v>0</v>
      </c>
      <c r="AK41" s="13">
        <f t="shared" si="12"/>
        <v>0</v>
      </c>
      <c r="AL41" s="13">
        <f t="shared" si="12"/>
        <v>0</v>
      </c>
      <c r="AM41" s="13">
        <f t="shared" si="12"/>
        <v>0</v>
      </c>
      <c r="AN41" s="13">
        <f t="shared" si="12"/>
        <v>0</v>
      </c>
      <c r="AO41" s="13">
        <f t="shared" si="12"/>
        <v>0</v>
      </c>
      <c r="AP41" s="13">
        <f t="shared" si="12"/>
        <v>2</v>
      </c>
      <c r="AQ41" s="13">
        <f t="shared" si="12"/>
        <v>0</v>
      </c>
      <c r="AR41" s="13">
        <f t="shared" si="12"/>
        <v>0</v>
      </c>
      <c r="AS41" s="13">
        <f t="shared" si="12"/>
        <v>0</v>
      </c>
      <c r="AT41" s="13">
        <f t="shared" si="12"/>
        <v>0</v>
      </c>
      <c r="AU41" s="13">
        <f t="shared" si="11"/>
        <v>18</v>
      </c>
    </row>
    <row r="42" spans="1:47" ht="12.75" customHeight="1" x14ac:dyDescent="0.3">
      <c r="A42" s="72"/>
      <c r="B42" s="71"/>
      <c r="C42" s="71"/>
      <c r="D42" s="61"/>
      <c r="E42" s="62"/>
      <c r="F42" s="49"/>
      <c r="G42" s="49"/>
      <c r="H42" s="49"/>
      <c r="I42" s="50"/>
      <c r="J42" s="15"/>
      <c r="K42" s="15"/>
      <c r="L42" s="15"/>
      <c r="M42" s="15"/>
      <c r="N42" s="45"/>
      <c r="O42" s="15"/>
      <c r="P42" s="45"/>
      <c r="Q42" s="15"/>
      <c r="R42" s="45"/>
      <c r="S42" s="15"/>
      <c r="T42" s="45"/>
      <c r="U42" s="15"/>
      <c r="V42" s="45"/>
      <c r="W42" s="15"/>
      <c r="X42" s="45"/>
      <c r="Y42" s="15"/>
      <c r="Z42" s="45"/>
      <c r="AA42" s="15"/>
      <c r="AB42" s="45"/>
      <c r="AC42" s="15"/>
      <c r="AD42" s="45"/>
      <c r="AE42" s="15"/>
      <c r="AF42" s="45"/>
      <c r="AG42" s="15"/>
      <c r="AH42" s="45"/>
      <c r="AI42" s="15"/>
      <c r="AJ42" s="45"/>
      <c r="AK42" s="15"/>
      <c r="AL42" s="45"/>
      <c r="AM42" s="15"/>
      <c r="AN42" s="45"/>
      <c r="AO42" s="15"/>
      <c r="AP42" s="45"/>
      <c r="AQ42" s="15"/>
      <c r="AR42" s="45"/>
      <c r="AS42" s="15"/>
      <c r="AT42" s="45"/>
      <c r="AU42" s="13"/>
    </row>
    <row r="43" spans="1:47" ht="12.75" customHeight="1" x14ac:dyDescent="0.3">
      <c r="A43" s="25" t="s">
        <v>34</v>
      </c>
      <c r="B43" s="53" t="s">
        <v>35</v>
      </c>
      <c r="C43" s="49"/>
      <c r="D43" s="50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47"/>
      <c r="AA43" s="13"/>
      <c r="AB43" s="47"/>
      <c r="AC43" s="13"/>
      <c r="AD43" s="47"/>
      <c r="AE43" s="13"/>
      <c r="AF43" s="47"/>
      <c r="AG43" s="13"/>
      <c r="AH43" s="47"/>
      <c r="AI43" s="13"/>
      <c r="AJ43" s="47"/>
      <c r="AK43" s="13"/>
      <c r="AL43" s="47"/>
      <c r="AM43" s="13"/>
      <c r="AN43" s="47"/>
      <c r="AO43" s="13"/>
      <c r="AP43" s="47"/>
      <c r="AQ43" s="13"/>
      <c r="AR43" s="47"/>
      <c r="AS43" s="13"/>
      <c r="AT43" s="47"/>
      <c r="AU43" s="13"/>
    </row>
    <row r="44" spans="1:47" ht="12.75" customHeight="1" x14ac:dyDescent="0.3">
      <c r="A44" s="69" t="s">
        <v>36</v>
      </c>
      <c r="B44" s="73"/>
      <c r="C44" s="73"/>
      <c r="D44" s="58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5"/>
      <c r="AA44" s="15"/>
      <c r="AB44" s="45"/>
      <c r="AC44" s="15"/>
      <c r="AD44" s="45"/>
      <c r="AE44" s="15"/>
      <c r="AF44" s="45"/>
      <c r="AG44" s="15"/>
      <c r="AH44" s="45"/>
      <c r="AI44" s="15"/>
      <c r="AJ44" s="45"/>
      <c r="AK44" s="15"/>
      <c r="AL44" s="45"/>
      <c r="AM44" s="15"/>
      <c r="AN44" s="45"/>
      <c r="AO44" s="15"/>
      <c r="AP44" s="45"/>
      <c r="AQ44" s="15"/>
      <c r="AR44" s="45"/>
      <c r="AS44" s="15"/>
      <c r="AT44" s="45"/>
      <c r="AU44" s="13"/>
    </row>
    <row r="45" spans="1:47" ht="12.75" customHeight="1" x14ac:dyDescent="0.3">
      <c r="A45" s="19" t="s">
        <v>37</v>
      </c>
      <c r="B45" s="26" t="s">
        <v>17</v>
      </c>
      <c r="C45" s="51" t="s">
        <v>38</v>
      </c>
      <c r="D45" s="50"/>
      <c r="E45" s="15">
        <v>5</v>
      </c>
      <c r="F45" s="15">
        <v>2</v>
      </c>
      <c r="G45" s="15">
        <v>3</v>
      </c>
      <c r="H45" s="15">
        <v>2</v>
      </c>
      <c r="I45" s="15">
        <v>1</v>
      </c>
      <c r="J45" s="15">
        <v>1</v>
      </c>
      <c r="K45" s="15">
        <v>2</v>
      </c>
      <c r="L45" s="15">
        <v>2</v>
      </c>
      <c r="M45" s="15">
        <v>2</v>
      </c>
      <c r="N45" s="15">
        <v>1</v>
      </c>
      <c r="O45" s="15">
        <v>3</v>
      </c>
      <c r="P45" s="15">
        <v>2</v>
      </c>
      <c r="Q45" s="15">
        <v>0</v>
      </c>
      <c r="R45" s="15">
        <v>1</v>
      </c>
      <c r="S45" s="15">
        <v>4</v>
      </c>
      <c r="T45" s="15">
        <v>3</v>
      </c>
      <c r="U45" s="15">
        <v>0</v>
      </c>
      <c r="V45" s="15">
        <v>0</v>
      </c>
      <c r="W45" s="15">
        <v>0</v>
      </c>
      <c r="X45" s="15">
        <v>8</v>
      </c>
      <c r="Y45" s="15">
        <v>0</v>
      </c>
      <c r="Z45" s="15">
        <v>0</v>
      </c>
      <c r="AA45" s="15">
        <v>3</v>
      </c>
      <c r="AB45" s="15">
        <v>3</v>
      </c>
      <c r="AC45" s="15">
        <v>1</v>
      </c>
      <c r="AD45" s="15">
        <v>0</v>
      </c>
      <c r="AE45" s="15">
        <v>0</v>
      </c>
      <c r="AF45" s="15">
        <v>1</v>
      </c>
      <c r="AG45" s="15">
        <v>3</v>
      </c>
      <c r="AH45" s="15">
        <v>3</v>
      </c>
      <c r="AI45" s="15">
        <v>3</v>
      </c>
      <c r="AJ45" s="15">
        <v>1</v>
      </c>
      <c r="AK45" s="15">
        <v>4</v>
      </c>
      <c r="AL45" s="15">
        <v>0</v>
      </c>
      <c r="AM45" s="15">
        <v>5</v>
      </c>
      <c r="AN45" s="15">
        <v>4</v>
      </c>
      <c r="AO45" s="15">
        <v>9</v>
      </c>
      <c r="AP45" s="15">
        <v>7</v>
      </c>
      <c r="AQ45" s="15">
        <v>3</v>
      </c>
      <c r="AR45" s="15">
        <v>1</v>
      </c>
      <c r="AS45" s="15">
        <v>2</v>
      </c>
      <c r="AT45" s="15">
        <v>1</v>
      </c>
      <c r="AU45" s="13">
        <f t="shared" ref="AU45:AU186" si="13">SUM(E45:AT45)</f>
        <v>96</v>
      </c>
    </row>
    <row r="46" spans="1:47" ht="12.75" customHeight="1" x14ac:dyDescent="0.3">
      <c r="A46" s="19" t="s">
        <v>39</v>
      </c>
      <c r="B46" s="27"/>
      <c r="C46" s="28" t="s">
        <v>40</v>
      </c>
      <c r="D46" s="29"/>
      <c r="E46" s="15">
        <v>0</v>
      </c>
      <c r="F46" s="15">
        <v>1</v>
      </c>
      <c r="G46" s="15">
        <v>0</v>
      </c>
      <c r="H46" s="15">
        <v>0</v>
      </c>
      <c r="I46" s="15">
        <v>1</v>
      </c>
      <c r="J46" s="15">
        <v>1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1</v>
      </c>
      <c r="R46" s="15">
        <v>0</v>
      </c>
      <c r="S46" s="15">
        <v>7</v>
      </c>
      <c r="T46" s="15">
        <v>1</v>
      </c>
      <c r="U46" s="15">
        <v>1</v>
      </c>
      <c r="V46" s="15">
        <v>2</v>
      </c>
      <c r="W46" s="15">
        <v>0</v>
      </c>
      <c r="X46" s="15">
        <v>16</v>
      </c>
      <c r="Y46" s="15">
        <v>10</v>
      </c>
      <c r="Z46" s="15">
        <v>5</v>
      </c>
      <c r="AA46" s="15">
        <v>3</v>
      </c>
      <c r="AB46" s="15">
        <v>1</v>
      </c>
      <c r="AC46" s="15">
        <v>0</v>
      </c>
      <c r="AD46" s="15">
        <v>0</v>
      </c>
      <c r="AE46" s="15">
        <v>4</v>
      </c>
      <c r="AF46" s="15">
        <v>1</v>
      </c>
      <c r="AG46" s="15">
        <v>0</v>
      </c>
      <c r="AH46" s="15">
        <v>0</v>
      </c>
      <c r="AI46" s="15">
        <v>11</v>
      </c>
      <c r="AJ46" s="15">
        <v>7</v>
      </c>
      <c r="AK46" s="15">
        <v>14</v>
      </c>
      <c r="AL46" s="15">
        <v>10</v>
      </c>
      <c r="AM46" s="15">
        <v>16</v>
      </c>
      <c r="AN46" s="15">
        <v>10</v>
      </c>
      <c r="AO46" s="15">
        <v>18</v>
      </c>
      <c r="AP46" s="15">
        <v>9</v>
      </c>
      <c r="AQ46" s="15">
        <v>10</v>
      </c>
      <c r="AR46" s="15">
        <v>4</v>
      </c>
      <c r="AS46" s="15">
        <v>0</v>
      </c>
      <c r="AT46" s="15">
        <v>5</v>
      </c>
      <c r="AU46" s="13">
        <f t="shared" si="13"/>
        <v>169</v>
      </c>
    </row>
    <row r="47" spans="1:47" ht="12.75" customHeight="1" x14ac:dyDescent="0.3">
      <c r="A47" s="14"/>
      <c r="B47" s="27"/>
      <c r="C47" s="28" t="s">
        <v>41</v>
      </c>
      <c r="D47" s="29"/>
      <c r="E47" s="15">
        <v>0</v>
      </c>
      <c r="F47" s="15">
        <v>1</v>
      </c>
      <c r="G47" s="15">
        <v>1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1</v>
      </c>
      <c r="R47" s="15">
        <v>12</v>
      </c>
      <c r="S47" s="15">
        <v>1</v>
      </c>
      <c r="T47" s="15">
        <v>0</v>
      </c>
      <c r="U47" s="15">
        <v>0</v>
      </c>
      <c r="V47" s="15">
        <v>0</v>
      </c>
      <c r="W47" s="15">
        <v>1</v>
      </c>
      <c r="X47" s="15">
        <v>3</v>
      </c>
      <c r="Y47" s="15">
        <v>23</v>
      </c>
      <c r="Z47" s="15">
        <v>2</v>
      </c>
      <c r="AA47" s="15">
        <v>4</v>
      </c>
      <c r="AB47" s="15">
        <v>14</v>
      </c>
      <c r="AC47" s="15">
        <v>0</v>
      </c>
      <c r="AD47" s="15">
        <v>0</v>
      </c>
      <c r="AE47" s="15">
        <v>14</v>
      </c>
      <c r="AF47" s="15">
        <v>0</v>
      </c>
      <c r="AG47" s="15">
        <v>1</v>
      </c>
      <c r="AH47" s="15">
        <v>21</v>
      </c>
      <c r="AI47" s="15">
        <v>20</v>
      </c>
      <c r="AJ47" s="15">
        <v>2</v>
      </c>
      <c r="AK47" s="15">
        <v>13</v>
      </c>
      <c r="AL47" s="15">
        <v>1</v>
      </c>
      <c r="AM47" s="15">
        <v>2</v>
      </c>
      <c r="AN47" s="15">
        <v>1</v>
      </c>
      <c r="AO47" s="15">
        <v>2</v>
      </c>
      <c r="AP47" s="15">
        <v>6</v>
      </c>
      <c r="AQ47" s="15">
        <v>3</v>
      </c>
      <c r="AR47" s="15">
        <v>0</v>
      </c>
      <c r="AS47" s="15">
        <v>0</v>
      </c>
      <c r="AT47" s="15">
        <v>2</v>
      </c>
      <c r="AU47" s="13">
        <f t="shared" si="13"/>
        <v>151</v>
      </c>
    </row>
    <row r="48" spans="1:47" ht="12.75" customHeight="1" x14ac:dyDescent="0.3">
      <c r="A48" s="14"/>
      <c r="B48" s="27"/>
      <c r="C48" s="28" t="s">
        <v>42</v>
      </c>
      <c r="D48" s="29"/>
      <c r="E48" s="15">
        <v>0</v>
      </c>
      <c r="F48" s="15">
        <v>0</v>
      </c>
      <c r="G48" s="15">
        <v>0</v>
      </c>
      <c r="H48" s="15">
        <v>0</v>
      </c>
      <c r="I48" s="15">
        <v>2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1</v>
      </c>
      <c r="P48" s="15">
        <v>1</v>
      </c>
      <c r="Q48" s="15">
        <v>3</v>
      </c>
      <c r="R48" s="15">
        <v>1</v>
      </c>
      <c r="S48" s="15">
        <v>1</v>
      </c>
      <c r="T48" s="15">
        <v>0</v>
      </c>
      <c r="U48" s="15">
        <v>0</v>
      </c>
      <c r="V48" s="15">
        <v>0</v>
      </c>
      <c r="W48" s="15">
        <v>2</v>
      </c>
      <c r="X48" s="15">
        <v>0</v>
      </c>
      <c r="Y48" s="15">
        <v>2</v>
      </c>
      <c r="Z48" s="15">
        <v>2</v>
      </c>
      <c r="AA48" s="15">
        <v>0</v>
      </c>
      <c r="AB48" s="15">
        <v>0</v>
      </c>
      <c r="AC48" s="15">
        <v>0</v>
      </c>
      <c r="AD48" s="15">
        <v>0</v>
      </c>
      <c r="AE48" s="15">
        <v>1</v>
      </c>
      <c r="AF48" s="15">
        <v>1</v>
      </c>
      <c r="AG48" s="15">
        <v>2</v>
      </c>
      <c r="AH48" s="15">
        <v>1</v>
      </c>
      <c r="AI48" s="15">
        <v>5</v>
      </c>
      <c r="AJ48" s="15">
        <v>0</v>
      </c>
      <c r="AK48" s="15">
        <v>0</v>
      </c>
      <c r="AL48" s="15">
        <v>0</v>
      </c>
      <c r="AM48" s="15">
        <v>3</v>
      </c>
      <c r="AN48" s="15">
        <v>11</v>
      </c>
      <c r="AO48" s="15">
        <v>0</v>
      </c>
      <c r="AP48" s="15">
        <v>0</v>
      </c>
      <c r="AQ48" s="15">
        <v>0</v>
      </c>
      <c r="AR48" s="15">
        <v>1</v>
      </c>
      <c r="AS48" s="15">
        <v>1</v>
      </c>
      <c r="AT48" s="15">
        <v>0</v>
      </c>
      <c r="AU48" s="13">
        <f t="shared" si="13"/>
        <v>41</v>
      </c>
    </row>
    <row r="49" spans="1:47" ht="12.75" customHeight="1" x14ac:dyDescent="0.3">
      <c r="A49" s="14"/>
      <c r="B49" s="27"/>
      <c r="C49" s="28" t="s">
        <v>43</v>
      </c>
      <c r="D49" s="29"/>
      <c r="E49" s="15">
        <v>0</v>
      </c>
      <c r="F49" s="15">
        <v>0</v>
      </c>
      <c r="G49" s="15">
        <v>0</v>
      </c>
      <c r="H49" s="15">
        <v>1</v>
      </c>
      <c r="I49" s="15">
        <v>0</v>
      </c>
      <c r="J49" s="15">
        <v>1</v>
      </c>
      <c r="K49" s="15">
        <v>0</v>
      </c>
      <c r="L49" s="15">
        <v>5</v>
      </c>
      <c r="M49" s="15">
        <v>2</v>
      </c>
      <c r="N49" s="15">
        <v>0</v>
      </c>
      <c r="O49" s="15">
        <v>1</v>
      </c>
      <c r="P49" s="15">
        <v>0</v>
      </c>
      <c r="Q49" s="15">
        <v>1</v>
      </c>
      <c r="R49" s="15">
        <v>4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9</v>
      </c>
      <c r="Z49" s="15">
        <v>0</v>
      </c>
      <c r="AA49" s="15">
        <v>5</v>
      </c>
      <c r="AB49" s="15">
        <v>5</v>
      </c>
      <c r="AC49" s="15">
        <v>1</v>
      </c>
      <c r="AD49" s="15">
        <v>0</v>
      </c>
      <c r="AE49" s="15">
        <v>0</v>
      </c>
      <c r="AF49" s="15">
        <v>1</v>
      </c>
      <c r="AG49" s="15">
        <v>0</v>
      </c>
      <c r="AH49" s="15">
        <v>0</v>
      </c>
      <c r="AI49" s="15">
        <v>1</v>
      </c>
      <c r="AJ49" s="15">
        <v>1</v>
      </c>
      <c r="AK49" s="15">
        <v>0</v>
      </c>
      <c r="AL49" s="15">
        <v>0</v>
      </c>
      <c r="AM49" s="15">
        <v>0</v>
      </c>
      <c r="AN49" s="15">
        <v>1</v>
      </c>
      <c r="AO49" s="15">
        <v>1</v>
      </c>
      <c r="AP49" s="15">
        <v>4</v>
      </c>
      <c r="AQ49" s="15">
        <v>0</v>
      </c>
      <c r="AR49" s="15">
        <v>2</v>
      </c>
      <c r="AS49" s="15">
        <v>0</v>
      </c>
      <c r="AT49" s="15">
        <v>5</v>
      </c>
      <c r="AU49" s="13">
        <f t="shared" si="13"/>
        <v>51</v>
      </c>
    </row>
    <row r="50" spans="1:47" ht="12.75" customHeight="1" x14ac:dyDescent="0.3">
      <c r="A50" s="14"/>
      <c r="B50" s="27"/>
      <c r="C50" s="28" t="s">
        <v>44</v>
      </c>
      <c r="D50" s="29"/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1</v>
      </c>
      <c r="P50" s="15">
        <v>0</v>
      </c>
      <c r="Q50" s="15">
        <v>1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1</v>
      </c>
      <c r="AD50" s="15">
        <v>0</v>
      </c>
      <c r="AE50" s="15">
        <v>0</v>
      </c>
      <c r="AF50" s="15">
        <v>0</v>
      </c>
      <c r="AG50" s="15">
        <v>0</v>
      </c>
      <c r="AH50" s="15">
        <v>1</v>
      </c>
      <c r="AI50" s="15">
        <v>0</v>
      </c>
      <c r="AJ50" s="15">
        <v>0</v>
      </c>
      <c r="AK50" s="15">
        <v>1</v>
      </c>
      <c r="AL50" s="15">
        <v>1</v>
      </c>
      <c r="AM50" s="15">
        <v>0</v>
      </c>
      <c r="AN50" s="15">
        <v>0</v>
      </c>
      <c r="AO50" s="15">
        <v>0</v>
      </c>
      <c r="AP50" s="15">
        <v>0</v>
      </c>
      <c r="AQ50" s="15">
        <v>1</v>
      </c>
      <c r="AR50" s="15">
        <v>0</v>
      </c>
      <c r="AS50" s="15">
        <v>0</v>
      </c>
      <c r="AT50" s="15">
        <v>0</v>
      </c>
      <c r="AU50" s="13">
        <f t="shared" si="13"/>
        <v>7</v>
      </c>
    </row>
    <row r="51" spans="1:47" ht="12.75" customHeight="1" x14ac:dyDescent="0.3">
      <c r="A51" s="14"/>
      <c r="B51" s="27"/>
      <c r="C51" s="28" t="s">
        <v>45</v>
      </c>
      <c r="D51" s="29"/>
      <c r="E51" s="15">
        <v>0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1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>
        <v>0</v>
      </c>
      <c r="AM51" s="15">
        <v>0</v>
      </c>
      <c r="AN51" s="15">
        <v>0</v>
      </c>
      <c r="AO51" s="15">
        <v>0</v>
      </c>
      <c r="AP51" s="15">
        <v>0</v>
      </c>
      <c r="AQ51" s="15">
        <v>1</v>
      </c>
      <c r="AR51" s="15">
        <v>0</v>
      </c>
      <c r="AS51" s="15">
        <v>0</v>
      </c>
      <c r="AT51" s="15">
        <v>0</v>
      </c>
      <c r="AU51" s="13">
        <f t="shared" si="13"/>
        <v>2</v>
      </c>
    </row>
    <row r="52" spans="1:47" ht="12.75" customHeight="1" x14ac:dyDescent="0.3">
      <c r="A52" s="14"/>
      <c r="B52" s="27"/>
      <c r="C52" s="28" t="s">
        <v>46</v>
      </c>
      <c r="D52" s="29"/>
      <c r="E52" s="15">
        <v>0</v>
      </c>
      <c r="F52" s="15">
        <v>0</v>
      </c>
      <c r="G52" s="15">
        <v>0</v>
      </c>
      <c r="H52" s="15">
        <v>0</v>
      </c>
      <c r="I52" s="15">
        <v>0</v>
      </c>
      <c r="J52" s="15">
        <v>0</v>
      </c>
      <c r="K52" s="15">
        <v>0</v>
      </c>
      <c r="L52" s="15">
        <v>0</v>
      </c>
      <c r="M52" s="15">
        <v>0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5">
        <v>0</v>
      </c>
      <c r="X52" s="15">
        <v>1</v>
      </c>
      <c r="Y52" s="15">
        <v>0</v>
      </c>
      <c r="Z52" s="15">
        <v>1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3</v>
      </c>
      <c r="AG52" s="15">
        <v>0</v>
      </c>
      <c r="AH52" s="15">
        <v>0</v>
      </c>
      <c r="AI52" s="15">
        <v>1</v>
      </c>
      <c r="AJ52" s="15">
        <v>0</v>
      </c>
      <c r="AK52" s="15">
        <v>2</v>
      </c>
      <c r="AL52" s="15">
        <v>0</v>
      </c>
      <c r="AM52" s="15">
        <v>0</v>
      </c>
      <c r="AN52" s="15">
        <v>0</v>
      </c>
      <c r="AO52" s="15">
        <v>1</v>
      </c>
      <c r="AP52" s="15">
        <v>0</v>
      </c>
      <c r="AQ52" s="15">
        <v>0</v>
      </c>
      <c r="AR52" s="15">
        <v>0</v>
      </c>
      <c r="AS52" s="15">
        <v>0</v>
      </c>
      <c r="AT52" s="15">
        <v>0</v>
      </c>
      <c r="AU52" s="13">
        <f t="shared" si="13"/>
        <v>9</v>
      </c>
    </row>
    <row r="53" spans="1:47" ht="12.75" customHeight="1" x14ac:dyDescent="0.3">
      <c r="A53" s="15" t="s">
        <v>15</v>
      </c>
      <c r="B53" s="48" t="s">
        <v>47</v>
      </c>
      <c r="C53" s="49"/>
      <c r="D53" s="50"/>
      <c r="E53" s="34">
        <f t="shared" ref="E53:AT53" si="14">SUM(E45:E52)</f>
        <v>5</v>
      </c>
      <c r="F53" s="34">
        <f t="shared" si="14"/>
        <v>4</v>
      </c>
      <c r="G53" s="34">
        <f t="shared" si="14"/>
        <v>4</v>
      </c>
      <c r="H53" s="34">
        <f t="shared" si="14"/>
        <v>3</v>
      </c>
      <c r="I53" s="34">
        <f t="shared" si="14"/>
        <v>4</v>
      </c>
      <c r="J53" s="34">
        <f t="shared" si="14"/>
        <v>3</v>
      </c>
      <c r="K53" s="34">
        <f t="shared" si="14"/>
        <v>2</v>
      </c>
      <c r="L53" s="34">
        <f t="shared" si="14"/>
        <v>7</v>
      </c>
      <c r="M53" s="34">
        <f t="shared" si="14"/>
        <v>4</v>
      </c>
      <c r="N53" s="34">
        <f t="shared" si="14"/>
        <v>1</v>
      </c>
      <c r="O53" s="34">
        <f t="shared" si="14"/>
        <v>6</v>
      </c>
      <c r="P53" s="34">
        <f t="shared" si="14"/>
        <v>3</v>
      </c>
      <c r="Q53" s="34">
        <f t="shared" si="14"/>
        <v>7</v>
      </c>
      <c r="R53" s="34">
        <f t="shared" si="14"/>
        <v>18</v>
      </c>
      <c r="S53" s="34">
        <f t="shared" si="14"/>
        <v>13</v>
      </c>
      <c r="T53" s="34">
        <f t="shared" si="14"/>
        <v>4</v>
      </c>
      <c r="U53" s="34">
        <f t="shared" si="14"/>
        <v>1</v>
      </c>
      <c r="V53" s="34">
        <f t="shared" si="14"/>
        <v>2</v>
      </c>
      <c r="W53" s="34">
        <f t="shared" si="14"/>
        <v>3</v>
      </c>
      <c r="X53" s="34">
        <f t="shared" si="14"/>
        <v>28</v>
      </c>
      <c r="Y53" s="34">
        <f t="shared" si="14"/>
        <v>44</v>
      </c>
      <c r="Z53" s="34">
        <f t="shared" si="14"/>
        <v>10</v>
      </c>
      <c r="AA53" s="34">
        <f t="shared" si="14"/>
        <v>15</v>
      </c>
      <c r="AB53" s="34">
        <f t="shared" si="14"/>
        <v>23</v>
      </c>
      <c r="AC53" s="34">
        <f t="shared" si="14"/>
        <v>3</v>
      </c>
      <c r="AD53" s="34">
        <f t="shared" si="14"/>
        <v>0</v>
      </c>
      <c r="AE53" s="34">
        <f t="shared" si="14"/>
        <v>19</v>
      </c>
      <c r="AF53" s="34">
        <f t="shared" si="14"/>
        <v>8</v>
      </c>
      <c r="AG53" s="34">
        <f t="shared" si="14"/>
        <v>6</v>
      </c>
      <c r="AH53" s="34">
        <f t="shared" si="14"/>
        <v>26</v>
      </c>
      <c r="AI53" s="34">
        <f t="shared" si="14"/>
        <v>41</v>
      </c>
      <c r="AJ53" s="34">
        <f t="shared" si="14"/>
        <v>11</v>
      </c>
      <c r="AK53" s="34">
        <f t="shared" si="14"/>
        <v>34</v>
      </c>
      <c r="AL53" s="34">
        <f t="shared" si="14"/>
        <v>12</v>
      </c>
      <c r="AM53" s="34">
        <f t="shared" si="14"/>
        <v>26</v>
      </c>
      <c r="AN53" s="34">
        <f t="shared" si="14"/>
        <v>27</v>
      </c>
      <c r="AO53" s="34">
        <f t="shared" si="14"/>
        <v>31</v>
      </c>
      <c r="AP53" s="34">
        <f t="shared" si="14"/>
        <v>26</v>
      </c>
      <c r="AQ53" s="34">
        <f t="shared" si="14"/>
        <v>18</v>
      </c>
      <c r="AR53" s="34">
        <f t="shared" si="14"/>
        <v>8</v>
      </c>
      <c r="AS53" s="34">
        <f t="shared" si="14"/>
        <v>3</v>
      </c>
      <c r="AT53" s="34">
        <f t="shared" si="14"/>
        <v>13</v>
      </c>
      <c r="AU53" s="13">
        <f t="shared" si="13"/>
        <v>526</v>
      </c>
    </row>
    <row r="54" spans="1:47" ht="12.75" customHeight="1" x14ac:dyDescent="0.3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13">
        <f t="shared" si="13"/>
        <v>0</v>
      </c>
    </row>
    <row r="55" spans="1:47" ht="12.75" customHeight="1" x14ac:dyDescent="0.3">
      <c r="A55" s="19" t="s">
        <v>37</v>
      </c>
      <c r="B55" s="26" t="s">
        <v>19</v>
      </c>
      <c r="C55" s="51" t="s">
        <v>48</v>
      </c>
      <c r="D55" s="50"/>
      <c r="E55" s="15">
        <v>5</v>
      </c>
      <c r="F55" s="15">
        <v>8</v>
      </c>
      <c r="G55" s="15">
        <v>4</v>
      </c>
      <c r="H55" s="15">
        <v>2</v>
      </c>
      <c r="I55" s="15">
        <v>4</v>
      </c>
      <c r="J55" s="15">
        <v>2</v>
      </c>
      <c r="K55" s="15">
        <v>3</v>
      </c>
      <c r="L55" s="15">
        <v>3</v>
      </c>
      <c r="M55" s="15">
        <v>3</v>
      </c>
      <c r="N55" s="15">
        <v>3</v>
      </c>
      <c r="O55" s="15">
        <v>5</v>
      </c>
      <c r="P55" s="15">
        <v>5</v>
      </c>
      <c r="Q55" s="15">
        <v>1</v>
      </c>
      <c r="R55" s="15">
        <v>0</v>
      </c>
      <c r="S55" s="15">
        <v>2</v>
      </c>
      <c r="T55" s="15">
        <v>1</v>
      </c>
      <c r="U55" s="15">
        <v>1</v>
      </c>
      <c r="V55" s="15">
        <v>2</v>
      </c>
      <c r="W55" s="15">
        <v>1</v>
      </c>
      <c r="X55" s="15">
        <v>3</v>
      </c>
      <c r="Y55" s="15">
        <v>2</v>
      </c>
      <c r="Z55" s="15">
        <v>2</v>
      </c>
      <c r="AA55" s="15">
        <v>6</v>
      </c>
      <c r="AB55" s="15">
        <v>4</v>
      </c>
      <c r="AC55" s="15">
        <v>1</v>
      </c>
      <c r="AD55" s="15">
        <v>2</v>
      </c>
      <c r="AE55" s="15">
        <v>2</v>
      </c>
      <c r="AF55" s="15">
        <v>8</v>
      </c>
      <c r="AG55" s="15">
        <v>2</v>
      </c>
      <c r="AH55" s="15">
        <v>5</v>
      </c>
      <c r="AI55" s="15">
        <v>6</v>
      </c>
      <c r="AJ55" s="15">
        <v>0</v>
      </c>
      <c r="AK55" s="15">
        <v>3</v>
      </c>
      <c r="AL55" s="15">
        <v>2</v>
      </c>
      <c r="AM55" s="15">
        <v>4</v>
      </c>
      <c r="AN55" s="15">
        <v>5</v>
      </c>
      <c r="AO55" s="15">
        <v>6</v>
      </c>
      <c r="AP55" s="15">
        <v>15</v>
      </c>
      <c r="AQ55" s="15">
        <v>3</v>
      </c>
      <c r="AR55" s="15">
        <v>1</v>
      </c>
      <c r="AS55" s="15">
        <v>3</v>
      </c>
      <c r="AT55" s="15">
        <v>1</v>
      </c>
      <c r="AU55" s="13">
        <f t="shared" si="13"/>
        <v>141</v>
      </c>
    </row>
    <row r="56" spans="1:47" ht="12.75" customHeight="1" x14ac:dyDescent="0.3">
      <c r="A56" s="19" t="s">
        <v>39</v>
      </c>
      <c r="B56" s="27"/>
      <c r="C56" s="28" t="s">
        <v>49</v>
      </c>
      <c r="D56" s="29"/>
      <c r="E56" s="15">
        <v>8</v>
      </c>
      <c r="F56" s="15">
        <v>6</v>
      </c>
      <c r="G56" s="15">
        <v>18</v>
      </c>
      <c r="H56" s="15">
        <v>7</v>
      </c>
      <c r="I56" s="15">
        <v>2</v>
      </c>
      <c r="J56" s="15">
        <v>1</v>
      </c>
      <c r="K56" s="15">
        <v>2</v>
      </c>
      <c r="L56" s="15">
        <v>2</v>
      </c>
      <c r="M56" s="15">
        <v>2</v>
      </c>
      <c r="N56" s="15">
        <v>2</v>
      </c>
      <c r="O56" s="15">
        <v>2</v>
      </c>
      <c r="P56" s="15">
        <v>1</v>
      </c>
      <c r="Q56" s="15">
        <v>0</v>
      </c>
      <c r="R56" s="15">
        <v>0</v>
      </c>
      <c r="S56" s="15">
        <v>2</v>
      </c>
      <c r="T56" s="15">
        <v>0</v>
      </c>
      <c r="U56" s="15">
        <v>1</v>
      </c>
      <c r="V56" s="15">
        <v>1</v>
      </c>
      <c r="W56" s="15">
        <v>2</v>
      </c>
      <c r="X56" s="15">
        <v>1</v>
      </c>
      <c r="Y56" s="15">
        <v>3</v>
      </c>
      <c r="Z56" s="15">
        <v>0</v>
      </c>
      <c r="AA56" s="15">
        <v>7</v>
      </c>
      <c r="AB56" s="15">
        <v>5</v>
      </c>
      <c r="AC56" s="15">
        <v>0</v>
      </c>
      <c r="AD56" s="15">
        <v>1</v>
      </c>
      <c r="AE56" s="15">
        <v>1</v>
      </c>
      <c r="AF56" s="15">
        <v>11</v>
      </c>
      <c r="AG56" s="15">
        <v>8</v>
      </c>
      <c r="AH56" s="15">
        <v>1</v>
      </c>
      <c r="AI56" s="15">
        <v>2</v>
      </c>
      <c r="AJ56" s="15">
        <v>19</v>
      </c>
      <c r="AK56" s="15">
        <v>10</v>
      </c>
      <c r="AL56" s="15">
        <v>10</v>
      </c>
      <c r="AM56" s="15">
        <v>26</v>
      </c>
      <c r="AN56" s="15">
        <v>25</v>
      </c>
      <c r="AO56" s="15">
        <v>22</v>
      </c>
      <c r="AP56" s="15">
        <v>78</v>
      </c>
      <c r="AQ56" s="15">
        <v>3</v>
      </c>
      <c r="AR56" s="15">
        <v>6</v>
      </c>
      <c r="AS56" s="15">
        <v>1</v>
      </c>
      <c r="AT56" s="15">
        <v>3</v>
      </c>
      <c r="AU56" s="13">
        <f t="shared" si="13"/>
        <v>302</v>
      </c>
    </row>
    <row r="57" spans="1:47" ht="12.75" customHeight="1" x14ac:dyDescent="0.3">
      <c r="A57" s="14"/>
      <c r="B57" s="27"/>
      <c r="C57" s="28" t="s">
        <v>50</v>
      </c>
      <c r="D57" s="29"/>
      <c r="E57" s="15">
        <v>2</v>
      </c>
      <c r="F57" s="15">
        <v>2</v>
      </c>
      <c r="G57" s="15">
        <v>10</v>
      </c>
      <c r="H57" s="15">
        <v>19</v>
      </c>
      <c r="I57" s="15">
        <v>13</v>
      </c>
      <c r="J57" s="15">
        <v>2</v>
      </c>
      <c r="K57" s="15">
        <v>7</v>
      </c>
      <c r="L57" s="15">
        <v>1</v>
      </c>
      <c r="M57" s="15">
        <v>4</v>
      </c>
      <c r="N57" s="15">
        <v>1</v>
      </c>
      <c r="O57" s="15">
        <v>0</v>
      </c>
      <c r="P57" s="15">
        <v>1</v>
      </c>
      <c r="Q57" s="15">
        <v>2</v>
      </c>
      <c r="R57" s="15">
        <v>1</v>
      </c>
      <c r="S57" s="15">
        <v>3</v>
      </c>
      <c r="T57" s="15">
        <v>1</v>
      </c>
      <c r="U57" s="15">
        <v>0</v>
      </c>
      <c r="V57" s="15">
        <v>2</v>
      </c>
      <c r="W57" s="15">
        <v>0</v>
      </c>
      <c r="X57" s="15">
        <v>1</v>
      </c>
      <c r="Y57" s="15">
        <v>1</v>
      </c>
      <c r="Z57" s="15">
        <v>2</v>
      </c>
      <c r="AA57" s="15">
        <v>3</v>
      </c>
      <c r="AB57" s="15">
        <v>1</v>
      </c>
      <c r="AC57" s="15">
        <v>2</v>
      </c>
      <c r="AD57" s="15">
        <v>0</v>
      </c>
      <c r="AE57" s="15">
        <v>4</v>
      </c>
      <c r="AF57" s="15">
        <v>5</v>
      </c>
      <c r="AG57" s="15">
        <v>1</v>
      </c>
      <c r="AH57" s="15">
        <v>15</v>
      </c>
      <c r="AI57" s="15">
        <v>7</v>
      </c>
      <c r="AJ57" s="15">
        <v>2</v>
      </c>
      <c r="AK57" s="15">
        <v>4</v>
      </c>
      <c r="AL57" s="15">
        <v>0</v>
      </c>
      <c r="AM57" s="15">
        <v>1</v>
      </c>
      <c r="AN57" s="15">
        <v>5</v>
      </c>
      <c r="AO57" s="15">
        <v>2</v>
      </c>
      <c r="AP57" s="15">
        <v>4</v>
      </c>
      <c r="AQ57" s="15">
        <v>3</v>
      </c>
      <c r="AR57" s="15">
        <v>3</v>
      </c>
      <c r="AS57" s="15">
        <v>0</v>
      </c>
      <c r="AT57" s="15">
        <v>1</v>
      </c>
      <c r="AU57" s="13">
        <f t="shared" si="13"/>
        <v>138</v>
      </c>
    </row>
    <row r="58" spans="1:47" ht="12.75" customHeight="1" x14ac:dyDescent="0.3">
      <c r="A58" s="14"/>
      <c r="B58" s="27"/>
      <c r="C58" s="28" t="s">
        <v>51</v>
      </c>
      <c r="D58" s="29"/>
      <c r="E58" s="15">
        <v>0</v>
      </c>
      <c r="F58" s="15">
        <v>0</v>
      </c>
      <c r="G58" s="15">
        <v>0</v>
      </c>
      <c r="H58" s="15">
        <v>1</v>
      </c>
      <c r="I58" s="15">
        <v>1</v>
      </c>
      <c r="J58" s="15">
        <v>0</v>
      </c>
      <c r="K58" s="15">
        <v>2</v>
      </c>
      <c r="L58" s="15">
        <v>4</v>
      </c>
      <c r="M58" s="15">
        <v>1</v>
      </c>
      <c r="N58" s="15">
        <v>1</v>
      </c>
      <c r="O58" s="15">
        <v>0</v>
      </c>
      <c r="P58" s="15">
        <v>6</v>
      </c>
      <c r="Q58" s="15">
        <v>0</v>
      </c>
      <c r="R58" s="15">
        <v>1</v>
      </c>
      <c r="S58" s="15">
        <v>1</v>
      </c>
      <c r="T58" s="15">
        <v>0</v>
      </c>
      <c r="U58" s="15">
        <v>0</v>
      </c>
      <c r="V58" s="15">
        <v>0</v>
      </c>
      <c r="W58" s="15">
        <v>1</v>
      </c>
      <c r="X58" s="15">
        <v>0</v>
      </c>
      <c r="Y58" s="15">
        <v>1</v>
      </c>
      <c r="Z58" s="15">
        <v>4</v>
      </c>
      <c r="AA58" s="15">
        <v>2</v>
      </c>
      <c r="AB58" s="15">
        <v>0</v>
      </c>
      <c r="AC58" s="15">
        <v>0</v>
      </c>
      <c r="AD58" s="15">
        <v>0</v>
      </c>
      <c r="AE58" s="15">
        <v>11</v>
      </c>
      <c r="AF58" s="15">
        <v>0</v>
      </c>
      <c r="AG58" s="15">
        <v>1</v>
      </c>
      <c r="AH58" s="15">
        <v>2</v>
      </c>
      <c r="AI58" s="15">
        <v>2</v>
      </c>
      <c r="AJ58" s="15">
        <v>7</v>
      </c>
      <c r="AK58" s="15">
        <v>19</v>
      </c>
      <c r="AL58" s="15">
        <v>1</v>
      </c>
      <c r="AM58" s="15">
        <v>0</v>
      </c>
      <c r="AN58" s="15">
        <v>1</v>
      </c>
      <c r="AO58" s="15">
        <v>0</v>
      </c>
      <c r="AP58" s="15">
        <v>0</v>
      </c>
      <c r="AQ58" s="15">
        <v>0</v>
      </c>
      <c r="AR58" s="15">
        <v>1</v>
      </c>
      <c r="AS58" s="15">
        <v>0</v>
      </c>
      <c r="AT58" s="15">
        <v>0</v>
      </c>
      <c r="AU58" s="13">
        <f t="shared" si="13"/>
        <v>71</v>
      </c>
    </row>
    <row r="59" spans="1:47" ht="12.75" customHeight="1" x14ac:dyDescent="0.3">
      <c r="A59" s="14"/>
      <c r="B59" s="27"/>
      <c r="C59" s="28" t="s">
        <v>52</v>
      </c>
      <c r="D59" s="29"/>
      <c r="E59" s="15">
        <v>1</v>
      </c>
      <c r="F59" s="15">
        <v>0</v>
      </c>
      <c r="G59" s="15">
        <v>1</v>
      </c>
      <c r="H59" s="15">
        <v>0</v>
      </c>
      <c r="I59" s="15">
        <v>1</v>
      </c>
      <c r="J59" s="15">
        <v>0</v>
      </c>
      <c r="K59" s="15">
        <v>0</v>
      </c>
      <c r="L59" s="15">
        <v>0</v>
      </c>
      <c r="M59" s="15">
        <v>1</v>
      </c>
      <c r="N59" s="15">
        <v>1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4</v>
      </c>
      <c r="AF59" s="15">
        <v>0</v>
      </c>
      <c r="AG59" s="15">
        <v>1</v>
      </c>
      <c r="AH59" s="15">
        <v>0</v>
      </c>
      <c r="AI59" s="15">
        <v>0</v>
      </c>
      <c r="AJ59" s="15">
        <v>1</v>
      </c>
      <c r="AK59" s="15">
        <v>0</v>
      </c>
      <c r="AL59" s="15">
        <v>0</v>
      </c>
      <c r="AM59" s="15">
        <v>0</v>
      </c>
      <c r="AN59" s="15">
        <v>2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3">
        <f t="shared" si="13"/>
        <v>14</v>
      </c>
    </row>
    <row r="60" spans="1:47" ht="12.75" customHeight="1" x14ac:dyDescent="0.3">
      <c r="A60" s="14"/>
      <c r="B60" s="27"/>
      <c r="C60" s="28" t="s">
        <v>53</v>
      </c>
      <c r="D60" s="29"/>
      <c r="E60" s="15">
        <v>0</v>
      </c>
      <c r="F60" s="15">
        <v>1</v>
      </c>
      <c r="G60" s="15">
        <v>1</v>
      </c>
      <c r="H60" s="15">
        <v>0</v>
      </c>
      <c r="I60" s="15">
        <v>0</v>
      </c>
      <c r="J60" s="15">
        <v>0</v>
      </c>
      <c r="K60" s="15">
        <v>0</v>
      </c>
      <c r="L60" s="15">
        <v>1</v>
      </c>
      <c r="M60" s="15">
        <v>0</v>
      </c>
      <c r="N60" s="15">
        <v>0</v>
      </c>
      <c r="O60" s="15">
        <v>0</v>
      </c>
      <c r="P60" s="15">
        <v>0</v>
      </c>
      <c r="Q60" s="15">
        <v>1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1</v>
      </c>
      <c r="AG60" s="15">
        <v>0</v>
      </c>
      <c r="AH60" s="15">
        <v>0</v>
      </c>
      <c r="AI60" s="15">
        <v>1</v>
      </c>
      <c r="AJ60" s="15">
        <v>1</v>
      </c>
      <c r="AK60" s="15">
        <v>0</v>
      </c>
      <c r="AL60" s="15">
        <v>1</v>
      </c>
      <c r="AM60" s="15">
        <v>1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3">
        <f t="shared" si="13"/>
        <v>9</v>
      </c>
    </row>
    <row r="61" spans="1:47" ht="12.75" customHeight="1" x14ac:dyDescent="0.3">
      <c r="A61" s="14"/>
      <c r="B61" s="27"/>
      <c r="C61" s="28" t="s">
        <v>54</v>
      </c>
      <c r="D61" s="29"/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>
        <v>0</v>
      </c>
      <c r="AM61" s="15">
        <v>0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0</v>
      </c>
      <c r="AU61" s="13">
        <f t="shared" si="13"/>
        <v>0</v>
      </c>
    </row>
    <row r="62" spans="1:47" ht="12.75" customHeight="1" x14ac:dyDescent="0.3">
      <c r="A62" s="14"/>
      <c r="B62" s="27"/>
      <c r="C62" s="28" t="s">
        <v>55</v>
      </c>
      <c r="D62" s="29"/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1</v>
      </c>
      <c r="AK62" s="15">
        <v>1</v>
      </c>
      <c r="AL62" s="15">
        <v>0</v>
      </c>
      <c r="AM62" s="15">
        <v>1</v>
      </c>
      <c r="AN62" s="15">
        <v>0</v>
      </c>
      <c r="AO62" s="15">
        <v>0</v>
      </c>
      <c r="AP62" s="15">
        <v>0</v>
      </c>
      <c r="AQ62" s="15">
        <v>0</v>
      </c>
      <c r="AR62" s="15">
        <v>0</v>
      </c>
      <c r="AS62" s="15">
        <v>0</v>
      </c>
      <c r="AT62" s="15">
        <v>0</v>
      </c>
      <c r="AU62" s="13">
        <f t="shared" si="13"/>
        <v>3</v>
      </c>
    </row>
    <row r="63" spans="1:47" ht="12.75" customHeight="1" x14ac:dyDescent="0.3">
      <c r="A63" s="15" t="s">
        <v>15</v>
      </c>
      <c r="B63" s="48" t="s">
        <v>47</v>
      </c>
      <c r="C63" s="49"/>
      <c r="D63" s="50"/>
      <c r="E63" s="34">
        <f t="shared" ref="E63:AT63" si="15">SUM(E55:E62)</f>
        <v>16</v>
      </c>
      <c r="F63" s="34">
        <f t="shared" si="15"/>
        <v>17</v>
      </c>
      <c r="G63" s="34">
        <f t="shared" si="15"/>
        <v>34</v>
      </c>
      <c r="H63" s="34">
        <f t="shared" si="15"/>
        <v>29</v>
      </c>
      <c r="I63" s="34">
        <f t="shared" si="15"/>
        <v>21</v>
      </c>
      <c r="J63" s="34">
        <f t="shared" si="15"/>
        <v>5</v>
      </c>
      <c r="K63" s="34">
        <f t="shared" si="15"/>
        <v>14</v>
      </c>
      <c r="L63" s="34">
        <f t="shared" si="15"/>
        <v>11</v>
      </c>
      <c r="M63" s="34">
        <f t="shared" si="15"/>
        <v>11</v>
      </c>
      <c r="N63" s="34">
        <f t="shared" si="15"/>
        <v>8</v>
      </c>
      <c r="O63" s="34">
        <f t="shared" si="15"/>
        <v>7</v>
      </c>
      <c r="P63" s="34">
        <f t="shared" si="15"/>
        <v>13</v>
      </c>
      <c r="Q63" s="34">
        <f t="shared" si="15"/>
        <v>4</v>
      </c>
      <c r="R63" s="34">
        <f t="shared" si="15"/>
        <v>2</v>
      </c>
      <c r="S63" s="34">
        <f t="shared" si="15"/>
        <v>8</v>
      </c>
      <c r="T63" s="34">
        <f t="shared" si="15"/>
        <v>2</v>
      </c>
      <c r="U63" s="34">
        <f t="shared" si="15"/>
        <v>2</v>
      </c>
      <c r="V63" s="34">
        <f t="shared" si="15"/>
        <v>5</v>
      </c>
      <c r="W63" s="34">
        <f t="shared" si="15"/>
        <v>4</v>
      </c>
      <c r="X63" s="34">
        <f t="shared" si="15"/>
        <v>5</v>
      </c>
      <c r="Y63" s="34">
        <f t="shared" si="15"/>
        <v>8</v>
      </c>
      <c r="Z63" s="34">
        <f t="shared" si="15"/>
        <v>8</v>
      </c>
      <c r="AA63" s="34">
        <f t="shared" si="15"/>
        <v>18</v>
      </c>
      <c r="AB63" s="34">
        <f t="shared" si="15"/>
        <v>10</v>
      </c>
      <c r="AC63" s="34">
        <f t="shared" si="15"/>
        <v>3</v>
      </c>
      <c r="AD63" s="34">
        <f t="shared" si="15"/>
        <v>3</v>
      </c>
      <c r="AE63" s="34">
        <f t="shared" si="15"/>
        <v>22</v>
      </c>
      <c r="AF63" s="34">
        <f t="shared" si="15"/>
        <v>25</v>
      </c>
      <c r="AG63" s="34">
        <f t="shared" si="15"/>
        <v>13</v>
      </c>
      <c r="AH63" s="34">
        <f t="shared" si="15"/>
        <v>23</v>
      </c>
      <c r="AI63" s="34">
        <f t="shared" si="15"/>
        <v>18</v>
      </c>
      <c r="AJ63" s="34">
        <f t="shared" si="15"/>
        <v>31</v>
      </c>
      <c r="AK63" s="34">
        <f t="shared" si="15"/>
        <v>37</v>
      </c>
      <c r="AL63" s="34">
        <f t="shared" si="15"/>
        <v>14</v>
      </c>
      <c r="AM63" s="34">
        <f t="shared" si="15"/>
        <v>33</v>
      </c>
      <c r="AN63" s="34">
        <f t="shared" si="15"/>
        <v>38</v>
      </c>
      <c r="AO63" s="34">
        <f t="shared" si="15"/>
        <v>30</v>
      </c>
      <c r="AP63" s="34">
        <f t="shared" si="15"/>
        <v>97</v>
      </c>
      <c r="AQ63" s="34">
        <f t="shared" si="15"/>
        <v>9</v>
      </c>
      <c r="AR63" s="34">
        <f t="shared" si="15"/>
        <v>11</v>
      </c>
      <c r="AS63" s="34">
        <f t="shared" si="15"/>
        <v>4</v>
      </c>
      <c r="AT63" s="34">
        <f t="shared" si="15"/>
        <v>5</v>
      </c>
      <c r="AU63" s="13">
        <f t="shared" si="13"/>
        <v>678</v>
      </c>
    </row>
    <row r="64" spans="1:47" ht="12.75" customHeight="1" x14ac:dyDescent="0.3">
      <c r="A64" s="37"/>
      <c r="B64" s="38"/>
      <c r="C64" s="38"/>
      <c r="D64" s="38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13">
        <f t="shared" si="13"/>
        <v>0</v>
      </c>
    </row>
    <row r="65" spans="1:47" ht="12.75" customHeight="1" x14ac:dyDescent="0.3">
      <c r="A65" s="19" t="s">
        <v>37</v>
      </c>
      <c r="B65" s="26" t="s">
        <v>21</v>
      </c>
      <c r="C65" s="51" t="s">
        <v>56</v>
      </c>
      <c r="D65" s="50"/>
      <c r="E65" s="15">
        <v>12</v>
      </c>
      <c r="F65" s="15">
        <v>15</v>
      </c>
      <c r="G65" s="15">
        <v>23</v>
      </c>
      <c r="H65" s="15">
        <v>13</v>
      </c>
      <c r="I65" s="15">
        <v>3</v>
      </c>
      <c r="J65" s="15">
        <v>1</v>
      </c>
      <c r="K65" s="15">
        <v>26</v>
      </c>
      <c r="L65" s="15">
        <v>1</v>
      </c>
      <c r="M65" s="15">
        <v>11</v>
      </c>
      <c r="N65" s="15">
        <v>8</v>
      </c>
      <c r="O65" s="15">
        <v>5</v>
      </c>
      <c r="P65" s="15">
        <v>20</v>
      </c>
      <c r="Q65" s="15">
        <v>5</v>
      </c>
      <c r="R65" s="15">
        <v>10</v>
      </c>
      <c r="S65" s="15">
        <v>7</v>
      </c>
      <c r="T65" s="15">
        <v>18</v>
      </c>
      <c r="U65" s="15">
        <v>7</v>
      </c>
      <c r="V65" s="15">
        <v>2</v>
      </c>
      <c r="W65" s="15">
        <v>11</v>
      </c>
      <c r="X65" s="15">
        <v>2</v>
      </c>
      <c r="Y65" s="15">
        <v>3</v>
      </c>
      <c r="Z65" s="15">
        <v>2</v>
      </c>
      <c r="AA65" s="15">
        <v>3</v>
      </c>
      <c r="AB65" s="15">
        <v>5</v>
      </c>
      <c r="AC65" s="15">
        <v>1</v>
      </c>
      <c r="AD65" s="15">
        <v>1</v>
      </c>
      <c r="AE65" s="15">
        <v>0</v>
      </c>
      <c r="AF65" s="15">
        <v>6</v>
      </c>
      <c r="AG65" s="15">
        <v>8</v>
      </c>
      <c r="AH65" s="15">
        <v>10</v>
      </c>
      <c r="AI65" s="15">
        <v>8</v>
      </c>
      <c r="AJ65" s="15">
        <v>4</v>
      </c>
      <c r="AK65" s="15">
        <v>5</v>
      </c>
      <c r="AL65" s="15">
        <v>7</v>
      </c>
      <c r="AM65" s="15">
        <v>8</v>
      </c>
      <c r="AN65" s="15">
        <v>4</v>
      </c>
      <c r="AO65" s="15">
        <v>12</v>
      </c>
      <c r="AP65" s="15">
        <v>4</v>
      </c>
      <c r="AQ65" s="15">
        <v>13</v>
      </c>
      <c r="AR65" s="15">
        <v>4</v>
      </c>
      <c r="AS65" s="15">
        <v>9</v>
      </c>
      <c r="AT65" s="15">
        <v>11</v>
      </c>
      <c r="AU65" s="13">
        <f t="shared" si="13"/>
        <v>328</v>
      </c>
    </row>
    <row r="66" spans="1:47" ht="12.75" customHeight="1" x14ac:dyDescent="0.3">
      <c r="A66" s="19" t="s">
        <v>39</v>
      </c>
      <c r="B66" s="27"/>
      <c r="C66" s="28" t="s">
        <v>57</v>
      </c>
      <c r="D66" s="29"/>
      <c r="E66" s="15">
        <v>110</v>
      </c>
      <c r="F66" s="15">
        <v>80</v>
      </c>
      <c r="G66" s="15">
        <v>76</v>
      </c>
      <c r="H66" s="15">
        <v>72</v>
      </c>
      <c r="I66" s="15">
        <v>139</v>
      </c>
      <c r="J66" s="15">
        <v>178</v>
      </c>
      <c r="K66" s="15">
        <v>100</v>
      </c>
      <c r="L66" s="15">
        <v>175</v>
      </c>
      <c r="M66" s="15">
        <v>210</v>
      </c>
      <c r="N66" s="15">
        <v>163</v>
      </c>
      <c r="O66" s="15">
        <v>153</v>
      </c>
      <c r="P66" s="15">
        <v>145</v>
      </c>
      <c r="Q66" s="15">
        <v>87</v>
      </c>
      <c r="R66" s="15">
        <v>120</v>
      </c>
      <c r="S66" s="15">
        <v>117</v>
      </c>
      <c r="T66" s="15">
        <v>141</v>
      </c>
      <c r="U66" s="15">
        <v>96</v>
      </c>
      <c r="V66" s="15">
        <v>111</v>
      </c>
      <c r="W66" s="15">
        <v>102</v>
      </c>
      <c r="X66" s="15">
        <v>28</v>
      </c>
      <c r="Y66" s="15">
        <v>34</v>
      </c>
      <c r="Z66" s="15">
        <v>45</v>
      </c>
      <c r="AA66" s="15">
        <v>74</v>
      </c>
      <c r="AB66" s="15">
        <v>53</v>
      </c>
      <c r="AC66" s="15">
        <v>72</v>
      </c>
      <c r="AD66" s="15">
        <v>63</v>
      </c>
      <c r="AE66" s="15">
        <v>94</v>
      </c>
      <c r="AF66" s="15">
        <v>19</v>
      </c>
      <c r="AG66" s="15">
        <v>44</v>
      </c>
      <c r="AH66" s="15">
        <v>7</v>
      </c>
      <c r="AI66" s="15">
        <v>10</v>
      </c>
      <c r="AJ66" s="15">
        <v>48</v>
      </c>
      <c r="AK66" s="15">
        <v>43</v>
      </c>
      <c r="AL66" s="15">
        <v>81</v>
      </c>
      <c r="AM66" s="15">
        <v>57</v>
      </c>
      <c r="AN66" s="15">
        <v>39</v>
      </c>
      <c r="AO66" s="15">
        <v>41</v>
      </c>
      <c r="AP66" s="15">
        <v>50</v>
      </c>
      <c r="AQ66" s="15">
        <v>108</v>
      </c>
      <c r="AR66" s="15">
        <v>125</v>
      </c>
      <c r="AS66" s="15">
        <v>120</v>
      </c>
      <c r="AT66" s="15">
        <v>131</v>
      </c>
      <c r="AU66" s="13">
        <f t="shared" si="13"/>
        <v>3761</v>
      </c>
    </row>
    <row r="67" spans="1:47" ht="12.75" customHeight="1" x14ac:dyDescent="0.3">
      <c r="A67" s="14"/>
      <c r="B67" s="27"/>
      <c r="C67" s="28" t="s">
        <v>58</v>
      </c>
      <c r="D67" s="29"/>
      <c r="E67" s="15">
        <v>1</v>
      </c>
      <c r="F67" s="15">
        <v>2</v>
      </c>
      <c r="G67" s="15">
        <v>1</v>
      </c>
      <c r="H67" s="15">
        <v>2</v>
      </c>
      <c r="I67" s="15">
        <v>1</v>
      </c>
      <c r="J67" s="15">
        <v>0</v>
      </c>
      <c r="K67" s="15">
        <v>0</v>
      </c>
      <c r="L67" s="15">
        <v>2</v>
      </c>
      <c r="M67" s="15">
        <v>0</v>
      </c>
      <c r="N67" s="15">
        <v>1</v>
      </c>
      <c r="O67" s="15">
        <v>0</v>
      </c>
      <c r="P67" s="15">
        <v>1</v>
      </c>
      <c r="Q67" s="15">
        <v>1</v>
      </c>
      <c r="R67" s="15">
        <v>0</v>
      </c>
      <c r="S67" s="15">
        <v>0</v>
      </c>
      <c r="T67" s="15">
        <v>2</v>
      </c>
      <c r="U67" s="15">
        <v>0</v>
      </c>
      <c r="V67" s="15">
        <v>0</v>
      </c>
      <c r="W67" s="15">
        <v>1</v>
      </c>
      <c r="X67" s="15">
        <v>0</v>
      </c>
      <c r="Y67" s="15">
        <v>1</v>
      </c>
      <c r="Z67" s="15">
        <v>0</v>
      </c>
      <c r="AA67" s="15">
        <v>0</v>
      </c>
      <c r="AB67" s="15">
        <v>2</v>
      </c>
      <c r="AC67" s="15">
        <v>2</v>
      </c>
      <c r="AD67" s="15">
        <v>0</v>
      </c>
      <c r="AE67" s="15">
        <v>1</v>
      </c>
      <c r="AF67" s="15">
        <v>1</v>
      </c>
      <c r="AG67" s="15">
        <v>0</v>
      </c>
      <c r="AH67" s="15">
        <v>0</v>
      </c>
      <c r="AI67" s="15">
        <v>1</v>
      </c>
      <c r="AJ67" s="15">
        <v>0</v>
      </c>
      <c r="AK67" s="15">
        <v>0</v>
      </c>
      <c r="AL67" s="15">
        <v>1</v>
      </c>
      <c r="AM67" s="15">
        <v>1</v>
      </c>
      <c r="AN67" s="15">
        <v>1</v>
      </c>
      <c r="AO67" s="15">
        <v>0</v>
      </c>
      <c r="AP67" s="15">
        <v>1</v>
      </c>
      <c r="AQ67" s="15">
        <v>1</v>
      </c>
      <c r="AR67" s="15">
        <v>6</v>
      </c>
      <c r="AS67" s="15">
        <v>0</v>
      </c>
      <c r="AT67" s="15">
        <v>2</v>
      </c>
      <c r="AU67" s="13">
        <f t="shared" si="13"/>
        <v>36</v>
      </c>
    </row>
    <row r="68" spans="1:47" ht="12.75" customHeight="1" x14ac:dyDescent="0.3">
      <c r="A68" s="14"/>
      <c r="B68" s="27"/>
      <c r="C68" s="28" t="s">
        <v>59</v>
      </c>
      <c r="D68" s="29"/>
      <c r="E68" s="15">
        <v>0</v>
      </c>
      <c r="F68" s="15">
        <v>0</v>
      </c>
      <c r="G68" s="15">
        <v>0</v>
      </c>
      <c r="H68" s="15">
        <v>1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1</v>
      </c>
      <c r="O68" s="15">
        <v>0</v>
      </c>
      <c r="P68" s="15">
        <v>0</v>
      </c>
      <c r="Q68" s="15">
        <v>0</v>
      </c>
      <c r="R68" s="15">
        <v>0</v>
      </c>
      <c r="S68" s="15">
        <v>1</v>
      </c>
      <c r="T68" s="15">
        <v>0</v>
      </c>
      <c r="U68" s="15">
        <v>2</v>
      </c>
      <c r="V68" s="15">
        <v>0</v>
      </c>
      <c r="W68" s="15">
        <v>0</v>
      </c>
      <c r="X68" s="15">
        <v>0</v>
      </c>
      <c r="Y68" s="15">
        <v>0</v>
      </c>
      <c r="Z68" s="15">
        <v>1</v>
      </c>
      <c r="AA68" s="15">
        <v>1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1</v>
      </c>
      <c r="AM68" s="15">
        <v>0</v>
      </c>
      <c r="AN68" s="15">
        <v>1</v>
      </c>
      <c r="AO68" s="15">
        <v>0</v>
      </c>
      <c r="AP68" s="15">
        <v>0</v>
      </c>
      <c r="AQ68" s="15">
        <v>0</v>
      </c>
      <c r="AR68" s="15">
        <v>0</v>
      </c>
      <c r="AS68" s="15">
        <v>1</v>
      </c>
      <c r="AT68" s="15">
        <v>0</v>
      </c>
      <c r="AU68" s="13">
        <f t="shared" si="13"/>
        <v>10</v>
      </c>
    </row>
    <row r="69" spans="1:47" ht="12.75" customHeight="1" x14ac:dyDescent="0.3">
      <c r="A69" s="14"/>
      <c r="B69" s="27"/>
      <c r="C69" s="28" t="s">
        <v>60</v>
      </c>
      <c r="D69" s="29"/>
      <c r="E69" s="15">
        <v>0</v>
      </c>
      <c r="F69" s="15">
        <v>0</v>
      </c>
      <c r="G69" s="15">
        <v>1</v>
      </c>
      <c r="H69" s="15">
        <v>0</v>
      </c>
      <c r="I69" s="15">
        <v>1</v>
      </c>
      <c r="J69" s="15">
        <v>0</v>
      </c>
      <c r="K69" s="15">
        <v>1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1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2</v>
      </c>
      <c r="AH69" s="15">
        <v>0</v>
      </c>
      <c r="AI69" s="15">
        <v>0</v>
      </c>
      <c r="AJ69" s="15">
        <v>1</v>
      </c>
      <c r="AK69" s="15">
        <v>0</v>
      </c>
      <c r="AL69" s="15">
        <v>0</v>
      </c>
      <c r="AM69" s="15">
        <v>0</v>
      </c>
      <c r="AN69" s="15">
        <v>0</v>
      </c>
      <c r="AO69" s="15">
        <v>0</v>
      </c>
      <c r="AP69" s="15">
        <v>2</v>
      </c>
      <c r="AQ69" s="15">
        <v>0</v>
      </c>
      <c r="AR69" s="15">
        <v>1</v>
      </c>
      <c r="AS69" s="15">
        <v>1</v>
      </c>
      <c r="AT69" s="15">
        <v>0</v>
      </c>
      <c r="AU69" s="13">
        <f t="shared" si="13"/>
        <v>11</v>
      </c>
    </row>
    <row r="70" spans="1:47" ht="12.75" customHeight="1" x14ac:dyDescent="0.3">
      <c r="A70" s="14"/>
      <c r="B70" s="27"/>
      <c r="C70" s="28" t="s">
        <v>61</v>
      </c>
      <c r="D70" s="29"/>
      <c r="E70" s="15">
        <v>9</v>
      </c>
      <c r="F70" s="15">
        <v>18</v>
      </c>
      <c r="G70" s="15">
        <v>18</v>
      </c>
      <c r="H70" s="15">
        <v>8</v>
      </c>
      <c r="I70" s="15">
        <v>6</v>
      </c>
      <c r="J70" s="15">
        <v>1</v>
      </c>
      <c r="K70" s="15">
        <v>1</v>
      </c>
      <c r="L70" s="15">
        <v>2</v>
      </c>
      <c r="M70" s="15">
        <v>6</v>
      </c>
      <c r="N70" s="15">
        <v>5</v>
      </c>
      <c r="O70" s="15">
        <v>2</v>
      </c>
      <c r="P70" s="15">
        <v>9</v>
      </c>
      <c r="Q70" s="15">
        <v>23</v>
      </c>
      <c r="R70" s="15">
        <v>60</v>
      </c>
      <c r="S70" s="15">
        <v>15</v>
      </c>
      <c r="T70" s="15">
        <v>32</v>
      </c>
      <c r="U70" s="15">
        <v>77</v>
      </c>
      <c r="V70" s="15">
        <v>23</v>
      </c>
      <c r="W70" s="15">
        <v>11</v>
      </c>
      <c r="X70" s="15">
        <v>1</v>
      </c>
      <c r="Y70" s="15">
        <v>15</v>
      </c>
      <c r="Z70" s="15">
        <v>13</v>
      </c>
      <c r="AA70" s="15">
        <v>7</v>
      </c>
      <c r="AB70" s="15">
        <v>0</v>
      </c>
      <c r="AC70" s="15">
        <v>1</v>
      </c>
      <c r="AD70" s="15">
        <v>9</v>
      </c>
      <c r="AE70" s="15">
        <v>3</v>
      </c>
      <c r="AF70" s="15">
        <v>76</v>
      </c>
      <c r="AG70" s="15">
        <v>63</v>
      </c>
      <c r="AH70" s="15">
        <v>54</v>
      </c>
      <c r="AI70" s="15">
        <v>56</v>
      </c>
      <c r="AJ70" s="15">
        <v>37</v>
      </c>
      <c r="AK70" s="15">
        <v>16</v>
      </c>
      <c r="AL70" s="15">
        <v>2</v>
      </c>
      <c r="AM70" s="15">
        <v>29</v>
      </c>
      <c r="AN70" s="15">
        <v>37</v>
      </c>
      <c r="AO70" s="15">
        <v>52</v>
      </c>
      <c r="AP70" s="15">
        <v>18</v>
      </c>
      <c r="AQ70" s="15">
        <v>16</v>
      </c>
      <c r="AR70" s="15">
        <v>17</v>
      </c>
      <c r="AS70" s="15">
        <v>18</v>
      </c>
      <c r="AT70" s="15">
        <v>8</v>
      </c>
      <c r="AU70" s="13">
        <f t="shared" si="13"/>
        <v>874</v>
      </c>
    </row>
    <row r="71" spans="1:47" ht="12.75" customHeight="1" x14ac:dyDescent="0.3">
      <c r="A71" s="14"/>
      <c r="B71" s="27"/>
      <c r="C71" s="28" t="s">
        <v>62</v>
      </c>
      <c r="D71" s="29"/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2</v>
      </c>
      <c r="T71" s="15">
        <v>0</v>
      </c>
      <c r="U71" s="15">
        <v>0</v>
      </c>
      <c r="V71" s="15">
        <v>0</v>
      </c>
      <c r="W71" s="15">
        <v>0</v>
      </c>
      <c r="X71" s="15">
        <v>2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1</v>
      </c>
      <c r="AI71" s="15">
        <v>1</v>
      </c>
      <c r="AJ71" s="15">
        <v>1</v>
      </c>
      <c r="AK71" s="15">
        <v>1</v>
      </c>
      <c r="AL71" s="15">
        <v>0</v>
      </c>
      <c r="AM71" s="15">
        <v>0</v>
      </c>
      <c r="AN71" s="15">
        <v>0</v>
      </c>
      <c r="AO71" s="15">
        <v>0</v>
      </c>
      <c r="AP71" s="15">
        <v>0</v>
      </c>
      <c r="AQ71" s="15">
        <v>0</v>
      </c>
      <c r="AR71" s="15">
        <v>0</v>
      </c>
      <c r="AS71" s="15">
        <v>0</v>
      </c>
      <c r="AT71" s="15">
        <v>0</v>
      </c>
      <c r="AU71" s="13">
        <f t="shared" si="13"/>
        <v>8</v>
      </c>
    </row>
    <row r="72" spans="1:47" ht="12.75" customHeight="1" x14ac:dyDescent="0.3">
      <c r="A72" s="14"/>
      <c r="B72" s="27"/>
      <c r="C72" s="28" t="s">
        <v>63</v>
      </c>
      <c r="D72" s="29"/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5</v>
      </c>
      <c r="R72" s="15">
        <v>0</v>
      </c>
      <c r="S72" s="15">
        <v>5</v>
      </c>
      <c r="T72" s="15">
        <v>4</v>
      </c>
      <c r="U72" s="15">
        <v>4</v>
      </c>
      <c r="V72" s="15">
        <v>2</v>
      </c>
      <c r="W72" s="15">
        <v>0</v>
      </c>
      <c r="X72" s="15">
        <v>0</v>
      </c>
      <c r="Y72" s="15">
        <v>1</v>
      </c>
      <c r="Z72" s="15">
        <v>0</v>
      </c>
      <c r="AA72" s="15">
        <v>1</v>
      </c>
      <c r="AB72" s="15">
        <v>0</v>
      </c>
      <c r="AC72" s="15">
        <v>4</v>
      </c>
      <c r="AD72" s="15">
        <v>0</v>
      </c>
      <c r="AE72" s="15">
        <v>0</v>
      </c>
      <c r="AF72" s="15">
        <v>3</v>
      </c>
      <c r="AG72" s="15">
        <v>0</v>
      </c>
      <c r="AH72" s="15">
        <v>1</v>
      </c>
      <c r="AI72" s="15">
        <v>4</v>
      </c>
      <c r="AJ72" s="15">
        <v>0</v>
      </c>
      <c r="AK72" s="15">
        <v>0</v>
      </c>
      <c r="AL72" s="15">
        <v>0</v>
      </c>
      <c r="AM72" s="15">
        <v>0</v>
      </c>
      <c r="AN72" s="15">
        <v>0</v>
      </c>
      <c r="AO72" s="15">
        <v>0</v>
      </c>
      <c r="AP72" s="15">
        <v>0</v>
      </c>
      <c r="AQ72" s="15">
        <v>0</v>
      </c>
      <c r="AR72" s="15">
        <v>1</v>
      </c>
      <c r="AS72" s="15">
        <v>0</v>
      </c>
      <c r="AT72" s="15">
        <v>0</v>
      </c>
      <c r="AU72" s="13">
        <f t="shared" si="13"/>
        <v>35</v>
      </c>
    </row>
    <row r="73" spans="1:47" ht="12.75" customHeight="1" x14ac:dyDescent="0.3">
      <c r="A73" s="15" t="s">
        <v>15</v>
      </c>
      <c r="B73" s="48" t="s">
        <v>47</v>
      </c>
      <c r="C73" s="49"/>
      <c r="D73" s="50"/>
      <c r="E73" s="34">
        <f t="shared" ref="E73:AT73" si="16">SUM(E65:E72)</f>
        <v>132</v>
      </c>
      <c r="F73" s="34">
        <f t="shared" si="16"/>
        <v>115</v>
      </c>
      <c r="G73" s="34">
        <f t="shared" si="16"/>
        <v>119</v>
      </c>
      <c r="H73" s="34">
        <f t="shared" si="16"/>
        <v>96</v>
      </c>
      <c r="I73" s="34">
        <f t="shared" si="16"/>
        <v>150</v>
      </c>
      <c r="J73" s="34">
        <f t="shared" si="16"/>
        <v>180</v>
      </c>
      <c r="K73" s="34">
        <f t="shared" si="16"/>
        <v>128</v>
      </c>
      <c r="L73" s="34">
        <f t="shared" si="16"/>
        <v>180</v>
      </c>
      <c r="M73" s="34">
        <f t="shared" si="16"/>
        <v>227</v>
      </c>
      <c r="N73" s="34">
        <f t="shared" si="16"/>
        <v>178</v>
      </c>
      <c r="O73" s="34">
        <f t="shared" si="16"/>
        <v>160</v>
      </c>
      <c r="P73" s="34">
        <f t="shared" si="16"/>
        <v>175</v>
      </c>
      <c r="Q73" s="34">
        <f t="shared" si="16"/>
        <v>121</v>
      </c>
      <c r="R73" s="34">
        <f t="shared" si="16"/>
        <v>190</v>
      </c>
      <c r="S73" s="34">
        <f t="shared" si="16"/>
        <v>148</v>
      </c>
      <c r="T73" s="34">
        <f t="shared" si="16"/>
        <v>197</v>
      </c>
      <c r="U73" s="34">
        <f t="shared" si="16"/>
        <v>186</v>
      </c>
      <c r="V73" s="34">
        <f t="shared" si="16"/>
        <v>138</v>
      </c>
      <c r="W73" s="34">
        <f t="shared" si="16"/>
        <v>125</v>
      </c>
      <c r="X73" s="34">
        <f t="shared" si="16"/>
        <v>33</v>
      </c>
      <c r="Y73" s="34">
        <f t="shared" si="16"/>
        <v>54</v>
      </c>
      <c r="Z73" s="34">
        <f t="shared" si="16"/>
        <v>61</v>
      </c>
      <c r="AA73" s="34">
        <f t="shared" si="16"/>
        <v>86</v>
      </c>
      <c r="AB73" s="34">
        <f t="shared" si="16"/>
        <v>60</v>
      </c>
      <c r="AC73" s="34">
        <f t="shared" si="16"/>
        <v>80</v>
      </c>
      <c r="AD73" s="34">
        <f t="shared" si="16"/>
        <v>73</v>
      </c>
      <c r="AE73" s="34">
        <f t="shared" si="16"/>
        <v>98</v>
      </c>
      <c r="AF73" s="34">
        <f t="shared" si="16"/>
        <v>105</v>
      </c>
      <c r="AG73" s="34">
        <f t="shared" si="16"/>
        <v>117</v>
      </c>
      <c r="AH73" s="34">
        <f t="shared" si="16"/>
        <v>73</v>
      </c>
      <c r="AI73" s="34">
        <f t="shared" si="16"/>
        <v>80</v>
      </c>
      <c r="AJ73" s="34">
        <f t="shared" si="16"/>
        <v>91</v>
      </c>
      <c r="AK73" s="34">
        <f t="shared" si="16"/>
        <v>65</v>
      </c>
      <c r="AL73" s="34">
        <f t="shared" si="16"/>
        <v>92</v>
      </c>
      <c r="AM73" s="34">
        <f t="shared" si="16"/>
        <v>95</v>
      </c>
      <c r="AN73" s="34">
        <f t="shared" si="16"/>
        <v>82</v>
      </c>
      <c r="AO73" s="34">
        <f t="shared" si="16"/>
        <v>105</v>
      </c>
      <c r="AP73" s="34">
        <f t="shared" si="16"/>
        <v>75</v>
      </c>
      <c r="AQ73" s="34">
        <f t="shared" si="16"/>
        <v>138</v>
      </c>
      <c r="AR73" s="34">
        <f t="shared" si="16"/>
        <v>154</v>
      </c>
      <c r="AS73" s="34">
        <f t="shared" si="16"/>
        <v>149</v>
      </c>
      <c r="AT73" s="34">
        <f t="shared" si="16"/>
        <v>152</v>
      </c>
      <c r="AU73" s="13">
        <f t="shared" si="13"/>
        <v>5063</v>
      </c>
    </row>
    <row r="74" spans="1:47" ht="12.75" customHeight="1" x14ac:dyDescent="0.3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13">
        <f t="shared" si="13"/>
        <v>0</v>
      </c>
    </row>
    <row r="75" spans="1:47" ht="12.75" customHeight="1" x14ac:dyDescent="0.3">
      <c r="A75" s="19" t="s">
        <v>37</v>
      </c>
      <c r="B75" s="26" t="s">
        <v>23</v>
      </c>
      <c r="C75" s="51" t="s">
        <v>64</v>
      </c>
      <c r="D75" s="50"/>
      <c r="E75" s="15">
        <v>2</v>
      </c>
      <c r="F75" s="15">
        <v>2</v>
      </c>
      <c r="G75" s="15">
        <v>7</v>
      </c>
      <c r="H75" s="15">
        <v>4</v>
      </c>
      <c r="I75" s="15">
        <v>4</v>
      </c>
      <c r="J75" s="15">
        <v>0</v>
      </c>
      <c r="K75" s="15">
        <v>2</v>
      </c>
      <c r="L75" s="15">
        <v>0</v>
      </c>
      <c r="M75" s="15">
        <v>1</v>
      </c>
      <c r="N75" s="15">
        <v>5</v>
      </c>
      <c r="O75" s="15">
        <v>10</v>
      </c>
      <c r="P75" s="15">
        <v>1</v>
      </c>
      <c r="Q75" s="15">
        <v>1</v>
      </c>
      <c r="R75" s="15">
        <v>2</v>
      </c>
      <c r="S75" s="15">
        <v>0</v>
      </c>
      <c r="T75" s="15">
        <v>2</v>
      </c>
      <c r="U75" s="15">
        <v>0</v>
      </c>
      <c r="V75" s="15">
        <v>0</v>
      </c>
      <c r="W75" s="15">
        <v>1</v>
      </c>
      <c r="X75" s="15">
        <v>0</v>
      </c>
      <c r="Y75" s="15">
        <v>0</v>
      </c>
      <c r="Z75" s="15">
        <v>0</v>
      </c>
      <c r="AA75" s="15">
        <v>4</v>
      </c>
      <c r="AB75" s="15">
        <v>3</v>
      </c>
      <c r="AC75" s="15">
        <v>0</v>
      </c>
      <c r="AD75" s="15">
        <v>0</v>
      </c>
      <c r="AE75" s="15">
        <v>1</v>
      </c>
      <c r="AF75" s="15">
        <v>2</v>
      </c>
      <c r="AG75" s="15">
        <v>0</v>
      </c>
      <c r="AH75" s="15">
        <v>0</v>
      </c>
      <c r="AI75" s="15">
        <v>2</v>
      </c>
      <c r="AJ75" s="15">
        <v>3</v>
      </c>
      <c r="AK75" s="15">
        <v>1</v>
      </c>
      <c r="AL75" s="15">
        <v>0</v>
      </c>
      <c r="AM75" s="15">
        <v>3</v>
      </c>
      <c r="AN75" s="15">
        <v>1</v>
      </c>
      <c r="AO75" s="15">
        <v>0</v>
      </c>
      <c r="AP75" s="15">
        <v>3</v>
      </c>
      <c r="AQ75" s="15">
        <v>4</v>
      </c>
      <c r="AR75" s="15">
        <v>1</v>
      </c>
      <c r="AS75" s="15">
        <v>3</v>
      </c>
      <c r="AT75" s="15">
        <v>0</v>
      </c>
      <c r="AU75" s="13">
        <f t="shared" si="13"/>
        <v>75</v>
      </c>
    </row>
    <row r="76" spans="1:47" ht="12.75" customHeight="1" x14ac:dyDescent="0.3">
      <c r="A76" s="19" t="s">
        <v>39</v>
      </c>
      <c r="B76" s="27"/>
      <c r="C76" s="28" t="s">
        <v>65</v>
      </c>
      <c r="D76" s="29"/>
      <c r="E76" s="15">
        <v>13</v>
      </c>
      <c r="F76" s="15">
        <v>2</v>
      </c>
      <c r="G76" s="15">
        <v>9</v>
      </c>
      <c r="H76" s="15">
        <v>7</v>
      </c>
      <c r="I76" s="15">
        <v>8</v>
      </c>
      <c r="J76" s="15">
        <v>17</v>
      </c>
      <c r="K76" s="15">
        <v>3</v>
      </c>
      <c r="L76" s="15">
        <v>10</v>
      </c>
      <c r="M76" s="15">
        <v>3</v>
      </c>
      <c r="N76" s="15">
        <v>13</v>
      </c>
      <c r="O76" s="15">
        <v>21</v>
      </c>
      <c r="P76" s="15">
        <v>9</v>
      </c>
      <c r="Q76" s="15">
        <v>5</v>
      </c>
      <c r="R76" s="15">
        <v>9</v>
      </c>
      <c r="S76" s="15">
        <v>1</v>
      </c>
      <c r="T76" s="15">
        <v>1</v>
      </c>
      <c r="U76" s="15">
        <v>0</v>
      </c>
      <c r="V76" s="15">
        <v>2</v>
      </c>
      <c r="W76" s="15">
        <v>3</v>
      </c>
      <c r="X76" s="15">
        <v>0</v>
      </c>
      <c r="Y76" s="15">
        <v>6</v>
      </c>
      <c r="Z76" s="15">
        <v>3</v>
      </c>
      <c r="AA76" s="15">
        <v>8</v>
      </c>
      <c r="AB76" s="15">
        <v>36</v>
      </c>
      <c r="AC76" s="15">
        <v>0</v>
      </c>
      <c r="AD76" s="15">
        <v>2</v>
      </c>
      <c r="AE76" s="15">
        <v>17</v>
      </c>
      <c r="AF76" s="15">
        <v>5</v>
      </c>
      <c r="AG76" s="15">
        <v>0</v>
      </c>
      <c r="AH76" s="15">
        <v>0</v>
      </c>
      <c r="AI76" s="15">
        <v>1</v>
      </c>
      <c r="AJ76" s="15">
        <v>0</v>
      </c>
      <c r="AK76" s="15">
        <v>2</v>
      </c>
      <c r="AL76" s="15">
        <v>0</v>
      </c>
      <c r="AM76" s="15">
        <v>1</v>
      </c>
      <c r="AN76" s="15">
        <v>0</v>
      </c>
      <c r="AO76" s="15">
        <v>0</v>
      </c>
      <c r="AP76" s="15">
        <v>1</v>
      </c>
      <c r="AQ76" s="15">
        <v>24</v>
      </c>
      <c r="AR76" s="15">
        <v>3</v>
      </c>
      <c r="AS76" s="15">
        <v>13</v>
      </c>
      <c r="AT76" s="15">
        <v>16</v>
      </c>
      <c r="AU76" s="13">
        <f t="shared" si="13"/>
        <v>274</v>
      </c>
    </row>
    <row r="77" spans="1:47" ht="12.75" customHeight="1" x14ac:dyDescent="0.3">
      <c r="A77" s="14"/>
      <c r="B77" s="27"/>
      <c r="C77" s="28" t="s">
        <v>66</v>
      </c>
      <c r="D77" s="29"/>
      <c r="E77" s="15">
        <v>0</v>
      </c>
      <c r="F77" s="15">
        <v>12</v>
      </c>
      <c r="G77" s="15">
        <v>1</v>
      </c>
      <c r="H77" s="15">
        <v>3</v>
      </c>
      <c r="I77" s="15">
        <v>0</v>
      </c>
      <c r="J77" s="15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2</v>
      </c>
      <c r="Q77" s="15">
        <v>0</v>
      </c>
      <c r="R77" s="15">
        <v>0</v>
      </c>
      <c r="S77" s="15">
        <v>5</v>
      </c>
      <c r="T77" s="15">
        <v>0</v>
      </c>
      <c r="U77" s="15">
        <v>0</v>
      </c>
      <c r="V77" s="15">
        <v>0</v>
      </c>
      <c r="W77" s="15">
        <v>0</v>
      </c>
      <c r="X77" s="15">
        <v>8</v>
      </c>
      <c r="Y77" s="15">
        <v>6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2</v>
      </c>
      <c r="AG77" s="15">
        <v>1</v>
      </c>
      <c r="AH77" s="15">
        <v>1</v>
      </c>
      <c r="AI77" s="15">
        <v>0</v>
      </c>
      <c r="AJ77" s="15">
        <v>4</v>
      </c>
      <c r="AK77" s="15">
        <v>1</v>
      </c>
      <c r="AL77" s="15">
        <v>5</v>
      </c>
      <c r="AM77" s="15">
        <v>0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3">
        <f t="shared" si="13"/>
        <v>51</v>
      </c>
    </row>
    <row r="78" spans="1:47" ht="12.75" customHeight="1" x14ac:dyDescent="0.3">
      <c r="A78" s="14"/>
      <c r="B78" s="27"/>
      <c r="C78" s="28" t="s">
        <v>67</v>
      </c>
      <c r="D78" s="29"/>
      <c r="E78" s="15">
        <v>1</v>
      </c>
      <c r="F78" s="15">
        <v>1</v>
      </c>
      <c r="G78" s="15">
        <v>1</v>
      </c>
      <c r="H78" s="15">
        <v>1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1</v>
      </c>
      <c r="Q78" s="15">
        <v>0</v>
      </c>
      <c r="R78" s="15">
        <v>1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  <c r="AQ78" s="15">
        <v>0</v>
      </c>
      <c r="AR78" s="15">
        <v>0</v>
      </c>
      <c r="AS78" s="15">
        <v>0</v>
      </c>
      <c r="AT78" s="15">
        <v>0</v>
      </c>
      <c r="AU78" s="13">
        <f t="shared" si="13"/>
        <v>6</v>
      </c>
    </row>
    <row r="79" spans="1:47" ht="12.75" customHeight="1" x14ac:dyDescent="0.3">
      <c r="A79" s="14"/>
      <c r="B79" s="27"/>
      <c r="C79" s="28" t="s">
        <v>68</v>
      </c>
      <c r="D79" s="29"/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1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1</v>
      </c>
      <c r="AI79" s="15">
        <v>0</v>
      </c>
      <c r="AJ79" s="15">
        <v>1</v>
      </c>
      <c r="AK79" s="15">
        <v>0</v>
      </c>
      <c r="AL79" s="15">
        <v>0</v>
      </c>
      <c r="AM79" s="15">
        <v>0</v>
      </c>
      <c r="AN79" s="15">
        <v>0</v>
      </c>
      <c r="AO79" s="15">
        <v>0</v>
      </c>
      <c r="AP79" s="15">
        <v>0</v>
      </c>
      <c r="AQ79" s="15">
        <v>0</v>
      </c>
      <c r="AR79" s="15">
        <v>0</v>
      </c>
      <c r="AS79" s="15">
        <v>0</v>
      </c>
      <c r="AT79" s="15">
        <v>0</v>
      </c>
      <c r="AU79" s="13">
        <f t="shared" si="13"/>
        <v>3</v>
      </c>
    </row>
    <row r="80" spans="1:47" ht="12.75" customHeight="1" x14ac:dyDescent="0.3">
      <c r="A80" s="14"/>
      <c r="B80" s="27"/>
      <c r="C80" s="28" t="s">
        <v>69</v>
      </c>
      <c r="D80" s="29"/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1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0</v>
      </c>
      <c r="AD80" s="15">
        <v>1</v>
      </c>
      <c r="AE80" s="15">
        <v>0</v>
      </c>
      <c r="AF80" s="15">
        <v>0</v>
      </c>
      <c r="AG80" s="15">
        <v>1</v>
      </c>
      <c r="AH80" s="15">
        <v>0</v>
      </c>
      <c r="AI80" s="15">
        <v>0</v>
      </c>
      <c r="AJ80" s="15">
        <v>0</v>
      </c>
      <c r="AK80" s="15">
        <v>0</v>
      </c>
      <c r="AL80" s="15">
        <v>0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3">
        <f t="shared" si="13"/>
        <v>3</v>
      </c>
    </row>
    <row r="81" spans="1:47" ht="12.75" customHeight="1" x14ac:dyDescent="0.3">
      <c r="A81" s="14"/>
      <c r="B81" s="27"/>
      <c r="C81" s="28" t="s">
        <v>70</v>
      </c>
      <c r="D81" s="29"/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>
        <v>0</v>
      </c>
      <c r="AM81" s="15">
        <v>0</v>
      </c>
      <c r="AN81" s="15">
        <v>0</v>
      </c>
      <c r="AO81" s="15">
        <v>0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3">
        <f t="shared" si="13"/>
        <v>0</v>
      </c>
    </row>
    <row r="82" spans="1:47" ht="12.75" customHeight="1" x14ac:dyDescent="0.3">
      <c r="A82" s="14"/>
      <c r="B82" s="27"/>
      <c r="C82" s="28" t="s">
        <v>71</v>
      </c>
      <c r="D82" s="29"/>
      <c r="E82" s="15">
        <v>28</v>
      </c>
      <c r="F82" s="15">
        <v>13</v>
      </c>
      <c r="G82" s="15">
        <v>42</v>
      </c>
      <c r="H82" s="15">
        <v>34</v>
      </c>
      <c r="I82" s="15">
        <v>10</v>
      </c>
      <c r="J82" s="15">
        <v>5</v>
      </c>
      <c r="K82" s="15">
        <v>1</v>
      </c>
      <c r="L82" s="15">
        <v>2</v>
      </c>
      <c r="M82" s="15">
        <v>1</v>
      </c>
      <c r="N82" s="15">
        <v>5</v>
      </c>
      <c r="O82" s="15">
        <v>12</v>
      </c>
      <c r="P82" s="15">
        <v>4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1</v>
      </c>
      <c r="AF82" s="15">
        <v>0</v>
      </c>
      <c r="AG82" s="15">
        <v>0</v>
      </c>
      <c r="AH82" s="15">
        <v>0</v>
      </c>
      <c r="AI82" s="15">
        <v>0</v>
      </c>
      <c r="AJ82" s="15">
        <v>3</v>
      </c>
      <c r="AK82" s="15">
        <v>0</v>
      </c>
      <c r="AL82" s="15">
        <v>0</v>
      </c>
      <c r="AM82" s="15">
        <v>0</v>
      </c>
      <c r="AN82" s="15">
        <v>0</v>
      </c>
      <c r="AO82" s="15">
        <v>0</v>
      </c>
      <c r="AP82" s="15">
        <v>1</v>
      </c>
      <c r="AQ82" s="15">
        <v>0</v>
      </c>
      <c r="AR82" s="15">
        <v>0</v>
      </c>
      <c r="AS82" s="15">
        <v>0</v>
      </c>
      <c r="AT82" s="15">
        <v>0</v>
      </c>
      <c r="AU82" s="13">
        <f t="shared" si="13"/>
        <v>162</v>
      </c>
    </row>
    <row r="83" spans="1:47" ht="12.75" customHeight="1" x14ac:dyDescent="0.3">
      <c r="A83" s="15" t="s">
        <v>15</v>
      </c>
      <c r="B83" s="48" t="s">
        <v>47</v>
      </c>
      <c r="C83" s="49"/>
      <c r="D83" s="50"/>
      <c r="E83" s="34">
        <f t="shared" ref="E83:AT83" si="17">SUM(E75:E82)</f>
        <v>44</v>
      </c>
      <c r="F83" s="34">
        <f t="shared" si="17"/>
        <v>30</v>
      </c>
      <c r="G83" s="34">
        <f t="shared" si="17"/>
        <v>60</v>
      </c>
      <c r="H83" s="34">
        <f t="shared" si="17"/>
        <v>49</v>
      </c>
      <c r="I83" s="34">
        <f t="shared" si="17"/>
        <v>22</v>
      </c>
      <c r="J83" s="34">
        <f t="shared" si="17"/>
        <v>22</v>
      </c>
      <c r="K83" s="34">
        <f t="shared" si="17"/>
        <v>6</v>
      </c>
      <c r="L83" s="34">
        <f t="shared" si="17"/>
        <v>12</v>
      </c>
      <c r="M83" s="34">
        <f t="shared" si="17"/>
        <v>5</v>
      </c>
      <c r="N83" s="34">
        <f t="shared" si="17"/>
        <v>23</v>
      </c>
      <c r="O83" s="34">
        <f t="shared" si="17"/>
        <v>43</v>
      </c>
      <c r="P83" s="34">
        <f t="shared" si="17"/>
        <v>17</v>
      </c>
      <c r="Q83" s="34">
        <f t="shared" si="17"/>
        <v>6</v>
      </c>
      <c r="R83" s="34">
        <f t="shared" si="17"/>
        <v>13</v>
      </c>
      <c r="S83" s="34">
        <f t="shared" si="17"/>
        <v>6</v>
      </c>
      <c r="T83" s="34">
        <f t="shared" si="17"/>
        <v>3</v>
      </c>
      <c r="U83" s="34">
        <f t="shared" si="17"/>
        <v>0</v>
      </c>
      <c r="V83" s="34">
        <f t="shared" si="17"/>
        <v>2</v>
      </c>
      <c r="W83" s="34">
        <f t="shared" si="17"/>
        <v>4</v>
      </c>
      <c r="X83" s="34">
        <f t="shared" si="17"/>
        <v>8</v>
      </c>
      <c r="Y83" s="34">
        <f t="shared" si="17"/>
        <v>12</v>
      </c>
      <c r="Z83" s="34">
        <f t="shared" si="17"/>
        <v>3</v>
      </c>
      <c r="AA83" s="34">
        <f t="shared" si="17"/>
        <v>12</v>
      </c>
      <c r="AB83" s="34">
        <f t="shared" si="17"/>
        <v>40</v>
      </c>
      <c r="AC83" s="34">
        <f t="shared" si="17"/>
        <v>0</v>
      </c>
      <c r="AD83" s="34">
        <f t="shared" si="17"/>
        <v>3</v>
      </c>
      <c r="AE83" s="34">
        <f t="shared" si="17"/>
        <v>19</v>
      </c>
      <c r="AF83" s="34">
        <f t="shared" si="17"/>
        <v>9</v>
      </c>
      <c r="AG83" s="34">
        <f t="shared" si="17"/>
        <v>2</v>
      </c>
      <c r="AH83" s="34">
        <f t="shared" si="17"/>
        <v>2</v>
      </c>
      <c r="AI83" s="34">
        <f t="shared" si="17"/>
        <v>3</v>
      </c>
      <c r="AJ83" s="34">
        <f t="shared" si="17"/>
        <v>11</v>
      </c>
      <c r="AK83" s="34">
        <f t="shared" si="17"/>
        <v>4</v>
      </c>
      <c r="AL83" s="34">
        <f t="shared" si="17"/>
        <v>5</v>
      </c>
      <c r="AM83" s="34">
        <f t="shared" si="17"/>
        <v>4</v>
      </c>
      <c r="AN83" s="34">
        <f t="shared" si="17"/>
        <v>1</v>
      </c>
      <c r="AO83" s="34">
        <f t="shared" si="17"/>
        <v>0</v>
      </c>
      <c r="AP83" s="34">
        <f t="shared" si="17"/>
        <v>5</v>
      </c>
      <c r="AQ83" s="34">
        <f t="shared" si="17"/>
        <v>28</v>
      </c>
      <c r="AR83" s="34">
        <f t="shared" si="17"/>
        <v>4</v>
      </c>
      <c r="AS83" s="34">
        <f t="shared" si="17"/>
        <v>16</v>
      </c>
      <c r="AT83" s="34">
        <f t="shared" si="17"/>
        <v>16</v>
      </c>
      <c r="AU83" s="13">
        <f t="shared" si="13"/>
        <v>574</v>
      </c>
    </row>
    <row r="84" spans="1:47" ht="12.75" customHeight="1" x14ac:dyDescent="0.3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13">
        <f t="shared" si="13"/>
        <v>0</v>
      </c>
    </row>
    <row r="85" spans="1:47" ht="12.75" customHeight="1" x14ac:dyDescent="0.3">
      <c r="A85" s="19" t="s">
        <v>37</v>
      </c>
      <c r="B85" s="26" t="s">
        <v>72</v>
      </c>
      <c r="C85" s="51" t="s">
        <v>73</v>
      </c>
      <c r="D85" s="50"/>
      <c r="E85" s="15">
        <v>1</v>
      </c>
      <c r="F85" s="15">
        <v>1</v>
      </c>
      <c r="G85" s="15">
        <v>0</v>
      </c>
      <c r="H85" s="15">
        <v>1</v>
      </c>
      <c r="I85" s="15">
        <v>0</v>
      </c>
      <c r="J85" s="15">
        <v>0</v>
      </c>
      <c r="K85" s="15">
        <v>2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4</v>
      </c>
      <c r="S85" s="15">
        <v>0</v>
      </c>
      <c r="T85" s="15">
        <v>1</v>
      </c>
      <c r="U85" s="15">
        <v>0</v>
      </c>
      <c r="V85" s="15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1</v>
      </c>
      <c r="AB85" s="15">
        <v>0</v>
      </c>
      <c r="AC85" s="15">
        <v>3</v>
      </c>
      <c r="AD85" s="15">
        <v>1</v>
      </c>
      <c r="AE85" s="15">
        <v>0</v>
      </c>
      <c r="AF85" s="15">
        <v>4</v>
      </c>
      <c r="AG85" s="15">
        <v>1</v>
      </c>
      <c r="AH85" s="15">
        <v>1</v>
      </c>
      <c r="AI85" s="15">
        <v>3</v>
      </c>
      <c r="AJ85" s="15">
        <v>2</v>
      </c>
      <c r="AK85" s="15">
        <v>1</v>
      </c>
      <c r="AL85" s="15">
        <v>0</v>
      </c>
      <c r="AM85" s="15">
        <v>3</v>
      </c>
      <c r="AN85" s="15">
        <v>1</v>
      </c>
      <c r="AO85" s="15">
        <v>3</v>
      </c>
      <c r="AP85" s="15">
        <v>0</v>
      </c>
      <c r="AQ85" s="15">
        <v>0</v>
      </c>
      <c r="AR85" s="15">
        <v>0</v>
      </c>
      <c r="AS85" s="15">
        <v>1</v>
      </c>
      <c r="AT85" s="15">
        <v>0</v>
      </c>
      <c r="AU85" s="13">
        <f t="shared" si="13"/>
        <v>36</v>
      </c>
    </row>
    <row r="86" spans="1:47" ht="12.75" customHeight="1" x14ac:dyDescent="0.3">
      <c r="A86" s="19" t="s">
        <v>39</v>
      </c>
      <c r="B86" s="27"/>
      <c r="C86" s="28" t="s">
        <v>74</v>
      </c>
      <c r="D86" s="29"/>
      <c r="E86" s="15">
        <v>0</v>
      </c>
      <c r="F86" s="15">
        <v>1</v>
      </c>
      <c r="G86" s="15">
        <v>0</v>
      </c>
      <c r="H86" s="15">
        <v>0</v>
      </c>
      <c r="I86" s="15">
        <v>1</v>
      </c>
      <c r="J86" s="15">
        <v>0</v>
      </c>
      <c r="K86" s="15">
        <v>0</v>
      </c>
      <c r="L86" s="15">
        <v>2</v>
      </c>
      <c r="M86" s="15">
        <v>1</v>
      </c>
      <c r="N86" s="15">
        <v>0</v>
      </c>
      <c r="O86" s="15">
        <v>1</v>
      </c>
      <c r="P86" s="15">
        <v>0</v>
      </c>
      <c r="Q86" s="15">
        <v>1</v>
      </c>
      <c r="R86" s="15">
        <v>1</v>
      </c>
      <c r="S86" s="15">
        <v>1</v>
      </c>
      <c r="T86" s="15">
        <v>0</v>
      </c>
      <c r="U86" s="15">
        <v>0</v>
      </c>
      <c r="V86" s="15">
        <v>0</v>
      </c>
      <c r="W86" s="15">
        <v>0</v>
      </c>
      <c r="X86" s="15">
        <v>0</v>
      </c>
      <c r="Y86" s="15">
        <v>0</v>
      </c>
      <c r="Z86" s="15">
        <v>1</v>
      </c>
      <c r="AA86" s="15">
        <v>0</v>
      </c>
      <c r="AB86" s="15">
        <v>0</v>
      </c>
      <c r="AC86" s="15">
        <v>0</v>
      </c>
      <c r="AD86" s="15">
        <v>3</v>
      </c>
      <c r="AE86" s="15">
        <v>10</v>
      </c>
      <c r="AF86" s="15">
        <v>0</v>
      </c>
      <c r="AG86" s="15">
        <v>0</v>
      </c>
      <c r="AH86" s="15">
        <v>0</v>
      </c>
      <c r="AI86" s="15">
        <v>1</v>
      </c>
      <c r="AJ86" s="15">
        <v>0</v>
      </c>
      <c r="AK86" s="15">
        <v>0</v>
      </c>
      <c r="AL86" s="15">
        <v>0</v>
      </c>
      <c r="AM86" s="15">
        <v>11</v>
      </c>
      <c r="AN86" s="15">
        <v>22</v>
      </c>
      <c r="AO86" s="15">
        <v>4</v>
      </c>
      <c r="AP86" s="15">
        <v>2</v>
      </c>
      <c r="AQ86" s="15">
        <v>0</v>
      </c>
      <c r="AR86" s="15">
        <v>0</v>
      </c>
      <c r="AS86" s="15">
        <v>0</v>
      </c>
      <c r="AT86" s="15">
        <v>1</v>
      </c>
      <c r="AU86" s="13">
        <f t="shared" si="13"/>
        <v>64</v>
      </c>
    </row>
    <row r="87" spans="1:47" ht="12.75" customHeight="1" x14ac:dyDescent="0.3">
      <c r="A87" s="14"/>
      <c r="B87" s="27"/>
      <c r="C87" s="28" t="s">
        <v>75</v>
      </c>
      <c r="D87" s="29"/>
      <c r="E87" s="15">
        <v>9</v>
      </c>
      <c r="F87" s="15">
        <v>22</v>
      </c>
      <c r="G87" s="15">
        <v>0</v>
      </c>
      <c r="H87" s="15">
        <v>0</v>
      </c>
      <c r="I87" s="15">
        <v>0</v>
      </c>
      <c r="J87" s="15">
        <v>0</v>
      </c>
      <c r="K87" s="15">
        <v>4</v>
      </c>
      <c r="L87" s="15">
        <v>1</v>
      </c>
      <c r="M87" s="15">
        <v>0</v>
      </c>
      <c r="N87" s="15">
        <v>0</v>
      </c>
      <c r="O87" s="15">
        <v>0</v>
      </c>
      <c r="P87" s="15">
        <v>0</v>
      </c>
      <c r="Q87" s="15">
        <v>1</v>
      </c>
      <c r="R87" s="15">
        <v>0</v>
      </c>
      <c r="S87" s="15">
        <v>1</v>
      </c>
      <c r="T87" s="15">
        <v>5</v>
      </c>
      <c r="U87" s="15">
        <v>1</v>
      </c>
      <c r="V87" s="15">
        <v>1</v>
      </c>
      <c r="W87" s="15">
        <v>4</v>
      </c>
      <c r="X87" s="15">
        <v>3</v>
      </c>
      <c r="Y87" s="15">
        <v>0</v>
      </c>
      <c r="Z87" s="15">
        <v>2</v>
      </c>
      <c r="AA87" s="15">
        <v>0</v>
      </c>
      <c r="AB87" s="15">
        <v>0</v>
      </c>
      <c r="AC87" s="15">
        <v>2</v>
      </c>
      <c r="AD87" s="15">
        <v>0</v>
      </c>
      <c r="AE87" s="15">
        <v>0</v>
      </c>
      <c r="AF87" s="15">
        <v>0</v>
      </c>
      <c r="AG87" s="15">
        <v>1</v>
      </c>
      <c r="AH87" s="15">
        <v>21</v>
      </c>
      <c r="AI87" s="15">
        <v>4</v>
      </c>
      <c r="AJ87" s="15">
        <v>3</v>
      </c>
      <c r="AK87" s="15">
        <v>0</v>
      </c>
      <c r="AL87" s="15">
        <v>2</v>
      </c>
      <c r="AM87" s="15">
        <v>6</v>
      </c>
      <c r="AN87" s="15">
        <v>10</v>
      </c>
      <c r="AO87" s="15">
        <v>33</v>
      </c>
      <c r="AP87" s="15">
        <v>2</v>
      </c>
      <c r="AQ87" s="15">
        <v>2</v>
      </c>
      <c r="AR87" s="15">
        <v>2</v>
      </c>
      <c r="AS87" s="15">
        <v>1</v>
      </c>
      <c r="AT87" s="15">
        <v>0</v>
      </c>
      <c r="AU87" s="13">
        <f t="shared" si="13"/>
        <v>143</v>
      </c>
    </row>
    <row r="88" spans="1:47" ht="12.75" customHeight="1" x14ac:dyDescent="0.3">
      <c r="A88" s="14"/>
      <c r="B88" s="27"/>
      <c r="C88" s="28" t="s">
        <v>76</v>
      </c>
      <c r="D88" s="29"/>
      <c r="E88" s="15">
        <v>0</v>
      </c>
      <c r="F88" s="15">
        <v>0</v>
      </c>
      <c r="G88" s="15">
        <v>1</v>
      </c>
      <c r="H88" s="15">
        <v>0</v>
      </c>
      <c r="I88" s="15">
        <v>0</v>
      </c>
      <c r="J88" s="15">
        <v>0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2</v>
      </c>
      <c r="AJ88" s="15">
        <v>0</v>
      </c>
      <c r="AK88" s="15">
        <v>0</v>
      </c>
      <c r="AL88" s="15">
        <v>0</v>
      </c>
      <c r="AM88" s="15">
        <v>0</v>
      </c>
      <c r="AN88" s="15">
        <v>1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3">
        <f t="shared" si="13"/>
        <v>4</v>
      </c>
    </row>
    <row r="89" spans="1:47" ht="12.75" customHeight="1" x14ac:dyDescent="0.3">
      <c r="A89" s="14"/>
      <c r="B89" s="27"/>
      <c r="C89" s="28" t="s">
        <v>77</v>
      </c>
      <c r="D89" s="29"/>
      <c r="E89" s="15">
        <v>0</v>
      </c>
      <c r="F89" s="15">
        <v>1</v>
      </c>
      <c r="G89" s="15">
        <v>0</v>
      </c>
      <c r="H89" s="15">
        <v>0</v>
      </c>
      <c r="I89" s="15">
        <v>0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1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>
        <v>0</v>
      </c>
      <c r="AM89" s="15">
        <v>0</v>
      </c>
      <c r="AN89" s="15">
        <v>0</v>
      </c>
      <c r="AO89" s="15">
        <v>2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3">
        <f t="shared" si="13"/>
        <v>4</v>
      </c>
    </row>
    <row r="90" spans="1:47" ht="12.75" customHeight="1" x14ac:dyDescent="0.3">
      <c r="A90" s="14"/>
      <c r="B90" s="27"/>
      <c r="C90" s="28" t="s">
        <v>78</v>
      </c>
      <c r="D90" s="29"/>
      <c r="E90" s="15">
        <v>0</v>
      </c>
      <c r="F90" s="15">
        <v>1</v>
      </c>
      <c r="G90" s="15">
        <v>1</v>
      </c>
      <c r="H90" s="15">
        <v>0</v>
      </c>
      <c r="I90" s="15">
        <v>0</v>
      </c>
      <c r="J90" s="15">
        <v>0</v>
      </c>
      <c r="K90" s="15">
        <v>0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2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5">
        <v>0</v>
      </c>
      <c r="AD90" s="15">
        <v>2</v>
      </c>
      <c r="AE90" s="15">
        <v>0</v>
      </c>
      <c r="AF90" s="15">
        <v>8</v>
      </c>
      <c r="AG90" s="15">
        <v>3</v>
      </c>
      <c r="AH90" s="15">
        <v>16</v>
      </c>
      <c r="AI90" s="15">
        <v>37</v>
      </c>
      <c r="AJ90" s="15">
        <v>1</v>
      </c>
      <c r="AK90" s="15">
        <v>0</v>
      </c>
      <c r="AL90" s="15">
        <v>0</v>
      </c>
      <c r="AM90" s="15">
        <v>0</v>
      </c>
      <c r="AN90" s="15">
        <v>4</v>
      </c>
      <c r="AO90" s="15">
        <v>0</v>
      </c>
      <c r="AP90" s="15">
        <v>0</v>
      </c>
      <c r="AQ90" s="15">
        <v>0</v>
      </c>
      <c r="AR90" s="15">
        <v>0</v>
      </c>
      <c r="AS90" s="15">
        <v>0</v>
      </c>
      <c r="AT90" s="15">
        <v>0</v>
      </c>
      <c r="AU90" s="13">
        <f t="shared" si="13"/>
        <v>75</v>
      </c>
    </row>
    <row r="91" spans="1:47" ht="12.75" customHeight="1" x14ac:dyDescent="0.3">
      <c r="A91" s="14"/>
      <c r="B91" s="27"/>
      <c r="C91" s="28" t="s">
        <v>79</v>
      </c>
      <c r="D91" s="29"/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1</v>
      </c>
      <c r="AI91" s="15">
        <v>0</v>
      </c>
      <c r="AJ91" s="15">
        <v>0</v>
      </c>
      <c r="AK91" s="15">
        <v>0</v>
      </c>
      <c r="AL91" s="15">
        <v>0</v>
      </c>
      <c r="AM91" s="15">
        <v>0</v>
      </c>
      <c r="AN91" s="15">
        <v>0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3">
        <f t="shared" si="13"/>
        <v>1</v>
      </c>
    </row>
    <row r="92" spans="1:47" ht="12.75" customHeight="1" x14ac:dyDescent="0.3">
      <c r="A92" s="14"/>
      <c r="B92" s="27"/>
      <c r="C92" s="28" t="s">
        <v>80</v>
      </c>
      <c r="D92" s="29"/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1</v>
      </c>
      <c r="AO92" s="15">
        <v>0</v>
      </c>
      <c r="AP92" s="15">
        <v>0</v>
      </c>
      <c r="AQ92" s="15">
        <v>1</v>
      </c>
      <c r="AR92" s="15">
        <v>0</v>
      </c>
      <c r="AS92" s="15">
        <v>0</v>
      </c>
      <c r="AT92" s="15">
        <v>0</v>
      </c>
      <c r="AU92" s="13">
        <f t="shared" si="13"/>
        <v>2</v>
      </c>
    </row>
    <row r="93" spans="1:47" ht="12.75" customHeight="1" x14ac:dyDescent="0.3">
      <c r="A93" s="15" t="s">
        <v>15</v>
      </c>
      <c r="B93" s="48" t="s">
        <v>47</v>
      </c>
      <c r="C93" s="49"/>
      <c r="D93" s="50"/>
      <c r="E93" s="34">
        <f t="shared" ref="E93:AT93" si="18">SUM(E85:E92)</f>
        <v>10</v>
      </c>
      <c r="F93" s="34">
        <f t="shared" si="18"/>
        <v>26</v>
      </c>
      <c r="G93" s="34">
        <f t="shared" si="18"/>
        <v>2</v>
      </c>
      <c r="H93" s="34">
        <f t="shared" si="18"/>
        <v>1</v>
      </c>
      <c r="I93" s="34">
        <f t="shared" si="18"/>
        <v>1</v>
      </c>
      <c r="J93" s="34">
        <f t="shared" si="18"/>
        <v>0</v>
      </c>
      <c r="K93" s="34">
        <f t="shared" si="18"/>
        <v>6</v>
      </c>
      <c r="L93" s="34">
        <f t="shared" si="18"/>
        <v>3</v>
      </c>
      <c r="M93" s="34">
        <f t="shared" si="18"/>
        <v>1</v>
      </c>
      <c r="N93" s="34">
        <f t="shared" si="18"/>
        <v>0</v>
      </c>
      <c r="O93" s="34">
        <f t="shared" si="18"/>
        <v>2</v>
      </c>
      <c r="P93" s="34">
        <f t="shared" si="18"/>
        <v>0</v>
      </c>
      <c r="Q93" s="34">
        <f t="shared" si="18"/>
        <v>2</v>
      </c>
      <c r="R93" s="34">
        <f t="shared" si="18"/>
        <v>5</v>
      </c>
      <c r="S93" s="34">
        <f t="shared" si="18"/>
        <v>2</v>
      </c>
      <c r="T93" s="34">
        <f t="shared" si="18"/>
        <v>6</v>
      </c>
      <c r="U93" s="34">
        <f t="shared" si="18"/>
        <v>1</v>
      </c>
      <c r="V93" s="34">
        <f t="shared" si="18"/>
        <v>4</v>
      </c>
      <c r="W93" s="34">
        <f t="shared" si="18"/>
        <v>4</v>
      </c>
      <c r="X93" s="34">
        <f t="shared" si="18"/>
        <v>3</v>
      </c>
      <c r="Y93" s="34">
        <f t="shared" si="18"/>
        <v>0</v>
      </c>
      <c r="Z93" s="34">
        <f t="shared" si="18"/>
        <v>3</v>
      </c>
      <c r="AA93" s="34">
        <f t="shared" si="18"/>
        <v>1</v>
      </c>
      <c r="AB93" s="34">
        <f t="shared" si="18"/>
        <v>0</v>
      </c>
      <c r="AC93" s="34">
        <f t="shared" si="18"/>
        <v>5</v>
      </c>
      <c r="AD93" s="34">
        <f t="shared" si="18"/>
        <v>6</v>
      </c>
      <c r="AE93" s="34">
        <f t="shared" si="18"/>
        <v>10</v>
      </c>
      <c r="AF93" s="34">
        <f t="shared" si="18"/>
        <v>12</v>
      </c>
      <c r="AG93" s="34">
        <f t="shared" si="18"/>
        <v>5</v>
      </c>
      <c r="AH93" s="34">
        <f t="shared" si="18"/>
        <v>39</v>
      </c>
      <c r="AI93" s="34">
        <f t="shared" si="18"/>
        <v>47</v>
      </c>
      <c r="AJ93" s="34">
        <f t="shared" si="18"/>
        <v>6</v>
      </c>
      <c r="AK93" s="34">
        <f t="shared" si="18"/>
        <v>1</v>
      </c>
      <c r="AL93" s="34">
        <f t="shared" si="18"/>
        <v>2</v>
      </c>
      <c r="AM93" s="34">
        <f t="shared" si="18"/>
        <v>20</v>
      </c>
      <c r="AN93" s="34">
        <f t="shared" si="18"/>
        <v>39</v>
      </c>
      <c r="AO93" s="34">
        <f t="shared" si="18"/>
        <v>42</v>
      </c>
      <c r="AP93" s="34">
        <f t="shared" si="18"/>
        <v>4</v>
      </c>
      <c r="AQ93" s="34">
        <f t="shared" si="18"/>
        <v>3</v>
      </c>
      <c r="AR93" s="34">
        <f t="shared" si="18"/>
        <v>2</v>
      </c>
      <c r="AS93" s="34">
        <f t="shared" si="18"/>
        <v>2</v>
      </c>
      <c r="AT93" s="34">
        <f t="shared" si="18"/>
        <v>1</v>
      </c>
      <c r="AU93" s="13">
        <f t="shared" si="13"/>
        <v>329</v>
      </c>
    </row>
    <row r="94" spans="1:47" ht="12.75" customHeight="1" x14ac:dyDescent="0.3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13">
        <f t="shared" si="13"/>
        <v>0</v>
      </c>
    </row>
    <row r="95" spans="1:47" ht="12.75" customHeight="1" x14ac:dyDescent="0.3">
      <c r="A95" s="19" t="s">
        <v>37</v>
      </c>
      <c r="B95" s="26" t="s">
        <v>81</v>
      </c>
      <c r="C95" s="51" t="s">
        <v>82</v>
      </c>
      <c r="D95" s="50"/>
      <c r="E95" s="15">
        <v>2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1</v>
      </c>
      <c r="O95" s="15">
        <v>0</v>
      </c>
      <c r="P95" s="15">
        <v>0</v>
      </c>
      <c r="Q95" s="15">
        <v>2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1</v>
      </c>
      <c r="Y95" s="15">
        <v>0</v>
      </c>
      <c r="Z95" s="15">
        <v>0</v>
      </c>
      <c r="AA95" s="15">
        <v>0</v>
      </c>
      <c r="AB95" s="15">
        <v>2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3">
        <f t="shared" si="13"/>
        <v>8</v>
      </c>
    </row>
    <row r="96" spans="1:47" ht="12.75" customHeight="1" x14ac:dyDescent="0.3">
      <c r="A96" s="19" t="s">
        <v>39</v>
      </c>
      <c r="B96" s="27"/>
      <c r="C96" s="28" t="s">
        <v>83</v>
      </c>
      <c r="D96" s="40"/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1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1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1</v>
      </c>
      <c r="AG96" s="15">
        <v>0</v>
      </c>
      <c r="AH96" s="15">
        <v>3</v>
      </c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3">
        <f t="shared" si="13"/>
        <v>6</v>
      </c>
    </row>
    <row r="97" spans="1:47" ht="12.75" customHeight="1" x14ac:dyDescent="0.3">
      <c r="A97" s="15" t="s">
        <v>15</v>
      </c>
      <c r="B97" s="48" t="s">
        <v>47</v>
      </c>
      <c r="C97" s="49"/>
      <c r="D97" s="50"/>
      <c r="E97" s="34">
        <f t="shared" ref="E97:AT97" si="19">SUM(E95:E96)</f>
        <v>2</v>
      </c>
      <c r="F97" s="34">
        <f t="shared" si="19"/>
        <v>0</v>
      </c>
      <c r="G97" s="34">
        <f t="shared" si="19"/>
        <v>0</v>
      </c>
      <c r="H97" s="34">
        <f t="shared" si="19"/>
        <v>0</v>
      </c>
      <c r="I97" s="34">
        <f t="shared" si="19"/>
        <v>0</v>
      </c>
      <c r="J97" s="34">
        <f t="shared" si="19"/>
        <v>0</v>
      </c>
      <c r="K97" s="34">
        <f t="shared" si="19"/>
        <v>0</v>
      </c>
      <c r="L97" s="34">
        <f t="shared" si="19"/>
        <v>0</v>
      </c>
      <c r="M97" s="34">
        <f t="shared" si="19"/>
        <v>0</v>
      </c>
      <c r="N97" s="34">
        <f t="shared" si="19"/>
        <v>1</v>
      </c>
      <c r="O97" s="34">
        <f t="shared" si="19"/>
        <v>0</v>
      </c>
      <c r="P97" s="34">
        <f t="shared" si="19"/>
        <v>0</v>
      </c>
      <c r="Q97" s="34">
        <f t="shared" si="19"/>
        <v>3</v>
      </c>
      <c r="R97" s="34">
        <f t="shared" si="19"/>
        <v>0</v>
      </c>
      <c r="S97" s="34">
        <f t="shared" si="19"/>
        <v>0</v>
      </c>
      <c r="T97" s="34">
        <f t="shared" si="19"/>
        <v>0</v>
      </c>
      <c r="U97" s="34">
        <f t="shared" si="19"/>
        <v>0</v>
      </c>
      <c r="V97" s="34">
        <f t="shared" si="19"/>
        <v>0</v>
      </c>
      <c r="W97" s="34">
        <f t="shared" si="19"/>
        <v>1</v>
      </c>
      <c r="X97" s="34">
        <f t="shared" si="19"/>
        <v>1</v>
      </c>
      <c r="Y97" s="34">
        <f t="shared" si="19"/>
        <v>0</v>
      </c>
      <c r="Z97" s="34">
        <f t="shared" si="19"/>
        <v>0</v>
      </c>
      <c r="AA97" s="34">
        <f t="shared" si="19"/>
        <v>0</v>
      </c>
      <c r="AB97" s="34">
        <f t="shared" si="19"/>
        <v>2</v>
      </c>
      <c r="AC97" s="34">
        <f t="shared" si="19"/>
        <v>0</v>
      </c>
      <c r="AD97" s="34">
        <f t="shared" si="19"/>
        <v>0</v>
      </c>
      <c r="AE97" s="34">
        <f t="shared" si="19"/>
        <v>0</v>
      </c>
      <c r="AF97" s="34">
        <f t="shared" si="19"/>
        <v>1</v>
      </c>
      <c r="AG97" s="34">
        <f t="shared" si="19"/>
        <v>0</v>
      </c>
      <c r="AH97" s="34">
        <f t="shared" si="19"/>
        <v>3</v>
      </c>
      <c r="AI97" s="34">
        <f t="shared" si="19"/>
        <v>0</v>
      </c>
      <c r="AJ97" s="34">
        <f t="shared" si="19"/>
        <v>0</v>
      </c>
      <c r="AK97" s="34">
        <f t="shared" si="19"/>
        <v>0</v>
      </c>
      <c r="AL97" s="34">
        <f t="shared" si="19"/>
        <v>0</v>
      </c>
      <c r="AM97" s="34">
        <f t="shared" si="19"/>
        <v>0</v>
      </c>
      <c r="AN97" s="34">
        <f t="shared" si="19"/>
        <v>0</v>
      </c>
      <c r="AO97" s="34">
        <f t="shared" si="19"/>
        <v>0</v>
      </c>
      <c r="AP97" s="34">
        <f t="shared" si="19"/>
        <v>0</v>
      </c>
      <c r="AQ97" s="34">
        <f t="shared" si="19"/>
        <v>0</v>
      </c>
      <c r="AR97" s="34">
        <f t="shared" si="19"/>
        <v>0</v>
      </c>
      <c r="AS97" s="34">
        <f t="shared" si="19"/>
        <v>0</v>
      </c>
      <c r="AT97" s="34">
        <f t="shared" si="19"/>
        <v>0</v>
      </c>
      <c r="AU97" s="13">
        <f t="shared" si="13"/>
        <v>14</v>
      </c>
    </row>
    <row r="98" spans="1:47" ht="12.75" customHeight="1" x14ac:dyDescent="0.3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13">
        <f t="shared" si="13"/>
        <v>0</v>
      </c>
    </row>
    <row r="99" spans="1:47" ht="12.75" customHeight="1" x14ac:dyDescent="0.3">
      <c r="A99" s="19" t="s">
        <v>37</v>
      </c>
      <c r="B99" s="26" t="s">
        <v>84</v>
      </c>
      <c r="C99" s="51" t="s">
        <v>85</v>
      </c>
      <c r="D99" s="50"/>
      <c r="E99" s="15">
        <v>1</v>
      </c>
      <c r="F99" s="15">
        <v>3</v>
      </c>
      <c r="G99" s="15">
        <v>1</v>
      </c>
      <c r="H99" s="15">
        <v>0</v>
      </c>
      <c r="I99" s="15">
        <v>1</v>
      </c>
      <c r="J99" s="15">
        <v>0</v>
      </c>
      <c r="K99" s="15">
        <v>1</v>
      </c>
      <c r="L99" s="15">
        <v>0</v>
      </c>
      <c r="M99" s="15">
        <v>0</v>
      </c>
      <c r="N99" s="15">
        <v>1</v>
      </c>
      <c r="O99" s="15">
        <v>0</v>
      </c>
      <c r="P99" s="15">
        <v>1</v>
      </c>
      <c r="Q99" s="15">
        <v>0</v>
      </c>
      <c r="R99" s="15">
        <v>0</v>
      </c>
      <c r="S99" s="15">
        <v>1</v>
      </c>
      <c r="T99" s="15">
        <v>0</v>
      </c>
      <c r="U99" s="15">
        <v>0</v>
      </c>
      <c r="V99" s="15">
        <v>0</v>
      </c>
      <c r="W99" s="15">
        <v>0</v>
      </c>
      <c r="X99" s="15">
        <v>0</v>
      </c>
      <c r="Y99" s="15">
        <v>1</v>
      </c>
      <c r="Z99" s="15">
        <v>0</v>
      </c>
      <c r="AA99" s="15">
        <v>0</v>
      </c>
      <c r="AB99" s="15">
        <v>0</v>
      </c>
      <c r="AC99" s="15">
        <v>1</v>
      </c>
      <c r="AD99" s="15">
        <v>1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>
        <v>0</v>
      </c>
      <c r="AM99" s="15">
        <v>1</v>
      </c>
      <c r="AN99" s="15">
        <v>0</v>
      </c>
      <c r="AO99" s="15">
        <v>0</v>
      </c>
      <c r="AP99" s="15">
        <v>0</v>
      </c>
      <c r="AQ99" s="15">
        <v>2</v>
      </c>
      <c r="AR99" s="15">
        <v>1</v>
      </c>
      <c r="AS99" s="15">
        <v>0</v>
      </c>
      <c r="AT99" s="15">
        <v>0</v>
      </c>
      <c r="AU99" s="13">
        <f t="shared" si="13"/>
        <v>17</v>
      </c>
    </row>
    <row r="100" spans="1:47" ht="12.75" customHeight="1" x14ac:dyDescent="0.3">
      <c r="A100" s="19" t="s">
        <v>39</v>
      </c>
      <c r="B100" s="27"/>
      <c r="C100" s="28" t="s">
        <v>86</v>
      </c>
      <c r="D100" s="29"/>
      <c r="E100" s="15">
        <v>0</v>
      </c>
      <c r="F100" s="15">
        <v>1</v>
      </c>
      <c r="G100" s="15">
        <v>1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>
        <v>0</v>
      </c>
      <c r="AD100" s="15">
        <v>2</v>
      </c>
      <c r="AE100" s="15">
        <v>0</v>
      </c>
      <c r="AF100" s="15">
        <v>0</v>
      </c>
      <c r="AG100" s="15">
        <v>0</v>
      </c>
      <c r="AH100" s="15">
        <v>1</v>
      </c>
      <c r="AI100" s="15">
        <v>0</v>
      </c>
      <c r="AJ100" s="15">
        <v>1</v>
      </c>
      <c r="AK100" s="15">
        <v>0</v>
      </c>
      <c r="AL100" s="15">
        <v>0</v>
      </c>
      <c r="AM100" s="15">
        <v>0</v>
      </c>
      <c r="AN100" s="15">
        <v>0</v>
      </c>
      <c r="AO100" s="15">
        <v>0</v>
      </c>
      <c r="AP100" s="15">
        <v>1</v>
      </c>
      <c r="AQ100" s="15">
        <v>0</v>
      </c>
      <c r="AR100" s="15">
        <v>0</v>
      </c>
      <c r="AS100" s="15">
        <v>0</v>
      </c>
      <c r="AT100" s="15">
        <v>0</v>
      </c>
      <c r="AU100" s="13">
        <f t="shared" si="13"/>
        <v>7</v>
      </c>
    </row>
    <row r="101" spans="1:47" ht="12.75" customHeight="1" x14ac:dyDescent="0.3">
      <c r="A101" s="15" t="s">
        <v>15</v>
      </c>
      <c r="B101" s="48" t="s">
        <v>47</v>
      </c>
      <c r="C101" s="49"/>
      <c r="D101" s="50"/>
      <c r="E101" s="34">
        <f t="shared" ref="E101:AT101" si="20">SUM(E99:E100)</f>
        <v>1</v>
      </c>
      <c r="F101" s="34">
        <f t="shared" si="20"/>
        <v>4</v>
      </c>
      <c r="G101" s="34">
        <f t="shared" si="20"/>
        <v>2</v>
      </c>
      <c r="H101" s="34">
        <f t="shared" si="20"/>
        <v>0</v>
      </c>
      <c r="I101" s="34">
        <f t="shared" si="20"/>
        <v>1</v>
      </c>
      <c r="J101" s="34">
        <f t="shared" si="20"/>
        <v>0</v>
      </c>
      <c r="K101" s="34">
        <f t="shared" si="20"/>
        <v>1</v>
      </c>
      <c r="L101" s="34">
        <f t="shared" si="20"/>
        <v>0</v>
      </c>
      <c r="M101" s="34">
        <f t="shared" si="20"/>
        <v>0</v>
      </c>
      <c r="N101" s="34">
        <f t="shared" si="20"/>
        <v>1</v>
      </c>
      <c r="O101" s="34">
        <f t="shared" si="20"/>
        <v>0</v>
      </c>
      <c r="P101" s="34">
        <f t="shared" si="20"/>
        <v>1</v>
      </c>
      <c r="Q101" s="34">
        <f t="shared" si="20"/>
        <v>0</v>
      </c>
      <c r="R101" s="34">
        <f t="shared" si="20"/>
        <v>0</v>
      </c>
      <c r="S101" s="34">
        <f t="shared" si="20"/>
        <v>1</v>
      </c>
      <c r="T101" s="34">
        <f t="shared" si="20"/>
        <v>0</v>
      </c>
      <c r="U101" s="34">
        <f t="shared" si="20"/>
        <v>0</v>
      </c>
      <c r="V101" s="34">
        <f t="shared" si="20"/>
        <v>0</v>
      </c>
      <c r="W101" s="34">
        <f t="shared" si="20"/>
        <v>0</v>
      </c>
      <c r="X101" s="34">
        <f t="shared" si="20"/>
        <v>0</v>
      </c>
      <c r="Y101" s="34">
        <f t="shared" si="20"/>
        <v>1</v>
      </c>
      <c r="Z101" s="34">
        <f t="shared" si="20"/>
        <v>0</v>
      </c>
      <c r="AA101" s="34">
        <f t="shared" si="20"/>
        <v>0</v>
      </c>
      <c r="AB101" s="34">
        <f t="shared" si="20"/>
        <v>0</v>
      </c>
      <c r="AC101" s="34">
        <f t="shared" si="20"/>
        <v>1</v>
      </c>
      <c r="AD101" s="34">
        <f t="shared" si="20"/>
        <v>3</v>
      </c>
      <c r="AE101" s="34">
        <f t="shared" si="20"/>
        <v>0</v>
      </c>
      <c r="AF101" s="34">
        <f t="shared" si="20"/>
        <v>0</v>
      </c>
      <c r="AG101" s="34">
        <f t="shared" si="20"/>
        <v>0</v>
      </c>
      <c r="AH101" s="34">
        <f t="shared" si="20"/>
        <v>1</v>
      </c>
      <c r="AI101" s="34">
        <f t="shared" si="20"/>
        <v>0</v>
      </c>
      <c r="AJ101" s="34">
        <f t="shared" si="20"/>
        <v>1</v>
      </c>
      <c r="AK101" s="34">
        <f t="shared" si="20"/>
        <v>0</v>
      </c>
      <c r="AL101" s="34">
        <f t="shared" si="20"/>
        <v>0</v>
      </c>
      <c r="AM101" s="34">
        <f t="shared" si="20"/>
        <v>1</v>
      </c>
      <c r="AN101" s="34">
        <f t="shared" si="20"/>
        <v>0</v>
      </c>
      <c r="AO101" s="34">
        <f t="shared" si="20"/>
        <v>0</v>
      </c>
      <c r="AP101" s="34">
        <f t="shared" si="20"/>
        <v>1</v>
      </c>
      <c r="AQ101" s="34">
        <f t="shared" si="20"/>
        <v>2</v>
      </c>
      <c r="AR101" s="34">
        <f t="shared" si="20"/>
        <v>1</v>
      </c>
      <c r="AS101" s="34">
        <f t="shared" si="20"/>
        <v>0</v>
      </c>
      <c r="AT101" s="34">
        <f t="shared" si="20"/>
        <v>0</v>
      </c>
      <c r="AU101" s="13">
        <f t="shared" si="13"/>
        <v>24</v>
      </c>
    </row>
    <row r="102" spans="1:47" ht="12.75" customHeight="1" x14ac:dyDescent="0.3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13">
        <f t="shared" si="13"/>
        <v>0</v>
      </c>
    </row>
    <row r="103" spans="1:47" ht="12.75" customHeight="1" x14ac:dyDescent="0.3">
      <c r="A103" s="19" t="s">
        <v>37</v>
      </c>
      <c r="B103" s="26" t="s">
        <v>87</v>
      </c>
      <c r="C103" s="51" t="s">
        <v>88</v>
      </c>
      <c r="D103" s="50"/>
      <c r="E103" s="15">
        <v>0</v>
      </c>
      <c r="F103" s="15">
        <v>0</v>
      </c>
      <c r="G103" s="15">
        <v>0</v>
      </c>
      <c r="H103" s="15">
        <v>0</v>
      </c>
      <c r="I103" s="15">
        <v>0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1</v>
      </c>
      <c r="T103" s="15">
        <v>0</v>
      </c>
      <c r="U103" s="15">
        <v>0</v>
      </c>
      <c r="V103" s="15">
        <v>0</v>
      </c>
      <c r="W103" s="15">
        <v>1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1</v>
      </c>
      <c r="AG103" s="15">
        <v>2</v>
      </c>
      <c r="AH103" s="15">
        <v>0</v>
      </c>
      <c r="AI103" s="15">
        <v>2</v>
      </c>
      <c r="AJ103" s="15">
        <v>0</v>
      </c>
      <c r="AK103" s="15">
        <v>0</v>
      </c>
      <c r="AL103" s="15">
        <v>0</v>
      </c>
      <c r="AM103" s="15">
        <v>0</v>
      </c>
      <c r="AN103" s="15">
        <v>0</v>
      </c>
      <c r="AO103" s="15">
        <v>0</v>
      </c>
      <c r="AP103" s="15">
        <v>0</v>
      </c>
      <c r="AQ103" s="15">
        <v>0</v>
      </c>
      <c r="AR103" s="15">
        <v>0</v>
      </c>
      <c r="AS103" s="15">
        <v>0</v>
      </c>
      <c r="AT103" s="15">
        <v>0</v>
      </c>
      <c r="AU103" s="13">
        <f t="shared" si="13"/>
        <v>7</v>
      </c>
    </row>
    <row r="104" spans="1:47" ht="12.75" customHeight="1" x14ac:dyDescent="0.3">
      <c r="A104" s="19" t="s">
        <v>39</v>
      </c>
      <c r="B104" s="27"/>
      <c r="C104" s="28" t="s">
        <v>89</v>
      </c>
      <c r="D104" s="29"/>
      <c r="E104" s="15">
        <v>1</v>
      </c>
      <c r="F104" s="15">
        <v>2</v>
      </c>
      <c r="G104" s="15">
        <v>0</v>
      </c>
      <c r="H104" s="15">
        <v>0</v>
      </c>
      <c r="I104" s="15">
        <v>1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5">
        <v>0</v>
      </c>
      <c r="W104" s="15">
        <v>1</v>
      </c>
      <c r="X104" s="15">
        <v>0</v>
      </c>
      <c r="Y104" s="15">
        <v>0</v>
      </c>
      <c r="Z104" s="15">
        <v>0</v>
      </c>
      <c r="AA104" s="15">
        <v>0</v>
      </c>
      <c r="AB104" s="15">
        <v>0</v>
      </c>
      <c r="AC104" s="15">
        <v>1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1</v>
      </c>
      <c r="AJ104" s="15">
        <v>0</v>
      </c>
      <c r="AK104" s="15">
        <v>0</v>
      </c>
      <c r="AL104" s="15">
        <v>1</v>
      </c>
      <c r="AM104" s="15">
        <v>0</v>
      </c>
      <c r="AN104" s="15">
        <v>1</v>
      </c>
      <c r="AO104" s="15">
        <v>0</v>
      </c>
      <c r="AP104" s="15">
        <v>0</v>
      </c>
      <c r="AQ104" s="15">
        <v>1</v>
      </c>
      <c r="AR104" s="15">
        <v>1</v>
      </c>
      <c r="AS104" s="15">
        <v>0</v>
      </c>
      <c r="AT104" s="15">
        <v>0</v>
      </c>
      <c r="AU104" s="13">
        <f t="shared" si="13"/>
        <v>11</v>
      </c>
    </row>
    <row r="105" spans="1:47" ht="12.75" customHeight="1" x14ac:dyDescent="0.3">
      <c r="A105" s="14"/>
      <c r="B105" s="27"/>
      <c r="C105" s="28" t="s">
        <v>90</v>
      </c>
      <c r="D105" s="29"/>
      <c r="E105" s="15">
        <v>1</v>
      </c>
      <c r="F105" s="15">
        <v>0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0</v>
      </c>
      <c r="U105" s="15">
        <v>0</v>
      </c>
      <c r="V105" s="15">
        <v>0</v>
      </c>
      <c r="W105" s="15">
        <v>1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2</v>
      </c>
      <c r="AG105" s="15">
        <v>0</v>
      </c>
      <c r="AH105" s="15">
        <v>0</v>
      </c>
      <c r="AI105" s="15">
        <v>1</v>
      </c>
      <c r="AJ105" s="15">
        <v>0</v>
      </c>
      <c r="AK105" s="15">
        <v>0</v>
      </c>
      <c r="AL105" s="15">
        <v>0</v>
      </c>
      <c r="AM105" s="15">
        <v>0</v>
      </c>
      <c r="AN105" s="15">
        <v>0</v>
      </c>
      <c r="AO105" s="15">
        <v>0</v>
      </c>
      <c r="AP105" s="15">
        <v>0</v>
      </c>
      <c r="AQ105" s="15">
        <v>0</v>
      </c>
      <c r="AR105" s="15">
        <v>0</v>
      </c>
      <c r="AS105" s="15">
        <v>0</v>
      </c>
      <c r="AT105" s="15">
        <v>0</v>
      </c>
      <c r="AU105" s="13">
        <f t="shared" si="13"/>
        <v>5</v>
      </c>
    </row>
    <row r="106" spans="1:47" ht="12.75" customHeight="1" x14ac:dyDescent="0.3">
      <c r="A106" s="14"/>
      <c r="B106" s="27"/>
      <c r="C106" s="28" t="s">
        <v>91</v>
      </c>
      <c r="D106" s="29"/>
      <c r="E106" s="15">
        <v>0</v>
      </c>
      <c r="F106" s="15">
        <v>1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>
        <v>0</v>
      </c>
      <c r="AM106" s="15">
        <v>0</v>
      </c>
      <c r="AN106" s="15">
        <v>1</v>
      </c>
      <c r="AO106" s="15">
        <v>0</v>
      </c>
      <c r="AP106" s="15">
        <v>0</v>
      </c>
      <c r="AQ106" s="15">
        <v>0</v>
      </c>
      <c r="AR106" s="15">
        <v>0</v>
      </c>
      <c r="AS106" s="15">
        <v>0</v>
      </c>
      <c r="AT106" s="15">
        <v>0</v>
      </c>
      <c r="AU106" s="13">
        <f t="shared" si="13"/>
        <v>2</v>
      </c>
    </row>
    <row r="107" spans="1:47" ht="12.75" customHeight="1" x14ac:dyDescent="0.3">
      <c r="A107" s="14"/>
      <c r="B107" s="27"/>
      <c r="C107" s="28" t="s">
        <v>92</v>
      </c>
      <c r="D107" s="29"/>
      <c r="E107" s="15">
        <v>0</v>
      </c>
      <c r="F107" s="15">
        <v>0</v>
      </c>
      <c r="G107" s="15">
        <v>0</v>
      </c>
      <c r="H107" s="15">
        <v>0</v>
      </c>
      <c r="I107" s="15">
        <v>0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0</v>
      </c>
      <c r="U107" s="15">
        <v>1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1</v>
      </c>
      <c r="AK107" s="15">
        <v>0</v>
      </c>
      <c r="AL107" s="15">
        <v>0</v>
      </c>
      <c r="AM107" s="15">
        <v>0</v>
      </c>
      <c r="AN107" s="15">
        <v>0</v>
      </c>
      <c r="AO107" s="15">
        <v>0</v>
      </c>
      <c r="AP107" s="15">
        <v>0</v>
      </c>
      <c r="AQ107" s="15">
        <v>0</v>
      </c>
      <c r="AR107" s="15">
        <v>0</v>
      </c>
      <c r="AS107" s="15">
        <v>0</v>
      </c>
      <c r="AT107" s="15">
        <v>0</v>
      </c>
      <c r="AU107" s="13">
        <f t="shared" si="13"/>
        <v>2</v>
      </c>
    </row>
    <row r="108" spans="1:47" ht="12.75" customHeight="1" x14ac:dyDescent="0.3">
      <c r="A108" s="14"/>
      <c r="B108" s="27"/>
      <c r="C108" s="28" t="s">
        <v>93</v>
      </c>
      <c r="D108" s="29"/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>
        <v>1</v>
      </c>
      <c r="AM108" s="15">
        <v>1</v>
      </c>
      <c r="AN108" s="15">
        <v>0</v>
      </c>
      <c r="AO108" s="15">
        <v>0</v>
      </c>
      <c r="AP108" s="15">
        <v>0</v>
      </c>
      <c r="AQ108" s="15">
        <v>0</v>
      </c>
      <c r="AR108" s="15">
        <v>0</v>
      </c>
      <c r="AS108" s="15">
        <v>0</v>
      </c>
      <c r="AT108" s="15">
        <v>0</v>
      </c>
      <c r="AU108" s="13">
        <f t="shared" si="13"/>
        <v>3</v>
      </c>
    </row>
    <row r="109" spans="1:47" ht="12.75" customHeight="1" x14ac:dyDescent="0.3">
      <c r="A109" s="14"/>
      <c r="B109" s="27"/>
      <c r="C109" s="28" t="s">
        <v>94</v>
      </c>
      <c r="D109" s="29"/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3">
        <f t="shared" si="13"/>
        <v>0</v>
      </c>
    </row>
    <row r="110" spans="1:47" ht="12.75" customHeight="1" x14ac:dyDescent="0.3">
      <c r="A110" s="14"/>
      <c r="B110" s="27"/>
      <c r="C110" s="28" t="s">
        <v>95</v>
      </c>
      <c r="D110" s="29"/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>
        <v>0</v>
      </c>
      <c r="AM110" s="15">
        <v>0</v>
      </c>
      <c r="AN110" s="15">
        <v>0</v>
      </c>
      <c r="AO110" s="15">
        <v>0</v>
      </c>
      <c r="AP110" s="15">
        <v>0</v>
      </c>
      <c r="AQ110" s="15">
        <v>0</v>
      </c>
      <c r="AR110" s="15">
        <v>0</v>
      </c>
      <c r="AS110" s="15">
        <v>0</v>
      </c>
      <c r="AT110" s="15">
        <v>0</v>
      </c>
      <c r="AU110" s="13">
        <f t="shared" si="13"/>
        <v>0</v>
      </c>
    </row>
    <row r="111" spans="1:47" ht="12.75" customHeight="1" x14ac:dyDescent="0.3">
      <c r="A111" s="15" t="s">
        <v>15</v>
      </c>
      <c r="B111" s="48" t="s">
        <v>47</v>
      </c>
      <c r="C111" s="49"/>
      <c r="D111" s="50"/>
      <c r="E111" s="34">
        <f t="shared" ref="E111:AT111" si="21">SUM(E103:E110)</f>
        <v>2</v>
      </c>
      <c r="F111" s="34">
        <f t="shared" si="21"/>
        <v>3</v>
      </c>
      <c r="G111" s="34">
        <f t="shared" si="21"/>
        <v>0</v>
      </c>
      <c r="H111" s="34">
        <f t="shared" si="21"/>
        <v>0</v>
      </c>
      <c r="I111" s="34">
        <f t="shared" si="21"/>
        <v>1</v>
      </c>
      <c r="J111" s="34">
        <f t="shared" si="21"/>
        <v>0</v>
      </c>
      <c r="K111" s="34">
        <f t="shared" si="21"/>
        <v>0</v>
      </c>
      <c r="L111" s="34">
        <f t="shared" si="21"/>
        <v>0</v>
      </c>
      <c r="M111" s="34">
        <f t="shared" si="21"/>
        <v>0</v>
      </c>
      <c r="N111" s="34">
        <f t="shared" si="21"/>
        <v>0</v>
      </c>
      <c r="O111" s="34">
        <f t="shared" si="21"/>
        <v>0</v>
      </c>
      <c r="P111" s="34">
        <f t="shared" si="21"/>
        <v>0</v>
      </c>
      <c r="Q111" s="34">
        <f t="shared" si="21"/>
        <v>0</v>
      </c>
      <c r="R111" s="34">
        <f t="shared" si="21"/>
        <v>0</v>
      </c>
      <c r="S111" s="34">
        <f t="shared" si="21"/>
        <v>1</v>
      </c>
      <c r="T111" s="34">
        <f t="shared" si="21"/>
        <v>0</v>
      </c>
      <c r="U111" s="34">
        <f t="shared" si="21"/>
        <v>1</v>
      </c>
      <c r="V111" s="34">
        <f t="shared" si="21"/>
        <v>1</v>
      </c>
      <c r="W111" s="34">
        <f t="shared" si="21"/>
        <v>3</v>
      </c>
      <c r="X111" s="34">
        <f t="shared" si="21"/>
        <v>0</v>
      </c>
      <c r="Y111" s="34">
        <f t="shared" si="21"/>
        <v>0</v>
      </c>
      <c r="Z111" s="34">
        <f t="shared" si="21"/>
        <v>0</v>
      </c>
      <c r="AA111" s="34">
        <f t="shared" si="21"/>
        <v>0</v>
      </c>
      <c r="AB111" s="34">
        <f t="shared" si="21"/>
        <v>0</v>
      </c>
      <c r="AC111" s="34">
        <f t="shared" si="21"/>
        <v>1</v>
      </c>
      <c r="AD111" s="34">
        <f t="shared" si="21"/>
        <v>0</v>
      </c>
      <c r="AE111" s="34">
        <f t="shared" si="21"/>
        <v>0</v>
      </c>
      <c r="AF111" s="34">
        <f t="shared" si="21"/>
        <v>3</v>
      </c>
      <c r="AG111" s="34">
        <f t="shared" si="21"/>
        <v>2</v>
      </c>
      <c r="AH111" s="34">
        <f t="shared" si="21"/>
        <v>0</v>
      </c>
      <c r="AI111" s="34">
        <f t="shared" si="21"/>
        <v>4</v>
      </c>
      <c r="AJ111" s="34">
        <f t="shared" si="21"/>
        <v>1</v>
      </c>
      <c r="AK111" s="34">
        <f t="shared" si="21"/>
        <v>0</v>
      </c>
      <c r="AL111" s="34">
        <f t="shared" si="21"/>
        <v>2</v>
      </c>
      <c r="AM111" s="34">
        <f t="shared" si="21"/>
        <v>1</v>
      </c>
      <c r="AN111" s="34">
        <f t="shared" si="21"/>
        <v>2</v>
      </c>
      <c r="AO111" s="34">
        <f t="shared" si="21"/>
        <v>0</v>
      </c>
      <c r="AP111" s="34">
        <f t="shared" si="21"/>
        <v>0</v>
      </c>
      <c r="AQ111" s="34">
        <f t="shared" si="21"/>
        <v>1</v>
      </c>
      <c r="AR111" s="34">
        <f t="shared" si="21"/>
        <v>1</v>
      </c>
      <c r="AS111" s="34">
        <f t="shared" si="21"/>
        <v>0</v>
      </c>
      <c r="AT111" s="34">
        <f t="shared" si="21"/>
        <v>0</v>
      </c>
      <c r="AU111" s="13">
        <f t="shared" si="13"/>
        <v>30</v>
      </c>
    </row>
    <row r="112" spans="1:47" ht="12.75" customHeight="1" x14ac:dyDescent="0.3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13">
        <f t="shared" si="13"/>
        <v>0</v>
      </c>
    </row>
    <row r="113" spans="1:49" ht="12.75" customHeight="1" x14ac:dyDescent="0.3">
      <c r="A113" s="19" t="s">
        <v>37</v>
      </c>
      <c r="B113" s="26" t="s">
        <v>96</v>
      </c>
      <c r="C113" s="51" t="s">
        <v>97</v>
      </c>
      <c r="D113" s="50"/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1</v>
      </c>
      <c r="T113" s="15">
        <v>1</v>
      </c>
      <c r="U113" s="15">
        <v>0</v>
      </c>
      <c r="V113" s="15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3">
        <f t="shared" si="13"/>
        <v>2</v>
      </c>
    </row>
    <row r="114" spans="1:49" ht="12.75" customHeight="1" x14ac:dyDescent="0.3">
      <c r="A114" s="19" t="s">
        <v>39</v>
      </c>
      <c r="B114" s="26"/>
      <c r="C114" s="28" t="s">
        <v>98</v>
      </c>
      <c r="D114" s="40"/>
      <c r="E114" s="15">
        <v>0</v>
      </c>
      <c r="F114" s="15">
        <v>0</v>
      </c>
      <c r="G114" s="15">
        <v>1</v>
      </c>
      <c r="H114" s="15">
        <v>0</v>
      </c>
      <c r="I114" s="15">
        <v>0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>
        <v>0</v>
      </c>
      <c r="U114" s="15">
        <v>0</v>
      </c>
      <c r="V114" s="15">
        <v>0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3">
        <f t="shared" si="13"/>
        <v>1</v>
      </c>
    </row>
    <row r="115" spans="1:49" ht="12.75" customHeight="1" x14ac:dyDescent="0.3">
      <c r="A115" s="15" t="s">
        <v>15</v>
      </c>
      <c r="B115" s="48" t="s">
        <v>47</v>
      </c>
      <c r="C115" s="49"/>
      <c r="D115" s="50"/>
      <c r="E115" s="34">
        <f t="shared" ref="E115:AT115" si="22">SUM(E113:E114)</f>
        <v>0</v>
      </c>
      <c r="F115" s="34">
        <f t="shared" si="22"/>
        <v>0</v>
      </c>
      <c r="G115" s="34">
        <f t="shared" si="22"/>
        <v>1</v>
      </c>
      <c r="H115" s="34">
        <f t="shared" si="22"/>
        <v>0</v>
      </c>
      <c r="I115" s="34">
        <f t="shared" si="22"/>
        <v>0</v>
      </c>
      <c r="J115" s="34">
        <f t="shared" si="22"/>
        <v>0</v>
      </c>
      <c r="K115" s="34">
        <f t="shared" si="22"/>
        <v>0</v>
      </c>
      <c r="L115" s="34">
        <f t="shared" si="22"/>
        <v>0</v>
      </c>
      <c r="M115" s="34">
        <f t="shared" si="22"/>
        <v>0</v>
      </c>
      <c r="N115" s="34">
        <f t="shared" si="22"/>
        <v>0</v>
      </c>
      <c r="O115" s="34">
        <f t="shared" si="22"/>
        <v>0</v>
      </c>
      <c r="P115" s="34">
        <f t="shared" si="22"/>
        <v>0</v>
      </c>
      <c r="Q115" s="34">
        <f t="shared" si="22"/>
        <v>0</v>
      </c>
      <c r="R115" s="34">
        <f t="shared" si="22"/>
        <v>0</v>
      </c>
      <c r="S115" s="34">
        <f t="shared" si="22"/>
        <v>1</v>
      </c>
      <c r="T115" s="34">
        <f t="shared" si="22"/>
        <v>1</v>
      </c>
      <c r="U115" s="34">
        <f t="shared" si="22"/>
        <v>0</v>
      </c>
      <c r="V115" s="34">
        <f t="shared" si="22"/>
        <v>0</v>
      </c>
      <c r="W115" s="34">
        <f t="shared" si="22"/>
        <v>0</v>
      </c>
      <c r="X115" s="34">
        <f t="shared" si="22"/>
        <v>0</v>
      </c>
      <c r="Y115" s="34">
        <f t="shared" si="22"/>
        <v>0</v>
      </c>
      <c r="Z115" s="34">
        <f t="shared" si="22"/>
        <v>0</v>
      </c>
      <c r="AA115" s="34">
        <f t="shared" si="22"/>
        <v>0</v>
      </c>
      <c r="AB115" s="34">
        <f t="shared" si="22"/>
        <v>0</v>
      </c>
      <c r="AC115" s="34">
        <f t="shared" si="22"/>
        <v>0</v>
      </c>
      <c r="AD115" s="34">
        <f t="shared" si="22"/>
        <v>0</v>
      </c>
      <c r="AE115" s="34">
        <f t="shared" si="22"/>
        <v>0</v>
      </c>
      <c r="AF115" s="34">
        <f t="shared" si="22"/>
        <v>0</v>
      </c>
      <c r="AG115" s="34">
        <f t="shared" si="22"/>
        <v>0</v>
      </c>
      <c r="AH115" s="34">
        <f t="shared" si="22"/>
        <v>0</v>
      </c>
      <c r="AI115" s="34">
        <f t="shared" si="22"/>
        <v>0</v>
      </c>
      <c r="AJ115" s="34">
        <f t="shared" si="22"/>
        <v>0</v>
      </c>
      <c r="AK115" s="34">
        <f t="shared" si="22"/>
        <v>0</v>
      </c>
      <c r="AL115" s="34">
        <f t="shared" si="22"/>
        <v>0</v>
      </c>
      <c r="AM115" s="34">
        <f t="shared" si="22"/>
        <v>0</v>
      </c>
      <c r="AN115" s="34">
        <f t="shared" si="22"/>
        <v>0</v>
      </c>
      <c r="AO115" s="34">
        <f t="shared" si="22"/>
        <v>0</v>
      </c>
      <c r="AP115" s="34">
        <f t="shared" si="22"/>
        <v>0</v>
      </c>
      <c r="AQ115" s="34">
        <f t="shared" si="22"/>
        <v>0</v>
      </c>
      <c r="AR115" s="34">
        <f t="shared" si="22"/>
        <v>0</v>
      </c>
      <c r="AS115" s="34">
        <f t="shared" si="22"/>
        <v>0</v>
      </c>
      <c r="AT115" s="34">
        <f t="shared" si="22"/>
        <v>0</v>
      </c>
      <c r="AU115" s="13">
        <f t="shared" si="13"/>
        <v>3</v>
      </c>
    </row>
    <row r="116" spans="1:49" ht="12.75" customHeight="1" x14ac:dyDescent="0.3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13">
        <f t="shared" si="13"/>
        <v>0</v>
      </c>
    </row>
    <row r="117" spans="1:49" ht="12.75" customHeight="1" x14ac:dyDescent="0.3">
      <c r="A117" s="19" t="s">
        <v>37</v>
      </c>
      <c r="B117" s="26" t="s">
        <v>99</v>
      </c>
      <c r="C117" s="51" t="s">
        <v>100</v>
      </c>
      <c r="D117" s="50"/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>
        <v>0</v>
      </c>
      <c r="AM117" s="15">
        <v>0</v>
      </c>
      <c r="AN117" s="15">
        <v>0</v>
      </c>
      <c r="AO117" s="15">
        <v>0</v>
      </c>
      <c r="AP117" s="15">
        <v>0</v>
      </c>
      <c r="AQ117" s="15">
        <v>0</v>
      </c>
      <c r="AR117" s="15">
        <v>0</v>
      </c>
      <c r="AS117" s="15">
        <v>0</v>
      </c>
      <c r="AT117" s="15">
        <v>0</v>
      </c>
      <c r="AU117" s="13">
        <f t="shared" si="13"/>
        <v>0</v>
      </c>
      <c r="AV117" s="5"/>
      <c r="AW117" s="5"/>
    </row>
    <row r="118" spans="1:49" ht="12.75" customHeight="1" x14ac:dyDescent="0.3">
      <c r="A118" s="19" t="s">
        <v>39</v>
      </c>
      <c r="B118" s="27" t="s">
        <v>39</v>
      </c>
      <c r="C118" s="28" t="s">
        <v>101</v>
      </c>
      <c r="D118" s="29"/>
      <c r="E118" s="15">
        <v>0</v>
      </c>
      <c r="F118" s="15">
        <v>0</v>
      </c>
      <c r="G118" s="15">
        <v>0</v>
      </c>
      <c r="H118" s="15">
        <v>0</v>
      </c>
      <c r="I118" s="15">
        <v>0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5">
        <v>0</v>
      </c>
      <c r="W118" s="15">
        <v>0</v>
      </c>
      <c r="X118" s="15">
        <v>0</v>
      </c>
      <c r="Y118" s="15">
        <v>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>
        <v>0</v>
      </c>
      <c r="AM118" s="15">
        <v>0</v>
      </c>
      <c r="AN118" s="15">
        <v>0</v>
      </c>
      <c r="AO118" s="15">
        <v>0</v>
      </c>
      <c r="AP118" s="15">
        <v>0</v>
      </c>
      <c r="AQ118" s="15">
        <v>0</v>
      </c>
      <c r="AR118" s="15">
        <v>0</v>
      </c>
      <c r="AS118" s="15">
        <v>0</v>
      </c>
      <c r="AT118" s="15">
        <v>0</v>
      </c>
      <c r="AU118" s="13">
        <f t="shared" si="13"/>
        <v>1</v>
      </c>
      <c r="AV118" s="5"/>
      <c r="AW118" s="5"/>
    </row>
    <row r="119" spans="1:49" ht="12.75" customHeight="1" x14ac:dyDescent="0.3">
      <c r="A119" s="14"/>
      <c r="B119" s="27"/>
      <c r="C119" s="28" t="s">
        <v>102</v>
      </c>
      <c r="D119" s="29"/>
      <c r="E119" s="15">
        <v>0</v>
      </c>
      <c r="F119" s="15">
        <v>1</v>
      </c>
      <c r="G119" s="15">
        <v>0</v>
      </c>
      <c r="H119" s="15">
        <v>0</v>
      </c>
      <c r="I119" s="15">
        <v>0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>
        <v>0</v>
      </c>
      <c r="AM119" s="15">
        <v>0</v>
      </c>
      <c r="AN119" s="15">
        <v>1</v>
      </c>
      <c r="AO119" s="15">
        <v>0</v>
      </c>
      <c r="AP119" s="15">
        <v>0</v>
      </c>
      <c r="AQ119" s="15">
        <v>0</v>
      </c>
      <c r="AR119" s="15">
        <v>0</v>
      </c>
      <c r="AS119" s="15">
        <v>0</v>
      </c>
      <c r="AT119" s="15">
        <v>0</v>
      </c>
      <c r="AU119" s="13">
        <f t="shared" si="13"/>
        <v>2</v>
      </c>
      <c r="AV119" s="5"/>
      <c r="AW119" s="5"/>
    </row>
    <row r="120" spans="1:49" ht="12.75" customHeight="1" x14ac:dyDescent="0.3">
      <c r="A120" s="14"/>
      <c r="B120" s="27"/>
      <c r="C120" s="28" t="s">
        <v>103</v>
      </c>
      <c r="D120" s="29"/>
      <c r="E120" s="15">
        <v>0</v>
      </c>
      <c r="F120" s="15">
        <v>0</v>
      </c>
      <c r="G120" s="15">
        <v>0</v>
      </c>
      <c r="H120" s="15">
        <v>0</v>
      </c>
      <c r="I120" s="15">
        <v>0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15">
        <v>0</v>
      </c>
      <c r="AD120" s="15">
        <v>1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>
        <v>0</v>
      </c>
      <c r="AM120" s="15">
        <v>0</v>
      </c>
      <c r="AN120" s="15">
        <v>0</v>
      </c>
      <c r="AO120" s="15">
        <v>0</v>
      </c>
      <c r="AP120" s="15">
        <v>0</v>
      </c>
      <c r="AQ120" s="15">
        <v>1</v>
      </c>
      <c r="AR120" s="15">
        <v>0</v>
      </c>
      <c r="AS120" s="15">
        <v>0</v>
      </c>
      <c r="AT120" s="15">
        <v>0</v>
      </c>
      <c r="AU120" s="13">
        <f t="shared" si="13"/>
        <v>2</v>
      </c>
      <c r="AV120" s="5"/>
      <c r="AW120" s="5"/>
    </row>
    <row r="121" spans="1:49" ht="12.75" customHeight="1" x14ac:dyDescent="0.3">
      <c r="A121" s="14"/>
      <c r="B121" s="27"/>
      <c r="C121" s="28" t="s">
        <v>104</v>
      </c>
      <c r="D121" s="29"/>
      <c r="E121" s="15">
        <v>0</v>
      </c>
      <c r="F121" s="15">
        <v>0</v>
      </c>
      <c r="G121" s="15">
        <v>0</v>
      </c>
      <c r="H121" s="15">
        <v>0</v>
      </c>
      <c r="I121" s="15">
        <v>0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>
        <v>0</v>
      </c>
      <c r="AM121" s="15">
        <v>0</v>
      </c>
      <c r="AN121" s="15">
        <v>0</v>
      </c>
      <c r="AO121" s="15">
        <v>0</v>
      </c>
      <c r="AP121" s="15">
        <v>1</v>
      </c>
      <c r="AQ121" s="15">
        <v>0</v>
      </c>
      <c r="AR121" s="15">
        <v>0</v>
      </c>
      <c r="AS121" s="15">
        <v>0</v>
      </c>
      <c r="AT121" s="15">
        <v>0</v>
      </c>
      <c r="AU121" s="13">
        <f t="shared" si="13"/>
        <v>1</v>
      </c>
      <c r="AV121" s="5"/>
      <c r="AW121" s="5"/>
    </row>
    <row r="122" spans="1:49" ht="12.75" customHeight="1" x14ac:dyDescent="0.3">
      <c r="A122" s="14"/>
      <c r="B122" s="27"/>
      <c r="C122" s="28" t="s">
        <v>105</v>
      </c>
      <c r="D122" s="29"/>
      <c r="E122" s="15">
        <v>1</v>
      </c>
      <c r="F122" s="15">
        <v>0</v>
      </c>
      <c r="G122" s="15">
        <v>0</v>
      </c>
      <c r="H122" s="15">
        <v>0</v>
      </c>
      <c r="I122" s="15">
        <v>0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1</v>
      </c>
      <c r="T122" s="15">
        <v>0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>
        <v>0</v>
      </c>
      <c r="AM122" s="15">
        <v>0</v>
      </c>
      <c r="AN122" s="15">
        <v>0</v>
      </c>
      <c r="AO122" s="15">
        <v>0</v>
      </c>
      <c r="AP122" s="15">
        <v>0</v>
      </c>
      <c r="AQ122" s="15">
        <v>0</v>
      </c>
      <c r="AR122" s="15">
        <v>0</v>
      </c>
      <c r="AS122" s="15">
        <v>0</v>
      </c>
      <c r="AT122" s="15">
        <v>0</v>
      </c>
      <c r="AU122" s="13">
        <f t="shared" si="13"/>
        <v>2</v>
      </c>
      <c r="AV122" s="5"/>
      <c r="AW122" s="5"/>
    </row>
    <row r="123" spans="1:49" ht="12.75" customHeight="1" x14ac:dyDescent="0.3">
      <c r="A123" s="14"/>
      <c r="B123" s="27"/>
      <c r="C123" s="28" t="s">
        <v>106</v>
      </c>
      <c r="D123" s="29"/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>
        <v>0</v>
      </c>
      <c r="AM123" s="15">
        <v>0</v>
      </c>
      <c r="AN123" s="15">
        <v>0</v>
      </c>
      <c r="AO123" s="15">
        <v>0</v>
      </c>
      <c r="AP123" s="15">
        <v>0</v>
      </c>
      <c r="AQ123" s="15">
        <v>0</v>
      </c>
      <c r="AR123" s="15">
        <v>0</v>
      </c>
      <c r="AS123" s="15">
        <v>0</v>
      </c>
      <c r="AT123" s="15">
        <v>0</v>
      </c>
      <c r="AU123" s="13">
        <f t="shared" si="13"/>
        <v>0</v>
      </c>
      <c r="AV123" s="5"/>
      <c r="AW123" s="5"/>
    </row>
    <row r="124" spans="1:49" ht="12.75" customHeight="1" x14ac:dyDescent="0.3">
      <c r="A124" s="14"/>
      <c r="B124" s="27"/>
      <c r="C124" s="28" t="s">
        <v>107</v>
      </c>
      <c r="D124" s="29"/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>
        <v>0</v>
      </c>
      <c r="AM124" s="15">
        <v>0</v>
      </c>
      <c r="AN124" s="15">
        <v>0</v>
      </c>
      <c r="AO124" s="15">
        <v>0</v>
      </c>
      <c r="AP124" s="15">
        <v>0</v>
      </c>
      <c r="AQ124" s="15">
        <v>0</v>
      </c>
      <c r="AR124" s="15">
        <v>0</v>
      </c>
      <c r="AS124" s="15">
        <v>0</v>
      </c>
      <c r="AT124" s="15">
        <v>0</v>
      </c>
      <c r="AU124" s="13">
        <f t="shared" si="13"/>
        <v>0</v>
      </c>
      <c r="AV124" s="5"/>
      <c r="AW124" s="5"/>
    </row>
    <row r="125" spans="1:49" ht="12.75" customHeight="1" x14ac:dyDescent="0.3">
      <c r="A125" s="15" t="s">
        <v>15</v>
      </c>
      <c r="B125" s="48" t="s">
        <v>47</v>
      </c>
      <c r="C125" s="49"/>
      <c r="D125" s="50"/>
      <c r="E125" s="34">
        <f t="shared" ref="E125:AT125" si="23">SUM(E117:E124)</f>
        <v>1</v>
      </c>
      <c r="F125" s="34">
        <f t="shared" si="23"/>
        <v>1</v>
      </c>
      <c r="G125" s="34">
        <f t="shared" si="23"/>
        <v>0</v>
      </c>
      <c r="H125" s="34">
        <f t="shared" si="23"/>
        <v>0</v>
      </c>
      <c r="I125" s="34">
        <f t="shared" si="23"/>
        <v>0</v>
      </c>
      <c r="J125" s="34">
        <f t="shared" si="23"/>
        <v>0</v>
      </c>
      <c r="K125" s="34">
        <f t="shared" si="23"/>
        <v>0</v>
      </c>
      <c r="L125" s="34">
        <f t="shared" si="23"/>
        <v>0</v>
      </c>
      <c r="M125" s="34">
        <f t="shared" si="23"/>
        <v>0</v>
      </c>
      <c r="N125" s="34">
        <f t="shared" si="23"/>
        <v>0</v>
      </c>
      <c r="O125" s="34">
        <f t="shared" si="23"/>
        <v>0</v>
      </c>
      <c r="P125" s="34">
        <f t="shared" si="23"/>
        <v>0</v>
      </c>
      <c r="Q125" s="34">
        <f t="shared" si="23"/>
        <v>0</v>
      </c>
      <c r="R125" s="34">
        <f t="shared" si="23"/>
        <v>0</v>
      </c>
      <c r="S125" s="34">
        <f t="shared" si="23"/>
        <v>1</v>
      </c>
      <c r="T125" s="34">
        <f t="shared" si="23"/>
        <v>0</v>
      </c>
      <c r="U125" s="34">
        <f t="shared" si="23"/>
        <v>0</v>
      </c>
      <c r="V125" s="34">
        <f t="shared" si="23"/>
        <v>0</v>
      </c>
      <c r="W125" s="34">
        <f t="shared" si="23"/>
        <v>0</v>
      </c>
      <c r="X125" s="34">
        <f t="shared" si="23"/>
        <v>0</v>
      </c>
      <c r="Y125" s="34">
        <f t="shared" si="23"/>
        <v>1</v>
      </c>
      <c r="Z125" s="34">
        <f t="shared" si="23"/>
        <v>0</v>
      </c>
      <c r="AA125" s="34">
        <f t="shared" si="23"/>
        <v>0</v>
      </c>
      <c r="AB125" s="34">
        <f t="shared" si="23"/>
        <v>0</v>
      </c>
      <c r="AC125" s="34">
        <f t="shared" si="23"/>
        <v>0</v>
      </c>
      <c r="AD125" s="34">
        <f t="shared" si="23"/>
        <v>1</v>
      </c>
      <c r="AE125" s="34">
        <f t="shared" si="23"/>
        <v>0</v>
      </c>
      <c r="AF125" s="34">
        <f t="shared" si="23"/>
        <v>0</v>
      </c>
      <c r="AG125" s="34">
        <f t="shared" si="23"/>
        <v>0</v>
      </c>
      <c r="AH125" s="34">
        <f t="shared" si="23"/>
        <v>0</v>
      </c>
      <c r="AI125" s="34">
        <f t="shared" si="23"/>
        <v>0</v>
      </c>
      <c r="AJ125" s="34">
        <f t="shared" si="23"/>
        <v>0</v>
      </c>
      <c r="AK125" s="34">
        <f t="shared" si="23"/>
        <v>0</v>
      </c>
      <c r="AL125" s="34">
        <f t="shared" si="23"/>
        <v>0</v>
      </c>
      <c r="AM125" s="34">
        <f t="shared" si="23"/>
        <v>0</v>
      </c>
      <c r="AN125" s="34">
        <f t="shared" si="23"/>
        <v>1</v>
      </c>
      <c r="AO125" s="34">
        <f t="shared" si="23"/>
        <v>0</v>
      </c>
      <c r="AP125" s="34">
        <f t="shared" si="23"/>
        <v>1</v>
      </c>
      <c r="AQ125" s="34">
        <f t="shared" si="23"/>
        <v>1</v>
      </c>
      <c r="AR125" s="34">
        <f t="shared" si="23"/>
        <v>0</v>
      </c>
      <c r="AS125" s="34">
        <f t="shared" si="23"/>
        <v>0</v>
      </c>
      <c r="AT125" s="34">
        <f t="shared" si="23"/>
        <v>0</v>
      </c>
      <c r="AU125" s="13">
        <f t="shared" si="13"/>
        <v>8</v>
      </c>
      <c r="AV125" s="5"/>
      <c r="AW125" s="5"/>
    </row>
    <row r="126" spans="1:49" ht="12.75" customHeight="1" x14ac:dyDescent="0.3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13">
        <f t="shared" si="13"/>
        <v>0</v>
      </c>
      <c r="AV126" s="5"/>
      <c r="AW126" s="5"/>
    </row>
    <row r="127" spans="1:49" ht="12.75" customHeight="1" x14ac:dyDescent="0.3">
      <c r="A127" s="19" t="s">
        <v>37</v>
      </c>
      <c r="B127" s="26" t="s">
        <v>108</v>
      </c>
      <c r="C127" s="51" t="s">
        <v>109</v>
      </c>
      <c r="D127" s="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>
        <v>1</v>
      </c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>
        <v>1</v>
      </c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3">
        <f t="shared" si="13"/>
        <v>2</v>
      </c>
      <c r="AV127" s="5"/>
      <c r="AW127" s="5"/>
    </row>
    <row r="128" spans="1:49" ht="12.75" customHeight="1" x14ac:dyDescent="0.3">
      <c r="A128" s="19" t="s">
        <v>39</v>
      </c>
      <c r="B128" s="27"/>
      <c r="C128" s="28"/>
      <c r="D128" s="2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3">
        <f t="shared" si="13"/>
        <v>0</v>
      </c>
      <c r="AV128" s="5"/>
      <c r="AW128" s="5"/>
    </row>
    <row r="129" spans="1:49" ht="12.75" customHeight="1" x14ac:dyDescent="0.3">
      <c r="A129" s="15" t="s">
        <v>15</v>
      </c>
      <c r="B129" s="48" t="s">
        <v>47</v>
      </c>
      <c r="C129" s="49"/>
      <c r="D129" s="50"/>
      <c r="E129" s="34">
        <f t="shared" ref="E129:AT129" si="24">SUM(E127:E128)</f>
        <v>0</v>
      </c>
      <c r="F129" s="34">
        <f t="shared" si="24"/>
        <v>0</v>
      </c>
      <c r="G129" s="34">
        <f t="shared" si="24"/>
        <v>0</v>
      </c>
      <c r="H129" s="34">
        <f t="shared" si="24"/>
        <v>0</v>
      </c>
      <c r="I129" s="34">
        <f t="shared" si="24"/>
        <v>0</v>
      </c>
      <c r="J129" s="34">
        <f t="shared" si="24"/>
        <v>0</v>
      </c>
      <c r="K129" s="34">
        <f t="shared" si="24"/>
        <v>0</v>
      </c>
      <c r="L129" s="34">
        <f t="shared" si="24"/>
        <v>0</v>
      </c>
      <c r="M129" s="34">
        <f t="shared" si="24"/>
        <v>0</v>
      </c>
      <c r="N129" s="34">
        <f t="shared" si="24"/>
        <v>0</v>
      </c>
      <c r="O129" s="34">
        <f t="shared" si="24"/>
        <v>0</v>
      </c>
      <c r="P129" s="34">
        <f t="shared" si="24"/>
        <v>0</v>
      </c>
      <c r="Q129" s="34">
        <f t="shared" si="24"/>
        <v>0</v>
      </c>
      <c r="R129" s="34">
        <f t="shared" si="24"/>
        <v>0</v>
      </c>
      <c r="S129" s="34">
        <f t="shared" si="24"/>
        <v>0</v>
      </c>
      <c r="T129" s="34">
        <f t="shared" si="24"/>
        <v>0</v>
      </c>
      <c r="U129" s="34">
        <f t="shared" si="24"/>
        <v>0</v>
      </c>
      <c r="V129" s="34">
        <f t="shared" si="24"/>
        <v>0</v>
      </c>
      <c r="W129" s="34">
        <f t="shared" si="24"/>
        <v>1</v>
      </c>
      <c r="X129" s="34">
        <f t="shared" si="24"/>
        <v>0</v>
      </c>
      <c r="Y129" s="34">
        <f t="shared" si="24"/>
        <v>0</v>
      </c>
      <c r="Z129" s="34">
        <f t="shared" si="24"/>
        <v>0</v>
      </c>
      <c r="AA129" s="34">
        <f t="shared" si="24"/>
        <v>0</v>
      </c>
      <c r="AB129" s="34">
        <f t="shared" si="24"/>
        <v>0</v>
      </c>
      <c r="AC129" s="34">
        <f t="shared" si="24"/>
        <v>0</v>
      </c>
      <c r="AD129" s="34">
        <f t="shared" si="24"/>
        <v>0</v>
      </c>
      <c r="AE129" s="34">
        <f t="shared" si="24"/>
        <v>0</v>
      </c>
      <c r="AF129" s="34">
        <f t="shared" si="24"/>
        <v>0</v>
      </c>
      <c r="AG129" s="34">
        <f t="shared" si="24"/>
        <v>0</v>
      </c>
      <c r="AH129" s="34">
        <f t="shared" si="24"/>
        <v>0</v>
      </c>
      <c r="AI129" s="34">
        <f t="shared" si="24"/>
        <v>0</v>
      </c>
      <c r="AJ129" s="34">
        <f t="shared" si="24"/>
        <v>1</v>
      </c>
      <c r="AK129" s="34">
        <f t="shared" si="24"/>
        <v>0</v>
      </c>
      <c r="AL129" s="34">
        <f t="shared" si="24"/>
        <v>0</v>
      </c>
      <c r="AM129" s="34">
        <f t="shared" si="24"/>
        <v>0</v>
      </c>
      <c r="AN129" s="34">
        <f t="shared" si="24"/>
        <v>0</v>
      </c>
      <c r="AO129" s="34">
        <f t="shared" si="24"/>
        <v>0</v>
      </c>
      <c r="AP129" s="34">
        <f t="shared" si="24"/>
        <v>0</v>
      </c>
      <c r="AQ129" s="34">
        <f t="shared" si="24"/>
        <v>0</v>
      </c>
      <c r="AR129" s="34">
        <f t="shared" si="24"/>
        <v>0</v>
      </c>
      <c r="AS129" s="34">
        <f t="shared" si="24"/>
        <v>0</v>
      </c>
      <c r="AT129" s="34">
        <f t="shared" si="24"/>
        <v>0</v>
      </c>
      <c r="AU129" s="13">
        <f t="shared" si="13"/>
        <v>2</v>
      </c>
      <c r="AV129" s="5"/>
      <c r="AW129" s="5"/>
    </row>
    <row r="130" spans="1:49" ht="12.75" customHeight="1" x14ac:dyDescent="0.3">
      <c r="A130" s="3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13">
        <f t="shared" si="13"/>
        <v>0</v>
      </c>
      <c r="AV130" s="1"/>
      <c r="AW130" s="1"/>
    </row>
    <row r="131" spans="1:49" ht="12.75" customHeight="1" x14ac:dyDescent="0.3">
      <c r="A131" s="19" t="s">
        <v>37</v>
      </c>
      <c r="B131" s="26" t="s">
        <v>110</v>
      </c>
      <c r="C131" s="51" t="s">
        <v>111</v>
      </c>
      <c r="D131" s="50"/>
      <c r="E131" s="15">
        <v>0</v>
      </c>
      <c r="F131" s="15">
        <v>1</v>
      </c>
      <c r="G131" s="15">
        <v>0</v>
      </c>
      <c r="H131" s="15">
        <v>0</v>
      </c>
      <c r="I131" s="15">
        <v>0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5">
        <v>0</v>
      </c>
      <c r="W131" s="15">
        <v>0</v>
      </c>
      <c r="X131" s="15">
        <v>3</v>
      </c>
      <c r="Y131" s="15">
        <v>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1</v>
      </c>
      <c r="AL131" s="15">
        <v>0</v>
      </c>
      <c r="AM131" s="15">
        <v>0</v>
      </c>
      <c r="AN131" s="15">
        <v>0</v>
      </c>
      <c r="AO131" s="15">
        <v>0</v>
      </c>
      <c r="AP131" s="15">
        <v>0</v>
      </c>
      <c r="AQ131" s="15">
        <v>0</v>
      </c>
      <c r="AR131" s="15">
        <v>1</v>
      </c>
      <c r="AS131" s="15">
        <v>0</v>
      </c>
      <c r="AT131" s="15">
        <v>0</v>
      </c>
      <c r="AU131" s="13">
        <f t="shared" si="13"/>
        <v>6</v>
      </c>
      <c r="AV131" s="31"/>
      <c r="AW131" s="31"/>
    </row>
    <row r="132" spans="1:49" ht="12.75" customHeight="1" x14ac:dyDescent="0.3">
      <c r="A132" s="19" t="s">
        <v>39</v>
      </c>
      <c r="B132" s="27"/>
      <c r="C132" s="28" t="s">
        <v>112</v>
      </c>
      <c r="D132" s="29"/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1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>
        <v>0</v>
      </c>
      <c r="U132" s="15">
        <v>0</v>
      </c>
      <c r="V132" s="15">
        <v>0</v>
      </c>
      <c r="W132" s="15">
        <v>0</v>
      </c>
      <c r="X132" s="15">
        <v>11</v>
      </c>
      <c r="Y132" s="15">
        <v>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>
        <v>0</v>
      </c>
      <c r="AM132" s="15">
        <v>0</v>
      </c>
      <c r="AN132" s="15">
        <v>0</v>
      </c>
      <c r="AO132" s="15">
        <v>0</v>
      </c>
      <c r="AP132" s="15">
        <v>0</v>
      </c>
      <c r="AQ132" s="15">
        <v>0</v>
      </c>
      <c r="AR132" s="15">
        <v>0</v>
      </c>
      <c r="AS132" s="15">
        <v>0</v>
      </c>
      <c r="AT132" s="15">
        <v>0</v>
      </c>
      <c r="AU132" s="13">
        <f t="shared" si="13"/>
        <v>12</v>
      </c>
      <c r="AV132" s="5"/>
      <c r="AW132" s="5"/>
    </row>
    <row r="133" spans="1:49" ht="12.75" customHeight="1" x14ac:dyDescent="0.3">
      <c r="A133" s="14"/>
      <c r="B133" s="27"/>
      <c r="C133" s="28" t="s">
        <v>113</v>
      </c>
      <c r="D133" s="29"/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>
        <v>0</v>
      </c>
      <c r="U133" s="15">
        <v>0</v>
      </c>
      <c r="V133" s="15">
        <v>0</v>
      </c>
      <c r="W133" s="15">
        <v>1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1</v>
      </c>
      <c r="AJ133" s="15">
        <v>0</v>
      </c>
      <c r="AK133" s="15">
        <v>0</v>
      </c>
      <c r="AL133" s="15">
        <v>0</v>
      </c>
      <c r="AM133" s="15">
        <v>0</v>
      </c>
      <c r="AN133" s="15">
        <v>0</v>
      </c>
      <c r="AO133" s="15">
        <v>0</v>
      </c>
      <c r="AP133" s="15">
        <v>0</v>
      </c>
      <c r="AQ133" s="15">
        <v>0</v>
      </c>
      <c r="AR133" s="15">
        <v>0</v>
      </c>
      <c r="AS133" s="15">
        <v>0</v>
      </c>
      <c r="AT133" s="15">
        <v>0</v>
      </c>
      <c r="AU133" s="13">
        <f t="shared" si="13"/>
        <v>2</v>
      </c>
      <c r="AV133" s="5"/>
      <c r="AW133" s="5"/>
    </row>
    <row r="134" spans="1:49" ht="12.75" customHeight="1" x14ac:dyDescent="0.3">
      <c r="A134" s="14"/>
      <c r="B134" s="27"/>
      <c r="C134" s="28" t="s">
        <v>114</v>
      </c>
      <c r="D134" s="29"/>
      <c r="E134" s="15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5">
        <v>0</v>
      </c>
      <c r="X134" s="15">
        <v>0</v>
      </c>
      <c r="Y134" s="15">
        <v>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>
        <v>0</v>
      </c>
      <c r="AM134" s="15">
        <v>0</v>
      </c>
      <c r="AN134" s="15">
        <v>0</v>
      </c>
      <c r="AO134" s="15">
        <v>0</v>
      </c>
      <c r="AP134" s="15">
        <v>0</v>
      </c>
      <c r="AQ134" s="15">
        <v>0</v>
      </c>
      <c r="AR134" s="15">
        <v>0</v>
      </c>
      <c r="AS134" s="15">
        <v>0</v>
      </c>
      <c r="AT134" s="15">
        <v>0</v>
      </c>
      <c r="AU134" s="13">
        <f t="shared" si="13"/>
        <v>0</v>
      </c>
      <c r="AV134" s="5"/>
      <c r="AW134" s="5"/>
    </row>
    <row r="135" spans="1:49" ht="12.75" customHeight="1" x14ac:dyDescent="0.3">
      <c r="A135" s="14"/>
      <c r="B135" s="27"/>
      <c r="C135" s="28" t="s">
        <v>115</v>
      </c>
      <c r="D135" s="29"/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1</v>
      </c>
      <c r="AK135" s="15">
        <v>0</v>
      </c>
      <c r="AL135" s="15">
        <v>0</v>
      </c>
      <c r="AM135" s="15">
        <v>0</v>
      </c>
      <c r="AN135" s="15">
        <v>0</v>
      </c>
      <c r="AO135" s="15">
        <v>0</v>
      </c>
      <c r="AP135" s="15">
        <v>0</v>
      </c>
      <c r="AQ135" s="15">
        <v>0</v>
      </c>
      <c r="AR135" s="15">
        <v>0</v>
      </c>
      <c r="AS135" s="15">
        <v>0</v>
      </c>
      <c r="AT135" s="15">
        <v>0</v>
      </c>
      <c r="AU135" s="13">
        <f t="shared" si="13"/>
        <v>1</v>
      </c>
      <c r="AV135" s="5"/>
      <c r="AW135" s="5"/>
    </row>
    <row r="136" spans="1:49" ht="12.75" customHeight="1" x14ac:dyDescent="0.3">
      <c r="A136" s="15" t="s">
        <v>15</v>
      </c>
      <c r="B136" s="48" t="s">
        <v>47</v>
      </c>
      <c r="C136" s="49"/>
      <c r="D136" s="50"/>
      <c r="E136" s="34">
        <f t="shared" ref="E136:AT136" si="25">SUM(E131:E135)</f>
        <v>0</v>
      </c>
      <c r="F136" s="34">
        <f t="shared" si="25"/>
        <v>1</v>
      </c>
      <c r="G136" s="34">
        <f t="shared" si="25"/>
        <v>0</v>
      </c>
      <c r="H136" s="34">
        <f t="shared" si="25"/>
        <v>0</v>
      </c>
      <c r="I136" s="34">
        <f t="shared" si="25"/>
        <v>0</v>
      </c>
      <c r="J136" s="34">
        <f t="shared" si="25"/>
        <v>1</v>
      </c>
      <c r="K136" s="34">
        <f t="shared" si="25"/>
        <v>0</v>
      </c>
      <c r="L136" s="34">
        <f t="shared" si="25"/>
        <v>0</v>
      </c>
      <c r="M136" s="34">
        <f t="shared" si="25"/>
        <v>0</v>
      </c>
      <c r="N136" s="34">
        <f t="shared" si="25"/>
        <v>0</v>
      </c>
      <c r="O136" s="34">
        <f t="shared" si="25"/>
        <v>0</v>
      </c>
      <c r="P136" s="34">
        <f t="shared" si="25"/>
        <v>0</v>
      </c>
      <c r="Q136" s="34">
        <f t="shared" si="25"/>
        <v>0</v>
      </c>
      <c r="R136" s="34">
        <f t="shared" si="25"/>
        <v>0</v>
      </c>
      <c r="S136" s="34">
        <f t="shared" si="25"/>
        <v>0</v>
      </c>
      <c r="T136" s="34">
        <f t="shared" si="25"/>
        <v>0</v>
      </c>
      <c r="U136" s="34">
        <f t="shared" si="25"/>
        <v>0</v>
      </c>
      <c r="V136" s="34">
        <f t="shared" si="25"/>
        <v>0</v>
      </c>
      <c r="W136" s="34">
        <f t="shared" si="25"/>
        <v>1</v>
      </c>
      <c r="X136" s="34">
        <f t="shared" si="25"/>
        <v>14</v>
      </c>
      <c r="Y136" s="34">
        <f t="shared" si="25"/>
        <v>0</v>
      </c>
      <c r="Z136" s="34">
        <f t="shared" si="25"/>
        <v>0</v>
      </c>
      <c r="AA136" s="34">
        <f t="shared" si="25"/>
        <v>0</v>
      </c>
      <c r="AB136" s="34">
        <f t="shared" si="25"/>
        <v>0</v>
      </c>
      <c r="AC136" s="34">
        <f t="shared" si="25"/>
        <v>0</v>
      </c>
      <c r="AD136" s="34">
        <f t="shared" si="25"/>
        <v>0</v>
      </c>
      <c r="AE136" s="34">
        <f t="shared" si="25"/>
        <v>0</v>
      </c>
      <c r="AF136" s="34">
        <f t="shared" si="25"/>
        <v>0</v>
      </c>
      <c r="AG136" s="34">
        <f t="shared" si="25"/>
        <v>0</v>
      </c>
      <c r="AH136" s="34">
        <f t="shared" si="25"/>
        <v>0</v>
      </c>
      <c r="AI136" s="34">
        <f t="shared" si="25"/>
        <v>1</v>
      </c>
      <c r="AJ136" s="34">
        <f t="shared" si="25"/>
        <v>1</v>
      </c>
      <c r="AK136" s="34">
        <f t="shared" si="25"/>
        <v>1</v>
      </c>
      <c r="AL136" s="34">
        <f t="shared" si="25"/>
        <v>0</v>
      </c>
      <c r="AM136" s="34">
        <f t="shared" si="25"/>
        <v>0</v>
      </c>
      <c r="AN136" s="34">
        <f t="shared" si="25"/>
        <v>0</v>
      </c>
      <c r="AO136" s="34">
        <f t="shared" si="25"/>
        <v>0</v>
      </c>
      <c r="AP136" s="34">
        <f t="shared" si="25"/>
        <v>0</v>
      </c>
      <c r="AQ136" s="34">
        <f t="shared" si="25"/>
        <v>0</v>
      </c>
      <c r="AR136" s="34">
        <f t="shared" si="25"/>
        <v>1</v>
      </c>
      <c r="AS136" s="34">
        <f t="shared" si="25"/>
        <v>0</v>
      </c>
      <c r="AT136" s="34">
        <f t="shared" si="25"/>
        <v>0</v>
      </c>
      <c r="AU136" s="13">
        <f t="shared" si="13"/>
        <v>21</v>
      </c>
      <c r="AV136" s="5"/>
      <c r="AW136" s="5"/>
    </row>
    <row r="137" spans="1:49" ht="12.75" customHeight="1" x14ac:dyDescent="0.3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13">
        <f t="shared" si="13"/>
        <v>0</v>
      </c>
      <c r="AV137" s="5"/>
      <c r="AW137" s="5"/>
    </row>
    <row r="138" spans="1:49" ht="12.75" customHeight="1" x14ac:dyDescent="0.3">
      <c r="A138" s="19" t="s">
        <v>37</v>
      </c>
      <c r="B138" s="26" t="s">
        <v>116</v>
      </c>
      <c r="C138" s="51" t="s">
        <v>117</v>
      </c>
      <c r="D138" s="5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3">
        <f t="shared" si="13"/>
        <v>0</v>
      </c>
      <c r="AV138" s="5"/>
      <c r="AW138" s="5"/>
    </row>
    <row r="139" spans="1:49" ht="12.75" customHeight="1" x14ac:dyDescent="0.3">
      <c r="A139" s="19" t="s">
        <v>39</v>
      </c>
      <c r="B139" s="27"/>
      <c r="C139" s="28" t="s">
        <v>118</v>
      </c>
      <c r="D139" s="29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3">
        <f t="shared" si="13"/>
        <v>0</v>
      </c>
      <c r="AV139" s="5"/>
      <c r="AW139" s="5"/>
    </row>
    <row r="140" spans="1:49" ht="12.75" customHeight="1" x14ac:dyDescent="0.3">
      <c r="A140" s="14"/>
      <c r="B140" s="27"/>
      <c r="C140" s="28" t="s">
        <v>119</v>
      </c>
      <c r="D140" s="29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1</v>
      </c>
      <c r="AF140" s="15">
        <v>0</v>
      </c>
      <c r="AG140" s="15">
        <v>0</v>
      </c>
      <c r="AH140" s="15">
        <v>0</v>
      </c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3">
        <f t="shared" si="13"/>
        <v>1</v>
      </c>
      <c r="AV140" s="5"/>
      <c r="AW140" s="5"/>
    </row>
    <row r="141" spans="1:49" ht="12.75" customHeight="1" x14ac:dyDescent="0.3">
      <c r="A141" s="14"/>
      <c r="B141" s="27"/>
      <c r="C141" s="28" t="s">
        <v>120</v>
      </c>
      <c r="D141" s="29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>
        <v>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3">
        <f t="shared" si="13"/>
        <v>0</v>
      </c>
      <c r="AV141" s="1"/>
      <c r="AW141" s="1"/>
    </row>
    <row r="142" spans="1:49" ht="12.75" customHeight="1" x14ac:dyDescent="0.3">
      <c r="A142" s="14"/>
      <c r="B142" s="27"/>
      <c r="C142" s="28" t="s">
        <v>121</v>
      </c>
      <c r="D142" s="29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>
        <v>0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3">
        <f t="shared" si="13"/>
        <v>0</v>
      </c>
      <c r="AV142" s="31"/>
      <c r="AW142" s="31"/>
    </row>
    <row r="143" spans="1:49" ht="12.75" customHeight="1" x14ac:dyDescent="0.3">
      <c r="A143" s="14"/>
      <c r="B143" s="27"/>
      <c r="C143" s="28" t="s">
        <v>122</v>
      </c>
      <c r="D143" s="29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>
        <v>0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3">
        <f t="shared" si="13"/>
        <v>0</v>
      </c>
      <c r="AV143" s="5"/>
      <c r="AW143" s="5"/>
    </row>
    <row r="144" spans="1:49" ht="12.75" customHeight="1" x14ac:dyDescent="0.3">
      <c r="A144" s="14"/>
      <c r="B144" s="27"/>
      <c r="C144" s="28" t="s">
        <v>123</v>
      </c>
      <c r="D144" s="29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>
        <v>0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3">
        <f t="shared" si="13"/>
        <v>0</v>
      </c>
      <c r="AV144" s="5"/>
      <c r="AW144" s="5"/>
    </row>
    <row r="145" spans="1:49" ht="12.75" customHeight="1" x14ac:dyDescent="0.3">
      <c r="A145" s="14"/>
      <c r="B145" s="27"/>
      <c r="C145" s="28" t="s">
        <v>124</v>
      </c>
      <c r="D145" s="29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3">
        <f t="shared" si="13"/>
        <v>0</v>
      </c>
      <c r="AV145" s="5"/>
      <c r="AW145" s="5"/>
    </row>
    <row r="146" spans="1:49" ht="12.75" customHeight="1" x14ac:dyDescent="0.3">
      <c r="A146" s="15" t="s">
        <v>15</v>
      </c>
      <c r="B146" s="48" t="s">
        <v>47</v>
      </c>
      <c r="C146" s="49"/>
      <c r="D146" s="50"/>
      <c r="E146" s="34">
        <f t="shared" ref="E146:AT146" si="26">SUM(E138:E145)</f>
        <v>0</v>
      </c>
      <c r="F146" s="34">
        <f t="shared" si="26"/>
        <v>0</v>
      </c>
      <c r="G146" s="34">
        <f t="shared" si="26"/>
        <v>0</v>
      </c>
      <c r="H146" s="34">
        <f t="shared" si="26"/>
        <v>0</v>
      </c>
      <c r="I146" s="34">
        <f t="shared" si="26"/>
        <v>0</v>
      </c>
      <c r="J146" s="34">
        <f t="shared" si="26"/>
        <v>0</v>
      </c>
      <c r="K146" s="34">
        <f t="shared" si="26"/>
        <v>0</v>
      </c>
      <c r="L146" s="34">
        <f t="shared" si="26"/>
        <v>0</v>
      </c>
      <c r="M146" s="34">
        <f t="shared" si="26"/>
        <v>0</v>
      </c>
      <c r="N146" s="34">
        <f t="shared" si="26"/>
        <v>0</v>
      </c>
      <c r="O146" s="34">
        <f t="shared" si="26"/>
        <v>0</v>
      </c>
      <c r="P146" s="34">
        <f t="shared" si="26"/>
        <v>0</v>
      </c>
      <c r="Q146" s="34">
        <f t="shared" si="26"/>
        <v>0</v>
      </c>
      <c r="R146" s="34">
        <f t="shared" si="26"/>
        <v>0</v>
      </c>
      <c r="S146" s="34">
        <f t="shared" si="26"/>
        <v>0</v>
      </c>
      <c r="T146" s="34">
        <f t="shared" si="26"/>
        <v>0</v>
      </c>
      <c r="U146" s="34">
        <f t="shared" si="26"/>
        <v>0</v>
      </c>
      <c r="V146" s="34">
        <f t="shared" si="26"/>
        <v>0</v>
      </c>
      <c r="W146" s="34">
        <f t="shared" si="26"/>
        <v>0</v>
      </c>
      <c r="X146" s="34">
        <f t="shared" si="26"/>
        <v>0</v>
      </c>
      <c r="Y146" s="34">
        <f t="shared" si="26"/>
        <v>0</v>
      </c>
      <c r="Z146" s="34">
        <f t="shared" si="26"/>
        <v>0</v>
      </c>
      <c r="AA146" s="34">
        <f t="shared" si="26"/>
        <v>0</v>
      </c>
      <c r="AB146" s="34">
        <f t="shared" si="26"/>
        <v>0</v>
      </c>
      <c r="AC146" s="34">
        <f t="shared" si="26"/>
        <v>0</v>
      </c>
      <c r="AD146" s="34">
        <f t="shared" si="26"/>
        <v>0</v>
      </c>
      <c r="AE146" s="34">
        <f t="shared" si="26"/>
        <v>1</v>
      </c>
      <c r="AF146" s="34">
        <f t="shared" si="26"/>
        <v>0</v>
      </c>
      <c r="AG146" s="34">
        <f t="shared" si="26"/>
        <v>0</v>
      </c>
      <c r="AH146" s="34">
        <f t="shared" si="26"/>
        <v>0</v>
      </c>
      <c r="AI146" s="34">
        <f t="shared" si="26"/>
        <v>0</v>
      </c>
      <c r="AJ146" s="34">
        <f t="shared" si="26"/>
        <v>0</v>
      </c>
      <c r="AK146" s="34">
        <f t="shared" si="26"/>
        <v>0</v>
      </c>
      <c r="AL146" s="34">
        <f t="shared" si="26"/>
        <v>0</v>
      </c>
      <c r="AM146" s="34">
        <f t="shared" si="26"/>
        <v>0</v>
      </c>
      <c r="AN146" s="34">
        <f t="shared" si="26"/>
        <v>0</v>
      </c>
      <c r="AO146" s="34">
        <f t="shared" si="26"/>
        <v>0</v>
      </c>
      <c r="AP146" s="34">
        <f t="shared" si="26"/>
        <v>0</v>
      </c>
      <c r="AQ146" s="34">
        <f t="shared" si="26"/>
        <v>0</v>
      </c>
      <c r="AR146" s="34">
        <f t="shared" si="26"/>
        <v>0</v>
      </c>
      <c r="AS146" s="34">
        <f t="shared" si="26"/>
        <v>0</v>
      </c>
      <c r="AT146" s="34">
        <f t="shared" si="26"/>
        <v>0</v>
      </c>
      <c r="AU146" s="13">
        <f t="shared" si="13"/>
        <v>1</v>
      </c>
      <c r="AV146" s="5"/>
      <c r="AW146" s="5"/>
    </row>
    <row r="147" spans="1:49" ht="12.75" customHeight="1" x14ac:dyDescent="0.3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13">
        <f t="shared" si="13"/>
        <v>0</v>
      </c>
      <c r="AV147" s="5"/>
      <c r="AW147" s="5"/>
    </row>
    <row r="148" spans="1:49" ht="12.75" customHeight="1" x14ac:dyDescent="0.3">
      <c r="A148" s="19" t="s">
        <v>37</v>
      </c>
      <c r="B148" s="26" t="s">
        <v>125</v>
      </c>
      <c r="C148" s="51" t="s">
        <v>126</v>
      </c>
      <c r="D148" s="50"/>
      <c r="E148" s="15">
        <v>0</v>
      </c>
      <c r="F148" s="15">
        <v>0</v>
      </c>
      <c r="G148" s="15">
        <v>0</v>
      </c>
      <c r="H148" s="15">
        <v>0</v>
      </c>
      <c r="I148" s="15">
        <v>0</v>
      </c>
      <c r="J148" s="15">
        <v>0</v>
      </c>
      <c r="K148" s="15">
        <v>2</v>
      </c>
      <c r="L148" s="15">
        <v>1</v>
      </c>
      <c r="M148" s="15">
        <v>1</v>
      </c>
      <c r="N148" s="15">
        <v>2</v>
      </c>
      <c r="O148" s="15">
        <v>1</v>
      </c>
      <c r="P148" s="15">
        <v>2</v>
      </c>
      <c r="Q148" s="15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1</v>
      </c>
      <c r="W148" s="15">
        <v>0</v>
      </c>
      <c r="X148" s="15">
        <v>1</v>
      </c>
      <c r="Y148" s="15">
        <v>1</v>
      </c>
      <c r="Z148" s="15">
        <v>2</v>
      </c>
      <c r="AA148" s="15">
        <v>0</v>
      </c>
      <c r="AB148" s="15">
        <v>0</v>
      </c>
      <c r="AC148" s="15">
        <v>3</v>
      </c>
      <c r="AD148" s="15">
        <v>4</v>
      </c>
      <c r="AE148" s="15">
        <v>1</v>
      </c>
      <c r="AF148" s="15">
        <v>0</v>
      </c>
      <c r="AG148" s="15">
        <v>0</v>
      </c>
      <c r="AH148" s="15">
        <v>0</v>
      </c>
      <c r="AI148" s="15">
        <v>2</v>
      </c>
      <c r="AJ148" s="15">
        <v>4</v>
      </c>
      <c r="AK148" s="15">
        <v>0</v>
      </c>
      <c r="AL148" s="15">
        <v>0</v>
      </c>
      <c r="AM148" s="15">
        <v>0</v>
      </c>
      <c r="AN148" s="15">
        <v>4</v>
      </c>
      <c r="AO148" s="15">
        <v>0</v>
      </c>
      <c r="AP148" s="15">
        <v>1</v>
      </c>
      <c r="AQ148" s="15">
        <v>1</v>
      </c>
      <c r="AR148" s="15">
        <v>0</v>
      </c>
      <c r="AS148" s="15">
        <v>1</v>
      </c>
      <c r="AT148" s="15">
        <v>1</v>
      </c>
      <c r="AU148" s="13">
        <f t="shared" si="13"/>
        <v>36</v>
      </c>
      <c r="AV148" s="5"/>
      <c r="AW148" s="5"/>
    </row>
    <row r="149" spans="1:49" ht="12.75" customHeight="1" x14ac:dyDescent="0.3">
      <c r="A149" s="19" t="s">
        <v>39</v>
      </c>
      <c r="B149" s="27"/>
      <c r="C149" s="28" t="s">
        <v>127</v>
      </c>
      <c r="D149" s="29"/>
      <c r="E149" s="15">
        <v>0</v>
      </c>
      <c r="F149" s="15">
        <v>1</v>
      </c>
      <c r="G149" s="15">
        <v>1</v>
      </c>
      <c r="H149" s="15">
        <v>0</v>
      </c>
      <c r="I149" s="15">
        <v>1</v>
      </c>
      <c r="J149" s="15">
        <v>0</v>
      </c>
      <c r="K149" s="15">
        <v>0</v>
      </c>
      <c r="L149" s="15">
        <v>2</v>
      </c>
      <c r="M149" s="15">
        <v>1</v>
      </c>
      <c r="N149" s="15">
        <v>1</v>
      </c>
      <c r="O149" s="15">
        <v>0</v>
      </c>
      <c r="P149" s="15">
        <v>0</v>
      </c>
      <c r="Q149" s="15">
        <v>1</v>
      </c>
      <c r="R149" s="15">
        <v>3</v>
      </c>
      <c r="S149" s="15">
        <v>0</v>
      </c>
      <c r="T149" s="15">
        <v>0</v>
      </c>
      <c r="U149" s="15">
        <v>0</v>
      </c>
      <c r="V149" s="15">
        <v>0</v>
      </c>
      <c r="W149" s="15">
        <v>0</v>
      </c>
      <c r="X149" s="15">
        <v>1</v>
      </c>
      <c r="Y149" s="15">
        <v>0</v>
      </c>
      <c r="Z149" s="15">
        <v>0</v>
      </c>
      <c r="AA149" s="15">
        <v>1</v>
      </c>
      <c r="AB149" s="15">
        <v>1</v>
      </c>
      <c r="AC149" s="15">
        <v>1</v>
      </c>
      <c r="AD149" s="15">
        <v>0</v>
      </c>
      <c r="AE149" s="15">
        <v>0</v>
      </c>
      <c r="AF149" s="15">
        <v>0</v>
      </c>
      <c r="AG149" s="15">
        <v>2</v>
      </c>
      <c r="AH149" s="15">
        <v>0</v>
      </c>
      <c r="AI149" s="15">
        <v>0</v>
      </c>
      <c r="AJ149" s="15">
        <v>6</v>
      </c>
      <c r="AK149" s="15">
        <v>2</v>
      </c>
      <c r="AL149" s="15">
        <v>0</v>
      </c>
      <c r="AM149" s="15">
        <v>1</v>
      </c>
      <c r="AN149" s="15">
        <v>1</v>
      </c>
      <c r="AO149" s="15">
        <v>2</v>
      </c>
      <c r="AP149" s="15">
        <v>2</v>
      </c>
      <c r="AQ149" s="15">
        <v>8</v>
      </c>
      <c r="AR149" s="15">
        <v>4</v>
      </c>
      <c r="AS149" s="15">
        <v>1</v>
      </c>
      <c r="AT149" s="15">
        <v>12</v>
      </c>
      <c r="AU149" s="13">
        <f t="shared" si="13"/>
        <v>56</v>
      </c>
      <c r="AV149" s="5"/>
      <c r="AW149" s="5"/>
    </row>
    <row r="150" spans="1:49" ht="12.75" customHeight="1" x14ac:dyDescent="0.3">
      <c r="A150" s="14"/>
      <c r="B150" s="27"/>
      <c r="C150" s="28" t="s">
        <v>128</v>
      </c>
      <c r="D150" s="29"/>
      <c r="E150" s="15">
        <v>0</v>
      </c>
      <c r="F150" s="15">
        <v>0</v>
      </c>
      <c r="G150" s="15">
        <v>0</v>
      </c>
      <c r="H150" s="15">
        <v>0</v>
      </c>
      <c r="I150" s="15">
        <v>0</v>
      </c>
      <c r="J150" s="15">
        <v>0</v>
      </c>
      <c r="K150" s="15">
        <v>0</v>
      </c>
      <c r="L150" s="15">
        <v>0</v>
      </c>
      <c r="M150" s="15">
        <v>0</v>
      </c>
      <c r="N150" s="15">
        <v>1</v>
      </c>
      <c r="O150" s="15">
        <v>0</v>
      </c>
      <c r="P150" s="15">
        <v>0</v>
      </c>
      <c r="Q150" s="15">
        <v>0</v>
      </c>
      <c r="R150" s="15">
        <v>0</v>
      </c>
      <c r="S150" s="15">
        <v>1</v>
      </c>
      <c r="T150" s="15">
        <v>0</v>
      </c>
      <c r="U150" s="15">
        <v>1</v>
      </c>
      <c r="V150" s="15">
        <v>0</v>
      </c>
      <c r="W150" s="15">
        <v>0</v>
      </c>
      <c r="X150" s="15">
        <v>1</v>
      </c>
      <c r="Y150" s="15">
        <v>0</v>
      </c>
      <c r="Z150" s="15">
        <v>23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8</v>
      </c>
      <c r="AJ150" s="15">
        <v>1</v>
      </c>
      <c r="AK150" s="15">
        <v>0</v>
      </c>
      <c r="AL150" s="15">
        <v>0</v>
      </c>
      <c r="AM150" s="15">
        <v>0</v>
      </c>
      <c r="AN150" s="15">
        <v>0</v>
      </c>
      <c r="AO150" s="15">
        <v>0</v>
      </c>
      <c r="AP150" s="15">
        <v>0</v>
      </c>
      <c r="AQ150" s="15">
        <v>0</v>
      </c>
      <c r="AR150" s="15">
        <v>0</v>
      </c>
      <c r="AS150" s="15">
        <v>1</v>
      </c>
      <c r="AT150" s="15">
        <v>0</v>
      </c>
      <c r="AU150" s="13">
        <f t="shared" si="13"/>
        <v>37</v>
      </c>
      <c r="AV150" s="5"/>
      <c r="AW150" s="5"/>
    </row>
    <row r="151" spans="1:49" ht="12.75" customHeight="1" x14ac:dyDescent="0.3">
      <c r="A151" s="14"/>
      <c r="B151" s="27"/>
      <c r="C151" s="28" t="s">
        <v>129</v>
      </c>
      <c r="D151" s="29"/>
      <c r="E151" s="15">
        <v>0</v>
      </c>
      <c r="F151" s="15">
        <v>0</v>
      </c>
      <c r="G151" s="15">
        <v>0</v>
      </c>
      <c r="H151" s="15">
        <v>0</v>
      </c>
      <c r="I151" s="15">
        <v>0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  <c r="W151" s="15">
        <v>0</v>
      </c>
      <c r="X151" s="15">
        <v>0</v>
      </c>
      <c r="Y151" s="15">
        <v>2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>
        <v>0</v>
      </c>
      <c r="AM151" s="15">
        <v>0</v>
      </c>
      <c r="AN151" s="15">
        <v>0</v>
      </c>
      <c r="AO151" s="15">
        <v>0</v>
      </c>
      <c r="AP151" s="15">
        <v>0</v>
      </c>
      <c r="AQ151" s="15">
        <v>0</v>
      </c>
      <c r="AR151" s="15">
        <v>0</v>
      </c>
      <c r="AS151" s="15">
        <v>0</v>
      </c>
      <c r="AT151" s="15">
        <v>0</v>
      </c>
      <c r="AU151" s="13">
        <f t="shared" si="13"/>
        <v>2</v>
      </c>
      <c r="AV151" s="1"/>
      <c r="AW151" s="1"/>
    </row>
    <row r="152" spans="1:49" ht="12.75" customHeight="1" x14ac:dyDescent="0.3">
      <c r="A152" s="14"/>
      <c r="B152" s="27"/>
      <c r="C152" s="28" t="s">
        <v>130</v>
      </c>
      <c r="D152" s="29"/>
      <c r="E152" s="15">
        <v>0</v>
      </c>
      <c r="F152" s="15">
        <v>0</v>
      </c>
      <c r="G152" s="15">
        <v>0</v>
      </c>
      <c r="H152" s="15">
        <v>0</v>
      </c>
      <c r="I152" s="15">
        <v>0</v>
      </c>
      <c r="J152" s="15">
        <v>1</v>
      </c>
      <c r="K152" s="15">
        <v>0</v>
      </c>
      <c r="L152" s="15">
        <v>4</v>
      </c>
      <c r="M152" s="15">
        <v>3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1</v>
      </c>
      <c r="T152" s="15">
        <v>0</v>
      </c>
      <c r="U152" s="15">
        <v>0</v>
      </c>
      <c r="V152" s="15">
        <v>1</v>
      </c>
      <c r="W152" s="15">
        <v>1</v>
      </c>
      <c r="X152" s="15">
        <v>0</v>
      </c>
      <c r="Y152" s="15">
        <v>0</v>
      </c>
      <c r="Z152" s="15">
        <v>0</v>
      </c>
      <c r="AA152" s="15">
        <v>1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1</v>
      </c>
      <c r="AK152" s="15">
        <v>0</v>
      </c>
      <c r="AL152" s="15">
        <v>0</v>
      </c>
      <c r="AM152" s="15">
        <v>1</v>
      </c>
      <c r="AN152" s="15">
        <v>0</v>
      </c>
      <c r="AO152" s="15">
        <v>0</v>
      </c>
      <c r="AP152" s="15">
        <v>0</v>
      </c>
      <c r="AQ152" s="15">
        <v>0</v>
      </c>
      <c r="AR152" s="15">
        <v>0</v>
      </c>
      <c r="AS152" s="15">
        <v>9</v>
      </c>
      <c r="AT152" s="15">
        <v>1</v>
      </c>
      <c r="AU152" s="13">
        <f t="shared" si="13"/>
        <v>24</v>
      </c>
      <c r="AV152" s="31"/>
      <c r="AW152" s="31"/>
    </row>
    <row r="153" spans="1:49" ht="12.75" customHeight="1" x14ac:dyDescent="0.3">
      <c r="A153" s="14"/>
      <c r="B153" s="27"/>
      <c r="C153" s="28" t="s">
        <v>131</v>
      </c>
      <c r="D153" s="29"/>
      <c r="E153" s="15">
        <v>0</v>
      </c>
      <c r="F153" s="15">
        <v>0</v>
      </c>
      <c r="G153" s="15">
        <v>0</v>
      </c>
      <c r="H153" s="15">
        <v>0</v>
      </c>
      <c r="I153" s="15">
        <v>1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>
        <v>0</v>
      </c>
      <c r="AM153" s="15">
        <v>1</v>
      </c>
      <c r="AN153" s="15">
        <v>0</v>
      </c>
      <c r="AO153" s="15">
        <v>0</v>
      </c>
      <c r="AP153" s="15">
        <v>0</v>
      </c>
      <c r="AQ153" s="15">
        <v>0</v>
      </c>
      <c r="AR153" s="15">
        <v>0</v>
      </c>
      <c r="AS153" s="15">
        <v>1</v>
      </c>
      <c r="AT153" s="15">
        <v>0</v>
      </c>
      <c r="AU153" s="13">
        <f t="shared" si="13"/>
        <v>3</v>
      </c>
      <c r="AV153" s="5"/>
      <c r="AW153" s="5"/>
    </row>
    <row r="154" spans="1:49" ht="12.75" customHeight="1" x14ac:dyDescent="0.3">
      <c r="A154" s="14"/>
      <c r="B154" s="27"/>
      <c r="C154" s="28" t="s">
        <v>132</v>
      </c>
      <c r="D154" s="29"/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0</v>
      </c>
      <c r="K154" s="15">
        <v>0</v>
      </c>
      <c r="L154" s="15">
        <v>0</v>
      </c>
      <c r="M154" s="15">
        <v>0</v>
      </c>
      <c r="N154" s="15">
        <v>1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1</v>
      </c>
      <c r="AB154" s="15">
        <v>0</v>
      </c>
      <c r="AC154" s="15">
        <v>0</v>
      </c>
      <c r="AD154" s="15">
        <v>1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>
        <v>0</v>
      </c>
      <c r="AM154" s="15">
        <v>0</v>
      </c>
      <c r="AN154" s="15">
        <v>0</v>
      </c>
      <c r="AO154" s="15">
        <v>0</v>
      </c>
      <c r="AP154" s="15">
        <v>0</v>
      </c>
      <c r="AQ154" s="15">
        <v>0</v>
      </c>
      <c r="AR154" s="15">
        <v>1</v>
      </c>
      <c r="AS154" s="15">
        <v>0</v>
      </c>
      <c r="AT154" s="15">
        <v>0</v>
      </c>
      <c r="AU154" s="13">
        <f t="shared" si="13"/>
        <v>4</v>
      </c>
      <c r="AV154" s="5"/>
      <c r="AW154" s="5"/>
    </row>
    <row r="155" spans="1:49" ht="12.75" customHeight="1" x14ac:dyDescent="0.3">
      <c r="A155" s="14"/>
      <c r="B155" s="27"/>
      <c r="C155" s="28" t="s">
        <v>133</v>
      </c>
      <c r="D155" s="29"/>
      <c r="E155" s="15">
        <v>0</v>
      </c>
      <c r="F155" s="15">
        <v>0</v>
      </c>
      <c r="G155" s="15">
        <v>0</v>
      </c>
      <c r="H155" s="15">
        <v>0</v>
      </c>
      <c r="I155" s="15">
        <v>0</v>
      </c>
      <c r="J155" s="15">
        <v>14</v>
      </c>
      <c r="K155" s="15">
        <v>2</v>
      </c>
      <c r="L155" s="15">
        <v>1</v>
      </c>
      <c r="M155" s="15">
        <v>1</v>
      </c>
      <c r="N155" s="15">
        <v>1</v>
      </c>
      <c r="O155" s="15">
        <v>2</v>
      </c>
      <c r="P155" s="15">
        <v>0</v>
      </c>
      <c r="Q155" s="15">
        <v>2</v>
      </c>
      <c r="R155" s="15">
        <v>0</v>
      </c>
      <c r="S155" s="15">
        <v>3</v>
      </c>
      <c r="T155" s="15">
        <v>1</v>
      </c>
      <c r="U155" s="15">
        <v>20</v>
      </c>
      <c r="V155" s="15">
        <v>26</v>
      </c>
      <c r="W155" s="15">
        <v>74</v>
      </c>
      <c r="X155" s="15">
        <v>7</v>
      </c>
      <c r="Y155" s="15">
        <v>11</v>
      </c>
      <c r="Z155" s="15">
        <v>39</v>
      </c>
      <c r="AA155" s="15">
        <v>1</v>
      </c>
      <c r="AB155" s="15">
        <v>6</v>
      </c>
      <c r="AC155" s="15">
        <v>123</v>
      </c>
      <c r="AD155" s="15">
        <v>104</v>
      </c>
      <c r="AE155" s="15">
        <v>28</v>
      </c>
      <c r="AF155" s="15">
        <v>4</v>
      </c>
      <c r="AG155" s="15">
        <v>1</v>
      </c>
      <c r="AH155" s="15">
        <v>0</v>
      </c>
      <c r="AI155" s="15">
        <v>1</v>
      </c>
      <c r="AJ155" s="15">
        <v>0</v>
      </c>
      <c r="AK155" s="15">
        <v>0</v>
      </c>
      <c r="AL155" s="15">
        <v>2</v>
      </c>
      <c r="AM155" s="15">
        <v>1</v>
      </c>
      <c r="AN155" s="15">
        <v>4</v>
      </c>
      <c r="AO155" s="15">
        <v>0</v>
      </c>
      <c r="AP155" s="15">
        <v>0</v>
      </c>
      <c r="AQ155" s="15">
        <v>11</v>
      </c>
      <c r="AR155" s="15">
        <v>32</v>
      </c>
      <c r="AS155" s="15">
        <v>0</v>
      </c>
      <c r="AT155" s="15">
        <v>2</v>
      </c>
      <c r="AU155" s="13">
        <f t="shared" si="13"/>
        <v>524</v>
      </c>
      <c r="AV155" s="5"/>
      <c r="AW155" s="5"/>
    </row>
    <row r="156" spans="1:49" ht="12.75" customHeight="1" x14ac:dyDescent="0.3">
      <c r="A156" s="15" t="s">
        <v>15</v>
      </c>
      <c r="B156" s="48" t="s">
        <v>47</v>
      </c>
      <c r="C156" s="49"/>
      <c r="D156" s="50"/>
      <c r="E156" s="34">
        <f t="shared" ref="E156:AT156" si="27">SUM(E148:E155)</f>
        <v>0</v>
      </c>
      <c r="F156" s="34">
        <f t="shared" si="27"/>
        <v>1</v>
      </c>
      <c r="G156" s="34">
        <f t="shared" si="27"/>
        <v>1</v>
      </c>
      <c r="H156" s="34">
        <f t="shared" si="27"/>
        <v>0</v>
      </c>
      <c r="I156" s="34">
        <f t="shared" si="27"/>
        <v>2</v>
      </c>
      <c r="J156" s="34">
        <f t="shared" si="27"/>
        <v>15</v>
      </c>
      <c r="K156" s="34">
        <f t="shared" si="27"/>
        <v>4</v>
      </c>
      <c r="L156" s="34">
        <f t="shared" si="27"/>
        <v>8</v>
      </c>
      <c r="M156" s="34">
        <f t="shared" si="27"/>
        <v>6</v>
      </c>
      <c r="N156" s="34">
        <f t="shared" si="27"/>
        <v>6</v>
      </c>
      <c r="O156" s="34">
        <f t="shared" si="27"/>
        <v>3</v>
      </c>
      <c r="P156" s="34">
        <f t="shared" si="27"/>
        <v>2</v>
      </c>
      <c r="Q156" s="34">
        <f t="shared" si="27"/>
        <v>3</v>
      </c>
      <c r="R156" s="34">
        <f t="shared" si="27"/>
        <v>3</v>
      </c>
      <c r="S156" s="34">
        <f t="shared" si="27"/>
        <v>5</v>
      </c>
      <c r="T156" s="34">
        <f t="shared" si="27"/>
        <v>1</v>
      </c>
      <c r="U156" s="34">
        <f t="shared" si="27"/>
        <v>21</v>
      </c>
      <c r="V156" s="34">
        <f t="shared" si="27"/>
        <v>28</v>
      </c>
      <c r="W156" s="34">
        <f t="shared" si="27"/>
        <v>75</v>
      </c>
      <c r="X156" s="34">
        <f t="shared" si="27"/>
        <v>10</v>
      </c>
      <c r="Y156" s="34">
        <f t="shared" si="27"/>
        <v>14</v>
      </c>
      <c r="Z156" s="34">
        <f t="shared" si="27"/>
        <v>64</v>
      </c>
      <c r="AA156" s="34">
        <f t="shared" si="27"/>
        <v>4</v>
      </c>
      <c r="AB156" s="34">
        <f t="shared" si="27"/>
        <v>7</v>
      </c>
      <c r="AC156" s="34">
        <f t="shared" si="27"/>
        <v>127</v>
      </c>
      <c r="AD156" s="34">
        <f t="shared" si="27"/>
        <v>109</v>
      </c>
      <c r="AE156" s="34">
        <f t="shared" si="27"/>
        <v>29</v>
      </c>
      <c r="AF156" s="34">
        <f t="shared" si="27"/>
        <v>4</v>
      </c>
      <c r="AG156" s="34">
        <f t="shared" si="27"/>
        <v>3</v>
      </c>
      <c r="AH156" s="34">
        <f t="shared" si="27"/>
        <v>0</v>
      </c>
      <c r="AI156" s="34">
        <f t="shared" si="27"/>
        <v>11</v>
      </c>
      <c r="AJ156" s="34">
        <f t="shared" si="27"/>
        <v>12</v>
      </c>
      <c r="AK156" s="34">
        <f t="shared" si="27"/>
        <v>2</v>
      </c>
      <c r="AL156" s="34">
        <f t="shared" si="27"/>
        <v>2</v>
      </c>
      <c r="AM156" s="34">
        <f t="shared" si="27"/>
        <v>4</v>
      </c>
      <c r="AN156" s="34">
        <f t="shared" si="27"/>
        <v>9</v>
      </c>
      <c r="AO156" s="34">
        <f t="shared" si="27"/>
        <v>2</v>
      </c>
      <c r="AP156" s="34">
        <f t="shared" si="27"/>
        <v>3</v>
      </c>
      <c r="AQ156" s="34">
        <f t="shared" si="27"/>
        <v>20</v>
      </c>
      <c r="AR156" s="34">
        <f t="shared" si="27"/>
        <v>37</v>
      </c>
      <c r="AS156" s="34">
        <f t="shared" si="27"/>
        <v>13</v>
      </c>
      <c r="AT156" s="34">
        <f t="shared" si="27"/>
        <v>16</v>
      </c>
      <c r="AU156" s="13">
        <f t="shared" si="13"/>
        <v>686</v>
      </c>
      <c r="AV156" s="5"/>
      <c r="AW156" s="5"/>
    </row>
    <row r="157" spans="1:49" ht="12.75" customHeight="1" x14ac:dyDescent="0.3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13">
        <f t="shared" si="13"/>
        <v>0</v>
      </c>
      <c r="AV157" s="5"/>
      <c r="AW157" s="5"/>
    </row>
    <row r="158" spans="1:49" ht="12.75" customHeight="1" x14ac:dyDescent="0.3">
      <c r="A158" s="19" t="s">
        <v>37</v>
      </c>
      <c r="B158" s="26" t="s">
        <v>134</v>
      </c>
      <c r="C158" s="51" t="s">
        <v>135</v>
      </c>
      <c r="D158" s="50"/>
      <c r="E158" s="15">
        <v>0</v>
      </c>
      <c r="F158" s="15">
        <v>0</v>
      </c>
      <c r="G158" s="15">
        <v>0</v>
      </c>
      <c r="H158" s="15">
        <v>0</v>
      </c>
      <c r="I158" s="15">
        <v>0</v>
      </c>
      <c r="J158" s="15">
        <v>0</v>
      </c>
      <c r="K158" s="15">
        <v>0</v>
      </c>
      <c r="L158" s="15">
        <v>1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1</v>
      </c>
      <c r="U158" s="15">
        <v>0</v>
      </c>
      <c r="V158" s="15">
        <v>0</v>
      </c>
      <c r="W158" s="15">
        <v>0</v>
      </c>
      <c r="X158" s="15">
        <v>0</v>
      </c>
      <c r="Y158" s="15">
        <v>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1</v>
      </c>
      <c r="AK158" s="15">
        <v>0</v>
      </c>
      <c r="AL158" s="15">
        <v>0</v>
      </c>
      <c r="AM158" s="15">
        <v>2</v>
      </c>
      <c r="AN158" s="15">
        <v>1</v>
      </c>
      <c r="AO158" s="15">
        <v>0</v>
      </c>
      <c r="AP158" s="15">
        <v>0</v>
      </c>
      <c r="AQ158" s="15">
        <v>1</v>
      </c>
      <c r="AR158" s="15">
        <v>0</v>
      </c>
      <c r="AS158" s="15">
        <v>0</v>
      </c>
      <c r="AT158" s="15">
        <v>0</v>
      </c>
      <c r="AU158" s="13">
        <f t="shared" si="13"/>
        <v>7</v>
      </c>
      <c r="AV158" s="5"/>
      <c r="AW158" s="5"/>
    </row>
    <row r="159" spans="1:49" ht="12.75" customHeight="1" x14ac:dyDescent="0.3">
      <c r="A159" s="19" t="s">
        <v>39</v>
      </c>
      <c r="B159" s="27"/>
      <c r="C159" s="28" t="s">
        <v>136</v>
      </c>
      <c r="D159" s="29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>
        <v>0</v>
      </c>
      <c r="U159" s="15">
        <v>0</v>
      </c>
      <c r="V159" s="15">
        <v>0</v>
      </c>
      <c r="W159" s="15">
        <v>0</v>
      </c>
      <c r="X159" s="15">
        <v>0</v>
      </c>
      <c r="Y159" s="15">
        <v>0</v>
      </c>
      <c r="Z159" s="15">
        <v>0</v>
      </c>
      <c r="AA159" s="15">
        <v>0</v>
      </c>
      <c r="AB159" s="15">
        <v>0</v>
      </c>
      <c r="AC159" s="15">
        <v>1</v>
      </c>
      <c r="AD159" s="15">
        <v>0</v>
      </c>
      <c r="AE159" s="15">
        <v>0</v>
      </c>
      <c r="AF159" s="15">
        <v>1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>
        <v>0</v>
      </c>
      <c r="AM159" s="15">
        <v>1</v>
      </c>
      <c r="AN159" s="15">
        <v>1</v>
      </c>
      <c r="AO159" s="15">
        <v>0</v>
      </c>
      <c r="AP159" s="15">
        <v>0</v>
      </c>
      <c r="AQ159" s="15">
        <v>0</v>
      </c>
      <c r="AR159" s="15">
        <v>2</v>
      </c>
      <c r="AS159" s="15">
        <v>0</v>
      </c>
      <c r="AT159" s="15">
        <v>0</v>
      </c>
      <c r="AU159" s="13">
        <f t="shared" si="13"/>
        <v>6</v>
      </c>
      <c r="AV159" s="5"/>
      <c r="AW159" s="5"/>
    </row>
    <row r="160" spans="1:49" ht="12.75" customHeight="1" x14ac:dyDescent="0.3">
      <c r="A160" s="19"/>
      <c r="B160" s="27"/>
      <c r="C160" s="28" t="s">
        <v>137</v>
      </c>
      <c r="D160" s="29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>
        <v>0</v>
      </c>
      <c r="U160" s="15">
        <v>0</v>
      </c>
      <c r="V160" s="15">
        <v>0</v>
      </c>
      <c r="W160" s="15">
        <v>0</v>
      </c>
      <c r="X160" s="15">
        <v>0</v>
      </c>
      <c r="Y160" s="15">
        <v>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>
        <v>0</v>
      </c>
      <c r="AM160" s="15">
        <v>1</v>
      </c>
      <c r="AN160" s="15">
        <v>0</v>
      </c>
      <c r="AO160" s="15">
        <v>0</v>
      </c>
      <c r="AP160" s="15">
        <v>0</v>
      </c>
      <c r="AQ160" s="15">
        <v>0</v>
      </c>
      <c r="AR160" s="15">
        <v>0</v>
      </c>
      <c r="AS160" s="15">
        <v>0</v>
      </c>
      <c r="AT160" s="15">
        <v>0</v>
      </c>
      <c r="AU160" s="13">
        <f t="shared" si="13"/>
        <v>2</v>
      </c>
      <c r="AV160" s="5"/>
      <c r="AW160" s="5"/>
    </row>
    <row r="161" spans="1:49" ht="12.75" customHeight="1" x14ac:dyDescent="0.3">
      <c r="A161" s="15" t="s">
        <v>15</v>
      </c>
      <c r="B161" s="48" t="s">
        <v>47</v>
      </c>
      <c r="C161" s="49"/>
      <c r="D161" s="50"/>
      <c r="E161" s="34">
        <f t="shared" ref="E161:AT161" si="28">SUM(E158:E160)</f>
        <v>0</v>
      </c>
      <c r="F161" s="34">
        <f t="shared" si="28"/>
        <v>0</v>
      </c>
      <c r="G161" s="34">
        <f t="shared" si="28"/>
        <v>0</v>
      </c>
      <c r="H161" s="34">
        <f t="shared" si="28"/>
        <v>0</v>
      </c>
      <c r="I161" s="34">
        <f t="shared" si="28"/>
        <v>0</v>
      </c>
      <c r="J161" s="34">
        <f t="shared" si="28"/>
        <v>0</v>
      </c>
      <c r="K161" s="34">
        <f t="shared" si="28"/>
        <v>0</v>
      </c>
      <c r="L161" s="34">
        <f t="shared" si="28"/>
        <v>1</v>
      </c>
      <c r="M161" s="34">
        <f t="shared" si="28"/>
        <v>0</v>
      </c>
      <c r="N161" s="34">
        <f t="shared" si="28"/>
        <v>0</v>
      </c>
      <c r="O161" s="34">
        <f t="shared" si="28"/>
        <v>0</v>
      </c>
      <c r="P161" s="34">
        <f t="shared" si="28"/>
        <v>0</v>
      </c>
      <c r="Q161" s="34">
        <f t="shared" si="28"/>
        <v>0</v>
      </c>
      <c r="R161" s="34">
        <f t="shared" si="28"/>
        <v>0</v>
      </c>
      <c r="S161" s="34">
        <f t="shared" si="28"/>
        <v>0</v>
      </c>
      <c r="T161" s="34">
        <f t="shared" si="28"/>
        <v>1</v>
      </c>
      <c r="U161" s="34">
        <f t="shared" si="28"/>
        <v>0</v>
      </c>
      <c r="V161" s="34">
        <f t="shared" si="28"/>
        <v>0</v>
      </c>
      <c r="W161" s="34">
        <f t="shared" si="28"/>
        <v>0</v>
      </c>
      <c r="X161" s="34">
        <f t="shared" si="28"/>
        <v>0</v>
      </c>
      <c r="Y161" s="34">
        <f t="shared" si="28"/>
        <v>1</v>
      </c>
      <c r="Z161" s="34">
        <f t="shared" si="28"/>
        <v>0</v>
      </c>
      <c r="AA161" s="34">
        <f t="shared" si="28"/>
        <v>0</v>
      </c>
      <c r="AB161" s="34">
        <f t="shared" si="28"/>
        <v>0</v>
      </c>
      <c r="AC161" s="34">
        <f t="shared" si="28"/>
        <v>1</v>
      </c>
      <c r="AD161" s="34">
        <f t="shared" si="28"/>
        <v>0</v>
      </c>
      <c r="AE161" s="34">
        <f t="shared" si="28"/>
        <v>0</v>
      </c>
      <c r="AF161" s="34">
        <f t="shared" si="28"/>
        <v>1</v>
      </c>
      <c r="AG161" s="34">
        <f t="shared" si="28"/>
        <v>0</v>
      </c>
      <c r="AH161" s="34">
        <f t="shared" si="28"/>
        <v>0</v>
      </c>
      <c r="AI161" s="34">
        <f t="shared" si="28"/>
        <v>0</v>
      </c>
      <c r="AJ161" s="34">
        <f t="shared" si="28"/>
        <v>1</v>
      </c>
      <c r="AK161" s="34">
        <f t="shared" si="28"/>
        <v>0</v>
      </c>
      <c r="AL161" s="34">
        <f t="shared" si="28"/>
        <v>0</v>
      </c>
      <c r="AM161" s="34">
        <f t="shared" si="28"/>
        <v>4</v>
      </c>
      <c r="AN161" s="34">
        <f t="shared" si="28"/>
        <v>2</v>
      </c>
      <c r="AO161" s="34">
        <f t="shared" si="28"/>
        <v>0</v>
      </c>
      <c r="AP161" s="34">
        <f t="shared" si="28"/>
        <v>0</v>
      </c>
      <c r="AQ161" s="34">
        <f t="shared" si="28"/>
        <v>1</v>
      </c>
      <c r="AR161" s="34">
        <f t="shared" si="28"/>
        <v>2</v>
      </c>
      <c r="AS161" s="34">
        <f t="shared" si="28"/>
        <v>0</v>
      </c>
      <c r="AT161" s="34">
        <f t="shared" si="28"/>
        <v>0</v>
      </c>
      <c r="AU161" s="13">
        <f t="shared" si="13"/>
        <v>15</v>
      </c>
      <c r="AV161" s="5"/>
      <c r="AW161" s="5"/>
    </row>
    <row r="162" spans="1:49" ht="12.75" customHeight="1" x14ac:dyDescent="0.3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13">
        <f t="shared" si="13"/>
        <v>0</v>
      </c>
      <c r="AV162" s="5"/>
      <c r="AW162" s="5"/>
    </row>
    <row r="163" spans="1:49" ht="12.75" customHeight="1" x14ac:dyDescent="0.3">
      <c r="A163" s="19" t="s">
        <v>37</v>
      </c>
      <c r="B163" s="26" t="s">
        <v>138</v>
      </c>
      <c r="C163" s="51" t="s">
        <v>139</v>
      </c>
      <c r="D163" s="50"/>
      <c r="E163" s="15">
        <v>0</v>
      </c>
      <c r="F163" s="15">
        <v>0</v>
      </c>
      <c r="G163" s="15">
        <v>0</v>
      </c>
      <c r="H163" s="15">
        <v>0</v>
      </c>
      <c r="I163" s="15">
        <v>0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1</v>
      </c>
      <c r="Q163" s="15">
        <v>0</v>
      </c>
      <c r="R163" s="15">
        <v>0</v>
      </c>
      <c r="S163" s="15">
        <v>0</v>
      </c>
      <c r="T163" s="15">
        <v>0</v>
      </c>
      <c r="U163" s="15">
        <v>1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2</v>
      </c>
      <c r="AI163" s="15">
        <v>0</v>
      </c>
      <c r="AJ163" s="15">
        <v>0</v>
      </c>
      <c r="AK163" s="15">
        <v>0</v>
      </c>
      <c r="AL163" s="15">
        <v>0</v>
      </c>
      <c r="AM163" s="15">
        <v>1</v>
      </c>
      <c r="AN163" s="15">
        <v>0</v>
      </c>
      <c r="AO163" s="15">
        <v>0</v>
      </c>
      <c r="AP163" s="15">
        <v>0</v>
      </c>
      <c r="AQ163" s="15">
        <v>0</v>
      </c>
      <c r="AR163" s="15">
        <v>0</v>
      </c>
      <c r="AS163" s="15">
        <v>1</v>
      </c>
      <c r="AT163" s="15">
        <v>0</v>
      </c>
      <c r="AU163" s="13">
        <f t="shared" si="13"/>
        <v>6</v>
      </c>
      <c r="AV163" s="5"/>
      <c r="AW163" s="5"/>
    </row>
    <row r="164" spans="1:49" ht="12.75" customHeight="1" x14ac:dyDescent="0.3">
      <c r="A164" s="19" t="s">
        <v>39</v>
      </c>
      <c r="B164" s="26"/>
      <c r="C164" s="28" t="s">
        <v>140</v>
      </c>
      <c r="D164" s="4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>
        <v>0</v>
      </c>
      <c r="U164" s="15">
        <v>0</v>
      </c>
      <c r="V164" s="15">
        <v>0</v>
      </c>
      <c r="W164" s="15">
        <v>0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1</v>
      </c>
      <c r="AI164" s="15">
        <v>0</v>
      </c>
      <c r="AJ164" s="15">
        <v>0</v>
      </c>
      <c r="AK164" s="15">
        <v>0</v>
      </c>
      <c r="AL164" s="15">
        <v>0</v>
      </c>
      <c r="AM164" s="15">
        <v>0</v>
      </c>
      <c r="AN164" s="15">
        <v>0</v>
      </c>
      <c r="AO164" s="15">
        <v>0</v>
      </c>
      <c r="AP164" s="15">
        <v>0</v>
      </c>
      <c r="AQ164" s="15">
        <v>0</v>
      </c>
      <c r="AR164" s="15">
        <v>0</v>
      </c>
      <c r="AS164" s="15">
        <v>0</v>
      </c>
      <c r="AT164" s="15">
        <v>0</v>
      </c>
      <c r="AU164" s="13">
        <f t="shared" si="13"/>
        <v>1</v>
      </c>
      <c r="AV164" s="5"/>
      <c r="AW164" s="5"/>
    </row>
    <row r="165" spans="1:49" ht="12.75" customHeight="1" x14ac:dyDescent="0.3">
      <c r="A165" s="15" t="s">
        <v>15</v>
      </c>
      <c r="B165" s="48" t="s">
        <v>47</v>
      </c>
      <c r="C165" s="49"/>
      <c r="D165" s="50"/>
      <c r="E165" s="34">
        <f t="shared" ref="E165:AT165" si="29">SUM(E163:E164)</f>
        <v>0</v>
      </c>
      <c r="F165" s="34">
        <f t="shared" si="29"/>
        <v>0</v>
      </c>
      <c r="G165" s="34">
        <f t="shared" si="29"/>
        <v>0</v>
      </c>
      <c r="H165" s="34">
        <f t="shared" si="29"/>
        <v>0</v>
      </c>
      <c r="I165" s="34">
        <f t="shared" si="29"/>
        <v>0</v>
      </c>
      <c r="J165" s="34">
        <f t="shared" si="29"/>
        <v>0</v>
      </c>
      <c r="K165" s="34">
        <f t="shared" si="29"/>
        <v>0</v>
      </c>
      <c r="L165" s="34">
        <f t="shared" si="29"/>
        <v>0</v>
      </c>
      <c r="M165" s="34">
        <f t="shared" si="29"/>
        <v>0</v>
      </c>
      <c r="N165" s="34">
        <f t="shared" si="29"/>
        <v>0</v>
      </c>
      <c r="O165" s="34">
        <f t="shared" si="29"/>
        <v>0</v>
      </c>
      <c r="P165" s="34">
        <f t="shared" si="29"/>
        <v>1</v>
      </c>
      <c r="Q165" s="34">
        <f t="shared" si="29"/>
        <v>0</v>
      </c>
      <c r="R165" s="34">
        <f t="shared" si="29"/>
        <v>0</v>
      </c>
      <c r="S165" s="34">
        <f t="shared" si="29"/>
        <v>0</v>
      </c>
      <c r="T165" s="34">
        <f t="shared" si="29"/>
        <v>0</v>
      </c>
      <c r="U165" s="34">
        <f t="shared" si="29"/>
        <v>1</v>
      </c>
      <c r="V165" s="34">
        <f t="shared" si="29"/>
        <v>0</v>
      </c>
      <c r="W165" s="34">
        <f t="shared" si="29"/>
        <v>0</v>
      </c>
      <c r="X165" s="34">
        <f t="shared" si="29"/>
        <v>0</v>
      </c>
      <c r="Y165" s="34">
        <f t="shared" si="29"/>
        <v>0</v>
      </c>
      <c r="Z165" s="34">
        <f t="shared" si="29"/>
        <v>0</v>
      </c>
      <c r="AA165" s="34">
        <f t="shared" si="29"/>
        <v>0</v>
      </c>
      <c r="AB165" s="34">
        <f t="shared" si="29"/>
        <v>0</v>
      </c>
      <c r="AC165" s="34">
        <f t="shared" si="29"/>
        <v>0</v>
      </c>
      <c r="AD165" s="34">
        <f t="shared" si="29"/>
        <v>0</v>
      </c>
      <c r="AE165" s="34">
        <f t="shared" si="29"/>
        <v>0</v>
      </c>
      <c r="AF165" s="34">
        <f t="shared" si="29"/>
        <v>0</v>
      </c>
      <c r="AG165" s="34">
        <f t="shared" si="29"/>
        <v>0</v>
      </c>
      <c r="AH165" s="34">
        <f t="shared" si="29"/>
        <v>3</v>
      </c>
      <c r="AI165" s="34">
        <f t="shared" si="29"/>
        <v>0</v>
      </c>
      <c r="AJ165" s="34">
        <f t="shared" si="29"/>
        <v>0</v>
      </c>
      <c r="AK165" s="34">
        <f t="shared" si="29"/>
        <v>0</v>
      </c>
      <c r="AL165" s="34">
        <f t="shared" si="29"/>
        <v>0</v>
      </c>
      <c r="AM165" s="34">
        <f t="shared" si="29"/>
        <v>1</v>
      </c>
      <c r="AN165" s="34">
        <f t="shared" si="29"/>
        <v>0</v>
      </c>
      <c r="AO165" s="34">
        <f t="shared" si="29"/>
        <v>0</v>
      </c>
      <c r="AP165" s="34">
        <f t="shared" si="29"/>
        <v>0</v>
      </c>
      <c r="AQ165" s="34">
        <f t="shared" si="29"/>
        <v>0</v>
      </c>
      <c r="AR165" s="34">
        <f t="shared" si="29"/>
        <v>0</v>
      </c>
      <c r="AS165" s="34">
        <f t="shared" si="29"/>
        <v>1</v>
      </c>
      <c r="AT165" s="34">
        <f t="shared" si="29"/>
        <v>0</v>
      </c>
      <c r="AU165" s="13">
        <f t="shared" si="13"/>
        <v>7</v>
      </c>
      <c r="AV165" s="1"/>
      <c r="AW165" s="1"/>
    </row>
    <row r="166" spans="1:49" ht="12.75" customHeight="1" x14ac:dyDescent="0.3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13">
        <f t="shared" si="13"/>
        <v>0</v>
      </c>
      <c r="AV166" s="31"/>
      <c r="AW166" s="31"/>
    </row>
    <row r="167" spans="1:49" ht="12.75" customHeight="1" x14ac:dyDescent="0.3">
      <c r="A167" s="19" t="s">
        <v>37</v>
      </c>
      <c r="B167" s="26" t="s">
        <v>141</v>
      </c>
      <c r="C167" s="51" t="s">
        <v>142</v>
      </c>
      <c r="D167" s="50"/>
      <c r="E167" s="15">
        <v>0</v>
      </c>
      <c r="F167" s="15">
        <v>0</v>
      </c>
      <c r="G167" s="15">
        <v>0</v>
      </c>
      <c r="H167" s="15">
        <v>0</v>
      </c>
      <c r="I167" s="15">
        <v>1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>
        <v>1</v>
      </c>
      <c r="R167" s="15">
        <v>0</v>
      </c>
      <c r="S167" s="15">
        <v>0</v>
      </c>
      <c r="T167" s="15">
        <v>0</v>
      </c>
      <c r="U167" s="15">
        <v>0</v>
      </c>
      <c r="V167" s="15">
        <v>0</v>
      </c>
      <c r="W167" s="15">
        <v>0</v>
      </c>
      <c r="X167" s="15">
        <v>7</v>
      </c>
      <c r="Y167" s="15">
        <v>1</v>
      </c>
      <c r="Z167" s="15">
        <v>2</v>
      </c>
      <c r="AA167" s="15">
        <v>2</v>
      </c>
      <c r="AB167" s="15">
        <v>0</v>
      </c>
      <c r="AC167" s="15">
        <v>0</v>
      </c>
      <c r="AD167" s="15">
        <v>1</v>
      </c>
      <c r="AE167" s="15">
        <v>0</v>
      </c>
      <c r="AF167" s="15">
        <v>0</v>
      </c>
      <c r="AG167" s="15">
        <v>0</v>
      </c>
      <c r="AH167" s="15">
        <v>1</v>
      </c>
      <c r="AI167" s="15">
        <v>0</v>
      </c>
      <c r="AJ167" s="15">
        <v>1</v>
      </c>
      <c r="AK167" s="15">
        <v>1</v>
      </c>
      <c r="AL167" s="15">
        <v>1</v>
      </c>
      <c r="AM167" s="15">
        <v>0</v>
      </c>
      <c r="AN167" s="15">
        <v>0</v>
      </c>
      <c r="AO167" s="15">
        <v>0</v>
      </c>
      <c r="AP167" s="15">
        <v>1</v>
      </c>
      <c r="AQ167" s="15">
        <v>0</v>
      </c>
      <c r="AR167" s="15">
        <v>0</v>
      </c>
      <c r="AS167" s="15">
        <v>0</v>
      </c>
      <c r="AT167" s="15">
        <v>0</v>
      </c>
      <c r="AU167" s="13">
        <f t="shared" si="13"/>
        <v>20</v>
      </c>
      <c r="AV167" s="5"/>
      <c r="AW167" s="5"/>
    </row>
    <row r="168" spans="1:49" ht="12.75" customHeight="1" x14ac:dyDescent="0.3">
      <c r="A168" s="19" t="s">
        <v>39</v>
      </c>
      <c r="B168" s="27"/>
      <c r="C168" s="28" t="s">
        <v>143</v>
      </c>
      <c r="D168" s="29"/>
      <c r="E168" s="15">
        <v>0</v>
      </c>
      <c r="F168" s="15">
        <v>0</v>
      </c>
      <c r="G168" s="15">
        <v>0</v>
      </c>
      <c r="H168" s="15">
        <v>0</v>
      </c>
      <c r="I168" s="15">
        <v>0</v>
      </c>
      <c r="J168" s="15">
        <v>0</v>
      </c>
      <c r="K168" s="15">
        <v>0</v>
      </c>
      <c r="L168" s="15">
        <v>0</v>
      </c>
      <c r="M168" s="15">
        <v>1</v>
      </c>
      <c r="N168" s="15">
        <v>0</v>
      </c>
      <c r="O168" s="15">
        <v>0</v>
      </c>
      <c r="P168" s="15">
        <v>1</v>
      </c>
      <c r="Q168" s="15">
        <v>0</v>
      </c>
      <c r="R168" s="15">
        <v>0</v>
      </c>
      <c r="S168" s="15">
        <v>0</v>
      </c>
      <c r="T168" s="15">
        <v>0</v>
      </c>
      <c r="U168" s="15">
        <v>0</v>
      </c>
      <c r="V168" s="15">
        <v>0</v>
      </c>
      <c r="W168" s="15">
        <v>0</v>
      </c>
      <c r="X168" s="15">
        <v>0</v>
      </c>
      <c r="Y168" s="15">
        <v>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>
        <v>0</v>
      </c>
      <c r="AM168" s="15">
        <v>0</v>
      </c>
      <c r="AN168" s="15">
        <v>0</v>
      </c>
      <c r="AO168" s="15">
        <v>1</v>
      </c>
      <c r="AP168" s="15">
        <v>0</v>
      </c>
      <c r="AQ168" s="15">
        <v>0</v>
      </c>
      <c r="AR168" s="15">
        <v>0</v>
      </c>
      <c r="AS168" s="15">
        <v>0</v>
      </c>
      <c r="AT168" s="15">
        <v>0</v>
      </c>
      <c r="AU168" s="13">
        <f t="shared" si="13"/>
        <v>3</v>
      </c>
      <c r="AV168" s="5"/>
      <c r="AW168" s="5"/>
    </row>
    <row r="169" spans="1:49" ht="12.75" customHeight="1" x14ac:dyDescent="0.3">
      <c r="A169" s="14"/>
      <c r="B169" s="27"/>
      <c r="C169" s="28" t="s">
        <v>144</v>
      </c>
      <c r="D169" s="29"/>
      <c r="E169" s="15">
        <v>0</v>
      </c>
      <c r="F169" s="15">
        <v>0</v>
      </c>
      <c r="G169" s="15">
        <v>0</v>
      </c>
      <c r="H169" s="15">
        <v>0</v>
      </c>
      <c r="I169" s="15">
        <v>0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1</v>
      </c>
      <c r="Y169" s="15">
        <v>0</v>
      </c>
      <c r="Z169" s="15">
        <v>0</v>
      </c>
      <c r="AA169" s="15">
        <v>0</v>
      </c>
      <c r="AB169" s="15">
        <v>1</v>
      </c>
      <c r="AC169" s="15">
        <v>0</v>
      </c>
      <c r="AD169" s="15">
        <v>1</v>
      </c>
      <c r="AE169" s="15">
        <v>0</v>
      </c>
      <c r="AF169" s="15">
        <v>0</v>
      </c>
      <c r="AG169" s="15">
        <v>0</v>
      </c>
      <c r="AH169" s="15">
        <v>0</v>
      </c>
      <c r="AI169" s="15">
        <v>1</v>
      </c>
      <c r="AJ169" s="15">
        <v>0</v>
      </c>
      <c r="AK169" s="15">
        <v>1</v>
      </c>
      <c r="AL169" s="15">
        <v>0</v>
      </c>
      <c r="AM169" s="15">
        <v>1</v>
      </c>
      <c r="AN169" s="15">
        <v>0</v>
      </c>
      <c r="AO169" s="15">
        <v>0</v>
      </c>
      <c r="AP169" s="15">
        <v>0</v>
      </c>
      <c r="AQ169" s="15">
        <v>0</v>
      </c>
      <c r="AR169" s="15">
        <v>0</v>
      </c>
      <c r="AS169" s="15">
        <v>0</v>
      </c>
      <c r="AT169" s="15">
        <v>0</v>
      </c>
      <c r="AU169" s="13">
        <f t="shared" si="13"/>
        <v>6</v>
      </c>
      <c r="AV169" s="5"/>
      <c r="AW169" s="5"/>
    </row>
    <row r="170" spans="1:49" ht="12.75" customHeight="1" x14ac:dyDescent="0.3">
      <c r="A170" s="14"/>
      <c r="B170" s="27"/>
      <c r="C170" s="28" t="s">
        <v>145</v>
      </c>
      <c r="D170" s="29"/>
      <c r="E170" s="15">
        <v>0</v>
      </c>
      <c r="F170" s="15">
        <v>0</v>
      </c>
      <c r="G170" s="15">
        <v>0</v>
      </c>
      <c r="H170" s="15">
        <v>0</v>
      </c>
      <c r="I170" s="15">
        <v>0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1</v>
      </c>
      <c r="R170" s="15">
        <v>0</v>
      </c>
      <c r="S170" s="15">
        <v>0</v>
      </c>
      <c r="T170" s="15">
        <v>0</v>
      </c>
      <c r="U170" s="15">
        <v>1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>
        <v>0</v>
      </c>
      <c r="AM170" s="15">
        <v>0</v>
      </c>
      <c r="AN170" s="15">
        <v>0</v>
      </c>
      <c r="AO170" s="15">
        <v>0</v>
      </c>
      <c r="AP170" s="15">
        <v>0</v>
      </c>
      <c r="AQ170" s="15">
        <v>0</v>
      </c>
      <c r="AR170" s="15">
        <v>0</v>
      </c>
      <c r="AS170" s="15">
        <v>0</v>
      </c>
      <c r="AT170" s="15">
        <v>0</v>
      </c>
      <c r="AU170" s="13">
        <f t="shared" si="13"/>
        <v>2</v>
      </c>
      <c r="AV170" s="5"/>
      <c r="AW170" s="5"/>
    </row>
    <row r="171" spans="1:49" ht="12.75" customHeight="1" x14ac:dyDescent="0.3">
      <c r="A171" s="14"/>
      <c r="B171" s="27"/>
      <c r="C171" s="28" t="s">
        <v>146</v>
      </c>
      <c r="D171" s="29"/>
      <c r="E171" s="15">
        <v>0</v>
      </c>
      <c r="F171" s="15">
        <v>0</v>
      </c>
      <c r="G171" s="15">
        <v>0</v>
      </c>
      <c r="H171" s="15">
        <v>0</v>
      </c>
      <c r="I171" s="15">
        <v>0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>
        <v>0</v>
      </c>
      <c r="AM171" s="15">
        <v>0</v>
      </c>
      <c r="AN171" s="15">
        <v>0</v>
      </c>
      <c r="AO171" s="15">
        <v>0</v>
      </c>
      <c r="AP171" s="15">
        <v>0</v>
      </c>
      <c r="AQ171" s="15">
        <v>0</v>
      </c>
      <c r="AR171" s="15">
        <v>0</v>
      </c>
      <c r="AS171" s="15">
        <v>0</v>
      </c>
      <c r="AT171" s="15">
        <v>0</v>
      </c>
      <c r="AU171" s="13">
        <f t="shared" si="13"/>
        <v>0</v>
      </c>
      <c r="AV171" s="5"/>
      <c r="AW171" s="5"/>
    </row>
    <row r="172" spans="1:49" ht="12.75" customHeight="1" x14ac:dyDescent="0.3">
      <c r="A172" s="14"/>
      <c r="B172" s="27"/>
      <c r="C172" s="28" t="s">
        <v>147</v>
      </c>
      <c r="D172" s="29"/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5">
        <v>0</v>
      </c>
      <c r="X172" s="15">
        <v>1</v>
      </c>
      <c r="Y172" s="15">
        <v>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>
        <v>0</v>
      </c>
      <c r="AM172" s="15">
        <v>0</v>
      </c>
      <c r="AN172" s="15">
        <v>0</v>
      </c>
      <c r="AO172" s="15">
        <v>0</v>
      </c>
      <c r="AP172" s="15">
        <v>0</v>
      </c>
      <c r="AQ172" s="15">
        <v>0</v>
      </c>
      <c r="AR172" s="15">
        <v>0</v>
      </c>
      <c r="AS172" s="15">
        <v>0</v>
      </c>
      <c r="AT172" s="15">
        <v>0</v>
      </c>
      <c r="AU172" s="13">
        <f t="shared" si="13"/>
        <v>1</v>
      </c>
      <c r="AV172" s="5"/>
      <c r="AW172" s="5"/>
    </row>
    <row r="173" spans="1:49" ht="12.75" customHeight="1" x14ac:dyDescent="0.3">
      <c r="A173" s="14"/>
      <c r="B173" s="27"/>
      <c r="C173" s="28" t="s">
        <v>148</v>
      </c>
      <c r="D173" s="29"/>
      <c r="E173" s="15">
        <v>3</v>
      </c>
      <c r="F173" s="15">
        <v>1</v>
      </c>
      <c r="G173" s="15">
        <v>1</v>
      </c>
      <c r="H173" s="15">
        <v>0</v>
      </c>
      <c r="I173" s="15">
        <v>0</v>
      </c>
      <c r="J173" s="15">
        <v>0</v>
      </c>
      <c r="K173" s="15">
        <v>0</v>
      </c>
      <c r="L173" s="15">
        <v>2</v>
      </c>
      <c r="M173" s="15">
        <v>0</v>
      </c>
      <c r="N173" s="15">
        <v>0</v>
      </c>
      <c r="O173" s="15">
        <v>0</v>
      </c>
      <c r="P173" s="15">
        <v>1</v>
      </c>
      <c r="Q173" s="15">
        <v>54</v>
      </c>
      <c r="R173" s="15">
        <v>2</v>
      </c>
      <c r="S173" s="15">
        <v>20</v>
      </c>
      <c r="T173" s="15">
        <v>4</v>
      </c>
      <c r="U173" s="15">
        <v>5</v>
      </c>
      <c r="V173" s="15">
        <v>6</v>
      </c>
      <c r="W173" s="15">
        <v>3</v>
      </c>
      <c r="X173" s="15">
        <v>67</v>
      </c>
      <c r="Y173" s="15">
        <v>46</v>
      </c>
      <c r="Z173" s="15">
        <v>40</v>
      </c>
      <c r="AA173" s="15">
        <v>43</v>
      </c>
      <c r="AB173" s="15">
        <v>36</v>
      </c>
      <c r="AC173" s="15">
        <v>7</v>
      </c>
      <c r="AD173" s="15">
        <v>15</v>
      </c>
      <c r="AE173" s="15">
        <v>16</v>
      </c>
      <c r="AF173" s="15">
        <v>7</v>
      </c>
      <c r="AG173" s="15">
        <v>4</v>
      </c>
      <c r="AH173" s="15">
        <v>10</v>
      </c>
      <c r="AI173" s="15">
        <v>4</v>
      </c>
      <c r="AJ173" s="15">
        <v>9</v>
      </c>
      <c r="AK173" s="15">
        <v>19</v>
      </c>
      <c r="AL173" s="15">
        <v>56</v>
      </c>
      <c r="AM173" s="15">
        <v>3</v>
      </c>
      <c r="AN173" s="15">
        <v>3</v>
      </c>
      <c r="AO173" s="15">
        <v>8</v>
      </c>
      <c r="AP173" s="15">
        <v>4</v>
      </c>
      <c r="AQ173" s="15">
        <v>1</v>
      </c>
      <c r="AR173" s="15">
        <v>0</v>
      </c>
      <c r="AS173" s="15">
        <v>0</v>
      </c>
      <c r="AT173" s="15">
        <v>0</v>
      </c>
      <c r="AU173" s="13">
        <f t="shared" si="13"/>
        <v>500</v>
      </c>
      <c r="AV173" s="5"/>
      <c r="AW173" s="5"/>
    </row>
    <row r="174" spans="1:49" ht="12.75" customHeight="1" x14ac:dyDescent="0.3">
      <c r="A174" s="14"/>
      <c r="B174" s="27"/>
      <c r="C174" s="28" t="s">
        <v>149</v>
      </c>
      <c r="D174" s="29"/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0</v>
      </c>
      <c r="U174" s="15">
        <v>0</v>
      </c>
      <c r="V174" s="15">
        <v>0</v>
      </c>
      <c r="W174" s="15">
        <v>1</v>
      </c>
      <c r="X174" s="15">
        <v>0</v>
      </c>
      <c r="Y174" s="15">
        <v>1</v>
      </c>
      <c r="Z174" s="15">
        <v>0</v>
      </c>
      <c r="AA174" s="15">
        <v>0</v>
      </c>
      <c r="AB174" s="15">
        <v>1</v>
      </c>
      <c r="AC174" s="15">
        <v>1</v>
      </c>
      <c r="AD174" s="15">
        <v>0</v>
      </c>
      <c r="AE174" s="15">
        <v>1</v>
      </c>
      <c r="AF174" s="15">
        <v>1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>
        <v>2</v>
      </c>
      <c r="AM174" s="15">
        <v>0</v>
      </c>
      <c r="AN174" s="15">
        <v>0</v>
      </c>
      <c r="AO174" s="15">
        <v>0</v>
      </c>
      <c r="AP174" s="15">
        <v>0</v>
      </c>
      <c r="AQ174" s="15">
        <v>0</v>
      </c>
      <c r="AR174" s="15">
        <v>0</v>
      </c>
      <c r="AS174" s="15">
        <v>0</v>
      </c>
      <c r="AT174" s="15">
        <v>0</v>
      </c>
      <c r="AU174" s="13">
        <f t="shared" si="13"/>
        <v>8</v>
      </c>
      <c r="AV174" s="5"/>
      <c r="AW174" s="5"/>
    </row>
    <row r="175" spans="1:49" ht="12.75" customHeight="1" x14ac:dyDescent="0.3">
      <c r="A175" s="15" t="s">
        <v>15</v>
      </c>
      <c r="B175" s="48" t="s">
        <v>47</v>
      </c>
      <c r="C175" s="49"/>
      <c r="D175" s="50"/>
      <c r="E175" s="34">
        <f t="shared" ref="E175:AT175" si="30">SUM(E167:E174)</f>
        <v>3</v>
      </c>
      <c r="F175" s="34">
        <f t="shared" si="30"/>
        <v>1</v>
      </c>
      <c r="G175" s="34">
        <f t="shared" si="30"/>
        <v>1</v>
      </c>
      <c r="H175" s="34">
        <f t="shared" si="30"/>
        <v>0</v>
      </c>
      <c r="I175" s="34">
        <f t="shared" si="30"/>
        <v>1</v>
      </c>
      <c r="J175" s="34">
        <f t="shared" si="30"/>
        <v>0</v>
      </c>
      <c r="K175" s="34">
        <f t="shared" si="30"/>
        <v>0</v>
      </c>
      <c r="L175" s="34">
        <f t="shared" si="30"/>
        <v>2</v>
      </c>
      <c r="M175" s="34">
        <f t="shared" si="30"/>
        <v>1</v>
      </c>
      <c r="N175" s="34">
        <f t="shared" si="30"/>
        <v>0</v>
      </c>
      <c r="O175" s="34">
        <f t="shared" si="30"/>
        <v>0</v>
      </c>
      <c r="P175" s="34">
        <f t="shared" si="30"/>
        <v>2</v>
      </c>
      <c r="Q175" s="34">
        <f t="shared" si="30"/>
        <v>56</v>
      </c>
      <c r="R175" s="34">
        <f t="shared" si="30"/>
        <v>2</v>
      </c>
      <c r="S175" s="34">
        <f t="shared" si="30"/>
        <v>20</v>
      </c>
      <c r="T175" s="34">
        <f t="shared" si="30"/>
        <v>4</v>
      </c>
      <c r="U175" s="34">
        <f t="shared" si="30"/>
        <v>6</v>
      </c>
      <c r="V175" s="34">
        <f t="shared" si="30"/>
        <v>6</v>
      </c>
      <c r="W175" s="34">
        <f t="shared" si="30"/>
        <v>4</v>
      </c>
      <c r="X175" s="34">
        <f t="shared" si="30"/>
        <v>76</v>
      </c>
      <c r="Y175" s="34">
        <f t="shared" si="30"/>
        <v>48</v>
      </c>
      <c r="Z175" s="34">
        <f t="shared" si="30"/>
        <v>42</v>
      </c>
      <c r="AA175" s="34">
        <f t="shared" si="30"/>
        <v>45</v>
      </c>
      <c r="AB175" s="34">
        <f t="shared" si="30"/>
        <v>38</v>
      </c>
      <c r="AC175" s="34">
        <f t="shared" si="30"/>
        <v>8</v>
      </c>
      <c r="AD175" s="34">
        <f t="shared" si="30"/>
        <v>17</v>
      </c>
      <c r="AE175" s="34">
        <f t="shared" si="30"/>
        <v>17</v>
      </c>
      <c r="AF175" s="34">
        <f t="shared" si="30"/>
        <v>8</v>
      </c>
      <c r="AG175" s="34">
        <f t="shared" si="30"/>
        <v>4</v>
      </c>
      <c r="AH175" s="34">
        <f t="shared" si="30"/>
        <v>11</v>
      </c>
      <c r="AI175" s="34">
        <f t="shared" si="30"/>
        <v>5</v>
      </c>
      <c r="AJ175" s="34">
        <f t="shared" si="30"/>
        <v>10</v>
      </c>
      <c r="AK175" s="34">
        <f t="shared" si="30"/>
        <v>21</v>
      </c>
      <c r="AL175" s="34">
        <f t="shared" si="30"/>
        <v>59</v>
      </c>
      <c r="AM175" s="34">
        <f t="shared" si="30"/>
        <v>4</v>
      </c>
      <c r="AN175" s="34">
        <f t="shared" si="30"/>
        <v>3</v>
      </c>
      <c r="AO175" s="34">
        <f t="shared" si="30"/>
        <v>9</v>
      </c>
      <c r="AP175" s="34">
        <f t="shared" si="30"/>
        <v>5</v>
      </c>
      <c r="AQ175" s="34">
        <f t="shared" si="30"/>
        <v>1</v>
      </c>
      <c r="AR175" s="34">
        <f t="shared" si="30"/>
        <v>0</v>
      </c>
      <c r="AS175" s="34">
        <f t="shared" si="30"/>
        <v>0</v>
      </c>
      <c r="AT175" s="34">
        <f t="shared" si="30"/>
        <v>0</v>
      </c>
      <c r="AU175" s="13">
        <f t="shared" si="13"/>
        <v>540</v>
      </c>
      <c r="AV175" s="5"/>
      <c r="AW175" s="5"/>
    </row>
    <row r="176" spans="1:49" ht="12.75" customHeight="1" x14ac:dyDescent="0.3">
      <c r="A176" s="3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13">
        <f t="shared" si="13"/>
        <v>0</v>
      </c>
      <c r="AV176" s="1"/>
      <c r="AW176" s="1"/>
    </row>
    <row r="177" spans="1:49" ht="12.75" customHeight="1" x14ac:dyDescent="0.3">
      <c r="A177" s="19" t="s">
        <v>37</v>
      </c>
      <c r="B177" s="26" t="s">
        <v>150</v>
      </c>
      <c r="C177" s="51" t="s">
        <v>151</v>
      </c>
      <c r="D177" s="50"/>
      <c r="E177" s="15">
        <v>0</v>
      </c>
      <c r="F177" s="15">
        <v>1</v>
      </c>
      <c r="G177" s="15">
        <v>0</v>
      </c>
      <c r="H177" s="15">
        <v>0</v>
      </c>
      <c r="I177" s="15">
        <v>0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2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5">
        <v>0</v>
      </c>
      <c r="X177" s="15">
        <v>0</v>
      </c>
      <c r="Y177" s="15">
        <v>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1</v>
      </c>
      <c r="AG177" s="15">
        <v>1</v>
      </c>
      <c r="AH177" s="15">
        <v>0</v>
      </c>
      <c r="AI177" s="15">
        <v>0</v>
      </c>
      <c r="AJ177" s="15">
        <v>0</v>
      </c>
      <c r="AK177" s="15">
        <v>0</v>
      </c>
      <c r="AL177" s="15">
        <v>0</v>
      </c>
      <c r="AM177" s="15">
        <v>0</v>
      </c>
      <c r="AN177" s="15">
        <v>0</v>
      </c>
      <c r="AO177" s="15">
        <v>0</v>
      </c>
      <c r="AP177" s="15">
        <v>0</v>
      </c>
      <c r="AQ177" s="15">
        <v>0</v>
      </c>
      <c r="AR177" s="15">
        <v>1</v>
      </c>
      <c r="AS177" s="15">
        <v>0</v>
      </c>
      <c r="AT177" s="15">
        <v>0</v>
      </c>
      <c r="AU177" s="13">
        <f t="shared" si="13"/>
        <v>6</v>
      </c>
    </row>
    <row r="178" spans="1:49" ht="12.75" customHeight="1" x14ac:dyDescent="0.3">
      <c r="A178" s="19"/>
      <c r="B178" s="26"/>
      <c r="C178" s="28" t="s">
        <v>152</v>
      </c>
      <c r="D178" s="40"/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>
        <v>0</v>
      </c>
      <c r="AM178" s="15">
        <v>0</v>
      </c>
      <c r="AN178" s="15">
        <v>0</v>
      </c>
      <c r="AO178" s="15">
        <v>0</v>
      </c>
      <c r="AP178" s="15">
        <v>0</v>
      </c>
      <c r="AQ178" s="15">
        <v>0</v>
      </c>
      <c r="AR178" s="15">
        <v>0</v>
      </c>
      <c r="AS178" s="15">
        <v>0</v>
      </c>
      <c r="AT178" s="15">
        <v>0</v>
      </c>
      <c r="AU178" s="13">
        <f t="shared" si="13"/>
        <v>0</v>
      </c>
      <c r="AV178" s="5"/>
      <c r="AW178" s="5"/>
    </row>
    <row r="179" spans="1:49" ht="12.75" customHeight="1" x14ac:dyDescent="0.3">
      <c r="A179" s="19"/>
      <c r="B179" s="26"/>
      <c r="C179" s="28" t="s">
        <v>153</v>
      </c>
      <c r="D179" s="40"/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>
        <v>0</v>
      </c>
      <c r="AM179" s="15">
        <v>0</v>
      </c>
      <c r="AN179" s="15">
        <v>0</v>
      </c>
      <c r="AO179" s="15">
        <v>0</v>
      </c>
      <c r="AP179" s="15">
        <v>0</v>
      </c>
      <c r="AQ179" s="15">
        <v>0</v>
      </c>
      <c r="AR179" s="15">
        <v>0</v>
      </c>
      <c r="AS179" s="15">
        <v>0</v>
      </c>
      <c r="AT179" s="15">
        <v>0</v>
      </c>
      <c r="AU179" s="13">
        <f t="shared" si="13"/>
        <v>0</v>
      </c>
      <c r="AV179" s="5"/>
      <c r="AW179" s="5"/>
    </row>
    <row r="180" spans="1:49" ht="12.75" customHeight="1" x14ac:dyDescent="0.3">
      <c r="A180" s="19" t="s">
        <v>39</v>
      </c>
      <c r="B180" s="27"/>
      <c r="C180" s="28" t="s">
        <v>154</v>
      </c>
      <c r="D180" s="29"/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1</v>
      </c>
      <c r="AJ180" s="15">
        <v>0</v>
      </c>
      <c r="AK180" s="15">
        <v>0</v>
      </c>
      <c r="AL180" s="15">
        <v>0</v>
      </c>
      <c r="AM180" s="15">
        <v>0</v>
      </c>
      <c r="AN180" s="15">
        <v>0</v>
      </c>
      <c r="AO180" s="15">
        <v>0</v>
      </c>
      <c r="AP180" s="15">
        <v>0</v>
      </c>
      <c r="AQ180" s="15">
        <v>0</v>
      </c>
      <c r="AR180" s="15">
        <v>0</v>
      </c>
      <c r="AS180" s="15">
        <v>0</v>
      </c>
      <c r="AT180" s="15">
        <v>0</v>
      </c>
      <c r="AU180" s="13">
        <f t="shared" si="13"/>
        <v>1</v>
      </c>
      <c r="AV180" s="5"/>
      <c r="AW180" s="5"/>
    </row>
    <row r="181" spans="1:49" ht="12.75" customHeight="1" x14ac:dyDescent="0.3">
      <c r="A181" s="15" t="s">
        <v>15</v>
      </c>
      <c r="B181" s="48" t="s">
        <v>47</v>
      </c>
      <c r="C181" s="49"/>
      <c r="D181" s="50"/>
      <c r="E181" s="34">
        <f t="shared" ref="E181:AT181" si="31">SUM(E177:E180)</f>
        <v>0</v>
      </c>
      <c r="F181" s="34">
        <f t="shared" si="31"/>
        <v>1</v>
      </c>
      <c r="G181" s="34">
        <f t="shared" si="31"/>
        <v>0</v>
      </c>
      <c r="H181" s="34">
        <f t="shared" si="31"/>
        <v>0</v>
      </c>
      <c r="I181" s="34">
        <f t="shared" si="31"/>
        <v>0</v>
      </c>
      <c r="J181" s="34">
        <f t="shared" si="31"/>
        <v>0</v>
      </c>
      <c r="K181" s="34">
        <f t="shared" si="31"/>
        <v>0</v>
      </c>
      <c r="L181" s="34">
        <f t="shared" si="31"/>
        <v>0</v>
      </c>
      <c r="M181" s="34">
        <f t="shared" si="31"/>
        <v>0</v>
      </c>
      <c r="N181" s="34">
        <f t="shared" si="31"/>
        <v>0</v>
      </c>
      <c r="O181" s="34">
        <f t="shared" si="31"/>
        <v>0</v>
      </c>
      <c r="P181" s="34">
        <f t="shared" si="31"/>
        <v>2</v>
      </c>
      <c r="Q181" s="34">
        <f t="shared" si="31"/>
        <v>0</v>
      </c>
      <c r="R181" s="34">
        <f t="shared" si="31"/>
        <v>0</v>
      </c>
      <c r="S181" s="34">
        <f t="shared" si="31"/>
        <v>0</v>
      </c>
      <c r="T181" s="34">
        <f t="shared" si="31"/>
        <v>0</v>
      </c>
      <c r="U181" s="34">
        <f t="shared" si="31"/>
        <v>0</v>
      </c>
      <c r="V181" s="34">
        <f t="shared" si="31"/>
        <v>0</v>
      </c>
      <c r="W181" s="34">
        <f t="shared" si="31"/>
        <v>0</v>
      </c>
      <c r="X181" s="34">
        <f t="shared" si="31"/>
        <v>0</v>
      </c>
      <c r="Y181" s="34">
        <f t="shared" si="31"/>
        <v>0</v>
      </c>
      <c r="Z181" s="34">
        <f t="shared" si="31"/>
        <v>0</v>
      </c>
      <c r="AA181" s="34">
        <f t="shared" si="31"/>
        <v>0</v>
      </c>
      <c r="AB181" s="34">
        <f t="shared" si="31"/>
        <v>0</v>
      </c>
      <c r="AC181" s="34">
        <f t="shared" si="31"/>
        <v>0</v>
      </c>
      <c r="AD181" s="34">
        <f t="shared" si="31"/>
        <v>0</v>
      </c>
      <c r="AE181" s="34">
        <f t="shared" si="31"/>
        <v>0</v>
      </c>
      <c r="AF181" s="34">
        <f t="shared" si="31"/>
        <v>1</v>
      </c>
      <c r="AG181" s="34">
        <f t="shared" si="31"/>
        <v>1</v>
      </c>
      <c r="AH181" s="34">
        <f t="shared" si="31"/>
        <v>0</v>
      </c>
      <c r="AI181" s="34">
        <f t="shared" si="31"/>
        <v>1</v>
      </c>
      <c r="AJ181" s="34">
        <f t="shared" si="31"/>
        <v>0</v>
      </c>
      <c r="AK181" s="34">
        <f t="shared" si="31"/>
        <v>0</v>
      </c>
      <c r="AL181" s="34">
        <f t="shared" si="31"/>
        <v>0</v>
      </c>
      <c r="AM181" s="34">
        <f t="shared" si="31"/>
        <v>0</v>
      </c>
      <c r="AN181" s="34">
        <f t="shared" si="31"/>
        <v>0</v>
      </c>
      <c r="AO181" s="34">
        <f t="shared" si="31"/>
        <v>0</v>
      </c>
      <c r="AP181" s="34">
        <f t="shared" si="31"/>
        <v>0</v>
      </c>
      <c r="AQ181" s="34">
        <f t="shared" si="31"/>
        <v>0</v>
      </c>
      <c r="AR181" s="34">
        <f t="shared" si="31"/>
        <v>1</v>
      </c>
      <c r="AS181" s="34">
        <f t="shared" si="31"/>
        <v>0</v>
      </c>
      <c r="AT181" s="34">
        <f t="shared" si="31"/>
        <v>0</v>
      </c>
      <c r="AU181" s="13">
        <f t="shared" si="13"/>
        <v>7</v>
      </c>
      <c r="AV181" s="5"/>
      <c r="AW181" s="5"/>
    </row>
    <row r="182" spans="1:49" ht="12.75" customHeight="1" x14ac:dyDescent="0.3">
      <c r="A182" s="35"/>
      <c r="B182" s="36"/>
      <c r="C182" s="36"/>
      <c r="D182" s="4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3">
        <f t="shared" si="13"/>
        <v>0</v>
      </c>
      <c r="AV182" s="5"/>
      <c r="AW182" s="5"/>
    </row>
    <row r="183" spans="1:49" ht="12.75" customHeight="1" x14ac:dyDescent="0.3">
      <c r="A183" s="25" t="s">
        <v>155</v>
      </c>
      <c r="B183" s="53" t="s">
        <v>156</v>
      </c>
      <c r="C183" s="49"/>
      <c r="D183" s="50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>
        <f t="shared" si="13"/>
        <v>0</v>
      </c>
      <c r="AV183" s="5"/>
      <c r="AW183" s="5"/>
    </row>
    <row r="184" spans="1:49" ht="12.75" customHeight="1" x14ac:dyDescent="0.3">
      <c r="A184" s="25"/>
      <c r="B184" s="42" t="s">
        <v>157</v>
      </c>
      <c r="C184" s="52" t="s">
        <v>158</v>
      </c>
      <c r="D184" s="50"/>
      <c r="E184" s="15">
        <f>E53+E63+E73+E83+E93+E97+E101+E111+E115+E125+E129+E136+E146+E156+E161+E165+E175+E181</f>
        <v>216</v>
      </c>
      <c r="F184" s="15">
        <f t="shared" ref="F184:AU184" si="32">F53+F63+F73+F83+F93+F97+F101+F111+F115+F125+F129+F136+F146+F156+F161+F165+F175+F181</f>
        <v>204</v>
      </c>
      <c r="G184" s="15">
        <f t="shared" si="32"/>
        <v>224</v>
      </c>
      <c r="H184" s="15">
        <f t="shared" si="32"/>
        <v>178</v>
      </c>
      <c r="I184" s="15">
        <f t="shared" si="32"/>
        <v>203</v>
      </c>
      <c r="J184" s="15">
        <f t="shared" si="32"/>
        <v>226</v>
      </c>
      <c r="K184" s="15">
        <f t="shared" si="32"/>
        <v>161</v>
      </c>
      <c r="L184" s="15">
        <f t="shared" si="32"/>
        <v>224</v>
      </c>
      <c r="M184" s="15">
        <f t="shared" si="32"/>
        <v>255</v>
      </c>
      <c r="N184" s="15">
        <f t="shared" si="32"/>
        <v>218</v>
      </c>
      <c r="O184" s="15">
        <f t="shared" si="32"/>
        <v>221</v>
      </c>
      <c r="P184" s="15">
        <f t="shared" si="32"/>
        <v>216</v>
      </c>
      <c r="Q184" s="15">
        <f t="shared" si="32"/>
        <v>202</v>
      </c>
      <c r="R184" s="15">
        <f t="shared" si="32"/>
        <v>233</v>
      </c>
      <c r="S184" s="15">
        <f t="shared" si="32"/>
        <v>206</v>
      </c>
      <c r="T184" s="15">
        <f t="shared" si="32"/>
        <v>219</v>
      </c>
      <c r="U184" s="15">
        <f t="shared" si="32"/>
        <v>219</v>
      </c>
      <c r="V184" s="15">
        <f t="shared" si="32"/>
        <v>186</v>
      </c>
      <c r="W184" s="15">
        <f t="shared" si="32"/>
        <v>225</v>
      </c>
      <c r="X184" s="15">
        <f t="shared" si="32"/>
        <v>178</v>
      </c>
      <c r="Y184" s="15">
        <f t="shared" si="32"/>
        <v>183</v>
      </c>
      <c r="Z184" s="15">
        <f t="shared" si="32"/>
        <v>191</v>
      </c>
      <c r="AA184" s="15">
        <f t="shared" si="32"/>
        <v>181</v>
      </c>
      <c r="AB184" s="15">
        <f t="shared" si="32"/>
        <v>180</v>
      </c>
      <c r="AC184" s="15">
        <f t="shared" si="32"/>
        <v>229</v>
      </c>
      <c r="AD184" s="15">
        <f t="shared" si="32"/>
        <v>215</v>
      </c>
      <c r="AE184" s="15">
        <f t="shared" si="32"/>
        <v>215</v>
      </c>
      <c r="AF184" s="15">
        <f t="shared" si="32"/>
        <v>177</v>
      </c>
      <c r="AG184" s="15">
        <f t="shared" si="32"/>
        <v>153</v>
      </c>
      <c r="AH184" s="15">
        <f t="shared" si="32"/>
        <v>181</v>
      </c>
      <c r="AI184" s="15">
        <f t="shared" si="32"/>
        <v>211</v>
      </c>
      <c r="AJ184" s="15">
        <f t="shared" si="32"/>
        <v>177</v>
      </c>
      <c r="AK184" s="15">
        <f t="shared" si="32"/>
        <v>165</v>
      </c>
      <c r="AL184" s="15">
        <f t="shared" si="32"/>
        <v>188</v>
      </c>
      <c r="AM184" s="15">
        <f t="shared" si="32"/>
        <v>193</v>
      </c>
      <c r="AN184" s="15">
        <f t="shared" si="32"/>
        <v>204</v>
      </c>
      <c r="AO184" s="15">
        <f t="shared" si="32"/>
        <v>219</v>
      </c>
      <c r="AP184" s="15">
        <f t="shared" si="32"/>
        <v>217</v>
      </c>
      <c r="AQ184" s="15">
        <f t="shared" si="32"/>
        <v>222</v>
      </c>
      <c r="AR184" s="15">
        <f t="shared" si="32"/>
        <v>222</v>
      </c>
      <c r="AS184" s="15">
        <f t="shared" si="32"/>
        <v>188</v>
      </c>
      <c r="AT184" s="15">
        <f t="shared" si="32"/>
        <v>203</v>
      </c>
      <c r="AU184" s="15">
        <f t="shared" si="32"/>
        <v>8528</v>
      </c>
      <c r="AV184" s="5"/>
      <c r="AW184" s="5"/>
    </row>
    <row r="185" spans="1:49" ht="12.75" customHeight="1" x14ac:dyDescent="0.3">
      <c r="A185" s="21"/>
      <c r="B185" s="42" t="s">
        <v>159</v>
      </c>
      <c r="C185" s="52" t="s">
        <v>160</v>
      </c>
      <c r="D185" s="50"/>
      <c r="E185" s="15">
        <v>14</v>
      </c>
      <c r="F185" s="15">
        <v>5</v>
      </c>
      <c r="G185" s="15">
        <v>8</v>
      </c>
      <c r="H185" s="15">
        <v>13</v>
      </c>
      <c r="I185" s="15">
        <v>9</v>
      </c>
      <c r="J185" s="15"/>
      <c r="K185" s="15">
        <v>7</v>
      </c>
      <c r="L185" s="15">
        <v>7</v>
      </c>
      <c r="M185" s="15">
        <v>4</v>
      </c>
      <c r="N185" s="15">
        <v>5</v>
      </c>
      <c r="O185" s="15">
        <v>3</v>
      </c>
      <c r="P185" s="15">
        <v>15</v>
      </c>
      <c r="Q185" s="15">
        <v>1</v>
      </c>
      <c r="R185" s="15">
        <v>3</v>
      </c>
      <c r="S185" s="15">
        <v>19</v>
      </c>
      <c r="T185" s="15">
        <v>10</v>
      </c>
      <c r="U185" s="15">
        <v>10</v>
      </c>
      <c r="V185" s="15">
        <v>6</v>
      </c>
      <c r="W185" s="15">
        <v>10</v>
      </c>
      <c r="X185" s="15">
        <v>12</v>
      </c>
      <c r="Y185" s="15">
        <v>6</v>
      </c>
      <c r="Z185" s="15">
        <v>11</v>
      </c>
      <c r="AA185" s="15">
        <v>6</v>
      </c>
      <c r="AB185" s="15">
        <v>7</v>
      </c>
      <c r="AC185" s="15">
        <v>5</v>
      </c>
      <c r="AD185" s="15">
        <v>8</v>
      </c>
      <c r="AE185" s="15">
        <v>0</v>
      </c>
      <c r="AF185" s="15">
        <v>19</v>
      </c>
      <c r="AG185" s="15">
        <v>2</v>
      </c>
      <c r="AH185" s="15">
        <v>7</v>
      </c>
      <c r="AI185" s="15">
        <v>13</v>
      </c>
      <c r="AJ185" s="15">
        <v>3</v>
      </c>
      <c r="AK185" s="15">
        <v>5</v>
      </c>
      <c r="AL185" s="15">
        <v>3</v>
      </c>
      <c r="AM185" s="15">
        <v>12</v>
      </c>
      <c r="AN185" s="15">
        <v>4</v>
      </c>
      <c r="AO185" s="15">
        <v>8</v>
      </c>
      <c r="AP185" s="15">
        <v>2</v>
      </c>
      <c r="AQ185" s="15">
        <v>4</v>
      </c>
      <c r="AR185" s="15">
        <v>2</v>
      </c>
      <c r="AS185" s="15">
        <v>2</v>
      </c>
      <c r="AT185" s="15">
        <v>5</v>
      </c>
      <c r="AU185" s="13">
        <f t="shared" si="13"/>
        <v>295</v>
      </c>
      <c r="AV185" s="5"/>
      <c r="AW185" s="5"/>
    </row>
    <row r="186" spans="1:49" ht="12.75" customHeight="1" x14ac:dyDescent="0.3">
      <c r="A186" s="24"/>
      <c r="B186" s="42" t="s">
        <v>161</v>
      </c>
      <c r="C186" s="52" t="s">
        <v>162</v>
      </c>
      <c r="D186" s="50"/>
      <c r="E186" s="13">
        <f t="shared" ref="E186:AT186" si="33">SUM(E184:E185)</f>
        <v>230</v>
      </c>
      <c r="F186" s="13">
        <f t="shared" si="33"/>
        <v>209</v>
      </c>
      <c r="G186" s="13">
        <f t="shared" si="33"/>
        <v>232</v>
      </c>
      <c r="H186" s="13">
        <f t="shared" si="33"/>
        <v>191</v>
      </c>
      <c r="I186" s="13">
        <f t="shared" si="33"/>
        <v>212</v>
      </c>
      <c r="J186" s="13">
        <f t="shared" si="33"/>
        <v>226</v>
      </c>
      <c r="K186" s="13">
        <f t="shared" si="33"/>
        <v>168</v>
      </c>
      <c r="L186" s="13">
        <f t="shared" si="33"/>
        <v>231</v>
      </c>
      <c r="M186" s="13">
        <f t="shared" si="33"/>
        <v>259</v>
      </c>
      <c r="N186" s="13">
        <f t="shared" si="33"/>
        <v>223</v>
      </c>
      <c r="O186" s="13">
        <f t="shared" si="33"/>
        <v>224</v>
      </c>
      <c r="P186" s="13">
        <f t="shared" si="33"/>
        <v>231</v>
      </c>
      <c r="Q186" s="13">
        <f t="shared" si="33"/>
        <v>203</v>
      </c>
      <c r="R186" s="13">
        <f t="shared" si="33"/>
        <v>236</v>
      </c>
      <c r="S186" s="13">
        <f t="shared" si="33"/>
        <v>225</v>
      </c>
      <c r="T186" s="13">
        <f t="shared" si="33"/>
        <v>229</v>
      </c>
      <c r="U186" s="13">
        <f t="shared" si="33"/>
        <v>229</v>
      </c>
      <c r="V186" s="13">
        <f t="shared" si="33"/>
        <v>192</v>
      </c>
      <c r="W186" s="13">
        <f t="shared" si="33"/>
        <v>235</v>
      </c>
      <c r="X186" s="13">
        <f t="shared" si="33"/>
        <v>190</v>
      </c>
      <c r="Y186" s="13">
        <f t="shared" si="33"/>
        <v>189</v>
      </c>
      <c r="Z186" s="13">
        <f t="shared" si="33"/>
        <v>202</v>
      </c>
      <c r="AA186" s="13">
        <f t="shared" si="33"/>
        <v>187</v>
      </c>
      <c r="AB186" s="13">
        <f t="shared" si="33"/>
        <v>187</v>
      </c>
      <c r="AC186" s="13">
        <f t="shared" si="33"/>
        <v>234</v>
      </c>
      <c r="AD186" s="13">
        <f t="shared" si="33"/>
        <v>223</v>
      </c>
      <c r="AE186" s="13">
        <f t="shared" si="33"/>
        <v>215</v>
      </c>
      <c r="AF186" s="13">
        <f t="shared" si="33"/>
        <v>196</v>
      </c>
      <c r="AG186" s="13">
        <f t="shared" si="33"/>
        <v>155</v>
      </c>
      <c r="AH186" s="13">
        <f t="shared" si="33"/>
        <v>188</v>
      </c>
      <c r="AI186" s="13">
        <f t="shared" si="33"/>
        <v>224</v>
      </c>
      <c r="AJ186" s="13">
        <f t="shared" si="33"/>
        <v>180</v>
      </c>
      <c r="AK186" s="13">
        <f t="shared" si="33"/>
        <v>170</v>
      </c>
      <c r="AL186" s="13">
        <f t="shared" si="33"/>
        <v>191</v>
      </c>
      <c r="AM186" s="13">
        <f t="shared" si="33"/>
        <v>205</v>
      </c>
      <c r="AN186" s="13">
        <f t="shared" si="33"/>
        <v>208</v>
      </c>
      <c r="AO186" s="13">
        <f t="shared" si="33"/>
        <v>227</v>
      </c>
      <c r="AP186" s="13">
        <f t="shared" si="33"/>
        <v>219</v>
      </c>
      <c r="AQ186" s="13">
        <f t="shared" si="33"/>
        <v>226</v>
      </c>
      <c r="AR186" s="13">
        <f t="shared" si="33"/>
        <v>224</v>
      </c>
      <c r="AS186" s="13">
        <f t="shared" si="33"/>
        <v>190</v>
      </c>
      <c r="AT186" s="13">
        <f t="shared" si="33"/>
        <v>208</v>
      </c>
      <c r="AU186" s="13">
        <f t="shared" si="13"/>
        <v>8823</v>
      </c>
      <c r="AV186" s="5"/>
      <c r="AW186" s="5"/>
    </row>
    <row r="187" spans="1:49" ht="12.75" customHeight="1" x14ac:dyDescent="0.3"/>
    <row r="188" spans="1:49" ht="12.75" customHeight="1" x14ac:dyDescent="0.3"/>
    <row r="189" spans="1:49" ht="12.75" customHeight="1" x14ac:dyDescent="0.3"/>
    <row r="190" spans="1:49" ht="12.75" customHeight="1" x14ac:dyDescent="0.3"/>
    <row r="191" spans="1:49" ht="12.75" customHeight="1" x14ac:dyDescent="0.3"/>
    <row r="192" spans="1:49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</sheetData>
  <mergeCells count="69">
    <mergeCell ref="B97:D97"/>
    <mergeCell ref="C99:D99"/>
    <mergeCell ref="B101:D101"/>
    <mergeCell ref="C103:D103"/>
    <mergeCell ref="C75:D75"/>
    <mergeCell ref="B83:D83"/>
    <mergeCell ref="C85:D85"/>
    <mergeCell ref="B93:D93"/>
    <mergeCell ref="C95:D95"/>
    <mergeCell ref="B53:D53"/>
    <mergeCell ref="C55:D55"/>
    <mergeCell ref="B63:D63"/>
    <mergeCell ref="C65:D65"/>
    <mergeCell ref="B73:D73"/>
    <mergeCell ref="A44:D44"/>
    <mergeCell ref="C45:D45"/>
    <mergeCell ref="C28:C30"/>
    <mergeCell ref="A31:D31"/>
    <mergeCell ref="B32:D32"/>
    <mergeCell ref="B33:D33"/>
    <mergeCell ref="B34:D34"/>
    <mergeCell ref="B35:D35"/>
    <mergeCell ref="B36:D3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A17:D17"/>
    <mergeCell ref="B18:D18"/>
    <mergeCell ref="B19:B21"/>
    <mergeCell ref="C19:C21"/>
    <mergeCell ref="B22:B24"/>
    <mergeCell ref="C22:C24"/>
    <mergeCell ref="B12:D12"/>
    <mergeCell ref="E12:AT12"/>
    <mergeCell ref="AU12:AU13"/>
    <mergeCell ref="B13:D13"/>
    <mergeCell ref="B14:C16"/>
    <mergeCell ref="C184:D184"/>
    <mergeCell ref="C185:D185"/>
    <mergeCell ref="C186:D186"/>
    <mergeCell ref="B161:D161"/>
    <mergeCell ref="C163:D163"/>
    <mergeCell ref="B165:D165"/>
    <mergeCell ref="C167:D167"/>
    <mergeCell ref="B175:D175"/>
    <mergeCell ref="C177:D177"/>
    <mergeCell ref="B181:D181"/>
    <mergeCell ref="B146:D146"/>
    <mergeCell ref="C148:D148"/>
    <mergeCell ref="B156:D156"/>
    <mergeCell ref="C158:D158"/>
    <mergeCell ref="B183:D183"/>
    <mergeCell ref="C127:D127"/>
    <mergeCell ref="B129:D129"/>
    <mergeCell ref="C131:D131"/>
    <mergeCell ref="B136:D136"/>
    <mergeCell ref="C138:D138"/>
    <mergeCell ref="B111:D111"/>
    <mergeCell ref="C113:D113"/>
    <mergeCell ref="B115:D115"/>
    <mergeCell ref="C117:D117"/>
    <mergeCell ref="B125:D125"/>
  </mergeCells>
  <conditionalFormatting sqref="E34:T34">
    <cfRule type="expression" dxfId="32" priority="2">
      <formula>E34&lt;&gt;E64</formula>
    </cfRule>
  </conditionalFormatting>
  <conditionalFormatting sqref="E14:AT15">
    <cfRule type="containsBlanks" dxfId="31" priority="3">
      <formula>LEN(TRIM(E14))=0</formula>
    </cfRule>
  </conditionalFormatting>
  <conditionalFormatting sqref="E19:AT20">
    <cfRule type="containsBlanks" dxfId="30" priority="4">
      <formula>LEN(TRIM(E19))=0</formula>
    </cfRule>
  </conditionalFormatting>
  <conditionalFormatting sqref="E22:AT23 E25:AT26 E33:AT33 E35:AT35 E39:AT40">
    <cfRule type="containsBlanks" dxfId="29" priority="5">
      <formula>LEN(TRIM(E22))=0</formula>
    </cfRule>
  </conditionalFormatting>
  <conditionalFormatting sqref="E30:AT30">
    <cfRule type="expression" dxfId="28" priority="6">
      <formula>E30&lt;&gt;E47</formula>
    </cfRule>
    <cfRule type="expression" dxfId="27" priority="7">
      <formula>E30&lt;&gt;E34</formula>
    </cfRule>
  </conditionalFormatting>
  <conditionalFormatting sqref="E34:AT34">
    <cfRule type="expression" dxfId="26" priority="8">
      <formula>E30&lt;&gt;E34</formula>
    </cfRule>
    <cfRule type="expression" dxfId="25" priority="9">
      <formula>E30=E34</formula>
    </cfRule>
    <cfRule type="expression" dxfId="24" priority="10">
      <formula>E34&lt;&gt;E30</formula>
    </cfRule>
  </conditionalFormatting>
  <conditionalFormatting sqref="E45:AT52">
    <cfRule type="containsBlanks" dxfId="23" priority="12">
      <formula>LEN(TRIM(E45))=0</formula>
    </cfRule>
  </conditionalFormatting>
  <conditionalFormatting sqref="E55:AT62">
    <cfRule type="containsBlanks" dxfId="22" priority="13">
      <formula>LEN(TRIM(E55))=0</formula>
    </cfRule>
  </conditionalFormatting>
  <conditionalFormatting sqref="E65:AT72">
    <cfRule type="containsBlanks" dxfId="21" priority="14">
      <formula>LEN(TRIM(E65))=0</formula>
    </cfRule>
  </conditionalFormatting>
  <conditionalFormatting sqref="E75:AT82">
    <cfRule type="containsBlanks" dxfId="20" priority="15">
      <formula>LEN(TRIM(E75))=0</formula>
    </cfRule>
  </conditionalFormatting>
  <conditionalFormatting sqref="E85:AT92">
    <cfRule type="containsBlanks" dxfId="19" priority="16">
      <formula>LEN(TRIM(E85))=0</formula>
    </cfRule>
  </conditionalFormatting>
  <conditionalFormatting sqref="E95:AT96">
    <cfRule type="containsBlanks" dxfId="18" priority="17">
      <formula>LEN(TRIM(E95))=0</formula>
    </cfRule>
  </conditionalFormatting>
  <conditionalFormatting sqref="E99:AT100">
    <cfRule type="containsBlanks" dxfId="17" priority="18">
      <formula>LEN(TRIM(E99))=0</formula>
    </cfRule>
  </conditionalFormatting>
  <conditionalFormatting sqref="E103:AT110">
    <cfRule type="containsBlanks" dxfId="16" priority="19">
      <formula>LEN(TRIM(E103))=0</formula>
    </cfRule>
  </conditionalFormatting>
  <conditionalFormatting sqref="E113:AT114">
    <cfRule type="containsBlanks" dxfId="15" priority="20">
      <formula>LEN(TRIM(E113))=0</formula>
    </cfRule>
  </conditionalFormatting>
  <conditionalFormatting sqref="E117:AT124">
    <cfRule type="containsBlanks" dxfId="14" priority="21">
      <formula>LEN(TRIM(E117))=0</formula>
    </cfRule>
  </conditionalFormatting>
  <conditionalFormatting sqref="E127:AT128">
    <cfRule type="containsBlanks" dxfId="13" priority="22">
      <formula>LEN(TRIM(E127))=0</formula>
    </cfRule>
  </conditionalFormatting>
  <conditionalFormatting sqref="E131:AT135">
    <cfRule type="containsBlanks" dxfId="12" priority="23">
      <formula>LEN(TRIM(E131))=0</formula>
    </cfRule>
  </conditionalFormatting>
  <conditionalFormatting sqref="E138:AT145">
    <cfRule type="containsBlanks" dxfId="11" priority="24">
      <formula>LEN(TRIM(E138))=0</formula>
    </cfRule>
  </conditionalFormatting>
  <conditionalFormatting sqref="E148:AT155">
    <cfRule type="containsBlanks" dxfId="10" priority="25">
      <formula>LEN(TRIM(E148))=0</formula>
    </cfRule>
  </conditionalFormatting>
  <conditionalFormatting sqref="E158:AT160">
    <cfRule type="containsBlanks" dxfId="9" priority="26">
      <formula>LEN(TRIM(E158))=0</formula>
    </cfRule>
  </conditionalFormatting>
  <conditionalFormatting sqref="E163:AT164">
    <cfRule type="containsBlanks" dxfId="8" priority="27">
      <formula>LEN(TRIM(E163))=0</formula>
    </cfRule>
  </conditionalFormatting>
  <conditionalFormatting sqref="E167:AT174">
    <cfRule type="containsBlanks" dxfId="7" priority="28">
      <formula>LEN(TRIM(E167))=0</formula>
    </cfRule>
  </conditionalFormatting>
  <conditionalFormatting sqref="E177:AT180">
    <cfRule type="containsBlanks" dxfId="6" priority="29">
      <formula>LEN(TRIM(E177))=0</formula>
    </cfRule>
  </conditionalFormatting>
  <conditionalFormatting sqref="E185:AT185">
    <cfRule type="containsBlanks" dxfId="5" priority="30">
      <formula>LEN(TRIM(E185))=0</formula>
    </cfRule>
  </conditionalFormatting>
  <conditionalFormatting sqref="E186:AT186">
    <cfRule type="expression" dxfId="4" priority="33">
      <formula>#REF!=E186</formula>
    </cfRule>
    <cfRule type="expression" dxfId="3" priority="31">
      <formula>E186&lt;&gt;#REF!</formula>
    </cfRule>
    <cfRule type="expression" dxfId="2" priority="32">
      <formula>#REF!&lt;&gt;E186</formula>
    </cfRule>
  </conditionalFormatting>
  <conditionalFormatting sqref="E184:AU184">
    <cfRule type="containsBlanks" dxfId="1" priority="1">
      <formula>LEN(TRIM(E184))=0</formula>
    </cfRule>
  </conditionalFormatting>
  <conditionalFormatting sqref="U34:AT34">
    <cfRule type="expression" dxfId="0" priority="11">
      <formula>U34&lt;&gt;U47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DPRD KAB</vt:lpstr>
      <vt:lpstr>BANGOREJO</vt:lpstr>
      <vt:lpstr>KEBONDALEM</vt:lpstr>
      <vt:lpstr>RINGINTELU</vt:lpstr>
      <vt:lpstr>SAMBIMULYO</vt:lpstr>
      <vt:lpstr>SAMBIREJO</vt:lpstr>
      <vt:lpstr>SUKOREJO</vt:lpstr>
      <vt:lpstr>TEMUREJO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TEKHUM KPU BWI</dc:creator>
  <cp:lastModifiedBy>Eko Budi Hartanto</cp:lastModifiedBy>
  <dcterms:created xsi:type="dcterms:W3CDTF">2026-01-14T02:26:01Z</dcterms:created>
  <dcterms:modified xsi:type="dcterms:W3CDTF">2026-02-05T02:48:00Z</dcterms:modified>
</cp:coreProperties>
</file>