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bag Hukum SDM\Downloads\SILIRAGUNG, SINGOJURUH, SONGGON NEW\SILIRAGUNG\"/>
    </mc:Choice>
  </mc:AlternateContent>
  <xr:revisionPtr revIDLastSave="0" documentId="13_ncr:1_{0A3791A1-2BA3-4F51-99CE-070654669B44}" xr6:coauthVersionLast="47" xr6:coauthVersionMax="47" xr10:uidLastSave="{00000000-0000-0000-0000-000000000000}"/>
  <bookViews>
    <workbookView xWindow="-110" yWindow="-110" windowWidth="19420" windowHeight="10420" tabRatio="810" activeTab="1" xr2:uid="{F263E089-6C93-4E6F-AA5B-BD89F8333161}"/>
  </bookViews>
  <sheets>
    <sheet name="DPRD KABUPATEN" sheetId="1" r:id="rId1"/>
    <sheet name="BARUREJO" sheetId="9" r:id="rId2"/>
    <sheet name="BULUAGUNG" sheetId="10" r:id="rId3"/>
    <sheet name="KESILIR" sheetId="11" r:id="rId4"/>
    <sheet name="SENEPOREJO" sheetId="15" r:id="rId5"/>
    <sheet name="SILIRAGUNG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9" i="9" l="1"/>
  <c r="AX40" i="9"/>
  <c r="AB69" i="15"/>
  <c r="AB70" i="15"/>
  <c r="AB71" i="15"/>
  <c r="AB72" i="15"/>
  <c r="AB73" i="15"/>
  <c r="AB74" i="15"/>
  <c r="AB75" i="15"/>
  <c r="AB76" i="15"/>
  <c r="AB39" i="15"/>
  <c r="AB40" i="15"/>
  <c r="AB154" i="16"/>
  <c r="AB155" i="16"/>
  <c r="AB156" i="16"/>
  <c r="AB157" i="16"/>
  <c r="AB158" i="16"/>
  <c r="AB159" i="16"/>
  <c r="AB160" i="16"/>
  <c r="AB161" i="16"/>
  <c r="AB162" i="16"/>
  <c r="AB153" i="16"/>
  <c r="AC201" i="10"/>
  <c r="AC202" i="10"/>
  <c r="AC203" i="10"/>
  <c r="AC204" i="10"/>
  <c r="AC205" i="10"/>
  <c r="AC206" i="10"/>
  <c r="AC207" i="10"/>
  <c r="AC208" i="10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Q28" i="16"/>
  <c r="P28" i="16"/>
  <c r="O28" i="16"/>
  <c r="N28" i="16"/>
  <c r="N30" i="16" s="1"/>
  <c r="M28" i="16"/>
  <c r="M30" i="16" s="1"/>
  <c r="L28" i="16"/>
  <c r="L30" i="16" s="1"/>
  <c r="K28" i="16"/>
  <c r="J28" i="16"/>
  <c r="I28" i="16"/>
  <c r="H28" i="16"/>
  <c r="G28" i="16"/>
  <c r="G30" i="16" s="1"/>
  <c r="F28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S259" i="15"/>
  <c r="R259" i="15"/>
  <c r="Q259" i="15"/>
  <c r="P259" i="15"/>
  <c r="O259" i="15"/>
  <c r="N259" i="15"/>
  <c r="M259" i="15"/>
  <c r="S247" i="15"/>
  <c r="R247" i="15"/>
  <c r="Q247" i="15"/>
  <c r="P247" i="15"/>
  <c r="O247" i="15"/>
  <c r="N247" i="15"/>
  <c r="M247" i="15"/>
  <c r="S235" i="15"/>
  <c r="R235" i="15"/>
  <c r="Q235" i="15"/>
  <c r="P235" i="15"/>
  <c r="O235" i="15"/>
  <c r="N235" i="15"/>
  <c r="M235" i="15"/>
  <c r="S223" i="15"/>
  <c r="R223" i="15"/>
  <c r="Q223" i="15"/>
  <c r="P223" i="15"/>
  <c r="O223" i="15"/>
  <c r="N223" i="15"/>
  <c r="M223" i="15"/>
  <c r="S211" i="15"/>
  <c r="R211" i="15"/>
  <c r="Q211" i="15"/>
  <c r="P211" i="15"/>
  <c r="O211" i="15"/>
  <c r="N211" i="15"/>
  <c r="M211" i="15"/>
  <c r="S199" i="15"/>
  <c r="R199" i="15"/>
  <c r="Q199" i="15"/>
  <c r="P199" i="15"/>
  <c r="O199" i="15"/>
  <c r="N199" i="15"/>
  <c r="M199" i="15"/>
  <c r="S187" i="15"/>
  <c r="R187" i="15"/>
  <c r="Q187" i="15"/>
  <c r="P187" i="15"/>
  <c r="O187" i="15"/>
  <c r="N187" i="15"/>
  <c r="M187" i="15"/>
  <c r="S175" i="15"/>
  <c r="R175" i="15"/>
  <c r="Q175" i="15"/>
  <c r="P175" i="15"/>
  <c r="O175" i="15"/>
  <c r="N175" i="15"/>
  <c r="M175" i="15"/>
  <c r="S163" i="15"/>
  <c r="R163" i="15"/>
  <c r="Q163" i="15"/>
  <c r="P163" i="15"/>
  <c r="O163" i="15"/>
  <c r="N163" i="15"/>
  <c r="M163" i="15"/>
  <c r="S151" i="15"/>
  <c r="R151" i="15"/>
  <c r="Q151" i="15"/>
  <c r="P151" i="15"/>
  <c r="O151" i="15"/>
  <c r="N151" i="15"/>
  <c r="M151" i="15"/>
  <c r="S139" i="15"/>
  <c r="R139" i="15"/>
  <c r="Q139" i="15"/>
  <c r="P139" i="15"/>
  <c r="O139" i="15"/>
  <c r="N139" i="15"/>
  <c r="M139" i="15"/>
  <c r="S127" i="15"/>
  <c r="R127" i="15"/>
  <c r="Q127" i="15"/>
  <c r="P127" i="15"/>
  <c r="O127" i="15"/>
  <c r="N127" i="15"/>
  <c r="M127" i="15"/>
  <c r="S115" i="15"/>
  <c r="R115" i="15"/>
  <c r="Q115" i="15"/>
  <c r="P115" i="15"/>
  <c r="O115" i="15"/>
  <c r="N115" i="15"/>
  <c r="M115" i="15"/>
  <c r="S103" i="15"/>
  <c r="R103" i="15"/>
  <c r="Q103" i="15"/>
  <c r="P103" i="15"/>
  <c r="O103" i="15"/>
  <c r="N103" i="15"/>
  <c r="M103" i="15"/>
  <c r="S91" i="15"/>
  <c r="R91" i="15"/>
  <c r="Q91" i="15"/>
  <c r="P91" i="15"/>
  <c r="O91" i="15"/>
  <c r="N91" i="15"/>
  <c r="M91" i="15"/>
  <c r="S79" i="15"/>
  <c r="R79" i="15"/>
  <c r="Q79" i="15"/>
  <c r="P79" i="15"/>
  <c r="O79" i="15"/>
  <c r="N79" i="15"/>
  <c r="M79" i="15"/>
  <c r="M262" i="15" s="1"/>
  <c r="M264" i="15" s="1"/>
  <c r="S67" i="15"/>
  <c r="R67" i="15"/>
  <c r="Q67" i="15"/>
  <c r="P67" i="15"/>
  <c r="O67" i="15"/>
  <c r="N67" i="15"/>
  <c r="M67" i="15"/>
  <c r="S55" i="15"/>
  <c r="S262" i="15" s="1"/>
  <c r="S264" i="15" s="1"/>
  <c r="R55" i="15"/>
  <c r="Q55" i="15"/>
  <c r="P55" i="15"/>
  <c r="O55" i="15"/>
  <c r="O262" i="15" s="1"/>
  <c r="O264" i="15" s="1"/>
  <c r="N55" i="15"/>
  <c r="M55" i="15"/>
  <c r="S41" i="15"/>
  <c r="R41" i="15"/>
  <c r="Q41" i="15"/>
  <c r="P41" i="15"/>
  <c r="O41" i="15"/>
  <c r="N41" i="15"/>
  <c r="M41" i="15"/>
  <c r="S36" i="15"/>
  <c r="R36" i="15"/>
  <c r="Q36" i="15"/>
  <c r="P36" i="15"/>
  <c r="O36" i="15"/>
  <c r="N36" i="15"/>
  <c r="M36" i="15"/>
  <c r="S29" i="15"/>
  <c r="R29" i="15"/>
  <c r="Q29" i="15"/>
  <c r="P29" i="15"/>
  <c r="O29" i="15"/>
  <c r="N29" i="15"/>
  <c r="M29" i="15"/>
  <c r="S28" i="15"/>
  <c r="R28" i="15"/>
  <c r="Q28" i="15"/>
  <c r="Q30" i="15" s="1"/>
  <c r="P28" i="15"/>
  <c r="P30" i="15" s="1"/>
  <c r="O28" i="15"/>
  <c r="N28" i="15"/>
  <c r="M28" i="15"/>
  <c r="M30" i="15" s="1"/>
  <c r="S27" i="15"/>
  <c r="R27" i="15"/>
  <c r="Q27" i="15"/>
  <c r="P27" i="15"/>
  <c r="O27" i="15"/>
  <c r="N27" i="15"/>
  <c r="M27" i="15"/>
  <c r="S24" i="15"/>
  <c r="R24" i="15"/>
  <c r="Q24" i="15"/>
  <c r="P24" i="15"/>
  <c r="O24" i="15"/>
  <c r="N24" i="15"/>
  <c r="M24" i="15"/>
  <c r="S21" i="15"/>
  <c r="R21" i="15"/>
  <c r="Q21" i="15"/>
  <c r="P21" i="15"/>
  <c r="O21" i="15"/>
  <c r="N21" i="15"/>
  <c r="M21" i="15"/>
  <c r="S16" i="15"/>
  <c r="R16" i="15"/>
  <c r="Q16" i="15"/>
  <c r="P16" i="15"/>
  <c r="O16" i="15"/>
  <c r="N16" i="15"/>
  <c r="M16" i="15"/>
  <c r="L259" i="15"/>
  <c r="K259" i="15"/>
  <c r="J259" i="15"/>
  <c r="I259" i="15"/>
  <c r="H259" i="15"/>
  <c r="G259" i="15"/>
  <c r="F259" i="15"/>
  <c r="L247" i="15"/>
  <c r="K247" i="15"/>
  <c r="J247" i="15"/>
  <c r="I247" i="15"/>
  <c r="H247" i="15"/>
  <c r="G247" i="15"/>
  <c r="F247" i="15"/>
  <c r="L235" i="15"/>
  <c r="K235" i="15"/>
  <c r="J235" i="15"/>
  <c r="I235" i="15"/>
  <c r="H235" i="15"/>
  <c r="G235" i="15"/>
  <c r="F235" i="15"/>
  <c r="L223" i="15"/>
  <c r="K223" i="15"/>
  <c r="J223" i="15"/>
  <c r="I223" i="15"/>
  <c r="H223" i="15"/>
  <c r="G223" i="15"/>
  <c r="F223" i="15"/>
  <c r="L211" i="15"/>
  <c r="K211" i="15"/>
  <c r="J211" i="15"/>
  <c r="I211" i="15"/>
  <c r="H211" i="15"/>
  <c r="G211" i="15"/>
  <c r="F211" i="15"/>
  <c r="L199" i="15"/>
  <c r="K199" i="15"/>
  <c r="J199" i="15"/>
  <c r="I199" i="15"/>
  <c r="H199" i="15"/>
  <c r="G199" i="15"/>
  <c r="F199" i="15"/>
  <c r="L187" i="15"/>
  <c r="K187" i="15"/>
  <c r="J187" i="15"/>
  <c r="I187" i="15"/>
  <c r="H187" i="15"/>
  <c r="G187" i="15"/>
  <c r="F187" i="15"/>
  <c r="L175" i="15"/>
  <c r="K175" i="15"/>
  <c r="J175" i="15"/>
  <c r="I175" i="15"/>
  <c r="H175" i="15"/>
  <c r="G175" i="15"/>
  <c r="F175" i="15"/>
  <c r="L163" i="15"/>
  <c r="K163" i="15"/>
  <c r="J163" i="15"/>
  <c r="I163" i="15"/>
  <c r="H163" i="15"/>
  <c r="G163" i="15"/>
  <c r="F163" i="15"/>
  <c r="L151" i="15"/>
  <c r="K151" i="15"/>
  <c r="J151" i="15"/>
  <c r="I151" i="15"/>
  <c r="H151" i="15"/>
  <c r="G151" i="15"/>
  <c r="F151" i="15"/>
  <c r="L139" i="15"/>
  <c r="K139" i="15"/>
  <c r="J139" i="15"/>
  <c r="I139" i="15"/>
  <c r="H139" i="15"/>
  <c r="G139" i="15"/>
  <c r="F139" i="15"/>
  <c r="L127" i="15"/>
  <c r="K127" i="15"/>
  <c r="J127" i="15"/>
  <c r="I127" i="15"/>
  <c r="H127" i="15"/>
  <c r="G127" i="15"/>
  <c r="F127" i="15"/>
  <c r="L115" i="15"/>
  <c r="K115" i="15"/>
  <c r="J115" i="15"/>
  <c r="I115" i="15"/>
  <c r="H115" i="15"/>
  <c r="G115" i="15"/>
  <c r="F115" i="15"/>
  <c r="L103" i="15"/>
  <c r="K103" i="15"/>
  <c r="J103" i="15"/>
  <c r="I103" i="15"/>
  <c r="H103" i="15"/>
  <c r="G103" i="15"/>
  <c r="F103" i="15"/>
  <c r="L91" i="15"/>
  <c r="K91" i="15"/>
  <c r="J91" i="15"/>
  <c r="I91" i="15"/>
  <c r="H91" i="15"/>
  <c r="G91" i="15"/>
  <c r="F91" i="15"/>
  <c r="L79" i="15"/>
  <c r="K79" i="15"/>
  <c r="J79" i="15"/>
  <c r="I79" i="15"/>
  <c r="H79" i="15"/>
  <c r="G79" i="15"/>
  <c r="F79" i="15"/>
  <c r="L67" i="15"/>
  <c r="K67" i="15"/>
  <c r="J67" i="15"/>
  <c r="I67" i="15"/>
  <c r="H67" i="15"/>
  <c r="G67" i="15"/>
  <c r="F67" i="15"/>
  <c r="L55" i="15"/>
  <c r="K55" i="15"/>
  <c r="J55" i="15"/>
  <c r="I55" i="15"/>
  <c r="H55" i="15"/>
  <c r="G55" i="15"/>
  <c r="F55" i="15"/>
  <c r="L41" i="15"/>
  <c r="K41" i="15"/>
  <c r="J41" i="15"/>
  <c r="I41" i="15"/>
  <c r="H41" i="15"/>
  <c r="G41" i="15"/>
  <c r="F41" i="15"/>
  <c r="L36" i="15"/>
  <c r="K36" i="15"/>
  <c r="J36" i="15"/>
  <c r="I36" i="15"/>
  <c r="H36" i="15"/>
  <c r="G36" i="15"/>
  <c r="F36" i="15"/>
  <c r="L29" i="15"/>
  <c r="K29" i="15"/>
  <c r="J29" i="15"/>
  <c r="I29" i="15"/>
  <c r="H29" i="15"/>
  <c r="G29" i="15"/>
  <c r="F29" i="15"/>
  <c r="L28" i="15"/>
  <c r="L30" i="15" s="1"/>
  <c r="K28" i="15"/>
  <c r="J28" i="15"/>
  <c r="I28" i="15"/>
  <c r="H28" i="15"/>
  <c r="G28" i="15"/>
  <c r="F28" i="15"/>
  <c r="L27" i="15"/>
  <c r="K27" i="15"/>
  <c r="J27" i="15"/>
  <c r="I27" i="15"/>
  <c r="H27" i="15"/>
  <c r="G27" i="15"/>
  <c r="F27" i="15"/>
  <c r="L24" i="15"/>
  <c r="K24" i="15"/>
  <c r="J24" i="15"/>
  <c r="I24" i="15"/>
  <c r="H24" i="15"/>
  <c r="G24" i="15"/>
  <c r="F24" i="15"/>
  <c r="L21" i="15"/>
  <c r="K21" i="15"/>
  <c r="J21" i="15"/>
  <c r="I21" i="15"/>
  <c r="H21" i="15"/>
  <c r="G21" i="15"/>
  <c r="F21" i="15"/>
  <c r="L16" i="15"/>
  <c r="K16" i="15"/>
  <c r="J16" i="15"/>
  <c r="I16" i="15"/>
  <c r="H16" i="15"/>
  <c r="G16" i="15"/>
  <c r="F16" i="15"/>
  <c r="AE259" i="11"/>
  <c r="AD259" i="11"/>
  <c r="AC259" i="11"/>
  <c r="AE247" i="11"/>
  <c r="AD247" i="11"/>
  <c r="AC247" i="11"/>
  <c r="AE235" i="11"/>
  <c r="AD235" i="11"/>
  <c r="AC235" i="11"/>
  <c r="AE223" i="11"/>
  <c r="AD223" i="11"/>
  <c r="AC223" i="11"/>
  <c r="AE211" i="11"/>
  <c r="AD211" i="11"/>
  <c r="AC211" i="11"/>
  <c r="AE199" i="11"/>
  <c r="AD199" i="11"/>
  <c r="AC199" i="11"/>
  <c r="AE187" i="11"/>
  <c r="AD187" i="11"/>
  <c r="AC187" i="11"/>
  <c r="AE175" i="11"/>
  <c r="AD175" i="11"/>
  <c r="AC175" i="11"/>
  <c r="AE163" i="11"/>
  <c r="AD163" i="11"/>
  <c r="AC163" i="11"/>
  <c r="AE151" i="11"/>
  <c r="AD151" i="11"/>
  <c r="AC151" i="11"/>
  <c r="AE139" i="11"/>
  <c r="AD139" i="11"/>
  <c r="AC139" i="11"/>
  <c r="AE127" i="11"/>
  <c r="AD127" i="11"/>
  <c r="AC127" i="11"/>
  <c r="AE115" i="11"/>
  <c r="AD115" i="11"/>
  <c r="AC115" i="11"/>
  <c r="AE103" i="11"/>
  <c r="AD103" i="11"/>
  <c r="AC103" i="11"/>
  <c r="AE91" i="11"/>
  <c r="AD91" i="11"/>
  <c r="AC91" i="11"/>
  <c r="AE79" i="11"/>
  <c r="AD79" i="11"/>
  <c r="AC79" i="11"/>
  <c r="AE67" i="11"/>
  <c r="AD67" i="11"/>
  <c r="AC67" i="11"/>
  <c r="AE55" i="11"/>
  <c r="AD55" i="11"/>
  <c r="AC55" i="11"/>
  <c r="AE41" i="11"/>
  <c r="AD41" i="11"/>
  <c r="AC41" i="11"/>
  <c r="AE36" i="11"/>
  <c r="AD36" i="11"/>
  <c r="AC36" i="11"/>
  <c r="AE29" i="11"/>
  <c r="AD29" i="11"/>
  <c r="AC29" i="11"/>
  <c r="AE28" i="11"/>
  <c r="AD28" i="11"/>
  <c r="AC28" i="11"/>
  <c r="AC30" i="11" s="1"/>
  <c r="AE27" i="11"/>
  <c r="AD27" i="11"/>
  <c r="AC27" i="11"/>
  <c r="AE24" i="11"/>
  <c r="AD24" i="11"/>
  <c r="AC24" i="11"/>
  <c r="AE21" i="11"/>
  <c r="AD21" i="11"/>
  <c r="AC21" i="11"/>
  <c r="AE16" i="11"/>
  <c r="AD16" i="11"/>
  <c r="AC16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R28" i="11"/>
  <c r="Q28" i="11"/>
  <c r="P28" i="11"/>
  <c r="O28" i="11"/>
  <c r="N28" i="11"/>
  <c r="M28" i="11"/>
  <c r="L28" i="11"/>
  <c r="L30" i="11" s="1"/>
  <c r="K28" i="11"/>
  <c r="K30" i="11" s="1"/>
  <c r="J28" i="11"/>
  <c r="J30" i="11" s="1"/>
  <c r="I28" i="11"/>
  <c r="H28" i="11"/>
  <c r="H30" i="11" s="1"/>
  <c r="G28" i="11"/>
  <c r="G30" i="11" s="1"/>
  <c r="F28" i="11"/>
  <c r="F30" i="11" s="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Q259" i="10"/>
  <c r="Q247" i="10"/>
  <c r="Q235" i="10"/>
  <c r="Q223" i="10"/>
  <c r="Q211" i="10"/>
  <c r="Q199" i="10"/>
  <c r="Q187" i="10"/>
  <c r="Q175" i="10"/>
  <c r="Q163" i="10"/>
  <c r="Q151" i="10"/>
  <c r="Q139" i="10"/>
  <c r="Q127" i="10"/>
  <c r="Q115" i="10"/>
  <c r="Q103" i="10"/>
  <c r="Q91" i="10"/>
  <c r="Q79" i="10"/>
  <c r="Q67" i="10"/>
  <c r="Q55" i="10"/>
  <c r="Q41" i="10"/>
  <c r="Q36" i="10"/>
  <c r="Q29" i="10"/>
  <c r="Q28" i="10"/>
  <c r="Q30" i="10" s="1"/>
  <c r="Q27" i="10"/>
  <c r="Q24" i="10"/>
  <c r="Q21" i="10"/>
  <c r="Q16" i="10"/>
  <c r="R259" i="10"/>
  <c r="P259" i="10"/>
  <c r="O259" i="10"/>
  <c r="N259" i="10"/>
  <c r="M259" i="10"/>
  <c r="L259" i="10"/>
  <c r="K259" i="10"/>
  <c r="J259" i="10"/>
  <c r="I259" i="10"/>
  <c r="H259" i="10"/>
  <c r="G259" i="10"/>
  <c r="F259" i="10"/>
  <c r="R247" i="10"/>
  <c r="P247" i="10"/>
  <c r="O247" i="10"/>
  <c r="N247" i="10"/>
  <c r="M247" i="10"/>
  <c r="L247" i="10"/>
  <c r="K247" i="10"/>
  <c r="J247" i="10"/>
  <c r="I247" i="10"/>
  <c r="H247" i="10"/>
  <c r="G247" i="10"/>
  <c r="F247" i="10"/>
  <c r="R235" i="10"/>
  <c r="P235" i="10"/>
  <c r="O235" i="10"/>
  <c r="N235" i="10"/>
  <c r="M235" i="10"/>
  <c r="L235" i="10"/>
  <c r="K235" i="10"/>
  <c r="J235" i="10"/>
  <c r="I235" i="10"/>
  <c r="H235" i="10"/>
  <c r="G235" i="10"/>
  <c r="F235" i="10"/>
  <c r="R223" i="10"/>
  <c r="P223" i="10"/>
  <c r="O223" i="10"/>
  <c r="N223" i="10"/>
  <c r="M223" i="10"/>
  <c r="L223" i="10"/>
  <c r="K223" i="10"/>
  <c r="J223" i="10"/>
  <c r="I223" i="10"/>
  <c r="H223" i="10"/>
  <c r="G223" i="10"/>
  <c r="F223" i="10"/>
  <c r="R211" i="10"/>
  <c r="P211" i="10"/>
  <c r="O211" i="10"/>
  <c r="N211" i="10"/>
  <c r="M211" i="10"/>
  <c r="L211" i="10"/>
  <c r="K211" i="10"/>
  <c r="J211" i="10"/>
  <c r="I211" i="10"/>
  <c r="H211" i="10"/>
  <c r="G211" i="10"/>
  <c r="F211" i="10"/>
  <c r="R199" i="10"/>
  <c r="P199" i="10"/>
  <c r="O199" i="10"/>
  <c r="N199" i="10"/>
  <c r="M199" i="10"/>
  <c r="L199" i="10"/>
  <c r="K199" i="10"/>
  <c r="J199" i="10"/>
  <c r="I199" i="10"/>
  <c r="H199" i="10"/>
  <c r="G199" i="10"/>
  <c r="F199" i="10"/>
  <c r="R187" i="10"/>
  <c r="P187" i="10"/>
  <c r="O187" i="10"/>
  <c r="N187" i="10"/>
  <c r="M187" i="10"/>
  <c r="L187" i="10"/>
  <c r="K187" i="10"/>
  <c r="J187" i="10"/>
  <c r="I187" i="10"/>
  <c r="H187" i="10"/>
  <c r="G187" i="10"/>
  <c r="F187" i="10"/>
  <c r="R175" i="10"/>
  <c r="P175" i="10"/>
  <c r="O175" i="10"/>
  <c r="N175" i="10"/>
  <c r="M175" i="10"/>
  <c r="L175" i="10"/>
  <c r="K175" i="10"/>
  <c r="J175" i="10"/>
  <c r="I175" i="10"/>
  <c r="H175" i="10"/>
  <c r="G175" i="10"/>
  <c r="F175" i="10"/>
  <c r="R163" i="10"/>
  <c r="P163" i="10"/>
  <c r="O163" i="10"/>
  <c r="N163" i="10"/>
  <c r="M163" i="10"/>
  <c r="L163" i="10"/>
  <c r="K163" i="10"/>
  <c r="J163" i="10"/>
  <c r="I163" i="10"/>
  <c r="H163" i="10"/>
  <c r="G163" i="10"/>
  <c r="F163" i="10"/>
  <c r="R151" i="10"/>
  <c r="P151" i="10"/>
  <c r="O151" i="10"/>
  <c r="N151" i="10"/>
  <c r="M151" i="10"/>
  <c r="L151" i="10"/>
  <c r="K151" i="10"/>
  <c r="J151" i="10"/>
  <c r="I151" i="10"/>
  <c r="H151" i="10"/>
  <c r="G151" i="10"/>
  <c r="F151" i="10"/>
  <c r="R139" i="10"/>
  <c r="P139" i="10"/>
  <c r="O139" i="10"/>
  <c r="N139" i="10"/>
  <c r="M139" i="10"/>
  <c r="L139" i="10"/>
  <c r="K139" i="10"/>
  <c r="J139" i="10"/>
  <c r="I139" i="10"/>
  <c r="H139" i="10"/>
  <c r="G139" i="10"/>
  <c r="F139" i="10"/>
  <c r="R127" i="10"/>
  <c r="P127" i="10"/>
  <c r="O127" i="10"/>
  <c r="N127" i="10"/>
  <c r="M127" i="10"/>
  <c r="L127" i="10"/>
  <c r="K127" i="10"/>
  <c r="J127" i="10"/>
  <c r="I127" i="10"/>
  <c r="H127" i="10"/>
  <c r="G127" i="10"/>
  <c r="F127" i="10"/>
  <c r="R115" i="10"/>
  <c r="P115" i="10"/>
  <c r="O115" i="10"/>
  <c r="N115" i="10"/>
  <c r="M115" i="10"/>
  <c r="L115" i="10"/>
  <c r="K115" i="10"/>
  <c r="J115" i="10"/>
  <c r="I115" i="10"/>
  <c r="H115" i="10"/>
  <c r="G115" i="10"/>
  <c r="F115" i="10"/>
  <c r="R103" i="10"/>
  <c r="P103" i="10"/>
  <c r="O103" i="10"/>
  <c r="N103" i="10"/>
  <c r="M103" i="10"/>
  <c r="L103" i="10"/>
  <c r="K103" i="10"/>
  <c r="J103" i="10"/>
  <c r="I103" i="10"/>
  <c r="H103" i="10"/>
  <c r="G103" i="10"/>
  <c r="F103" i="10"/>
  <c r="R91" i="10"/>
  <c r="P91" i="10"/>
  <c r="O91" i="10"/>
  <c r="N91" i="10"/>
  <c r="M91" i="10"/>
  <c r="L91" i="10"/>
  <c r="K91" i="10"/>
  <c r="J91" i="10"/>
  <c r="I91" i="10"/>
  <c r="H91" i="10"/>
  <c r="G91" i="10"/>
  <c r="F91" i="10"/>
  <c r="R79" i="10"/>
  <c r="P79" i="10"/>
  <c r="O79" i="10"/>
  <c r="N79" i="10"/>
  <c r="M79" i="10"/>
  <c r="L79" i="10"/>
  <c r="K79" i="10"/>
  <c r="J79" i="10"/>
  <c r="I79" i="10"/>
  <c r="H79" i="10"/>
  <c r="G79" i="10"/>
  <c r="F79" i="10"/>
  <c r="R67" i="10"/>
  <c r="P67" i="10"/>
  <c r="O67" i="10"/>
  <c r="N67" i="10"/>
  <c r="M67" i="10"/>
  <c r="L67" i="10"/>
  <c r="K67" i="10"/>
  <c r="J67" i="10"/>
  <c r="I67" i="10"/>
  <c r="H67" i="10"/>
  <c r="G67" i="10"/>
  <c r="F67" i="10"/>
  <c r="R55" i="10"/>
  <c r="P55" i="10"/>
  <c r="O55" i="10"/>
  <c r="N55" i="10"/>
  <c r="M55" i="10"/>
  <c r="L55" i="10"/>
  <c r="K55" i="10"/>
  <c r="J55" i="10"/>
  <c r="I55" i="10"/>
  <c r="H55" i="10"/>
  <c r="G55" i="10"/>
  <c r="F55" i="10"/>
  <c r="R41" i="10"/>
  <c r="P41" i="10"/>
  <c r="O41" i="10"/>
  <c r="N41" i="10"/>
  <c r="M41" i="10"/>
  <c r="L41" i="10"/>
  <c r="K41" i="10"/>
  <c r="J41" i="10"/>
  <c r="I41" i="10"/>
  <c r="H41" i="10"/>
  <c r="G41" i="10"/>
  <c r="F41" i="10"/>
  <c r="R36" i="10"/>
  <c r="P36" i="10"/>
  <c r="O36" i="10"/>
  <c r="N36" i="10"/>
  <c r="M36" i="10"/>
  <c r="L36" i="10"/>
  <c r="K36" i="10"/>
  <c r="J36" i="10"/>
  <c r="I36" i="10"/>
  <c r="H36" i="10"/>
  <c r="G36" i="10"/>
  <c r="F36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R28" i="10"/>
  <c r="P28" i="10"/>
  <c r="O28" i="10"/>
  <c r="O30" i="10" s="1"/>
  <c r="N28" i="10"/>
  <c r="N30" i="10" s="1"/>
  <c r="M28" i="10"/>
  <c r="L28" i="10"/>
  <c r="K28" i="10"/>
  <c r="J28" i="10"/>
  <c r="I28" i="10"/>
  <c r="H28" i="10"/>
  <c r="G28" i="10"/>
  <c r="F28" i="10"/>
  <c r="R27" i="10"/>
  <c r="P27" i="10"/>
  <c r="O27" i="10"/>
  <c r="N27" i="10"/>
  <c r="M27" i="10"/>
  <c r="L27" i="10"/>
  <c r="K27" i="10"/>
  <c r="J27" i="10"/>
  <c r="I27" i="10"/>
  <c r="H27" i="10"/>
  <c r="G27" i="10"/>
  <c r="F27" i="10"/>
  <c r="R24" i="10"/>
  <c r="P24" i="10"/>
  <c r="O24" i="10"/>
  <c r="N24" i="10"/>
  <c r="M24" i="10"/>
  <c r="L24" i="10"/>
  <c r="K24" i="10"/>
  <c r="J24" i="10"/>
  <c r="I24" i="10"/>
  <c r="H24" i="10"/>
  <c r="G24" i="10"/>
  <c r="F24" i="10"/>
  <c r="R21" i="10"/>
  <c r="P21" i="10"/>
  <c r="O21" i="10"/>
  <c r="N21" i="10"/>
  <c r="M21" i="10"/>
  <c r="L21" i="10"/>
  <c r="K21" i="10"/>
  <c r="J21" i="10"/>
  <c r="I21" i="10"/>
  <c r="H21" i="10"/>
  <c r="G21" i="10"/>
  <c r="F21" i="10"/>
  <c r="R16" i="10"/>
  <c r="P16" i="10"/>
  <c r="O16" i="10"/>
  <c r="N16" i="10"/>
  <c r="M16" i="10"/>
  <c r="L16" i="10"/>
  <c r="K16" i="10"/>
  <c r="J16" i="10"/>
  <c r="I16" i="10"/>
  <c r="H16" i="10"/>
  <c r="G16" i="10"/>
  <c r="F16" i="10"/>
  <c r="AA262" i="9"/>
  <c r="AA264" i="9" s="1"/>
  <c r="AI259" i="9"/>
  <c r="AH259" i="9"/>
  <c r="AG259" i="9"/>
  <c r="AF259" i="9"/>
  <c r="AE259" i="9"/>
  <c r="AD259" i="9"/>
  <c r="AC259" i="9"/>
  <c r="AB259" i="9"/>
  <c r="AA259" i="9"/>
  <c r="Z259" i="9"/>
  <c r="Y259" i="9"/>
  <c r="X259" i="9"/>
  <c r="W259" i="9"/>
  <c r="AI247" i="9"/>
  <c r="AH247" i="9"/>
  <c r="AG247" i="9"/>
  <c r="AF247" i="9"/>
  <c r="AE247" i="9"/>
  <c r="AD247" i="9"/>
  <c r="AC247" i="9"/>
  <c r="AB247" i="9"/>
  <c r="AA247" i="9"/>
  <c r="Z247" i="9"/>
  <c r="Y247" i="9"/>
  <c r="X247" i="9"/>
  <c r="W247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AI127" i="9"/>
  <c r="AH127" i="9"/>
  <c r="AG127" i="9"/>
  <c r="AF127" i="9"/>
  <c r="AE127" i="9"/>
  <c r="AD127" i="9"/>
  <c r="AD262" i="9" s="1"/>
  <c r="AD264" i="9" s="1"/>
  <c r="AC127" i="9"/>
  <c r="AB127" i="9"/>
  <c r="AA127" i="9"/>
  <c r="Z127" i="9"/>
  <c r="Y127" i="9"/>
  <c r="X127" i="9"/>
  <c r="W127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AI67" i="9"/>
  <c r="AI262" i="9" s="1"/>
  <c r="AI264" i="9" s="1"/>
  <c r="AH67" i="9"/>
  <c r="AH262" i="9" s="1"/>
  <c r="AH264" i="9" s="1"/>
  <c r="AG67" i="9"/>
  <c r="AG262" i="9" s="1"/>
  <c r="AG264" i="9" s="1"/>
  <c r="AF67" i="9"/>
  <c r="AF262" i="9" s="1"/>
  <c r="AF264" i="9" s="1"/>
  <c r="AE67" i="9"/>
  <c r="AE262" i="9" s="1"/>
  <c r="AE264" i="9" s="1"/>
  <c r="AD67" i="9"/>
  <c r="AC67" i="9"/>
  <c r="AC262" i="9" s="1"/>
  <c r="AC264" i="9" s="1"/>
  <c r="AB67" i="9"/>
  <c r="AB262" i="9" s="1"/>
  <c r="AB264" i="9" s="1"/>
  <c r="AA67" i="9"/>
  <c r="Z67" i="9"/>
  <c r="Y67" i="9"/>
  <c r="X67" i="9"/>
  <c r="W67" i="9"/>
  <c r="AI55" i="9"/>
  <c r="AH55" i="9"/>
  <c r="AG55" i="9"/>
  <c r="AF55" i="9"/>
  <c r="AE55" i="9"/>
  <c r="AD55" i="9"/>
  <c r="AC55" i="9"/>
  <c r="AB55" i="9"/>
  <c r="AA55" i="9"/>
  <c r="Z55" i="9"/>
  <c r="Z262" i="9" s="1"/>
  <c r="Z264" i="9" s="1"/>
  <c r="Y55" i="9"/>
  <c r="Y262" i="9" s="1"/>
  <c r="Y264" i="9" s="1"/>
  <c r="X55" i="9"/>
  <c r="X262" i="9" s="1"/>
  <c r="X264" i="9" s="1"/>
  <c r="W55" i="9"/>
  <c r="W262" i="9" s="1"/>
  <c r="W264" i="9" s="1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AI28" i="9"/>
  <c r="AH28" i="9"/>
  <c r="AH30" i="9" s="1"/>
  <c r="AG28" i="9"/>
  <c r="AG30" i="9" s="1"/>
  <c r="AF28" i="9"/>
  <c r="AF30" i="9" s="1"/>
  <c r="AE28" i="9"/>
  <c r="AD28" i="9"/>
  <c r="AD30" i="9" s="1"/>
  <c r="AC28" i="9"/>
  <c r="AC30" i="9" s="1"/>
  <c r="AB28" i="9"/>
  <c r="AB30" i="9" s="1"/>
  <c r="AA28" i="9"/>
  <c r="Z28" i="9"/>
  <c r="Z30" i="9" s="1"/>
  <c r="Y28" i="9"/>
  <c r="Y30" i="9" s="1"/>
  <c r="X28" i="9"/>
  <c r="X30" i="9" s="1"/>
  <c r="W28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T67" i="9"/>
  <c r="S67" i="9"/>
  <c r="R67" i="9"/>
  <c r="Q67" i="9"/>
  <c r="P67" i="9"/>
  <c r="P262" i="9" s="1"/>
  <c r="P264" i="9" s="1"/>
  <c r="O67" i="9"/>
  <c r="N67" i="9"/>
  <c r="N262" i="9" s="1"/>
  <c r="N264" i="9" s="1"/>
  <c r="M67" i="9"/>
  <c r="L67" i="9"/>
  <c r="K67" i="9"/>
  <c r="J67" i="9"/>
  <c r="I67" i="9"/>
  <c r="H67" i="9"/>
  <c r="G67" i="9"/>
  <c r="F67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T28" i="9"/>
  <c r="S28" i="9"/>
  <c r="R28" i="9"/>
  <c r="Q28" i="9"/>
  <c r="Q30" i="9" s="1"/>
  <c r="P28" i="9"/>
  <c r="P30" i="9" s="1"/>
  <c r="O28" i="9"/>
  <c r="N28" i="9"/>
  <c r="M28" i="9"/>
  <c r="M30" i="9" s="1"/>
  <c r="L28" i="9"/>
  <c r="L30" i="9" s="1"/>
  <c r="K28" i="9"/>
  <c r="J28" i="9"/>
  <c r="I28" i="9"/>
  <c r="H28" i="9"/>
  <c r="G28" i="9"/>
  <c r="F28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AI30" i="9" l="1"/>
  <c r="W30" i="9"/>
  <c r="AA30" i="9"/>
  <c r="AE30" i="9"/>
  <c r="N30" i="9"/>
  <c r="F30" i="9"/>
  <c r="R30" i="9"/>
  <c r="O30" i="9"/>
  <c r="R262" i="15"/>
  <c r="R264" i="15" s="1"/>
  <c r="Q262" i="15"/>
  <c r="Q264" i="15" s="1"/>
  <c r="N262" i="15"/>
  <c r="N264" i="15" s="1"/>
  <c r="P262" i="15"/>
  <c r="P264" i="15" s="1"/>
  <c r="R30" i="15"/>
  <c r="O30" i="15"/>
  <c r="S30" i="15"/>
  <c r="N30" i="15"/>
  <c r="K30" i="15"/>
  <c r="AC262" i="11"/>
  <c r="AC264" i="11" s="1"/>
  <c r="J262" i="11"/>
  <c r="J264" i="11" s="1"/>
  <c r="AE262" i="11"/>
  <c r="AE264" i="11" s="1"/>
  <c r="AD262" i="11"/>
  <c r="AD264" i="11" s="1"/>
  <c r="AD30" i="11"/>
  <c r="AE30" i="11"/>
  <c r="R30" i="11"/>
  <c r="I30" i="11"/>
  <c r="M30" i="11"/>
  <c r="H30" i="16"/>
  <c r="Q30" i="16"/>
  <c r="G262" i="16"/>
  <c r="G264" i="16" s="1"/>
  <c r="K262" i="16"/>
  <c r="K264" i="16" s="1"/>
  <c r="I262" i="16"/>
  <c r="I264" i="16" s="1"/>
  <c r="M262" i="16"/>
  <c r="M264" i="16" s="1"/>
  <c r="J262" i="16"/>
  <c r="J264" i="16" s="1"/>
  <c r="F30" i="16"/>
  <c r="O30" i="16"/>
  <c r="I30" i="16"/>
  <c r="L262" i="16"/>
  <c r="L264" i="16" s="1"/>
  <c r="J30" i="16"/>
  <c r="O262" i="16"/>
  <c r="O264" i="16" s="1"/>
  <c r="Q262" i="16"/>
  <c r="Q264" i="16" s="1"/>
  <c r="P30" i="16"/>
  <c r="N262" i="16"/>
  <c r="N264" i="16" s="1"/>
  <c r="H262" i="16"/>
  <c r="H264" i="16" s="1"/>
  <c r="K30" i="16"/>
  <c r="F262" i="16"/>
  <c r="F264" i="16" s="1"/>
  <c r="P262" i="16"/>
  <c r="P264" i="16" s="1"/>
  <c r="I262" i="15"/>
  <c r="I264" i="15" s="1"/>
  <c r="J262" i="15"/>
  <c r="J264" i="15" s="1"/>
  <c r="K262" i="15"/>
  <c r="K264" i="15" s="1"/>
  <c r="L262" i="15"/>
  <c r="L264" i="15" s="1"/>
  <c r="G262" i="15"/>
  <c r="G264" i="15" s="1"/>
  <c r="F30" i="15"/>
  <c r="H262" i="15"/>
  <c r="H264" i="15" s="1"/>
  <c r="F262" i="15"/>
  <c r="F264" i="15" s="1"/>
  <c r="G30" i="15"/>
  <c r="H30" i="15"/>
  <c r="I30" i="15"/>
  <c r="J30" i="15"/>
  <c r="K262" i="11"/>
  <c r="K264" i="11" s="1"/>
  <c r="M262" i="11"/>
  <c r="M264" i="11" s="1"/>
  <c r="N262" i="11"/>
  <c r="N264" i="11" s="1"/>
  <c r="N30" i="11"/>
  <c r="F262" i="11"/>
  <c r="F264" i="11" s="1"/>
  <c r="O262" i="11"/>
  <c r="O264" i="11" s="1"/>
  <c r="O30" i="11"/>
  <c r="G262" i="11"/>
  <c r="G264" i="11" s="1"/>
  <c r="P262" i="11"/>
  <c r="P264" i="11" s="1"/>
  <c r="P30" i="11"/>
  <c r="H262" i="11"/>
  <c r="H264" i="11" s="1"/>
  <c r="Q262" i="11"/>
  <c r="Q264" i="11" s="1"/>
  <c r="R262" i="11"/>
  <c r="R264" i="11" s="1"/>
  <c r="L262" i="11"/>
  <c r="L264" i="11" s="1"/>
  <c r="I262" i="11"/>
  <c r="I264" i="11" s="1"/>
  <c r="Q30" i="11"/>
  <c r="P30" i="10"/>
  <c r="Q262" i="10"/>
  <c r="Q264" i="10" s="1"/>
  <c r="H262" i="10"/>
  <c r="H264" i="10" s="1"/>
  <c r="I30" i="10"/>
  <c r="O262" i="10"/>
  <c r="O264" i="10" s="1"/>
  <c r="M262" i="10"/>
  <c r="M264" i="10" s="1"/>
  <c r="K262" i="10"/>
  <c r="K264" i="10" s="1"/>
  <c r="I262" i="10"/>
  <c r="I264" i="10" s="1"/>
  <c r="F30" i="10"/>
  <c r="R30" i="10"/>
  <c r="J262" i="10"/>
  <c r="J264" i="10" s="1"/>
  <c r="G30" i="10"/>
  <c r="H30" i="10"/>
  <c r="N262" i="10"/>
  <c r="N264" i="10" s="1"/>
  <c r="L262" i="10"/>
  <c r="L264" i="10" s="1"/>
  <c r="J30" i="10"/>
  <c r="F262" i="10"/>
  <c r="F264" i="10" s="1"/>
  <c r="P262" i="10"/>
  <c r="P264" i="10" s="1"/>
  <c r="K30" i="10"/>
  <c r="G262" i="10"/>
  <c r="G264" i="10" s="1"/>
  <c r="R262" i="10"/>
  <c r="R264" i="10" s="1"/>
  <c r="L30" i="10"/>
  <c r="M30" i="10"/>
  <c r="T262" i="9"/>
  <c r="T264" i="9" s="1"/>
  <c r="O262" i="9"/>
  <c r="O264" i="9" s="1"/>
  <c r="S262" i="9"/>
  <c r="S264" i="9" s="1"/>
  <c r="K262" i="9"/>
  <c r="K264" i="9" s="1"/>
  <c r="S30" i="9"/>
  <c r="F262" i="9"/>
  <c r="F264" i="9" s="1"/>
  <c r="Q262" i="9"/>
  <c r="Q264" i="9" s="1"/>
  <c r="T30" i="9"/>
  <c r="H30" i="9"/>
  <c r="I30" i="9"/>
  <c r="R262" i="9"/>
  <c r="R264" i="9" s="1"/>
  <c r="G262" i="9"/>
  <c r="G264" i="9" s="1"/>
  <c r="I262" i="9"/>
  <c r="I264" i="9" s="1"/>
  <c r="G30" i="9"/>
  <c r="L262" i="9"/>
  <c r="L264" i="9" s="1"/>
  <c r="M262" i="9"/>
  <c r="M264" i="9" s="1"/>
  <c r="J30" i="9"/>
  <c r="H262" i="9"/>
  <c r="H264" i="9" s="1"/>
  <c r="J262" i="9"/>
  <c r="J264" i="9" s="1"/>
  <c r="K30" i="9"/>
  <c r="AW259" i="9"/>
  <c r="AV259" i="9"/>
  <c r="AU259" i="9"/>
  <c r="AT259" i="9"/>
  <c r="AS259" i="9"/>
  <c r="AR259" i="9"/>
  <c r="AQ259" i="9"/>
  <c r="AP259" i="9"/>
  <c r="AO259" i="9"/>
  <c r="AN259" i="9"/>
  <c r="AM259" i="9"/>
  <c r="AL259" i="9"/>
  <c r="AK259" i="9"/>
  <c r="AJ259" i="9"/>
  <c r="V259" i="9"/>
  <c r="U259" i="9"/>
  <c r="E259" i="9"/>
  <c r="AB259" i="10"/>
  <c r="AA259" i="10"/>
  <c r="Z259" i="10"/>
  <c r="Y259" i="10"/>
  <c r="X259" i="10"/>
  <c r="W259" i="10"/>
  <c r="V259" i="10"/>
  <c r="U259" i="10"/>
  <c r="T259" i="10"/>
  <c r="S259" i="10"/>
  <c r="E259" i="10"/>
  <c r="AI259" i="11"/>
  <c r="AH259" i="11"/>
  <c r="AG259" i="11"/>
  <c r="AF259" i="11"/>
  <c r="AB259" i="11"/>
  <c r="AA259" i="11"/>
  <c r="Z259" i="11"/>
  <c r="Y259" i="11"/>
  <c r="X259" i="11"/>
  <c r="W259" i="11"/>
  <c r="V259" i="11"/>
  <c r="U259" i="11"/>
  <c r="T259" i="11"/>
  <c r="S259" i="11"/>
  <c r="E259" i="11"/>
  <c r="AA259" i="15"/>
  <c r="Z259" i="15"/>
  <c r="Y259" i="15"/>
  <c r="X259" i="15"/>
  <c r="W259" i="15"/>
  <c r="V259" i="15"/>
  <c r="U259" i="15"/>
  <c r="T259" i="15"/>
  <c r="E259" i="15"/>
  <c r="AA259" i="16"/>
  <c r="Z259" i="16"/>
  <c r="Y259" i="16"/>
  <c r="X259" i="16"/>
  <c r="W259" i="16"/>
  <c r="V259" i="16"/>
  <c r="U259" i="16"/>
  <c r="T259" i="16"/>
  <c r="S259" i="16"/>
  <c r="R259" i="16"/>
  <c r="E259" i="16"/>
  <c r="AW247" i="9"/>
  <c r="AV247" i="9"/>
  <c r="AU247" i="9"/>
  <c r="AT247" i="9"/>
  <c r="AS247" i="9"/>
  <c r="AR247" i="9"/>
  <c r="AQ247" i="9"/>
  <c r="AP247" i="9"/>
  <c r="AO247" i="9"/>
  <c r="AN247" i="9"/>
  <c r="AM247" i="9"/>
  <c r="AL247" i="9"/>
  <c r="AK247" i="9"/>
  <c r="AJ247" i="9"/>
  <c r="V247" i="9"/>
  <c r="U247" i="9"/>
  <c r="E247" i="9"/>
  <c r="AB247" i="10"/>
  <c r="AA247" i="10"/>
  <c r="Z247" i="10"/>
  <c r="Y247" i="10"/>
  <c r="X247" i="10"/>
  <c r="W247" i="10"/>
  <c r="V247" i="10"/>
  <c r="U247" i="10"/>
  <c r="T247" i="10"/>
  <c r="S247" i="10"/>
  <c r="E247" i="10"/>
  <c r="AI247" i="11"/>
  <c r="AH247" i="11"/>
  <c r="AG247" i="11"/>
  <c r="AF247" i="11"/>
  <c r="AB247" i="11"/>
  <c r="AA247" i="11"/>
  <c r="Z247" i="11"/>
  <c r="Y247" i="11"/>
  <c r="X247" i="11"/>
  <c r="W247" i="11"/>
  <c r="V247" i="11"/>
  <c r="U247" i="11"/>
  <c r="T247" i="11"/>
  <c r="S247" i="11"/>
  <c r="E247" i="11"/>
  <c r="AA247" i="15"/>
  <c r="Z247" i="15"/>
  <c r="Y247" i="15"/>
  <c r="X247" i="15"/>
  <c r="W247" i="15"/>
  <c r="V247" i="15"/>
  <c r="U247" i="15"/>
  <c r="T247" i="15"/>
  <c r="E247" i="15"/>
  <c r="AA247" i="16"/>
  <c r="Z247" i="16"/>
  <c r="Y247" i="16"/>
  <c r="X247" i="16"/>
  <c r="W247" i="16"/>
  <c r="V247" i="16"/>
  <c r="U247" i="16"/>
  <c r="T247" i="16"/>
  <c r="S247" i="16"/>
  <c r="R247" i="16"/>
  <c r="E247" i="16"/>
  <c r="AW235" i="9"/>
  <c r="AV235" i="9"/>
  <c r="AU235" i="9"/>
  <c r="AT235" i="9"/>
  <c r="AS235" i="9"/>
  <c r="AR235" i="9"/>
  <c r="AQ235" i="9"/>
  <c r="AP235" i="9"/>
  <c r="AO235" i="9"/>
  <c r="AN235" i="9"/>
  <c r="AM235" i="9"/>
  <c r="AL235" i="9"/>
  <c r="AK235" i="9"/>
  <c r="AJ235" i="9"/>
  <c r="V235" i="9"/>
  <c r="U235" i="9"/>
  <c r="E235" i="9"/>
  <c r="AB235" i="10"/>
  <c r="AA235" i="10"/>
  <c r="Z235" i="10"/>
  <c r="Y235" i="10"/>
  <c r="X235" i="10"/>
  <c r="W235" i="10"/>
  <c r="V235" i="10"/>
  <c r="U235" i="10"/>
  <c r="T235" i="10"/>
  <c r="S235" i="10"/>
  <c r="E235" i="10"/>
  <c r="AI235" i="11"/>
  <c r="AH235" i="11"/>
  <c r="AG235" i="11"/>
  <c r="AF235" i="11"/>
  <c r="AB235" i="11"/>
  <c r="AA235" i="11"/>
  <c r="Z235" i="11"/>
  <c r="Y235" i="11"/>
  <c r="X235" i="11"/>
  <c r="W235" i="11"/>
  <c r="V235" i="11"/>
  <c r="U235" i="11"/>
  <c r="T235" i="11"/>
  <c r="S235" i="11"/>
  <c r="E235" i="11"/>
  <c r="AA235" i="15"/>
  <c r="Z235" i="15"/>
  <c r="Y235" i="15"/>
  <c r="X235" i="15"/>
  <c r="W235" i="15"/>
  <c r="V235" i="15"/>
  <c r="U235" i="15"/>
  <c r="T235" i="15"/>
  <c r="E235" i="15"/>
  <c r="AA235" i="16"/>
  <c r="Z235" i="16"/>
  <c r="Y235" i="16"/>
  <c r="X235" i="16"/>
  <c r="W235" i="16"/>
  <c r="V235" i="16"/>
  <c r="U235" i="16"/>
  <c r="T235" i="16"/>
  <c r="S235" i="16"/>
  <c r="R235" i="16"/>
  <c r="E235" i="16"/>
  <c r="AW223" i="9"/>
  <c r="AV223" i="9"/>
  <c r="AU223" i="9"/>
  <c r="AT223" i="9"/>
  <c r="AS223" i="9"/>
  <c r="AR223" i="9"/>
  <c r="AQ223" i="9"/>
  <c r="AP223" i="9"/>
  <c r="AO223" i="9"/>
  <c r="AN223" i="9"/>
  <c r="AM223" i="9"/>
  <c r="AL223" i="9"/>
  <c r="AK223" i="9"/>
  <c r="AJ223" i="9"/>
  <c r="V223" i="9"/>
  <c r="U223" i="9"/>
  <c r="E223" i="9"/>
  <c r="AB223" i="10"/>
  <c r="AA223" i="10"/>
  <c r="Z223" i="10"/>
  <c r="Y223" i="10"/>
  <c r="X223" i="10"/>
  <c r="W223" i="10"/>
  <c r="V223" i="10"/>
  <c r="U223" i="10"/>
  <c r="T223" i="10"/>
  <c r="S223" i="10"/>
  <c r="E223" i="10"/>
  <c r="AI223" i="11"/>
  <c r="AH223" i="11"/>
  <c r="AG223" i="11"/>
  <c r="AF223" i="11"/>
  <c r="AB223" i="11"/>
  <c r="AA223" i="11"/>
  <c r="Z223" i="11"/>
  <c r="Y223" i="11"/>
  <c r="X223" i="11"/>
  <c r="W223" i="11"/>
  <c r="V223" i="11"/>
  <c r="U223" i="11"/>
  <c r="T223" i="11"/>
  <c r="S223" i="11"/>
  <c r="E223" i="11"/>
  <c r="AA223" i="15"/>
  <c r="Z223" i="15"/>
  <c r="Y223" i="15"/>
  <c r="X223" i="15"/>
  <c r="W223" i="15"/>
  <c r="V223" i="15"/>
  <c r="U223" i="15"/>
  <c r="T223" i="15"/>
  <c r="E223" i="15"/>
  <c r="AA223" i="16"/>
  <c r="Z223" i="16"/>
  <c r="Y223" i="16"/>
  <c r="X223" i="16"/>
  <c r="W223" i="16"/>
  <c r="V223" i="16"/>
  <c r="U223" i="16"/>
  <c r="T223" i="16"/>
  <c r="S223" i="16"/>
  <c r="R223" i="16"/>
  <c r="E223" i="16"/>
  <c r="AW211" i="9"/>
  <c r="AV211" i="9"/>
  <c r="AU211" i="9"/>
  <c r="AT211" i="9"/>
  <c r="AS211" i="9"/>
  <c r="AR211" i="9"/>
  <c r="AQ211" i="9"/>
  <c r="AP211" i="9"/>
  <c r="AO211" i="9"/>
  <c r="AN211" i="9"/>
  <c r="AM211" i="9"/>
  <c r="AL211" i="9"/>
  <c r="AK211" i="9"/>
  <c r="AJ211" i="9"/>
  <c r="V211" i="9"/>
  <c r="U211" i="9"/>
  <c r="E211" i="9"/>
  <c r="AB211" i="10"/>
  <c r="AA211" i="10"/>
  <c r="Z211" i="10"/>
  <c r="Y211" i="10"/>
  <c r="X211" i="10"/>
  <c r="W211" i="10"/>
  <c r="V211" i="10"/>
  <c r="U211" i="10"/>
  <c r="T211" i="10"/>
  <c r="S211" i="10"/>
  <c r="E211" i="10"/>
  <c r="AI211" i="11"/>
  <c r="AH211" i="11"/>
  <c r="AG211" i="11"/>
  <c r="AF211" i="11"/>
  <c r="AB211" i="11"/>
  <c r="AA211" i="11"/>
  <c r="Z211" i="11"/>
  <c r="Y211" i="11"/>
  <c r="X211" i="11"/>
  <c r="W211" i="11"/>
  <c r="V211" i="11"/>
  <c r="U211" i="11"/>
  <c r="T211" i="11"/>
  <c r="S211" i="11"/>
  <c r="E211" i="11"/>
  <c r="AA211" i="15"/>
  <c r="Z211" i="15"/>
  <c r="Y211" i="15"/>
  <c r="X211" i="15"/>
  <c r="W211" i="15"/>
  <c r="V211" i="15"/>
  <c r="U211" i="15"/>
  <c r="T211" i="15"/>
  <c r="E211" i="15"/>
  <c r="AA211" i="16"/>
  <c r="Z211" i="16"/>
  <c r="Y211" i="16"/>
  <c r="X211" i="16"/>
  <c r="W211" i="16"/>
  <c r="V211" i="16"/>
  <c r="U211" i="16"/>
  <c r="T211" i="16"/>
  <c r="S211" i="16"/>
  <c r="R211" i="16"/>
  <c r="E211" i="16"/>
  <c r="AW199" i="9"/>
  <c r="AV199" i="9"/>
  <c r="AU199" i="9"/>
  <c r="AT199" i="9"/>
  <c r="AS199" i="9"/>
  <c r="AR199" i="9"/>
  <c r="AQ199" i="9"/>
  <c r="AP199" i="9"/>
  <c r="AO199" i="9"/>
  <c r="AN199" i="9"/>
  <c r="AM199" i="9"/>
  <c r="AL199" i="9"/>
  <c r="AK199" i="9"/>
  <c r="AJ199" i="9"/>
  <c r="V199" i="9"/>
  <c r="U199" i="9"/>
  <c r="E199" i="9"/>
  <c r="AB199" i="10"/>
  <c r="AA199" i="10"/>
  <c r="Z199" i="10"/>
  <c r="Y199" i="10"/>
  <c r="X199" i="10"/>
  <c r="W199" i="10"/>
  <c r="V199" i="10"/>
  <c r="U199" i="10"/>
  <c r="T199" i="10"/>
  <c r="S199" i="10"/>
  <c r="E199" i="10"/>
  <c r="AI199" i="11"/>
  <c r="AH199" i="11"/>
  <c r="AG199" i="11"/>
  <c r="AF199" i="11"/>
  <c r="AB199" i="11"/>
  <c r="AA199" i="11"/>
  <c r="Z199" i="11"/>
  <c r="Y199" i="11"/>
  <c r="X199" i="11"/>
  <c r="W199" i="11"/>
  <c r="V199" i="11"/>
  <c r="U199" i="11"/>
  <c r="T199" i="11"/>
  <c r="S199" i="11"/>
  <c r="E199" i="11"/>
  <c r="AA199" i="15"/>
  <c r="Z199" i="15"/>
  <c r="Y199" i="15"/>
  <c r="X199" i="15"/>
  <c r="W199" i="15"/>
  <c r="V199" i="15"/>
  <c r="U199" i="15"/>
  <c r="T199" i="15"/>
  <c r="E199" i="15"/>
  <c r="AA199" i="16"/>
  <c r="Z199" i="16"/>
  <c r="Y199" i="16"/>
  <c r="X199" i="16"/>
  <c r="W199" i="16"/>
  <c r="V199" i="16"/>
  <c r="U199" i="16"/>
  <c r="T199" i="16"/>
  <c r="S199" i="16"/>
  <c r="R199" i="16"/>
  <c r="E199" i="16"/>
  <c r="AW187" i="9"/>
  <c r="AV187" i="9"/>
  <c r="AU187" i="9"/>
  <c r="AT187" i="9"/>
  <c r="AS187" i="9"/>
  <c r="AR187" i="9"/>
  <c r="AQ187" i="9"/>
  <c r="AP187" i="9"/>
  <c r="AO187" i="9"/>
  <c r="AN187" i="9"/>
  <c r="AM187" i="9"/>
  <c r="AL187" i="9"/>
  <c r="AK187" i="9"/>
  <c r="AJ187" i="9"/>
  <c r="V187" i="9"/>
  <c r="U187" i="9"/>
  <c r="E187" i="9"/>
  <c r="AB187" i="10"/>
  <c r="AA187" i="10"/>
  <c r="Z187" i="10"/>
  <c r="Y187" i="10"/>
  <c r="X187" i="10"/>
  <c r="W187" i="10"/>
  <c r="V187" i="10"/>
  <c r="U187" i="10"/>
  <c r="T187" i="10"/>
  <c r="S187" i="10"/>
  <c r="E187" i="10"/>
  <c r="AI187" i="11"/>
  <c r="AH187" i="11"/>
  <c r="AG187" i="11"/>
  <c r="AF187" i="11"/>
  <c r="AB187" i="11"/>
  <c r="AA187" i="11"/>
  <c r="Z187" i="11"/>
  <c r="Y187" i="11"/>
  <c r="X187" i="11"/>
  <c r="W187" i="11"/>
  <c r="V187" i="11"/>
  <c r="U187" i="11"/>
  <c r="T187" i="11"/>
  <c r="S187" i="11"/>
  <c r="E187" i="11"/>
  <c r="AA187" i="15"/>
  <c r="Z187" i="15"/>
  <c r="Y187" i="15"/>
  <c r="X187" i="15"/>
  <c r="W187" i="15"/>
  <c r="V187" i="15"/>
  <c r="U187" i="15"/>
  <c r="T187" i="15"/>
  <c r="E187" i="15"/>
  <c r="AA187" i="16"/>
  <c r="Z187" i="16"/>
  <c r="Y187" i="16"/>
  <c r="X187" i="16"/>
  <c r="W187" i="16"/>
  <c r="V187" i="16"/>
  <c r="U187" i="16"/>
  <c r="T187" i="16"/>
  <c r="S187" i="16"/>
  <c r="R187" i="16"/>
  <c r="E187" i="16"/>
  <c r="AW175" i="9"/>
  <c r="AV175" i="9"/>
  <c r="AU175" i="9"/>
  <c r="AT175" i="9"/>
  <c r="AS175" i="9"/>
  <c r="AR175" i="9"/>
  <c r="AQ175" i="9"/>
  <c r="AP175" i="9"/>
  <c r="AO175" i="9"/>
  <c r="AN175" i="9"/>
  <c r="AM175" i="9"/>
  <c r="AL175" i="9"/>
  <c r="AK175" i="9"/>
  <c r="AJ175" i="9"/>
  <c r="V175" i="9"/>
  <c r="U175" i="9"/>
  <c r="E175" i="9"/>
  <c r="AB175" i="10"/>
  <c r="AA175" i="10"/>
  <c r="Z175" i="10"/>
  <c r="Y175" i="10"/>
  <c r="X175" i="10"/>
  <c r="W175" i="10"/>
  <c r="V175" i="10"/>
  <c r="U175" i="10"/>
  <c r="T175" i="10"/>
  <c r="S175" i="10"/>
  <c r="E175" i="10"/>
  <c r="AI175" i="11"/>
  <c r="AH175" i="11"/>
  <c r="AG175" i="11"/>
  <c r="AF175" i="11"/>
  <c r="AB175" i="11"/>
  <c r="AA175" i="11"/>
  <c r="Z175" i="11"/>
  <c r="Y175" i="11"/>
  <c r="X175" i="11"/>
  <c r="W175" i="11"/>
  <c r="V175" i="11"/>
  <c r="U175" i="11"/>
  <c r="T175" i="11"/>
  <c r="S175" i="11"/>
  <c r="E175" i="11"/>
  <c r="AA175" i="15"/>
  <c r="Z175" i="15"/>
  <c r="Y175" i="15"/>
  <c r="X175" i="15"/>
  <c r="W175" i="15"/>
  <c r="V175" i="15"/>
  <c r="U175" i="15"/>
  <c r="T175" i="15"/>
  <c r="E175" i="15"/>
  <c r="AA175" i="16"/>
  <c r="Z175" i="16"/>
  <c r="Y175" i="16"/>
  <c r="X175" i="16"/>
  <c r="W175" i="16"/>
  <c r="V175" i="16"/>
  <c r="U175" i="16"/>
  <c r="T175" i="16"/>
  <c r="S175" i="16"/>
  <c r="R175" i="16"/>
  <c r="E175" i="16"/>
  <c r="AW163" i="9"/>
  <c r="AV163" i="9"/>
  <c r="AU163" i="9"/>
  <c r="AT163" i="9"/>
  <c r="AS163" i="9"/>
  <c r="AR163" i="9"/>
  <c r="AQ163" i="9"/>
  <c r="AP163" i="9"/>
  <c r="AO163" i="9"/>
  <c r="AN163" i="9"/>
  <c r="AM163" i="9"/>
  <c r="AL163" i="9"/>
  <c r="AK163" i="9"/>
  <c r="AJ163" i="9"/>
  <c r="V163" i="9"/>
  <c r="U163" i="9"/>
  <c r="E163" i="9"/>
  <c r="AB163" i="10"/>
  <c r="AA163" i="10"/>
  <c r="Z163" i="10"/>
  <c r="Y163" i="10"/>
  <c r="X163" i="10"/>
  <c r="W163" i="10"/>
  <c r="V163" i="10"/>
  <c r="U163" i="10"/>
  <c r="T163" i="10"/>
  <c r="S163" i="10"/>
  <c r="E163" i="10"/>
  <c r="AI163" i="11"/>
  <c r="AH163" i="11"/>
  <c r="AG163" i="11"/>
  <c r="AF163" i="11"/>
  <c r="AB163" i="11"/>
  <c r="AA163" i="11"/>
  <c r="Z163" i="11"/>
  <c r="Y163" i="11"/>
  <c r="X163" i="11"/>
  <c r="W163" i="11"/>
  <c r="V163" i="11"/>
  <c r="U163" i="11"/>
  <c r="T163" i="11"/>
  <c r="S163" i="11"/>
  <c r="E163" i="11"/>
  <c r="AA163" i="15"/>
  <c r="Z163" i="15"/>
  <c r="Y163" i="15"/>
  <c r="X163" i="15"/>
  <c r="W163" i="15"/>
  <c r="V163" i="15"/>
  <c r="U163" i="15"/>
  <c r="T163" i="15"/>
  <c r="E163" i="15"/>
  <c r="AA163" i="16"/>
  <c r="Z163" i="16"/>
  <c r="Y163" i="16"/>
  <c r="X163" i="16"/>
  <c r="W163" i="16"/>
  <c r="V163" i="16"/>
  <c r="U163" i="16"/>
  <c r="T163" i="16"/>
  <c r="S163" i="16"/>
  <c r="R163" i="16"/>
  <c r="E163" i="16"/>
  <c r="AW151" i="9"/>
  <c r="AV151" i="9"/>
  <c r="AU151" i="9"/>
  <c r="AT151" i="9"/>
  <c r="AS151" i="9"/>
  <c r="AR151" i="9"/>
  <c r="AQ151" i="9"/>
  <c r="AP151" i="9"/>
  <c r="AO151" i="9"/>
  <c r="AN151" i="9"/>
  <c r="AM151" i="9"/>
  <c r="AL151" i="9"/>
  <c r="AK151" i="9"/>
  <c r="AJ151" i="9"/>
  <c r="V151" i="9"/>
  <c r="U151" i="9"/>
  <c r="E151" i="9"/>
  <c r="AB151" i="10"/>
  <c r="AA151" i="10"/>
  <c r="Z151" i="10"/>
  <c r="Y151" i="10"/>
  <c r="X151" i="10"/>
  <c r="W151" i="10"/>
  <c r="V151" i="10"/>
  <c r="U151" i="10"/>
  <c r="T151" i="10"/>
  <c r="S151" i="10"/>
  <c r="E151" i="10"/>
  <c r="AI151" i="11"/>
  <c r="AH151" i="11"/>
  <c r="AG151" i="11"/>
  <c r="AF151" i="11"/>
  <c r="AB151" i="11"/>
  <c r="AA151" i="11"/>
  <c r="Z151" i="11"/>
  <c r="Y151" i="11"/>
  <c r="X151" i="11"/>
  <c r="W151" i="11"/>
  <c r="V151" i="11"/>
  <c r="U151" i="11"/>
  <c r="T151" i="11"/>
  <c r="S151" i="11"/>
  <c r="E151" i="11"/>
  <c r="AA151" i="15"/>
  <c r="Z151" i="15"/>
  <c r="Y151" i="15"/>
  <c r="X151" i="15"/>
  <c r="W151" i="15"/>
  <c r="V151" i="15"/>
  <c r="U151" i="15"/>
  <c r="T151" i="15"/>
  <c r="E151" i="15"/>
  <c r="AA151" i="16"/>
  <c r="Z151" i="16"/>
  <c r="Y151" i="16"/>
  <c r="X151" i="16"/>
  <c r="W151" i="16"/>
  <c r="V151" i="16"/>
  <c r="U151" i="16"/>
  <c r="T151" i="16"/>
  <c r="S151" i="16"/>
  <c r="R151" i="16"/>
  <c r="E151" i="16"/>
  <c r="AW139" i="9"/>
  <c r="AV139" i="9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V139" i="9"/>
  <c r="U139" i="9"/>
  <c r="E139" i="9"/>
  <c r="AB139" i="10"/>
  <c r="AA139" i="10"/>
  <c r="Z139" i="10"/>
  <c r="Y139" i="10"/>
  <c r="X139" i="10"/>
  <c r="W139" i="10"/>
  <c r="V139" i="10"/>
  <c r="U139" i="10"/>
  <c r="T139" i="10"/>
  <c r="S139" i="10"/>
  <c r="E139" i="10"/>
  <c r="AI139" i="11"/>
  <c r="AH139" i="11"/>
  <c r="AG139" i="11"/>
  <c r="AF139" i="11"/>
  <c r="AB139" i="11"/>
  <c r="AA139" i="11"/>
  <c r="Z139" i="11"/>
  <c r="Y139" i="11"/>
  <c r="X139" i="11"/>
  <c r="W139" i="11"/>
  <c r="V139" i="11"/>
  <c r="U139" i="11"/>
  <c r="T139" i="11"/>
  <c r="S139" i="11"/>
  <c r="E139" i="11"/>
  <c r="AA139" i="15"/>
  <c r="Z139" i="15"/>
  <c r="Y139" i="15"/>
  <c r="X139" i="15"/>
  <c r="W139" i="15"/>
  <c r="V139" i="15"/>
  <c r="U139" i="15"/>
  <c r="T139" i="15"/>
  <c r="E139" i="15"/>
  <c r="AA139" i="16"/>
  <c r="Z139" i="16"/>
  <c r="Y139" i="16"/>
  <c r="X139" i="16"/>
  <c r="W139" i="16"/>
  <c r="V139" i="16"/>
  <c r="U139" i="16"/>
  <c r="T139" i="16"/>
  <c r="S139" i="16"/>
  <c r="R139" i="16"/>
  <c r="E139" i="16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V127" i="9"/>
  <c r="U127" i="9"/>
  <c r="E127" i="9"/>
  <c r="AB127" i="10"/>
  <c r="AA127" i="10"/>
  <c r="Z127" i="10"/>
  <c r="Y127" i="10"/>
  <c r="X127" i="10"/>
  <c r="W127" i="10"/>
  <c r="V127" i="10"/>
  <c r="U127" i="10"/>
  <c r="T127" i="10"/>
  <c r="S127" i="10"/>
  <c r="E127" i="10"/>
  <c r="AI127" i="11"/>
  <c r="AH127" i="11"/>
  <c r="AG127" i="11"/>
  <c r="AF127" i="11"/>
  <c r="AB127" i="11"/>
  <c r="AA127" i="11"/>
  <c r="Z127" i="11"/>
  <c r="Y127" i="11"/>
  <c r="X127" i="11"/>
  <c r="W127" i="11"/>
  <c r="V127" i="11"/>
  <c r="U127" i="11"/>
  <c r="T127" i="11"/>
  <c r="S127" i="11"/>
  <c r="E127" i="11"/>
  <c r="AA127" i="15"/>
  <c r="Z127" i="15"/>
  <c r="Y127" i="15"/>
  <c r="X127" i="15"/>
  <c r="W127" i="15"/>
  <c r="V127" i="15"/>
  <c r="U127" i="15"/>
  <c r="T127" i="15"/>
  <c r="E127" i="15"/>
  <c r="AA127" i="16"/>
  <c r="Z127" i="16"/>
  <c r="Y127" i="16"/>
  <c r="X127" i="16"/>
  <c r="W127" i="16"/>
  <c r="V127" i="16"/>
  <c r="U127" i="16"/>
  <c r="T127" i="16"/>
  <c r="S127" i="16"/>
  <c r="R127" i="16"/>
  <c r="E127" i="16"/>
  <c r="AW115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V115" i="9"/>
  <c r="U115" i="9"/>
  <c r="E115" i="9"/>
  <c r="AB115" i="10"/>
  <c r="AA115" i="10"/>
  <c r="Z115" i="10"/>
  <c r="Y115" i="10"/>
  <c r="X115" i="10"/>
  <c r="W115" i="10"/>
  <c r="V115" i="10"/>
  <c r="U115" i="10"/>
  <c r="T115" i="10"/>
  <c r="S115" i="10"/>
  <c r="E115" i="10"/>
  <c r="AI115" i="11"/>
  <c r="AH115" i="11"/>
  <c r="AG115" i="11"/>
  <c r="AF115" i="11"/>
  <c r="AB115" i="11"/>
  <c r="AA115" i="11"/>
  <c r="Z115" i="11"/>
  <c r="Y115" i="11"/>
  <c r="X115" i="11"/>
  <c r="W115" i="11"/>
  <c r="V115" i="11"/>
  <c r="U115" i="11"/>
  <c r="T115" i="11"/>
  <c r="S115" i="11"/>
  <c r="E115" i="11"/>
  <c r="AA115" i="15"/>
  <c r="Z115" i="15"/>
  <c r="Y115" i="15"/>
  <c r="X115" i="15"/>
  <c r="W115" i="15"/>
  <c r="V115" i="15"/>
  <c r="U115" i="15"/>
  <c r="T115" i="15"/>
  <c r="E115" i="15"/>
  <c r="AA115" i="16"/>
  <c r="Z115" i="16"/>
  <c r="Y115" i="16"/>
  <c r="X115" i="16"/>
  <c r="W115" i="16"/>
  <c r="V115" i="16"/>
  <c r="U115" i="16"/>
  <c r="T115" i="16"/>
  <c r="S115" i="16"/>
  <c r="R115" i="16"/>
  <c r="E115" i="16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V103" i="9"/>
  <c r="U103" i="9"/>
  <c r="E103" i="9"/>
  <c r="AB103" i="10"/>
  <c r="AA103" i="10"/>
  <c r="Z103" i="10"/>
  <c r="Y103" i="10"/>
  <c r="X103" i="10"/>
  <c r="W103" i="10"/>
  <c r="V103" i="10"/>
  <c r="U103" i="10"/>
  <c r="T103" i="10"/>
  <c r="S103" i="10"/>
  <c r="E103" i="10"/>
  <c r="AI103" i="11"/>
  <c r="AH103" i="11"/>
  <c r="AG103" i="11"/>
  <c r="AF103" i="11"/>
  <c r="AB103" i="11"/>
  <c r="AA103" i="11"/>
  <c r="Z103" i="11"/>
  <c r="Y103" i="11"/>
  <c r="X103" i="11"/>
  <c r="W103" i="11"/>
  <c r="V103" i="11"/>
  <c r="U103" i="11"/>
  <c r="T103" i="11"/>
  <c r="S103" i="11"/>
  <c r="E103" i="11"/>
  <c r="AA103" i="15"/>
  <c r="Z103" i="15"/>
  <c r="Y103" i="15"/>
  <c r="X103" i="15"/>
  <c r="W103" i="15"/>
  <c r="V103" i="15"/>
  <c r="U103" i="15"/>
  <c r="T103" i="15"/>
  <c r="E103" i="15"/>
  <c r="AA103" i="16"/>
  <c r="Z103" i="16"/>
  <c r="Y103" i="16"/>
  <c r="X103" i="16"/>
  <c r="W103" i="16"/>
  <c r="V103" i="16"/>
  <c r="U103" i="16"/>
  <c r="T103" i="16"/>
  <c r="S103" i="16"/>
  <c r="R103" i="16"/>
  <c r="E103" i="16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V91" i="9"/>
  <c r="U91" i="9"/>
  <c r="E91" i="9"/>
  <c r="AB91" i="10"/>
  <c r="AA91" i="10"/>
  <c r="Z91" i="10"/>
  <c r="Y91" i="10"/>
  <c r="X91" i="10"/>
  <c r="W91" i="10"/>
  <c r="V91" i="10"/>
  <c r="U91" i="10"/>
  <c r="T91" i="10"/>
  <c r="S91" i="10"/>
  <c r="E91" i="10"/>
  <c r="AI91" i="11"/>
  <c r="AH91" i="11"/>
  <c r="AG91" i="11"/>
  <c r="AF91" i="11"/>
  <c r="AB91" i="11"/>
  <c r="AA91" i="11"/>
  <c r="Z91" i="11"/>
  <c r="Y91" i="11"/>
  <c r="X91" i="11"/>
  <c r="W91" i="11"/>
  <c r="V91" i="11"/>
  <c r="U91" i="11"/>
  <c r="T91" i="11"/>
  <c r="S91" i="11"/>
  <c r="E91" i="11"/>
  <c r="AA91" i="15"/>
  <c r="Z91" i="15"/>
  <c r="Y91" i="15"/>
  <c r="X91" i="15"/>
  <c r="W91" i="15"/>
  <c r="V91" i="15"/>
  <c r="U91" i="15"/>
  <c r="T91" i="15"/>
  <c r="E91" i="15"/>
  <c r="AA91" i="16"/>
  <c r="Z91" i="16"/>
  <c r="Y91" i="16"/>
  <c r="X91" i="16"/>
  <c r="W91" i="16"/>
  <c r="V91" i="16"/>
  <c r="U91" i="16"/>
  <c r="T91" i="16"/>
  <c r="S91" i="16"/>
  <c r="R91" i="16"/>
  <c r="E91" i="16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V79" i="9"/>
  <c r="U79" i="9"/>
  <c r="E79" i="9"/>
  <c r="AB79" i="10"/>
  <c r="AA79" i="10"/>
  <c r="Z79" i="10"/>
  <c r="Y79" i="10"/>
  <c r="X79" i="10"/>
  <c r="W79" i="10"/>
  <c r="V79" i="10"/>
  <c r="U79" i="10"/>
  <c r="T79" i="10"/>
  <c r="S79" i="10"/>
  <c r="E79" i="10"/>
  <c r="AI79" i="11"/>
  <c r="AH79" i="11"/>
  <c r="AG79" i="11"/>
  <c r="AF79" i="11"/>
  <c r="AB79" i="11"/>
  <c r="AA79" i="11"/>
  <c r="Z79" i="11"/>
  <c r="Y79" i="11"/>
  <c r="X79" i="11"/>
  <c r="W79" i="11"/>
  <c r="V79" i="11"/>
  <c r="U79" i="11"/>
  <c r="T79" i="11"/>
  <c r="S79" i="11"/>
  <c r="E79" i="11"/>
  <c r="AA79" i="15"/>
  <c r="Z79" i="15"/>
  <c r="Y79" i="15"/>
  <c r="X79" i="15"/>
  <c r="W79" i="15"/>
  <c r="V79" i="15"/>
  <c r="U79" i="15"/>
  <c r="T79" i="15"/>
  <c r="E79" i="15"/>
  <c r="AA79" i="16"/>
  <c r="Z79" i="16"/>
  <c r="Y79" i="16"/>
  <c r="X79" i="16"/>
  <c r="W79" i="16"/>
  <c r="V79" i="16"/>
  <c r="U79" i="16"/>
  <c r="T79" i="16"/>
  <c r="S79" i="16"/>
  <c r="R79" i="16"/>
  <c r="E79" i="16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V67" i="9"/>
  <c r="U67" i="9"/>
  <c r="E67" i="9"/>
  <c r="AB67" i="10"/>
  <c r="AA67" i="10"/>
  <c r="Z67" i="10"/>
  <c r="Y67" i="10"/>
  <c r="X67" i="10"/>
  <c r="W67" i="10"/>
  <c r="V67" i="10"/>
  <c r="U67" i="10"/>
  <c r="T67" i="10"/>
  <c r="S67" i="10"/>
  <c r="E67" i="10"/>
  <c r="AI67" i="11"/>
  <c r="AH67" i="11"/>
  <c r="AG67" i="11"/>
  <c r="AF67" i="11"/>
  <c r="AB67" i="11"/>
  <c r="AA67" i="11"/>
  <c r="Z67" i="11"/>
  <c r="Y67" i="11"/>
  <c r="X67" i="11"/>
  <c r="W67" i="11"/>
  <c r="V67" i="11"/>
  <c r="U67" i="11"/>
  <c r="T67" i="11"/>
  <c r="S67" i="11"/>
  <c r="E67" i="11"/>
  <c r="AA67" i="15"/>
  <c r="Z67" i="15"/>
  <c r="Y67" i="15"/>
  <c r="X67" i="15"/>
  <c r="W67" i="15"/>
  <c r="V67" i="15"/>
  <c r="U67" i="15"/>
  <c r="T67" i="15"/>
  <c r="E67" i="15"/>
  <c r="AA67" i="16"/>
  <c r="Z67" i="16"/>
  <c r="Y67" i="16"/>
  <c r="X67" i="16"/>
  <c r="W67" i="16"/>
  <c r="V67" i="16"/>
  <c r="U67" i="16"/>
  <c r="T67" i="16"/>
  <c r="S67" i="16"/>
  <c r="R67" i="16"/>
  <c r="E67" i="16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V55" i="9"/>
  <c r="U55" i="9"/>
  <c r="AB55" i="10"/>
  <c r="AA55" i="10"/>
  <c r="Z55" i="10"/>
  <c r="Y55" i="10"/>
  <c r="X55" i="10"/>
  <c r="W55" i="10"/>
  <c r="V55" i="10"/>
  <c r="U55" i="10"/>
  <c r="T55" i="10"/>
  <c r="S55" i="10"/>
  <c r="AI55" i="11"/>
  <c r="AH55" i="11"/>
  <c r="AG55" i="11"/>
  <c r="AF55" i="11"/>
  <c r="AB55" i="11"/>
  <c r="AA55" i="11"/>
  <c r="Z55" i="11"/>
  <c r="Y55" i="11"/>
  <c r="X55" i="11"/>
  <c r="W55" i="11"/>
  <c r="V55" i="11"/>
  <c r="U55" i="11"/>
  <c r="T55" i="11"/>
  <c r="S55" i="11"/>
  <c r="AA55" i="15"/>
  <c r="Z55" i="15"/>
  <c r="Y55" i="15"/>
  <c r="X55" i="15"/>
  <c r="W55" i="15"/>
  <c r="V55" i="15"/>
  <c r="U55" i="15"/>
  <c r="T55" i="15"/>
  <c r="AA55" i="16"/>
  <c r="Z55" i="16"/>
  <c r="Y55" i="16"/>
  <c r="X55" i="16"/>
  <c r="W55" i="16"/>
  <c r="V55" i="16"/>
  <c r="U55" i="16"/>
  <c r="T55" i="16"/>
  <c r="S55" i="16"/>
  <c r="R55" i="16"/>
  <c r="E55" i="9"/>
  <c r="E55" i="10"/>
  <c r="E55" i="11"/>
  <c r="E55" i="15"/>
  <c r="E55" i="16"/>
  <c r="AJ161" i="11"/>
  <c r="AJ162" i="11"/>
  <c r="AB251" i="16" l="1"/>
  <c r="AB252" i="16"/>
  <c r="AB253" i="16"/>
  <c r="AB254" i="16"/>
  <c r="AB255" i="16"/>
  <c r="AB256" i="16"/>
  <c r="AB257" i="16"/>
  <c r="AB258" i="16"/>
  <c r="AB229" i="16"/>
  <c r="AB230" i="16"/>
  <c r="AB231" i="16"/>
  <c r="AB232" i="16"/>
  <c r="AB233" i="16"/>
  <c r="AB234" i="16"/>
  <c r="AB216" i="16"/>
  <c r="AB217" i="16"/>
  <c r="AB218" i="16"/>
  <c r="AB219" i="16"/>
  <c r="AB220" i="16"/>
  <c r="AB221" i="16"/>
  <c r="AB222" i="16"/>
  <c r="AB167" i="16"/>
  <c r="AB168" i="16"/>
  <c r="AB169" i="16"/>
  <c r="AB170" i="16"/>
  <c r="AB171" i="16"/>
  <c r="AB172" i="16"/>
  <c r="AB173" i="16"/>
  <c r="AB174" i="16"/>
  <c r="AB144" i="16"/>
  <c r="AB145" i="16"/>
  <c r="AB146" i="16"/>
  <c r="AB147" i="16"/>
  <c r="AB148" i="16"/>
  <c r="AB149" i="16"/>
  <c r="AB150" i="16"/>
  <c r="AB121" i="16"/>
  <c r="AB122" i="16"/>
  <c r="AB123" i="16"/>
  <c r="AB124" i="16"/>
  <c r="AB125" i="16"/>
  <c r="AB126" i="16"/>
  <c r="AB107" i="16"/>
  <c r="AB108" i="16"/>
  <c r="AB109" i="16"/>
  <c r="AB110" i="16"/>
  <c r="AB111" i="16"/>
  <c r="AB112" i="16"/>
  <c r="AB113" i="16"/>
  <c r="AB114" i="16"/>
  <c r="AB252" i="15"/>
  <c r="AB253" i="15"/>
  <c r="AB254" i="15"/>
  <c r="AB255" i="15"/>
  <c r="AB256" i="15"/>
  <c r="AB257" i="15"/>
  <c r="AB258" i="15"/>
  <c r="AB229" i="15"/>
  <c r="AB230" i="15"/>
  <c r="AB231" i="15"/>
  <c r="AB232" i="15"/>
  <c r="AB233" i="15"/>
  <c r="AB234" i="15"/>
  <c r="AB216" i="15"/>
  <c r="AB217" i="15"/>
  <c r="AB218" i="15"/>
  <c r="AB219" i="15"/>
  <c r="AB220" i="15"/>
  <c r="AB221" i="15"/>
  <c r="AB222" i="15"/>
  <c r="AB167" i="15"/>
  <c r="AB168" i="15"/>
  <c r="AB169" i="15"/>
  <c r="AB170" i="15"/>
  <c r="AB171" i="15"/>
  <c r="AB172" i="15"/>
  <c r="AB173" i="15"/>
  <c r="AB174" i="15"/>
  <c r="AB160" i="15"/>
  <c r="AB161" i="15"/>
  <c r="AB162" i="15"/>
  <c r="AB144" i="15"/>
  <c r="AB145" i="15"/>
  <c r="AB146" i="15"/>
  <c r="AB147" i="15"/>
  <c r="AB148" i="15"/>
  <c r="AB149" i="15"/>
  <c r="AB150" i="15"/>
  <c r="AB123" i="15"/>
  <c r="AB124" i="15"/>
  <c r="AB125" i="15"/>
  <c r="AB126" i="15"/>
  <c r="AB108" i="15"/>
  <c r="AB109" i="15"/>
  <c r="AB110" i="15"/>
  <c r="AB111" i="15"/>
  <c r="AB112" i="15"/>
  <c r="AB113" i="15"/>
  <c r="AB114" i="15"/>
  <c r="AJ252" i="11"/>
  <c r="AJ253" i="11"/>
  <c r="AJ254" i="11"/>
  <c r="AJ255" i="11"/>
  <c r="AJ256" i="11"/>
  <c r="AJ257" i="11"/>
  <c r="AJ258" i="11"/>
  <c r="AJ230" i="11"/>
  <c r="AJ231" i="11"/>
  <c r="AJ232" i="11"/>
  <c r="AJ233" i="11"/>
  <c r="AJ234" i="11"/>
  <c r="AJ217" i="11"/>
  <c r="AJ218" i="11"/>
  <c r="AJ219" i="11"/>
  <c r="AJ220" i="11"/>
  <c r="AJ221" i="11"/>
  <c r="AJ222" i="11"/>
  <c r="AJ167" i="11"/>
  <c r="AJ168" i="11"/>
  <c r="AJ169" i="11"/>
  <c r="AJ170" i="11"/>
  <c r="AJ171" i="11"/>
  <c r="AJ172" i="11"/>
  <c r="AJ173" i="11"/>
  <c r="AJ174" i="11"/>
  <c r="AJ145" i="11"/>
  <c r="AJ146" i="11"/>
  <c r="AJ147" i="11"/>
  <c r="AJ148" i="11"/>
  <c r="AJ149" i="11"/>
  <c r="AJ150" i="11"/>
  <c r="AJ123" i="11"/>
  <c r="AJ124" i="11"/>
  <c r="AJ125" i="11"/>
  <c r="AJ126" i="11"/>
  <c r="AJ108" i="11"/>
  <c r="AJ109" i="11"/>
  <c r="AJ110" i="11"/>
  <c r="AJ111" i="11"/>
  <c r="AJ112" i="11"/>
  <c r="AJ113" i="11"/>
  <c r="AJ114" i="11"/>
  <c r="AC253" i="10"/>
  <c r="AC254" i="10"/>
  <c r="AC255" i="10"/>
  <c r="AC256" i="10"/>
  <c r="AC257" i="10"/>
  <c r="AC258" i="10"/>
  <c r="AC229" i="10"/>
  <c r="AC230" i="10"/>
  <c r="AC231" i="10"/>
  <c r="AC232" i="10"/>
  <c r="AC233" i="10"/>
  <c r="AC234" i="10"/>
  <c r="AC217" i="10"/>
  <c r="AC218" i="10"/>
  <c r="AC219" i="10"/>
  <c r="AC220" i="10"/>
  <c r="AC221" i="10"/>
  <c r="AC222" i="10"/>
  <c r="AC167" i="10"/>
  <c r="AC168" i="10"/>
  <c r="AC169" i="10"/>
  <c r="AC170" i="10"/>
  <c r="AC171" i="10"/>
  <c r="AC172" i="10"/>
  <c r="AC173" i="10"/>
  <c r="AC174" i="10"/>
  <c r="AC161" i="10"/>
  <c r="AC162" i="10"/>
  <c r="AC145" i="10"/>
  <c r="AC146" i="10"/>
  <c r="AC147" i="10"/>
  <c r="AC148" i="10"/>
  <c r="AC149" i="10"/>
  <c r="AC150" i="10"/>
  <c r="AC126" i="10"/>
  <c r="AC123" i="10"/>
  <c r="AC124" i="10"/>
  <c r="AC125" i="10"/>
  <c r="AC114" i="10"/>
  <c r="AC108" i="10"/>
  <c r="AC109" i="10"/>
  <c r="AC110" i="10"/>
  <c r="AC111" i="10"/>
  <c r="AC112" i="10"/>
  <c r="AC113" i="10"/>
  <c r="AX253" i="9"/>
  <c r="AX254" i="9"/>
  <c r="AX255" i="9"/>
  <c r="AX256" i="9"/>
  <c r="AX257" i="9"/>
  <c r="AX258" i="9"/>
  <c r="AX230" i="9"/>
  <c r="AX231" i="9"/>
  <c r="AX232" i="9"/>
  <c r="AX233" i="9"/>
  <c r="AX234" i="9"/>
  <c r="AX217" i="9"/>
  <c r="AX218" i="9"/>
  <c r="AX219" i="9"/>
  <c r="AX220" i="9"/>
  <c r="AX221" i="9"/>
  <c r="AX222" i="9"/>
  <c r="AX167" i="9"/>
  <c r="AX168" i="9"/>
  <c r="AX169" i="9"/>
  <c r="AX170" i="9"/>
  <c r="AX171" i="9"/>
  <c r="AX172" i="9"/>
  <c r="AX173" i="9"/>
  <c r="AX174" i="9"/>
  <c r="AX161" i="9"/>
  <c r="AX162" i="9"/>
  <c r="AX145" i="9"/>
  <c r="AX146" i="9"/>
  <c r="AX147" i="9"/>
  <c r="AX148" i="9"/>
  <c r="AX149" i="9"/>
  <c r="AX150" i="9"/>
  <c r="AX126" i="9"/>
  <c r="AX114" i="9"/>
  <c r="AX123" i="9"/>
  <c r="AX124" i="9"/>
  <c r="AX125" i="9"/>
  <c r="AX108" i="9"/>
  <c r="AX109" i="9"/>
  <c r="AX110" i="9"/>
  <c r="AX111" i="9"/>
  <c r="AX112" i="9"/>
  <c r="AX113" i="9"/>
  <c r="AA262" i="16" l="1"/>
  <c r="AA264" i="16" s="1"/>
  <c r="Z262" i="16"/>
  <c r="Z264" i="16" s="1"/>
  <c r="Y262" i="16"/>
  <c r="Y264" i="16" s="1"/>
  <c r="X262" i="16"/>
  <c r="X264" i="16" s="1"/>
  <c r="AA41" i="16"/>
  <c r="Z41" i="16"/>
  <c r="Y41" i="16"/>
  <c r="X41" i="16"/>
  <c r="AA36" i="16"/>
  <c r="Z36" i="16"/>
  <c r="Y36" i="16"/>
  <c r="X36" i="16"/>
  <c r="AA29" i="16"/>
  <c r="Z29" i="16"/>
  <c r="Y29" i="16"/>
  <c r="X29" i="16"/>
  <c r="AA28" i="16"/>
  <c r="Z28" i="16"/>
  <c r="Y28" i="16"/>
  <c r="Y30" i="16" s="1"/>
  <c r="X28" i="16"/>
  <c r="X30" i="16" s="1"/>
  <c r="AA27" i="16"/>
  <c r="Z27" i="16"/>
  <c r="Y27" i="16"/>
  <c r="X27" i="16"/>
  <c r="AA24" i="16"/>
  <c r="Z24" i="16"/>
  <c r="Y24" i="16"/>
  <c r="X24" i="16"/>
  <c r="AA21" i="16"/>
  <c r="Z21" i="16"/>
  <c r="Y21" i="16"/>
  <c r="X21" i="16"/>
  <c r="AA16" i="16"/>
  <c r="Z16" i="16"/>
  <c r="Y16" i="16"/>
  <c r="X16" i="16"/>
  <c r="X41" i="10"/>
  <c r="W41" i="10"/>
  <c r="V41" i="10"/>
  <c r="U41" i="10"/>
  <c r="T41" i="10"/>
  <c r="S41" i="10"/>
  <c r="X36" i="10"/>
  <c r="W36" i="10"/>
  <c r="V36" i="10"/>
  <c r="U36" i="10"/>
  <c r="T36" i="10"/>
  <c r="S36" i="10"/>
  <c r="X29" i="10"/>
  <c r="W29" i="10"/>
  <c r="V29" i="10"/>
  <c r="U29" i="10"/>
  <c r="T29" i="10"/>
  <c r="S29" i="10"/>
  <c r="X28" i="10"/>
  <c r="W28" i="10"/>
  <c r="V28" i="10"/>
  <c r="U28" i="10"/>
  <c r="T28" i="10"/>
  <c r="S28" i="10"/>
  <c r="S30" i="10" s="1"/>
  <c r="X27" i="10"/>
  <c r="W27" i="10"/>
  <c r="V27" i="10"/>
  <c r="U27" i="10"/>
  <c r="T27" i="10"/>
  <c r="S27" i="10"/>
  <c r="X24" i="10"/>
  <c r="W24" i="10"/>
  <c r="V24" i="10"/>
  <c r="U24" i="10"/>
  <c r="T24" i="10"/>
  <c r="S24" i="10"/>
  <c r="X21" i="10"/>
  <c r="W21" i="10"/>
  <c r="V21" i="10"/>
  <c r="U21" i="10"/>
  <c r="T21" i="10"/>
  <c r="S21" i="10"/>
  <c r="X16" i="10"/>
  <c r="W16" i="10"/>
  <c r="V16" i="10"/>
  <c r="U16" i="10"/>
  <c r="T16" i="10"/>
  <c r="S16" i="10"/>
  <c r="AR262" i="9"/>
  <c r="AR264" i="9" s="1"/>
  <c r="AW262" i="9"/>
  <c r="AW264" i="9" s="1"/>
  <c r="AV262" i="9"/>
  <c r="AV264" i="9" s="1"/>
  <c r="AW41" i="9"/>
  <c r="AV41" i="9"/>
  <c r="AU41" i="9"/>
  <c r="AT41" i="9"/>
  <c r="AS41" i="9"/>
  <c r="AR41" i="9"/>
  <c r="AW36" i="9"/>
  <c r="AV36" i="9"/>
  <c r="AU36" i="9"/>
  <c r="AT36" i="9"/>
  <c r="AS36" i="9"/>
  <c r="AR36" i="9"/>
  <c r="AW29" i="9"/>
  <c r="AV29" i="9"/>
  <c r="AU29" i="9"/>
  <c r="AT29" i="9"/>
  <c r="AS29" i="9"/>
  <c r="AR29" i="9"/>
  <c r="AW28" i="9"/>
  <c r="AV28" i="9"/>
  <c r="AU28" i="9"/>
  <c r="AT28" i="9"/>
  <c r="AS28" i="9"/>
  <c r="AR28" i="9"/>
  <c r="AW27" i="9"/>
  <c r="AV27" i="9"/>
  <c r="AU27" i="9"/>
  <c r="AT27" i="9"/>
  <c r="AS27" i="9"/>
  <c r="AR27" i="9"/>
  <c r="AW24" i="9"/>
  <c r="AV24" i="9"/>
  <c r="AU24" i="9"/>
  <c r="AT24" i="9"/>
  <c r="AS24" i="9"/>
  <c r="AR24" i="9"/>
  <c r="AW21" i="9"/>
  <c r="AV21" i="9"/>
  <c r="AU21" i="9"/>
  <c r="AT21" i="9"/>
  <c r="AS21" i="9"/>
  <c r="AR21" i="9"/>
  <c r="AW16" i="9"/>
  <c r="AV16" i="9"/>
  <c r="AU16" i="9"/>
  <c r="AT16" i="9"/>
  <c r="AS16" i="9"/>
  <c r="AR16" i="9"/>
  <c r="AP41" i="9"/>
  <c r="AO41" i="9"/>
  <c r="AN41" i="9"/>
  <c r="AM41" i="9"/>
  <c r="AL41" i="9"/>
  <c r="AK41" i="9"/>
  <c r="AJ41" i="9"/>
  <c r="V41" i="9"/>
  <c r="U41" i="9"/>
  <c r="AP36" i="9"/>
  <c r="AO36" i="9"/>
  <c r="AN36" i="9"/>
  <c r="AM36" i="9"/>
  <c r="AL36" i="9"/>
  <c r="AK36" i="9"/>
  <c r="AJ36" i="9"/>
  <c r="V36" i="9"/>
  <c r="U36" i="9"/>
  <c r="AP29" i="9"/>
  <c r="AO29" i="9"/>
  <c r="AN29" i="9"/>
  <c r="AM29" i="9"/>
  <c r="AL29" i="9"/>
  <c r="AK29" i="9"/>
  <c r="AJ29" i="9"/>
  <c r="V29" i="9"/>
  <c r="U29" i="9"/>
  <c r="AP28" i="9"/>
  <c r="AO28" i="9"/>
  <c r="AN28" i="9"/>
  <c r="AM28" i="9"/>
  <c r="AL28" i="9"/>
  <c r="AK28" i="9"/>
  <c r="AJ28" i="9"/>
  <c r="V28" i="9"/>
  <c r="U28" i="9"/>
  <c r="AP27" i="9"/>
  <c r="AO27" i="9"/>
  <c r="AN27" i="9"/>
  <c r="AM27" i="9"/>
  <c r="AL27" i="9"/>
  <c r="AK27" i="9"/>
  <c r="AJ27" i="9"/>
  <c r="V27" i="9"/>
  <c r="U27" i="9"/>
  <c r="AP24" i="9"/>
  <c r="AO24" i="9"/>
  <c r="AN24" i="9"/>
  <c r="AM24" i="9"/>
  <c r="AL24" i="9"/>
  <c r="AK24" i="9"/>
  <c r="AJ24" i="9"/>
  <c r="V24" i="9"/>
  <c r="U24" i="9"/>
  <c r="AP21" i="9"/>
  <c r="AO21" i="9"/>
  <c r="AN21" i="9"/>
  <c r="AM21" i="9"/>
  <c r="AL21" i="9"/>
  <c r="AK21" i="9"/>
  <c r="AJ21" i="9"/>
  <c r="V21" i="9"/>
  <c r="U21" i="9"/>
  <c r="AP16" i="9"/>
  <c r="AO16" i="9"/>
  <c r="AN16" i="9"/>
  <c r="AM16" i="9"/>
  <c r="AL16" i="9"/>
  <c r="AK16" i="9"/>
  <c r="AJ16" i="9"/>
  <c r="V16" i="9"/>
  <c r="U16" i="9"/>
  <c r="Z30" i="16" l="1"/>
  <c r="AA30" i="16"/>
  <c r="V30" i="10"/>
  <c r="T30" i="10"/>
  <c r="U30" i="10"/>
  <c r="W30" i="10"/>
  <c r="X30" i="10"/>
  <c r="AM30" i="9"/>
  <c r="AN30" i="9"/>
  <c r="AO30" i="9"/>
  <c r="AP30" i="9"/>
  <c r="S262" i="10"/>
  <c r="S264" i="10" s="1"/>
  <c r="T262" i="10"/>
  <c r="T264" i="10" s="1"/>
  <c r="V262" i="10"/>
  <c r="V264" i="10" s="1"/>
  <c r="W262" i="10"/>
  <c r="W264" i="10" s="1"/>
  <c r="U262" i="10"/>
  <c r="U264" i="10" s="1"/>
  <c r="X262" i="10"/>
  <c r="X264" i="10" s="1"/>
  <c r="AR30" i="9"/>
  <c r="AV30" i="9"/>
  <c r="AT30" i="9"/>
  <c r="AU30" i="9"/>
  <c r="V30" i="9"/>
  <c r="AW30" i="9"/>
  <c r="AK30" i="9"/>
  <c r="AT262" i="9"/>
  <c r="AT264" i="9" s="1"/>
  <c r="AS30" i="9"/>
  <c r="U30" i="9"/>
  <c r="AJ30" i="9"/>
  <c r="AU262" i="9"/>
  <c r="AU264" i="9" s="1"/>
  <c r="AS262" i="9"/>
  <c r="AS264" i="9" s="1"/>
  <c r="U262" i="9"/>
  <c r="U264" i="9" s="1"/>
  <c r="V262" i="9"/>
  <c r="V264" i="9" s="1"/>
  <c r="AJ262" i="9"/>
  <c r="AJ264" i="9" s="1"/>
  <c r="AL262" i="9"/>
  <c r="AL264" i="9" s="1"/>
  <c r="AL30" i="9"/>
  <c r="AM262" i="9"/>
  <c r="AM264" i="9" s="1"/>
  <c r="AN262" i="9"/>
  <c r="AN264" i="9" s="1"/>
  <c r="AP262" i="9"/>
  <c r="AP264" i="9" s="1"/>
  <c r="AO262" i="9"/>
  <c r="AO264" i="9" s="1"/>
  <c r="AK262" i="9"/>
  <c r="AK264" i="9" s="1"/>
  <c r="AI41" i="11"/>
  <c r="AH41" i="11"/>
  <c r="AG41" i="11"/>
  <c r="AF41" i="11"/>
  <c r="AI36" i="11"/>
  <c r="AH36" i="11"/>
  <c r="AG36" i="11"/>
  <c r="AF36" i="11"/>
  <c r="AI29" i="11"/>
  <c r="AH29" i="11"/>
  <c r="AG29" i="11"/>
  <c r="AF29" i="11"/>
  <c r="AI28" i="11"/>
  <c r="AH28" i="11"/>
  <c r="AG28" i="11"/>
  <c r="AF28" i="11"/>
  <c r="AI27" i="11"/>
  <c r="AH27" i="11"/>
  <c r="AG27" i="11"/>
  <c r="AF27" i="11"/>
  <c r="AI24" i="11"/>
  <c r="AH24" i="11"/>
  <c r="AG24" i="11"/>
  <c r="AF24" i="11"/>
  <c r="AI21" i="11"/>
  <c r="AH21" i="11"/>
  <c r="AG21" i="11"/>
  <c r="AF21" i="11"/>
  <c r="AI16" i="11"/>
  <c r="AH16" i="11"/>
  <c r="AG16" i="11"/>
  <c r="AF16" i="11"/>
  <c r="AB263" i="16"/>
  <c r="AB250" i="16"/>
  <c r="AB249" i="16"/>
  <c r="AB246" i="16"/>
  <c r="AB245" i="16"/>
  <c r="AB244" i="16"/>
  <c r="AB243" i="16"/>
  <c r="AB242" i="16"/>
  <c r="AB241" i="16"/>
  <c r="AB240" i="16"/>
  <c r="AB239" i="16"/>
  <c r="AB238" i="16"/>
  <c r="AB237" i="16"/>
  <c r="AB228" i="16"/>
  <c r="AB227" i="16"/>
  <c r="AB226" i="16"/>
  <c r="AB225" i="16"/>
  <c r="AB215" i="16"/>
  <c r="AB214" i="16"/>
  <c r="AB213" i="16"/>
  <c r="AB223" i="16" s="1"/>
  <c r="AB210" i="16"/>
  <c r="AB209" i="16"/>
  <c r="AB208" i="16"/>
  <c r="AB207" i="16"/>
  <c r="AB206" i="16"/>
  <c r="AB205" i="16"/>
  <c r="AB204" i="16"/>
  <c r="AB203" i="16"/>
  <c r="AB202" i="16"/>
  <c r="AB201" i="16"/>
  <c r="AB198" i="16"/>
  <c r="AB197" i="16"/>
  <c r="AB196" i="16"/>
  <c r="AB195" i="16"/>
  <c r="AB194" i="16"/>
  <c r="AB193" i="16"/>
  <c r="AB192" i="16"/>
  <c r="AB191" i="16"/>
  <c r="AB190" i="16"/>
  <c r="AB189" i="16"/>
  <c r="AB186" i="16"/>
  <c r="AB185" i="16"/>
  <c r="AB184" i="16"/>
  <c r="AB183" i="16"/>
  <c r="AB182" i="16"/>
  <c r="AB181" i="16"/>
  <c r="AB180" i="16"/>
  <c r="AB179" i="16"/>
  <c r="AB178" i="16"/>
  <c r="AB177" i="16"/>
  <c r="AB166" i="16"/>
  <c r="AB165" i="16"/>
  <c r="AB175" i="16" s="1"/>
  <c r="AB143" i="16"/>
  <c r="AB142" i="16"/>
  <c r="AB141" i="16"/>
  <c r="AB138" i="16"/>
  <c r="AB137" i="16"/>
  <c r="AB136" i="16"/>
  <c r="AB135" i="16"/>
  <c r="AB134" i="16"/>
  <c r="AB133" i="16"/>
  <c r="AB132" i="16"/>
  <c r="AB131" i="16"/>
  <c r="AB130" i="16"/>
  <c r="AB129" i="16"/>
  <c r="AB120" i="16"/>
  <c r="AB119" i="16"/>
  <c r="AB118" i="16"/>
  <c r="AB117" i="16"/>
  <c r="AB127" i="16" s="1"/>
  <c r="AB106" i="16"/>
  <c r="AB105" i="16"/>
  <c r="AB102" i="16"/>
  <c r="AB101" i="16"/>
  <c r="AB100" i="16"/>
  <c r="AB99" i="16"/>
  <c r="AB98" i="16"/>
  <c r="AB97" i="16"/>
  <c r="AB96" i="16"/>
  <c r="AB95" i="16"/>
  <c r="AB94" i="16"/>
  <c r="AB93" i="16"/>
  <c r="AB90" i="16"/>
  <c r="AB89" i="16"/>
  <c r="AB88" i="16"/>
  <c r="AB87" i="16"/>
  <c r="AB86" i="16"/>
  <c r="AB85" i="16"/>
  <c r="AB84" i="16"/>
  <c r="AB83" i="16"/>
  <c r="AB82" i="16"/>
  <c r="AB81" i="16"/>
  <c r="AB78" i="16"/>
  <c r="AB77" i="16"/>
  <c r="AB76" i="16"/>
  <c r="AB75" i="16"/>
  <c r="AB74" i="16"/>
  <c r="AB73" i="16"/>
  <c r="AB72" i="16"/>
  <c r="AB71" i="16"/>
  <c r="AB70" i="16"/>
  <c r="AB69" i="16"/>
  <c r="AB66" i="16"/>
  <c r="AB65" i="16"/>
  <c r="AB64" i="16"/>
  <c r="AB63" i="16"/>
  <c r="AB62" i="16"/>
  <c r="AB61" i="16"/>
  <c r="AB60" i="16"/>
  <c r="AB59" i="16"/>
  <c r="AB58" i="16"/>
  <c r="AB57" i="16"/>
  <c r="AB54" i="16"/>
  <c r="AB53" i="16"/>
  <c r="AB52" i="16"/>
  <c r="AB51" i="16"/>
  <c r="AB50" i="16"/>
  <c r="AB49" i="16"/>
  <c r="AB48" i="16"/>
  <c r="AB47" i="16"/>
  <c r="AB46" i="16"/>
  <c r="AB45" i="16"/>
  <c r="W41" i="16"/>
  <c r="V41" i="16"/>
  <c r="U41" i="16"/>
  <c r="T41" i="16"/>
  <c r="S41" i="16"/>
  <c r="R41" i="16"/>
  <c r="E41" i="16"/>
  <c r="AB40" i="16"/>
  <c r="AB39" i="16"/>
  <c r="W36" i="16"/>
  <c r="V36" i="16"/>
  <c r="U36" i="16"/>
  <c r="T36" i="16"/>
  <c r="S36" i="16"/>
  <c r="R36" i="16"/>
  <c r="E36" i="16"/>
  <c r="AB35" i="16"/>
  <c r="AB34" i="16"/>
  <c r="AB33" i="16"/>
  <c r="W29" i="16"/>
  <c r="V29" i="16"/>
  <c r="U29" i="16"/>
  <c r="T29" i="16"/>
  <c r="S29" i="16"/>
  <c r="R29" i="16"/>
  <c r="E29" i="16"/>
  <c r="W28" i="16"/>
  <c r="V28" i="16"/>
  <c r="U28" i="16"/>
  <c r="T28" i="16"/>
  <c r="S28" i="16"/>
  <c r="R28" i="16"/>
  <c r="E28" i="16"/>
  <c r="W27" i="16"/>
  <c r="V27" i="16"/>
  <c r="U27" i="16"/>
  <c r="T27" i="16"/>
  <c r="S27" i="16"/>
  <c r="R27" i="16"/>
  <c r="E27" i="16"/>
  <c r="AB26" i="16"/>
  <c r="AB25" i="16"/>
  <c r="W24" i="16"/>
  <c r="V24" i="16"/>
  <c r="U24" i="16"/>
  <c r="T24" i="16"/>
  <c r="S24" i="16"/>
  <c r="R24" i="16"/>
  <c r="E24" i="16"/>
  <c r="AB23" i="16"/>
  <c r="AB22" i="16"/>
  <c r="W21" i="16"/>
  <c r="V21" i="16"/>
  <c r="U21" i="16"/>
  <c r="T21" i="16"/>
  <c r="S21" i="16"/>
  <c r="R21" i="16"/>
  <c r="E21" i="16"/>
  <c r="AB20" i="16"/>
  <c r="AB19" i="16"/>
  <c r="W16" i="16"/>
  <c r="V16" i="16"/>
  <c r="U16" i="16"/>
  <c r="T16" i="16"/>
  <c r="S16" i="16"/>
  <c r="R16" i="16"/>
  <c r="E16" i="16"/>
  <c r="AB15" i="16"/>
  <c r="AB14" i="16"/>
  <c r="AB263" i="15"/>
  <c r="AB251" i="15"/>
  <c r="AB250" i="15"/>
  <c r="AB249" i="15"/>
  <c r="AB246" i="15"/>
  <c r="AB245" i="15"/>
  <c r="AB244" i="15"/>
  <c r="AB243" i="15"/>
  <c r="AB242" i="15"/>
  <c r="AB241" i="15"/>
  <c r="AB240" i="15"/>
  <c r="AB239" i="15"/>
  <c r="AB238" i="15"/>
  <c r="AB237" i="15"/>
  <c r="AB228" i="15"/>
  <c r="AB227" i="15"/>
  <c r="AB226" i="15"/>
  <c r="AB225" i="15"/>
  <c r="AB215" i="15"/>
  <c r="AB214" i="15"/>
  <c r="AB213" i="15"/>
  <c r="AB210" i="15"/>
  <c r="AB209" i="15"/>
  <c r="AB208" i="15"/>
  <c r="AB207" i="15"/>
  <c r="AB206" i="15"/>
  <c r="AB205" i="15"/>
  <c r="AB204" i="15"/>
  <c r="AB203" i="15"/>
  <c r="AB202" i="15"/>
  <c r="AB201" i="15"/>
  <c r="AB198" i="15"/>
  <c r="AB197" i="15"/>
  <c r="AB196" i="15"/>
  <c r="AB195" i="15"/>
  <c r="AB194" i="15"/>
  <c r="AB193" i="15"/>
  <c r="AB192" i="15"/>
  <c r="AB191" i="15"/>
  <c r="AB190" i="15"/>
  <c r="AB189" i="15"/>
  <c r="AB186" i="15"/>
  <c r="AB185" i="15"/>
  <c r="AB184" i="15"/>
  <c r="AB183" i="15"/>
  <c r="AB182" i="15"/>
  <c r="AB181" i="15"/>
  <c r="AB180" i="15"/>
  <c r="AB179" i="15"/>
  <c r="AB178" i="15"/>
  <c r="AB177" i="15"/>
  <c r="AB166" i="15"/>
  <c r="AB165" i="15"/>
  <c r="AB175" i="15" s="1"/>
  <c r="AB159" i="15"/>
  <c r="AB158" i="15"/>
  <c r="AB156" i="15"/>
  <c r="AB155" i="15"/>
  <c r="AB154" i="15"/>
  <c r="AB153" i="15"/>
  <c r="AB143" i="15"/>
  <c r="AB142" i="15"/>
  <c r="AB141" i="15"/>
  <c r="AB138" i="15"/>
  <c r="AB137" i="15"/>
  <c r="AB136" i="15"/>
  <c r="AB135" i="15"/>
  <c r="AB134" i="15"/>
  <c r="AB133" i="15"/>
  <c r="AB132" i="15"/>
  <c r="AB131" i="15"/>
  <c r="AB130" i="15"/>
  <c r="AB129" i="15"/>
  <c r="AB122" i="15"/>
  <c r="AB121" i="15"/>
  <c r="AB120" i="15"/>
  <c r="AB119" i="15"/>
  <c r="AB118" i="15"/>
  <c r="AB117" i="15"/>
  <c r="AB107" i="15"/>
  <c r="AB106" i="15"/>
  <c r="AB105" i="15"/>
  <c r="AB102" i="15"/>
  <c r="AB101" i="15"/>
  <c r="AB100" i="15"/>
  <c r="AB99" i="15"/>
  <c r="AB98" i="15"/>
  <c r="AB97" i="15"/>
  <c r="AB96" i="15"/>
  <c r="AB95" i="15"/>
  <c r="AB94" i="15"/>
  <c r="AB93" i="15"/>
  <c r="AB90" i="15"/>
  <c r="AB89" i="15"/>
  <c r="AB88" i="15"/>
  <c r="AB87" i="15"/>
  <c r="AB86" i="15"/>
  <c r="AB85" i="15"/>
  <c r="AB84" i="15"/>
  <c r="AB83" i="15"/>
  <c r="AB82" i="15"/>
  <c r="AB81" i="15"/>
  <c r="AB78" i="15"/>
  <c r="AB77" i="15"/>
  <c r="AB66" i="15"/>
  <c r="AB65" i="15"/>
  <c r="AB64" i="15"/>
  <c r="AB63" i="15"/>
  <c r="AB62" i="15"/>
  <c r="AB61" i="15"/>
  <c r="AB60" i="15"/>
  <c r="AB59" i="15"/>
  <c r="AB58" i="15"/>
  <c r="AB57" i="15"/>
  <c r="AB54" i="15"/>
  <c r="AB53" i="15"/>
  <c r="AB52" i="15"/>
  <c r="AB51" i="15"/>
  <c r="AB50" i="15"/>
  <c r="AB49" i="15"/>
  <c r="AB48" i="15"/>
  <c r="AB47" i="15"/>
  <c r="AB46" i="15"/>
  <c r="AB45" i="15"/>
  <c r="AA41" i="15"/>
  <c r="Z41" i="15"/>
  <c r="Y41" i="15"/>
  <c r="X41" i="15"/>
  <c r="W41" i="15"/>
  <c r="V41" i="15"/>
  <c r="U41" i="15"/>
  <c r="T41" i="15"/>
  <c r="E41" i="15"/>
  <c r="AA36" i="15"/>
  <c r="Z36" i="15"/>
  <c r="Y36" i="15"/>
  <c r="X36" i="15"/>
  <c r="W36" i="15"/>
  <c r="V36" i="15"/>
  <c r="U36" i="15"/>
  <c r="T36" i="15"/>
  <c r="E36" i="15"/>
  <c r="AB35" i="15"/>
  <c r="AB34" i="15"/>
  <c r="AB33" i="15"/>
  <c r="AA29" i="15"/>
  <c r="Z29" i="15"/>
  <c r="Y29" i="15"/>
  <c r="X29" i="15"/>
  <c r="W29" i="15"/>
  <c r="V29" i="15"/>
  <c r="U29" i="15"/>
  <c r="T29" i="15"/>
  <c r="E29" i="15"/>
  <c r="AA28" i="15"/>
  <c r="Z28" i="15"/>
  <c r="Y28" i="15"/>
  <c r="X28" i="15"/>
  <c r="W28" i="15"/>
  <c r="V28" i="15"/>
  <c r="U28" i="15"/>
  <c r="T28" i="15"/>
  <c r="E28" i="15"/>
  <c r="AA27" i="15"/>
  <c r="Z27" i="15"/>
  <c r="Y27" i="15"/>
  <c r="X27" i="15"/>
  <c r="W27" i="15"/>
  <c r="V27" i="15"/>
  <c r="U27" i="15"/>
  <c r="T27" i="15"/>
  <c r="E27" i="15"/>
  <c r="AB26" i="15"/>
  <c r="AB25" i="15"/>
  <c r="AA24" i="15"/>
  <c r="Z24" i="15"/>
  <c r="Y24" i="15"/>
  <c r="X24" i="15"/>
  <c r="W24" i="15"/>
  <c r="V24" i="15"/>
  <c r="U24" i="15"/>
  <c r="T24" i="15"/>
  <c r="E24" i="15"/>
  <c r="AB23" i="15"/>
  <c r="AB22" i="15"/>
  <c r="AA21" i="15"/>
  <c r="Z21" i="15"/>
  <c r="Y21" i="15"/>
  <c r="X21" i="15"/>
  <c r="W21" i="15"/>
  <c r="V21" i="15"/>
  <c r="U21" i="15"/>
  <c r="T21" i="15"/>
  <c r="E21" i="15"/>
  <c r="AB20" i="15"/>
  <c r="AB19" i="15"/>
  <c r="AA16" i="15"/>
  <c r="Z16" i="15"/>
  <c r="Y16" i="15"/>
  <c r="X16" i="15"/>
  <c r="W16" i="15"/>
  <c r="V16" i="15"/>
  <c r="U16" i="15"/>
  <c r="T16" i="15"/>
  <c r="E16" i="15"/>
  <c r="AB15" i="15"/>
  <c r="AB14" i="15"/>
  <c r="AJ245" i="11"/>
  <c r="AJ246" i="11"/>
  <c r="AJ208" i="11"/>
  <c r="AJ209" i="11"/>
  <c r="AJ210" i="11"/>
  <c r="AJ196" i="11"/>
  <c r="AJ197" i="11"/>
  <c r="AJ198" i="11"/>
  <c r="AJ185" i="11"/>
  <c r="AJ186" i="11"/>
  <c r="AJ158" i="11"/>
  <c r="AJ159" i="11"/>
  <c r="AJ160" i="11"/>
  <c r="AJ137" i="11"/>
  <c r="AJ138" i="11"/>
  <c r="AJ121" i="11"/>
  <c r="AJ122" i="11"/>
  <c r="AJ101" i="11"/>
  <c r="AJ102" i="11"/>
  <c r="AJ89" i="11"/>
  <c r="AJ90" i="11"/>
  <c r="AJ77" i="11"/>
  <c r="AJ78" i="11"/>
  <c r="AJ64" i="11"/>
  <c r="AJ65" i="11"/>
  <c r="AJ66" i="11"/>
  <c r="AJ53" i="11"/>
  <c r="AJ54" i="11"/>
  <c r="AC245" i="10"/>
  <c r="AC246" i="10"/>
  <c r="AC210" i="10"/>
  <c r="AC209" i="10"/>
  <c r="AC197" i="10"/>
  <c r="AC198" i="10"/>
  <c r="AC186" i="10"/>
  <c r="AC185" i="10"/>
  <c r="AC158" i="10"/>
  <c r="AC159" i="10"/>
  <c r="AC160" i="10"/>
  <c r="AC138" i="10"/>
  <c r="AC137" i="10"/>
  <c r="AC121" i="10"/>
  <c r="AC122" i="10"/>
  <c r="AC102" i="10"/>
  <c r="AC101" i="10"/>
  <c r="AC90" i="10"/>
  <c r="AC89" i="10"/>
  <c r="AC78" i="10"/>
  <c r="AC77" i="10"/>
  <c r="AC66" i="10"/>
  <c r="AC65" i="10"/>
  <c r="AC54" i="10"/>
  <c r="AC53" i="10"/>
  <c r="AX245" i="9"/>
  <c r="AX246" i="9"/>
  <c r="AX209" i="9"/>
  <c r="AX210" i="9"/>
  <c r="AX197" i="9"/>
  <c r="AX198" i="9"/>
  <c r="AX185" i="9"/>
  <c r="AX186" i="9"/>
  <c r="AX158" i="9"/>
  <c r="AX159" i="9"/>
  <c r="AX160" i="9"/>
  <c r="AX137" i="9"/>
  <c r="AX138" i="9"/>
  <c r="AX121" i="9"/>
  <c r="AX122" i="9"/>
  <c r="AX102" i="9"/>
  <c r="AX90" i="9"/>
  <c r="AX101" i="9"/>
  <c r="AX89" i="9"/>
  <c r="AX77" i="9"/>
  <c r="AX78" i="9"/>
  <c r="AX65" i="9"/>
  <c r="AX66" i="9"/>
  <c r="AX53" i="9"/>
  <c r="AX54" i="9"/>
  <c r="AB259" i="15" l="1"/>
  <c r="AB211" i="15"/>
  <c r="AB187" i="15"/>
  <c r="AB139" i="15"/>
  <c r="AB79" i="15"/>
  <c r="S30" i="16"/>
  <c r="T30" i="16"/>
  <c r="AB103" i="16"/>
  <c r="U30" i="16"/>
  <c r="V30" i="16"/>
  <c r="AB67" i="15"/>
  <c r="AB151" i="15"/>
  <c r="AH30" i="11"/>
  <c r="E160" i="1"/>
  <c r="E159" i="1"/>
  <c r="E158" i="1"/>
  <c r="AB199" i="16"/>
  <c r="AB79" i="16"/>
  <c r="AB151" i="16"/>
  <c r="AB235" i="16"/>
  <c r="AB115" i="16"/>
  <c r="E30" i="16"/>
  <c r="AB103" i="15"/>
  <c r="AB223" i="15"/>
  <c r="AB235" i="15"/>
  <c r="AB91" i="15"/>
  <c r="AB127" i="15"/>
  <c r="AB55" i="15"/>
  <c r="AB199" i="15"/>
  <c r="AB115" i="15"/>
  <c r="AB247" i="15"/>
  <c r="AB55" i="16"/>
  <c r="AB247" i="16"/>
  <c r="AB91" i="16"/>
  <c r="AB211" i="16"/>
  <c r="AB67" i="16"/>
  <c r="AB187" i="16"/>
  <c r="AB139" i="16"/>
  <c r="AB259" i="16"/>
  <c r="AB24" i="16"/>
  <c r="R30" i="16"/>
  <c r="U30" i="15"/>
  <c r="V30" i="15"/>
  <c r="Y30" i="15"/>
  <c r="W30" i="15"/>
  <c r="X30" i="15"/>
  <c r="AF262" i="11"/>
  <c r="AF264" i="11" s="1"/>
  <c r="AG262" i="11"/>
  <c r="AG264" i="11" s="1"/>
  <c r="AH262" i="11"/>
  <c r="AH264" i="11" s="1"/>
  <c r="AI262" i="11"/>
  <c r="AI264" i="11" s="1"/>
  <c r="AI30" i="11"/>
  <c r="AF30" i="11"/>
  <c r="AG30" i="11"/>
  <c r="AB41" i="16"/>
  <c r="AB163" i="16"/>
  <c r="AB21" i="16"/>
  <c r="AB28" i="16"/>
  <c r="AB16" i="16"/>
  <c r="AB36" i="16"/>
  <c r="V262" i="16"/>
  <c r="V264" i="16" s="1"/>
  <c r="E262" i="16"/>
  <c r="E264" i="16" s="1"/>
  <c r="AB27" i="16"/>
  <c r="U262" i="16"/>
  <c r="U264" i="16" s="1"/>
  <c r="S262" i="16"/>
  <c r="S264" i="16" s="1"/>
  <c r="W30" i="16"/>
  <c r="W262" i="16"/>
  <c r="W264" i="16" s="1"/>
  <c r="R262" i="16"/>
  <c r="R264" i="16" s="1"/>
  <c r="T262" i="16"/>
  <c r="T264" i="16" s="1"/>
  <c r="T30" i="15"/>
  <c r="E30" i="15"/>
  <c r="AB29" i="16"/>
  <c r="T262" i="15"/>
  <c r="T264" i="15" s="1"/>
  <c r="U262" i="15"/>
  <c r="U264" i="15" s="1"/>
  <c r="Z30" i="15"/>
  <c r="V262" i="15"/>
  <c r="V264" i="15" s="1"/>
  <c r="W262" i="15"/>
  <c r="W264" i="15" s="1"/>
  <c r="AB36" i="15"/>
  <c r="AB157" i="15"/>
  <c r="AB163" i="15" s="1"/>
  <c r="Z262" i="15"/>
  <c r="Z264" i="15" s="1"/>
  <c r="Y262" i="15"/>
  <c r="Y264" i="15" s="1"/>
  <c r="AA30" i="15"/>
  <c r="AB21" i="15"/>
  <c r="AA262" i="15"/>
  <c r="AA264" i="15" s="1"/>
  <c r="AB41" i="15"/>
  <c r="AB24" i="15"/>
  <c r="AB29" i="15"/>
  <c r="X262" i="15"/>
  <c r="X264" i="15" s="1"/>
  <c r="AB16" i="15"/>
  <c r="AB27" i="15"/>
  <c r="E262" i="15"/>
  <c r="AB28" i="15"/>
  <c r="AB30" i="16" l="1"/>
  <c r="AB264" i="16"/>
  <c r="AB30" i="15"/>
  <c r="AB262" i="16"/>
  <c r="AB262" i="15"/>
  <c r="E264" i="15"/>
  <c r="AB264" i="15" s="1"/>
  <c r="AJ263" i="11" l="1"/>
  <c r="AJ251" i="11"/>
  <c r="AJ250" i="11"/>
  <c r="AJ249" i="11"/>
  <c r="AJ244" i="11"/>
  <c r="AJ243" i="11"/>
  <c r="AJ242" i="11"/>
  <c r="AJ241" i="11"/>
  <c r="AJ240" i="11"/>
  <c r="AJ239" i="11"/>
  <c r="AJ238" i="11"/>
  <c r="AJ237" i="11"/>
  <c r="AJ229" i="11"/>
  <c r="AJ228" i="11"/>
  <c r="AJ227" i="11"/>
  <c r="AJ226" i="11"/>
  <c r="AJ225" i="11"/>
  <c r="AJ216" i="11"/>
  <c r="AJ215" i="11"/>
  <c r="AJ214" i="11"/>
  <c r="AJ213" i="11"/>
  <c r="AJ207" i="11"/>
  <c r="AJ206" i="11"/>
  <c r="AJ205" i="11"/>
  <c r="AJ204" i="11"/>
  <c r="AJ203" i="11"/>
  <c r="AJ202" i="11"/>
  <c r="AJ201" i="11"/>
  <c r="AJ195" i="11"/>
  <c r="AJ194" i="11"/>
  <c r="AJ193" i="11"/>
  <c r="AJ192" i="11"/>
  <c r="AJ191" i="11"/>
  <c r="AJ190" i="11"/>
  <c r="AJ189" i="11"/>
  <c r="AJ184" i="11"/>
  <c r="AJ183" i="11"/>
  <c r="AJ182" i="11"/>
  <c r="AJ181" i="11"/>
  <c r="AJ180" i="11"/>
  <c r="AJ179" i="11"/>
  <c r="AJ178" i="11"/>
  <c r="AJ177" i="11"/>
  <c r="AJ166" i="11"/>
  <c r="AJ165" i="11"/>
  <c r="AJ156" i="11"/>
  <c r="AJ155" i="11"/>
  <c r="AJ154" i="11"/>
  <c r="AJ153" i="11"/>
  <c r="AJ144" i="11"/>
  <c r="AJ143" i="11"/>
  <c r="AJ142" i="11"/>
  <c r="AJ141" i="11"/>
  <c r="AJ136" i="11"/>
  <c r="AJ135" i="11"/>
  <c r="AJ134" i="11"/>
  <c r="AJ133" i="11"/>
  <c r="AJ132" i="11"/>
  <c r="AJ131" i="11"/>
  <c r="AJ130" i="11"/>
  <c r="AJ129" i="11"/>
  <c r="AJ120" i="11"/>
  <c r="AJ119" i="11"/>
  <c r="AJ118" i="11"/>
  <c r="AJ117" i="11"/>
  <c r="AJ107" i="11"/>
  <c r="AJ106" i="11"/>
  <c r="AJ105" i="11"/>
  <c r="AJ100" i="11"/>
  <c r="AJ99" i="11"/>
  <c r="AJ98" i="11"/>
  <c r="AJ97" i="11"/>
  <c r="AJ96" i="11"/>
  <c r="AJ95" i="11"/>
  <c r="AJ94" i="11"/>
  <c r="AJ93" i="11"/>
  <c r="AJ103" i="11" s="1"/>
  <c r="AJ88" i="11"/>
  <c r="AJ87" i="11"/>
  <c r="AJ86" i="11"/>
  <c r="AJ85" i="11"/>
  <c r="AJ84" i="11"/>
  <c r="AJ83" i="11"/>
  <c r="AJ82" i="11"/>
  <c r="AJ81" i="11"/>
  <c r="AJ76" i="11"/>
  <c r="AJ75" i="11"/>
  <c r="AJ74" i="11"/>
  <c r="AJ73" i="11"/>
  <c r="AJ72" i="11"/>
  <c r="AJ71" i="11"/>
  <c r="AJ70" i="11"/>
  <c r="AJ69" i="11"/>
  <c r="AJ63" i="11"/>
  <c r="AJ62" i="11"/>
  <c r="AJ61" i="11"/>
  <c r="AJ60" i="11"/>
  <c r="AJ59" i="11"/>
  <c r="AJ58" i="11"/>
  <c r="AJ57" i="11"/>
  <c r="AJ52" i="11"/>
  <c r="AJ51" i="11"/>
  <c r="AJ50" i="11"/>
  <c r="AJ49" i="11"/>
  <c r="AJ48" i="11"/>
  <c r="AJ47" i="11"/>
  <c r="AJ46" i="11"/>
  <c r="AJ45" i="11"/>
  <c r="AB41" i="11"/>
  <c r="AA41" i="11"/>
  <c r="Z41" i="11"/>
  <c r="Y41" i="11"/>
  <c r="X41" i="11"/>
  <c r="W41" i="11"/>
  <c r="V41" i="11"/>
  <c r="U41" i="11"/>
  <c r="T41" i="11"/>
  <c r="S41" i="11"/>
  <c r="E41" i="11"/>
  <c r="AJ40" i="11"/>
  <c r="AJ39" i="11"/>
  <c r="AB36" i="11"/>
  <c r="AA36" i="11"/>
  <c r="Z36" i="11"/>
  <c r="Y36" i="11"/>
  <c r="X36" i="11"/>
  <c r="W36" i="11"/>
  <c r="V36" i="11"/>
  <c r="U36" i="11"/>
  <c r="T36" i="11"/>
  <c r="S36" i="11"/>
  <c r="E36" i="11"/>
  <c r="AJ35" i="11"/>
  <c r="AJ34" i="11"/>
  <c r="AJ33" i="11"/>
  <c r="AB29" i="11"/>
  <c r="AA29" i="11"/>
  <c r="Z29" i="11"/>
  <c r="Y29" i="11"/>
  <c r="X29" i="11"/>
  <c r="W29" i="11"/>
  <c r="V29" i="11"/>
  <c r="U29" i="11"/>
  <c r="T29" i="11"/>
  <c r="S29" i="11"/>
  <c r="E29" i="11"/>
  <c r="AB28" i="11"/>
  <c r="AA28" i="11"/>
  <c r="Z28" i="11"/>
  <c r="Y28" i="11"/>
  <c r="X28" i="11"/>
  <c r="W28" i="11"/>
  <c r="V28" i="11"/>
  <c r="V30" i="11" s="1"/>
  <c r="U28" i="11"/>
  <c r="T28" i="11"/>
  <c r="S28" i="11"/>
  <c r="E28" i="11"/>
  <c r="AB27" i="11"/>
  <c r="AA27" i="11"/>
  <c r="Z27" i="11"/>
  <c r="Y27" i="11"/>
  <c r="X27" i="11"/>
  <c r="W27" i="11"/>
  <c r="V27" i="11"/>
  <c r="U27" i="11"/>
  <c r="T27" i="11"/>
  <c r="S27" i="11"/>
  <c r="E27" i="11"/>
  <c r="AJ26" i="11"/>
  <c r="AJ25" i="11"/>
  <c r="AB24" i="11"/>
  <c r="AA24" i="11"/>
  <c r="Z24" i="11"/>
  <c r="Y24" i="11"/>
  <c r="X24" i="11"/>
  <c r="W24" i="11"/>
  <c r="V24" i="11"/>
  <c r="U24" i="11"/>
  <c r="T24" i="11"/>
  <c r="S24" i="11"/>
  <c r="E24" i="11"/>
  <c r="AJ23" i="11"/>
  <c r="AJ22" i="11"/>
  <c r="AB21" i="11"/>
  <c r="AA21" i="11"/>
  <c r="Z21" i="11"/>
  <c r="Y21" i="11"/>
  <c r="X21" i="11"/>
  <c r="W21" i="11"/>
  <c r="V21" i="11"/>
  <c r="U21" i="11"/>
  <c r="T21" i="11"/>
  <c r="S21" i="11"/>
  <c r="E21" i="11"/>
  <c r="AJ20" i="11"/>
  <c r="AJ19" i="11"/>
  <c r="AB16" i="11"/>
  <c r="AA16" i="11"/>
  <c r="Z16" i="11"/>
  <c r="Y16" i="11"/>
  <c r="X16" i="11"/>
  <c r="W16" i="11"/>
  <c r="V16" i="11"/>
  <c r="U16" i="11"/>
  <c r="T16" i="11"/>
  <c r="S16" i="11"/>
  <c r="E16" i="11"/>
  <c r="AJ15" i="11"/>
  <c r="AJ14" i="11"/>
  <c r="AC263" i="10"/>
  <c r="AC252" i="10"/>
  <c r="AC251" i="10"/>
  <c r="AC250" i="10"/>
  <c r="AC249" i="10"/>
  <c r="AC244" i="10"/>
  <c r="AC243" i="10"/>
  <c r="AC242" i="10"/>
  <c r="AC241" i="10"/>
  <c r="AC240" i="10"/>
  <c r="AC239" i="10"/>
  <c r="AC238" i="10"/>
  <c r="AC237" i="10"/>
  <c r="AC228" i="10"/>
  <c r="AC227" i="10"/>
  <c r="AC226" i="10"/>
  <c r="AC225" i="10"/>
  <c r="AC216" i="10"/>
  <c r="AC215" i="10"/>
  <c r="AC214" i="10"/>
  <c r="AC213" i="10"/>
  <c r="AC196" i="10"/>
  <c r="AC195" i="10"/>
  <c r="AC194" i="10"/>
  <c r="AC193" i="10"/>
  <c r="AC192" i="10"/>
  <c r="AC191" i="10"/>
  <c r="AC190" i="10"/>
  <c r="AC189" i="10"/>
  <c r="AC184" i="10"/>
  <c r="AC183" i="10"/>
  <c r="AC182" i="10"/>
  <c r="AC181" i="10"/>
  <c r="AC180" i="10"/>
  <c r="AC179" i="10"/>
  <c r="AC178" i="10"/>
  <c r="AC177" i="10"/>
  <c r="AC166" i="10"/>
  <c r="AC165" i="10"/>
  <c r="AC156" i="10"/>
  <c r="AC155" i="10"/>
  <c r="AC154" i="10"/>
  <c r="AC153" i="10"/>
  <c r="AC144" i="10"/>
  <c r="AC143" i="10"/>
  <c r="AC142" i="10"/>
  <c r="AC141" i="10"/>
  <c r="AC136" i="10"/>
  <c r="AC135" i="10"/>
  <c r="AC134" i="10"/>
  <c r="AC133" i="10"/>
  <c r="AC132" i="10"/>
  <c r="AC131" i="10"/>
  <c r="AC130" i="10"/>
  <c r="AC129" i="10"/>
  <c r="AC120" i="10"/>
  <c r="AC119" i="10"/>
  <c r="AC118" i="10"/>
  <c r="AC117" i="10"/>
  <c r="AC107" i="10"/>
  <c r="AC106" i="10"/>
  <c r="AC105" i="10"/>
  <c r="AC100" i="10"/>
  <c r="AC99" i="10"/>
  <c r="AC98" i="10"/>
  <c r="AC97" i="10"/>
  <c r="AC96" i="10"/>
  <c r="AC95" i="10"/>
  <c r="AC94" i="10"/>
  <c r="AC93" i="10"/>
  <c r="AC88" i="10"/>
  <c r="AC87" i="10"/>
  <c r="AC86" i="10"/>
  <c r="AC85" i="10"/>
  <c r="AC84" i="10"/>
  <c r="AC83" i="10"/>
  <c r="AC82" i="10"/>
  <c r="AC81" i="10"/>
  <c r="AC76" i="10"/>
  <c r="AC75" i="10"/>
  <c r="AC74" i="10"/>
  <c r="AC73" i="10"/>
  <c r="AC72" i="10"/>
  <c r="AC71" i="10"/>
  <c r="AC70" i="10"/>
  <c r="AC69" i="10"/>
  <c r="AC64" i="10"/>
  <c r="AC63" i="10"/>
  <c r="AC62" i="10"/>
  <c r="AC61" i="10"/>
  <c r="AC60" i="10"/>
  <c r="AC59" i="10"/>
  <c r="AC58" i="10"/>
  <c r="AC57" i="10"/>
  <c r="AC52" i="10"/>
  <c r="AC51" i="10"/>
  <c r="AC50" i="10"/>
  <c r="AC49" i="10"/>
  <c r="AC48" i="10"/>
  <c r="AC47" i="10"/>
  <c r="AC46" i="10"/>
  <c r="AC45" i="10"/>
  <c r="AB41" i="10"/>
  <c r="AA41" i="10"/>
  <c r="Z41" i="10"/>
  <c r="Y41" i="10"/>
  <c r="E41" i="10"/>
  <c r="AC40" i="10"/>
  <c r="AC39" i="10"/>
  <c r="AB36" i="10"/>
  <c r="AA36" i="10"/>
  <c r="Z36" i="10"/>
  <c r="Y36" i="10"/>
  <c r="E36" i="10"/>
  <c r="AC35" i="10"/>
  <c r="AC34" i="10"/>
  <c r="AC33" i="10"/>
  <c r="AB29" i="10"/>
  <c r="AA29" i="10"/>
  <c r="Z29" i="10"/>
  <c r="Y29" i="10"/>
  <c r="E29" i="10"/>
  <c r="AB28" i="10"/>
  <c r="AA28" i="10"/>
  <c r="Z28" i="10"/>
  <c r="Y28" i="10"/>
  <c r="E28" i="10"/>
  <c r="AB27" i="10"/>
  <c r="AA27" i="10"/>
  <c r="Z27" i="10"/>
  <c r="Y27" i="10"/>
  <c r="E27" i="10"/>
  <c r="AC26" i="10"/>
  <c r="AC25" i="10"/>
  <c r="AB24" i="10"/>
  <c r="AA24" i="10"/>
  <c r="Z24" i="10"/>
  <c r="Y24" i="10"/>
  <c r="E24" i="10"/>
  <c r="AC23" i="10"/>
  <c r="AC22" i="10"/>
  <c r="AB21" i="10"/>
  <c r="AA21" i="10"/>
  <c r="Z21" i="10"/>
  <c r="Y21" i="10"/>
  <c r="E21" i="10"/>
  <c r="AC20" i="10"/>
  <c r="AC19" i="10"/>
  <c r="AB16" i="10"/>
  <c r="AA16" i="10"/>
  <c r="Z16" i="10"/>
  <c r="Y16" i="10"/>
  <c r="E16" i="10"/>
  <c r="AC15" i="10"/>
  <c r="AC14" i="10"/>
  <c r="AX263" i="9"/>
  <c r="AX252" i="9"/>
  <c r="AX251" i="9"/>
  <c r="AX250" i="9"/>
  <c r="AX249" i="9"/>
  <c r="AX244" i="9"/>
  <c r="AX243" i="9"/>
  <c r="AX242" i="9"/>
  <c r="AX241" i="9"/>
  <c r="AX240" i="9"/>
  <c r="AX239" i="9"/>
  <c r="AX238" i="9"/>
  <c r="AX237" i="9"/>
  <c r="AX229" i="9"/>
  <c r="AX228" i="9"/>
  <c r="AX227" i="9"/>
  <c r="AX226" i="9"/>
  <c r="AX225" i="9"/>
  <c r="AX216" i="9"/>
  <c r="AX215" i="9"/>
  <c r="AX214" i="9"/>
  <c r="AX213" i="9"/>
  <c r="AX208" i="9"/>
  <c r="AX207" i="9"/>
  <c r="AX206" i="9"/>
  <c r="AX205" i="9"/>
  <c r="AX204" i="9"/>
  <c r="AX203" i="9"/>
  <c r="AX202" i="9"/>
  <c r="AX201" i="9"/>
  <c r="AX196" i="9"/>
  <c r="AX195" i="9"/>
  <c r="AX194" i="9"/>
  <c r="AX193" i="9"/>
  <c r="AX192" i="9"/>
  <c r="AX191" i="9"/>
  <c r="E191" i="1" s="1"/>
  <c r="AX190" i="9"/>
  <c r="E190" i="1" s="1"/>
  <c r="AX189" i="9"/>
  <c r="AX184" i="9"/>
  <c r="AX183" i="9"/>
  <c r="AX182" i="9"/>
  <c r="AX181" i="9"/>
  <c r="AX180" i="9"/>
  <c r="AX179" i="9"/>
  <c r="AX178" i="9"/>
  <c r="AX177" i="9"/>
  <c r="AX166" i="9"/>
  <c r="AX165" i="9"/>
  <c r="AX156" i="9"/>
  <c r="AX155" i="9"/>
  <c r="AX154" i="9"/>
  <c r="AX153" i="9"/>
  <c r="AX144" i="9"/>
  <c r="AX143" i="9"/>
  <c r="AX142" i="9"/>
  <c r="AX141" i="9"/>
  <c r="AX136" i="9"/>
  <c r="AX135" i="9"/>
  <c r="AX134" i="9"/>
  <c r="AX133" i="9"/>
  <c r="AX132" i="9"/>
  <c r="E132" i="1" s="1"/>
  <c r="AX131" i="9"/>
  <c r="AX130" i="9"/>
  <c r="AX129" i="9"/>
  <c r="AX120" i="9"/>
  <c r="AX119" i="9"/>
  <c r="AX118" i="9"/>
  <c r="AX117" i="9"/>
  <c r="AX107" i="9"/>
  <c r="AX106" i="9"/>
  <c r="AX105" i="9"/>
  <c r="AX100" i="9"/>
  <c r="AX99" i="9"/>
  <c r="AX98" i="9"/>
  <c r="AX97" i="9"/>
  <c r="AX96" i="9"/>
  <c r="AX95" i="9"/>
  <c r="AX94" i="9"/>
  <c r="AX93" i="9"/>
  <c r="AX88" i="9"/>
  <c r="AX87" i="9"/>
  <c r="E87" i="1" s="1"/>
  <c r="AX86" i="9"/>
  <c r="AX85" i="9"/>
  <c r="AX84" i="9"/>
  <c r="AX83" i="9"/>
  <c r="AX82" i="9"/>
  <c r="AX81" i="9"/>
  <c r="AX76" i="9"/>
  <c r="AX75" i="9"/>
  <c r="AX74" i="9"/>
  <c r="AX73" i="9"/>
  <c r="AX72" i="9"/>
  <c r="AX71" i="9"/>
  <c r="AX70" i="9"/>
  <c r="AX69" i="9"/>
  <c r="AX64" i="9"/>
  <c r="AX63" i="9"/>
  <c r="AX62" i="9"/>
  <c r="AX61" i="9"/>
  <c r="AX60" i="9"/>
  <c r="AX59" i="9"/>
  <c r="AX58" i="9"/>
  <c r="AX57" i="9"/>
  <c r="AX52" i="9"/>
  <c r="AX51" i="9"/>
  <c r="AX50" i="9"/>
  <c r="AX49" i="9"/>
  <c r="AX48" i="9"/>
  <c r="AX47" i="9"/>
  <c r="AX46" i="9"/>
  <c r="AX45" i="9"/>
  <c r="AQ41" i="9"/>
  <c r="E41" i="9"/>
  <c r="AQ36" i="9"/>
  <c r="E36" i="9"/>
  <c r="AX35" i="9"/>
  <c r="AX34" i="9"/>
  <c r="AX33" i="9"/>
  <c r="E33" i="1" s="1"/>
  <c r="AQ29" i="9"/>
  <c r="E29" i="9"/>
  <c r="AQ28" i="9"/>
  <c r="E28" i="9"/>
  <c r="AQ27" i="9"/>
  <c r="E27" i="9"/>
  <c r="AX26" i="9"/>
  <c r="AX25" i="9"/>
  <c r="AQ24" i="9"/>
  <c r="E24" i="9"/>
  <c r="AX23" i="9"/>
  <c r="AX22" i="9"/>
  <c r="AQ21" i="9"/>
  <c r="E21" i="9"/>
  <c r="AX20" i="9"/>
  <c r="AX19" i="9"/>
  <c r="AQ16" i="9"/>
  <c r="E16" i="9"/>
  <c r="AX15" i="9"/>
  <c r="AX14" i="9"/>
  <c r="E30" i="9" l="1"/>
  <c r="AJ235" i="11"/>
  <c r="E189" i="1"/>
  <c r="AJ151" i="11"/>
  <c r="E134" i="1"/>
  <c r="E135" i="1"/>
  <c r="E133" i="1"/>
  <c r="AJ139" i="11"/>
  <c r="E85" i="1"/>
  <c r="E57" i="1"/>
  <c r="E58" i="1"/>
  <c r="E51" i="1"/>
  <c r="E52" i="1"/>
  <c r="AJ55" i="11"/>
  <c r="E26" i="1"/>
  <c r="W30" i="11"/>
  <c r="E88" i="1"/>
  <c r="E34" i="1"/>
  <c r="AJ259" i="11"/>
  <c r="E226" i="1"/>
  <c r="E86" i="1"/>
  <c r="E237" i="1"/>
  <c r="E35" i="1"/>
  <c r="E14" i="1"/>
  <c r="E15" i="1"/>
  <c r="E194" i="1"/>
  <c r="E129" i="1"/>
  <c r="E61" i="1"/>
  <c r="E48" i="1"/>
  <c r="E95" i="1"/>
  <c r="E82" i="1"/>
  <c r="E181" i="1"/>
  <c r="E49" i="1"/>
  <c r="E83" i="1"/>
  <c r="E130" i="1"/>
  <c r="E25" i="1"/>
  <c r="E50" i="1"/>
  <c r="E84" i="1"/>
  <c r="E131" i="1"/>
  <c r="E225" i="1"/>
  <c r="E59" i="1"/>
  <c r="E141" i="1"/>
  <c r="E97" i="1"/>
  <c r="E193" i="1"/>
  <c r="E241" i="1"/>
  <c r="E93" i="1"/>
  <c r="E142" i="1"/>
  <c r="E239" i="1"/>
  <c r="E62" i="1"/>
  <c r="E242" i="1"/>
  <c r="E136" i="1"/>
  <c r="E195" i="1"/>
  <c r="E153" i="1"/>
  <c r="E100" i="1"/>
  <c r="E39" i="1"/>
  <c r="E249" i="1"/>
  <c r="E165" i="1"/>
  <c r="E175" i="1" s="1"/>
  <c r="E206" i="1"/>
  <c r="E60" i="1"/>
  <c r="E94" i="1"/>
  <c r="E96" i="1"/>
  <c r="E69" i="1"/>
  <c r="E202" i="1"/>
  <c r="E155" i="1"/>
  <c r="E156" i="1"/>
  <c r="E19" i="1"/>
  <c r="E72" i="1"/>
  <c r="E205" i="1"/>
  <c r="E20" i="1"/>
  <c r="E73" i="1"/>
  <c r="E251" i="1"/>
  <c r="E74" i="1"/>
  <c r="E117" i="1"/>
  <c r="E177" i="1"/>
  <c r="E207" i="1"/>
  <c r="E252" i="1"/>
  <c r="E45" i="1"/>
  <c r="E75" i="1"/>
  <c r="E118" i="1"/>
  <c r="E178" i="1"/>
  <c r="E208" i="1"/>
  <c r="E238" i="1"/>
  <c r="E240" i="1"/>
  <c r="E201" i="1"/>
  <c r="E243" i="1"/>
  <c r="E203" i="1"/>
  <c r="E204" i="1"/>
  <c r="E40" i="1"/>
  <c r="E250" i="1"/>
  <c r="E22" i="1"/>
  <c r="E76" i="1"/>
  <c r="E179" i="1"/>
  <c r="E213" i="1"/>
  <c r="E23" i="1"/>
  <c r="E47" i="1"/>
  <c r="E81" i="1"/>
  <c r="E180" i="1"/>
  <c r="E214" i="1"/>
  <c r="E196" i="1"/>
  <c r="E98" i="1"/>
  <c r="E154" i="1"/>
  <c r="E71" i="1"/>
  <c r="E215" i="1"/>
  <c r="E192" i="1"/>
  <c r="E63" i="1"/>
  <c r="E64" i="1"/>
  <c r="E99" i="1"/>
  <c r="E70" i="1"/>
  <c r="E244" i="1"/>
  <c r="E105" i="1"/>
  <c r="E106" i="1"/>
  <c r="E46" i="1"/>
  <c r="AJ127" i="11"/>
  <c r="AJ187" i="11"/>
  <c r="AJ223" i="11"/>
  <c r="AJ91" i="11"/>
  <c r="AJ67" i="11"/>
  <c r="AC199" i="10"/>
  <c r="AC67" i="10"/>
  <c r="AC247" i="10"/>
  <c r="AC103" i="10"/>
  <c r="AC151" i="10"/>
  <c r="AC259" i="10"/>
  <c r="AC115" i="10"/>
  <c r="AC175" i="10"/>
  <c r="AC127" i="10"/>
  <c r="E263" i="1"/>
  <c r="AX127" i="9"/>
  <c r="AX259" i="9"/>
  <c r="AX67" i="9"/>
  <c r="AX199" i="9"/>
  <c r="AX103" i="9"/>
  <c r="AX151" i="9"/>
  <c r="AX175" i="9"/>
  <c r="AX223" i="9"/>
  <c r="AX247" i="9"/>
  <c r="AX115" i="9"/>
  <c r="AX187" i="9"/>
  <c r="AX55" i="9"/>
  <c r="AX91" i="9"/>
  <c r="AX139" i="9"/>
  <c r="AX235" i="9"/>
  <c r="AX211" i="9"/>
  <c r="AX79" i="9"/>
  <c r="AC211" i="10"/>
  <c r="AC79" i="10"/>
  <c r="AC223" i="10"/>
  <c r="AC55" i="10"/>
  <c r="AC139" i="10"/>
  <c r="AC187" i="10"/>
  <c r="AC91" i="10"/>
  <c r="AC235" i="10"/>
  <c r="AJ199" i="11"/>
  <c r="AJ247" i="11"/>
  <c r="AJ79" i="11"/>
  <c r="AJ115" i="11"/>
  <c r="AJ211" i="11"/>
  <c r="E30" i="11"/>
  <c r="AJ175" i="11"/>
  <c r="Z30" i="11"/>
  <c r="AB30" i="11"/>
  <c r="AQ30" i="9"/>
  <c r="V262" i="11"/>
  <c r="V264" i="11" s="1"/>
  <c r="T30" i="11"/>
  <c r="U30" i="11"/>
  <c r="S30" i="11"/>
  <c r="E30" i="10"/>
  <c r="Y30" i="10"/>
  <c r="AB30" i="10"/>
  <c r="Y262" i="10"/>
  <c r="Y264" i="10" s="1"/>
  <c r="AQ262" i="9"/>
  <c r="AQ264" i="9" s="1"/>
  <c r="AX21" i="9"/>
  <c r="U262" i="11"/>
  <c r="U264" i="11" s="1"/>
  <c r="AJ21" i="11"/>
  <c r="X262" i="11"/>
  <c r="X264" i="11" s="1"/>
  <c r="AJ24" i="11"/>
  <c r="AJ28" i="11"/>
  <c r="Y262" i="11"/>
  <c r="Y264" i="11" s="1"/>
  <c r="AB262" i="11"/>
  <c r="AB264" i="11" s="1"/>
  <c r="E262" i="11"/>
  <c r="E264" i="11" s="1"/>
  <c r="AJ16" i="11"/>
  <c r="AJ29" i="11"/>
  <c r="Y30" i="11"/>
  <c r="AJ36" i="11"/>
  <c r="AA30" i="11"/>
  <c r="AJ41" i="11"/>
  <c r="AJ27" i="11"/>
  <c r="AA262" i="11"/>
  <c r="AA264" i="11" s="1"/>
  <c r="Z262" i="11"/>
  <c r="Z264" i="11" s="1"/>
  <c r="T262" i="11"/>
  <c r="T264" i="11" s="1"/>
  <c r="AJ157" i="11"/>
  <c r="AJ163" i="11" s="1"/>
  <c r="X30" i="11"/>
  <c r="W262" i="11"/>
  <c r="W264" i="11" s="1"/>
  <c r="S262" i="11"/>
  <c r="S264" i="11" s="1"/>
  <c r="AB262" i="10"/>
  <c r="AB264" i="10" s="1"/>
  <c r="AA262" i="10"/>
  <c r="AA264" i="10" s="1"/>
  <c r="AC28" i="10"/>
  <c r="Z262" i="10"/>
  <c r="Z264" i="10" s="1"/>
  <c r="AC27" i="10"/>
  <c r="AC29" i="10"/>
  <c r="AC157" i="10"/>
  <c r="AC163" i="10" s="1"/>
  <c r="AC36" i="10"/>
  <c r="AC16" i="10"/>
  <c r="Z30" i="10"/>
  <c r="AC21" i="10"/>
  <c r="AC24" i="10"/>
  <c r="AC41" i="10"/>
  <c r="AA30" i="10"/>
  <c r="E262" i="10"/>
  <c r="AX36" i="9"/>
  <c r="AX29" i="9"/>
  <c r="AX24" i="9"/>
  <c r="AX41" i="9"/>
  <c r="AX27" i="9"/>
  <c r="AX16" i="9"/>
  <c r="AX157" i="9"/>
  <c r="E262" i="9"/>
  <c r="AX28" i="9"/>
  <c r="E115" i="1" l="1"/>
  <c r="E157" i="1"/>
  <c r="E163" i="1" s="1"/>
  <c r="E139" i="1"/>
  <c r="E211" i="1"/>
  <c r="E79" i="1"/>
  <c r="E127" i="1"/>
  <c r="E91" i="1"/>
  <c r="E67" i="1"/>
  <c r="E187" i="1"/>
  <c r="E55" i="1"/>
  <c r="E199" i="1"/>
  <c r="E223" i="1"/>
  <c r="E235" i="1"/>
  <c r="E259" i="1"/>
  <c r="E151" i="1"/>
  <c r="E247" i="1"/>
  <c r="E103" i="1"/>
  <c r="AX163" i="9"/>
  <c r="AX30" i="9"/>
  <c r="AJ30" i="11"/>
  <c r="AJ262" i="11"/>
  <c r="AJ264" i="11"/>
  <c r="AC30" i="10"/>
  <c r="AC262" i="10"/>
  <c r="E264" i="10"/>
  <c r="AC264" i="10" s="1"/>
  <c r="AX262" i="9"/>
  <c r="E264" i="9"/>
  <c r="AX264" i="9" s="1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<sst xmlns="http://schemas.openxmlformats.org/spreadsheetml/2006/main" count="1662" uniqueCount="213">
  <si>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</si>
  <si>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</si>
  <si>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</si>
  <si>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</si>
  <si>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</si>
  <si>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</si>
  <si>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</si>
  <si>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</si>
  <si>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</si>
  <si>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</si>
  <si>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</si>
  <si>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</si>
  <si>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</si>
  <si>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</si>
  <si>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</si>
  <si>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</si>
  <si>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</si>
  <si>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</si>
  <si>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</si>
  <si>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</si>
  <si>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</si>
  <si>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</si>
  <si>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</si>
  <si>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</si>
  <si>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</si>
  <si>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</si>
  <si>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</si>
  <si>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</si>
  <si>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</si>
  <si>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</si>
  <si>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</si>
  <si>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</si>
  <si>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</si>
  <si>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</si>
  <si>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</si>
  <si>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</si>
  <si>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</si>
  <si>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</si>
  <si>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</si>
  <si>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</si>
  <si>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</si>
  <si>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</si>
  <si>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</si>
  <si>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</si>
  <si>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</si>
  <si>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</si>
  <si>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</si>
  <si>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</si>
  <si>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</si>
  <si>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</si>
  <si>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</si>
  <si>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</si>
  <si>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</si>
  <si>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</si>
  <si>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</si>
  <si>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</si>
  <si>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</si>
  <si>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</si>
  <si>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</si>
  <si>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</si>
  <si>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</si>
  <si>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</si>
  <si>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</si>
  <si>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</si>
  <si>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</si>
  <si>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</si>
  <si>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</si>
  <si>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</si>
  <si>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</si>
  <si>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</si>
  <si>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</si>
  <si>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</si>
  <si>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</si>
  <si>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</si>
  <si>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</si>
  <si>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</si>
  <si>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</si>
  <si>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</si>
  <si>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</si>
  <si>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</si>
  <si>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</si>
  <si>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</si>
  <si>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</si>
  <si>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</si>
  <si>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</si>
  <si>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</si>
  <si>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</si>
  <si>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</si>
  <si>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</si>
  <si>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</si>
  <si>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</si>
  <si>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</si>
  <si>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</si>
  <si>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</si>
  <si>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</si>
  <si>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</si>
  <si>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</si>
  <si>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</si>
  <si>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</si>
  <si>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</si>
  <si>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</si>
  <si>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</si>
  <si>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</si>
  <si>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</si>
  <si>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SILIRAGUNG</t>
  </si>
  <si>
    <t>1. MUKHTAR NABALI MUFAUWIQ</t>
  </si>
  <si>
    <t>2. H. SUSIYANTO</t>
  </si>
  <si>
    <t>3. DUWI HASTRENI, S.H.</t>
  </si>
  <si>
    <t>4. MIFTAKHODIN</t>
  </si>
  <si>
    <t>5. SITI MUSTIKAH</t>
  </si>
  <si>
    <t>6. ABDUL GHOFUR</t>
  </si>
  <si>
    <t>7. ABDUL ROHMAN, S.Pd.</t>
  </si>
  <si>
    <t>1. Drs. H. SUPRAYOGIN</t>
  </si>
  <si>
    <t>2. MAHFUD SYAMSUL HADI</t>
  </si>
  <si>
    <t>3. NUR AINI</t>
  </si>
  <si>
    <t>4. ACHMAD ALI WAFFA</t>
  </si>
  <si>
    <t>5. SRI HARTATIK</t>
  </si>
  <si>
    <t>6. MAKIK SIHOMBING</t>
  </si>
  <si>
    <t>7. LIDYA OKTAVIANA</t>
  </si>
  <si>
    <t>1. PATEMO</t>
  </si>
  <si>
    <t>2. EKO HARIYONO</t>
  </si>
  <si>
    <t>3. SRI RUSMAWATI</t>
  </si>
  <si>
    <t>4. SUGIYANTO</t>
  </si>
  <si>
    <t>5. DHEA SARTIKA</t>
  </si>
  <si>
    <t>6. WIDIAWATI</t>
  </si>
  <si>
    <t>7. ARIF NUR CAHYO</t>
  </si>
  <si>
    <t>1. MOCHAMMAD ZAENUL ARIFIN, S.M.</t>
  </si>
  <si>
    <t>2. NANANG EDY SUPRIYONO</t>
  </si>
  <si>
    <t>3. SITI MUNAWAROH</t>
  </si>
  <si>
    <t>4. SINUNG TEGUH SANTOSO, S.H., M.H.</t>
  </si>
  <si>
    <t>5. Drs. ALI MUKHSIN</t>
  </si>
  <si>
    <t>6. JUMIA KAMSISKA</t>
  </si>
  <si>
    <t>7. Dra. DYAH PURWANINGSIH</t>
  </si>
  <si>
    <t>1. AGUNG SETYO WIBOWO, S.E.</t>
  </si>
  <si>
    <t>2. M. AGHISTNI MAULANA S.</t>
  </si>
  <si>
    <t>3. MUJIATI</t>
  </si>
  <si>
    <t>4. MOH. ALI MAGHFUR, S.S., M.Si.</t>
  </si>
  <si>
    <t>5. NUR HIDAYAH, S.H.</t>
  </si>
  <si>
    <t>6. NUR FATMAWATI</t>
  </si>
  <si>
    <t>7. BAMBANG AGUS SANTOSO</t>
  </si>
  <si>
    <t>1. YULIANTO</t>
  </si>
  <si>
    <t>1. AGUNG TUTUKO</t>
  </si>
  <si>
    <t>1. IMRON EFFENDI, S.Pd.I.</t>
  </si>
  <si>
    <t>2. RIYANTO</t>
  </si>
  <si>
    <t>3. DYAH RATNAWATI, S.P.</t>
  </si>
  <si>
    <t>4. SLAMET EFENDI, S.Pd.I.</t>
  </si>
  <si>
    <t>5. NIDA'UL A'DILAH</t>
  </si>
  <si>
    <t>6. FUJI ARIANTI, S.Pd.</t>
  </si>
  <si>
    <t>7. PUJI LEGA CAHYONO</t>
  </si>
  <si>
    <t>1. NANIN LINDYAWATI</t>
  </si>
  <si>
    <t>1. WAWAN KRISDIANTO, S.T.</t>
  </si>
  <si>
    <t>2. Drs. SUGIYO</t>
  </si>
  <si>
    <t>3. AGUS WIJAYANTI, S.T.</t>
  </si>
  <si>
    <t>4. IMAM SIBAWEH, S.Pd.I., M.H.</t>
  </si>
  <si>
    <t>5. AGUS SANTOSO</t>
  </si>
  <si>
    <t>6. SYLVIA INDAH SETYOWATI, S.Farm.</t>
  </si>
  <si>
    <t>7. JON ADI BATAM</t>
  </si>
  <si>
    <t>1. M. MAFTUH AHNAN</t>
  </si>
  <si>
    <t>2. KHUSNUL KHOTIMAH</t>
  </si>
  <si>
    <t>3. SUBANDRIYO</t>
  </si>
  <si>
    <t>4. HANI HANDINI</t>
  </si>
  <si>
    <t>1. FITRI HIDAYATUL MAULIDA</t>
  </si>
  <si>
    <t>2. SITI MUSALAMAH</t>
  </si>
  <si>
    <t>3. MUHAMAD SOIM</t>
  </si>
  <si>
    <t>4. SITA NUR AZIZAH</t>
  </si>
  <si>
    <t>5. MOCH RIZQIAN ROMADHON</t>
  </si>
  <si>
    <t>6. SAMA'I</t>
  </si>
  <si>
    <t>7. NAHARINA ULFATIN</t>
  </si>
  <si>
    <t>1. NILUH EKA AGUSTINA</t>
  </si>
  <si>
    <t>2. IWAN RUDIYANTO, S.H.</t>
  </si>
  <si>
    <t>3. NOVIANTO SANJAYA, S.Tr.Pel.</t>
  </si>
  <si>
    <t>4. YANCE WATTIMURY, S.T., MACM.</t>
  </si>
  <si>
    <t>5. REZA EKA INDRIANI</t>
  </si>
  <si>
    <t>6. WAHYUDI</t>
  </si>
  <si>
    <t>7. YUSIENI</t>
  </si>
  <si>
    <t>1. ALLING ANDINI, S.Si.</t>
  </si>
  <si>
    <t>2. FURRY AKHWAN HADI</t>
  </si>
  <si>
    <t>1. MADRUS</t>
  </si>
  <si>
    <t>1. Dr. H. ABDUL KADIR, M.Si.</t>
  </si>
  <si>
    <t>2. MISBAHUL ULUM</t>
  </si>
  <si>
    <t>3. NOVIA ANGGI ALVIONITA SARI</t>
  </si>
  <si>
    <t>4. M. MUNIF HASBALLAH A'LA</t>
  </si>
  <si>
    <t>5. MOH. RISYAFAI SAID AL AZHAR, S.Pd.</t>
  </si>
  <si>
    <t>6. SRI WEDARI</t>
  </si>
  <si>
    <t>7. CELVIN M FAIZAL</t>
  </si>
  <si>
    <t>1. SIGIT PURNOMO</t>
  </si>
  <si>
    <t>2. NURKOMARIA INDAH</t>
  </si>
  <si>
    <t>3. Drs. UBAID FATHONI, M.M.</t>
  </si>
  <si>
    <t>BARUREJO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</si>
  <si>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</si>
  <si>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</si>
  <si>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</si>
  <si>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</si>
  <si>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</si>
  <si>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</si>
  <si>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</si>
  <si>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</si>
  <si>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</si>
  <si>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</si>
  <si>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</si>
  <si>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</si>
  <si>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</si>
  <si>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</si>
  <si>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</si>
  <si>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</si>
  <si>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</si>
  <si>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</si>
  <si>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</si>
  <si>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</si>
  <si>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</si>
  <si>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BULUAGUNG</t>
  </si>
  <si>
    <t>KESILIR</t>
  </si>
  <si>
    <t>SENEPOREJO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</si>
</sst>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0" fillId="4" borderId="0" xfId="0" applyFill="1"/>
    <xf numFmtId="0" fontId="8" fillId="4" borderId="24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4" xfId="0" applyFont="1" applyBorder="1"/>
  </cellXfs>
  <cellStyles count="1">
    <cellStyle name="Normal" xfId="0" builtinId="0"/>
  </cellStyles>
  <dxfs count="14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zoomScaleNormal="100" workbookViewId="0">
      <selection activeCell="F10" sqref="F10"/>
    </sheetView>
  </sheetViews>
  <sheetFormatPr defaultColWidth="0" defaultRowHeight="15" customHeight="1" zeroHeight="1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16" width="0" hidden="1" customWidth="1"/>
    <col min="217" max="16384" width="12.59765625" hidden="1"/>
  </cols>
  <sheetData>
    <row r="1" spans="1:216" ht="15" customHeight="1"/>
    <row r="2" spans="1:216" ht="15" customHeight="1"/>
    <row r="3" spans="1:216" ht="15" customHeight="1"/>
    <row r="4" spans="1:216" ht="15" customHeight="1"/>
    <row r="5" spans="1:216" ht="15.75" customHeight="1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>
      <c r="C8" s="43" t="s">
        <v>98</v>
      </c>
      <c r="D8" s="43" t="s">
        <v>104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>
      <c r="A12" s="5" t="s">
        <v>0</v>
      </c>
      <c r="B12" s="69" t="s">
        <v>1</v>
      </c>
      <c r="C12" s="82"/>
      <c r="D12" s="73"/>
      <c r="E12" s="91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>
      <c r="A13" s="6" t="s">
        <v>2</v>
      </c>
      <c r="B13" s="90" t="s">
        <v>3</v>
      </c>
      <c r="C13" s="82"/>
      <c r="D13" s="73"/>
      <c r="E13" s="92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>
      <c r="A14" s="7"/>
      <c r="B14" s="93" t="s">
        <v>22</v>
      </c>
      <c r="C14" s="81"/>
      <c r="D14" s="6" t="s">
        <v>23</v>
      </c>
      <c r="E14" s="9">
        <f>BARUREJO!AX14+BULUAGUNG!AC14+KESILIR!AJ14+SENEPOREJO!AB14+SILIRAGUNG!AB14</f>
        <v>19220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>
      <c r="A15" s="7"/>
      <c r="B15" s="94"/>
      <c r="C15" s="87"/>
      <c r="D15" s="6" t="s">
        <v>24</v>
      </c>
      <c r="E15" s="9">
        <f>BARUREJO!AX15+BULUAGUNG!AC15+KESILIR!AJ15+SENEPOREJO!AB15+SILIRAGUNG!AB15</f>
        <v>18803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>
      <c r="A16" s="8"/>
      <c r="B16" s="92"/>
      <c r="C16" s="88"/>
      <c r="D16" s="5" t="s">
        <v>25</v>
      </c>
      <c r="E16" s="25">
        <f t="shared" ref="E16" si="0">SUM(E14:E15)</f>
        <v>38023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>
      <c r="A17" s="74"/>
      <c r="B17" s="82"/>
      <c r="C17" s="82"/>
      <c r="D17" s="73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>
      <c r="A18" s="11" t="s">
        <v>26</v>
      </c>
      <c r="B18" s="90" t="s">
        <v>27</v>
      </c>
      <c r="C18" s="82"/>
      <c r="D18" s="73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>
      <c r="A19" s="11"/>
      <c r="B19" s="95" t="s">
        <v>28</v>
      </c>
      <c r="C19" s="96" t="s">
        <v>29</v>
      </c>
      <c r="D19" s="6" t="s">
        <v>23</v>
      </c>
      <c r="E19" s="9">
        <f>BARUREJO!AX19+BULUAGUNG!AC19+KESILIR!AJ19+SENEPOREJO!AB19+SILIRAGUNG!AB19</f>
        <v>14553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>
      <c r="A20" s="12"/>
      <c r="B20" s="87"/>
      <c r="C20" s="97"/>
      <c r="D20" s="6" t="s">
        <v>24</v>
      </c>
      <c r="E20" s="9">
        <f>BARUREJO!AX20+BULUAGUNG!AC20+KESILIR!AJ20+SENEPOREJO!AB20+SILIRAGUNG!AB20</f>
        <v>14882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>
      <c r="A21" s="13"/>
      <c r="B21" s="88"/>
      <c r="C21" s="98"/>
      <c r="D21" s="5" t="s">
        <v>25</v>
      </c>
      <c r="E21" s="25">
        <f t="shared" ref="E21" si="1">SUM(E19:E20)</f>
        <v>29435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>
      <c r="A22" s="12"/>
      <c r="B22" s="95" t="s">
        <v>30</v>
      </c>
      <c r="C22" s="96" t="s">
        <v>31</v>
      </c>
      <c r="D22" s="6" t="s">
        <v>23</v>
      </c>
      <c r="E22" s="9">
        <f>BARUREJO!AX22+BULUAGUNG!AC22+KESILIR!AJ22+SENEPOREJO!AB22+SILIRAGUNG!AB22</f>
        <v>10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>
      <c r="A23" s="12"/>
      <c r="B23" s="87"/>
      <c r="C23" s="97"/>
      <c r="D23" s="6" t="s">
        <v>24</v>
      </c>
      <c r="E23" s="9">
        <f>BARUREJO!AX23+BULUAGUNG!AC23+KESILIR!AJ23+SENEPOREJO!AB23+SILIRAGUNG!AB23</f>
        <v>3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>
      <c r="A24" s="13"/>
      <c r="B24" s="88"/>
      <c r="C24" s="98"/>
      <c r="D24" s="5" t="s">
        <v>25</v>
      </c>
      <c r="E24" s="25">
        <f t="shared" ref="E24" si="2">SUM(E22:E23)</f>
        <v>13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>
      <c r="A25" s="12"/>
      <c r="B25" s="95" t="s">
        <v>32</v>
      </c>
      <c r="C25" s="96" t="s">
        <v>33</v>
      </c>
      <c r="D25" s="6" t="s">
        <v>23</v>
      </c>
      <c r="E25" s="9">
        <f>BARUREJO!AX25+BULUAGUNG!AC25+KESILIR!AJ25+SENEPOREJO!AB25+SILIRAGUNG!AB25</f>
        <v>272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>
      <c r="A26" s="12"/>
      <c r="B26" s="87"/>
      <c r="C26" s="97"/>
      <c r="D26" s="6" t="s">
        <v>24</v>
      </c>
      <c r="E26" s="9">
        <f>BARUREJO!AX26+BULUAGUNG!AC26+KESILIR!AJ26+SENEPOREJO!AB26+SILIRAGUNG!AB26</f>
        <v>391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>
      <c r="A27" s="13"/>
      <c r="B27" s="88"/>
      <c r="C27" s="98"/>
      <c r="D27" s="5" t="s">
        <v>25</v>
      </c>
      <c r="E27" s="25">
        <f t="shared" ref="E27" si="3">SUM(E25:E26)</f>
        <v>663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>
      <c r="A28" s="13"/>
      <c r="B28" s="99" t="s">
        <v>34</v>
      </c>
      <c r="C28" s="100" t="s">
        <v>35</v>
      </c>
      <c r="D28" s="5" t="s">
        <v>23</v>
      </c>
      <c r="E28" s="25">
        <f t="shared" ref="E28:E29" si="4">E19+E22+E25</f>
        <v>14835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>
      <c r="A29" s="13"/>
      <c r="B29" s="87"/>
      <c r="C29" s="97"/>
      <c r="D29" s="5" t="s">
        <v>24</v>
      </c>
      <c r="E29" s="25">
        <f t="shared" si="4"/>
        <v>15276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>
      <c r="A30" s="13"/>
      <c r="B30" s="88"/>
      <c r="C30" s="98"/>
      <c r="D30" s="5" t="s">
        <v>25</v>
      </c>
      <c r="E30" s="25">
        <f t="shared" ref="E30" si="5">SUM(E28:E29)</f>
        <v>30111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>
      <c r="A31" s="74"/>
      <c r="B31" s="82"/>
      <c r="C31" s="82"/>
      <c r="D31" s="73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>
      <c r="A32" s="14" t="s">
        <v>36</v>
      </c>
      <c r="B32" s="69" t="s">
        <v>37</v>
      </c>
      <c r="C32" s="82"/>
      <c r="D32" s="73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>
      <c r="A33" s="6">
        <v>1</v>
      </c>
      <c r="B33" s="90" t="s">
        <v>38</v>
      </c>
      <c r="C33" s="82"/>
      <c r="D33" s="73"/>
      <c r="E33" s="9">
        <f>BARUREJO!AX33+BULUAGUNG!AC33+KESILIR!AJ33+SENEPOREJO!AB33+SILIRAGUNG!AB33</f>
        <v>38867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>
      <c r="A34" s="6">
        <v>2</v>
      </c>
      <c r="B34" s="90" t="s">
        <v>39</v>
      </c>
      <c r="C34" s="82"/>
      <c r="D34" s="73"/>
      <c r="E34" s="9">
        <f>BARUREJO!AX34+BULUAGUNG!AC34+KESILIR!AJ34+SENEPOREJO!AB34+SILIRAGUNG!AB34</f>
        <v>30111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>
      <c r="A35" s="6">
        <v>3</v>
      </c>
      <c r="B35" s="90" t="s">
        <v>40</v>
      </c>
      <c r="C35" s="82"/>
      <c r="D35" s="73"/>
      <c r="E35" s="9">
        <f>BARUREJO!AX35+BULUAGUNG!AC35+KESILIR!AJ35+SENEPOREJO!AB35+SILIRAGUNG!AB35</f>
        <v>75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>
      <c r="A36" s="6">
        <v>4</v>
      </c>
      <c r="B36" s="90" t="s">
        <v>41</v>
      </c>
      <c r="C36" s="82"/>
      <c r="D36" s="73"/>
      <c r="E36" s="25">
        <f t="shared" ref="E36" si="6">E33-(E34+E35)</f>
        <v>8681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>
      <c r="A37" s="74"/>
      <c r="B37" s="82"/>
      <c r="C37" s="82"/>
      <c r="D37" s="82"/>
      <c r="E37" s="82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>
      <c r="A38" s="16" t="s">
        <v>42</v>
      </c>
      <c r="B38" s="69" t="s">
        <v>43</v>
      </c>
      <c r="C38" s="82"/>
      <c r="D38" s="73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>
      <c r="A39" s="11"/>
      <c r="B39" s="85" t="s">
        <v>44</v>
      </c>
      <c r="C39" s="81"/>
      <c r="D39" s="6" t="s">
        <v>23</v>
      </c>
      <c r="E39" s="9">
        <f>BARUREJO!AX39+BULUAGUNG!AC39+KESILIR!AJ39+SENEPOREJO!AB39+SILIRAGUNG!AB39</f>
        <v>11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>
      <c r="A40" s="12"/>
      <c r="B40" s="86"/>
      <c r="C40" s="87"/>
      <c r="D40" s="6" t="s">
        <v>24</v>
      </c>
      <c r="E40" s="9">
        <f>BARUREJO!AX40+BULUAGUNG!AC40+KESILIR!AJ40+SENEPOREJO!AB40+SILIRAGUNG!AB40</f>
        <v>21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>
      <c r="A41" s="14"/>
      <c r="B41" s="84"/>
      <c r="C41" s="88"/>
      <c r="D41" s="5" t="s">
        <v>25</v>
      </c>
      <c r="E41" s="25">
        <f t="shared" ref="E41" si="7">SUM(E39:E40)</f>
        <v>32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>
      <c r="A42" s="83"/>
      <c r="B42" s="84"/>
      <c r="C42" s="84"/>
      <c r="D42" s="88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>
      <c r="A43" s="16" t="s">
        <v>45</v>
      </c>
      <c r="B43" s="69" t="s">
        <v>46</v>
      </c>
      <c r="C43" s="82"/>
      <c r="D43" s="73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>
      <c r="A44" s="85" t="s">
        <v>47</v>
      </c>
      <c r="B44" s="89"/>
      <c r="C44" s="89"/>
      <c r="D44" s="81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>
      <c r="A45" s="11" t="s">
        <v>48</v>
      </c>
      <c r="B45" s="17" t="s">
        <v>28</v>
      </c>
      <c r="C45" s="72" t="s">
        <v>49</v>
      </c>
      <c r="D45" s="73"/>
      <c r="E45" s="9">
        <f>BARUREJO!AX45+BULUAGUNG!AC45+KESILIR!AJ45+SENEPOREJO!AB45+SILIRAGUNG!AB45</f>
        <v>432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>
      <c r="A46" s="11" t="s">
        <v>50</v>
      </c>
      <c r="B46" s="50"/>
      <c r="C46" s="24" t="s">
        <v>105</v>
      </c>
      <c r="D46" s="51"/>
      <c r="E46" s="9">
        <f>BARUREJO!AX46+BULUAGUNG!AC46+KESILIR!AJ46+SENEPOREJO!AB46+SILIRAGUNG!AB46</f>
        <v>1013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>
      <c r="A47" s="7"/>
      <c r="B47" s="50"/>
      <c r="C47" s="24" t="s">
        <v>106</v>
      </c>
      <c r="D47" s="51"/>
      <c r="E47" s="9">
        <f>BARUREJO!AX47+BULUAGUNG!AC47+KESILIR!AJ47+SENEPOREJO!AB47+SILIRAGUNG!AB47</f>
        <v>137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>
      <c r="A48" s="7"/>
      <c r="B48" s="50"/>
      <c r="C48" s="24" t="s">
        <v>107</v>
      </c>
      <c r="D48" s="51"/>
      <c r="E48" s="9">
        <f>BARUREJO!AX48+BULUAGUNG!AC48+KESILIR!AJ48+SENEPOREJO!AB48+SILIRAGUNG!AB48</f>
        <v>57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>
      <c r="A49" s="7"/>
      <c r="B49" s="50"/>
      <c r="C49" s="24" t="s">
        <v>108</v>
      </c>
      <c r="D49" s="51"/>
      <c r="E49" s="9">
        <f>BARUREJO!AX49+BULUAGUNG!AC49+KESILIR!AJ49+SENEPOREJO!AB49+SILIRAGUNG!AB49</f>
        <v>37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>
      <c r="A50" s="7"/>
      <c r="B50" s="50"/>
      <c r="C50" s="24" t="s">
        <v>109</v>
      </c>
      <c r="D50" s="51"/>
      <c r="E50" s="9">
        <f>BARUREJO!AX50+BULUAGUNG!AC50+KESILIR!AJ50+SENEPOREJO!AB50+SILIRAGUNG!AB50</f>
        <v>147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>
      <c r="A51" s="7"/>
      <c r="B51" s="50"/>
      <c r="C51" s="24" t="s">
        <v>110</v>
      </c>
      <c r="D51" s="51"/>
      <c r="E51" s="9">
        <f>BARUREJO!AX51+BULUAGUNG!AC51+KESILIR!AJ51+SENEPOREJO!AB51+SILIRAGUNG!AB51</f>
        <v>22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>
      <c r="A52" s="7"/>
      <c r="B52" s="50"/>
      <c r="C52" s="24" t="s">
        <v>111</v>
      </c>
      <c r="D52" s="51"/>
      <c r="E52" s="9">
        <f>BARUREJO!AX52+BULUAGUNG!AC52+KESILIR!AJ52+SENEPOREJO!AB52+SILIRAGUNG!AB52</f>
        <v>277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>
      <c r="A53" s="7"/>
      <c r="B53" s="45"/>
      <c r="C53" s="46"/>
      <c r="D53" s="46"/>
      <c r="E53" s="54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>
      <c r="A54" s="7"/>
      <c r="B54" s="45"/>
      <c r="C54" s="46"/>
      <c r="D54" s="46"/>
      <c r="E54" s="54"/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>
      <c r="A55" s="6" t="s">
        <v>26</v>
      </c>
      <c r="B55" s="66" t="s">
        <v>51</v>
      </c>
      <c r="C55" s="82"/>
      <c r="D55" s="73"/>
      <c r="E55" s="5">
        <f>SUM(E45:E54)</f>
        <v>2122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>
      <c r="A56" s="83"/>
      <c r="B56" s="84"/>
      <c r="C56" s="84"/>
      <c r="D56" s="84"/>
      <c r="E56" s="84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>
      <c r="A57" s="11" t="s">
        <v>48</v>
      </c>
      <c r="B57" s="17" t="s">
        <v>30</v>
      </c>
      <c r="C57" s="72" t="s">
        <v>52</v>
      </c>
      <c r="D57" s="73"/>
      <c r="E57" s="9">
        <f>BARUREJO!AX57+BULUAGUNG!AC57+KESILIR!AJ57+SENEPOREJO!AB57+SILIRAGUNG!AB57</f>
        <v>576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>
      <c r="A58" s="11" t="s">
        <v>50</v>
      </c>
      <c r="B58" s="50"/>
      <c r="C58" s="24" t="s">
        <v>112</v>
      </c>
      <c r="D58" s="51"/>
      <c r="E58" s="9">
        <f>BARUREJO!AX58+BULUAGUNG!AC58+KESILIR!AJ58+SENEPOREJO!AB58+SILIRAGUNG!AB58</f>
        <v>134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>
      <c r="A59" s="7"/>
      <c r="B59" s="50"/>
      <c r="C59" s="24" t="s">
        <v>113</v>
      </c>
      <c r="D59" s="51"/>
      <c r="E59" s="9">
        <f>BARUREJO!AX59+BULUAGUNG!AC59+KESILIR!AJ59+SENEPOREJO!AB59+SILIRAGUNG!AB59</f>
        <v>1078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>
      <c r="A60" s="7"/>
      <c r="B60" s="50"/>
      <c r="C60" s="24" t="s">
        <v>114</v>
      </c>
      <c r="D60" s="51"/>
      <c r="E60" s="9">
        <f>BARUREJO!AX60+BULUAGUNG!AC60+KESILIR!AJ60+SENEPOREJO!AB60+SILIRAGUNG!AB60</f>
        <v>802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>
      <c r="A61" s="7"/>
      <c r="B61" s="50"/>
      <c r="C61" s="24" t="s">
        <v>115</v>
      </c>
      <c r="D61" s="51"/>
      <c r="E61" s="9">
        <f>BARUREJO!AX61+BULUAGUNG!AC61+KESILIR!AJ61+SENEPOREJO!AB61+SILIRAGUNG!AB61</f>
        <v>75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>
      <c r="A62" s="7"/>
      <c r="B62" s="50"/>
      <c r="C62" s="24" t="s">
        <v>116</v>
      </c>
      <c r="D62" s="51"/>
      <c r="E62" s="9">
        <f>BARUREJO!AX62+BULUAGUNG!AC62+KESILIR!AJ62+SENEPOREJO!AB62+SILIRAGUNG!AB62</f>
        <v>38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>
      <c r="A63" s="7"/>
      <c r="B63" s="50"/>
      <c r="C63" s="24" t="s">
        <v>117</v>
      </c>
      <c r="D63" s="51"/>
      <c r="E63" s="9">
        <f>BARUREJO!AX63+BULUAGUNG!AC63+KESILIR!AJ63+SENEPOREJO!AB63+SILIRAGUNG!AB63</f>
        <v>4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>
      <c r="A64" s="7"/>
      <c r="B64" s="50"/>
      <c r="C64" s="24" t="s">
        <v>118</v>
      </c>
      <c r="D64" s="51"/>
      <c r="E64" s="9">
        <f>BARUREJO!AX64+BULUAGUNG!AC64+KESILIR!AJ64+SENEPOREJO!AB64+SILIRAGUNG!AB64</f>
        <v>20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>
      <c r="A65" s="7"/>
      <c r="B65" s="45"/>
      <c r="C65" s="46"/>
      <c r="D65" s="47"/>
      <c r="E65" s="54"/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>
      <c r="A66" s="7"/>
      <c r="B66" s="45"/>
      <c r="C66" s="46"/>
      <c r="D66" s="47"/>
      <c r="E66" s="54"/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>
      <c r="A67" s="6" t="s">
        <v>26</v>
      </c>
      <c r="B67" s="66" t="s">
        <v>51</v>
      </c>
      <c r="C67" s="82"/>
      <c r="D67" s="73"/>
      <c r="E67" s="5">
        <f>SUM(E57:E66)</f>
        <v>2727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>
      <c r="A68" s="83"/>
      <c r="B68" s="84"/>
      <c r="C68" s="84"/>
      <c r="D68" s="84"/>
      <c r="E68" s="84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>
      <c r="A69" s="11" t="s">
        <v>48</v>
      </c>
      <c r="B69" s="17" t="s">
        <v>32</v>
      </c>
      <c r="C69" s="72" t="s">
        <v>53</v>
      </c>
      <c r="D69" s="73"/>
      <c r="E69" s="9">
        <f>BARUREJO!AX69+BULUAGUNG!AC69+KESILIR!AJ69+SENEPOREJO!AB69+SILIRAGUNG!AB69</f>
        <v>664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>
      <c r="A70" s="11" t="s">
        <v>50</v>
      </c>
      <c r="B70" s="50"/>
      <c r="C70" s="24" t="s">
        <v>119</v>
      </c>
      <c r="D70" s="51"/>
      <c r="E70" s="9">
        <f>BARUREJO!AX70+BULUAGUNG!AC70+KESILIR!AJ70+SENEPOREJO!AB70+SILIRAGUNG!AB70</f>
        <v>1688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>
      <c r="A71" s="7"/>
      <c r="B71" s="50"/>
      <c r="C71" s="24" t="s">
        <v>120</v>
      </c>
      <c r="D71" s="51"/>
      <c r="E71" s="9">
        <f>BARUREJO!AX71+BULUAGUNG!AC71+KESILIR!AJ71+SENEPOREJO!AB71+SILIRAGUNG!AB71</f>
        <v>187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>
      <c r="A72" s="7"/>
      <c r="B72" s="50"/>
      <c r="C72" s="24" t="s">
        <v>121</v>
      </c>
      <c r="D72" s="51"/>
      <c r="E72" s="9">
        <f>BARUREJO!AX72+BULUAGUNG!AC72+KESILIR!AJ72+SENEPOREJO!AB72+SILIRAGUNG!AB72</f>
        <v>83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>
      <c r="A73" s="7"/>
      <c r="B73" s="50"/>
      <c r="C73" s="24" t="s">
        <v>122</v>
      </c>
      <c r="D73" s="51"/>
      <c r="E73" s="9">
        <f>BARUREJO!AX73+BULUAGUNG!AC73+KESILIR!AJ73+SENEPOREJO!AB73+SILIRAGUNG!AB73</f>
        <v>50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>
      <c r="A74" s="7"/>
      <c r="B74" s="50"/>
      <c r="C74" s="24" t="s">
        <v>123</v>
      </c>
      <c r="D74" s="51"/>
      <c r="E74" s="9">
        <f>BARUREJO!AX74+BULUAGUNG!AC74+KESILIR!AJ74+SENEPOREJO!AB74+SILIRAGUNG!AB74</f>
        <v>1573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>
      <c r="A75" s="7"/>
      <c r="B75" s="50"/>
      <c r="C75" s="24" t="s">
        <v>124</v>
      </c>
      <c r="D75" s="51"/>
      <c r="E75" s="9">
        <f>BARUREJO!AX75+BULUAGUNG!AC75+KESILIR!AJ75+SENEPOREJO!AB75+SILIRAGUNG!AB75</f>
        <v>184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>
      <c r="A76" s="7"/>
      <c r="B76" s="50"/>
      <c r="C76" s="24" t="s">
        <v>125</v>
      </c>
      <c r="D76" s="51"/>
      <c r="E76" s="9">
        <f>BARUREJO!AX76+BULUAGUNG!AC76+KESILIR!AJ76+SENEPOREJO!AB76+SILIRAGUNG!AB76</f>
        <v>2966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>
      <c r="A77" s="7"/>
      <c r="B77" s="45"/>
      <c r="C77" s="46"/>
      <c r="D77" s="48"/>
      <c r="E77" s="54"/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>
      <c r="A78" s="7"/>
      <c r="B78" s="45"/>
      <c r="C78" s="46"/>
      <c r="D78" s="48"/>
      <c r="E78" s="54"/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>
      <c r="A79" s="6" t="s">
        <v>26</v>
      </c>
      <c r="B79" s="66" t="s">
        <v>51</v>
      </c>
      <c r="C79" s="82"/>
      <c r="D79" s="73"/>
      <c r="E79" s="5">
        <f>SUM(E69:E78)</f>
        <v>7395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>
      <c r="A80" s="83"/>
      <c r="B80" s="84"/>
      <c r="C80" s="84"/>
      <c r="D80" s="84"/>
      <c r="E80" s="84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>
      <c r="A81" s="11" t="s">
        <v>48</v>
      </c>
      <c r="B81" s="17" t="s">
        <v>34</v>
      </c>
      <c r="C81" s="72" t="s">
        <v>54</v>
      </c>
      <c r="D81" s="73"/>
      <c r="E81" s="9">
        <f>BARUREJO!AX81+BULUAGUNG!AC81+KESILIR!AJ81+SENEPOREJO!AB81+SILIRAGUNG!AB81</f>
        <v>220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>
      <c r="A82" s="11" t="s">
        <v>50</v>
      </c>
      <c r="B82" s="50"/>
      <c r="C82" s="24" t="s">
        <v>126</v>
      </c>
      <c r="D82" s="51"/>
      <c r="E82" s="9">
        <f>BARUREJO!AX82+BULUAGUNG!AC82+KESILIR!AJ82+SENEPOREJO!AB82+SILIRAGUNG!AB82</f>
        <v>405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>
      <c r="A83" s="7"/>
      <c r="B83" s="50"/>
      <c r="C83" s="24" t="s">
        <v>127</v>
      </c>
      <c r="D83" s="51"/>
      <c r="E83" s="9">
        <f>BARUREJO!AX83+BULUAGUNG!AC83+KESILIR!AJ83+SENEPOREJO!AB83+SILIRAGUNG!AB83</f>
        <v>409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>
      <c r="A84" s="7"/>
      <c r="B84" s="50"/>
      <c r="C84" s="24" t="s">
        <v>128</v>
      </c>
      <c r="D84" s="51"/>
      <c r="E84" s="9">
        <f>BARUREJO!AX84+BULUAGUNG!AC84+KESILIR!AJ84+SENEPOREJO!AB84+SILIRAGUNG!AB84</f>
        <v>25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>
      <c r="A85" s="7"/>
      <c r="B85" s="50"/>
      <c r="C85" s="24" t="s">
        <v>129</v>
      </c>
      <c r="D85" s="51"/>
      <c r="E85" s="9">
        <f>BARUREJO!AX85+BULUAGUNG!AC85+KESILIR!AJ85+SENEPOREJO!AB85+SILIRAGUNG!AB85</f>
        <v>237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>
      <c r="A86" s="7"/>
      <c r="B86" s="50"/>
      <c r="C86" s="24" t="s">
        <v>130</v>
      </c>
      <c r="D86" s="51"/>
      <c r="E86" s="9">
        <f>BARUREJO!AX86+BULUAGUNG!AC86+KESILIR!AJ86+SENEPOREJO!AB86+SILIRAGUNG!AB86</f>
        <v>12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>
      <c r="A87" s="7"/>
      <c r="B87" s="50"/>
      <c r="C87" s="24" t="s">
        <v>131</v>
      </c>
      <c r="D87" s="51"/>
      <c r="E87" s="9">
        <f>BARUREJO!AX87+BULUAGUNG!AC87+KESILIR!AJ87+SENEPOREJO!AB87+SILIRAGUNG!AB87</f>
        <v>7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>
      <c r="A88" s="7"/>
      <c r="B88" s="50"/>
      <c r="C88" s="24" t="s">
        <v>132</v>
      </c>
      <c r="D88" s="51"/>
      <c r="E88" s="9">
        <f>BARUREJO!AX88+BULUAGUNG!AC88+KESILIR!AJ88+SENEPOREJO!AB88+SILIRAGUNG!AB88</f>
        <v>8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>
      <c r="A89" s="7"/>
      <c r="B89" s="45"/>
      <c r="C89" s="46"/>
      <c r="D89" s="48"/>
      <c r="E89" s="54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>
      <c r="A90" s="7"/>
      <c r="B90" s="45"/>
      <c r="C90" s="46"/>
      <c r="D90" s="48"/>
      <c r="E90" s="54"/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>
      <c r="A91" s="6" t="s">
        <v>26</v>
      </c>
      <c r="B91" s="66" t="s">
        <v>51</v>
      </c>
      <c r="C91" s="82"/>
      <c r="D91" s="73"/>
      <c r="E91" s="5">
        <f>SUM(E81:E90)</f>
        <v>1323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>
      <c r="A92" s="83"/>
      <c r="B92" s="84"/>
      <c r="C92" s="84"/>
      <c r="D92" s="84"/>
      <c r="E92" s="84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>
      <c r="A93" s="11" t="s">
        <v>48</v>
      </c>
      <c r="B93" s="17" t="s">
        <v>55</v>
      </c>
      <c r="C93" s="72" t="s">
        <v>56</v>
      </c>
      <c r="D93" s="73"/>
      <c r="E93" s="9">
        <f>BARUREJO!AX93+BULUAGUNG!AC93+KESILIR!AJ93+SENEPOREJO!AB93+SILIRAGUNG!AB93</f>
        <v>289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>
      <c r="A94" s="11" t="s">
        <v>50</v>
      </c>
      <c r="B94" s="50"/>
      <c r="C94" s="24" t="s">
        <v>133</v>
      </c>
      <c r="D94" s="51"/>
      <c r="E94" s="9">
        <f>BARUREJO!AX94+BULUAGUNG!AC94+KESILIR!AJ94+SENEPOREJO!AB94+SILIRAGUNG!AB94</f>
        <v>2158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>
      <c r="A95" s="7"/>
      <c r="B95" s="50"/>
      <c r="C95" s="24" t="s">
        <v>134</v>
      </c>
      <c r="D95" s="51"/>
      <c r="E95" s="9">
        <f>BARUREJO!AX95+BULUAGUNG!AC95+KESILIR!AJ95+SENEPOREJO!AB95+SILIRAGUNG!AB95</f>
        <v>220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>
      <c r="A96" s="7"/>
      <c r="B96" s="50"/>
      <c r="C96" s="24" t="s">
        <v>135</v>
      </c>
      <c r="D96" s="51"/>
      <c r="E96" s="9">
        <f>BARUREJO!AX96+BULUAGUNG!AC96+KESILIR!AJ96+SENEPOREJO!AB96+SILIRAGUNG!AB96</f>
        <v>38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>
      <c r="A97" s="7"/>
      <c r="B97" s="50"/>
      <c r="C97" s="24" t="s">
        <v>136</v>
      </c>
      <c r="D97" s="51"/>
      <c r="E97" s="9">
        <f>BARUREJO!AX97+BULUAGUNG!AC97+KESILIR!AJ97+SENEPOREJO!AB97+SILIRAGUNG!AB97</f>
        <v>18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>
      <c r="A98" s="7"/>
      <c r="B98" s="50"/>
      <c r="C98" s="24" t="s">
        <v>137</v>
      </c>
      <c r="D98" s="51"/>
      <c r="E98" s="9">
        <f>BARUREJO!AX98+BULUAGUNG!AC98+KESILIR!AJ98+SENEPOREJO!AB98+SILIRAGUNG!AB98</f>
        <v>298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>
      <c r="A99" s="7"/>
      <c r="B99" s="50"/>
      <c r="C99" s="24" t="s">
        <v>138</v>
      </c>
      <c r="D99" s="51"/>
      <c r="E99" s="9">
        <f>BARUREJO!AX99+BULUAGUNG!AC99+KESILIR!AJ99+SENEPOREJO!AB99+SILIRAGUNG!AB99</f>
        <v>19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>
      <c r="A100" s="7"/>
      <c r="B100" s="50"/>
      <c r="C100" s="24" t="s">
        <v>139</v>
      </c>
      <c r="D100" s="51"/>
      <c r="E100" s="9">
        <f>BARUREJO!AX100+BULUAGUNG!AC100+KESILIR!AJ100+SENEPOREJO!AB100+SILIRAGUNG!AB100</f>
        <v>2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>
      <c r="A101" s="7"/>
      <c r="B101" s="45"/>
      <c r="C101" s="46"/>
      <c r="D101" s="48"/>
      <c r="E101" s="54"/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>
      <c r="A102" s="7"/>
      <c r="B102" s="45"/>
      <c r="C102" s="46"/>
      <c r="D102" s="48"/>
      <c r="E102" s="54"/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>
      <c r="A103" s="6" t="s">
        <v>26</v>
      </c>
      <c r="B103" s="66" t="s">
        <v>51</v>
      </c>
      <c r="C103" s="82"/>
      <c r="D103" s="73"/>
      <c r="E103" s="5">
        <f>SUM(E93:E102)</f>
        <v>3042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>
      <c r="A104" s="83"/>
      <c r="B104" s="84"/>
      <c r="C104" s="84"/>
      <c r="D104" s="84"/>
      <c r="E104" s="84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>
      <c r="A105" s="11" t="s">
        <v>48</v>
      </c>
      <c r="B105" s="17" t="s">
        <v>57</v>
      </c>
      <c r="C105" s="72" t="s">
        <v>58</v>
      </c>
      <c r="D105" s="73"/>
      <c r="E105" s="9">
        <f>BARUREJO!AX105+BULUAGUNG!AC105+KESILIR!AJ105+SENEPOREJO!AB105+SILIRAGUNG!AB105</f>
        <v>19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>
      <c r="A106" s="11" t="s">
        <v>50</v>
      </c>
      <c r="B106" s="50"/>
      <c r="C106" s="24" t="s">
        <v>140</v>
      </c>
      <c r="D106" s="49"/>
      <c r="E106" s="9">
        <f>BARUREJO!AX106+BULUAGUNG!AC106+KESILIR!AJ106+SENEPOREJO!AB106+SILIRAGUNG!AB106</f>
        <v>7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>
      <c r="A107" s="7"/>
      <c r="B107" s="45"/>
      <c r="C107" s="46"/>
      <c r="D107" s="48"/>
      <c r="E107" s="54"/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>
      <c r="A115" s="6" t="s">
        <v>26</v>
      </c>
      <c r="B115" s="66" t="s">
        <v>51</v>
      </c>
      <c r="C115" s="67"/>
      <c r="D115" s="68"/>
      <c r="E115" s="5">
        <f>SUM(E105:E114)</f>
        <v>26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>
      <c r="A116" s="74"/>
      <c r="B116" s="75"/>
      <c r="C116" s="75"/>
      <c r="D116" s="75"/>
      <c r="E116" s="76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>
      <c r="A117" s="11" t="s">
        <v>48</v>
      </c>
      <c r="B117" s="17" t="s">
        <v>59</v>
      </c>
      <c r="C117" s="72" t="s">
        <v>60</v>
      </c>
      <c r="D117" s="73"/>
      <c r="E117" s="9">
        <f>BARUREJO!AX117+BULUAGUNG!AC117+KESILIR!AJ117+SENEPOREJO!AB117+SILIRAGUNG!AB117</f>
        <v>150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>
      <c r="A118" s="11" t="s">
        <v>50</v>
      </c>
      <c r="B118" s="50"/>
      <c r="C118" s="24" t="s">
        <v>141</v>
      </c>
      <c r="D118" s="51"/>
      <c r="E118" s="9">
        <f>BARUREJO!AX118+BULUAGUNG!AC118+KESILIR!AJ118+SENEPOREJO!AB118+SILIRAGUNG!AB118</f>
        <v>42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>
      <c r="A119" s="7"/>
      <c r="B119" s="45"/>
      <c r="C119" s="46"/>
      <c r="D119" s="47"/>
      <c r="E119" s="54"/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>
      <c r="A120" s="7"/>
      <c r="B120" s="45"/>
      <c r="C120" s="46"/>
      <c r="D120" s="47"/>
      <c r="E120" s="54"/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>
      <c r="A121" s="7"/>
      <c r="B121" s="45"/>
      <c r="C121" s="46"/>
      <c r="D121" s="47"/>
      <c r="E121" s="54"/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>
      <c r="A122" s="7"/>
      <c r="B122" s="45"/>
      <c r="C122" s="46"/>
      <c r="D122" s="48"/>
      <c r="E122" s="54"/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>
      <c r="A127" s="6" t="s">
        <v>26</v>
      </c>
      <c r="B127" s="66" t="s">
        <v>51</v>
      </c>
      <c r="C127" s="67"/>
      <c r="D127" s="68"/>
      <c r="E127" s="5">
        <f>SUM(E117:E126)</f>
        <v>192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>
      <c r="A128" s="74"/>
      <c r="B128" s="75"/>
      <c r="C128" s="75"/>
      <c r="D128" s="75"/>
      <c r="E128" s="76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>
      <c r="A129" s="11" t="s">
        <v>48</v>
      </c>
      <c r="B129" s="17" t="s">
        <v>61</v>
      </c>
      <c r="C129" s="72" t="s">
        <v>62</v>
      </c>
      <c r="D129" s="73"/>
      <c r="E129" s="9">
        <f>BARUREJO!AX129+BULUAGUNG!AC129+KESILIR!AJ129+SENEPOREJO!AB129+SILIRAGUNG!AB129</f>
        <v>38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>
      <c r="A130" s="11" t="s">
        <v>50</v>
      </c>
      <c r="B130" s="50"/>
      <c r="C130" s="24" t="s">
        <v>142</v>
      </c>
      <c r="D130" s="51"/>
      <c r="E130" s="9">
        <f>BARUREJO!AX130+BULUAGUNG!AC130+KESILIR!AJ130+SENEPOREJO!AB130+SILIRAGUNG!AB130</f>
        <v>32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>
      <c r="A131" s="7"/>
      <c r="B131" s="50"/>
      <c r="C131" s="24" t="s">
        <v>143</v>
      </c>
      <c r="D131" s="51"/>
      <c r="E131" s="9">
        <f>BARUREJO!AX131+BULUAGUNG!AC131+KESILIR!AJ131+SENEPOREJO!AB131+SILIRAGUNG!AB131</f>
        <v>11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>
      <c r="A132" s="7"/>
      <c r="B132" s="50"/>
      <c r="C132" s="24" t="s">
        <v>144</v>
      </c>
      <c r="D132" s="51"/>
      <c r="E132" s="9">
        <f>BARUREJO!AX132+BULUAGUNG!AC132+KESILIR!AJ132+SENEPOREJO!AB132+SILIRAGUNG!AB132</f>
        <v>8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>
      <c r="A133" s="7"/>
      <c r="B133" s="50"/>
      <c r="C133" s="24" t="s">
        <v>145</v>
      </c>
      <c r="D133" s="51"/>
      <c r="E133" s="9">
        <f>BARUREJO!AX133+BULUAGUNG!AC133+KESILIR!AJ133+SENEPOREJO!AB133+SILIRAGUNG!AB133</f>
        <v>3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>
      <c r="A134" s="7"/>
      <c r="B134" s="50"/>
      <c r="C134" s="24" t="s">
        <v>146</v>
      </c>
      <c r="D134" s="51"/>
      <c r="E134" s="9">
        <f>BARUREJO!AX134+BULUAGUNG!AC134+KESILIR!AJ134+SENEPOREJO!AB134+SILIRAGUNG!AB134</f>
        <v>5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>
      <c r="A135" s="7"/>
      <c r="B135" s="50"/>
      <c r="C135" s="24" t="s">
        <v>147</v>
      </c>
      <c r="D135" s="51"/>
      <c r="E135" s="9">
        <f>BARUREJO!AX135+BULUAGUNG!AC135+KESILIR!AJ135+SENEPOREJO!AB135+SILIRAGUNG!AB135</f>
        <v>0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>
      <c r="A136" s="7"/>
      <c r="B136" s="50"/>
      <c r="C136" s="24" t="s">
        <v>148</v>
      </c>
      <c r="D136" s="51"/>
      <c r="E136" s="9">
        <f>BARUREJO!AX136+BULUAGUNG!AC136+KESILIR!AJ136+SENEPOREJO!AB136+SILIRAGUNG!AB136</f>
        <v>58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>
      <c r="A137" s="7"/>
      <c r="B137" s="45"/>
      <c r="C137" s="46"/>
      <c r="D137" s="47"/>
      <c r="E137" s="54"/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>
      <c r="A138" s="7"/>
      <c r="B138" s="45"/>
      <c r="C138" s="46"/>
      <c r="D138" s="47"/>
      <c r="E138" s="54"/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>
      <c r="A139" s="6" t="s">
        <v>26</v>
      </c>
      <c r="B139" s="66" t="s">
        <v>51</v>
      </c>
      <c r="C139" s="67"/>
      <c r="D139" s="68"/>
      <c r="E139" s="5">
        <f>SUM(E129:E138)</f>
        <v>155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>
      <c r="A140" s="74"/>
      <c r="B140" s="75"/>
      <c r="C140" s="75"/>
      <c r="D140" s="75"/>
      <c r="E140" s="76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>
      <c r="A141" s="11" t="s">
        <v>48</v>
      </c>
      <c r="B141" s="17" t="s">
        <v>63</v>
      </c>
      <c r="C141" s="72" t="s">
        <v>64</v>
      </c>
      <c r="D141" s="73"/>
      <c r="E141" s="9">
        <f>BARUREJO!AX141+BULUAGUNG!AC141+KESILIR!AJ141+SENEPOREJO!AB141+SILIRAGUNG!AB141</f>
        <v>9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>
      <c r="A142" s="11" t="s">
        <v>50</v>
      </c>
      <c r="B142" s="17"/>
      <c r="C142" s="24" t="s">
        <v>149</v>
      </c>
      <c r="D142" s="49"/>
      <c r="E142" s="9">
        <f>BARUREJO!AX142+BULUAGUNG!AC142+KESILIR!AJ142+SENEPOREJO!AB142+SILIRAGUNG!AB142</f>
        <v>16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>
      <c r="A143" s="7"/>
      <c r="B143" s="45"/>
      <c r="C143" s="46"/>
      <c r="D143" s="48"/>
      <c r="E143" s="54"/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>
      <c r="A144" s="7"/>
      <c r="B144" s="45"/>
      <c r="C144" s="46"/>
      <c r="D144" s="48"/>
      <c r="E144" s="54"/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>
      <c r="A151" s="6" t="s">
        <v>26</v>
      </c>
      <c r="B151" s="66" t="s">
        <v>51</v>
      </c>
      <c r="C151" s="67"/>
      <c r="D151" s="68"/>
      <c r="E151" s="5">
        <f>SUM(E141:E150)</f>
        <v>25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>
      <c r="A152" s="74"/>
      <c r="B152" s="75"/>
      <c r="C152" s="75"/>
      <c r="D152" s="75"/>
      <c r="E152" s="76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>
      <c r="A153" s="11" t="s">
        <v>48</v>
      </c>
      <c r="B153" s="44" t="s">
        <v>65</v>
      </c>
      <c r="C153" s="80" t="s">
        <v>66</v>
      </c>
      <c r="D153" s="81"/>
      <c r="E153" s="9">
        <f>BARUREJO!AX153+BULUAGUNG!AC153+KESILIR!AJ153+SENEPOREJO!AB153+SILIRAGUNG!AB153</f>
        <v>1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>
      <c r="A154" s="52" t="s">
        <v>50</v>
      </c>
      <c r="B154" s="50"/>
      <c r="C154" s="24" t="s">
        <v>150</v>
      </c>
      <c r="D154" s="51"/>
      <c r="E154" s="9">
        <f>BARUREJO!AX154+BULUAGUNG!AC154+KESILIR!AJ154+SENEPOREJO!AB154+SILIRAGUNG!AB154</f>
        <v>5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>
      <c r="A155" s="7"/>
      <c r="B155" s="50"/>
      <c r="C155" s="24" t="s">
        <v>151</v>
      </c>
      <c r="D155" s="51"/>
      <c r="E155" s="9">
        <f>BARUREJO!AX155+BULUAGUNG!AC155+KESILIR!AJ155+SENEPOREJO!AB155+SILIRAGUNG!AB155</f>
        <v>4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>
      <c r="A156" s="7"/>
      <c r="B156" s="50"/>
      <c r="C156" s="24" t="s">
        <v>152</v>
      </c>
      <c r="D156" s="51"/>
      <c r="E156" s="9">
        <f>BARUREJO!AX156+BULUAGUNG!AC156+KESILIR!AJ156+SENEPOREJO!AB156+SILIRAGUNG!AB156</f>
        <v>3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>
      <c r="A157" s="7"/>
      <c r="B157" s="50"/>
      <c r="C157" s="24" t="s">
        <v>153</v>
      </c>
      <c r="D157" s="51"/>
      <c r="E157" s="9">
        <f>BARUREJO!AX157+BULUAGUNG!AC157+KESILIR!AJ157+SENEPOREJO!AB157+SILIRAGUNG!AB157</f>
        <v>50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>
      <c r="A158" s="7"/>
      <c r="B158" s="50"/>
      <c r="C158" s="24" t="s">
        <v>154</v>
      </c>
      <c r="D158" s="51"/>
      <c r="E158" s="9">
        <f>BARUREJO!AX158+BULUAGUNG!AC158+KESILIR!AJ158+SENEPOREJO!AB158+SILIRAGUNG!AB158</f>
        <v>4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>
      <c r="A159" s="7"/>
      <c r="B159" s="50"/>
      <c r="C159" s="24" t="s">
        <v>155</v>
      </c>
      <c r="D159" s="51"/>
      <c r="E159" s="9">
        <f>BARUREJO!AX159+BULUAGUNG!AC159+KESILIR!AJ159+SENEPOREJO!AB159+SILIRAGUNG!AB159</f>
        <v>10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>
      <c r="A160" s="7"/>
      <c r="B160" s="50"/>
      <c r="C160" s="24" t="s">
        <v>156</v>
      </c>
      <c r="D160" s="51"/>
      <c r="E160" s="9">
        <f>BARUREJO!AX160+BULUAGUNG!AC160+KESILIR!AJ160+SENEPOREJO!AB160+SILIRAGUNG!AB160</f>
        <v>0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>
      <c r="A163" s="6" t="s">
        <v>26</v>
      </c>
      <c r="B163" s="77" t="s">
        <v>51</v>
      </c>
      <c r="C163" s="78"/>
      <c r="D163" s="79"/>
      <c r="E163" s="5">
        <f>SUM(E153:E162)</f>
        <v>77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>
      <c r="A164" s="74"/>
      <c r="B164" s="75"/>
      <c r="C164" s="75"/>
      <c r="D164" s="75"/>
      <c r="E164" s="76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>
      <c r="A165" s="11" t="s">
        <v>48</v>
      </c>
      <c r="B165" s="17" t="s">
        <v>67</v>
      </c>
      <c r="C165" s="72" t="s">
        <v>68</v>
      </c>
      <c r="D165" s="73"/>
      <c r="E165" s="9">
        <f>BARUREJO!AX165+BULUAGUNG!AC165+KESILIR!AJ165+SENEPOREJO!AB165+SILIRAGUNG!AB165</f>
        <v>11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>
      <c r="A166" s="11" t="s">
        <v>50</v>
      </c>
      <c r="B166" s="45"/>
      <c r="C166" s="46"/>
      <c r="D166" s="48"/>
      <c r="E166" s="54"/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>
      <c r="A175" s="6" t="s">
        <v>26</v>
      </c>
      <c r="B175" s="66" t="s">
        <v>51</v>
      </c>
      <c r="C175" s="67"/>
      <c r="D175" s="68"/>
      <c r="E175" s="5">
        <f>SUM(E165:E174)</f>
        <v>11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>
      <c r="A176" s="74"/>
      <c r="B176" s="75"/>
      <c r="C176" s="75"/>
      <c r="D176" s="75"/>
      <c r="E176" s="76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>
      <c r="A177" s="11" t="s">
        <v>48</v>
      </c>
      <c r="B177" s="17" t="s">
        <v>69</v>
      </c>
      <c r="C177" s="72" t="s">
        <v>70</v>
      </c>
      <c r="D177" s="73"/>
      <c r="E177" s="9">
        <f>BARUREJO!AX177+BULUAGUNG!AC177+KESILIR!AJ177+SENEPOREJO!AB177+SILIRAGUNG!AB177</f>
        <v>35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>
      <c r="A178" s="11" t="s">
        <v>50</v>
      </c>
      <c r="B178" s="50"/>
      <c r="C178" s="24" t="s">
        <v>157</v>
      </c>
      <c r="D178" s="51"/>
      <c r="E178" s="9">
        <f>BARUREJO!AX178+BULUAGUNG!AC178+KESILIR!AJ178+SENEPOREJO!AB178+SILIRAGUNG!AB178</f>
        <v>18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>
      <c r="A179" s="7"/>
      <c r="B179" s="50"/>
      <c r="C179" s="24" t="s">
        <v>158</v>
      </c>
      <c r="D179" s="51"/>
      <c r="E179" s="9">
        <f>BARUREJO!AX179+BULUAGUNG!AC179+KESILIR!AJ179+SENEPOREJO!AB179+SILIRAGUNG!AB179</f>
        <v>11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>
      <c r="A180" s="7"/>
      <c r="B180" s="50"/>
      <c r="C180" s="24" t="s">
        <v>159</v>
      </c>
      <c r="D180" s="51"/>
      <c r="E180" s="9">
        <f>BARUREJO!AX180+BULUAGUNG!AC180+KESILIR!AJ180+SENEPOREJO!AB180+SILIRAGUNG!AB180</f>
        <v>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>
      <c r="A181" s="7"/>
      <c r="B181" s="50"/>
      <c r="C181" s="24" t="s">
        <v>160</v>
      </c>
      <c r="D181" s="51"/>
      <c r="E181" s="9">
        <f>BARUREJO!AX181+BULUAGUNG!AC181+KESILIR!AJ181+SENEPOREJO!AB181+SILIRAGUNG!AB181</f>
        <v>3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>
      <c r="A182" s="7"/>
      <c r="B182" s="45"/>
      <c r="C182" s="46"/>
      <c r="D182" s="47"/>
      <c r="E182" s="54"/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>
      <c r="A183" s="7"/>
      <c r="B183" s="45"/>
      <c r="C183" s="46"/>
      <c r="D183" s="47"/>
      <c r="E183" s="54"/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>
      <c r="A184" s="7"/>
      <c r="B184" s="45"/>
      <c r="C184" s="46"/>
      <c r="D184" s="48"/>
      <c r="E184" s="54"/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>
      <c r="A185" s="7"/>
      <c r="B185" s="45"/>
      <c r="C185" s="46"/>
      <c r="D185" s="48"/>
      <c r="E185" s="54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>
      <c r="A186" s="7"/>
      <c r="B186" s="45"/>
      <c r="C186" s="46"/>
      <c r="D186" s="48"/>
      <c r="E186" s="54"/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>
      <c r="A187" s="6" t="s">
        <v>26</v>
      </c>
      <c r="B187" s="66" t="s">
        <v>51</v>
      </c>
      <c r="C187" s="67"/>
      <c r="D187" s="68"/>
      <c r="E187" s="5">
        <f>SUM(E177:E186)</f>
        <v>72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>
      <c r="A188" s="74"/>
      <c r="B188" s="75"/>
      <c r="C188" s="75"/>
      <c r="D188" s="75"/>
      <c r="E188" s="76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>
      <c r="A189" s="11" t="s">
        <v>48</v>
      </c>
      <c r="B189" s="17" t="s">
        <v>71</v>
      </c>
      <c r="C189" s="72" t="s">
        <v>72</v>
      </c>
      <c r="D189" s="73"/>
      <c r="E189" s="9">
        <f>BARUREJO!AX189+BULUAGUNG!AC189+KESILIR!AJ189+SENEPOREJO!AB189+SILIRAGUNG!AB189</f>
        <v>5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>
      <c r="A190" s="11" t="s">
        <v>50</v>
      </c>
      <c r="B190" s="50"/>
      <c r="C190" s="24" t="s">
        <v>161</v>
      </c>
      <c r="D190" s="51"/>
      <c r="E190" s="9">
        <f>BARUREJO!AX190+BULUAGUNG!AC190+KESILIR!AJ190+SENEPOREJO!AB190+SILIRAGUNG!AB190</f>
        <v>6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>
      <c r="A191" s="7"/>
      <c r="B191" s="50"/>
      <c r="C191" s="24" t="s">
        <v>162</v>
      </c>
      <c r="D191" s="51"/>
      <c r="E191" s="9">
        <f>BARUREJO!AX191+BULUAGUNG!AC191+KESILIR!AJ191+SENEPOREJO!AB191+SILIRAGUNG!AB191</f>
        <v>1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>
      <c r="A192" s="7"/>
      <c r="B192" s="50"/>
      <c r="C192" s="24" t="s">
        <v>163</v>
      </c>
      <c r="D192" s="51"/>
      <c r="E192" s="9">
        <f>BARUREJO!AX192+BULUAGUNG!AC192+KESILIR!AJ192+SENEPOREJO!AB192+SILIRAGUNG!AB192</f>
        <v>11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>
      <c r="A193" s="7"/>
      <c r="B193" s="50"/>
      <c r="C193" s="24" t="s">
        <v>164</v>
      </c>
      <c r="D193" s="51"/>
      <c r="E193" s="9">
        <f>BARUREJO!AX193+BULUAGUNG!AC193+KESILIR!AJ193+SENEPOREJO!AB193+SILIRAGUNG!AB193</f>
        <v>0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>
      <c r="A194" s="7"/>
      <c r="B194" s="50"/>
      <c r="C194" s="24" t="s">
        <v>165</v>
      </c>
      <c r="D194" s="51"/>
      <c r="E194" s="9">
        <f>BARUREJO!AX194+BULUAGUNG!AC194+KESILIR!AJ194+SENEPOREJO!AB194+SILIRAGUNG!AB194</f>
        <v>0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>
      <c r="A195" s="7"/>
      <c r="B195" s="50"/>
      <c r="C195" s="24" t="s">
        <v>166</v>
      </c>
      <c r="D195" s="51"/>
      <c r="E195" s="9">
        <f>BARUREJO!AX195+BULUAGUNG!AC195+KESILIR!AJ195+SENEPOREJO!AB195+SILIRAGUNG!AB195</f>
        <v>0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>
      <c r="A196" s="7"/>
      <c r="B196" s="50"/>
      <c r="C196" s="24" t="s">
        <v>167</v>
      </c>
      <c r="D196" s="51"/>
      <c r="E196" s="9">
        <f>BARUREJO!AX196+BULUAGUNG!AC196+KESILIR!AJ196+SENEPOREJO!AB196+SILIRAGUNG!AB196</f>
        <v>1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>
      <c r="A197" s="7"/>
      <c r="B197" s="45"/>
      <c r="C197" s="46"/>
      <c r="D197" s="48"/>
      <c r="E197" s="54"/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>
      <c r="A198" s="7"/>
      <c r="B198" s="45"/>
      <c r="C198" s="46"/>
      <c r="D198" s="48"/>
      <c r="E198" s="54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>
      <c r="A199" s="6" t="s">
        <v>26</v>
      </c>
      <c r="B199" s="66" t="s">
        <v>51</v>
      </c>
      <c r="C199" s="67"/>
      <c r="D199" s="68"/>
      <c r="E199" s="5">
        <f>SUM(E189:E198)</f>
        <v>24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>
      <c r="A200" s="74"/>
      <c r="B200" s="75"/>
      <c r="C200" s="75"/>
      <c r="D200" s="75"/>
      <c r="E200" s="76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>
      <c r="A201" s="11" t="s">
        <v>48</v>
      </c>
      <c r="B201" s="17" t="s">
        <v>73</v>
      </c>
      <c r="C201" s="72" t="s">
        <v>74</v>
      </c>
      <c r="D201" s="73"/>
      <c r="E201" s="9">
        <f>BARUREJO!AX201+BULUAGUNG!AC201+KESILIR!AJ201+SENEPOREJO!AB201+SILIRAGUNG!AB201</f>
        <v>184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>
      <c r="A202" s="11" t="s">
        <v>50</v>
      </c>
      <c r="B202" s="50"/>
      <c r="C202" s="24" t="s">
        <v>168</v>
      </c>
      <c r="D202" s="51"/>
      <c r="E202" s="9">
        <f>BARUREJO!AX202+BULUAGUNG!AC202+KESILIR!AJ202+SENEPOREJO!AB202+SILIRAGUNG!AB202</f>
        <v>924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>
      <c r="A203" s="7"/>
      <c r="B203" s="50"/>
      <c r="C203" s="24" t="s">
        <v>169</v>
      </c>
      <c r="D203" s="51"/>
      <c r="E203" s="9">
        <f>BARUREJO!AX203+BULUAGUNG!AC203+KESILIR!AJ203+SENEPOREJO!AB203+SILIRAGUNG!AB203</f>
        <v>38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>
      <c r="A204" s="7"/>
      <c r="B204" s="50"/>
      <c r="C204" s="24" t="s">
        <v>170</v>
      </c>
      <c r="D204" s="51"/>
      <c r="E204" s="9">
        <f>BARUREJO!AX204+BULUAGUNG!AC204+KESILIR!AJ204+SENEPOREJO!AB204+SILIRAGUNG!AB204</f>
        <v>17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>
      <c r="A205" s="7"/>
      <c r="B205" s="50"/>
      <c r="C205" s="24" t="s">
        <v>171</v>
      </c>
      <c r="D205" s="51"/>
      <c r="E205" s="9">
        <f>BARUREJO!AX205+BULUAGUNG!AC205+KESILIR!AJ205+SENEPOREJO!AB205+SILIRAGUNG!AB205</f>
        <v>90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>
      <c r="A206" s="7"/>
      <c r="B206" s="50"/>
      <c r="C206" s="24" t="s">
        <v>172</v>
      </c>
      <c r="D206" s="51"/>
      <c r="E206" s="9">
        <f>BARUREJO!AX206+BULUAGUNG!AC206+KESILIR!AJ206+SENEPOREJO!AB206+SILIRAGUNG!AB206</f>
        <v>5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>
      <c r="A207" s="7"/>
      <c r="B207" s="50"/>
      <c r="C207" s="24" t="s">
        <v>173</v>
      </c>
      <c r="D207" s="51"/>
      <c r="E207" s="9">
        <f>BARUREJO!AX207+BULUAGUNG!AC207+KESILIR!AJ207+SENEPOREJO!AB207+SILIRAGUNG!AB207</f>
        <v>8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>
      <c r="A208" s="7"/>
      <c r="B208" s="50"/>
      <c r="C208" s="24" t="s">
        <v>174</v>
      </c>
      <c r="D208" s="51"/>
      <c r="E208" s="9">
        <f>BARUREJO!AX208+BULUAGUNG!AC208+KESILIR!AJ208+SENEPOREJO!AB208+SILIRAGUNG!AB208</f>
        <v>447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>
      <c r="A209" s="7"/>
      <c r="B209" s="45"/>
      <c r="C209" s="46"/>
      <c r="D209" s="48"/>
      <c r="E209" s="54"/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>
      <c r="A210" s="7"/>
      <c r="B210" s="45"/>
      <c r="C210" s="46"/>
      <c r="D210" s="48"/>
      <c r="E210" s="54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>
      <c r="A211" s="6" t="s">
        <v>26</v>
      </c>
      <c r="B211" s="66" t="s">
        <v>51</v>
      </c>
      <c r="C211" s="67"/>
      <c r="D211" s="68"/>
      <c r="E211" s="5">
        <f>SUM(E201:E210)</f>
        <v>1713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>
      <c r="A212" s="74"/>
      <c r="B212" s="75"/>
      <c r="C212" s="75"/>
      <c r="D212" s="75"/>
      <c r="E212" s="76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>
      <c r="A213" s="11" t="s">
        <v>48</v>
      </c>
      <c r="B213" s="17" t="s">
        <v>75</v>
      </c>
      <c r="C213" s="72" t="s">
        <v>76</v>
      </c>
      <c r="D213" s="73"/>
      <c r="E213" s="9">
        <f>BARUREJO!AX213+BULUAGUNG!AC213+KESILIR!AJ213+SENEPOREJO!AB213+SILIRAGUNG!AB213</f>
        <v>56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>
      <c r="A214" s="11" t="s">
        <v>50</v>
      </c>
      <c r="B214" s="50"/>
      <c r="C214" s="24" t="s">
        <v>175</v>
      </c>
      <c r="D214" s="51"/>
      <c r="E214" s="9">
        <f>BARUREJO!AX214+BULUAGUNG!AC214+KESILIR!AJ214+SENEPOREJO!AB214+SILIRAGUNG!AB214</f>
        <v>65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>
      <c r="A215" s="7"/>
      <c r="B215" s="50"/>
      <c r="C215" s="24" t="s">
        <v>176</v>
      </c>
      <c r="D215" s="51"/>
      <c r="E215" s="9">
        <f>BARUREJO!AX215+BULUAGUNG!AC215+KESILIR!AJ215+SENEPOREJO!AB215+SILIRAGUNG!AB215</f>
        <v>18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>
      <c r="A216" s="7"/>
      <c r="B216" s="45"/>
      <c r="C216" s="61"/>
      <c r="D216" s="61"/>
      <c r="E216" s="54"/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>
      <c r="A223" s="6" t="s">
        <v>26</v>
      </c>
      <c r="B223" s="66" t="s">
        <v>51</v>
      </c>
      <c r="C223" s="67"/>
      <c r="D223" s="68"/>
      <c r="E223" s="5">
        <f>SUM(E213:E222)</f>
        <v>139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>
      <c r="A224" s="74"/>
      <c r="B224" s="75"/>
      <c r="C224" s="75"/>
      <c r="D224" s="75"/>
      <c r="E224" s="76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>
      <c r="A225" s="11" t="s">
        <v>48</v>
      </c>
      <c r="B225" s="17" t="s">
        <v>77</v>
      </c>
      <c r="C225" s="72" t="s">
        <v>78</v>
      </c>
      <c r="D225" s="73"/>
      <c r="E225" s="9">
        <f>BARUREJO!AX225+BULUAGUNG!AC225+KESILIR!AJ225+SENEPOREJO!AB225+SILIRAGUNG!AB225</f>
        <v>21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>
      <c r="A226" s="11" t="s">
        <v>50</v>
      </c>
      <c r="B226" s="17"/>
      <c r="C226" s="24" t="s">
        <v>177</v>
      </c>
      <c r="D226" s="49"/>
      <c r="E226" s="9">
        <f>BARUREJO!AX226+BULUAGUNG!AC226+KESILIR!AJ226+SENEPOREJO!AB226+SILIRAGUNG!AB226</f>
        <v>55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>
      <c r="A227" s="7"/>
      <c r="B227" s="63"/>
      <c r="C227" s="46"/>
      <c r="D227" s="48"/>
      <c r="E227" s="54"/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>
      <c r="A228" s="7"/>
      <c r="B228" s="63"/>
      <c r="C228" s="46"/>
      <c r="D228" s="48"/>
      <c r="E228" s="54"/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>
      <c r="A229" s="7"/>
      <c r="B229" s="45"/>
      <c r="C229" s="46"/>
      <c r="D229" s="48"/>
      <c r="E229" s="54"/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>
      <c r="A235" s="6" t="s">
        <v>26</v>
      </c>
      <c r="B235" s="66" t="s">
        <v>51</v>
      </c>
      <c r="C235" s="67"/>
      <c r="D235" s="68"/>
      <c r="E235" s="5">
        <f>SUM(E225:E234)</f>
        <v>76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>
      <c r="A236" s="74"/>
      <c r="B236" s="75"/>
      <c r="C236" s="75"/>
      <c r="D236" s="75"/>
      <c r="E236" s="76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>
      <c r="A237" s="11" t="s">
        <v>48</v>
      </c>
      <c r="B237" s="17" t="s">
        <v>79</v>
      </c>
      <c r="C237" s="72" t="s">
        <v>80</v>
      </c>
      <c r="D237" s="73"/>
      <c r="E237" s="9">
        <f>BARUREJO!AX237+BULUAGUNG!AC237+KESILIR!AJ237+SENEPOREJO!AB237+SILIRAGUNG!AB237</f>
        <v>92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>
      <c r="A238" s="11" t="s">
        <v>50</v>
      </c>
      <c r="B238" s="50"/>
      <c r="C238" s="24" t="s">
        <v>178</v>
      </c>
      <c r="D238" s="51"/>
      <c r="E238" s="9">
        <f>BARUREJO!AX238+BULUAGUNG!AC238+KESILIR!AJ238+SENEPOREJO!AB238+SILIRAGUNG!AB238</f>
        <v>824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>
      <c r="A239" s="7"/>
      <c r="B239" s="50"/>
      <c r="C239" s="24" t="s">
        <v>179</v>
      </c>
      <c r="D239" s="51"/>
      <c r="E239" s="9">
        <f>BARUREJO!AX239+BULUAGUNG!AC239+KESILIR!AJ239+SENEPOREJO!AB239+SILIRAGUNG!AB239</f>
        <v>83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>
      <c r="A240" s="7"/>
      <c r="B240" s="50"/>
      <c r="C240" s="24" t="s">
        <v>180</v>
      </c>
      <c r="D240" s="51"/>
      <c r="E240" s="9">
        <f>BARUREJO!AX240+BULUAGUNG!AC240+KESILIR!AJ240+SENEPOREJO!AB240+SILIRAGUNG!AB240</f>
        <v>3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>
      <c r="A241" s="7"/>
      <c r="B241" s="50"/>
      <c r="C241" s="24" t="s">
        <v>181</v>
      </c>
      <c r="D241" s="51"/>
      <c r="E241" s="9">
        <f>BARUREJO!AX241+BULUAGUNG!AC241+KESILIR!AJ241+SENEPOREJO!AB241+SILIRAGUNG!AB241</f>
        <v>8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>
      <c r="A242" s="7"/>
      <c r="B242" s="50"/>
      <c r="C242" s="24" t="s">
        <v>182</v>
      </c>
      <c r="D242" s="51"/>
      <c r="E242" s="9">
        <f>BARUREJO!AX242+BULUAGUNG!AC242+KESILIR!AJ242+SENEPOREJO!AB242+SILIRAGUNG!AB242</f>
        <v>7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>
      <c r="A243" s="7"/>
      <c r="B243" s="50"/>
      <c r="C243" s="24" t="s">
        <v>183</v>
      </c>
      <c r="D243" s="51"/>
      <c r="E243" s="9">
        <f>BARUREJO!AX243+BULUAGUNG!AC243+KESILIR!AJ243+SENEPOREJO!AB243+SILIRAGUNG!AB243</f>
        <v>9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>
      <c r="A244" s="7"/>
      <c r="B244" s="50"/>
      <c r="C244" s="24" t="s">
        <v>184</v>
      </c>
      <c r="D244" s="51"/>
      <c r="E244" s="9">
        <f>BARUREJO!AX244+BULUAGUNG!AC244+KESILIR!AJ244+SENEPOREJO!AB244+SILIRAGUNG!AB244</f>
        <v>15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>
      <c r="A245" s="7"/>
      <c r="B245" s="45"/>
      <c r="C245" s="46"/>
      <c r="D245" s="48"/>
      <c r="E245" s="54"/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>
      <c r="A246" s="7"/>
      <c r="B246" s="45"/>
      <c r="C246" s="46"/>
      <c r="D246" s="48"/>
      <c r="E246" s="54"/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>
      <c r="A247" s="6" t="s">
        <v>26</v>
      </c>
      <c r="B247" s="66" t="s">
        <v>51</v>
      </c>
      <c r="C247" s="67"/>
      <c r="D247" s="68"/>
      <c r="E247" s="5">
        <f>SUM(E237:E246)</f>
        <v>1041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>
      <c r="A248" s="74"/>
      <c r="B248" s="75"/>
      <c r="C248" s="75"/>
      <c r="D248" s="75"/>
      <c r="E248" s="76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>
      <c r="A249" s="11" t="s">
        <v>48</v>
      </c>
      <c r="B249" s="17" t="s">
        <v>81</v>
      </c>
      <c r="C249" s="72" t="s">
        <v>82</v>
      </c>
      <c r="D249" s="73"/>
      <c r="E249" s="9">
        <f>BARUREJO!AX249+BULUAGUNG!AC249+KESILIR!AJ249+SENEPOREJO!AB249+SILIRAGUNG!AB249</f>
        <v>11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>
      <c r="A250" s="11" t="s">
        <v>50</v>
      </c>
      <c r="B250" s="17"/>
      <c r="C250" s="24" t="s">
        <v>185</v>
      </c>
      <c r="D250" s="49"/>
      <c r="E250" s="9">
        <f>BARUREJO!AX250+BULUAGUNG!AC250+KESILIR!AJ250+SENEPOREJO!AB250+SILIRAGUNG!AB250</f>
        <v>57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>
      <c r="A251" s="7"/>
      <c r="B251" s="17"/>
      <c r="C251" s="24" t="s">
        <v>186</v>
      </c>
      <c r="D251" s="49"/>
      <c r="E251" s="9">
        <f>BARUREJO!AX251+BULUAGUNG!AC251+KESILIR!AJ251+SENEPOREJO!AB251+SILIRAGUNG!AB251</f>
        <v>1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>
      <c r="A252" s="7"/>
      <c r="B252" s="50"/>
      <c r="C252" s="24" t="s">
        <v>187</v>
      </c>
      <c r="D252" s="51"/>
      <c r="E252" s="9">
        <f>BARUREJO!AX252+BULUAGUNG!AC252+KESILIR!AJ252+SENEPOREJO!AB252+SILIRAGUNG!AB252</f>
        <v>4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>
      <c r="A253" s="7"/>
      <c r="B253" s="45"/>
      <c r="C253" s="62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>
      <c r="A254" s="7"/>
      <c r="B254" s="45"/>
      <c r="C254" s="62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>
      <c r="A255" s="7"/>
      <c r="B255" s="45"/>
      <c r="C255" s="62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>
      <c r="A259" s="6" t="s">
        <v>26</v>
      </c>
      <c r="B259" s="66" t="s">
        <v>51</v>
      </c>
      <c r="C259" s="67"/>
      <c r="D259" s="68"/>
      <c r="E259" s="5">
        <f>SUM(E249:E258)</f>
        <v>73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>
      <c r="A261" s="16" t="s">
        <v>83</v>
      </c>
      <c r="B261" s="69" t="s">
        <v>84</v>
      </c>
      <c r="C261" s="70"/>
      <c r="D261" s="71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>
      <c r="A262" s="16"/>
      <c r="B262" s="19" t="s">
        <v>85</v>
      </c>
      <c r="C262" s="64" t="s">
        <v>86</v>
      </c>
      <c r="D262" s="65"/>
      <c r="E262" s="9" t="e">
        <f>BARUREJO!AX262+BULUAGUNG!AC262+KESILIR!AJ262+SENEPOREJO!AB262+SILIRAGUNG!AB262+#REF!+#REF!+#REF!+#REF!+#REF!+#REF!</f>
        <v>#REF!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>
      <c r="A263" s="13"/>
      <c r="B263" s="19" t="s">
        <v>87</v>
      </c>
      <c r="C263" s="64" t="s">
        <v>88</v>
      </c>
      <c r="D263" s="65"/>
      <c r="E263" s="9" t="e">
        <f>BARUREJO!AX263+BULUAGUNG!AC263+KESILIR!AJ263+SENEPOREJO!AB263+SILIRAGUNG!AB263+#REF!+#REF!+#REF!+#REF!+#REF!+#REF!</f>
        <v>#REF!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>
      <c r="A264" s="14"/>
      <c r="B264" s="19" t="s">
        <v>89</v>
      </c>
      <c r="C264" s="64" t="s">
        <v>90</v>
      </c>
      <c r="D264" s="65"/>
      <c r="E264" s="5" t="e">
        <f t="shared" ref="E264" si="8">SUM(E262:E263)</f>
        <v>#REF!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139" priority="67">
      <formula>E30&lt;&gt;E264</formula>
    </cfRule>
    <cfRule type="expression" dxfId="138" priority="68">
      <formula>E30&lt;&gt;E34</formula>
    </cfRule>
  </conditionalFormatting>
  <conditionalFormatting sqref="E55">
    <cfRule type="containsBlanks" dxfId="137" priority="1">
      <formula>LEN(TRIM(E55))=0</formula>
    </cfRule>
  </conditionalFormatting>
  <conditionalFormatting sqref="E67">
    <cfRule type="containsBlanks" dxfId="136" priority="2">
      <formula>LEN(TRIM(E67))=0</formula>
    </cfRule>
  </conditionalFormatting>
  <conditionalFormatting sqref="E79">
    <cfRule type="containsBlanks" dxfId="135" priority="3">
      <formula>LEN(TRIM(E79))=0</formula>
    </cfRule>
  </conditionalFormatting>
  <conditionalFormatting sqref="E91">
    <cfRule type="containsBlanks" dxfId="134" priority="4">
      <formula>LEN(TRIM(E91))=0</formula>
    </cfRule>
  </conditionalFormatting>
  <conditionalFormatting sqref="E103">
    <cfRule type="containsBlanks" dxfId="133" priority="5">
      <formula>LEN(TRIM(E103))=0</formula>
    </cfRule>
  </conditionalFormatting>
  <conditionalFormatting sqref="E115">
    <cfRule type="containsBlanks" dxfId="132" priority="6">
      <formula>LEN(TRIM(E115))=0</formula>
    </cfRule>
  </conditionalFormatting>
  <conditionalFormatting sqref="E127">
    <cfRule type="containsBlanks" dxfId="131" priority="7">
      <formula>LEN(TRIM(E127))=0</formula>
    </cfRule>
  </conditionalFormatting>
  <conditionalFormatting sqref="E139">
    <cfRule type="containsBlanks" dxfId="130" priority="8">
      <formula>LEN(TRIM(E139))=0</formula>
    </cfRule>
  </conditionalFormatting>
  <conditionalFormatting sqref="E151">
    <cfRule type="containsBlanks" dxfId="129" priority="9">
      <formula>LEN(TRIM(E151))=0</formula>
    </cfRule>
  </conditionalFormatting>
  <conditionalFormatting sqref="E163">
    <cfRule type="containsBlanks" dxfId="128" priority="10">
      <formula>LEN(TRIM(E163))=0</formula>
    </cfRule>
  </conditionalFormatting>
  <conditionalFormatting sqref="E175">
    <cfRule type="containsBlanks" dxfId="127" priority="11">
      <formula>LEN(TRIM(E175))=0</formula>
    </cfRule>
  </conditionalFormatting>
  <conditionalFormatting sqref="E187">
    <cfRule type="containsBlanks" dxfId="126" priority="12">
      <formula>LEN(TRIM(E187))=0</formula>
    </cfRule>
  </conditionalFormatting>
  <conditionalFormatting sqref="E199">
    <cfRule type="containsBlanks" dxfId="125" priority="13">
      <formula>LEN(TRIM(E199))=0</formula>
    </cfRule>
  </conditionalFormatting>
  <conditionalFormatting sqref="E211">
    <cfRule type="containsBlanks" dxfId="124" priority="14">
      <formula>LEN(TRIM(E211))=0</formula>
    </cfRule>
  </conditionalFormatting>
  <conditionalFormatting sqref="E223">
    <cfRule type="containsBlanks" dxfId="123" priority="15">
      <formula>LEN(TRIM(E223))=0</formula>
    </cfRule>
  </conditionalFormatting>
  <conditionalFormatting sqref="E235">
    <cfRule type="containsBlanks" dxfId="122" priority="16">
      <formula>LEN(TRIM(E235))=0</formula>
    </cfRule>
  </conditionalFormatting>
  <conditionalFormatting sqref="E247">
    <cfRule type="containsBlanks" dxfId="121" priority="17">
      <formula>LEN(TRIM(E247))=0</formula>
    </cfRule>
  </conditionalFormatting>
  <conditionalFormatting sqref="E259">
    <cfRule type="containsBlanks" dxfId="120" priority="25">
      <formula>LEN(TRIM(E259))=0</formula>
    </cfRule>
  </conditionalFormatting>
  <conditionalFormatting sqref="F259:O261">
    <cfRule type="cellIs" dxfId="119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00B050"/>
  </sheetPr>
  <dimension ref="A2:AX264"/>
  <sheetViews>
    <sheetView tabSelected="1" topLeftCell="A13" zoomScale="55" zoomScaleNormal="55" workbookViewId="0">
      <pane ySplit="1" topLeftCell="A14" activePane="bottomLeft" state="frozen"/>
      <selection activeCell="A13" sqref="A13"/>
      <selection pane="bottomLeft" activeCell="AL47" sqref="AL47"/>
    </sheetView>
  </sheetViews>
  <sheetFormatPr defaultRowHeight="13"/>
  <cols>
    <col min="3" max="3" width="67.09765625" bestFit="1" customWidth="1"/>
    <col min="4" max="4" width="5.8984375" bestFit="1" customWidth="1"/>
    <col min="50" max="50" width="13.296875" customWidth="1"/>
  </cols>
  <sheetData>
    <row r="2" spans="1:50">
      <c r="C2" s="43" t="s">
        <v>98</v>
      </c>
      <c r="D2" s="43" t="s">
        <v>104</v>
      </c>
    </row>
    <row r="3" spans="1:50">
      <c r="C3" s="43" t="s">
        <v>99</v>
      </c>
      <c r="D3" s="43" t="s">
        <v>100</v>
      </c>
    </row>
    <row r="4" spans="1:50">
      <c r="C4" s="43" t="s">
        <v>101</v>
      </c>
      <c r="D4" s="43" t="s">
        <v>102</v>
      </c>
    </row>
    <row r="5" spans="1:50">
      <c r="C5" s="43"/>
      <c r="D5" s="43"/>
    </row>
    <row r="6" spans="1:50">
      <c r="C6" s="43"/>
      <c r="D6" s="43"/>
    </row>
    <row r="7" spans="1:50">
      <c r="C7" s="43"/>
      <c r="D7" s="43"/>
    </row>
    <row r="8" spans="1:50">
      <c r="C8" s="43"/>
      <c r="D8" s="43"/>
    </row>
    <row r="9" spans="1:50">
      <c r="C9" s="43" t="s">
        <v>103</v>
      </c>
      <c r="D9" s="43" t="s">
        <v>188</v>
      </c>
    </row>
    <row r="11" spans="1:50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3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3"/>
      <c r="AQ11" s="1"/>
      <c r="AR11" s="1"/>
      <c r="AS11" s="1"/>
      <c r="AT11" s="1"/>
      <c r="AU11" s="1"/>
      <c r="AV11" s="1"/>
      <c r="AW11" s="1"/>
    </row>
    <row r="12" spans="1:50">
      <c r="A12" s="5" t="s">
        <v>0</v>
      </c>
      <c r="B12" s="69" t="s">
        <v>1</v>
      </c>
      <c r="C12" s="82"/>
      <c r="D12" s="73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4" t="s">
        <v>97</v>
      </c>
    </row>
    <row r="13" spans="1:50">
      <c r="A13" s="6" t="s">
        <v>2</v>
      </c>
      <c r="B13" s="90" t="s">
        <v>3</v>
      </c>
      <c r="C13" s="8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189</v>
      </c>
      <c r="AD13" s="5" t="s">
        <v>190</v>
      </c>
      <c r="AE13" s="5" t="s">
        <v>191</v>
      </c>
      <c r="AF13" s="5" t="s">
        <v>192</v>
      </c>
      <c r="AG13" s="5" t="s">
        <v>193</v>
      </c>
      <c r="AH13" s="5" t="s">
        <v>194</v>
      </c>
      <c r="AI13" s="5" t="s">
        <v>195</v>
      </c>
      <c r="AJ13" s="5" t="s">
        <v>196</v>
      </c>
      <c r="AK13" s="5" t="s">
        <v>197</v>
      </c>
      <c r="AL13" s="5" t="s">
        <v>198</v>
      </c>
      <c r="AM13" s="5" t="s">
        <v>199</v>
      </c>
      <c r="AN13" s="5" t="s">
        <v>200</v>
      </c>
      <c r="AO13" s="5" t="s">
        <v>201</v>
      </c>
      <c r="AP13" s="5" t="s">
        <v>202</v>
      </c>
      <c r="AQ13" s="5" t="s">
        <v>203</v>
      </c>
      <c r="AR13" s="5" t="s">
        <v>204</v>
      </c>
      <c r="AS13" s="5" t="s">
        <v>205</v>
      </c>
      <c r="AT13" s="5" t="s">
        <v>206</v>
      </c>
      <c r="AU13" s="5" t="s">
        <v>207</v>
      </c>
      <c r="AV13" s="5" t="s">
        <v>208</v>
      </c>
      <c r="AW13" s="5" t="s">
        <v>209</v>
      </c>
      <c r="AX13" s="105"/>
    </row>
    <row r="14" spans="1:50">
      <c r="A14" s="7"/>
      <c r="B14" s="93" t="s">
        <v>22</v>
      </c>
      <c r="C14" s="81"/>
      <c r="D14" s="6" t="s">
        <v>23</v>
      </c>
      <c r="E14" s="6">
        <v>139</v>
      </c>
      <c r="F14" s="6">
        <v>140</v>
      </c>
      <c r="G14" s="6">
        <v>131</v>
      </c>
      <c r="H14" s="6">
        <v>134</v>
      </c>
      <c r="I14" s="6">
        <v>139</v>
      </c>
      <c r="J14" s="6">
        <v>143</v>
      </c>
      <c r="K14" s="6">
        <v>137</v>
      </c>
      <c r="L14" s="6">
        <v>144</v>
      </c>
      <c r="M14" s="6">
        <v>148</v>
      </c>
      <c r="N14" s="6">
        <v>142</v>
      </c>
      <c r="O14" s="6">
        <v>153</v>
      </c>
      <c r="P14" s="6">
        <v>138</v>
      </c>
      <c r="Q14" s="6">
        <v>148</v>
      </c>
      <c r="R14" s="6">
        <v>151</v>
      </c>
      <c r="S14" s="6">
        <v>122</v>
      </c>
      <c r="T14" s="6">
        <v>96</v>
      </c>
      <c r="U14" s="6">
        <v>104</v>
      </c>
      <c r="V14" s="6">
        <v>146</v>
      </c>
      <c r="W14" s="6">
        <v>135</v>
      </c>
      <c r="X14" s="6">
        <v>127</v>
      </c>
      <c r="Y14" s="6">
        <v>143</v>
      </c>
      <c r="Z14" s="6">
        <v>139</v>
      </c>
      <c r="AA14" s="6">
        <v>129</v>
      </c>
      <c r="AB14" s="6">
        <v>135</v>
      </c>
      <c r="AC14" s="6">
        <v>119</v>
      </c>
      <c r="AD14" s="6">
        <v>140</v>
      </c>
      <c r="AE14" s="6">
        <v>123</v>
      </c>
      <c r="AF14" s="6">
        <v>132</v>
      </c>
      <c r="AG14" s="6">
        <v>122</v>
      </c>
      <c r="AH14" s="6">
        <v>146</v>
      </c>
      <c r="AI14" s="6">
        <v>142</v>
      </c>
      <c r="AJ14" s="6">
        <v>153</v>
      </c>
      <c r="AK14" s="6">
        <v>119</v>
      </c>
      <c r="AL14" s="6">
        <v>102</v>
      </c>
      <c r="AM14" s="6">
        <v>84</v>
      </c>
      <c r="AN14" s="6">
        <v>152</v>
      </c>
      <c r="AO14" s="6">
        <v>142</v>
      </c>
      <c r="AP14" s="6">
        <v>154</v>
      </c>
      <c r="AQ14" s="6">
        <v>105</v>
      </c>
      <c r="AR14" s="6">
        <v>117</v>
      </c>
      <c r="AS14" s="6">
        <v>144</v>
      </c>
      <c r="AT14" s="6">
        <v>143</v>
      </c>
      <c r="AU14" s="6">
        <v>128</v>
      </c>
      <c r="AV14" s="6">
        <v>86</v>
      </c>
      <c r="AW14" s="6">
        <v>36</v>
      </c>
      <c r="AX14" s="5">
        <f>SUM(E14:AW14)</f>
        <v>5852</v>
      </c>
    </row>
    <row r="15" spans="1:50">
      <c r="A15" s="7"/>
      <c r="B15" s="94"/>
      <c r="C15" s="87"/>
      <c r="D15" s="6" t="s">
        <v>24</v>
      </c>
      <c r="E15" s="6">
        <v>128</v>
      </c>
      <c r="F15" s="6">
        <v>121</v>
      </c>
      <c r="G15" s="6">
        <v>118</v>
      </c>
      <c r="H15" s="6">
        <v>129</v>
      </c>
      <c r="I15" s="6">
        <v>140</v>
      </c>
      <c r="J15" s="6">
        <v>137</v>
      </c>
      <c r="K15" s="6">
        <v>126</v>
      </c>
      <c r="L15" s="6">
        <v>148</v>
      </c>
      <c r="M15" s="6">
        <v>135</v>
      </c>
      <c r="N15" s="6">
        <v>142</v>
      </c>
      <c r="O15" s="6">
        <v>139</v>
      </c>
      <c r="P15" s="6">
        <v>128</v>
      </c>
      <c r="Q15" s="6">
        <v>140</v>
      </c>
      <c r="R15" s="6">
        <v>129</v>
      </c>
      <c r="S15" s="6">
        <v>121</v>
      </c>
      <c r="T15" s="6">
        <v>94</v>
      </c>
      <c r="U15" s="6">
        <v>119</v>
      </c>
      <c r="V15" s="6">
        <v>130</v>
      </c>
      <c r="W15" s="6">
        <v>127</v>
      </c>
      <c r="X15" s="6">
        <v>119</v>
      </c>
      <c r="Y15" s="6">
        <v>128</v>
      </c>
      <c r="Z15" s="6">
        <v>123</v>
      </c>
      <c r="AA15" s="6">
        <v>133</v>
      </c>
      <c r="AB15" s="6">
        <v>147</v>
      </c>
      <c r="AC15" s="6">
        <v>107</v>
      </c>
      <c r="AD15" s="6">
        <v>140</v>
      </c>
      <c r="AE15" s="6">
        <v>124</v>
      </c>
      <c r="AF15" s="6">
        <v>127</v>
      </c>
      <c r="AG15" s="6">
        <v>110</v>
      </c>
      <c r="AH15" s="6">
        <v>147</v>
      </c>
      <c r="AI15" s="6">
        <v>148</v>
      </c>
      <c r="AJ15" s="6">
        <v>142</v>
      </c>
      <c r="AK15" s="6">
        <v>136</v>
      </c>
      <c r="AL15" s="6">
        <v>87</v>
      </c>
      <c r="AM15" s="6">
        <v>61</v>
      </c>
      <c r="AN15" s="6">
        <v>138</v>
      </c>
      <c r="AO15" s="6">
        <v>130</v>
      </c>
      <c r="AP15" s="6">
        <v>144</v>
      </c>
      <c r="AQ15" s="6">
        <v>94</v>
      </c>
      <c r="AR15" s="6">
        <v>127</v>
      </c>
      <c r="AS15" s="6">
        <v>153</v>
      </c>
      <c r="AT15" s="6">
        <v>143</v>
      </c>
      <c r="AU15" s="6">
        <v>141</v>
      </c>
      <c r="AV15" s="6">
        <v>71</v>
      </c>
      <c r="AW15" s="6">
        <v>39</v>
      </c>
      <c r="AX15" s="5">
        <f>SUM(E15:AW15)</f>
        <v>5610</v>
      </c>
    </row>
    <row r="16" spans="1:50">
      <c r="A16" s="8"/>
      <c r="B16" s="92"/>
      <c r="C16" s="88"/>
      <c r="D16" s="5" t="s">
        <v>25</v>
      </c>
      <c r="E16" s="5">
        <f t="shared" ref="E16:AW16" si="0">SUM(E14:E15)</f>
        <v>267</v>
      </c>
      <c r="F16" s="5">
        <f t="shared" si="0"/>
        <v>261</v>
      </c>
      <c r="G16" s="5">
        <f t="shared" si="0"/>
        <v>249</v>
      </c>
      <c r="H16" s="5">
        <f t="shared" si="0"/>
        <v>263</v>
      </c>
      <c r="I16" s="5">
        <f t="shared" si="0"/>
        <v>279</v>
      </c>
      <c r="J16" s="5">
        <f t="shared" si="0"/>
        <v>280</v>
      </c>
      <c r="K16" s="5">
        <f t="shared" si="0"/>
        <v>263</v>
      </c>
      <c r="L16" s="5">
        <f t="shared" si="0"/>
        <v>292</v>
      </c>
      <c r="M16" s="5">
        <f t="shared" si="0"/>
        <v>283</v>
      </c>
      <c r="N16" s="5">
        <f t="shared" si="0"/>
        <v>284</v>
      </c>
      <c r="O16" s="5">
        <f t="shared" ref="O16:T16" si="1">SUM(O14:O15)</f>
        <v>292</v>
      </c>
      <c r="P16" s="5">
        <f t="shared" si="1"/>
        <v>266</v>
      </c>
      <c r="Q16" s="5">
        <f t="shared" si="1"/>
        <v>288</v>
      </c>
      <c r="R16" s="5">
        <f t="shared" si="1"/>
        <v>280</v>
      </c>
      <c r="S16" s="5">
        <f t="shared" si="1"/>
        <v>243</v>
      </c>
      <c r="T16" s="5">
        <f t="shared" si="1"/>
        <v>190</v>
      </c>
      <c r="U16" s="5">
        <f t="shared" ref="U16:AP16" si="2">SUM(U14:U15)</f>
        <v>223</v>
      </c>
      <c r="V16" s="5">
        <f t="shared" si="2"/>
        <v>276</v>
      </c>
      <c r="W16" s="5">
        <f t="shared" ref="W16:AI16" si="3">SUM(W14:W15)</f>
        <v>262</v>
      </c>
      <c r="X16" s="5">
        <f t="shared" si="3"/>
        <v>246</v>
      </c>
      <c r="Y16" s="5">
        <f t="shared" si="3"/>
        <v>271</v>
      </c>
      <c r="Z16" s="5">
        <f t="shared" si="3"/>
        <v>262</v>
      </c>
      <c r="AA16" s="5">
        <f t="shared" si="3"/>
        <v>262</v>
      </c>
      <c r="AB16" s="5">
        <f t="shared" si="3"/>
        <v>282</v>
      </c>
      <c r="AC16" s="5">
        <f t="shared" si="3"/>
        <v>226</v>
      </c>
      <c r="AD16" s="5">
        <f t="shared" si="3"/>
        <v>280</v>
      </c>
      <c r="AE16" s="5">
        <f t="shared" si="3"/>
        <v>247</v>
      </c>
      <c r="AF16" s="5">
        <f t="shared" si="3"/>
        <v>259</v>
      </c>
      <c r="AG16" s="5">
        <f t="shared" si="3"/>
        <v>232</v>
      </c>
      <c r="AH16" s="5">
        <f t="shared" si="3"/>
        <v>293</v>
      </c>
      <c r="AI16" s="5">
        <f t="shared" si="3"/>
        <v>290</v>
      </c>
      <c r="AJ16" s="5">
        <f t="shared" si="2"/>
        <v>295</v>
      </c>
      <c r="AK16" s="5">
        <f t="shared" si="2"/>
        <v>255</v>
      </c>
      <c r="AL16" s="5">
        <f t="shared" si="2"/>
        <v>189</v>
      </c>
      <c r="AM16" s="5">
        <f t="shared" si="2"/>
        <v>145</v>
      </c>
      <c r="AN16" s="5">
        <f t="shared" si="2"/>
        <v>290</v>
      </c>
      <c r="AO16" s="5">
        <f t="shared" si="2"/>
        <v>272</v>
      </c>
      <c r="AP16" s="5">
        <f t="shared" si="2"/>
        <v>298</v>
      </c>
      <c r="AQ16" s="5">
        <f t="shared" si="0"/>
        <v>199</v>
      </c>
      <c r="AR16" s="5">
        <f t="shared" si="0"/>
        <v>244</v>
      </c>
      <c r="AS16" s="5">
        <f t="shared" si="0"/>
        <v>297</v>
      </c>
      <c r="AT16" s="5">
        <f t="shared" si="0"/>
        <v>286</v>
      </c>
      <c r="AU16" s="5">
        <f t="shared" si="0"/>
        <v>269</v>
      </c>
      <c r="AV16" s="5">
        <f t="shared" si="0"/>
        <v>157</v>
      </c>
      <c r="AW16" s="5">
        <f t="shared" si="0"/>
        <v>75</v>
      </c>
      <c r="AX16" s="5">
        <f>SUM(E16:AW16)</f>
        <v>11462</v>
      </c>
    </row>
    <row r="17" spans="1:50">
      <c r="A17" s="74"/>
      <c r="B17" s="82"/>
      <c r="C17" s="8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10"/>
      <c r="AQ17" s="6"/>
      <c r="AR17" s="6"/>
      <c r="AS17" s="6"/>
      <c r="AT17" s="6"/>
      <c r="AU17" s="6"/>
      <c r="AV17" s="6"/>
      <c r="AW17" s="6"/>
      <c r="AX17" s="28"/>
    </row>
    <row r="18" spans="1:50">
      <c r="A18" s="11" t="s">
        <v>26</v>
      </c>
      <c r="B18" s="90" t="s">
        <v>27</v>
      </c>
      <c r="C18" s="8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10"/>
      <c r="AQ18" s="6"/>
      <c r="AR18" s="6"/>
      <c r="AS18" s="6"/>
      <c r="AT18" s="6"/>
      <c r="AU18" s="6"/>
      <c r="AV18" s="6"/>
      <c r="AW18" s="6"/>
      <c r="AX18" s="28"/>
    </row>
    <row r="19" spans="1:50">
      <c r="A19" s="11"/>
      <c r="B19" s="95" t="s">
        <v>28</v>
      </c>
      <c r="C19" s="96" t="s">
        <v>29</v>
      </c>
      <c r="D19" s="6" t="s">
        <v>23</v>
      </c>
      <c r="E19" s="6">
        <v>100</v>
      </c>
      <c r="F19" s="6">
        <v>112</v>
      </c>
      <c r="G19" s="6">
        <v>114</v>
      </c>
      <c r="H19" s="6">
        <v>100</v>
      </c>
      <c r="I19" s="6">
        <v>100</v>
      </c>
      <c r="J19" s="6">
        <v>99</v>
      </c>
      <c r="K19" s="6">
        <v>117</v>
      </c>
      <c r="L19" s="6">
        <v>101</v>
      </c>
      <c r="M19" s="6">
        <v>93</v>
      </c>
      <c r="N19" s="6">
        <v>93</v>
      </c>
      <c r="O19" s="6">
        <v>114</v>
      </c>
      <c r="P19" s="6">
        <v>109</v>
      </c>
      <c r="Q19" s="6">
        <v>109</v>
      </c>
      <c r="R19" s="6">
        <v>114</v>
      </c>
      <c r="S19" s="6">
        <v>92</v>
      </c>
      <c r="T19" s="6">
        <v>69</v>
      </c>
      <c r="U19" s="6">
        <v>80</v>
      </c>
      <c r="V19" s="6">
        <v>104</v>
      </c>
      <c r="W19" s="6">
        <v>109</v>
      </c>
      <c r="X19" s="6">
        <v>89</v>
      </c>
      <c r="Y19" s="6">
        <v>102</v>
      </c>
      <c r="Z19" s="6">
        <v>117</v>
      </c>
      <c r="AA19" s="6">
        <v>99</v>
      </c>
      <c r="AB19" s="6">
        <v>105</v>
      </c>
      <c r="AC19" s="6">
        <v>71</v>
      </c>
      <c r="AD19" s="6">
        <v>96</v>
      </c>
      <c r="AE19" s="6">
        <v>82</v>
      </c>
      <c r="AF19" s="6">
        <v>92</v>
      </c>
      <c r="AG19" s="6">
        <v>92</v>
      </c>
      <c r="AH19" s="6">
        <v>106</v>
      </c>
      <c r="AI19" s="6">
        <v>95</v>
      </c>
      <c r="AJ19" s="6">
        <v>98</v>
      </c>
      <c r="AK19" s="6">
        <v>95</v>
      </c>
      <c r="AL19" s="6">
        <v>79</v>
      </c>
      <c r="AM19" s="6">
        <v>48</v>
      </c>
      <c r="AN19" s="6">
        <v>102</v>
      </c>
      <c r="AO19" s="6">
        <v>103</v>
      </c>
      <c r="AP19" s="6">
        <v>100</v>
      </c>
      <c r="AQ19" s="6">
        <v>77</v>
      </c>
      <c r="AR19" s="6">
        <v>81</v>
      </c>
      <c r="AS19" s="6">
        <v>96</v>
      </c>
      <c r="AT19" s="6">
        <v>90</v>
      </c>
      <c r="AU19" s="6">
        <v>100</v>
      </c>
      <c r="AV19" s="6">
        <v>74</v>
      </c>
      <c r="AW19" s="6">
        <v>23</v>
      </c>
      <c r="AX19" s="5">
        <f t="shared" ref="AX19:AX30" si="4">SUM(E19:AW19)</f>
        <v>4241</v>
      </c>
    </row>
    <row r="20" spans="1:50">
      <c r="A20" s="12"/>
      <c r="B20" s="87"/>
      <c r="C20" s="97"/>
      <c r="D20" s="6" t="s">
        <v>24</v>
      </c>
      <c r="E20" s="6">
        <v>93</v>
      </c>
      <c r="F20" s="6">
        <v>102</v>
      </c>
      <c r="G20" s="6">
        <v>87</v>
      </c>
      <c r="H20" s="6">
        <v>101</v>
      </c>
      <c r="I20" s="6">
        <v>100</v>
      </c>
      <c r="J20" s="6">
        <v>110</v>
      </c>
      <c r="K20" s="6">
        <v>98</v>
      </c>
      <c r="L20" s="6">
        <v>118</v>
      </c>
      <c r="M20" s="6">
        <v>113</v>
      </c>
      <c r="N20" s="6">
        <v>108</v>
      </c>
      <c r="O20" s="6">
        <v>114</v>
      </c>
      <c r="P20" s="6">
        <v>103</v>
      </c>
      <c r="Q20" s="6">
        <v>109</v>
      </c>
      <c r="R20" s="6">
        <v>98</v>
      </c>
      <c r="S20" s="6">
        <v>96</v>
      </c>
      <c r="T20" s="6">
        <v>69</v>
      </c>
      <c r="U20" s="6">
        <v>95</v>
      </c>
      <c r="V20" s="6">
        <v>106</v>
      </c>
      <c r="W20" s="6">
        <v>99</v>
      </c>
      <c r="X20" s="6">
        <v>95</v>
      </c>
      <c r="Y20" s="6">
        <v>100</v>
      </c>
      <c r="Z20" s="6">
        <v>105</v>
      </c>
      <c r="AA20" s="6">
        <v>100</v>
      </c>
      <c r="AB20" s="6">
        <v>119</v>
      </c>
      <c r="AC20" s="6">
        <v>81</v>
      </c>
      <c r="AD20" s="6">
        <v>112</v>
      </c>
      <c r="AE20" s="6">
        <v>97</v>
      </c>
      <c r="AF20" s="6">
        <v>95</v>
      </c>
      <c r="AG20" s="6">
        <v>89</v>
      </c>
      <c r="AH20" s="6">
        <v>115</v>
      </c>
      <c r="AI20" s="6">
        <v>113</v>
      </c>
      <c r="AJ20" s="6">
        <v>102</v>
      </c>
      <c r="AK20" s="6">
        <v>111</v>
      </c>
      <c r="AL20" s="6">
        <v>63</v>
      </c>
      <c r="AM20" s="6">
        <v>42</v>
      </c>
      <c r="AN20" s="6">
        <v>100</v>
      </c>
      <c r="AO20" s="6">
        <v>98</v>
      </c>
      <c r="AP20" s="6">
        <v>108</v>
      </c>
      <c r="AQ20" s="6">
        <v>72</v>
      </c>
      <c r="AR20" s="6">
        <v>97</v>
      </c>
      <c r="AS20" s="6">
        <v>103</v>
      </c>
      <c r="AT20" s="6">
        <v>100</v>
      </c>
      <c r="AU20" s="6">
        <v>109</v>
      </c>
      <c r="AV20" s="6">
        <v>58</v>
      </c>
      <c r="AW20" s="6">
        <v>28</v>
      </c>
      <c r="AX20" s="5">
        <f t="shared" si="4"/>
        <v>4331</v>
      </c>
    </row>
    <row r="21" spans="1:50">
      <c r="A21" s="13"/>
      <c r="B21" s="88"/>
      <c r="C21" s="98"/>
      <c r="D21" s="5" t="s">
        <v>25</v>
      </c>
      <c r="E21" s="5">
        <f t="shared" ref="E21:AW21" si="5">SUM(E19:E20)</f>
        <v>193</v>
      </c>
      <c r="F21" s="5">
        <f t="shared" si="5"/>
        <v>214</v>
      </c>
      <c r="G21" s="5">
        <f t="shared" si="5"/>
        <v>201</v>
      </c>
      <c r="H21" s="5">
        <f t="shared" si="5"/>
        <v>201</v>
      </c>
      <c r="I21" s="5">
        <f t="shared" si="5"/>
        <v>200</v>
      </c>
      <c r="J21" s="5">
        <f t="shared" si="5"/>
        <v>209</v>
      </c>
      <c r="K21" s="5">
        <f t="shared" si="5"/>
        <v>215</v>
      </c>
      <c r="L21" s="5">
        <f t="shared" si="5"/>
        <v>219</v>
      </c>
      <c r="M21" s="5">
        <f t="shared" si="5"/>
        <v>206</v>
      </c>
      <c r="N21" s="5">
        <f t="shared" si="5"/>
        <v>201</v>
      </c>
      <c r="O21" s="5">
        <f t="shared" ref="O21:T21" si="6">SUM(O19:O20)</f>
        <v>228</v>
      </c>
      <c r="P21" s="5">
        <f t="shared" si="6"/>
        <v>212</v>
      </c>
      <c r="Q21" s="5">
        <f t="shared" si="6"/>
        <v>218</v>
      </c>
      <c r="R21" s="5">
        <f t="shared" si="6"/>
        <v>212</v>
      </c>
      <c r="S21" s="5">
        <f t="shared" si="6"/>
        <v>188</v>
      </c>
      <c r="T21" s="5">
        <f t="shared" si="6"/>
        <v>138</v>
      </c>
      <c r="U21" s="5">
        <f t="shared" ref="U21:AP21" si="7">SUM(U19:U20)</f>
        <v>175</v>
      </c>
      <c r="V21" s="5">
        <f t="shared" si="7"/>
        <v>210</v>
      </c>
      <c r="W21" s="5">
        <f t="shared" ref="W21:AI21" si="8">SUM(W19:W20)</f>
        <v>208</v>
      </c>
      <c r="X21" s="5">
        <f t="shared" si="8"/>
        <v>184</v>
      </c>
      <c r="Y21" s="5">
        <f t="shared" si="8"/>
        <v>202</v>
      </c>
      <c r="Z21" s="5">
        <f t="shared" si="8"/>
        <v>222</v>
      </c>
      <c r="AA21" s="5">
        <f t="shared" si="8"/>
        <v>199</v>
      </c>
      <c r="AB21" s="5">
        <f t="shared" si="8"/>
        <v>224</v>
      </c>
      <c r="AC21" s="5">
        <f t="shared" si="8"/>
        <v>152</v>
      </c>
      <c r="AD21" s="5">
        <f t="shared" si="8"/>
        <v>208</v>
      </c>
      <c r="AE21" s="5">
        <f t="shared" si="8"/>
        <v>179</v>
      </c>
      <c r="AF21" s="5">
        <f t="shared" si="8"/>
        <v>187</v>
      </c>
      <c r="AG21" s="5">
        <f t="shared" si="8"/>
        <v>181</v>
      </c>
      <c r="AH21" s="5">
        <f t="shared" si="8"/>
        <v>221</v>
      </c>
      <c r="AI21" s="5">
        <f t="shared" si="8"/>
        <v>208</v>
      </c>
      <c r="AJ21" s="5">
        <f t="shared" si="7"/>
        <v>200</v>
      </c>
      <c r="AK21" s="5">
        <f t="shared" si="7"/>
        <v>206</v>
      </c>
      <c r="AL21" s="5">
        <f t="shared" si="7"/>
        <v>142</v>
      </c>
      <c r="AM21" s="5">
        <f t="shared" si="7"/>
        <v>90</v>
      </c>
      <c r="AN21" s="5">
        <f t="shared" si="7"/>
        <v>202</v>
      </c>
      <c r="AO21" s="5">
        <f t="shared" si="7"/>
        <v>201</v>
      </c>
      <c r="AP21" s="5">
        <f t="shared" si="7"/>
        <v>208</v>
      </c>
      <c r="AQ21" s="5">
        <f t="shared" si="5"/>
        <v>149</v>
      </c>
      <c r="AR21" s="5">
        <f t="shared" si="5"/>
        <v>178</v>
      </c>
      <c r="AS21" s="5">
        <f t="shared" si="5"/>
        <v>199</v>
      </c>
      <c r="AT21" s="5">
        <f t="shared" si="5"/>
        <v>190</v>
      </c>
      <c r="AU21" s="5">
        <f t="shared" si="5"/>
        <v>209</v>
      </c>
      <c r="AV21" s="5">
        <f t="shared" si="5"/>
        <v>132</v>
      </c>
      <c r="AW21" s="5">
        <f t="shared" si="5"/>
        <v>51</v>
      </c>
      <c r="AX21" s="5">
        <f t="shared" si="4"/>
        <v>8572</v>
      </c>
    </row>
    <row r="22" spans="1:50">
      <c r="A22" s="12"/>
      <c r="B22" s="95" t="s">
        <v>30</v>
      </c>
      <c r="C22" s="9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5">
        <f t="shared" si="4"/>
        <v>3</v>
      </c>
    </row>
    <row r="23" spans="1:50">
      <c r="A23" s="12"/>
      <c r="B23" s="87"/>
      <c r="C23" s="97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/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5">
        <f t="shared" si="4"/>
        <v>0</v>
      </c>
    </row>
    <row r="24" spans="1:50">
      <c r="A24" s="13"/>
      <c r="B24" s="88"/>
      <c r="C24" s="98"/>
      <c r="D24" s="5" t="s">
        <v>25</v>
      </c>
      <c r="E24" s="5">
        <f t="shared" ref="E24:AW24" si="9">SUM(E22:E23)</f>
        <v>0</v>
      </c>
      <c r="F24" s="5">
        <f t="shared" si="9"/>
        <v>0</v>
      </c>
      <c r="G24" s="5">
        <f t="shared" si="9"/>
        <v>0</v>
      </c>
      <c r="H24" s="5">
        <f t="shared" si="9"/>
        <v>0</v>
      </c>
      <c r="I24" s="5">
        <f t="shared" si="9"/>
        <v>0</v>
      </c>
      <c r="J24" s="5">
        <f t="shared" si="9"/>
        <v>0</v>
      </c>
      <c r="K24" s="5">
        <f t="shared" si="9"/>
        <v>1</v>
      </c>
      <c r="L24" s="5">
        <f t="shared" si="9"/>
        <v>0</v>
      </c>
      <c r="M24" s="5">
        <f t="shared" si="9"/>
        <v>1</v>
      </c>
      <c r="N24" s="5">
        <f t="shared" si="9"/>
        <v>0</v>
      </c>
      <c r="O24" s="5">
        <f t="shared" ref="O24:T24" si="10">SUM(O22:O23)</f>
        <v>0</v>
      </c>
      <c r="P24" s="5">
        <f t="shared" si="10"/>
        <v>0</v>
      </c>
      <c r="Q24" s="5">
        <f t="shared" si="10"/>
        <v>0</v>
      </c>
      <c r="R24" s="5">
        <f t="shared" si="10"/>
        <v>0</v>
      </c>
      <c r="S24" s="5">
        <f t="shared" si="10"/>
        <v>1</v>
      </c>
      <c r="T24" s="5">
        <f t="shared" si="10"/>
        <v>0</v>
      </c>
      <c r="U24" s="5">
        <f t="shared" ref="U24:AP24" si="11">SUM(U22:U23)</f>
        <v>0</v>
      </c>
      <c r="V24" s="5">
        <f t="shared" si="11"/>
        <v>0</v>
      </c>
      <c r="W24" s="5">
        <f t="shared" ref="W24:AI24" si="12">SUM(W22:W23)</f>
        <v>0</v>
      </c>
      <c r="X24" s="5">
        <f t="shared" si="12"/>
        <v>0</v>
      </c>
      <c r="Y24" s="5">
        <f t="shared" si="12"/>
        <v>0</v>
      </c>
      <c r="Z24" s="5">
        <f t="shared" si="12"/>
        <v>0</v>
      </c>
      <c r="AA24" s="5">
        <f t="shared" si="12"/>
        <v>0</v>
      </c>
      <c r="AB24" s="5">
        <f t="shared" si="12"/>
        <v>0</v>
      </c>
      <c r="AC24" s="5">
        <f t="shared" si="12"/>
        <v>0</v>
      </c>
      <c r="AD24" s="5">
        <f t="shared" si="12"/>
        <v>0</v>
      </c>
      <c r="AE24" s="5">
        <f t="shared" si="12"/>
        <v>0</v>
      </c>
      <c r="AF24" s="5">
        <f t="shared" si="12"/>
        <v>0</v>
      </c>
      <c r="AG24" s="5">
        <f t="shared" si="12"/>
        <v>0</v>
      </c>
      <c r="AH24" s="5">
        <f t="shared" si="12"/>
        <v>0</v>
      </c>
      <c r="AI24" s="5">
        <f t="shared" si="12"/>
        <v>0</v>
      </c>
      <c r="AJ24" s="5">
        <f t="shared" si="11"/>
        <v>0</v>
      </c>
      <c r="AK24" s="5">
        <f t="shared" si="11"/>
        <v>0</v>
      </c>
      <c r="AL24" s="5">
        <f t="shared" si="11"/>
        <v>0</v>
      </c>
      <c r="AM24" s="5">
        <f t="shared" si="11"/>
        <v>0</v>
      </c>
      <c r="AN24" s="5">
        <f t="shared" si="11"/>
        <v>0</v>
      </c>
      <c r="AO24" s="5">
        <f t="shared" si="11"/>
        <v>0</v>
      </c>
      <c r="AP24" s="5">
        <f t="shared" si="11"/>
        <v>0</v>
      </c>
      <c r="AQ24" s="5">
        <f t="shared" si="9"/>
        <v>0</v>
      </c>
      <c r="AR24" s="5">
        <f t="shared" si="9"/>
        <v>0</v>
      </c>
      <c r="AS24" s="5">
        <f t="shared" si="9"/>
        <v>0</v>
      </c>
      <c r="AT24" s="5">
        <f t="shared" si="9"/>
        <v>0</v>
      </c>
      <c r="AU24" s="5">
        <f t="shared" si="9"/>
        <v>0</v>
      </c>
      <c r="AV24" s="5">
        <f t="shared" si="9"/>
        <v>0</v>
      </c>
      <c r="AW24" s="5">
        <f t="shared" si="9"/>
        <v>0</v>
      </c>
      <c r="AX24" s="5">
        <f t="shared" si="4"/>
        <v>3</v>
      </c>
    </row>
    <row r="25" spans="1:50">
      <c r="A25" s="12"/>
      <c r="B25" s="95" t="s">
        <v>32</v>
      </c>
      <c r="C25" s="96" t="s">
        <v>33</v>
      </c>
      <c r="D25" s="6" t="s">
        <v>23</v>
      </c>
      <c r="E25" s="6">
        <v>4</v>
      </c>
      <c r="F25" s="6">
        <v>0</v>
      </c>
      <c r="G25" s="6">
        <v>4</v>
      </c>
      <c r="H25" s="6">
        <v>3</v>
      </c>
      <c r="I25" s="6">
        <v>1</v>
      </c>
      <c r="J25" s="6">
        <v>3</v>
      </c>
      <c r="K25" s="6">
        <v>4</v>
      </c>
      <c r="L25" s="6">
        <v>2</v>
      </c>
      <c r="M25" s="6">
        <v>3</v>
      </c>
      <c r="N25" s="6">
        <v>1</v>
      </c>
      <c r="O25" s="6">
        <v>5</v>
      </c>
      <c r="P25" s="6">
        <v>0</v>
      </c>
      <c r="Q25" s="6">
        <v>3</v>
      </c>
      <c r="R25" s="6">
        <v>4</v>
      </c>
      <c r="S25" s="6">
        <v>6</v>
      </c>
      <c r="T25" s="6">
        <v>5</v>
      </c>
      <c r="U25" s="6">
        <v>8</v>
      </c>
      <c r="V25" s="6">
        <v>3</v>
      </c>
      <c r="W25" s="6">
        <v>1</v>
      </c>
      <c r="X25" s="6">
        <v>2</v>
      </c>
      <c r="Y25" s="6">
        <v>1</v>
      </c>
      <c r="Z25" s="6">
        <v>2</v>
      </c>
      <c r="AA25" s="6">
        <v>2</v>
      </c>
      <c r="AB25" s="6">
        <v>0</v>
      </c>
      <c r="AC25" s="6">
        <v>3</v>
      </c>
      <c r="AD25" s="6">
        <v>3</v>
      </c>
      <c r="AE25" s="6">
        <v>5</v>
      </c>
      <c r="AF25" s="6">
        <v>6</v>
      </c>
      <c r="AG25" s="6">
        <v>0</v>
      </c>
      <c r="AH25" s="6">
        <v>1</v>
      </c>
      <c r="AI25" s="6">
        <v>0</v>
      </c>
      <c r="AJ25" s="6">
        <v>2</v>
      </c>
      <c r="AK25" s="6">
        <v>3</v>
      </c>
      <c r="AL25" s="6">
        <v>4</v>
      </c>
      <c r="AM25" s="6">
        <v>1</v>
      </c>
      <c r="AN25" s="6">
        <v>2</v>
      </c>
      <c r="AO25" s="6">
        <v>0</v>
      </c>
      <c r="AP25" s="6">
        <v>0</v>
      </c>
      <c r="AQ25" s="6">
        <v>1</v>
      </c>
      <c r="AR25" s="6">
        <v>1</v>
      </c>
      <c r="AS25" s="6">
        <v>1</v>
      </c>
      <c r="AT25" s="6">
        <v>4</v>
      </c>
      <c r="AU25" s="6">
        <v>3</v>
      </c>
      <c r="AV25" s="6">
        <v>0</v>
      </c>
      <c r="AW25" s="6">
        <v>0</v>
      </c>
      <c r="AX25" s="5">
        <f t="shared" si="4"/>
        <v>107</v>
      </c>
    </row>
    <row r="26" spans="1:50">
      <c r="A26" s="12"/>
      <c r="B26" s="87"/>
      <c r="C26" s="97"/>
      <c r="D26" s="6" t="s">
        <v>24</v>
      </c>
      <c r="E26" s="6">
        <v>5</v>
      </c>
      <c r="F26" s="6">
        <v>1</v>
      </c>
      <c r="G26" s="6">
        <v>7</v>
      </c>
      <c r="H26" s="6">
        <v>10</v>
      </c>
      <c r="I26" s="6">
        <v>4</v>
      </c>
      <c r="J26" s="6">
        <v>3</v>
      </c>
      <c r="K26" s="6">
        <v>2</v>
      </c>
      <c r="L26" s="6">
        <v>2</v>
      </c>
      <c r="M26" s="6">
        <v>3</v>
      </c>
      <c r="N26" s="6">
        <v>3</v>
      </c>
      <c r="O26" s="6">
        <v>5</v>
      </c>
      <c r="P26" s="6">
        <v>0</v>
      </c>
      <c r="Q26" s="6">
        <v>5</v>
      </c>
      <c r="R26" s="6">
        <v>7</v>
      </c>
      <c r="S26" s="6">
        <v>3</v>
      </c>
      <c r="T26" s="6">
        <v>6</v>
      </c>
      <c r="U26" s="6">
        <v>9</v>
      </c>
      <c r="V26" s="6">
        <v>3</v>
      </c>
      <c r="W26" s="6">
        <v>2</v>
      </c>
      <c r="X26" s="6">
        <v>2</v>
      </c>
      <c r="Y26" s="6">
        <v>1</v>
      </c>
      <c r="Z26" s="6">
        <v>3</v>
      </c>
      <c r="AA26" s="6">
        <v>2</v>
      </c>
      <c r="AB26" s="6">
        <v>4</v>
      </c>
      <c r="AC26" s="6">
        <v>5</v>
      </c>
      <c r="AD26" s="6">
        <v>1</v>
      </c>
      <c r="AE26" s="6">
        <v>4</v>
      </c>
      <c r="AF26" s="6">
        <v>5</v>
      </c>
      <c r="AG26" s="6">
        <v>2</v>
      </c>
      <c r="AH26" s="6">
        <v>6</v>
      </c>
      <c r="AI26" s="6">
        <v>0</v>
      </c>
      <c r="AJ26" s="6">
        <v>7</v>
      </c>
      <c r="AK26" s="6">
        <v>3</v>
      </c>
      <c r="AL26" s="6">
        <v>3</v>
      </c>
      <c r="AM26" s="6">
        <v>3</v>
      </c>
      <c r="AN26" s="6">
        <v>1</v>
      </c>
      <c r="AO26" s="6">
        <v>2</v>
      </c>
      <c r="AP26" s="6">
        <v>0</v>
      </c>
      <c r="AQ26" s="6">
        <v>2</v>
      </c>
      <c r="AR26" s="6">
        <v>0</v>
      </c>
      <c r="AS26" s="6">
        <v>5</v>
      </c>
      <c r="AT26" s="6">
        <v>9</v>
      </c>
      <c r="AU26" s="6">
        <v>6</v>
      </c>
      <c r="AV26" s="6">
        <v>0</v>
      </c>
      <c r="AW26" s="6">
        <v>0</v>
      </c>
      <c r="AX26" s="5">
        <f t="shared" si="4"/>
        <v>156</v>
      </c>
    </row>
    <row r="27" spans="1:50">
      <c r="A27" s="13"/>
      <c r="B27" s="88"/>
      <c r="C27" s="98"/>
      <c r="D27" s="5" t="s">
        <v>25</v>
      </c>
      <c r="E27" s="5">
        <f t="shared" ref="E27:AW27" si="13">SUM(E25:E26)</f>
        <v>9</v>
      </c>
      <c r="F27" s="5">
        <f t="shared" si="13"/>
        <v>1</v>
      </c>
      <c r="G27" s="5">
        <f t="shared" si="13"/>
        <v>11</v>
      </c>
      <c r="H27" s="5">
        <f t="shared" si="13"/>
        <v>13</v>
      </c>
      <c r="I27" s="5">
        <f t="shared" si="13"/>
        <v>5</v>
      </c>
      <c r="J27" s="5">
        <f t="shared" si="13"/>
        <v>6</v>
      </c>
      <c r="K27" s="5">
        <f t="shared" si="13"/>
        <v>6</v>
      </c>
      <c r="L27" s="5">
        <f t="shared" si="13"/>
        <v>4</v>
      </c>
      <c r="M27" s="5">
        <f t="shared" si="13"/>
        <v>6</v>
      </c>
      <c r="N27" s="5">
        <f t="shared" si="13"/>
        <v>4</v>
      </c>
      <c r="O27" s="5">
        <f t="shared" ref="O27:T27" si="14">SUM(O25:O26)</f>
        <v>10</v>
      </c>
      <c r="P27" s="5">
        <f t="shared" si="14"/>
        <v>0</v>
      </c>
      <c r="Q27" s="5">
        <f t="shared" si="14"/>
        <v>8</v>
      </c>
      <c r="R27" s="5">
        <f t="shared" si="14"/>
        <v>11</v>
      </c>
      <c r="S27" s="5">
        <f t="shared" si="14"/>
        <v>9</v>
      </c>
      <c r="T27" s="5">
        <f t="shared" si="14"/>
        <v>11</v>
      </c>
      <c r="U27" s="5">
        <f t="shared" ref="U27:AP27" si="15">SUM(U25:U26)</f>
        <v>17</v>
      </c>
      <c r="V27" s="5">
        <f t="shared" si="15"/>
        <v>6</v>
      </c>
      <c r="W27" s="5">
        <f t="shared" ref="W27:AI27" si="16">SUM(W25:W26)</f>
        <v>3</v>
      </c>
      <c r="X27" s="5">
        <f t="shared" si="16"/>
        <v>4</v>
      </c>
      <c r="Y27" s="5">
        <f t="shared" si="16"/>
        <v>2</v>
      </c>
      <c r="Z27" s="5">
        <f t="shared" si="16"/>
        <v>5</v>
      </c>
      <c r="AA27" s="5">
        <f t="shared" si="16"/>
        <v>4</v>
      </c>
      <c r="AB27" s="5">
        <f t="shared" si="16"/>
        <v>4</v>
      </c>
      <c r="AC27" s="5">
        <f t="shared" si="16"/>
        <v>8</v>
      </c>
      <c r="AD27" s="5">
        <f t="shared" si="16"/>
        <v>4</v>
      </c>
      <c r="AE27" s="5">
        <f t="shared" si="16"/>
        <v>9</v>
      </c>
      <c r="AF27" s="5">
        <f t="shared" si="16"/>
        <v>11</v>
      </c>
      <c r="AG27" s="5">
        <f t="shared" si="16"/>
        <v>2</v>
      </c>
      <c r="AH27" s="5">
        <f t="shared" si="16"/>
        <v>7</v>
      </c>
      <c r="AI27" s="5">
        <f t="shared" si="16"/>
        <v>0</v>
      </c>
      <c r="AJ27" s="5">
        <f t="shared" si="15"/>
        <v>9</v>
      </c>
      <c r="AK27" s="5">
        <f t="shared" si="15"/>
        <v>6</v>
      </c>
      <c r="AL27" s="5">
        <f t="shared" si="15"/>
        <v>7</v>
      </c>
      <c r="AM27" s="5">
        <f t="shared" si="15"/>
        <v>4</v>
      </c>
      <c r="AN27" s="5">
        <f t="shared" si="15"/>
        <v>3</v>
      </c>
      <c r="AO27" s="5">
        <f t="shared" si="15"/>
        <v>2</v>
      </c>
      <c r="AP27" s="5">
        <f t="shared" si="15"/>
        <v>0</v>
      </c>
      <c r="AQ27" s="5">
        <f t="shared" si="13"/>
        <v>3</v>
      </c>
      <c r="AR27" s="5">
        <f t="shared" si="13"/>
        <v>1</v>
      </c>
      <c r="AS27" s="5">
        <f t="shared" si="13"/>
        <v>6</v>
      </c>
      <c r="AT27" s="5">
        <f t="shared" si="13"/>
        <v>13</v>
      </c>
      <c r="AU27" s="5">
        <f t="shared" si="13"/>
        <v>9</v>
      </c>
      <c r="AV27" s="5">
        <f t="shared" si="13"/>
        <v>0</v>
      </c>
      <c r="AW27" s="5">
        <f t="shared" si="13"/>
        <v>0</v>
      </c>
      <c r="AX27" s="5">
        <f t="shared" si="4"/>
        <v>263</v>
      </c>
    </row>
    <row r="28" spans="1:50">
      <c r="A28" s="13"/>
      <c r="B28" s="99" t="s">
        <v>34</v>
      </c>
      <c r="C28" s="100" t="s">
        <v>35</v>
      </c>
      <c r="D28" s="5" t="s">
        <v>23</v>
      </c>
      <c r="E28" s="5">
        <f>SUM(E19,E22,E25)</f>
        <v>104</v>
      </c>
      <c r="F28" s="5">
        <f t="shared" ref="F28:T28" si="17">SUM(F19,F22,F25)</f>
        <v>112</v>
      </c>
      <c r="G28" s="5">
        <f t="shared" si="17"/>
        <v>118</v>
      </c>
      <c r="H28" s="5">
        <f t="shared" si="17"/>
        <v>103</v>
      </c>
      <c r="I28" s="5">
        <f t="shared" si="17"/>
        <v>101</v>
      </c>
      <c r="J28" s="5">
        <f t="shared" si="17"/>
        <v>102</v>
      </c>
      <c r="K28" s="5">
        <f t="shared" si="17"/>
        <v>122</v>
      </c>
      <c r="L28" s="5">
        <f t="shared" si="17"/>
        <v>103</v>
      </c>
      <c r="M28" s="5">
        <f t="shared" si="17"/>
        <v>97</v>
      </c>
      <c r="N28" s="5">
        <f t="shared" si="17"/>
        <v>94</v>
      </c>
      <c r="O28" s="5">
        <f t="shared" si="17"/>
        <v>119</v>
      </c>
      <c r="P28" s="5">
        <f t="shared" si="17"/>
        <v>109</v>
      </c>
      <c r="Q28" s="5">
        <f t="shared" si="17"/>
        <v>112</v>
      </c>
      <c r="R28" s="5">
        <f t="shared" si="17"/>
        <v>118</v>
      </c>
      <c r="S28" s="5">
        <f t="shared" si="17"/>
        <v>99</v>
      </c>
      <c r="T28" s="5">
        <f t="shared" si="17"/>
        <v>74</v>
      </c>
      <c r="U28" s="5">
        <f t="shared" ref="U28:AP28" si="18">SUM(U19,U22,U25)</f>
        <v>88</v>
      </c>
      <c r="V28" s="5">
        <f t="shared" si="18"/>
        <v>107</v>
      </c>
      <c r="W28" s="5">
        <f t="shared" ref="W28:AI28" si="19">SUM(W19,W22,W25)</f>
        <v>110</v>
      </c>
      <c r="X28" s="5">
        <f t="shared" si="19"/>
        <v>91</v>
      </c>
      <c r="Y28" s="5">
        <f t="shared" si="19"/>
        <v>103</v>
      </c>
      <c r="Z28" s="5">
        <f t="shared" si="19"/>
        <v>119</v>
      </c>
      <c r="AA28" s="5">
        <f t="shared" si="19"/>
        <v>101</v>
      </c>
      <c r="AB28" s="5">
        <f t="shared" si="19"/>
        <v>105</v>
      </c>
      <c r="AC28" s="5">
        <f t="shared" si="19"/>
        <v>74</v>
      </c>
      <c r="AD28" s="5">
        <f t="shared" si="19"/>
        <v>99</v>
      </c>
      <c r="AE28" s="5">
        <f t="shared" si="19"/>
        <v>87</v>
      </c>
      <c r="AF28" s="5">
        <f t="shared" si="19"/>
        <v>98</v>
      </c>
      <c r="AG28" s="5">
        <f t="shared" si="19"/>
        <v>92</v>
      </c>
      <c r="AH28" s="5">
        <f t="shared" si="19"/>
        <v>107</v>
      </c>
      <c r="AI28" s="5">
        <f t="shared" si="19"/>
        <v>95</v>
      </c>
      <c r="AJ28" s="5">
        <f t="shared" si="18"/>
        <v>100</v>
      </c>
      <c r="AK28" s="5">
        <f t="shared" si="18"/>
        <v>98</v>
      </c>
      <c r="AL28" s="5">
        <f t="shared" si="18"/>
        <v>83</v>
      </c>
      <c r="AM28" s="5">
        <f t="shared" si="18"/>
        <v>49</v>
      </c>
      <c r="AN28" s="5">
        <f t="shared" si="18"/>
        <v>104</v>
      </c>
      <c r="AO28" s="5">
        <f t="shared" si="18"/>
        <v>103</v>
      </c>
      <c r="AP28" s="5">
        <f t="shared" si="18"/>
        <v>100</v>
      </c>
      <c r="AQ28" s="5">
        <f t="shared" ref="AQ28:AW29" si="20">SUM(AQ19,AQ22,AQ25)</f>
        <v>78</v>
      </c>
      <c r="AR28" s="5">
        <f t="shared" si="20"/>
        <v>82</v>
      </c>
      <c r="AS28" s="5">
        <f t="shared" si="20"/>
        <v>97</v>
      </c>
      <c r="AT28" s="5">
        <f t="shared" si="20"/>
        <v>94</v>
      </c>
      <c r="AU28" s="5">
        <f t="shared" si="20"/>
        <v>103</v>
      </c>
      <c r="AV28" s="5">
        <f t="shared" si="20"/>
        <v>74</v>
      </c>
      <c r="AW28" s="5">
        <f t="shared" si="20"/>
        <v>23</v>
      </c>
      <c r="AX28" s="5">
        <f t="shared" si="4"/>
        <v>4351</v>
      </c>
    </row>
    <row r="29" spans="1:50">
      <c r="A29" s="13"/>
      <c r="B29" s="87"/>
      <c r="C29" s="97"/>
      <c r="D29" s="5" t="s">
        <v>24</v>
      </c>
      <c r="E29" s="5">
        <f>SUM(E20,E23,E26)</f>
        <v>98</v>
      </c>
      <c r="F29" s="5">
        <f t="shared" ref="F29:T29" si="21">SUM(F20,F23,F26)</f>
        <v>103</v>
      </c>
      <c r="G29" s="5">
        <f t="shared" si="21"/>
        <v>94</v>
      </c>
      <c r="H29" s="5">
        <f t="shared" si="21"/>
        <v>111</v>
      </c>
      <c r="I29" s="5">
        <f t="shared" si="21"/>
        <v>104</v>
      </c>
      <c r="J29" s="5">
        <f t="shared" si="21"/>
        <v>113</v>
      </c>
      <c r="K29" s="5">
        <f t="shared" si="21"/>
        <v>100</v>
      </c>
      <c r="L29" s="5">
        <f t="shared" si="21"/>
        <v>120</v>
      </c>
      <c r="M29" s="5">
        <f t="shared" si="21"/>
        <v>116</v>
      </c>
      <c r="N29" s="5">
        <f t="shared" si="21"/>
        <v>111</v>
      </c>
      <c r="O29" s="5">
        <f t="shared" si="21"/>
        <v>119</v>
      </c>
      <c r="P29" s="5">
        <f t="shared" si="21"/>
        <v>103</v>
      </c>
      <c r="Q29" s="5">
        <f t="shared" si="21"/>
        <v>114</v>
      </c>
      <c r="R29" s="5">
        <f t="shared" si="21"/>
        <v>105</v>
      </c>
      <c r="S29" s="5">
        <f t="shared" si="21"/>
        <v>99</v>
      </c>
      <c r="T29" s="5">
        <f t="shared" si="21"/>
        <v>75</v>
      </c>
      <c r="U29" s="5">
        <f t="shared" ref="U29:AP29" si="22">SUM(U20,U23,U26)</f>
        <v>104</v>
      </c>
      <c r="V29" s="5">
        <f t="shared" si="22"/>
        <v>109</v>
      </c>
      <c r="W29" s="5">
        <f t="shared" ref="W29:AI29" si="23">SUM(W20,W23,W26)</f>
        <v>101</v>
      </c>
      <c r="X29" s="5">
        <f t="shared" si="23"/>
        <v>97</v>
      </c>
      <c r="Y29" s="5">
        <f t="shared" si="23"/>
        <v>101</v>
      </c>
      <c r="Z29" s="5">
        <f t="shared" si="23"/>
        <v>108</v>
      </c>
      <c r="AA29" s="5">
        <f t="shared" si="23"/>
        <v>102</v>
      </c>
      <c r="AB29" s="5">
        <f t="shared" si="23"/>
        <v>123</v>
      </c>
      <c r="AC29" s="5">
        <f t="shared" si="23"/>
        <v>86</v>
      </c>
      <c r="AD29" s="5">
        <f t="shared" si="23"/>
        <v>113</v>
      </c>
      <c r="AE29" s="5">
        <f t="shared" si="23"/>
        <v>101</v>
      </c>
      <c r="AF29" s="5">
        <f t="shared" si="23"/>
        <v>100</v>
      </c>
      <c r="AG29" s="5">
        <f t="shared" si="23"/>
        <v>91</v>
      </c>
      <c r="AH29" s="5">
        <f t="shared" si="23"/>
        <v>121</v>
      </c>
      <c r="AI29" s="5">
        <f t="shared" si="23"/>
        <v>113</v>
      </c>
      <c r="AJ29" s="5">
        <f t="shared" si="22"/>
        <v>109</v>
      </c>
      <c r="AK29" s="5">
        <f t="shared" si="22"/>
        <v>114</v>
      </c>
      <c r="AL29" s="5">
        <f t="shared" si="22"/>
        <v>66</v>
      </c>
      <c r="AM29" s="5">
        <f t="shared" si="22"/>
        <v>45</v>
      </c>
      <c r="AN29" s="5">
        <f t="shared" si="22"/>
        <v>101</v>
      </c>
      <c r="AO29" s="5">
        <f t="shared" si="22"/>
        <v>100</v>
      </c>
      <c r="AP29" s="5">
        <f t="shared" si="22"/>
        <v>108</v>
      </c>
      <c r="AQ29" s="5">
        <f t="shared" si="20"/>
        <v>74</v>
      </c>
      <c r="AR29" s="5">
        <f t="shared" si="20"/>
        <v>97</v>
      </c>
      <c r="AS29" s="5">
        <f t="shared" si="20"/>
        <v>108</v>
      </c>
      <c r="AT29" s="5">
        <f t="shared" si="20"/>
        <v>109</v>
      </c>
      <c r="AU29" s="5">
        <f t="shared" si="20"/>
        <v>115</v>
      </c>
      <c r="AV29" s="5">
        <f t="shared" si="20"/>
        <v>58</v>
      </c>
      <c r="AW29" s="5">
        <f t="shared" si="20"/>
        <v>28</v>
      </c>
      <c r="AX29" s="5">
        <f t="shared" si="4"/>
        <v>4487</v>
      </c>
    </row>
    <row r="30" spans="1:50">
      <c r="A30" s="13"/>
      <c r="B30" s="88"/>
      <c r="C30" s="98"/>
      <c r="D30" s="5" t="s">
        <v>25</v>
      </c>
      <c r="E30" s="5">
        <f t="shared" ref="E30:AW30" si="24">SUM(E28:E29)</f>
        <v>202</v>
      </c>
      <c r="F30" s="5">
        <f t="shared" si="24"/>
        <v>215</v>
      </c>
      <c r="G30" s="5">
        <f t="shared" si="24"/>
        <v>212</v>
      </c>
      <c r="H30" s="5">
        <f t="shared" si="24"/>
        <v>214</v>
      </c>
      <c r="I30" s="5">
        <f t="shared" si="24"/>
        <v>205</v>
      </c>
      <c r="J30" s="5">
        <f t="shared" si="24"/>
        <v>215</v>
      </c>
      <c r="K30" s="5">
        <f t="shared" si="24"/>
        <v>222</v>
      </c>
      <c r="L30" s="5">
        <f t="shared" si="24"/>
        <v>223</v>
      </c>
      <c r="M30" s="5">
        <f t="shared" si="24"/>
        <v>213</v>
      </c>
      <c r="N30" s="5">
        <f t="shared" si="24"/>
        <v>205</v>
      </c>
      <c r="O30" s="5">
        <f t="shared" ref="O30:T30" si="25">SUM(O28:O29)</f>
        <v>238</v>
      </c>
      <c r="P30" s="5">
        <f t="shared" si="25"/>
        <v>212</v>
      </c>
      <c r="Q30" s="5">
        <f t="shared" si="25"/>
        <v>226</v>
      </c>
      <c r="R30" s="5">
        <f t="shared" si="25"/>
        <v>223</v>
      </c>
      <c r="S30" s="5">
        <f t="shared" si="25"/>
        <v>198</v>
      </c>
      <c r="T30" s="5">
        <f t="shared" si="25"/>
        <v>149</v>
      </c>
      <c r="U30" s="5">
        <f t="shared" ref="U30:AP30" si="26">SUM(U28:U29)</f>
        <v>192</v>
      </c>
      <c r="V30" s="5">
        <f t="shared" si="26"/>
        <v>216</v>
      </c>
      <c r="W30" s="5">
        <f t="shared" ref="W30:AI30" si="27">SUM(W28:W29)</f>
        <v>211</v>
      </c>
      <c r="X30" s="5">
        <f t="shared" si="27"/>
        <v>188</v>
      </c>
      <c r="Y30" s="5">
        <f t="shared" si="27"/>
        <v>204</v>
      </c>
      <c r="Z30" s="5">
        <f t="shared" si="27"/>
        <v>227</v>
      </c>
      <c r="AA30" s="5">
        <f t="shared" si="27"/>
        <v>203</v>
      </c>
      <c r="AB30" s="5">
        <f t="shared" si="27"/>
        <v>228</v>
      </c>
      <c r="AC30" s="5">
        <f t="shared" si="27"/>
        <v>160</v>
      </c>
      <c r="AD30" s="5">
        <f t="shared" si="27"/>
        <v>212</v>
      </c>
      <c r="AE30" s="5">
        <f t="shared" si="27"/>
        <v>188</v>
      </c>
      <c r="AF30" s="5">
        <f t="shared" si="27"/>
        <v>198</v>
      </c>
      <c r="AG30" s="5">
        <f t="shared" si="27"/>
        <v>183</v>
      </c>
      <c r="AH30" s="5">
        <f t="shared" si="27"/>
        <v>228</v>
      </c>
      <c r="AI30" s="5">
        <f t="shared" si="27"/>
        <v>208</v>
      </c>
      <c r="AJ30" s="5">
        <f t="shared" si="26"/>
        <v>209</v>
      </c>
      <c r="AK30" s="5">
        <f t="shared" si="26"/>
        <v>212</v>
      </c>
      <c r="AL30" s="5">
        <f t="shared" si="26"/>
        <v>149</v>
      </c>
      <c r="AM30" s="5">
        <f t="shared" si="26"/>
        <v>94</v>
      </c>
      <c r="AN30" s="5">
        <f t="shared" si="26"/>
        <v>205</v>
      </c>
      <c r="AO30" s="5">
        <f t="shared" si="26"/>
        <v>203</v>
      </c>
      <c r="AP30" s="5">
        <f t="shared" si="26"/>
        <v>208</v>
      </c>
      <c r="AQ30" s="5">
        <f t="shared" si="24"/>
        <v>152</v>
      </c>
      <c r="AR30" s="5">
        <f t="shared" si="24"/>
        <v>179</v>
      </c>
      <c r="AS30" s="5">
        <f t="shared" si="24"/>
        <v>205</v>
      </c>
      <c r="AT30" s="5">
        <f t="shared" si="24"/>
        <v>203</v>
      </c>
      <c r="AU30" s="5">
        <f t="shared" si="24"/>
        <v>218</v>
      </c>
      <c r="AV30" s="5">
        <f t="shared" si="24"/>
        <v>132</v>
      </c>
      <c r="AW30" s="5">
        <f t="shared" si="24"/>
        <v>51</v>
      </c>
      <c r="AX30" s="5">
        <f t="shared" si="4"/>
        <v>8838</v>
      </c>
    </row>
    <row r="31" spans="1:50">
      <c r="A31" s="74"/>
      <c r="B31" s="82"/>
      <c r="C31" s="8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10"/>
      <c r="AQ31" s="6"/>
      <c r="AR31" s="6"/>
      <c r="AS31" s="6"/>
      <c r="AT31" s="6"/>
      <c r="AU31" s="6"/>
      <c r="AV31" s="6"/>
      <c r="AW31" s="6"/>
      <c r="AX31" s="28"/>
    </row>
    <row r="32" spans="1:50">
      <c r="A32" s="14" t="s">
        <v>36</v>
      </c>
      <c r="B32" s="69" t="s">
        <v>37</v>
      </c>
      <c r="C32" s="8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1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15"/>
      <c r="AQ32" s="5"/>
      <c r="AR32" s="5"/>
      <c r="AS32" s="5"/>
      <c r="AT32" s="5"/>
      <c r="AU32" s="5"/>
      <c r="AV32" s="5"/>
      <c r="AW32" s="5"/>
      <c r="AX32" s="28"/>
    </row>
    <row r="33" spans="1:50">
      <c r="A33" s="6">
        <v>1</v>
      </c>
      <c r="B33" s="90" t="s">
        <v>38</v>
      </c>
      <c r="C33" s="82"/>
      <c r="D33" s="73"/>
      <c r="E33" s="6">
        <v>273</v>
      </c>
      <c r="F33" s="6">
        <v>267</v>
      </c>
      <c r="G33" s="6">
        <v>254</v>
      </c>
      <c r="H33" s="6">
        <v>269</v>
      </c>
      <c r="I33" s="6">
        <v>285</v>
      </c>
      <c r="J33" s="6">
        <v>286</v>
      </c>
      <c r="K33" s="6">
        <v>269</v>
      </c>
      <c r="L33" s="6">
        <v>308</v>
      </c>
      <c r="M33" s="6">
        <v>282</v>
      </c>
      <c r="N33" s="6">
        <v>290</v>
      </c>
      <c r="O33" s="6">
        <v>298</v>
      </c>
      <c r="P33" s="6">
        <v>274</v>
      </c>
      <c r="Q33" s="6">
        <v>294</v>
      </c>
      <c r="R33" s="6">
        <v>284</v>
      </c>
      <c r="S33" s="6">
        <v>248</v>
      </c>
      <c r="T33">
        <v>194</v>
      </c>
      <c r="U33">
        <v>228</v>
      </c>
      <c r="V33">
        <v>289</v>
      </c>
      <c r="W33">
        <v>266</v>
      </c>
      <c r="X33">
        <v>251</v>
      </c>
      <c r="Y33">
        <v>277</v>
      </c>
      <c r="Z33">
        <v>268</v>
      </c>
      <c r="AA33">
        <v>268</v>
      </c>
      <c r="AB33">
        <v>288</v>
      </c>
      <c r="AC33">
        <v>231</v>
      </c>
      <c r="AD33">
        <v>286</v>
      </c>
      <c r="AE33">
        <v>252</v>
      </c>
      <c r="AF33">
        <v>267</v>
      </c>
      <c r="AG33">
        <v>237</v>
      </c>
      <c r="AH33">
        <v>299</v>
      </c>
      <c r="AI33" s="6">
        <v>296</v>
      </c>
      <c r="AJ33" s="6">
        <v>301</v>
      </c>
      <c r="AK33" s="6">
        <v>262</v>
      </c>
      <c r="AL33" s="6">
        <v>193</v>
      </c>
      <c r="AM33" s="6">
        <v>148</v>
      </c>
      <c r="AN33" s="6">
        <v>297</v>
      </c>
      <c r="AO33" s="6">
        <v>278</v>
      </c>
      <c r="AP33" s="6">
        <v>304</v>
      </c>
      <c r="AQ33" s="6">
        <v>203</v>
      </c>
      <c r="AR33" s="6">
        <v>249</v>
      </c>
      <c r="AS33" s="6">
        <v>303</v>
      </c>
      <c r="AT33" s="6">
        <v>292</v>
      </c>
      <c r="AU33" s="6">
        <v>275</v>
      </c>
      <c r="AV33" s="6">
        <v>161</v>
      </c>
      <c r="AW33" s="6">
        <v>77</v>
      </c>
      <c r="AX33" s="5">
        <f>SUM(E33:AW33)</f>
        <v>11721</v>
      </c>
    </row>
    <row r="34" spans="1:50">
      <c r="A34" s="6">
        <v>2</v>
      </c>
      <c r="B34" s="90" t="s">
        <v>39</v>
      </c>
      <c r="C34" s="82"/>
      <c r="D34" s="73"/>
      <c r="E34" s="5">
        <v>202</v>
      </c>
      <c r="F34" s="5">
        <v>215</v>
      </c>
      <c r="G34" s="5">
        <v>212</v>
      </c>
      <c r="H34" s="5">
        <v>214</v>
      </c>
      <c r="I34" s="5">
        <v>205</v>
      </c>
      <c r="J34" s="5">
        <v>215</v>
      </c>
      <c r="K34" s="5">
        <v>222</v>
      </c>
      <c r="L34" s="5">
        <v>223</v>
      </c>
      <c r="M34" s="5">
        <v>213</v>
      </c>
      <c r="N34" s="5">
        <v>205</v>
      </c>
      <c r="O34" s="5">
        <v>238</v>
      </c>
      <c r="P34" s="5">
        <v>212</v>
      </c>
      <c r="Q34" s="5">
        <v>226</v>
      </c>
      <c r="R34" s="5">
        <v>223</v>
      </c>
      <c r="S34" s="5">
        <v>198</v>
      </c>
      <c r="T34">
        <v>149</v>
      </c>
      <c r="U34">
        <v>192</v>
      </c>
      <c r="V34">
        <v>216</v>
      </c>
      <c r="W34">
        <v>211</v>
      </c>
      <c r="X34">
        <v>188</v>
      </c>
      <c r="Y34">
        <v>204</v>
      </c>
      <c r="Z34">
        <v>227</v>
      </c>
      <c r="AA34">
        <v>203</v>
      </c>
      <c r="AB34">
        <v>228</v>
      </c>
      <c r="AC34">
        <v>160</v>
      </c>
      <c r="AD34">
        <v>212</v>
      </c>
      <c r="AE34">
        <v>188</v>
      </c>
      <c r="AF34">
        <v>198</v>
      </c>
      <c r="AG34">
        <v>183</v>
      </c>
      <c r="AH34">
        <v>228</v>
      </c>
      <c r="AI34" s="5">
        <v>208</v>
      </c>
      <c r="AJ34" s="5">
        <v>209</v>
      </c>
      <c r="AK34" s="5">
        <v>212</v>
      </c>
      <c r="AL34" s="5">
        <v>149</v>
      </c>
      <c r="AM34" s="5">
        <v>94</v>
      </c>
      <c r="AN34" s="5">
        <v>205</v>
      </c>
      <c r="AO34" s="5">
        <v>203</v>
      </c>
      <c r="AP34" s="5">
        <v>208</v>
      </c>
      <c r="AQ34" s="5">
        <v>152</v>
      </c>
      <c r="AR34" s="5">
        <v>179</v>
      </c>
      <c r="AS34" s="5">
        <v>205</v>
      </c>
      <c r="AT34" s="5">
        <v>203</v>
      </c>
      <c r="AU34" s="5">
        <v>218</v>
      </c>
      <c r="AV34" s="5">
        <v>132</v>
      </c>
      <c r="AW34" s="5">
        <v>51</v>
      </c>
      <c r="AX34" s="5">
        <f>SUM(E34:AW34)</f>
        <v>8838</v>
      </c>
    </row>
    <row r="35" spans="1:50">
      <c r="A35" s="6">
        <v>3</v>
      </c>
      <c r="B35" s="90" t="s">
        <v>40</v>
      </c>
      <c r="C35" s="82"/>
      <c r="D35" s="73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9</v>
      </c>
      <c r="Q35" s="6">
        <v>0</v>
      </c>
      <c r="R35" s="6">
        <v>0</v>
      </c>
      <c r="S35" s="6">
        <v>0</v>
      </c>
      <c r="T35">
        <v>1</v>
      </c>
      <c r="U35">
        <v>0</v>
      </c>
      <c r="V35">
        <v>1</v>
      </c>
      <c r="W35">
        <v>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6">
        <v>0</v>
      </c>
      <c r="AJ35" s="6">
        <v>0</v>
      </c>
      <c r="AK35" s="6">
        <v>2</v>
      </c>
      <c r="AL35" s="6">
        <v>1</v>
      </c>
      <c r="AM35" s="6">
        <v>0</v>
      </c>
      <c r="AN35" s="6">
        <v>1</v>
      </c>
      <c r="AO35" s="6">
        <v>0</v>
      </c>
      <c r="AP35" s="6">
        <v>0</v>
      </c>
      <c r="AQ35" s="6">
        <v>0</v>
      </c>
      <c r="AR35" s="6">
        <v>0</v>
      </c>
      <c r="AS35" s="6">
        <v>1</v>
      </c>
      <c r="AT35" s="6">
        <v>0</v>
      </c>
      <c r="AU35" s="6">
        <v>2</v>
      </c>
      <c r="AV35" s="6">
        <v>0</v>
      </c>
      <c r="AW35" s="6">
        <v>0</v>
      </c>
      <c r="AX35" s="5">
        <f>SUM(E35:AW35)</f>
        <v>28</v>
      </c>
    </row>
    <row r="36" spans="1:50">
      <c r="A36" s="6">
        <v>4</v>
      </c>
      <c r="B36" s="90" t="s">
        <v>41</v>
      </c>
      <c r="C36" s="82"/>
      <c r="D36" s="73"/>
      <c r="E36" s="5">
        <f t="shared" ref="E36:AW36" si="28">E33-(E34+E35)</f>
        <v>71</v>
      </c>
      <c r="F36" s="5">
        <f t="shared" si="28"/>
        <v>52</v>
      </c>
      <c r="G36" s="5">
        <f t="shared" si="28"/>
        <v>42</v>
      </c>
      <c r="H36" s="5">
        <f t="shared" si="28"/>
        <v>55</v>
      </c>
      <c r="I36" s="5">
        <f t="shared" si="28"/>
        <v>80</v>
      </c>
      <c r="J36" s="5">
        <f t="shared" si="28"/>
        <v>70</v>
      </c>
      <c r="K36" s="5">
        <f t="shared" si="28"/>
        <v>46</v>
      </c>
      <c r="L36" s="5">
        <f t="shared" si="28"/>
        <v>84</v>
      </c>
      <c r="M36" s="5">
        <f t="shared" si="28"/>
        <v>69</v>
      </c>
      <c r="N36" s="5">
        <f t="shared" si="28"/>
        <v>85</v>
      </c>
      <c r="O36" s="5">
        <f t="shared" ref="O36:T36" si="29">O33-(O34+O35)</f>
        <v>60</v>
      </c>
      <c r="P36" s="5">
        <f t="shared" si="29"/>
        <v>53</v>
      </c>
      <c r="Q36" s="5">
        <f t="shared" si="29"/>
        <v>68</v>
      </c>
      <c r="R36" s="5">
        <f t="shared" si="29"/>
        <v>61</v>
      </c>
      <c r="S36" s="5">
        <f t="shared" si="29"/>
        <v>50</v>
      </c>
      <c r="T36" s="5">
        <f t="shared" si="29"/>
        <v>44</v>
      </c>
      <c r="U36" s="5">
        <f t="shared" ref="U36:AP36" si="30">U33-(U34+U35)</f>
        <v>36</v>
      </c>
      <c r="V36" s="5">
        <f t="shared" si="30"/>
        <v>72</v>
      </c>
      <c r="W36" s="5">
        <f t="shared" ref="W36:AI36" si="31">W33-(W34+W35)</f>
        <v>48</v>
      </c>
      <c r="X36" s="5">
        <f t="shared" si="31"/>
        <v>63</v>
      </c>
      <c r="Y36" s="5">
        <f t="shared" si="31"/>
        <v>73</v>
      </c>
      <c r="Z36" s="5">
        <f t="shared" si="31"/>
        <v>41</v>
      </c>
      <c r="AA36" s="5">
        <f t="shared" si="31"/>
        <v>65</v>
      </c>
      <c r="AB36" s="5">
        <f t="shared" si="31"/>
        <v>60</v>
      </c>
      <c r="AC36" s="5">
        <f t="shared" si="31"/>
        <v>71</v>
      </c>
      <c r="AD36" s="5">
        <f t="shared" si="31"/>
        <v>74</v>
      </c>
      <c r="AE36" s="5">
        <f t="shared" si="31"/>
        <v>64</v>
      </c>
      <c r="AF36" s="5">
        <f t="shared" si="31"/>
        <v>69</v>
      </c>
      <c r="AG36" s="5">
        <f t="shared" si="31"/>
        <v>54</v>
      </c>
      <c r="AH36" s="5">
        <f t="shared" si="31"/>
        <v>71</v>
      </c>
      <c r="AI36" s="5">
        <f t="shared" si="31"/>
        <v>88</v>
      </c>
      <c r="AJ36" s="5">
        <f t="shared" si="30"/>
        <v>92</v>
      </c>
      <c r="AK36" s="5">
        <f t="shared" si="30"/>
        <v>48</v>
      </c>
      <c r="AL36" s="5">
        <f t="shared" si="30"/>
        <v>43</v>
      </c>
      <c r="AM36" s="5">
        <f t="shared" si="30"/>
        <v>54</v>
      </c>
      <c r="AN36" s="5">
        <f t="shared" si="30"/>
        <v>91</v>
      </c>
      <c r="AO36" s="5">
        <f t="shared" si="30"/>
        <v>75</v>
      </c>
      <c r="AP36" s="5">
        <f t="shared" si="30"/>
        <v>96</v>
      </c>
      <c r="AQ36" s="5">
        <f t="shared" si="28"/>
        <v>51</v>
      </c>
      <c r="AR36" s="5">
        <f t="shared" si="28"/>
        <v>70</v>
      </c>
      <c r="AS36" s="5">
        <f t="shared" si="28"/>
        <v>97</v>
      </c>
      <c r="AT36" s="5">
        <f t="shared" si="28"/>
        <v>89</v>
      </c>
      <c r="AU36" s="5">
        <f t="shared" si="28"/>
        <v>55</v>
      </c>
      <c r="AV36" s="5">
        <f t="shared" si="28"/>
        <v>29</v>
      </c>
      <c r="AW36" s="5">
        <f t="shared" si="28"/>
        <v>26</v>
      </c>
      <c r="AX36" s="5">
        <f>SUM(E36:AW36)</f>
        <v>2855</v>
      </c>
    </row>
    <row r="37" spans="1:50">
      <c r="A37" s="74"/>
      <c r="B37" s="82"/>
      <c r="C37" s="82"/>
      <c r="D37" s="82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101"/>
      <c r="AR37" s="101"/>
      <c r="AS37" s="101"/>
      <c r="AT37" s="101"/>
      <c r="AU37" s="101"/>
      <c r="AV37" s="101"/>
      <c r="AW37" s="101"/>
      <c r="AX37" s="28"/>
    </row>
    <row r="38" spans="1:50">
      <c r="A38" s="16" t="s">
        <v>42</v>
      </c>
      <c r="B38" s="69" t="s">
        <v>43</v>
      </c>
      <c r="C38" s="8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15"/>
      <c r="AQ38" s="5"/>
      <c r="AR38" s="5"/>
      <c r="AS38" s="5"/>
      <c r="AT38" s="5"/>
      <c r="AU38" s="5"/>
      <c r="AV38" s="5"/>
      <c r="AW38" s="5"/>
      <c r="AX38" s="28"/>
    </row>
    <row r="39" spans="1:50">
      <c r="A39" s="11"/>
      <c r="B39" s="85" t="s">
        <v>44</v>
      </c>
      <c r="C39" s="81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5">
        <f>SUM(E39:AW39)</f>
        <v>1</v>
      </c>
    </row>
    <row r="40" spans="1:50">
      <c r="A40" s="12"/>
      <c r="B40" s="86"/>
      <c r="C40" s="8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2</v>
      </c>
      <c r="T40" s="6">
        <v>1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</v>
      </c>
      <c r="AS40" s="6">
        <v>1</v>
      </c>
      <c r="AT40" s="6">
        <v>0</v>
      </c>
      <c r="AU40" s="6">
        <v>0</v>
      </c>
      <c r="AV40" s="6">
        <v>0</v>
      </c>
      <c r="AW40" s="6">
        <v>0</v>
      </c>
      <c r="AX40" s="5">
        <f>SUM(E40:AW40)</f>
        <v>6</v>
      </c>
    </row>
    <row r="41" spans="1:50">
      <c r="A41" s="14"/>
      <c r="B41" s="84"/>
      <c r="C41" s="88"/>
      <c r="D41" s="5" t="s">
        <v>25</v>
      </c>
      <c r="E41" s="5">
        <f t="shared" ref="E41:AW41" si="32">SUM(E39:E40)</f>
        <v>0</v>
      </c>
      <c r="F41" s="5">
        <f t="shared" si="32"/>
        <v>0</v>
      </c>
      <c r="G41" s="5">
        <f t="shared" si="32"/>
        <v>0</v>
      </c>
      <c r="H41" s="5">
        <f t="shared" si="32"/>
        <v>0</v>
      </c>
      <c r="I41" s="5">
        <f t="shared" si="32"/>
        <v>0</v>
      </c>
      <c r="J41" s="5">
        <f t="shared" si="32"/>
        <v>0</v>
      </c>
      <c r="K41" s="5">
        <f t="shared" si="32"/>
        <v>0</v>
      </c>
      <c r="L41" s="5">
        <f t="shared" si="32"/>
        <v>0</v>
      </c>
      <c r="M41" s="5">
        <f t="shared" si="32"/>
        <v>0</v>
      </c>
      <c r="N41" s="5">
        <f t="shared" si="32"/>
        <v>1</v>
      </c>
      <c r="O41" s="5">
        <f t="shared" ref="O41:T41" si="33">SUM(O39:O40)</f>
        <v>0</v>
      </c>
      <c r="P41" s="5">
        <f t="shared" si="33"/>
        <v>0</v>
      </c>
      <c r="Q41" s="5">
        <f t="shared" si="33"/>
        <v>0</v>
      </c>
      <c r="R41" s="5">
        <f t="shared" si="33"/>
        <v>0</v>
      </c>
      <c r="S41" s="5">
        <f t="shared" si="33"/>
        <v>2</v>
      </c>
      <c r="T41" s="5">
        <f t="shared" si="33"/>
        <v>1</v>
      </c>
      <c r="U41" s="5">
        <f t="shared" ref="U41:AP41" si="34">SUM(U39:U40)</f>
        <v>0</v>
      </c>
      <c r="V41" s="5">
        <f t="shared" si="34"/>
        <v>0</v>
      </c>
      <c r="W41" s="5">
        <f t="shared" ref="W41:AI41" si="35">SUM(W39:W40)</f>
        <v>1</v>
      </c>
      <c r="X41" s="5">
        <f t="shared" si="35"/>
        <v>0</v>
      </c>
      <c r="Y41" s="5">
        <f t="shared" si="35"/>
        <v>0</v>
      </c>
      <c r="Z41" s="5">
        <f t="shared" si="35"/>
        <v>0</v>
      </c>
      <c r="AA41" s="5">
        <f t="shared" si="35"/>
        <v>0</v>
      </c>
      <c r="AB41" s="5">
        <f t="shared" si="35"/>
        <v>0</v>
      </c>
      <c r="AC41" s="5">
        <f t="shared" si="35"/>
        <v>0</v>
      </c>
      <c r="AD41" s="5">
        <f t="shared" si="35"/>
        <v>0</v>
      </c>
      <c r="AE41" s="5">
        <f t="shared" si="35"/>
        <v>0</v>
      </c>
      <c r="AF41" s="5">
        <f t="shared" si="35"/>
        <v>0</v>
      </c>
      <c r="AG41" s="5">
        <f t="shared" si="35"/>
        <v>0</v>
      </c>
      <c r="AH41" s="5">
        <f t="shared" si="35"/>
        <v>0</v>
      </c>
      <c r="AI41" s="5">
        <f t="shared" si="35"/>
        <v>0</v>
      </c>
      <c r="AJ41" s="5">
        <f t="shared" si="34"/>
        <v>0</v>
      </c>
      <c r="AK41" s="5">
        <f t="shared" si="34"/>
        <v>0</v>
      </c>
      <c r="AL41" s="5">
        <f t="shared" si="34"/>
        <v>0</v>
      </c>
      <c r="AM41" s="5">
        <f t="shared" si="34"/>
        <v>0</v>
      </c>
      <c r="AN41" s="5">
        <f t="shared" si="34"/>
        <v>0</v>
      </c>
      <c r="AO41" s="5">
        <f t="shared" si="34"/>
        <v>0</v>
      </c>
      <c r="AP41" s="5">
        <f t="shared" si="34"/>
        <v>0</v>
      </c>
      <c r="AQ41" s="5">
        <f t="shared" si="32"/>
        <v>0</v>
      </c>
      <c r="AR41" s="5">
        <f t="shared" si="32"/>
        <v>1</v>
      </c>
      <c r="AS41" s="5">
        <f t="shared" si="32"/>
        <v>1</v>
      </c>
      <c r="AT41" s="5">
        <f t="shared" si="32"/>
        <v>0</v>
      </c>
      <c r="AU41" s="5">
        <f t="shared" si="32"/>
        <v>0</v>
      </c>
      <c r="AV41" s="5">
        <f t="shared" si="32"/>
        <v>0</v>
      </c>
      <c r="AW41" s="5">
        <f t="shared" si="32"/>
        <v>0</v>
      </c>
      <c r="AX41" s="5">
        <f>SUM(E41:AW41)</f>
        <v>7</v>
      </c>
    </row>
    <row r="42" spans="1:50">
      <c r="A42" s="83"/>
      <c r="B42" s="84"/>
      <c r="C42" s="84"/>
      <c r="D42" s="88"/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82"/>
      <c r="AR42" s="82"/>
      <c r="AS42" s="82"/>
      <c r="AT42" s="82"/>
      <c r="AU42" s="82"/>
      <c r="AV42" s="82"/>
      <c r="AW42" s="82"/>
      <c r="AX42" s="5"/>
    </row>
    <row r="43" spans="1:50" ht="13.15" customHeight="1">
      <c r="A43" s="16" t="s">
        <v>45</v>
      </c>
      <c r="B43" s="69" t="s">
        <v>46</v>
      </c>
      <c r="C43" s="8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1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15"/>
      <c r="AQ43" s="5"/>
      <c r="AR43" s="5"/>
      <c r="AS43" s="5"/>
      <c r="AT43" s="5"/>
      <c r="AU43" s="5"/>
      <c r="AV43" s="5"/>
      <c r="AW43" s="5"/>
      <c r="AX43" s="5"/>
    </row>
    <row r="44" spans="1:50" ht="13.15" customHeight="1">
      <c r="A44" s="85" t="s">
        <v>47</v>
      </c>
      <c r="B44" s="89"/>
      <c r="C44" s="89"/>
      <c r="D44" s="81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10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10"/>
      <c r="AQ44" s="6"/>
      <c r="AR44" s="6"/>
      <c r="AS44" s="6"/>
      <c r="AT44" s="6"/>
      <c r="AU44" s="6"/>
      <c r="AV44" s="6"/>
      <c r="AW44" s="6"/>
      <c r="AX44" s="5"/>
    </row>
    <row r="45" spans="1:50">
      <c r="A45" s="11" t="s">
        <v>48</v>
      </c>
      <c r="B45" s="17" t="s">
        <v>28</v>
      </c>
      <c r="C45" s="72" t="s">
        <v>49</v>
      </c>
      <c r="D45" s="7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5">
        <f t="shared" ref="AX45:AX54" si="36">SUM(E45:AW45)</f>
        <v>0</v>
      </c>
    </row>
    <row r="46" spans="1:50">
      <c r="A46" s="11" t="s">
        <v>50</v>
      </c>
      <c r="B46" s="50"/>
      <c r="C46" s="24" t="s">
        <v>105</v>
      </c>
      <c r="D46" s="5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5">
        <f t="shared" si="36"/>
        <v>0</v>
      </c>
    </row>
    <row r="47" spans="1:50">
      <c r="A47" s="7"/>
      <c r="B47" s="50"/>
      <c r="C47" s="24" t="s">
        <v>106</v>
      </c>
      <c r="D47" s="5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5">
        <f t="shared" si="36"/>
        <v>0</v>
      </c>
    </row>
    <row r="48" spans="1:50">
      <c r="A48" s="7"/>
      <c r="B48" s="50"/>
      <c r="C48" s="24" t="s">
        <v>107</v>
      </c>
      <c r="D48" s="51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5">
        <f t="shared" si="36"/>
        <v>0</v>
      </c>
    </row>
    <row r="49" spans="1:50">
      <c r="A49" s="7"/>
      <c r="B49" s="50"/>
      <c r="C49" s="24" t="s">
        <v>108</v>
      </c>
      <c r="D49" s="5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5">
        <f t="shared" si="36"/>
        <v>0</v>
      </c>
    </row>
    <row r="50" spans="1:50">
      <c r="A50" s="7"/>
      <c r="B50" s="50"/>
      <c r="C50" s="24" t="s">
        <v>109</v>
      </c>
      <c r="D50" s="5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5">
        <f t="shared" si="36"/>
        <v>0</v>
      </c>
    </row>
    <row r="51" spans="1:50">
      <c r="A51" s="7"/>
      <c r="B51" s="50"/>
      <c r="C51" s="24" t="s">
        <v>110</v>
      </c>
      <c r="D51" s="5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5">
        <f t="shared" si="36"/>
        <v>0</v>
      </c>
    </row>
    <row r="52" spans="1:50" ht="13.15" customHeight="1">
      <c r="A52" s="7"/>
      <c r="B52" s="50"/>
      <c r="C52" s="24" t="s">
        <v>111</v>
      </c>
      <c r="D52" s="5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5">
        <f t="shared" si="36"/>
        <v>0</v>
      </c>
    </row>
    <row r="53" spans="1:50" ht="13.15" customHeight="1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5">
        <f t="shared" si="36"/>
        <v>0</v>
      </c>
    </row>
    <row r="54" spans="1:50" ht="13.15" customHeight="1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5">
        <f t="shared" si="36"/>
        <v>0</v>
      </c>
    </row>
    <row r="55" spans="1:50">
      <c r="A55" s="6" t="s">
        <v>26</v>
      </c>
      <c r="B55" s="66" t="s">
        <v>51</v>
      </c>
      <c r="C55" s="82"/>
      <c r="D55" s="73"/>
      <c r="E55" s="5">
        <f>SUM(E45:E54)</f>
        <v>0</v>
      </c>
      <c r="F55" s="5">
        <f t="shared" ref="F55:T55" si="37">SUM(F45:F54)</f>
        <v>0</v>
      </c>
      <c r="G55" s="5">
        <f t="shared" si="37"/>
        <v>0</v>
      </c>
      <c r="H55" s="5">
        <f t="shared" si="37"/>
        <v>0</v>
      </c>
      <c r="I55" s="5">
        <f t="shared" si="37"/>
        <v>0</v>
      </c>
      <c r="J55" s="5">
        <f t="shared" si="37"/>
        <v>0</v>
      </c>
      <c r="K55" s="5">
        <f t="shared" si="37"/>
        <v>0</v>
      </c>
      <c r="L55" s="5">
        <f t="shared" si="37"/>
        <v>0</v>
      </c>
      <c r="M55" s="5">
        <f t="shared" si="37"/>
        <v>0</v>
      </c>
      <c r="N55" s="5">
        <f t="shared" si="37"/>
        <v>0</v>
      </c>
      <c r="O55" s="5">
        <f t="shared" si="37"/>
        <v>0</v>
      </c>
      <c r="P55" s="5">
        <f t="shared" si="37"/>
        <v>0</v>
      </c>
      <c r="Q55" s="5">
        <f t="shared" si="37"/>
        <v>0</v>
      </c>
      <c r="R55" s="5">
        <f t="shared" si="37"/>
        <v>0</v>
      </c>
      <c r="S55" s="5">
        <f t="shared" si="37"/>
        <v>0</v>
      </c>
      <c r="T55" s="5">
        <f t="shared" si="37"/>
        <v>0</v>
      </c>
      <c r="U55" s="5">
        <f t="shared" ref="U55:AX55" si="38">SUM(U45:U54)</f>
        <v>0</v>
      </c>
      <c r="V55" s="5">
        <f t="shared" si="38"/>
        <v>0</v>
      </c>
      <c r="W55" s="5">
        <f t="shared" ref="W55:AI55" si="39">SUM(W45:W54)</f>
        <v>0</v>
      </c>
      <c r="X55" s="5">
        <f t="shared" si="39"/>
        <v>0</v>
      </c>
      <c r="Y55" s="5">
        <f t="shared" si="39"/>
        <v>0</v>
      </c>
      <c r="Z55" s="5">
        <f t="shared" si="39"/>
        <v>0</v>
      </c>
      <c r="AA55" s="5">
        <f t="shared" si="39"/>
        <v>0</v>
      </c>
      <c r="AB55" s="5">
        <f t="shared" si="39"/>
        <v>0</v>
      </c>
      <c r="AC55" s="5">
        <f t="shared" si="39"/>
        <v>0</v>
      </c>
      <c r="AD55" s="5">
        <f t="shared" si="39"/>
        <v>0</v>
      </c>
      <c r="AE55" s="5">
        <f t="shared" si="39"/>
        <v>0</v>
      </c>
      <c r="AF55" s="5">
        <f t="shared" si="39"/>
        <v>0</v>
      </c>
      <c r="AG55" s="5">
        <f t="shared" si="39"/>
        <v>0</v>
      </c>
      <c r="AH55" s="5">
        <f t="shared" si="39"/>
        <v>0</v>
      </c>
      <c r="AI55" s="5">
        <f t="shared" si="39"/>
        <v>0</v>
      </c>
      <c r="AJ55" s="5">
        <f t="shared" si="38"/>
        <v>0</v>
      </c>
      <c r="AK55" s="5">
        <f t="shared" si="38"/>
        <v>0</v>
      </c>
      <c r="AL55" s="5">
        <f t="shared" si="38"/>
        <v>0</v>
      </c>
      <c r="AM55" s="5">
        <f t="shared" si="38"/>
        <v>0</v>
      </c>
      <c r="AN55" s="5">
        <f t="shared" si="38"/>
        <v>0</v>
      </c>
      <c r="AO55" s="5">
        <f t="shared" si="38"/>
        <v>0</v>
      </c>
      <c r="AP55" s="5">
        <f t="shared" si="38"/>
        <v>0</v>
      </c>
      <c r="AQ55" s="5">
        <f t="shared" si="38"/>
        <v>0</v>
      </c>
      <c r="AR55" s="5">
        <f t="shared" si="38"/>
        <v>0</v>
      </c>
      <c r="AS55" s="5">
        <f t="shared" si="38"/>
        <v>0</v>
      </c>
      <c r="AT55" s="5">
        <f t="shared" si="38"/>
        <v>0</v>
      </c>
      <c r="AU55" s="5">
        <f t="shared" si="38"/>
        <v>0</v>
      </c>
      <c r="AV55" s="5">
        <f t="shared" si="38"/>
        <v>0</v>
      </c>
      <c r="AW55" s="5">
        <f t="shared" si="38"/>
        <v>0</v>
      </c>
      <c r="AX55" s="5">
        <f t="shared" si="38"/>
        <v>0</v>
      </c>
    </row>
    <row r="56" spans="1:50">
      <c r="A56" s="83"/>
      <c r="B56" s="84"/>
      <c r="C56" s="84"/>
      <c r="D56" s="84"/>
      <c r="E56" s="84"/>
      <c r="AX56" s="5"/>
    </row>
    <row r="57" spans="1:50">
      <c r="A57" s="11" t="s">
        <v>48</v>
      </c>
      <c r="B57" s="17" t="s">
        <v>30</v>
      </c>
      <c r="C57" s="72" t="s">
        <v>52</v>
      </c>
      <c r="D57" s="7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5">
        <f t="shared" ref="AX57:AX66" si="40">SUM(E57:AW57)</f>
        <v>0</v>
      </c>
    </row>
    <row r="58" spans="1:50">
      <c r="A58" s="11" t="s">
        <v>50</v>
      </c>
      <c r="B58" s="50"/>
      <c r="C58" s="24" t="s">
        <v>112</v>
      </c>
      <c r="D58" s="5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5">
        <f t="shared" si="40"/>
        <v>0</v>
      </c>
    </row>
    <row r="59" spans="1:50">
      <c r="A59" s="7"/>
      <c r="B59" s="50"/>
      <c r="C59" s="24" t="s">
        <v>113</v>
      </c>
      <c r="D59" s="5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5">
        <f t="shared" si="40"/>
        <v>0</v>
      </c>
    </row>
    <row r="60" spans="1:50">
      <c r="A60" s="7"/>
      <c r="B60" s="50"/>
      <c r="C60" s="24" t="s">
        <v>114</v>
      </c>
      <c r="D60" s="5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5">
        <f t="shared" si="40"/>
        <v>0</v>
      </c>
    </row>
    <row r="61" spans="1:50">
      <c r="A61" s="7"/>
      <c r="B61" s="50"/>
      <c r="C61" s="24" t="s">
        <v>115</v>
      </c>
      <c r="D61" s="5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5">
        <f t="shared" si="40"/>
        <v>0</v>
      </c>
    </row>
    <row r="62" spans="1:50">
      <c r="A62" s="7"/>
      <c r="B62" s="50"/>
      <c r="C62" s="24" t="s">
        <v>116</v>
      </c>
      <c r="D62" s="5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5">
        <f t="shared" si="40"/>
        <v>0</v>
      </c>
    </row>
    <row r="63" spans="1:50" ht="13.15" customHeight="1">
      <c r="A63" s="7"/>
      <c r="B63" s="50"/>
      <c r="C63" s="24" t="s">
        <v>117</v>
      </c>
      <c r="D63" s="5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5">
        <f t="shared" si="40"/>
        <v>0</v>
      </c>
    </row>
    <row r="64" spans="1:50">
      <c r="A64" s="7"/>
      <c r="B64" s="50"/>
      <c r="C64" s="24" t="s">
        <v>118</v>
      </c>
      <c r="D64" s="5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5">
        <f t="shared" si="40"/>
        <v>0</v>
      </c>
    </row>
    <row r="65" spans="1:50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5">
        <f t="shared" si="40"/>
        <v>0</v>
      </c>
    </row>
    <row r="66" spans="1:50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5">
        <f t="shared" si="40"/>
        <v>0</v>
      </c>
    </row>
    <row r="67" spans="1:50">
      <c r="A67" s="6" t="s">
        <v>26</v>
      </c>
      <c r="B67" s="66" t="s">
        <v>51</v>
      </c>
      <c r="C67" s="82"/>
      <c r="D67" s="73"/>
      <c r="E67" s="5">
        <f t="shared" ref="E67:AX67" si="41">SUM(E57:E66)</f>
        <v>0</v>
      </c>
      <c r="F67" s="5">
        <f t="shared" ref="F67:T67" si="42">SUM(F57:F66)</f>
        <v>0</v>
      </c>
      <c r="G67" s="5">
        <f t="shared" si="42"/>
        <v>0</v>
      </c>
      <c r="H67" s="5">
        <f t="shared" si="42"/>
        <v>0</v>
      </c>
      <c r="I67" s="5">
        <f t="shared" si="42"/>
        <v>0</v>
      </c>
      <c r="J67" s="5">
        <f t="shared" si="42"/>
        <v>0</v>
      </c>
      <c r="K67" s="5">
        <f t="shared" si="42"/>
        <v>0</v>
      </c>
      <c r="L67" s="5">
        <f t="shared" si="42"/>
        <v>0</v>
      </c>
      <c r="M67" s="5">
        <f t="shared" si="42"/>
        <v>0</v>
      </c>
      <c r="N67" s="5">
        <f t="shared" si="42"/>
        <v>0</v>
      </c>
      <c r="O67" s="5">
        <f t="shared" si="42"/>
        <v>0</v>
      </c>
      <c r="P67" s="5">
        <f t="shared" si="42"/>
        <v>0</v>
      </c>
      <c r="Q67" s="5">
        <f t="shared" si="42"/>
        <v>0</v>
      </c>
      <c r="R67" s="5">
        <f t="shared" si="42"/>
        <v>0</v>
      </c>
      <c r="S67" s="5">
        <f t="shared" si="42"/>
        <v>0</v>
      </c>
      <c r="T67" s="5">
        <f t="shared" si="42"/>
        <v>0</v>
      </c>
      <c r="U67" s="5">
        <f t="shared" si="41"/>
        <v>0</v>
      </c>
      <c r="V67" s="5">
        <f t="shared" si="41"/>
        <v>0</v>
      </c>
      <c r="W67" s="5">
        <f t="shared" ref="W67:AI67" si="43">SUM(W57:W66)</f>
        <v>0</v>
      </c>
      <c r="X67" s="5">
        <f t="shared" si="43"/>
        <v>0</v>
      </c>
      <c r="Y67" s="5">
        <f t="shared" si="43"/>
        <v>0</v>
      </c>
      <c r="Z67" s="5">
        <f t="shared" si="43"/>
        <v>0</v>
      </c>
      <c r="AA67" s="5">
        <f t="shared" si="43"/>
        <v>0</v>
      </c>
      <c r="AB67" s="5">
        <f t="shared" si="43"/>
        <v>0</v>
      </c>
      <c r="AC67" s="5">
        <f t="shared" si="43"/>
        <v>0</v>
      </c>
      <c r="AD67" s="5">
        <f t="shared" si="43"/>
        <v>0</v>
      </c>
      <c r="AE67" s="5">
        <f t="shared" si="43"/>
        <v>0</v>
      </c>
      <c r="AF67" s="5">
        <f t="shared" si="43"/>
        <v>0</v>
      </c>
      <c r="AG67" s="5">
        <f t="shared" si="43"/>
        <v>0</v>
      </c>
      <c r="AH67" s="5">
        <f t="shared" si="43"/>
        <v>0</v>
      </c>
      <c r="AI67" s="5">
        <f t="shared" si="43"/>
        <v>0</v>
      </c>
      <c r="AJ67" s="5">
        <f t="shared" si="41"/>
        <v>0</v>
      </c>
      <c r="AK67" s="5">
        <f t="shared" si="41"/>
        <v>0</v>
      </c>
      <c r="AL67" s="5">
        <f t="shared" si="41"/>
        <v>0</v>
      </c>
      <c r="AM67" s="5">
        <f t="shared" si="41"/>
        <v>0</v>
      </c>
      <c r="AN67" s="5">
        <f t="shared" si="41"/>
        <v>0</v>
      </c>
      <c r="AO67" s="5">
        <f t="shared" si="41"/>
        <v>0</v>
      </c>
      <c r="AP67" s="5">
        <f t="shared" si="41"/>
        <v>0</v>
      </c>
      <c r="AQ67" s="5">
        <f t="shared" si="41"/>
        <v>0</v>
      </c>
      <c r="AR67" s="5">
        <f t="shared" si="41"/>
        <v>0</v>
      </c>
      <c r="AS67" s="5">
        <f t="shared" si="41"/>
        <v>0</v>
      </c>
      <c r="AT67" s="5">
        <f t="shared" si="41"/>
        <v>0</v>
      </c>
      <c r="AU67" s="5">
        <f t="shared" si="41"/>
        <v>0</v>
      </c>
      <c r="AV67" s="5">
        <f t="shared" si="41"/>
        <v>0</v>
      </c>
      <c r="AW67" s="5">
        <f t="shared" si="41"/>
        <v>0</v>
      </c>
      <c r="AX67" s="5">
        <f t="shared" si="41"/>
        <v>0</v>
      </c>
    </row>
    <row r="68" spans="1:50">
      <c r="A68" s="83"/>
      <c r="B68" s="84"/>
      <c r="C68" s="84"/>
      <c r="D68" s="84"/>
      <c r="E68" s="84"/>
    </row>
    <row r="69" spans="1:50">
      <c r="A69" s="11" t="s">
        <v>48</v>
      </c>
      <c r="B69" s="17" t="s">
        <v>32</v>
      </c>
      <c r="C69" s="72" t="s">
        <v>53</v>
      </c>
      <c r="D69" s="7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5">
        <f t="shared" ref="AX69:AX78" si="44">SUM(E69:AW69)</f>
        <v>0</v>
      </c>
    </row>
    <row r="70" spans="1:50">
      <c r="A70" s="11" t="s">
        <v>50</v>
      </c>
      <c r="B70" s="50"/>
      <c r="C70" s="24" t="s">
        <v>119</v>
      </c>
      <c r="D70" s="5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5">
        <f t="shared" si="44"/>
        <v>0</v>
      </c>
    </row>
    <row r="71" spans="1:50">
      <c r="A71" s="7"/>
      <c r="B71" s="50"/>
      <c r="C71" s="24" t="s">
        <v>120</v>
      </c>
      <c r="D71" s="5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5">
        <f t="shared" si="44"/>
        <v>0</v>
      </c>
    </row>
    <row r="72" spans="1:50">
      <c r="A72" s="7"/>
      <c r="B72" s="50"/>
      <c r="C72" s="24" t="s">
        <v>121</v>
      </c>
      <c r="D72" s="5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5">
        <f t="shared" si="44"/>
        <v>0</v>
      </c>
    </row>
    <row r="73" spans="1:50">
      <c r="A73" s="7"/>
      <c r="B73" s="50"/>
      <c r="C73" s="24" t="s">
        <v>122</v>
      </c>
      <c r="D73" s="5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5">
        <f t="shared" si="44"/>
        <v>0</v>
      </c>
    </row>
    <row r="74" spans="1:50" ht="13.15" customHeight="1">
      <c r="A74" s="7"/>
      <c r="B74" s="50"/>
      <c r="C74" s="24" t="s">
        <v>123</v>
      </c>
      <c r="D74" s="5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5">
        <f t="shared" si="44"/>
        <v>0</v>
      </c>
    </row>
    <row r="75" spans="1:50">
      <c r="A75" s="7"/>
      <c r="B75" s="50"/>
      <c r="C75" s="24" t="s">
        <v>124</v>
      </c>
      <c r="D75" s="5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5">
        <f t="shared" si="44"/>
        <v>0</v>
      </c>
    </row>
    <row r="76" spans="1:50">
      <c r="A76" s="7"/>
      <c r="B76" s="50"/>
      <c r="C76" s="24" t="s">
        <v>125</v>
      </c>
      <c r="D76" s="5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5">
        <f t="shared" si="44"/>
        <v>0</v>
      </c>
    </row>
    <row r="77" spans="1:50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5">
        <f t="shared" si="44"/>
        <v>0</v>
      </c>
    </row>
    <row r="78" spans="1:50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5">
        <f t="shared" si="44"/>
        <v>0</v>
      </c>
    </row>
    <row r="79" spans="1:50">
      <c r="A79" s="6" t="s">
        <v>26</v>
      </c>
      <c r="B79" s="66" t="s">
        <v>51</v>
      </c>
      <c r="C79" s="82"/>
      <c r="D79" s="73"/>
      <c r="E79" s="5">
        <f t="shared" ref="E79:AX79" si="45">SUM(E69:E78)</f>
        <v>0</v>
      </c>
      <c r="F79" s="5">
        <f t="shared" ref="F79:T79" si="46">SUM(F69:F78)</f>
        <v>0</v>
      </c>
      <c r="G79" s="5">
        <f t="shared" si="46"/>
        <v>0</v>
      </c>
      <c r="H79" s="5">
        <f t="shared" si="46"/>
        <v>0</v>
      </c>
      <c r="I79" s="5">
        <f t="shared" si="46"/>
        <v>0</v>
      </c>
      <c r="J79" s="5">
        <f t="shared" si="46"/>
        <v>0</v>
      </c>
      <c r="K79" s="5">
        <f t="shared" si="46"/>
        <v>0</v>
      </c>
      <c r="L79" s="5">
        <f t="shared" si="46"/>
        <v>0</v>
      </c>
      <c r="M79" s="5">
        <f t="shared" si="46"/>
        <v>0</v>
      </c>
      <c r="N79" s="5">
        <f t="shared" si="46"/>
        <v>0</v>
      </c>
      <c r="O79" s="5">
        <f t="shared" si="46"/>
        <v>0</v>
      </c>
      <c r="P79" s="5">
        <f t="shared" si="46"/>
        <v>0</v>
      </c>
      <c r="Q79" s="5">
        <f t="shared" si="46"/>
        <v>0</v>
      </c>
      <c r="R79" s="5">
        <f t="shared" si="46"/>
        <v>0</v>
      </c>
      <c r="S79" s="5">
        <f t="shared" si="46"/>
        <v>0</v>
      </c>
      <c r="T79" s="5">
        <f t="shared" si="46"/>
        <v>0</v>
      </c>
      <c r="U79" s="5">
        <f t="shared" si="45"/>
        <v>0</v>
      </c>
      <c r="V79" s="5">
        <f t="shared" si="45"/>
        <v>0</v>
      </c>
      <c r="W79" s="5">
        <f t="shared" ref="W79:AI79" si="47">SUM(W69:W78)</f>
        <v>0</v>
      </c>
      <c r="X79" s="5">
        <f t="shared" si="47"/>
        <v>0</v>
      </c>
      <c r="Y79" s="5">
        <f t="shared" si="47"/>
        <v>0</v>
      </c>
      <c r="Z79" s="5">
        <f t="shared" si="47"/>
        <v>0</v>
      </c>
      <c r="AA79" s="5">
        <f t="shared" si="47"/>
        <v>0</v>
      </c>
      <c r="AB79" s="5">
        <f t="shared" si="47"/>
        <v>0</v>
      </c>
      <c r="AC79" s="5">
        <f t="shared" si="47"/>
        <v>0</v>
      </c>
      <c r="AD79" s="5">
        <f t="shared" si="47"/>
        <v>0</v>
      </c>
      <c r="AE79" s="5">
        <f t="shared" si="47"/>
        <v>0</v>
      </c>
      <c r="AF79" s="5">
        <f t="shared" si="47"/>
        <v>0</v>
      </c>
      <c r="AG79" s="5">
        <f t="shared" si="47"/>
        <v>0</v>
      </c>
      <c r="AH79" s="5">
        <f t="shared" si="47"/>
        <v>0</v>
      </c>
      <c r="AI79" s="5">
        <f t="shared" si="47"/>
        <v>0</v>
      </c>
      <c r="AJ79" s="5">
        <f t="shared" si="45"/>
        <v>0</v>
      </c>
      <c r="AK79" s="5">
        <f t="shared" si="45"/>
        <v>0</v>
      </c>
      <c r="AL79" s="5">
        <f t="shared" si="45"/>
        <v>0</v>
      </c>
      <c r="AM79" s="5">
        <f t="shared" si="45"/>
        <v>0</v>
      </c>
      <c r="AN79" s="5">
        <f t="shared" si="45"/>
        <v>0</v>
      </c>
      <c r="AO79" s="5">
        <f t="shared" si="45"/>
        <v>0</v>
      </c>
      <c r="AP79" s="5">
        <f t="shared" si="45"/>
        <v>0</v>
      </c>
      <c r="AQ79" s="5">
        <f t="shared" si="45"/>
        <v>0</v>
      </c>
      <c r="AR79" s="5">
        <f t="shared" si="45"/>
        <v>0</v>
      </c>
      <c r="AS79" s="5">
        <f t="shared" si="45"/>
        <v>0</v>
      </c>
      <c r="AT79" s="5">
        <f t="shared" si="45"/>
        <v>0</v>
      </c>
      <c r="AU79" s="5">
        <f t="shared" si="45"/>
        <v>0</v>
      </c>
      <c r="AV79" s="5">
        <f t="shared" si="45"/>
        <v>0</v>
      </c>
      <c r="AW79" s="5">
        <f t="shared" si="45"/>
        <v>0</v>
      </c>
      <c r="AX79" s="5">
        <f t="shared" si="45"/>
        <v>0</v>
      </c>
    </row>
    <row r="80" spans="1:50">
      <c r="A80" s="83"/>
      <c r="B80" s="84"/>
      <c r="C80" s="84"/>
      <c r="D80" s="84"/>
      <c r="E80" s="84"/>
    </row>
    <row r="81" spans="1:50">
      <c r="A81" s="11" t="s">
        <v>48</v>
      </c>
      <c r="B81" s="17" t="s">
        <v>34</v>
      </c>
      <c r="C81" s="72" t="s">
        <v>54</v>
      </c>
      <c r="D81" s="7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5">
        <f t="shared" ref="AX81:AX90" si="48">SUM(E81:AW81)</f>
        <v>0</v>
      </c>
    </row>
    <row r="82" spans="1:50">
      <c r="A82" s="11" t="s">
        <v>50</v>
      </c>
      <c r="B82" s="50"/>
      <c r="C82" s="24" t="s">
        <v>126</v>
      </c>
      <c r="D82" s="5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5">
        <f t="shared" si="48"/>
        <v>0</v>
      </c>
    </row>
    <row r="83" spans="1:50">
      <c r="A83" s="7"/>
      <c r="B83" s="50"/>
      <c r="C83" s="24" t="s">
        <v>127</v>
      </c>
      <c r="D83" s="5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5">
        <f t="shared" si="48"/>
        <v>0</v>
      </c>
    </row>
    <row r="84" spans="1:50">
      <c r="A84" s="7"/>
      <c r="B84" s="50"/>
      <c r="C84" s="24" t="s">
        <v>128</v>
      </c>
      <c r="D84" s="5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5">
        <f t="shared" si="48"/>
        <v>0</v>
      </c>
    </row>
    <row r="85" spans="1:50" ht="13.15" customHeight="1">
      <c r="A85" s="7"/>
      <c r="B85" s="50"/>
      <c r="C85" s="24" t="s">
        <v>129</v>
      </c>
      <c r="D85" s="5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5">
        <f t="shared" si="48"/>
        <v>0</v>
      </c>
    </row>
    <row r="86" spans="1:50">
      <c r="A86" s="7"/>
      <c r="B86" s="50"/>
      <c r="C86" s="24" t="s">
        <v>130</v>
      </c>
      <c r="D86" s="5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5">
        <f t="shared" si="48"/>
        <v>0</v>
      </c>
    </row>
    <row r="87" spans="1:50">
      <c r="A87" s="7"/>
      <c r="B87" s="50"/>
      <c r="C87" s="24" t="s">
        <v>131</v>
      </c>
      <c r="D87" s="5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5">
        <f t="shared" si="48"/>
        <v>0</v>
      </c>
    </row>
    <row r="88" spans="1:50">
      <c r="A88" s="7"/>
      <c r="B88" s="50"/>
      <c r="C88" s="24" t="s">
        <v>132</v>
      </c>
      <c r="D88" s="5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5">
        <f t="shared" si="48"/>
        <v>0</v>
      </c>
    </row>
    <row r="89" spans="1:50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5">
        <f t="shared" si="48"/>
        <v>0</v>
      </c>
    </row>
    <row r="90" spans="1:50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5">
        <f t="shared" si="48"/>
        <v>0</v>
      </c>
    </row>
    <row r="91" spans="1:50">
      <c r="A91" s="6" t="s">
        <v>26</v>
      </c>
      <c r="B91" s="66" t="s">
        <v>51</v>
      </c>
      <c r="C91" s="82"/>
      <c r="D91" s="73"/>
      <c r="E91" s="5">
        <f t="shared" ref="E91:AX91" si="49">SUM(E81:E90)</f>
        <v>0</v>
      </c>
      <c r="F91" s="5">
        <f t="shared" ref="F91:T91" si="50">SUM(F81:F90)</f>
        <v>0</v>
      </c>
      <c r="G91" s="5">
        <f t="shared" si="50"/>
        <v>0</v>
      </c>
      <c r="H91" s="5">
        <f t="shared" si="50"/>
        <v>0</v>
      </c>
      <c r="I91" s="5">
        <f t="shared" si="50"/>
        <v>0</v>
      </c>
      <c r="J91" s="5">
        <f t="shared" si="50"/>
        <v>0</v>
      </c>
      <c r="K91" s="5">
        <f t="shared" si="50"/>
        <v>0</v>
      </c>
      <c r="L91" s="5">
        <f t="shared" si="50"/>
        <v>0</v>
      </c>
      <c r="M91" s="5">
        <f t="shared" si="50"/>
        <v>0</v>
      </c>
      <c r="N91" s="5">
        <f t="shared" si="50"/>
        <v>0</v>
      </c>
      <c r="O91" s="5">
        <f t="shared" si="50"/>
        <v>0</v>
      </c>
      <c r="P91" s="5">
        <f t="shared" si="50"/>
        <v>0</v>
      </c>
      <c r="Q91" s="5">
        <f t="shared" si="50"/>
        <v>0</v>
      </c>
      <c r="R91" s="5">
        <f t="shared" si="50"/>
        <v>0</v>
      </c>
      <c r="S91" s="5">
        <f t="shared" si="50"/>
        <v>0</v>
      </c>
      <c r="T91" s="5">
        <f t="shared" si="50"/>
        <v>0</v>
      </c>
      <c r="U91" s="5">
        <f t="shared" si="49"/>
        <v>0</v>
      </c>
      <c r="V91" s="5">
        <f t="shared" si="49"/>
        <v>0</v>
      </c>
      <c r="W91" s="5">
        <f t="shared" ref="W91:AI91" si="51">SUM(W81:W90)</f>
        <v>0</v>
      </c>
      <c r="X91" s="5">
        <f t="shared" si="51"/>
        <v>0</v>
      </c>
      <c r="Y91" s="5">
        <f t="shared" si="51"/>
        <v>0</v>
      </c>
      <c r="Z91" s="5">
        <f t="shared" si="51"/>
        <v>0</v>
      </c>
      <c r="AA91" s="5">
        <f t="shared" si="51"/>
        <v>0</v>
      </c>
      <c r="AB91" s="5">
        <f t="shared" si="51"/>
        <v>0</v>
      </c>
      <c r="AC91" s="5">
        <f t="shared" si="51"/>
        <v>0</v>
      </c>
      <c r="AD91" s="5">
        <f t="shared" si="51"/>
        <v>0</v>
      </c>
      <c r="AE91" s="5">
        <f t="shared" si="51"/>
        <v>0</v>
      </c>
      <c r="AF91" s="5">
        <f t="shared" si="51"/>
        <v>0</v>
      </c>
      <c r="AG91" s="5">
        <f t="shared" si="51"/>
        <v>0</v>
      </c>
      <c r="AH91" s="5">
        <f t="shared" si="51"/>
        <v>0</v>
      </c>
      <c r="AI91" s="5">
        <f t="shared" si="51"/>
        <v>0</v>
      </c>
      <c r="AJ91" s="5">
        <f t="shared" si="49"/>
        <v>0</v>
      </c>
      <c r="AK91" s="5">
        <f t="shared" si="49"/>
        <v>0</v>
      </c>
      <c r="AL91" s="5">
        <f t="shared" si="49"/>
        <v>0</v>
      </c>
      <c r="AM91" s="5">
        <f t="shared" si="49"/>
        <v>0</v>
      </c>
      <c r="AN91" s="5">
        <f t="shared" si="49"/>
        <v>0</v>
      </c>
      <c r="AO91" s="5">
        <f t="shared" si="49"/>
        <v>0</v>
      </c>
      <c r="AP91" s="5">
        <f t="shared" si="49"/>
        <v>0</v>
      </c>
      <c r="AQ91" s="5">
        <f t="shared" si="49"/>
        <v>0</v>
      </c>
      <c r="AR91" s="5">
        <f t="shared" si="49"/>
        <v>0</v>
      </c>
      <c r="AS91" s="5">
        <f t="shared" si="49"/>
        <v>0</v>
      </c>
      <c r="AT91" s="5">
        <f t="shared" si="49"/>
        <v>0</v>
      </c>
      <c r="AU91" s="5">
        <f t="shared" si="49"/>
        <v>0</v>
      </c>
      <c r="AV91" s="5">
        <f t="shared" si="49"/>
        <v>0</v>
      </c>
      <c r="AW91" s="5">
        <f t="shared" si="49"/>
        <v>0</v>
      </c>
      <c r="AX91" s="5">
        <f t="shared" si="49"/>
        <v>0</v>
      </c>
    </row>
    <row r="92" spans="1:50">
      <c r="A92" s="83"/>
      <c r="B92" s="84"/>
      <c r="C92" s="84"/>
      <c r="D92" s="84"/>
      <c r="E92" s="84"/>
    </row>
    <row r="93" spans="1:50">
      <c r="A93" s="11" t="s">
        <v>48</v>
      </c>
      <c r="B93" s="17" t="s">
        <v>55</v>
      </c>
      <c r="C93" s="72" t="s">
        <v>56</v>
      </c>
      <c r="D93" s="7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5">
        <f t="shared" ref="AX93:AX102" si="52">SUM(E93:AW93)</f>
        <v>0</v>
      </c>
    </row>
    <row r="94" spans="1:50">
      <c r="A94" s="11" t="s">
        <v>50</v>
      </c>
      <c r="B94" s="50"/>
      <c r="C94" s="24" t="s">
        <v>133</v>
      </c>
      <c r="D94" s="5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5">
        <f t="shared" si="52"/>
        <v>0</v>
      </c>
    </row>
    <row r="95" spans="1:50">
      <c r="A95" s="7"/>
      <c r="B95" s="50"/>
      <c r="C95" s="24" t="s">
        <v>134</v>
      </c>
      <c r="D95" s="5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5">
        <f t="shared" si="52"/>
        <v>0</v>
      </c>
    </row>
    <row r="96" spans="1:50" ht="13.15" customHeight="1">
      <c r="A96" s="7"/>
      <c r="B96" s="50"/>
      <c r="C96" s="24" t="s">
        <v>135</v>
      </c>
      <c r="D96" s="5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5">
        <f t="shared" si="52"/>
        <v>0</v>
      </c>
    </row>
    <row r="97" spans="1:50">
      <c r="A97" s="7"/>
      <c r="B97" s="50"/>
      <c r="C97" s="24" t="s">
        <v>136</v>
      </c>
      <c r="D97" s="5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5">
        <f t="shared" si="52"/>
        <v>0</v>
      </c>
    </row>
    <row r="98" spans="1:50">
      <c r="A98" s="7"/>
      <c r="B98" s="50"/>
      <c r="C98" s="24" t="s">
        <v>137</v>
      </c>
      <c r="D98" s="5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5">
        <f t="shared" si="52"/>
        <v>0</v>
      </c>
    </row>
    <row r="99" spans="1:50">
      <c r="A99" s="7"/>
      <c r="B99" s="50"/>
      <c r="C99" s="24" t="s">
        <v>138</v>
      </c>
      <c r="D99" s="5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5">
        <f t="shared" si="52"/>
        <v>0</v>
      </c>
    </row>
    <row r="100" spans="1:50">
      <c r="A100" s="7"/>
      <c r="B100" s="50"/>
      <c r="C100" s="24" t="s">
        <v>139</v>
      </c>
      <c r="D100" s="5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5">
        <f t="shared" si="52"/>
        <v>0</v>
      </c>
    </row>
    <row r="101" spans="1:50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5">
        <f t="shared" si="52"/>
        <v>0</v>
      </c>
    </row>
    <row r="102" spans="1:50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5">
        <f t="shared" si="52"/>
        <v>0</v>
      </c>
    </row>
    <row r="103" spans="1:50">
      <c r="A103" s="6" t="s">
        <v>26</v>
      </c>
      <c r="B103" s="66" t="s">
        <v>51</v>
      </c>
      <c r="C103" s="82"/>
      <c r="D103" s="73"/>
      <c r="E103" s="5">
        <f t="shared" ref="E103:AX103" si="53">SUM(E93:E102)</f>
        <v>0</v>
      </c>
      <c r="F103" s="5">
        <f t="shared" ref="F103:T103" si="54">SUM(F93:F102)</f>
        <v>0</v>
      </c>
      <c r="G103" s="5">
        <f t="shared" si="54"/>
        <v>0</v>
      </c>
      <c r="H103" s="5">
        <f t="shared" si="54"/>
        <v>0</v>
      </c>
      <c r="I103" s="5">
        <f t="shared" si="54"/>
        <v>0</v>
      </c>
      <c r="J103" s="5">
        <f t="shared" si="54"/>
        <v>0</v>
      </c>
      <c r="K103" s="5">
        <f t="shared" si="54"/>
        <v>0</v>
      </c>
      <c r="L103" s="5">
        <f t="shared" si="54"/>
        <v>0</v>
      </c>
      <c r="M103" s="5">
        <f t="shared" si="54"/>
        <v>0</v>
      </c>
      <c r="N103" s="5">
        <f t="shared" si="54"/>
        <v>0</v>
      </c>
      <c r="O103" s="5">
        <f t="shared" si="54"/>
        <v>0</v>
      </c>
      <c r="P103" s="5">
        <f t="shared" si="54"/>
        <v>0</v>
      </c>
      <c r="Q103" s="5">
        <f t="shared" si="54"/>
        <v>0</v>
      </c>
      <c r="R103" s="5">
        <f t="shared" si="54"/>
        <v>0</v>
      </c>
      <c r="S103" s="5">
        <f t="shared" si="54"/>
        <v>0</v>
      </c>
      <c r="T103" s="5">
        <f t="shared" si="54"/>
        <v>0</v>
      </c>
      <c r="U103" s="5">
        <f t="shared" si="53"/>
        <v>0</v>
      </c>
      <c r="V103" s="5">
        <f t="shared" si="53"/>
        <v>0</v>
      </c>
      <c r="W103" s="5">
        <f t="shared" ref="W103:AI103" si="55">SUM(W93:W102)</f>
        <v>0</v>
      </c>
      <c r="X103" s="5">
        <f t="shared" si="55"/>
        <v>0</v>
      </c>
      <c r="Y103" s="5">
        <f t="shared" si="55"/>
        <v>0</v>
      </c>
      <c r="Z103" s="5">
        <f t="shared" si="55"/>
        <v>0</v>
      </c>
      <c r="AA103" s="5">
        <f t="shared" si="55"/>
        <v>0</v>
      </c>
      <c r="AB103" s="5">
        <f t="shared" si="55"/>
        <v>0</v>
      </c>
      <c r="AC103" s="5">
        <f t="shared" si="55"/>
        <v>0</v>
      </c>
      <c r="AD103" s="5">
        <f t="shared" si="55"/>
        <v>0</v>
      </c>
      <c r="AE103" s="5">
        <f t="shared" si="55"/>
        <v>0</v>
      </c>
      <c r="AF103" s="5">
        <f t="shared" si="55"/>
        <v>0</v>
      </c>
      <c r="AG103" s="5">
        <f t="shared" si="55"/>
        <v>0</v>
      </c>
      <c r="AH103" s="5">
        <f t="shared" si="55"/>
        <v>0</v>
      </c>
      <c r="AI103" s="5">
        <f t="shared" si="55"/>
        <v>0</v>
      </c>
      <c r="AJ103" s="5">
        <f t="shared" si="53"/>
        <v>0</v>
      </c>
      <c r="AK103" s="5">
        <f t="shared" si="53"/>
        <v>0</v>
      </c>
      <c r="AL103" s="5">
        <f t="shared" si="53"/>
        <v>0</v>
      </c>
      <c r="AM103" s="5">
        <f t="shared" si="53"/>
        <v>0</v>
      </c>
      <c r="AN103" s="5">
        <f t="shared" si="53"/>
        <v>0</v>
      </c>
      <c r="AO103" s="5">
        <f t="shared" si="53"/>
        <v>0</v>
      </c>
      <c r="AP103" s="5">
        <f t="shared" si="53"/>
        <v>0</v>
      </c>
      <c r="AQ103" s="5">
        <f t="shared" si="53"/>
        <v>0</v>
      </c>
      <c r="AR103" s="5">
        <f t="shared" si="53"/>
        <v>0</v>
      </c>
      <c r="AS103" s="5">
        <f t="shared" si="53"/>
        <v>0</v>
      </c>
      <c r="AT103" s="5">
        <f t="shared" si="53"/>
        <v>0</v>
      </c>
      <c r="AU103" s="5">
        <f t="shared" si="53"/>
        <v>0</v>
      </c>
      <c r="AV103" s="5">
        <f t="shared" si="53"/>
        <v>0</v>
      </c>
      <c r="AW103" s="5">
        <f t="shared" si="53"/>
        <v>0</v>
      </c>
      <c r="AX103" s="5">
        <f t="shared" si="53"/>
        <v>0</v>
      </c>
    </row>
    <row r="104" spans="1:50">
      <c r="A104" s="83"/>
      <c r="B104" s="84"/>
      <c r="C104" s="84"/>
      <c r="D104" s="84"/>
      <c r="E104" s="8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spans="1:50">
      <c r="A105" s="11" t="s">
        <v>48</v>
      </c>
      <c r="B105" s="17" t="s">
        <v>57</v>
      </c>
      <c r="C105" s="72" t="s">
        <v>58</v>
      </c>
      <c r="D105" s="7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5">
        <f t="shared" ref="AX105:AX114" si="56">SUM(E105:AW105)</f>
        <v>0</v>
      </c>
    </row>
    <row r="106" spans="1:50">
      <c r="A106" s="11" t="s">
        <v>50</v>
      </c>
      <c r="B106" s="50"/>
      <c r="C106" s="24" t="s">
        <v>140</v>
      </c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5">
        <f t="shared" si="56"/>
        <v>0</v>
      </c>
    </row>
    <row r="107" spans="1:50" ht="13.15" customHeight="1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5">
        <f t="shared" si="56"/>
        <v>0</v>
      </c>
    </row>
    <row r="108" spans="1:50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5">
        <f t="shared" si="56"/>
        <v>0</v>
      </c>
    </row>
    <row r="109" spans="1:50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5">
        <f t="shared" si="56"/>
        <v>0</v>
      </c>
    </row>
    <row r="110" spans="1:50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5">
        <f t="shared" si="56"/>
        <v>0</v>
      </c>
    </row>
    <row r="111" spans="1:50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5">
        <f t="shared" si="56"/>
        <v>0</v>
      </c>
    </row>
    <row r="112" spans="1:50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5">
        <f t="shared" si="56"/>
        <v>0</v>
      </c>
    </row>
    <row r="113" spans="1:50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5">
        <f t="shared" si="56"/>
        <v>0</v>
      </c>
    </row>
    <row r="114" spans="1:50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5">
        <f t="shared" si="56"/>
        <v>0</v>
      </c>
    </row>
    <row r="115" spans="1:50" ht="13.15" customHeight="1">
      <c r="A115" s="6" t="s">
        <v>26</v>
      </c>
      <c r="B115" s="66" t="s">
        <v>51</v>
      </c>
      <c r="C115" s="67"/>
      <c r="D115" s="68"/>
      <c r="E115" s="5">
        <f t="shared" ref="E115:AX115" si="57">SUM(E105:E114)</f>
        <v>0</v>
      </c>
      <c r="F115" s="5">
        <f t="shared" ref="F115:T115" si="58">SUM(F105:F114)</f>
        <v>0</v>
      </c>
      <c r="G115" s="5">
        <f t="shared" si="58"/>
        <v>0</v>
      </c>
      <c r="H115" s="5">
        <f t="shared" si="58"/>
        <v>0</v>
      </c>
      <c r="I115" s="5">
        <f t="shared" si="58"/>
        <v>0</v>
      </c>
      <c r="J115" s="5">
        <f t="shared" si="58"/>
        <v>0</v>
      </c>
      <c r="K115" s="5">
        <f t="shared" si="58"/>
        <v>0</v>
      </c>
      <c r="L115" s="5">
        <f t="shared" si="58"/>
        <v>0</v>
      </c>
      <c r="M115" s="5">
        <f t="shared" si="58"/>
        <v>0</v>
      </c>
      <c r="N115" s="5">
        <f t="shared" si="58"/>
        <v>0</v>
      </c>
      <c r="O115" s="5">
        <f t="shared" si="58"/>
        <v>0</v>
      </c>
      <c r="P115" s="5">
        <f t="shared" si="58"/>
        <v>0</v>
      </c>
      <c r="Q115" s="5">
        <f t="shared" si="58"/>
        <v>0</v>
      </c>
      <c r="R115" s="5">
        <f t="shared" si="58"/>
        <v>0</v>
      </c>
      <c r="S115" s="5">
        <f t="shared" si="58"/>
        <v>0</v>
      </c>
      <c r="T115" s="5">
        <f t="shared" si="58"/>
        <v>0</v>
      </c>
      <c r="U115" s="5">
        <f t="shared" si="57"/>
        <v>0</v>
      </c>
      <c r="V115" s="5">
        <f t="shared" si="57"/>
        <v>0</v>
      </c>
      <c r="W115" s="5">
        <f t="shared" ref="W115:AI115" si="59">SUM(W105:W114)</f>
        <v>0</v>
      </c>
      <c r="X115" s="5">
        <f t="shared" si="59"/>
        <v>0</v>
      </c>
      <c r="Y115" s="5">
        <f t="shared" si="59"/>
        <v>0</v>
      </c>
      <c r="Z115" s="5">
        <f t="shared" si="59"/>
        <v>0</v>
      </c>
      <c r="AA115" s="5">
        <f t="shared" si="59"/>
        <v>0</v>
      </c>
      <c r="AB115" s="5">
        <f t="shared" si="59"/>
        <v>0</v>
      </c>
      <c r="AC115" s="5">
        <f t="shared" si="59"/>
        <v>0</v>
      </c>
      <c r="AD115" s="5">
        <f t="shared" si="59"/>
        <v>0</v>
      </c>
      <c r="AE115" s="5">
        <f t="shared" si="59"/>
        <v>0</v>
      </c>
      <c r="AF115" s="5">
        <f t="shared" si="59"/>
        <v>0</v>
      </c>
      <c r="AG115" s="5">
        <f t="shared" si="59"/>
        <v>0</v>
      </c>
      <c r="AH115" s="5">
        <f t="shared" si="59"/>
        <v>0</v>
      </c>
      <c r="AI115" s="5">
        <f t="shared" si="59"/>
        <v>0</v>
      </c>
      <c r="AJ115" s="5">
        <f t="shared" si="57"/>
        <v>0</v>
      </c>
      <c r="AK115" s="5">
        <f t="shared" si="57"/>
        <v>0</v>
      </c>
      <c r="AL115" s="5">
        <f t="shared" si="57"/>
        <v>0</v>
      </c>
      <c r="AM115" s="5">
        <f t="shared" si="57"/>
        <v>0</v>
      </c>
      <c r="AN115" s="5">
        <f t="shared" si="57"/>
        <v>0</v>
      </c>
      <c r="AO115" s="5">
        <f t="shared" si="57"/>
        <v>0</v>
      </c>
      <c r="AP115" s="5">
        <f t="shared" si="57"/>
        <v>0</v>
      </c>
      <c r="AQ115" s="5">
        <f t="shared" si="57"/>
        <v>0</v>
      </c>
      <c r="AR115" s="5">
        <f t="shared" si="57"/>
        <v>0</v>
      </c>
      <c r="AS115" s="5">
        <f t="shared" si="57"/>
        <v>0</v>
      </c>
      <c r="AT115" s="5">
        <f t="shared" si="57"/>
        <v>0</v>
      </c>
      <c r="AU115" s="5">
        <f t="shared" si="57"/>
        <v>0</v>
      </c>
      <c r="AV115" s="5">
        <f t="shared" si="57"/>
        <v>0</v>
      </c>
      <c r="AW115" s="5">
        <f t="shared" si="57"/>
        <v>0</v>
      </c>
      <c r="AX115" s="5">
        <f t="shared" si="57"/>
        <v>0</v>
      </c>
    </row>
    <row r="116" spans="1:50">
      <c r="A116" s="74"/>
      <c r="B116" s="75"/>
      <c r="C116" s="75"/>
      <c r="D116" s="75"/>
      <c r="E116" s="7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5"/>
    </row>
    <row r="117" spans="1:50">
      <c r="A117" s="11" t="s">
        <v>48</v>
      </c>
      <c r="B117" s="17" t="s">
        <v>59</v>
      </c>
      <c r="C117" s="72" t="s">
        <v>60</v>
      </c>
      <c r="D117" s="7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5">
        <f t="shared" ref="AX117:AX126" si="60">SUM(E117:AW117)</f>
        <v>0</v>
      </c>
    </row>
    <row r="118" spans="1:50">
      <c r="A118" s="11" t="s">
        <v>50</v>
      </c>
      <c r="B118" s="50"/>
      <c r="C118" s="24" t="s">
        <v>141</v>
      </c>
      <c r="D118" s="5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5">
        <f t="shared" si="60"/>
        <v>0</v>
      </c>
    </row>
    <row r="119" spans="1:50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5">
        <f t="shared" si="60"/>
        <v>0</v>
      </c>
    </row>
    <row r="120" spans="1:50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5">
        <f t="shared" si="60"/>
        <v>0</v>
      </c>
    </row>
    <row r="121" spans="1:50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5">
        <f t="shared" si="60"/>
        <v>0</v>
      </c>
    </row>
    <row r="122" spans="1:50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5">
        <f t="shared" si="60"/>
        <v>0</v>
      </c>
    </row>
    <row r="123" spans="1:50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5">
        <f t="shared" si="60"/>
        <v>0</v>
      </c>
    </row>
    <row r="124" spans="1:50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5">
        <f t="shared" si="60"/>
        <v>0</v>
      </c>
    </row>
    <row r="125" spans="1:50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5">
        <f t="shared" si="60"/>
        <v>0</v>
      </c>
    </row>
    <row r="126" spans="1:50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5">
        <f t="shared" si="60"/>
        <v>0</v>
      </c>
    </row>
    <row r="127" spans="1:50">
      <c r="A127" s="6" t="s">
        <v>26</v>
      </c>
      <c r="B127" s="66" t="s">
        <v>51</v>
      </c>
      <c r="C127" s="67"/>
      <c r="D127" s="68"/>
      <c r="E127" s="5">
        <f t="shared" ref="E127:AX127" si="61">SUM(E117:E126)</f>
        <v>0</v>
      </c>
      <c r="F127" s="5">
        <f t="shared" ref="F127:T127" si="62">SUM(F117:F126)</f>
        <v>0</v>
      </c>
      <c r="G127" s="5">
        <f t="shared" si="62"/>
        <v>0</v>
      </c>
      <c r="H127" s="5">
        <f t="shared" si="62"/>
        <v>0</v>
      </c>
      <c r="I127" s="5">
        <f t="shared" si="62"/>
        <v>0</v>
      </c>
      <c r="J127" s="5">
        <f t="shared" si="62"/>
        <v>0</v>
      </c>
      <c r="K127" s="5">
        <f t="shared" si="62"/>
        <v>0</v>
      </c>
      <c r="L127" s="5">
        <f t="shared" si="62"/>
        <v>0</v>
      </c>
      <c r="M127" s="5">
        <f t="shared" si="62"/>
        <v>0</v>
      </c>
      <c r="N127" s="5">
        <f t="shared" si="62"/>
        <v>0</v>
      </c>
      <c r="O127" s="5">
        <f t="shared" si="62"/>
        <v>0</v>
      </c>
      <c r="P127" s="5">
        <f t="shared" si="62"/>
        <v>0</v>
      </c>
      <c r="Q127" s="5">
        <f t="shared" si="62"/>
        <v>0</v>
      </c>
      <c r="R127" s="5">
        <f t="shared" si="62"/>
        <v>0</v>
      </c>
      <c r="S127" s="5">
        <f t="shared" si="62"/>
        <v>0</v>
      </c>
      <c r="T127" s="5">
        <f t="shared" si="62"/>
        <v>0</v>
      </c>
      <c r="U127" s="5">
        <f t="shared" si="61"/>
        <v>0</v>
      </c>
      <c r="V127" s="5">
        <f t="shared" si="61"/>
        <v>0</v>
      </c>
      <c r="W127" s="5">
        <f t="shared" ref="W127:AI127" si="63">SUM(W117:W126)</f>
        <v>0</v>
      </c>
      <c r="X127" s="5">
        <f t="shared" si="63"/>
        <v>0</v>
      </c>
      <c r="Y127" s="5">
        <f t="shared" si="63"/>
        <v>0</v>
      </c>
      <c r="Z127" s="5">
        <f t="shared" si="63"/>
        <v>0</v>
      </c>
      <c r="AA127" s="5">
        <f t="shared" si="63"/>
        <v>0</v>
      </c>
      <c r="AB127" s="5">
        <f t="shared" si="63"/>
        <v>0</v>
      </c>
      <c r="AC127" s="5">
        <f t="shared" si="63"/>
        <v>0</v>
      </c>
      <c r="AD127" s="5">
        <f t="shared" si="63"/>
        <v>0</v>
      </c>
      <c r="AE127" s="5">
        <f t="shared" si="63"/>
        <v>0</v>
      </c>
      <c r="AF127" s="5">
        <f t="shared" si="63"/>
        <v>0</v>
      </c>
      <c r="AG127" s="5">
        <f t="shared" si="63"/>
        <v>0</v>
      </c>
      <c r="AH127" s="5">
        <f t="shared" si="63"/>
        <v>0</v>
      </c>
      <c r="AI127" s="5">
        <f t="shared" si="63"/>
        <v>0</v>
      </c>
      <c r="AJ127" s="5">
        <f t="shared" si="61"/>
        <v>0</v>
      </c>
      <c r="AK127" s="5">
        <f t="shared" si="61"/>
        <v>0</v>
      </c>
      <c r="AL127" s="5">
        <f t="shared" si="61"/>
        <v>0</v>
      </c>
      <c r="AM127" s="5">
        <f t="shared" si="61"/>
        <v>0</v>
      </c>
      <c r="AN127" s="5">
        <f t="shared" si="61"/>
        <v>0</v>
      </c>
      <c r="AO127" s="5">
        <f t="shared" si="61"/>
        <v>0</v>
      </c>
      <c r="AP127" s="5">
        <f t="shared" si="61"/>
        <v>0</v>
      </c>
      <c r="AQ127" s="5">
        <f t="shared" si="61"/>
        <v>0</v>
      </c>
      <c r="AR127" s="5">
        <f t="shared" si="61"/>
        <v>0</v>
      </c>
      <c r="AS127" s="5">
        <f t="shared" si="61"/>
        <v>0</v>
      </c>
      <c r="AT127" s="5">
        <f t="shared" si="61"/>
        <v>0</v>
      </c>
      <c r="AU127" s="5">
        <f t="shared" si="61"/>
        <v>0</v>
      </c>
      <c r="AV127" s="5">
        <f t="shared" si="61"/>
        <v>0</v>
      </c>
      <c r="AW127" s="5">
        <f t="shared" si="61"/>
        <v>0</v>
      </c>
      <c r="AX127" s="5">
        <f t="shared" si="61"/>
        <v>0</v>
      </c>
    </row>
    <row r="128" spans="1:50">
      <c r="A128" s="74"/>
      <c r="B128" s="75"/>
      <c r="C128" s="75"/>
      <c r="D128" s="75"/>
      <c r="E128" s="7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 spans="1:50">
      <c r="A129" s="11" t="s">
        <v>48</v>
      </c>
      <c r="B129" s="17" t="s">
        <v>61</v>
      </c>
      <c r="C129" s="72" t="s">
        <v>62</v>
      </c>
      <c r="D129" s="7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5">
        <f t="shared" ref="AX129:AX138" si="64">SUM(E129:AW129)</f>
        <v>0</v>
      </c>
    </row>
    <row r="130" spans="1:50" ht="13.15" customHeight="1">
      <c r="A130" s="11" t="s">
        <v>50</v>
      </c>
      <c r="B130" s="50"/>
      <c r="C130" s="24" t="s">
        <v>142</v>
      </c>
      <c r="D130" s="5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5">
        <f t="shared" si="64"/>
        <v>0</v>
      </c>
    </row>
    <row r="131" spans="1:50">
      <c r="A131" s="7"/>
      <c r="B131" s="50"/>
      <c r="C131" s="24" t="s">
        <v>143</v>
      </c>
      <c r="D131" s="5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5">
        <f t="shared" si="64"/>
        <v>0</v>
      </c>
    </row>
    <row r="132" spans="1:50">
      <c r="A132" s="7"/>
      <c r="B132" s="50"/>
      <c r="C132" s="24" t="s">
        <v>144</v>
      </c>
      <c r="D132" s="5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5">
        <f t="shared" si="64"/>
        <v>0</v>
      </c>
    </row>
    <row r="133" spans="1:50">
      <c r="A133" s="7"/>
      <c r="B133" s="50"/>
      <c r="C133" s="24" t="s">
        <v>145</v>
      </c>
      <c r="D133" s="5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5">
        <f t="shared" si="64"/>
        <v>0</v>
      </c>
    </row>
    <row r="134" spans="1:50">
      <c r="A134" s="7"/>
      <c r="B134" s="50"/>
      <c r="C134" s="24" t="s">
        <v>146</v>
      </c>
      <c r="D134" s="5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5">
        <f t="shared" si="64"/>
        <v>0</v>
      </c>
    </row>
    <row r="135" spans="1:50">
      <c r="A135" s="7"/>
      <c r="B135" s="50"/>
      <c r="C135" s="24" t="s">
        <v>147</v>
      </c>
      <c r="D135" s="5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5">
        <f t="shared" si="64"/>
        <v>0</v>
      </c>
    </row>
    <row r="136" spans="1:50">
      <c r="A136" s="7"/>
      <c r="B136" s="50"/>
      <c r="C136" s="24" t="s">
        <v>148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5">
        <f t="shared" si="64"/>
        <v>0</v>
      </c>
    </row>
    <row r="137" spans="1:50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5">
        <f t="shared" si="64"/>
        <v>0</v>
      </c>
    </row>
    <row r="138" spans="1:50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5">
        <f t="shared" si="64"/>
        <v>0</v>
      </c>
    </row>
    <row r="139" spans="1:50">
      <c r="A139" s="6" t="s">
        <v>26</v>
      </c>
      <c r="B139" s="66" t="s">
        <v>51</v>
      </c>
      <c r="C139" s="67"/>
      <c r="D139" s="68"/>
      <c r="E139" s="5">
        <f t="shared" ref="E139:AX139" si="65">SUM(E129:E138)</f>
        <v>0</v>
      </c>
      <c r="F139" s="5">
        <f t="shared" ref="F139:T139" si="66">SUM(F129:F138)</f>
        <v>0</v>
      </c>
      <c r="G139" s="5">
        <f t="shared" si="66"/>
        <v>0</v>
      </c>
      <c r="H139" s="5">
        <f t="shared" si="66"/>
        <v>0</v>
      </c>
      <c r="I139" s="5">
        <f t="shared" si="66"/>
        <v>0</v>
      </c>
      <c r="J139" s="5">
        <f t="shared" si="66"/>
        <v>0</v>
      </c>
      <c r="K139" s="5">
        <f t="shared" si="66"/>
        <v>0</v>
      </c>
      <c r="L139" s="5">
        <f t="shared" si="66"/>
        <v>0</v>
      </c>
      <c r="M139" s="5">
        <f t="shared" si="66"/>
        <v>0</v>
      </c>
      <c r="N139" s="5">
        <f t="shared" si="66"/>
        <v>0</v>
      </c>
      <c r="O139" s="5">
        <f t="shared" si="66"/>
        <v>0</v>
      </c>
      <c r="P139" s="5">
        <f t="shared" si="66"/>
        <v>0</v>
      </c>
      <c r="Q139" s="5">
        <f t="shared" si="66"/>
        <v>0</v>
      </c>
      <c r="R139" s="5">
        <f t="shared" si="66"/>
        <v>0</v>
      </c>
      <c r="S139" s="5">
        <f t="shared" si="66"/>
        <v>0</v>
      </c>
      <c r="T139" s="5">
        <f t="shared" si="66"/>
        <v>0</v>
      </c>
      <c r="U139" s="5">
        <f t="shared" si="65"/>
        <v>0</v>
      </c>
      <c r="V139" s="5">
        <f t="shared" si="65"/>
        <v>0</v>
      </c>
      <c r="W139" s="5">
        <f t="shared" ref="W139:AI139" si="67">SUM(W129:W138)</f>
        <v>0</v>
      </c>
      <c r="X139" s="5">
        <f t="shared" si="67"/>
        <v>0</v>
      </c>
      <c r="Y139" s="5">
        <f t="shared" si="67"/>
        <v>0</v>
      </c>
      <c r="Z139" s="5">
        <f t="shared" si="67"/>
        <v>0</v>
      </c>
      <c r="AA139" s="5">
        <f t="shared" si="67"/>
        <v>0</v>
      </c>
      <c r="AB139" s="5">
        <f t="shared" si="67"/>
        <v>0</v>
      </c>
      <c r="AC139" s="5">
        <f t="shared" si="67"/>
        <v>0</v>
      </c>
      <c r="AD139" s="5">
        <f t="shared" si="67"/>
        <v>0</v>
      </c>
      <c r="AE139" s="5">
        <f t="shared" si="67"/>
        <v>0</v>
      </c>
      <c r="AF139" s="5">
        <f t="shared" si="67"/>
        <v>0</v>
      </c>
      <c r="AG139" s="5">
        <f t="shared" si="67"/>
        <v>0</v>
      </c>
      <c r="AH139" s="5">
        <f t="shared" si="67"/>
        <v>0</v>
      </c>
      <c r="AI139" s="5">
        <f t="shared" si="67"/>
        <v>0</v>
      </c>
      <c r="AJ139" s="5">
        <f t="shared" si="65"/>
        <v>0</v>
      </c>
      <c r="AK139" s="5">
        <f t="shared" si="65"/>
        <v>0</v>
      </c>
      <c r="AL139" s="5">
        <f t="shared" si="65"/>
        <v>0</v>
      </c>
      <c r="AM139" s="5">
        <f t="shared" si="65"/>
        <v>0</v>
      </c>
      <c r="AN139" s="5">
        <f t="shared" si="65"/>
        <v>0</v>
      </c>
      <c r="AO139" s="5">
        <f t="shared" si="65"/>
        <v>0</v>
      </c>
      <c r="AP139" s="5">
        <f t="shared" si="65"/>
        <v>0</v>
      </c>
      <c r="AQ139" s="5">
        <f t="shared" si="65"/>
        <v>0</v>
      </c>
      <c r="AR139" s="5">
        <f t="shared" si="65"/>
        <v>0</v>
      </c>
      <c r="AS139" s="5">
        <f t="shared" si="65"/>
        <v>0</v>
      </c>
      <c r="AT139" s="5">
        <f t="shared" si="65"/>
        <v>0</v>
      </c>
      <c r="AU139" s="5">
        <f t="shared" si="65"/>
        <v>0</v>
      </c>
      <c r="AV139" s="5">
        <f t="shared" si="65"/>
        <v>0</v>
      </c>
      <c r="AW139" s="5">
        <f t="shared" si="65"/>
        <v>0</v>
      </c>
      <c r="AX139" s="5">
        <f t="shared" si="65"/>
        <v>0</v>
      </c>
    </row>
    <row r="140" spans="1:50">
      <c r="A140" s="74"/>
      <c r="B140" s="75"/>
      <c r="C140" s="75"/>
      <c r="D140" s="75"/>
      <c r="E140" s="7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 spans="1:50" ht="13.15" customHeight="1">
      <c r="A141" s="11" t="s">
        <v>48</v>
      </c>
      <c r="B141" s="17" t="s">
        <v>63</v>
      </c>
      <c r="C141" s="72" t="s">
        <v>64</v>
      </c>
      <c r="D141" s="7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5">
        <f t="shared" ref="AX141:AX150" si="68">SUM(E141:AW141)</f>
        <v>0</v>
      </c>
    </row>
    <row r="142" spans="1:50">
      <c r="A142" s="11" t="s">
        <v>50</v>
      </c>
      <c r="B142" s="17"/>
      <c r="C142" s="24" t="s">
        <v>149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5">
        <f t="shared" si="68"/>
        <v>0</v>
      </c>
    </row>
    <row r="143" spans="1:50">
      <c r="A143" s="7"/>
      <c r="B143" s="45"/>
      <c r="C143" s="46"/>
      <c r="D143" s="4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5">
        <f t="shared" si="68"/>
        <v>0</v>
      </c>
    </row>
    <row r="144" spans="1:50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5">
        <f t="shared" si="68"/>
        <v>0</v>
      </c>
    </row>
    <row r="145" spans="1:50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5">
        <f t="shared" si="68"/>
        <v>0</v>
      </c>
    </row>
    <row r="146" spans="1:50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5">
        <f t="shared" si="68"/>
        <v>0</v>
      </c>
    </row>
    <row r="147" spans="1:50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5">
        <f t="shared" si="68"/>
        <v>0</v>
      </c>
    </row>
    <row r="148" spans="1:50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5">
        <f t="shared" si="68"/>
        <v>0</v>
      </c>
    </row>
    <row r="149" spans="1:50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5">
        <f t="shared" si="68"/>
        <v>0</v>
      </c>
    </row>
    <row r="150" spans="1:50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5">
        <f t="shared" si="68"/>
        <v>0</v>
      </c>
    </row>
    <row r="151" spans="1:50" ht="13.15" customHeight="1">
      <c r="A151" s="6" t="s">
        <v>26</v>
      </c>
      <c r="B151" s="66" t="s">
        <v>51</v>
      </c>
      <c r="C151" s="67"/>
      <c r="D151" s="68"/>
      <c r="E151" s="5">
        <f t="shared" ref="E151:AX151" si="69">SUM(E141:E150)</f>
        <v>0</v>
      </c>
      <c r="F151" s="5">
        <f t="shared" ref="F151:T151" si="70">SUM(F141:F150)</f>
        <v>0</v>
      </c>
      <c r="G151" s="5">
        <f t="shared" si="70"/>
        <v>0</v>
      </c>
      <c r="H151" s="5">
        <f t="shared" si="70"/>
        <v>0</v>
      </c>
      <c r="I151" s="5">
        <f t="shared" si="70"/>
        <v>0</v>
      </c>
      <c r="J151" s="5">
        <f t="shared" si="70"/>
        <v>0</v>
      </c>
      <c r="K151" s="5">
        <f t="shared" si="70"/>
        <v>0</v>
      </c>
      <c r="L151" s="5">
        <f t="shared" si="70"/>
        <v>0</v>
      </c>
      <c r="M151" s="5">
        <f t="shared" si="70"/>
        <v>0</v>
      </c>
      <c r="N151" s="5">
        <f t="shared" si="70"/>
        <v>0</v>
      </c>
      <c r="O151" s="5">
        <f t="shared" si="70"/>
        <v>0</v>
      </c>
      <c r="P151" s="5">
        <f t="shared" si="70"/>
        <v>0</v>
      </c>
      <c r="Q151" s="5">
        <f t="shared" si="70"/>
        <v>0</v>
      </c>
      <c r="R151" s="5">
        <f t="shared" si="70"/>
        <v>0</v>
      </c>
      <c r="S151" s="5">
        <f t="shared" si="70"/>
        <v>0</v>
      </c>
      <c r="T151" s="5">
        <f t="shared" si="70"/>
        <v>0</v>
      </c>
      <c r="U151" s="5">
        <f t="shared" si="69"/>
        <v>0</v>
      </c>
      <c r="V151" s="5">
        <f t="shared" si="69"/>
        <v>0</v>
      </c>
      <c r="W151" s="5">
        <f t="shared" ref="W151:AI151" si="71">SUM(W141:W150)</f>
        <v>0</v>
      </c>
      <c r="X151" s="5">
        <f t="shared" si="71"/>
        <v>0</v>
      </c>
      <c r="Y151" s="5">
        <f t="shared" si="71"/>
        <v>0</v>
      </c>
      <c r="Z151" s="5">
        <f t="shared" si="71"/>
        <v>0</v>
      </c>
      <c r="AA151" s="5">
        <f t="shared" si="71"/>
        <v>0</v>
      </c>
      <c r="AB151" s="5">
        <f t="shared" si="71"/>
        <v>0</v>
      </c>
      <c r="AC151" s="5">
        <f t="shared" si="71"/>
        <v>0</v>
      </c>
      <c r="AD151" s="5">
        <f t="shared" si="71"/>
        <v>0</v>
      </c>
      <c r="AE151" s="5">
        <f t="shared" si="71"/>
        <v>0</v>
      </c>
      <c r="AF151" s="5">
        <f t="shared" si="71"/>
        <v>0</v>
      </c>
      <c r="AG151" s="5">
        <f t="shared" si="71"/>
        <v>0</v>
      </c>
      <c r="AH151" s="5">
        <f t="shared" si="71"/>
        <v>0</v>
      </c>
      <c r="AI151" s="5">
        <f t="shared" si="71"/>
        <v>0</v>
      </c>
      <c r="AJ151" s="5">
        <f t="shared" si="69"/>
        <v>0</v>
      </c>
      <c r="AK151" s="5">
        <f t="shared" si="69"/>
        <v>0</v>
      </c>
      <c r="AL151" s="5">
        <f t="shared" si="69"/>
        <v>0</v>
      </c>
      <c r="AM151" s="5">
        <f t="shared" si="69"/>
        <v>0</v>
      </c>
      <c r="AN151" s="5">
        <f t="shared" si="69"/>
        <v>0</v>
      </c>
      <c r="AO151" s="5">
        <f t="shared" si="69"/>
        <v>0</v>
      </c>
      <c r="AP151" s="5">
        <f t="shared" si="69"/>
        <v>0</v>
      </c>
      <c r="AQ151" s="5">
        <f t="shared" si="69"/>
        <v>0</v>
      </c>
      <c r="AR151" s="5">
        <f t="shared" si="69"/>
        <v>0</v>
      </c>
      <c r="AS151" s="5">
        <f t="shared" si="69"/>
        <v>0</v>
      </c>
      <c r="AT151" s="5">
        <f t="shared" si="69"/>
        <v>0</v>
      </c>
      <c r="AU151" s="5">
        <f t="shared" si="69"/>
        <v>0</v>
      </c>
      <c r="AV151" s="5">
        <f t="shared" si="69"/>
        <v>0</v>
      </c>
      <c r="AW151" s="5">
        <f t="shared" si="69"/>
        <v>0</v>
      </c>
      <c r="AX151" s="5">
        <f t="shared" si="69"/>
        <v>0</v>
      </c>
    </row>
    <row r="152" spans="1:50">
      <c r="A152" s="74"/>
      <c r="B152" s="75"/>
      <c r="C152" s="75"/>
      <c r="D152" s="75"/>
      <c r="E152" s="7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5"/>
    </row>
    <row r="153" spans="1:50">
      <c r="A153" s="11" t="s">
        <v>48</v>
      </c>
      <c r="B153" s="44" t="s">
        <v>65</v>
      </c>
      <c r="C153" s="80" t="s">
        <v>66</v>
      </c>
      <c r="D153" s="8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5">
        <f>SUM(E154:AW154)</f>
        <v>0</v>
      </c>
    </row>
    <row r="154" spans="1:50">
      <c r="A154" s="52" t="s">
        <v>50</v>
      </c>
      <c r="B154" s="50"/>
      <c r="C154" s="24" t="s">
        <v>150</v>
      </c>
      <c r="D154" s="51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5">
        <f>SUM(E155:AW155)</f>
        <v>0</v>
      </c>
    </row>
    <row r="155" spans="1:50">
      <c r="A155" s="7"/>
      <c r="B155" s="50"/>
      <c r="C155" s="24" t="s">
        <v>151</v>
      </c>
      <c r="D155" s="51"/>
      <c r="E155" s="5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5">
        <f>SUM(E156:AW156)</f>
        <v>0</v>
      </c>
    </row>
    <row r="156" spans="1:50">
      <c r="A156" s="7"/>
      <c r="B156" s="50"/>
      <c r="C156" s="24" t="s">
        <v>152</v>
      </c>
      <c r="D156" s="51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5">
        <f>SUM(E157:AW157)</f>
        <v>0</v>
      </c>
    </row>
    <row r="157" spans="1:50">
      <c r="A157" s="7"/>
      <c r="B157" s="50"/>
      <c r="C157" s="24" t="s">
        <v>153</v>
      </c>
      <c r="D157" s="51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5">
        <f t="shared" ref="AX157:AX162" si="72">SUM(E163:AW163)</f>
        <v>0</v>
      </c>
    </row>
    <row r="158" spans="1:50">
      <c r="A158" s="7"/>
      <c r="B158" s="50"/>
      <c r="C158" s="24" t="s">
        <v>154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5">
        <f t="shared" si="72"/>
        <v>0</v>
      </c>
    </row>
    <row r="159" spans="1:50">
      <c r="A159" s="7"/>
      <c r="B159" s="50"/>
      <c r="C159" s="24" t="s">
        <v>155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5">
        <f t="shared" si="72"/>
        <v>0</v>
      </c>
    </row>
    <row r="160" spans="1:50">
      <c r="A160" s="7"/>
      <c r="B160" s="50"/>
      <c r="C160" s="24" t="s">
        <v>156</v>
      </c>
      <c r="D160" s="51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5">
        <f t="shared" si="72"/>
        <v>0</v>
      </c>
    </row>
    <row r="161" spans="1:50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5">
        <f t="shared" si="72"/>
        <v>0</v>
      </c>
    </row>
    <row r="162" spans="1:50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5">
        <f t="shared" si="72"/>
        <v>0</v>
      </c>
    </row>
    <row r="163" spans="1:50">
      <c r="A163" s="6" t="s">
        <v>26</v>
      </c>
      <c r="B163" s="77" t="s">
        <v>51</v>
      </c>
      <c r="C163" s="78"/>
      <c r="D163" s="79"/>
      <c r="E163" s="5">
        <f t="shared" ref="E163:AX163" si="73">SUM(E153:E162)</f>
        <v>0</v>
      </c>
      <c r="F163" s="5">
        <f t="shared" ref="F163:T163" si="74">SUM(F153:F162)</f>
        <v>0</v>
      </c>
      <c r="G163" s="5">
        <f t="shared" si="74"/>
        <v>0</v>
      </c>
      <c r="H163" s="5">
        <f t="shared" si="74"/>
        <v>0</v>
      </c>
      <c r="I163" s="5">
        <f t="shared" si="74"/>
        <v>0</v>
      </c>
      <c r="J163" s="5">
        <f t="shared" si="74"/>
        <v>0</v>
      </c>
      <c r="K163" s="5">
        <f t="shared" si="74"/>
        <v>0</v>
      </c>
      <c r="L163" s="5">
        <f t="shared" si="74"/>
        <v>0</v>
      </c>
      <c r="M163" s="5">
        <f t="shared" si="74"/>
        <v>0</v>
      </c>
      <c r="N163" s="5">
        <f t="shared" si="74"/>
        <v>0</v>
      </c>
      <c r="O163" s="5">
        <f t="shared" si="74"/>
        <v>0</v>
      </c>
      <c r="P163" s="5">
        <f t="shared" si="74"/>
        <v>0</v>
      </c>
      <c r="Q163" s="5">
        <f t="shared" si="74"/>
        <v>0</v>
      </c>
      <c r="R163" s="5">
        <f t="shared" si="74"/>
        <v>0</v>
      </c>
      <c r="S163" s="5">
        <f t="shared" si="74"/>
        <v>0</v>
      </c>
      <c r="T163" s="5">
        <f t="shared" si="74"/>
        <v>0</v>
      </c>
      <c r="U163" s="5">
        <f t="shared" si="73"/>
        <v>0</v>
      </c>
      <c r="V163" s="5">
        <f t="shared" si="73"/>
        <v>0</v>
      </c>
      <c r="W163" s="5">
        <f t="shared" ref="W163:AI163" si="75">SUM(W153:W162)</f>
        <v>0</v>
      </c>
      <c r="X163" s="5">
        <f t="shared" si="75"/>
        <v>0</v>
      </c>
      <c r="Y163" s="5">
        <f t="shared" si="75"/>
        <v>0</v>
      </c>
      <c r="Z163" s="5">
        <f t="shared" si="75"/>
        <v>0</v>
      </c>
      <c r="AA163" s="5">
        <f t="shared" si="75"/>
        <v>0</v>
      </c>
      <c r="AB163" s="5">
        <f t="shared" si="75"/>
        <v>0</v>
      </c>
      <c r="AC163" s="5">
        <f t="shared" si="75"/>
        <v>0</v>
      </c>
      <c r="AD163" s="5">
        <f t="shared" si="75"/>
        <v>0</v>
      </c>
      <c r="AE163" s="5">
        <f t="shared" si="75"/>
        <v>0</v>
      </c>
      <c r="AF163" s="5">
        <f t="shared" si="75"/>
        <v>0</v>
      </c>
      <c r="AG163" s="5">
        <f t="shared" si="75"/>
        <v>0</v>
      </c>
      <c r="AH163" s="5">
        <f t="shared" si="75"/>
        <v>0</v>
      </c>
      <c r="AI163" s="5">
        <f t="shared" si="75"/>
        <v>0</v>
      </c>
      <c r="AJ163" s="5">
        <f t="shared" si="73"/>
        <v>0</v>
      </c>
      <c r="AK163" s="5">
        <f t="shared" si="73"/>
        <v>0</v>
      </c>
      <c r="AL163" s="5">
        <f t="shared" si="73"/>
        <v>0</v>
      </c>
      <c r="AM163" s="5">
        <f t="shared" si="73"/>
        <v>0</v>
      </c>
      <c r="AN163" s="5">
        <f t="shared" si="73"/>
        <v>0</v>
      </c>
      <c r="AO163" s="5">
        <f t="shared" si="73"/>
        <v>0</v>
      </c>
      <c r="AP163" s="5">
        <f t="shared" si="73"/>
        <v>0</v>
      </c>
      <c r="AQ163" s="5">
        <f t="shared" si="73"/>
        <v>0</v>
      </c>
      <c r="AR163" s="5">
        <f t="shared" si="73"/>
        <v>0</v>
      </c>
      <c r="AS163" s="5">
        <f t="shared" si="73"/>
        <v>0</v>
      </c>
      <c r="AT163" s="5">
        <f t="shared" si="73"/>
        <v>0</v>
      </c>
      <c r="AU163" s="5">
        <f t="shared" si="73"/>
        <v>0</v>
      </c>
      <c r="AV163" s="5">
        <f t="shared" si="73"/>
        <v>0</v>
      </c>
      <c r="AW163" s="5">
        <f t="shared" si="73"/>
        <v>0</v>
      </c>
      <c r="AX163" s="5">
        <f t="shared" si="73"/>
        <v>0</v>
      </c>
    </row>
    <row r="164" spans="1:50">
      <c r="A164" s="74"/>
      <c r="B164" s="75"/>
      <c r="C164" s="75"/>
      <c r="D164" s="75"/>
      <c r="E164" s="7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 spans="1:50" ht="13.15" customHeight="1">
      <c r="A165" s="11" t="s">
        <v>48</v>
      </c>
      <c r="B165" s="17" t="s">
        <v>67</v>
      </c>
      <c r="C165" s="72" t="s">
        <v>68</v>
      </c>
      <c r="D165" s="7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5">
        <f t="shared" ref="AX165:AX174" si="76">SUM(E165:AW165)</f>
        <v>0</v>
      </c>
    </row>
    <row r="166" spans="1:50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5">
        <f t="shared" si="76"/>
        <v>0</v>
      </c>
    </row>
    <row r="167" spans="1:50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5">
        <f t="shared" si="76"/>
        <v>0</v>
      </c>
    </row>
    <row r="168" spans="1:50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5">
        <f t="shared" si="76"/>
        <v>0</v>
      </c>
    </row>
    <row r="169" spans="1:50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5">
        <f t="shared" si="76"/>
        <v>0</v>
      </c>
    </row>
    <row r="170" spans="1:50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5">
        <f t="shared" si="76"/>
        <v>0</v>
      </c>
    </row>
    <row r="171" spans="1:50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5">
        <f t="shared" si="76"/>
        <v>0</v>
      </c>
    </row>
    <row r="172" spans="1:50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5">
        <f t="shared" si="76"/>
        <v>0</v>
      </c>
    </row>
    <row r="173" spans="1:50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5">
        <f t="shared" si="76"/>
        <v>0</v>
      </c>
    </row>
    <row r="174" spans="1:50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5">
        <f t="shared" si="76"/>
        <v>0</v>
      </c>
    </row>
    <row r="175" spans="1:50">
      <c r="A175" s="6" t="s">
        <v>26</v>
      </c>
      <c r="B175" s="66" t="s">
        <v>51</v>
      </c>
      <c r="C175" s="67"/>
      <c r="D175" s="68"/>
      <c r="E175" s="5">
        <f t="shared" ref="E175:AX175" si="77">SUM(E165:E174)</f>
        <v>0</v>
      </c>
      <c r="F175" s="5">
        <f t="shared" ref="F175:T175" si="78">SUM(F165:F174)</f>
        <v>0</v>
      </c>
      <c r="G175" s="5">
        <f t="shared" si="78"/>
        <v>0</v>
      </c>
      <c r="H175" s="5">
        <f t="shared" si="78"/>
        <v>0</v>
      </c>
      <c r="I175" s="5">
        <f t="shared" si="78"/>
        <v>0</v>
      </c>
      <c r="J175" s="5">
        <f t="shared" si="78"/>
        <v>0</v>
      </c>
      <c r="K175" s="5">
        <f t="shared" si="78"/>
        <v>0</v>
      </c>
      <c r="L175" s="5">
        <f t="shared" si="78"/>
        <v>0</v>
      </c>
      <c r="M175" s="5">
        <f t="shared" si="78"/>
        <v>0</v>
      </c>
      <c r="N175" s="5">
        <f t="shared" si="78"/>
        <v>0</v>
      </c>
      <c r="O175" s="5">
        <f t="shared" si="78"/>
        <v>0</v>
      </c>
      <c r="P175" s="5">
        <f t="shared" si="78"/>
        <v>0</v>
      </c>
      <c r="Q175" s="5">
        <f t="shared" si="78"/>
        <v>0</v>
      </c>
      <c r="R175" s="5">
        <f t="shared" si="78"/>
        <v>0</v>
      </c>
      <c r="S175" s="5">
        <f t="shared" si="78"/>
        <v>0</v>
      </c>
      <c r="T175" s="5">
        <f t="shared" si="78"/>
        <v>0</v>
      </c>
      <c r="U175" s="5">
        <f t="shared" si="77"/>
        <v>0</v>
      </c>
      <c r="V175" s="5">
        <f t="shared" si="77"/>
        <v>0</v>
      </c>
      <c r="W175" s="5">
        <f t="shared" ref="W175:AI175" si="79">SUM(W165:W174)</f>
        <v>0</v>
      </c>
      <c r="X175" s="5">
        <f t="shared" si="79"/>
        <v>0</v>
      </c>
      <c r="Y175" s="5">
        <f t="shared" si="79"/>
        <v>0</v>
      </c>
      <c r="Z175" s="5">
        <f t="shared" si="79"/>
        <v>0</v>
      </c>
      <c r="AA175" s="5">
        <f t="shared" si="79"/>
        <v>0</v>
      </c>
      <c r="AB175" s="5">
        <f t="shared" si="79"/>
        <v>0</v>
      </c>
      <c r="AC175" s="5">
        <f t="shared" si="79"/>
        <v>0</v>
      </c>
      <c r="AD175" s="5">
        <f t="shared" si="79"/>
        <v>0</v>
      </c>
      <c r="AE175" s="5">
        <f t="shared" si="79"/>
        <v>0</v>
      </c>
      <c r="AF175" s="5">
        <f t="shared" si="79"/>
        <v>0</v>
      </c>
      <c r="AG175" s="5">
        <f t="shared" si="79"/>
        <v>0</v>
      </c>
      <c r="AH175" s="5">
        <f t="shared" si="79"/>
        <v>0</v>
      </c>
      <c r="AI175" s="5">
        <f t="shared" si="79"/>
        <v>0</v>
      </c>
      <c r="AJ175" s="5">
        <f t="shared" si="77"/>
        <v>0</v>
      </c>
      <c r="AK175" s="5">
        <f t="shared" si="77"/>
        <v>0</v>
      </c>
      <c r="AL175" s="5">
        <f t="shared" si="77"/>
        <v>0</v>
      </c>
      <c r="AM175" s="5">
        <f t="shared" si="77"/>
        <v>0</v>
      </c>
      <c r="AN175" s="5">
        <f t="shared" si="77"/>
        <v>0</v>
      </c>
      <c r="AO175" s="5">
        <f t="shared" si="77"/>
        <v>0</v>
      </c>
      <c r="AP175" s="5">
        <f t="shared" si="77"/>
        <v>0</v>
      </c>
      <c r="AQ175" s="5">
        <f t="shared" si="77"/>
        <v>0</v>
      </c>
      <c r="AR175" s="5">
        <f t="shared" si="77"/>
        <v>0</v>
      </c>
      <c r="AS175" s="5">
        <f t="shared" si="77"/>
        <v>0</v>
      </c>
      <c r="AT175" s="5">
        <f t="shared" si="77"/>
        <v>0</v>
      </c>
      <c r="AU175" s="5">
        <f t="shared" si="77"/>
        <v>0</v>
      </c>
      <c r="AV175" s="5">
        <f t="shared" si="77"/>
        <v>0</v>
      </c>
      <c r="AW175" s="5">
        <f t="shared" si="77"/>
        <v>0</v>
      </c>
      <c r="AX175" s="5">
        <f t="shared" si="77"/>
        <v>0</v>
      </c>
    </row>
    <row r="176" spans="1:50" ht="13.15" customHeight="1">
      <c r="A176" s="74"/>
      <c r="B176" s="75"/>
      <c r="C176" s="75"/>
      <c r="D176" s="75"/>
      <c r="E176" s="7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 spans="1:50">
      <c r="A177" s="11" t="s">
        <v>48</v>
      </c>
      <c r="B177" s="17" t="s">
        <v>69</v>
      </c>
      <c r="C177" s="72" t="s">
        <v>70</v>
      </c>
      <c r="D177" s="7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5">
        <f t="shared" ref="AX177:AX186" si="80">SUM(E177:AW177)</f>
        <v>0</v>
      </c>
    </row>
    <row r="178" spans="1:50">
      <c r="A178" s="11" t="s">
        <v>50</v>
      </c>
      <c r="B178" s="50"/>
      <c r="C178" s="24" t="s">
        <v>157</v>
      </c>
      <c r="D178" s="5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5">
        <f t="shared" si="80"/>
        <v>0</v>
      </c>
    </row>
    <row r="179" spans="1:50">
      <c r="A179" s="7"/>
      <c r="B179" s="50"/>
      <c r="C179" s="24" t="s">
        <v>158</v>
      </c>
      <c r="D179" s="5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5">
        <f t="shared" si="80"/>
        <v>0</v>
      </c>
    </row>
    <row r="180" spans="1:50">
      <c r="A180" s="7"/>
      <c r="B180" s="50"/>
      <c r="C180" s="24" t="s">
        <v>159</v>
      </c>
      <c r="D180" s="5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5">
        <f t="shared" si="80"/>
        <v>0</v>
      </c>
    </row>
    <row r="181" spans="1:50">
      <c r="A181" s="7"/>
      <c r="B181" s="50"/>
      <c r="C181" s="24" t="s">
        <v>160</v>
      </c>
      <c r="D181" s="5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5">
        <f t="shared" si="80"/>
        <v>0</v>
      </c>
    </row>
    <row r="182" spans="1:50">
      <c r="A182" s="7"/>
      <c r="B182" s="45"/>
      <c r="C182" s="46"/>
      <c r="D182" s="4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5">
        <f t="shared" si="80"/>
        <v>0</v>
      </c>
    </row>
    <row r="183" spans="1:50">
      <c r="A183" s="7"/>
      <c r="B183" s="45"/>
      <c r="C183" s="46"/>
      <c r="D183" s="4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5">
        <f t="shared" si="80"/>
        <v>0</v>
      </c>
    </row>
    <row r="184" spans="1:50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5">
        <f t="shared" si="80"/>
        <v>0</v>
      </c>
    </row>
    <row r="185" spans="1:50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5">
        <f t="shared" si="80"/>
        <v>0</v>
      </c>
    </row>
    <row r="186" spans="1:50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5">
        <f t="shared" si="80"/>
        <v>0</v>
      </c>
    </row>
    <row r="187" spans="1:50" ht="13.15" customHeight="1">
      <c r="A187" s="6" t="s">
        <v>26</v>
      </c>
      <c r="B187" s="66" t="s">
        <v>51</v>
      </c>
      <c r="C187" s="67"/>
      <c r="D187" s="68"/>
      <c r="E187" s="5">
        <f t="shared" ref="E187:AX187" si="81">SUM(E177:E186)</f>
        <v>0</v>
      </c>
      <c r="F187" s="5">
        <f t="shared" ref="F187:T187" si="82">SUM(F177:F186)</f>
        <v>0</v>
      </c>
      <c r="G187" s="5">
        <f t="shared" si="82"/>
        <v>0</v>
      </c>
      <c r="H187" s="5">
        <f t="shared" si="82"/>
        <v>0</v>
      </c>
      <c r="I187" s="5">
        <f t="shared" si="82"/>
        <v>0</v>
      </c>
      <c r="J187" s="5">
        <f t="shared" si="82"/>
        <v>0</v>
      </c>
      <c r="K187" s="5">
        <f t="shared" si="82"/>
        <v>0</v>
      </c>
      <c r="L187" s="5">
        <f t="shared" si="82"/>
        <v>0</v>
      </c>
      <c r="M187" s="5">
        <f t="shared" si="82"/>
        <v>0</v>
      </c>
      <c r="N187" s="5">
        <f t="shared" si="82"/>
        <v>0</v>
      </c>
      <c r="O187" s="5">
        <f t="shared" si="82"/>
        <v>0</v>
      </c>
      <c r="P187" s="5">
        <f t="shared" si="82"/>
        <v>0</v>
      </c>
      <c r="Q187" s="5">
        <f t="shared" si="82"/>
        <v>0</v>
      </c>
      <c r="R187" s="5">
        <f t="shared" si="82"/>
        <v>0</v>
      </c>
      <c r="S187" s="5">
        <f t="shared" si="82"/>
        <v>0</v>
      </c>
      <c r="T187" s="5">
        <f t="shared" si="82"/>
        <v>0</v>
      </c>
      <c r="U187" s="5">
        <f t="shared" si="81"/>
        <v>0</v>
      </c>
      <c r="V187" s="5">
        <f t="shared" si="81"/>
        <v>0</v>
      </c>
      <c r="W187" s="5">
        <f t="shared" ref="W187:AI187" si="83">SUM(W177:W186)</f>
        <v>0</v>
      </c>
      <c r="X187" s="5">
        <f t="shared" si="83"/>
        <v>0</v>
      </c>
      <c r="Y187" s="5">
        <f t="shared" si="83"/>
        <v>0</v>
      </c>
      <c r="Z187" s="5">
        <f t="shared" si="83"/>
        <v>0</v>
      </c>
      <c r="AA187" s="5">
        <f t="shared" si="83"/>
        <v>0</v>
      </c>
      <c r="AB187" s="5">
        <f t="shared" si="83"/>
        <v>0</v>
      </c>
      <c r="AC187" s="5">
        <f t="shared" si="83"/>
        <v>0</v>
      </c>
      <c r="AD187" s="5">
        <f t="shared" si="83"/>
        <v>0</v>
      </c>
      <c r="AE187" s="5">
        <f t="shared" si="83"/>
        <v>0</v>
      </c>
      <c r="AF187" s="5">
        <f t="shared" si="83"/>
        <v>0</v>
      </c>
      <c r="AG187" s="5">
        <f t="shared" si="83"/>
        <v>0</v>
      </c>
      <c r="AH187" s="5">
        <f t="shared" si="83"/>
        <v>0</v>
      </c>
      <c r="AI187" s="5">
        <f t="shared" si="83"/>
        <v>0</v>
      </c>
      <c r="AJ187" s="5">
        <f t="shared" si="81"/>
        <v>0</v>
      </c>
      <c r="AK187" s="5">
        <f t="shared" si="81"/>
        <v>0</v>
      </c>
      <c r="AL187" s="5">
        <f t="shared" si="81"/>
        <v>0</v>
      </c>
      <c r="AM187" s="5">
        <f t="shared" si="81"/>
        <v>0</v>
      </c>
      <c r="AN187" s="5">
        <f t="shared" si="81"/>
        <v>0</v>
      </c>
      <c r="AO187" s="5">
        <f t="shared" si="81"/>
        <v>0</v>
      </c>
      <c r="AP187" s="5">
        <f t="shared" si="81"/>
        <v>0</v>
      </c>
      <c r="AQ187" s="5">
        <f t="shared" si="81"/>
        <v>0</v>
      </c>
      <c r="AR187" s="5">
        <f t="shared" si="81"/>
        <v>0</v>
      </c>
      <c r="AS187" s="5">
        <f t="shared" si="81"/>
        <v>0</v>
      </c>
      <c r="AT187" s="5">
        <f t="shared" si="81"/>
        <v>0</v>
      </c>
      <c r="AU187" s="5">
        <f t="shared" si="81"/>
        <v>0</v>
      </c>
      <c r="AV187" s="5">
        <f t="shared" si="81"/>
        <v>0</v>
      </c>
      <c r="AW187" s="5">
        <f t="shared" si="81"/>
        <v>0</v>
      </c>
      <c r="AX187" s="5">
        <f t="shared" si="81"/>
        <v>0</v>
      </c>
    </row>
    <row r="188" spans="1:50">
      <c r="A188" s="74"/>
      <c r="B188" s="75"/>
      <c r="C188" s="75"/>
      <c r="D188" s="75"/>
      <c r="E188" s="7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5"/>
    </row>
    <row r="189" spans="1:50">
      <c r="A189" s="11" t="s">
        <v>48</v>
      </c>
      <c r="B189" s="17" t="s">
        <v>71</v>
      </c>
      <c r="C189" s="72" t="s">
        <v>72</v>
      </c>
      <c r="D189" s="7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5">
        <f t="shared" ref="AX189:AX198" si="84">SUM(E189:AW189)</f>
        <v>0</v>
      </c>
    </row>
    <row r="190" spans="1:50">
      <c r="A190" s="11" t="s">
        <v>50</v>
      </c>
      <c r="B190" s="50"/>
      <c r="C190" s="24" t="s">
        <v>161</v>
      </c>
      <c r="D190" s="5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5">
        <f t="shared" si="84"/>
        <v>0</v>
      </c>
    </row>
    <row r="191" spans="1:50">
      <c r="A191" s="7"/>
      <c r="B191" s="50"/>
      <c r="C191" s="24" t="s">
        <v>162</v>
      </c>
      <c r="D191" s="5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5">
        <f t="shared" si="84"/>
        <v>0</v>
      </c>
    </row>
    <row r="192" spans="1:50">
      <c r="A192" s="7"/>
      <c r="B192" s="50"/>
      <c r="C192" s="24" t="s">
        <v>163</v>
      </c>
      <c r="D192" s="5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5">
        <f t="shared" si="84"/>
        <v>0</v>
      </c>
    </row>
    <row r="193" spans="1:50">
      <c r="A193" s="7"/>
      <c r="B193" s="50"/>
      <c r="C193" s="24" t="s">
        <v>164</v>
      </c>
      <c r="D193" s="5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5">
        <f t="shared" si="84"/>
        <v>0</v>
      </c>
    </row>
    <row r="194" spans="1:50">
      <c r="A194" s="7"/>
      <c r="B194" s="50"/>
      <c r="C194" s="24" t="s">
        <v>165</v>
      </c>
      <c r="D194" s="5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5">
        <f t="shared" si="84"/>
        <v>0</v>
      </c>
    </row>
    <row r="195" spans="1:50">
      <c r="A195" s="7"/>
      <c r="B195" s="50"/>
      <c r="C195" s="24" t="s">
        <v>166</v>
      </c>
      <c r="D195" s="5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5">
        <f t="shared" si="84"/>
        <v>0</v>
      </c>
    </row>
    <row r="196" spans="1:50" ht="13.15" customHeight="1">
      <c r="A196" s="7"/>
      <c r="B196" s="50"/>
      <c r="C196" s="24" t="s">
        <v>167</v>
      </c>
      <c r="D196" s="5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5">
        <f t="shared" si="84"/>
        <v>0</v>
      </c>
    </row>
    <row r="197" spans="1:50" ht="13.15" customHeight="1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5">
        <f t="shared" si="84"/>
        <v>0</v>
      </c>
    </row>
    <row r="198" spans="1:50" ht="13.15" customHeight="1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5">
        <f t="shared" si="84"/>
        <v>0</v>
      </c>
    </row>
    <row r="199" spans="1:50">
      <c r="A199" s="6" t="s">
        <v>26</v>
      </c>
      <c r="B199" s="66" t="s">
        <v>51</v>
      </c>
      <c r="C199" s="67"/>
      <c r="D199" s="68"/>
      <c r="E199" s="5">
        <f t="shared" ref="E199:AX199" si="85">SUM(E189:E198)</f>
        <v>0</v>
      </c>
      <c r="F199" s="5">
        <f t="shared" ref="F199:T199" si="86">SUM(F189:F198)</f>
        <v>0</v>
      </c>
      <c r="G199" s="5">
        <f t="shared" si="86"/>
        <v>0</v>
      </c>
      <c r="H199" s="5">
        <f t="shared" si="86"/>
        <v>0</v>
      </c>
      <c r="I199" s="5">
        <f t="shared" si="86"/>
        <v>0</v>
      </c>
      <c r="J199" s="5">
        <f t="shared" si="86"/>
        <v>0</v>
      </c>
      <c r="K199" s="5">
        <f t="shared" si="86"/>
        <v>0</v>
      </c>
      <c r="L199" s="5">
        <f t="shared" si="86"/>
        <v>0</v>
      </c>
      <c r="M199" s="5">
        <f t="shared" si="86"/>
        <v>0</v>
      </c>
      <c r="N199" s="5">
        <f t="shared" si="86"/>
        <v>0</v>
      </c>
      <c r="O199" s="5">
        <f t="shared" si="86"/>
        <v>0</v>
      </c>
      <c r="P199" s="5">
        <f t="shared" si="86"/>
        <v>0</v>
      </c>
      <c r="Q199" s="5">
        <f t="shared" si="86"/>
        <v>0</v>
      </c>
      <c r="R199" s="5">
        <f t="shared" si="86"/>
        <v>0</v>
      </c>
      <c r="S199" s="5">
        <f t="shared" si="86"/>
        <v>0</v>
      </c>
      <c r="T199" s="5">
        <f t="shared" si="86"/>
        <v>0</v>
      </c>
      <c r="U199" s="5">
        <f t="shared" si="85"/>
        <v>0</v>
      </c>
      <c r="V199" s="5">
        <f t="shared" si="85"/>
        <v>0</v>
      </c>
      <c r="W199" s="5">
        <f t="shared" ref="W199:AI199" si="87">SUM(W189:W198)</f>
        <v>0</v>
      </c>
      <c r="X199" s="5">
        <f t="shared" si="87"/>
        <v>0</v>
      </c>
      <c r="Y199" s="5">
        <f t="shared" si="87"/>
        <v>0</v>
      </c>
      <c r="Z199" s="5">
        <f t="shared" si="87"/>
        <v>0</v>
      </c>
      <c r="AA199" s="5">
        <f t="shared" si="87"/>
        <v>0</v>
      </c>
      <c r="AB199" s="5">
        <f t="shared" si="87"/>
        <v>0</v>
      </c>
      <c r="AC199" s="5">
        <f t="shared" si="87"/>
        <v>0</v>
      </c>
      <c r="AD199" s="5">
        <f t="shared" si="87"/>
        <v>0</v>
      </c>
      <c r="AE199" s="5">
        <f t="shared" si="87"/>
        <v>0</v>
      </c>
      <c r="AF199" s="5">
        <f t="shared" si="87"/>
        <v>0</v>
      </c>
      <c r="AG199" s="5">
        <f t="shared" si="87"/>
        <v>0</v>
      </c>
      <c r="AH199" s="5">
        <f t="shared" si="87"/>
        <v>0</v>
      </c>
      <c r="AI199" s="5">
        <f t="shared" si="87"/>
        <v>0</v>
      </c>
      <c r="AJ199" s="5">
        <f t="shared" si="85"/>
        <v>0</v>
      </c>
      <c r="AK199" s="5">
        <f t="shared" si="85"/>
        <v>0</v>
      </c>
      <c r="AL199" s="5">
        <f t="shared" si="85"/>
        <v>0</v>
      </c>
      <c r="AM199" s="5">
        <f t="shared" si="85"/>
        <v>0</v>
      </c>
      <c r="AN199" s="5">
        <f t="shared" si="85"/>
        <v>0</v>
      </c>
      <c r="AO199" s="5">
        <f t="shared" si="85"/>
        <v>0</v>
      </c>
      <c r="AP199" s="5">
        <f t="shared" si="85"/>
        <v>0</v>
      </c>
      <c r="AQ199" s="5">
        <f t="shared" si="85"/>
        <v>0</v>
      </c>
      <c r="AR199" s="5">
        <f t="shared" si="85"/>
        <v>0</v>
      </c>
      <c r="AS199" s="5">
        <f t="shared" si="85"/>
        <v>0</v>
      </c>
      <c r="AT199" s="5">
        <f t="shared" si="85"/>
        <v>0</v>
      </c>
      <c r="AU199" s="5">
        <f t="shared" si="85"/>
        <v>0</v>
      </c>
      <c r="AV199" s="5">
        <f t="shared" si="85"/>
        <v>0</v>
      </c>
      <c r="AW199" s="5">
        <f t="shared" si="85"/>
        <v>0</v>
      </c>
      <c r="AX199" s="5">
        <f t="shared" si="85"/>
        <v>0</v>
      </c>
    </row>
    <row r="200" spans="1:50">
      <c r="A200" s="74"/>
      <c r="B200" s="75"/>
      <c r="C200" s="75"/>
      <c r="D200" s="75"/>
      <c r="E200" s="7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 spans="1:50">
      <c r="A201" s="11" t="s">
        <v>48</v>
      </c>
      <c r="B201" s="17" t="s">
        <v>73</v>
      </c>
      <c r="C201" s="72" t="s">
        <v>74</v>
      </c>
      <c r="D201" s="7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5">
        <f t="shared" ref="AX201:AX210" si="88">SUM(E201:AW201)</f>
        <v>0</v>
      </c>
    </row>
    <row r="202" spans="1:50">
      <c r="A202" s="11" t="s">
        <v>50</v>
      </c>
      <c r="B202" s="50"/>
      <c r="C202" s="24" t="s">
        <v>168</v>
      </c>
      <c r="D202" s="5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5">
        <f t="shared" si="88"/>
        <v>0</v>
      </c>
    </row>
    <row r="203" spans="1:50">
      <c r="A203" s="7"/>
      <c r="B203" s="50"/>
      <c r="C203" s="24" t="s">
        <v>169</v>
      </c>
      <c r="D203" s="5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5">
        <f t="shared" si="88"/>
        <v>0</v>
      </c>
    </row>
    <row r="204" spans="1:50">
      <c r="A204" s="7"/>
      <c r="B204" s="50"/>
      <c r="C204" s="24" t="s">
        <v>170</v>
      </c>
      <c r="D204" s="5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5">
        <f t="shared" si="88"/>
        <v>0</v>
      </c>
    </row>
    <row r="205" spans="1:50">
      <c r="A205" s="7"/>
      <c r="B205" s="50"/>
      <c r="C205" s="24" t="s">
        <v>171</v>
      </c>
      <c r="D205" s="5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5">
        <f t="shared" si="88"/>
        <v>0</v>
      </c>
    </row>
    <row r="206" spans="1:50">
      <c r="A206" s="7"/>
      <c r="B206" s="50"/>
      <c r="C206" s="24" t="s">
        <v>172</v>
      </c>
      <c r="D206" s="5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5">
        <f t="shared" si="88"/>
        <v>0</v>
      </c>
    </row>
    <row r="207" spans="1:50" ht="13.15" customHeight="1">
      <c r="A207" s="7"/>
      <c r="B207" s="50"/>
      <c r="C207" s="24" t="s">
        <v>173</v>
      </c>
      <c r="D207" s="5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5">
        <f t="shared" si="88"/>
        <v>0</v>
      </c>
    </row>
    <row r="208" spans="1:50">
      <c r="A208" s="7"/>
      <c r="B208" s="50"/>
      <c r="C208" s="24" t="s">
        <v>174</v>
      </c>
      <c r="D208" s="5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5">
        <f t="shared" si="88"/>
        <v>0</v>
      </c>
    </row>
    <row r="209" spans="1:50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5">
        <f t="shared" si="88"/>
        <v>0</v>
      </c>
    </row>
    <row r="210" spans="1:50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5">
        <f t="shared" si="88"/>
        <v>0</v>
      </c>
    </row>
    <row r="211" spans="1:50">
      <c r="A211" s="6" t="s">
        <v>26</v>
      </c>
      <c r="B211" s="66" t="s">
        <v>51</v>
      </c>
      <c r="C211" s="67"/>
      <c r="D211" s="68"/>
      <c r="E211" s="5">
        <f t="shared" ref="E211:AX211" si="89">SUM(E201:E210)</f>
        <v>0</v>
      </c>
      <c r="F211" s="5">
        <f t="shared" ref="F211:T211" si="90">SUM(F201:F210)</f>
        <v>0</v>
      </c>
      <c r="G211" s="5">
        <f t="shared" si="90"/>
        <v>0</v>
      </c>
      <c r="H211" s="5">
        <f t="shared" si="90"/>
        <v>0</v>
      </c>
      <c r="I211" s="5">
        <f t="shared" si="90"/>
        <v>0</v>
      </c>
      <c r="J211" s="5">
        <f t="shared" si="90"/>
        <v>0</v>
      </c>
      <c r="K211" s="5">
        <f t="shared" si="90"/>
        <v>0</v>
      </c>
      <c r="L211" s="5">
        <f t="shared" si="90"/>
        <v>0</v>
      </c>
      <c r="M211" s="5">
        <f t="shared" si="90"/>
        <v>0</v>
      </c>
      <c r="N211" s="5">
        <f t="shared" si="90"/>
        <v>0</v>
      </c>
      <c r="O211" s="5">
        <f t="shared" si="90"/>
        <v>0</v>
      </c>
      <c r="P211" s="5">
        <f t="shared" si="90"/>
        <v>0</v>
      </c>
      <c r="Q211" s="5">
        <f t="shared" si="90"/>
        <v>0</v>
      </c>
      <c r="R211" s="5">
        <f t="shared" si="90"/>
        <v>0</v>
      </c>
      <c r="S211" s="5">
        <f t="shared" si="90"/>
        <v>0</v>
      </c>
      <c r="T211" s="5">
        <f t="shared" si="90"/>
        <v>0</v>
      </c>
      <c r="U211" s="5">
        <f t="shared" si="89"/>
        <v>0</v>
      </c>
      <c r="V211" s="5">
        <f t="shared" si="89"/>
        <v>0</v>
      </c>
      <c r="W211" s="5">
        <f t="shared" ref="W211:AI211" si="91">SUM(W201:W210)</f>
        <v>0</v>
      </c>
      <c r="X211" s="5">
        <f t="shared" si="91"/>
        <v>0</v>
      </c>
      <c r="Y211" s="5">
        <f t="shared" si="91"/>
        <v>0</v>
      </c>
      <c r="Z211" s="5">
        <f t="shared" si="91"/>
        <v>0</v>
      </c>
      <c r="AA211" s="5">
        <f t="shared" si="91"/>
        <v>0</v>
      </c>
      <c r="AB211" s="5">
        <f t="shared" si="91"/>
        <v>0</v>
      </c>
      <c r="AC211" s="5">
        <f t="shared" si="91"/>
        <v>0</v>
      </c>
      <c r="AD211" s="5">
        <f t="shared" si="91"/>
        <v>0</v>
      </c>
      <c r="AE211" s="5">
        <f t="shared" si="91"/>
        <v>0</v>
      </c>
      <c r="AF211" s="5">
        <f t="shared" si="91"/>
        <v>0</v>
      </c>
      <c r="AG211" s="5">
        <f t="shared" si="91"/>
        <v>0</v>
      </c>
      <c r="AH211" s="5">
        <f t="shared" si="91"/>
        <v>0</v>
      </c>
      <c r="AI211" s="5">
        <f t="shared" si="91"/>
        <v>0</v>
      </c>
      <c r="AJ211" s="5">
        <f t="shared" si="89"/>
        <v>0</v>
      </c>
      <c r="AK211" s="5">
        <f t="shared" si="89"/>
        <v>0</v>
      </c>
      <c r="AL211" s="5">
        <f t="shared" si="89"/>
        <v>0</v>
      </c>
      <c r="AM211" s="5">
        <f t="shared" si="89"/>
        <v>0</v>
      </c>
      <c r="AN211" s="5">
        <f t="shared" si="89"/>
        <v>0</v>
      </c>
      <c r="AO211" s="5">
        <f t="shared" si="89"/>
        <v>0</v>
      </c>
      <c r="AP211" s="5">
        <f t="shared" si="89"/>
        <v>0</v>
      </c>
      <c r="AQ211" s="5">
        <f t="shared" si="89"/>
        <v>0</v>
      </c>
      <c r="AR211" s="5">
        <f t="shared" si="89"/>
        <v>0</v>
      </c>
      <c r="AS211" s="5">
        <f t="shared" si="89"/>
        <v>0</v>
      </c>
      <c r="AT211" s="5">
        <f t="shared" si="89"/>
        <v>0</v>
      </c>
      <c r="AU211" s="5">
        <f t="shared" si="89"/>
        <v>0</v>
      </c>
      <c r="AV211" s="5">
        <f t="shared" si="89"/>
        <v>0</v>
      </c>
      <c r="AW211" s="5">
        <f t="shared" si="89"/>
        <v>0</v>
      </c>
      <c r="AX211" s="5">
        <f t="shared" si="89"/>
        <v>0</v>
      </c>
    </row>
    <row r="212" spans="1:50">
      <c r="A212" s="74"/>
      <c r="B212" s="75"/>
      <c r="C212" s="75"/>
      <c r="D212" s="75"/>
      <c r="E212" s="7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 spans="1:50">
      <c r="A213" s="11" t="s">
        <v>48</v>
      </c>
      <c r="B213" s="17" t="s">
        <v>75</v>
      </c>
      <c r="C213" s="72" t="s">
        <v>76</v>
      </c>
      <c r="D213" s="7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5">
        <f t="shared" ref="AX213:AX222" si="92">SUM(E213:AW213)</f>
        <v>0</v>
      </c>
    </row>
    <row r="214" spans="1:50">
      <c r="A214" s="11" t="s">
        <v>50</v>
      </c>
      <c r="B214" s="50"/>
      <c r="C214" s="24" t="s">
        <v>175</v>
      </c>
      <c r="D214" s="5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5">
        <f t="shared" si="92"/>
        <v>0</v>
      </c>
    </row>
    <row r="215" spans="1:50">
      <c r="A215" s="7"/>
      <c r="B215" s="50"/>
      <c r="C215" s="24" t="s">
        <v>176</v>
      </c>
      <c r="D215" s="5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5">
        <f t="shared" si="92"/>
        <v>0</v>
      </c>
    </row>
    <row r="216" spans="1:50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5">
        <f t="shared" si="92"/>
        <v>0</v>
      </c>
    </row>
    <row r="217" spans="1:50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5">
        <f t="shared" si="92"/>
        <v>0</v>
      </c>
    </row>
    <row r="218" spans="1:50" ht="13.15" customHeight="1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5">
        <f t="shared" si="92"/>
        <v>0</v>
      </c>
    </row>
    <row r="219" spans="1:50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5">
        <f t="shared" si="92"/>
        <v>0</v>
      </c>
    </row>
    <row r="220" spans="1:50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5">
        <f t="shared" si="92"/>
        <v>0</v>
      </c>
    </row>
    <row r="221" spans="1:50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5">
        <f t="shared" si="92"/>
        <v>0</v>
      </c>
    </row>
    <row r="222" spans="1:50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5">
        <f t="shared" si="92"/>
        <v>0</v>
      </c>
    </row>
    <row r="223" spans="1:50">
      <c r="A223" s="6" t="s">
        <v>26</v>
      </c>
      <c r="B223" s="66" t="s">
        <v>51</v>
      </c>
      <c r="C223" s="67"/>
      <c r="D223" s="68"/>
      <c r="E223" s="5">
        <f t="shared" ref="E223:AX223" si="93">SUM(E213:E222)</f>
        <v>0</v>
      </c>
      <c r="F223" s="5">
        <f t="shared" ref="F223:T223" si="94">SUM(F213:F222)</f>
        <v>0</v>
      </c>
      <c r="G223" s="5">
        <f t="shared" si="94"/>
        <v>0</v>
      </c>
      <c r="H223" s="5">
        <f t="shared" si="94"/>
        <v>0</v>
      </c>
      <c r="I223" s="5">
        <f t="shared" si="94"/>
        <v>0</v>
      </c>
      <c r="J223" s="5">
        <f t="shared" si="94"/>
        <v>0</v>
      </c>
      <c r="K223" s="5">
        <f t="shared" si="94"/>
        <v>0</v>
      </c>
      <c r="L223" s="5">
        <f t="shared" si="94"/>
        <v>0</v>
      </c>
      <c r="M223" s="5">
        <f t="shared" si="94"/>
        <v>0</v>
      </c>
      <c r="N223" s="5">
        <f t="shared" si="94"/>
        <v>0</v>
      </c>
      <c r="O223" s="5">
        <f t="shared" si="94"/>
        <v>0</v>
      </c>
      <c r="P223" s="5">
        <f t="shared" si="94"/>
        <v>0</v>
      </c>
      <c r="Q223" s="5">
        <f t="shared" si="94"/>
        <v>0</v>
      </c>
      <c r="R223" s="5">
        <f t="shared" si="94"/>
        <v>0</v>
      </c>
      <c r="S223" s="5">
        <f t="shared" si="94"/>
        <v>0</v>
      </c>
      <c r="T223" s="5">
        <f t="shared" si="94"/>
        <v>0</v>
      </c>
      <c r="U223" s="5">
        <f t="shared" si="93"/>
        <v>0</v>
      </c>
      <c r="V223" s="5">
        <f t="shared" si="93"/>
        <v>0</v>
      </c>
      <c r="W223" s="5">
        <f t="shared" ref="W223:AI223" si="95">SUM(W213:W222)</f>
        <v>0</v>
      </c>
      <c r="X223" s="5">
        <f t="shared" si="95"/>
        <v>0</v>
      </c>
      <c r="Y223" s="5">
        <f t="shared" si="95"/>
        <v>0</v>
      </c>
      <c r="Z223" s="5">
        <f t="shared" si="95"/>
        <v>0</v>
      </c>
      <c r="AA223" s="5">
        <f t="shared" si="95"/>
        <v>0</v>
      </c>
      <c r="AB223" s="5">
        <f t="shared" si="95"/>
        <v>0</v>
      </c>
      <c r="AC223" s="5">
        <f t="shared" si="95"/>
        <v>0</v>
      </c>
      <c r="AD223" s="5">
        <f t="shared" si="95"/>
        <v>0</v>
      </c>
      <c r="AE223" s="5">
        <f t="shared" si="95"/>
        <v>0</v>
      </c>
      <c r="AF223" s="5">
        <f t="shared" si="95"/>
        <v>0</v>
      </c>
      <c r="AG223" s="5">
        <f t="shared" si="95"/>
        <v>0</v>
      </c>
      <c r="AH223" s="5">
        <f t="shared" si="95"/>
        <v>0</v>
      </c>
      <c r="AI223" s="5">
        <f t="shared" si="95"/>
        <v>0</v>
      </c>
      <c r="AJ223" s="5">
        <f t="shared" si="93"/>
        <v>0</v>
      </c>
      <c r="AK223" s="5">
        <f t="shared" si="93"/>
        <v>0</v>
      </c>
      <c r="AL223" s="5">
        <f t="shared" si="93"/>
        <v>0</v>
      </c>
      <c r="AM223" s="5">
        <f t="shared" si="93"/>
        <v>0</v>
      </c>
      <c r="AN223" s="5">
        <f t="shared" si="93"/>
        <v>0</v>
      </c>
      <c r="AO223" s="5">
        <f t="shared" si="93"/>
        <v>0</v>
      </c>
      <c r="AP223" s="5">
        <f t="shared" si="93"/>
        <v>0</v>
      </c>
      <c r="AQ223" s="5">
        <f t="shared" si="93"/>
        <v>0</v>
      </c>
      <c r="AR223" s="5">
        <f t="shared" si="93"/>
        <v>0</v>
      </c>
      <c r="AS223" s="5">
        <f t="shared" si="93"/>
        <v>0</v>
      </c>
      <c r="AT223" s="5">
        <f t="shared" si="93"/>
        <v>0</v>
      </c>
      <c r="AU223" s="5">
        <f t="shared" si="93"/>
        <v>0</v>
      </c>
      <c r="AV223" s="5">
        <f t="shared" si="93"/>
        <v>0</v>
      </c>
      <c r="AW223" s="5">
        <f t="shared" si="93"/>
        <v>0</v>
      </c>
      <c r="AX223" s="5">
        <f t="shared" si="93"/>
        <v>0</v>
      </c>
    </row>
    <row r="224" spans="1:50">
      <c r="A224" s="74"/>
      <c r="B224" s="75"/>
      <c r="C224" s="75"/>
      <c r="D224" s="75"/>
      <c r="E224" s="7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 spans="1:50">
      <c r="A225" s="11" t="s">
        <v>48</v>
      </c>
      <c r="B225" s="17" t="s">
        <v>77</v>
      </c>
      <c r="C225" s="72" t="s">
        <v>78</v>
      </c>
      <c r="D225" s="7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5">
        <f t="shared" ref="AX225:AX234" si="96">SUM(E225:AW225)</f>
        <v>0</v>
      </c>
    </row>
    <row r="226" spans="1:50">
      <c r="A226" s="11" t="s">
        <v>50</v>
      </c>
      <c r="B226" s="17"/>
      <c r="C226" s="24" t="s">
        <v>177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5">
        <f t="shared" si="96"/>
        <v>0</v>
      </c>
    </row>
    <row r="227" spans="1:50">
      <c r="A227" s="7"/>
      <c r="B227" s="63"/>
      <c r="C227" s="46"/>
      <c r="D227" s="4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5">
        <f t="shared" si="96"/>
        <v>0</v>
      </c>
    </row>
    <row r="228" spans="1:50">
      <c r="A228" s="7"/>
      <c r="B228" s="63"/>
      <c r="C228" s="46"/>
      <c r="D228" s="4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5">
        <f t="shared" si="96"/>
        <v>0</v>
      </c>
    </row>
    <row r="229" spans="1:50" ht="13.15" customHeight="1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5">
        <f t="shared" si="96"/>
        <v>0</v>
      </c>
    </row>
    <row r="230" spans="1:50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5">
        <f t="shared" si="96"/>
        <v>0</v>
      </c>
    </row>
    <row r="231" spans="1:50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5">
        <f t="shared" si="96"/>
        <v>0</v>
      </c>
    </row>
    <row r="232" spans="1:50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5">
        <f t="shared" si="96"/>
        <v>0</v>
      </c>
    </row>
    <row r="233" spans="1:50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5">
        <f t="shared" si="96"/>
        <v>0</v>
      </c>
    </row>
    <row r="234" spans="1:50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5">
        <f t="shared" si="96"/>
        <v>0</v>
      </c>
    </row>
    <row r="235" spans="1:50">
      <c r="A235" s="6" t="s">
        <v>26</v>
      </c>
      <c r="B235" s="66" t="s">
        <v>51</v>
      </c>
      <c r="C235" s="67"/>
      <c r="D235" s="68"/>
      <c r="E235" s="5">
        <f t="shared" ref="E235:AX235" si="97">SUM(E225:E234)</f>
        <v>0</v>
      </c>
      <c r="F235" s="5">
        <f t="shared" ref="F235:T235" si="98">SUM(F225:F234)</f>
        <v>0</v>
      </c>
      <c r="G235" s="5">
        <f t="shared" si="98"/>
        <v>0</v>
      </c>
      <c r="H235" s="5">
        <f t="shared" si="98"/>
        <v>0</v>
      </c>
      <c r="I235" s="5">
        <f t="shared" si="98"/>
        <v>0</v>
      </c>
      <c r="J235" s="5">
        <f t="shared" si="98"/>
        <v>0</v>
      </c>
      <c r="K235" s="5">
        <f t="shared" si="98"/>
        <v>0</v>
      </c>
      <c r="L235" s="5">
        <f t="shared" si="98"/>
        <v>0</v>
      </c>
      <c r="M235" s="5">
        <f t="shared" si="98"/>
        <v>0</v>
      </c>
      <c r="N235" s="5">
        <f t="shared" si="98"/>
        <v>0</v>
      </c>
      <c r="O235" s="5">
        <f t="shared" si="98"/>
        <v>0</v>
      </c>
      <c r="P235" s="5">
        <f t="shared" si="98"/>
        <v>0</v>
      </c>
      <c r="Q235" s="5">
        <f t="shared" si="98"/>
        <v>0</v>
      </c>
      <c r="R235" s="5">
        <f t="shared" si="98"/>
        <v>0</v>
      </c>
      <c r="S235" s="5">
        <f t="shared" si="98"/>
        <v>0</v>
      </c>
      <c r="T235" s="5">
        <f t="shared" si="98"/>
        <v>0</v>
      </c>
      <c r="U235" s="5">
        <f t="shared" si="97"/>
        <v>0</v>
      </c>
      <c r="V235" s="5">
        <f t="shared" si="97"/>
        <v>0</v>
      </c>
      <c r="W235" s="5">
        <f t="shared" ref="W235:AI235" si="99">SUM(W225:W234)</f>
        <v>0</v>
      </c>
      <c r="X235" s="5">
        <f t="shared" si="99"/>
        <v>0</v>
      </c>
      <c r="Y235" s="5">
        <f t="shared" si="99"/>
        <v>0</v>
      </c>
      <c r="Z235" s="5">
        <f t="shared" si="99"/>
        <v>0</v>
      </c>
      <c r="AA235" s="5">
        <f t="shared" si="99"/>
        <v>0</v>
      </c>
      <c r="AB235" s="5">
        <f t="shared" si="99"/>
        <v>0</v>
      </c>
      <c r="AC235" s="5">
        <f t="shared" si="99"/>
        <v>0</v>
      </c>
      <c r="AD235" s="5">
        <f t="shared" si="99"/>
        <v>0</v>
      </c>
      <c r="AE235" s="5">
        <f t="shared" si="99"/>
        <v>0</v>
      </c>
      <c r="AF235" s="5">
        <f t="shared" si="99"/>
        <v>0</v>
      </c>
      <c r="AG235" s="5">
        <f t="shared" si="99"/>
        <v>0</v>
      </c>
      <c r="AH235" s="5">
        <f t="shared" si="99"/>
        <v>0</v>
      </c>
      <c r="AI235" s="5">
        <f t="shared" si="99"/>
        <v>0</v>
      </c>
      <c r="AJ235" s="5">
        <f t="shared" si="97"/>
        <v>0</v>
      </c>
      <c r="AK235" s="5">
        <f t="shared" si="97"/>
        <v>0</v>
      </c>
      <c r="AL235" s="5">
        <f t="shared" si="97"/>
        <v>0</v>
      </c>
      <c r="AM235" s="5">
        <f t="shared" si="97"/>
        <v>0</v>
      </c>
      <c r="AN235" s="5">
        <f t="shared" si="97"/>
        <v>0</v>
      </c>
      <c r="AO235" s="5">
        <f t="shared" si="97"/>
        <v>0</v>
      </c>
      <c r="AP235" s="5">
        <f t="shared" si="97"/>
        <v>0</v>
      </c>
      <c r="AQ235" s="5">
        <f t="shared" si="97"/>
        <v>0</v>
      </c>
      <c r="AR235" s="5">
        <f t="shared" si="97"/>
        <v>0</v>
      </c>
      <c r="AS235" s="5">
        <f t="shared" si="97"/>
        <v>0</v>
      </c>
      <c r="AT235" s="5">
        <f t="shared" si="97"/>
        <v>0</v>
      </c>
      <c r="AU235" s="5">
        <f t="shared" si="97"/>
        <v>0</v>
      </c>
      <c r="AV235" s="5">
        <f t="shared" si="97"/>
        <v>0</v>
      </c>
      <c r="AW235" s="5">
        <f t="shared" si="97"/>
        <v>0</v>
      </c>
      <c r="AX235" s="5">
        <f t="shared" si="97"/>
        <v>0</v>
      </c>
    </row>
    <row r="236" spans="1:50">
      <c r="A236" s="74"/>
      <c r="B236" s="75"/>
      <c r="C236" s="75"/>
      <c r="D236" s="75"/>
      <c r="E236" s="7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 spans="1:50">
      <c r="A237" s="11" t="s">
        <v>48</v>
      </c>
      <c r="B237" s="17" t="s">
        <v>79</v>
      </c>
      <c r="C237" s="72" t="s">
        <v>80</v>
      </c>
      <c r="D237" s="7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5">
        <f t="shared" ref="AX237:AX246" si="100">SUM(E237:AW237)</f>
        <v>0</v>
      </c>
    </row>
    <row r="238" spans="1:50">
      <c r="A238" s="11" t="s">
        <v>50</v>
      </c>
      <c r="B238" s="50"/>
      <c r="C238" s="24" t="s">
        <v>178</v>
      </c>
      <c r="D238" s="5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5">
        <f t="shared" si="100"/>
        <v>0</v>
      </c>
    </row>
    <row r="239" spans="1:50">
      <c r="A239" s="7"/>
      <c r="B239" s="50"/>
      <c r="C239" s="24" t="s">
        <v>179</v>
      </c>
      <c r="D239" s="5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5">
        <f t="shared" si="100"/>
        <v>0</v>
      </c>
    </row>
    <row r="240" spans="1:50" ht="13.15" customHeight="1">
      <c r="A240" s="7"/>
      <c r="B240" s="50"/>
      <c r="C240" s="24" t="s">
        <v>180</v>
      </c>
      <c r="D240" s="5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5">
        <f t="shared" si="100"/>
        <v>0</v>
      </c>
    </row>
    <row r="241" spans="1:50">
      <c r="A241" s="7"/>
      <c r="B241" s="50"/>
      <c r="C241" s="24" t="s">
        <v>181</v>
      </c>
      <c r="D241" s="5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5">
        <f t="shared" si="100"/>
        <v>0</v>
      </c>
    </row>
    <row r="242" spans="1:50" ht="12.75" customHeight="1">
      <c r="A242" s="7"/>
      <c r="B242" s="50"/>
      <c r="C242" s="24" t="s">
        <v>182</v>
      </c>
      <c r="D242" s="5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5">
        <f t="shared" si="100"/>
        <v>0</v>
      </c>
    </row>
    <row r="243" spans="1:50">
      <c r="A243" s="7"/>
      <c r="B243" s="50"/>
      <c r="C243" s="24" t="s">
        <v>183</v>
      </c>
      <c r="D243" s="5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5">
        <f t="shared" si="100"/>
        <v>0</v>
      </c>
    </row>
    <row r="244" spans="1:50">
      <c r="A244" s="7"/>
      <c r="B244" s="50"/>
      <c r="C244" s="24" t="s">
        <v>184</v>
      </c>
      <c r="D244" s="5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5">
        <f t="shared" si="100"/>
        <v>0</v>
      </c>
    </row>
    <row r="245" spans="1:50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5">
        <f t="shared" si="100"/>
        <v>0</v>
      </c>
    </row>
    <row r="246" spans="1:50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5">
        <f t="shared" si="100"/>
        <v>0</v>
      </c>
    </row>
    <row r="247" spans="1:50" ht="12.75" customHeight="1">
      <c r="A247" s="6" t="s">
        <v>26</v>
      </c>
      <c r="B247" s="66" t="s">
        <v>51</v>
      </c>
      <c r="C247" s="67"/>
      <c r="D247" s="68"/>
      <c r="E247" s="5">
        <f t="shared" ref="E247:AX247" si="101">SUM(E237:E246)</f>
        <v>0</v>
      </c>
      <c r="F247" s="5">
        <f t="shared" ref="F247:T247" si="102">SUM(F237:F246)</f>
        <v>0</v>
      </c>
      <c r="G247" s="5">
        <f t="shared" si="102"/>
        <v>0</v>
      </c>
      <c r="H247" s="5">
        <f t="shared" si="102"/>
        <v>0</v>
      </c>
      <c r="I247" s="5">
        <f t="shared" si="102"/>
        <v>0</v>
      </c>
      <c r="J247" s="5">
        <f t="shared" si="102"/>
        <v>0</v>
      </c>
      <c r="K247" s="5">
        <f t="shared" si="102"/>
        <v>0</v>
      </c>
      <c r="L247" s="5">
        <f t="shared" si="102"/>
        <v>0</v>
      </c>
      <c r="M247" s="5">
        <f t="shared" si="102"/>
        <v>0</v>
      </c>
      <c r="N247" s="5">
        <f t="shared" si="102"/>
        <v>0</v>
      </c>
      <c r="O247" s="5">
        <f t="shared" si="102"/>
        <v>0</v>
      </c>
      <c r="P247" s="5">
        <f t="shared" si="102"/>
        <v>0</v>
      </c>
      <c r="Q247" s="5">
        <f t="shared" si="102"/>
        <v>0</v>
      </c>
      <c r="R247" s="5">
        <f t="shared" si="102"/>
        <v>0</v>
      </c>
      <c r="S247" s="5">
        <f t="shared" si="102"/>
        <v>0</v>
      </c>
      <c r="T247" s="5">
        <f t="shared" si="102"/>
        <v>0</v>
      </c>
      <c r="U247" s="5">
        <f t="shared" si="101"/>
        <v>0</v>
      </c>
      <c r="V247" s="5">
        <f t="shared" si="101"/>
        <v>0</v>
      </c>
      <c r="W247" s="5">
        <f t="shared" ref="W247:AI247" si="103">SUM(W237:W246)</f>
        <v>0</v>
      </c>
      <c r="X247" s="5">
        <f t="shared" si="103"/>
        <v>0</v>
      </c>
      <c r="Y247" s="5">
        <f t="shared" si="103"/>
        <v>0</v>
      </c>
      <c r="Z247" s="5">
        <f t="shared" si="103"/>
        <v>0</v>
      </c>
      <c r="AA247" s="5">
        <f t="shared" si="103"/>
        <v>0</v>
      </c>
      <c r="AB247" s="5">
        <f t="shared" si="103"/>
        <v>0</v>
      </c>
      <c r="AC247" s="5">
        <f t="shared" si="103"/>
        <v>0</v>
      </c>
      <c r="AD247" s="5">
        <f t="shared" si="103"/>
        <v>0</v>
      </c>
      <c r="AE247" s="5">
        <f t="shared" si="103"/>
        <v>0</v>
      </c>
      <c r="AF247" s="5">
        <f t="shared" si="103"/>
        <v>0</v>
      </c>
      <c r="AG247" s="5">
        <f t="shared" si="103"/>
        <v>0</v>
      </c>
      <c r="AH247" s="5">
        <f t="shared" si="103"/>
        <v>0</v>
      </c>
      <c r="AI247" s="5">
        <f t="shared" si="103"/>
        <v>0</v>
      </c>
      <c r="AJ247" s="5">
        <f t="shared" si="101"/>
        <v>0</v>
      </c>
      <c r="AK247" s="5">
        <f t="shared" si="101"/>
        <v>0</v>
      </c>
      <c r="AL247" s="5">
        <f t="shared" si="101"/>
        <v>0</v>
      </c>
      <c r="AM247" s="5">
        <f t="shared" si="101"/>
        <v>0</v>
      </c>
      <c r="AN247" s="5">
        <f t="shared" si="101"/>
        <v>0</v>
      </c>
      <c r="AO247" s="5">
        <f t="shared" si="101"/>
        <v>0</v>
      </c>
      <c r="AP247" s="5">
        <f t="shared" si="101"/>
        <v>0</v>
      </c>
      <c r="AQ247" s="5">
        <f t="shared" si="101"/>
        <v>0</v>
      </c>
      <c r="AR247" s="5">
        <f t="shared" si="101"/>
        <v>0</v>
      </c>
      <c r="AS247" s="5">
        <f t="shared" si="101"/>
        <v>0</v>
      </c>
      <c r="AT247" s="5">
        <f t="shared" si="101"/>
        <v>0</v>
      </c>
      <c r="AU247" s="5">
        <f t="shared" si="101"/>
        <v>0</v>
      </c>
      <c r="AV247" s="5">
        <f t="shared" si="101"/>
        <v>0</v>
      </c>
      <c r="AW247" s="5">
        <f t="shared" si="101"/>
        <v>0</v>
      </c>
      <c r="AX247" s="5">
        <f t="shared" si="101"/>
        <v>0</v>
      </c>
    </row>
    <row r="248" spans="1:50">
      <c r="A248" s="74"/>
      <c r="B248" s="75"/>
      <c r="C248" s="75"/>
      <c r="D248" s="75"/>
      <c r="E248" s="76"/>
    </row>
    <row r="249" spans="1:50">
      <c r="A249" s="11" t="s">
        <v>48</v>
      </c>
      <c r="B249" s="17" t="s">
        <v>81</v>
      </c>
      <c r="C249" s="72" t="s">
        <v>82</v>
      </c>
      <c r="D249" s="7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5">
        <f t="shared" ref="AX249:AX258" si="104">SUM(E249:AW249)</f>
        <v>0</v>
      </c>
    </row>
    <row r="250" spans="1:50">
      <c r="A250" s="11" t="s">
        <v>50</v>
      </c>
      <c r="B250" s="17"/>
      <c r="C250" s="24" t="s">
        <v>185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5">
        <f t="shared" si="104"/>
        <v>0</v>
      </c>
    </row>
    <row r="251" spans="1:50">
      <c r="A251" s="7"/>
      <c r="B251" s="17"/>
      <c r="C251" s="24" t="s">
        <v>186</v>
      </c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5">
        <f t="shared" si="104"/>
        <v>0</v>
      </c>
    </row>
    <row r="252" spans="1:50">
      <c r="A252" s="7"/>
      <c r="B252" s="50"/>
      <c r="C252" s="24" t="s">
        <v>187</v>
      </c>
      <c r="D252" s="5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5">
        <f t="shared" si="104"/>
        <v>0</v>
      </c>
    </row>
    <row r="253" spans="1:50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5">
        <f t="shared" si="104"/>
        <v>0</v>
      </c>
    </row>
    <row r="254" spans="1:50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5">
        <f t="shared" si="104"/>
        <v>0</v>
      </c>
    </row>
    <row r="255" spans="1:50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5">
        <f t="shared" si="104"/>
        <v>0</v>
      </c>
    </row>
    <row r="256" spans="1:50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5">
        <f t="shared" si="104"/>
        <v>0</v>
      </c>
    </row>
    <row r="257" spans="1:50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5">
        <f t="shared" si="104"/>
        <v>0</v>
      </c>
    </row>
    <row r="258" spans="1:50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5">
        <f t="shared" si="104"/>
        <v>0</v>
      </c>
    </row>
    <row r="259" spans="1:50">
      <c r="A259" s="6" t="s">
        <v>26</v>
      </c>
      <c r="B259" s="66" t="s">
        <v>51</v>
      </c>
      <c r="C259" s="67"/>
      <c r="D259" s="68"/>
      <c r="E259" s="5">
        <f t="shared" ref="E259:AX259" si="105">SUM(E249:E258)</f>
        <v>0</v>
      </c>
      <c r="F259" s="5">
        <f t="shared" ref="F259:T259" si="106">SUM(F249:F258)</f>
        <v>0</v>
      </c>
      <c r="G259" s="5">
        <f t="shared" si="106"/>
        <v>0</v>
      </c>
      <c r="H259" s="5">
        <f t="shared" si="106"/>
        <v>0</v>
      </c>
      <c r="I259" s="5">
        <f t="shared" si="106"/>
        <v>0</v>
      </c>
      <c r="J259" s="5">
        <f t="shared" si="106"/>
        <v>0</v>
      </c>
      <c r="K259" s="5">
        <f t="shared" si="106"/>
        <v>0</v>
      </c>
      <c r="L259" s="5">
        <f t="shared" si="106"/>
        <v>0</v>
      </c>
      <c r="M259" s="5">
        <f t="shared" si="106"/>
        <v>0</v>
      </c>
      <c r="N259" s="5">
        <f t="shared" si="106"/>
        <v>0</v>
      </c>
      <c r="O259" s="5">
        <f t="shared" si="106"/>
        <v>0</v>
      </c>
      <c r="P259" s="5">
        <f t="shared" si="106"/>
        <v>0</v>
      </c>
      <c r="Q259" s="5">
        <f t="shared" si="106"/>
        <v>0</v>
      </c>
      <c r="R259" s="5">
        <f t="shared" si="106"/>
        <v>0</v>
      </c>
      <c r="S259" s="5">
        <f t="shared" si="106"/>
        <v>0</v>
      </c>
      <c r="T259" s="5">
        <f t="shared" si="106"/>
        <v>0</v>
      </c>
      <c r="U259" s="5">
        <f t="shared" si="105"/>
        <v>0</v>
      </c>
      <c r="V259" s="5">
        <f t="shared" si="105"/>
        <v>0</v>
      </c>
      <c r="W259" s="5">
        <f t="shared" ref="W259:AI259" si="107">SUM(W249:W258)</f>
        <v>0</v>
      </c>
      <c r="X259" s="5">
        <f t="shared" si="107"/>
        <v>0</v>
      </c>
      <c r="Y259" s="5">
        <f t="shared" si="107"/>
        <v>0</v>
      </c>
      <c r="Z259" s="5">
        <f t="shared" si="107"/>
        <v>0</v>
      </c>
      <c r="AA259" s="5">
        <f t="shared" si="107"/>
        <v>0</v>
      </c>
      <c r="AB259" s="5">
        <f t="shared" si="107"/>
        <v>0</v>
      </c>
      <c r="AC259" s="5">
        <f t="shared" si="107"/>
        <v>0</v>
      </c>
      <c r="AD259" s="5">
        <f t="shared" si="107"/>
        <v>0</v>
      </c>
      <c r="AE259" s="5">
        <f t="shared" si="107"/>
        <v>0</v>
      </c>
      <c r="AF259" s="5">
        <f t="shared" si="107"/>
        <v>0</v>
      </c>
      <c r="AG259" s="5">
        <f t="shared" si="107"/>
        <v>0</v>
      </c>
      <c r="AH259" s="5">
        <f t="shared" si="107"/>
        <v>0</v>
      </c>
      <c r="AI259" s="5">
        <f t="shared" si="107"/>
        <v>0</v>
      </c>
      <c r="AJ259" s="5">
        <f t="shared" si="105"/>
        <v>0</v>
      </c>
      <c r="AK259" s="5">
        <f t="shared" si="105"/>
        <v>0</v>
      </c>
      <c r="AL259" s="5">
        <f t="shared" si="105"/>
        <v>0</v>
      </c>
      <c r="AM259" s="5">
        <f t="shared" si="105"/>
        <v>0</v>
      </c>
      <c r="AN259" s="5">
        <f t="shared" si="105"/>
        <v>0</v>
      </c>
      <c r="AO259" s="5">
        <f t="shared" si="105"/>
        <v>0</v>
      </c>
      <c r="AP259" s="5">
        <f t="shared" si="105"/>
        <v>0</v>
      </c>
      <c r="AQ259" s="5">
        <f t="shared" si="105"/>
        <v>0</v>
      </c>
      <c r="AR259" s="5">
        <f t="shared" si="105"/>
        <v>0</v>
      </c>
      <c r="AS259" s="5">
        <f t="shared" si="105"/>
        <v>0</v>
      </c>
      <c r="AT259" s="5">
        <f t="shared" si="105"/>
        <v>0</v>
      </c>
      <c r="AU259" s="5">
        <f t="shared" si="105"/>
        <v>0</v>
      </c>
      <c r="AV259" s="5">
        <f t="shared" si="105"/>
        <v>0</v>
      </c>
      <c r="AW259" s="5">
        <f t="shared" si="105"/>
        <v>0</v>
      </c>
      <c r="AX259" s="5">
        <f t="shared" si="105"/>
        <v>0</v>
      </c>
    </row>
    <row r="261" spans="1:50">
      <c r="A261" s="16" t="s">
        <v>83</v>
      </c>
      <c r="B261" s="69" t="s">
        <v>84</v>
      </c>
      <c r="C261" s="70"/>
      <c r="D261" s="7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1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15"/>
      <c r="AQ261" s="5"/>
      <c r="AR261" s="5"/>
      <c r="AS261" s="5"/>
      <c r="AT261" s="5"/>
      <c r="AU261" s="5"/>
      <c r="AV261" s="5"/>
      <c r="AW261" s="5"/>
      <c r="AX261" s="5"/>
    </row>
    <row r="262" spans="1:50">
      <c r="A262" s="16"/>
      <c r="B262" s="19" t="s">
        <v>85</v>
      </c>
      <c r="C262" s="64" t="s">
        <v>86</v>
      </c>
      <c r="D262" s="65"/>
      <c r="E262" s="6">
        <f>E55+E67+E79+E91+E103+E115+E127+E139+E151+E163+E175+E187+E199+E211+E223+E235+E247+E259</f>
        <v>0</v>
      </c>
      <c r="F262" s="6">
        <f t="shared" ref="F262:T262" si="108">F55+F67+F79+F91+F103+F115+F127+F139+F151+F163+F175+F187+F199+F211+F223+F235+F247+F259</f>
        <v>0</v>
      </c>
      <c r="G262" s="6">
        <f t="shared" si="108"/>
        <v>0</v>
      </c>
      <c r="H262" s="6">
        <f t="shared" si="108"/>
        <v>0</v>
      </c>
      <c r="I262" s="6">
        <f t="shared" si="108"/>
        <v>0</v>
      </c>
      <c r="J262" s="6">
        <f t="shared" si="108"/>
        <v>0</v>
      </c>
      <c r="K262" s="6">
        <f t="shared" si="108"/>
        <v>0</v>
      </c>
      <c r="L262" s="6">
        <f t="shared" si="108"/>
        <v>0</v>
      </c>
      <c r="M262" s="6">
        <f t="shared" si="108"/>
        <v>0</v>
      </c>
      <c r="N262" s="6">
        <f t="shared" si="108"/>
        <v>0</v>
      </c>
      <c r="O262" s="6">
        <f t="shared" si="108"/>
        <v>0</v>
      </c>
      <c r="P262" s="6">
        <f t="shared" si="108"/>
        <v>0</v>
      </c>
      <c r="Q262" s="6">
        <f t="shared" si="108"/>
        <v>0</v>
      </c>
      <c r="R262" s="6">
        <f t="shared" si="108"/>
        <v>0</v>
      </c>
      <c r="S262" s="6">
        <f t="shared" si="108"/>
        <v>0</v>
      </c>
      <c r="T262" s="6">
        <f t="shared" si="108"/>
        <v>0</v>
      </c>
      <c r="U262" s="6">
        <f t="shared" ref="U262:AP262" si="109">U55+U67+U79+U91+U103+U115+U127+U139+U151+U163+U175+U187+U199+U211+U223+U235+U247+U259</f>
        <v>0</v>
      </c>
      <c r="V262" s="6">
        <f t="shared" si="109"/>
        <v>0</v>
      </c>
      <c r="W262" s="6">
        <f t="shared" ref="W262:AI262" si="110">W55+W67+W79+W91+W103+W115+W127+W139+W151+W163+W175+W187+W199+W211+W223+W235+W247+W259</f>
        <v>0</v>
      </c>
      <c r="X262" s="6">
        <f t="shared" si="110"/>
        <v>0</v>
      </c>
      <c r="Y262" s="6">
        <f t="shared" si="110"/>
        <v>0</v>
      </c>
      <c r="Z262" s="6">
        <f t="shared" si="110"/>
        <v>0</v>
      </c>
      <c r="AA262" s="6">
        <f t="shared" si="110"/>
        <v>0</v>
      </c>
      <c r="AB262" s="6">
        <f t="shared" si="110"/>
        <v>0</v>
      </c>
      <c r="AC262" s="6">
        <f t="shared" si="110"/>
        <v>0</v>
      </c>
      <c r="AD262" s="6">
        <f t="shared" si="110"/>
        <v>0</v>
      </c>
      <c r="AE262" s="6">
        <f t="shared" si="110"/>
        <v>0</v>
      </c>
      <c r="AF262" s="6">
        <f t="shared" si="110"/>
        <v>0</v>
      </c>
      <c r="AG262" s="6">
        <f t="shared" si="110"/>
        <v>0</v>
      </c>
      <c r="AH262" s="6">
        <f t="shared" si="110"/>
        <v>0</v>
      </c>
      <c r="AI262" s="6">
        <f t="shared" si="110"/>
        <v>0</v>
      </c>
      <c r="AJ262" s="6">
        <f t="shared" si="109"/>
        <v>0</v>
      </c>
      <c r="AK262" s="6">
        <f t="shared" si="109"/>
        <v>0</v>
      </c>
      <c r="AL262" s="6">
        <f t="shared" si="109"/>
        <v>0</v>
      </c>
      <c r="AM262" s="6">
        <f t="shared" si="109"/>
        <v>0</v>
      </c>
      <c r="AN262" s="6">
        <f t="shared" si="109"/>
        <v>0</v>
      </c>
      <c r="AO262" s="6">
        <f t="shared" si="109"/>
        <v>0</v>
      </c>
      <c r="AP262" s="6">
        <f t="shared" si="109"/>
        <v>0</v>
      </c>
      <c r="AQ262" s="6">
        <f t="shared" ref="AQ262:AW262" si="111">AQ55+AQ67+AQ79+AQ91+AQ103+AQ115+AQ127+AQ139+AQ151+AQ163+AQ175+AQ187+AQ199+AQ211+AQ223+AQ235+AQ247+AQ259</f>
        <v>0</v>
      </c>
      <c r="AR262" s="6">
        <f t="shared" si="111"/>
        <v>0</v>
      </c>
      <c r="AS262" s="6">
        <f t="shared" si="111"/>
        <v>0</v>
      </c>
      <c r="AT262" s="6">
        <f t="shared" si="111"/>
        <v>0</v>
      </c>
      <c r="AU262" s="6">
        <f t="shared" si="111"/>
        <v>0</v>
      </c>
      <c r="AV262" s="6">
        <f t="shared" si="111"/>
        <v>0</v>
      </c>
      <c r="AW262" s="6">
        <f t="shared" si="111"/>
        <v>0</v>
      </c>
      <c r="AX262" s="5">
        <f>SUM(E262:AW262)</f>
        <v>0</v>
      </c>
    </row>
    <row r="263" spans="1:50">
      <c r="A263" s="13"/>
      <c r="B263" s="19" t="s">
        <v>87</v>
      </c>
      <c r="C263" s="64" t="s">
        <v>88</v>
      </c>
      <c r="D263" s="6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5">
        <f>SUM(E263:AW263)</f>
        <v>0</v>
      </c>
    </row>
    <row r="264" spans="1:50">
      <c r="A264" s="14"/>
      <c r="B264" s="19" t="s">
        <v>89</v>
      </c>
      <c r="C264" s="64" t="s">
        <v>90</v>
      </c>
      <c r="D264" s="65"/>
      <c r="E264" s="5">
        <f>SUM(E262:E263)</f>
        <v>0</v>
      </c>
      <c r="F264" s="5">
        <f t="shared" ref="F264:T264" si="112">SUM(F262:F263)</f>
        <v>0</v>
      </c>
      <c r="G264" s="5">
        <f t="shared" si="112"/>
        <v>0</v>
      </c>
      <c r="H264" s="5">
        <f t="shared" si="112"/>
        <v>0</v>
      </c>
      <c r="I264" s="5">
        <f t="shared" si="112"/>
        <v>0</v>
      </c>
      <c r="J264" s="5">
        <f t="shared" si="112"/>
        <v>0</v>
      </c>
      <c r="K264" s="5">
        <f t="shared" si="112"/>
        <v>0</v>
      </c>
      <c r="L264" s="5">
        <f t="shared" si="112"/>
        <v>0</v>
      </c>
      <c r="M264" s="5">
        <f t="shared" si="112"/>
        <v>0</v>
      </c>
      <c r="N264" s="5">
        <f t="shared" si="112"/>
        <v>0</v>
      </c>
      <c r="O264" s="5">
        <f t="shared" si="112"/>
        <v>0</v>
      </c>
      <c r="P264" s="5">
        <f t="shared" si="112"/>
        <v>0</v>
      </c>
      <c r="Q264" s="5">
        <f t="shared" si="112"/>
        <v>0</v>
      </c>
      <c r="R264" s="5">
        <f t="shared" si="112"/>
        <v>0</v>
      </c>
      <c r="S264" s="5">
        <f t="shared" si="112"/>
        <v>0</v>
      </c>
      <c r="T264" s="5">
        <f t="shared" si="112"/>
        <v>0</v>
      </c>
      <c r="U264" s="5">
        <f t="shared" ref="U264:AP264" si="113">SUM(U262:U263)</f>
        <v>0</v>
      </c>
      <c r="V264" s="5">
        <f t="shared" si="113"/>
        <v>0</v>
      </c>
      <c r="W264" s="5">
        <f t="shared" ref="W264:AI264" si="114">SUM(W262:W263)</f>
        <v>0</v>
      </c>
      <c r="X264" s="5">
        <f t="shared" si="114"/>
        <v>0</v>
      </c>
      <c r="Y264" s="5">
        <f t="shared" si="114"/>
        <v>0</v>
      </c>
      <c r="Z264" s="5">
        <f t="shared" si="114"/>
        <v>0</v>
      </c>
      <c r="AA264" s="5">
        <f t="shared" si="114"/>
        <v>0</v>
      </c>
      <c r="AB264" s="5">
        <f t="shared" si="114"/>
        <v>0</v>
      </c>
      <c r="AC264" s="5">
        <f t="shared" si="114"/>
        <v>0</v>
      </c>
      <c r="AD264" s="5">
        <f t="shared" si="114"/>
        <v>0</v>
      </c>
      <c r="AE264" s="5">
        <f t="shared" si="114"/>
        <v>0</v>
      </c>
      <c r="AF264" s="5">
        <f t="shared" si="114"/>
        <v>0</v>
      </c>
      <c r="AG264" s="5">
        <f t="shared" si="114"/>
        <v>0</v>
      </c>
      <c r="AH264" s="5">
        <f t="shared" si="114"/>
        <v>0</v>
      </c>
      <c r="AI264" s="5">
        <f t="shared" si="114"/>
        <v>0</v>
      </c>
      <c r="AJ264" s="5">
        <f t="shared" si="113"/>
        <v>0</v>
      </c>
      <c r="AK264" s="5">
        <f t="shared" si="113"/>
        <v>0</v>
      </c>
      <c r="AL264" s="5">
        <f t="shared" si="113"/>
        <v>0</v>
      </c>
      <c r="AM264" s="5">
        <f t="shared" si="113"/>
        <v>0</v>
      </c>
      <c r="AN264" s="5">
        <f t="shared" si="113"/>
        <v>0</v>
      </c>
      <c r="AO264" s="5">
        <f t="shared" si="113"/>
        <v>0</v>
      </c>
      <c r="AP264" s="5">
        <f t="shared" si="113"/>
        <v>0</v>
      </c>
      <c r="AQ264" s="5">
        <f t="shared" ref="AQ264:AW264" si="115">SUM(AQ262:AQ263)</f>
        <v>0</v>
      </c>
      <c r="AR264" s="5">
        <f t="shared" si="115"/>
        <v>0</v>
      </c>
      <c r="AS264" s="5">
        <f t="shared" si="115"/>
        <v>0</v>
      </c>
      <c r="AT264" s="5">
        <f t="shared" si="115"/>
        <v>0</v>
      </c>
      <c r="AU264" s="5">
        <f t="shared" si="115"/>
        <v>0</v>
      </c>
      <c r="AV264" s="5">
        <f t="shared" si="115"/>
        <v>0</v>
      </c>
      <c r="AW264" s="5">
        <f t="shared" si="115"/>
        <v>0</v>
      </c>
      <c r="AX264" s="5">
        <f>SUM(E264:AW264)</f>
        <v>0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W12"/>
    <mergeCell ref="AX12:AX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W37"/>
    <mergeCell ref="B38:D38"/>
    <mergeCell ref="A42:D42"/>
    <mergeCell ref="E42:AW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AW15 E19:AW20 E22:AW23 E25:AW26 E33:AW33 E35:AW35 E39:AW40 E45:AW54 E57:AW66 E69:AW78 E81:AW90 E93:AW102 E105:AW114 E117:AW126 E129:AW138 E141:AW150 E153:AW162 E165:AW174 E177:AW186 E189:AW198 E201:AW210 E213:AW222 E225:AW234 E237:AW246 E249:AW258 E262:AW263">
    <cfRule type="containsBlanks" dxfId="118" priority="21">
      <formula>LEN(TRIM(E14))=0</formula>
    </cfRule>
  </conditionalFormatting>
  <conditionalFormatting sqref="E30:AW30">
    <cfRule type="expression" dxfId="117" priority="26">
      <formula>E30&lt;&gt;E47</formula>
    </cfRule>
    <cfRule type="expression" dxfId="116" priority="27">
      <formula>E30&lt;&gt;E34</formula>
    </cfRule>
  </conditionalFormatting>
  <conditionalFormatting sqref="E34:AW34">
    <cfRule type="expression" dxfId="115" priority="22">
      <formula>E30&lt;&gt;E34</formula>
    </cfRule>
    <cfRule type="expression" dxfId="114" priority="23">
      <formula>E30=E34</formula>
    </cfRule>
    <cfRule type="expression" dxfId="113" priority="28">
      <formula>E34&lt;&gt;E30</formula>
    </cfRule>
    <cfRule type="expression" dxfId="112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00B050"/>
  </sheetPr>
  <dimension ref="A2:AC264"/>
  <sheetViews>
    <sheetView topLeftCell="A13" zoomScale="55" zoomScaleNormal="55" workbookViewId="0">
      <pane ySplit="1" topLeftCell="A14" activePane="bottomLeft" state="frozen"/>
      <selection activeCell="A13" sqref="A13"/>
      <selection pane="bottomLeft" activeCell="U271" sqref="U271"/>
    </sheetView>
  </sheetViews>
  <sheetFormatPr defaultRowHeight="13"/>
  <cols>
    <col min="3" max="3" width="67.09765625" bestFit="1" customWidth="1"/>
    <col min="4" max="4" width="5.8984375" bestFit="1" customWidth="1"/>
    <col min="29" max="29" width="13.296875" customWidth="1"/>
  </cols>
  <sheetData>
    <row r="2" spans="1:29">
      <c r="C2" s="43" t="s">
        <v>98</v>
      </c>
      <c r="D2" s="43" t="s">
        <v>104</v>
      </c>
    </row>
    <row r="3" spans="1:29">
      <c r="C3" s="43" t="s">
        <v>99</v>
      </c>
      <c r="D3" s="43" t="s">
        <v>100</v>
      </c>
    </row>
    <row r="4" spans="1:29">
      <c r="C4" s="43" t="s">
        <v>101</v>
      </c>
      <c r="D4" s="43" t="s">
        <v>102</v>
      </c>
    </row>
    <row r="5" spans="1:29">
      <c r="C5" s="43"/>
      <c r="D5" s="43"/>
    </row>
    <row r="6" spans="1:29">
      <c r="C6" s="43"/>
      <c r="D6" s="43"/>
    </row>
    <row r="7" spans="1:29">
      <c r="C7" s="43"/>
      <c r="D7" s="43"/>
    </row>
    <row r="8" spans="1:29">
      <c r="C8" s="43"/>
      <c r="D8" s="43"/>
    </row>
    <row r="9" spans="1:29">
      <c r="C9" s="43" t="s">
        <v>103</v>
      </c>
      <c r="D9" s="43" t="s">
        <v>210</v>
      </c>
    </row>
    <row r="11" spans="1:29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>
      <c r="A12" s="5" t="s">
        <v>0</v>
      </c>
      <c r="B12" s="69" t="s">
        <v>1</v>
      </c>
      <c r="C12" s="82"/>
      <c r="D12" s="73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4" t="s">
        <v>97</v>
      </c>
    </row>
    <row r="13" spans="1:29">
      <c r="A13" s="6" t="s">
        <v>2</v>
      </c>
      <c r="B13" s="90" t="s">
        <v>3</v>
      </c>
      <c r="C13" s="8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5"/>
    </row>
    <row r="14" spans="1:29">
      <c r="A14" s="7"/>
      <c r="B14" s="93" t="s">
        <v>22</v>
      </c>
      <c r="C14" s="81"/>
      <c r="D14" s="6" t="s">
        <v>23</v>
      </c>
      <c r="E14" s="6">
        <v>136</v>
      </c>
      <c r="F14" s="6">
        <v>147</v>
      </c>
      <c r="G14" s="6">
        <v>138</v>
      </c>
      <c r="H14" s="6">
        <v>129</v>
      </c>
      <c r="I14" s="6">
        <v>138</v>
      </c>
      <c r="J14" s="6">
        <v>136</v>
      </c>
      <c r="K14" s="6">
        <v>136</v>
      </c>
      <c r="L14" s="6">
        <v>134</v>
      </c>
      <c r="M14" s="6">
        <v>130</v>
      </c>
      <c r="N14" s="6">
        <v>135</v>
      </c>
      <c r="O14" s="6">
        <v>134</v>
      </c>
      <c r="P14" s="6">
        <v>131</v>
      </c>
      <c r="Q14" s="6">
        <v>147</v>
      </c>
      <c r="R14" s="6">
        <v>140</v>
      </c>
      <c r="S14" s="6">
        <v>144</v>
      </c>
      <c r="T14" s="6">
        <v>140</v>
      </c>
      <c r="U14" s="6">
        <v>150</v>
      </c>
      <c r="V14" s="6">
        <v>143</v>
      </c>
      <c r="W14" s="6">
        <v>162</v>
      </c>
      <c r="X14" s="6">
        <v>149</v>
      </c>
      <c r="Y14" s="6">
        <v>145</v>
      </c>
      <c r="Z14" s="6">
        <v>141</v>
      </c>
      <c r="AA14" s="6">
        <v>143</v>
      </c>
      <c r="AB14" s="6">
        <v>118</v>
      </c>
      <c r="AC14" s="5">
        <f>SUM(E14:AB14)</f>
        <v>3346</v>
      </c>
    </row>
    <row r="15" spans="1:29">
      <c r="A15" s="7"/>
      <c r="B15" s="94"/>
      <c r="C15" s="87"/>
      <c r="D15" s="6" t="s">
        <v>24</v>
      </c>
      <c r="E15" s="6">
        <v>146</v>
      </c>
      <c r="F15" s="6">
        <v>143</v>
      </c>
      <c r="G15" s="6">
        <v>130</v>
      </c>
      <c r="H15" s="6">
        <v>130</v>
      </c>
      <c r="I15" s="6">
        <v>136</v>
      </c>
      <c r="J15" s="6">
        <v>126</v>
      </c>
      <c r="K15" s="6">
        <v>125</v>
      </c>
      <c r="L15" s="6">
        <v>135</v>
      </c>
      <c r="M15" s="6">
        <v>130</v>
      </c>
      <c r="N15" s="6">
        <v>137</v>
      </c>
      <c r="O15" s="6">
        <v>137</v>
      </c>
      <c r="P15" s="6">
        <v>132</v>
      </c>
      <c r="Q15" s="6">
        <v>146</v>
      </c>
      <c r="R15" s="6">
        <v>150</v>
      </c>
      <c r="S15" s="6">
        <v>143</v>
      </c>
      <c r="T15" s="6">
        <v>148</v>
      </c>
      <c r="U15" s="6">
        <v>142</v>
      </c>
      <c r="V15" s="6">
        <v>150</v>
      </c>
      <c r="W15" s="6">
        <v>134</v>
      </c>
      <c r="X15" s="6">
        <v>127</v>
      </c>
      <c r="Y15" s="6">
        <v>143</v>
      </c>
      <c r="Z15" s="6">
        <v>134</v>
      </c>
      <c r="AA15" s="6">
        <v>131</v>
      </c>
      <c r="AB15" s="6">
        <v>104</v>
      </c>
      <c r="AC15" s="5">
        <f>SUM(E15:AB15)</f>
        <v>3259</v>
      </c>
    </row>
    <row r="16" spans="1:29">
      <c r="A16" s="8"/>
      <c r="B16" s="92"/>
      <c r="C16" s="88"/>
      <c r="D16" s="5" t="s">
        <v>25</v>
      </c>
      <c r="E16" s="5">
        <f t="shared" ref="E16:AB16" si="0">SUM(E14:E15)</f>
        <v>282</v>
      </c>
      <c r="F16" s="5">
        <f t="shared" si="0"/>
        <v>290</v>
      </c>
      <c r="G16" s="5">
        <f t="shared" si="0"/>
        <v>268</v>
      </c>
      <c r="H16" s="5">
        <f t="shared" si="0"/>
        <v>259</v>
      </c>
      <c r="I16" s="5">
        <f t="shared" si="0"/>
        <v>274</v>
      </c>
      <c r="J16" s="5">
        <f t="shared" si="0"/>
        <v>262</v>
      </c>
      <c r="K16" s="5">
        <f t="shared" si="0"/>
        <v>261</v>
      </c>
      <c r="L16" s="5">
        <f t="shared" ref="L16:R16" si="1">SUM(L14:L15)</f>
        <v>269</v>
      </c>
      <c r="M16" s="5">
        <f t="shared" si="1"/>
        <v>260</v>
      </c>
      <c r="N16" s="5">
        <f t="shared" si="1"/>
        <v>272</v>
      </c>
      <c r="O16" s="5">
        <f t="shared" si="1"/>
        <v>271</v>
      </c>
      <c r="P16" s="5">
        <f t="shared" si="1"/>
        <v>263</v>
      </c>
      <c r="Q16" s="5">
        <f t="shared" ref="Q16" si="2">SUM(Q14:Q15)</f>
        <v>293</v>
      </c>
      <c r="R16" s="5">
        <f t="shared" si="1"/>
        <v>290</v>
      </c>
      <c r="S16" s="5">
        <f t="shared" ref="S16:X16" si="3">SUM(S14:S15)</f>
        <v>287</v>
      </c>
      <c r="T16" s="5">
        <f t="shared" si="3"/>
        <v>288</v>
      </c>
      <c r="U16" s="5">
        <f t="shared" si="3"/>
        <v>292</v>
      </c>
      <c r="V16" s="5">
        <f t="shared" si="3"/>
        <v>293</v>
      </c>
      <c r="W16" s="5">
        <f t="shared" si="3"/>
        <v>296</v>
      </c>
      <c r="X16" s="5">
        <f t="shared" si="3"/>
        <v>276</v>
      </c>
      <c r="Y16" s="5">
        <f t="shared" si="0"/>
        <v>288</v>
      </c>
      <c r="Z16" s="5">
        <f t="shared" si="0"/>
        <v>275</v>
      </c>
      <c r="AA16" s="5">
        <f t="shared" si="0"/>
        <v>274</v>
      </c>
      <c r="AB16" s="5">
        <f t="shared" si="0"/>
        <v>222</v>
      </c>
      <c r="AC16" s="5">
        <f>SUM(E16:AB16)</f>
        <v>6605</v>
      </c>
    </row>
    <row r="17" spans="1:29">
      <c r="A17" s="74"/>
      <c r="B17" s="82"/>
      <c r="C17" s="82"/>
      <c r="D17" s="7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28"/>
    </row>
    <row r="18" spans="1:29">
      <c r="A18" s="11" t="s">
        <v>26</v>
      </c>
      <c r="B18" s="90" t="s">
        <v>27</v>
      </c>
      <c r="C18" s="82"/>
      <c r="D18" s="7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28"/>
    </row>
    <row r="19" spans="1:29">
      <c r="A19" s="11"/>
      <c r="B19" s="95" t="s">
        <v>28</v>
      </c>
      <c r="C19" s="96" t="s">
        <v>29</v>
      </c>
      <c r="D19" s="6" t="s">
        <v>23</v>
      </c>
      <c r="E19" s="6">
        <v>106</v>
      </c>
      <c r="F19" s="6">
        <v>114</v>
      </c>
      <c r="G19" s="6">
        <v>103</v>
      </c>
      <c r="H19" s="6">
        <v>86</v>
      </c>
      <c r="I19" s="6">
        <v>102</v>
      </c>
      <c r="J19" s="6">
        <v>107</v>
      </c>
      <c r="K19" s="6">
        <v>96</v>
      </c>
      <c r="L19" s="6">
        <v>96</v>
      </c>
      <c r="M19" s="6">
        <v>95</v>
      </c>
      <c r="N19" s="6">
        <v>95</v>
      </c>
      <c r="O19" s="6">
        <v>104</v>
      </c>
      <c r="P19" s="6">
        <v>116</v>
      </c>
      <c r="Q19" s="6">
        <v>106</v>
      </c>
      <c r="R19" s="6">
        <v>105</v>
      </c>
      <c r="S19" s="6">
        <v>117</v>
      </c>
      <c r="T19" s="6">
        <v>105</v>
      </c>
      <c r="U19" s="6">
        <v>108</v>
      </c>
      <c r="V19" s="6">
        <v>107</v>
      </c>
      <c r="W19" s="6">
        <v>120</v>
      </c>
      <c r="X19" s="6">
        <v>112</v>
      </c>
      <c r="Y19" s="6">
        <v>106</v>
      </c>
      <c r="Z19" s="6">
        <v>105</v>
      </c>
      <c r="AA19" s="6">
        <v>117</v>
      </c>
      <c r="AB19" s="6">
        <v>76</v>
      </c>
      <c r="AC19" s="5">
        <f t="shared" ref="AC19:AC30" si="4">SUM(E19:AB19)</f>
        <v>2504</v>
      </c>
    </row>
    <row r="20" spans="1:29">
      <c r="A20" s="12"/>
      <c r="B20" s="87"/>
      <c r="C20" s="97"/>
      <c r="D20" s="6" t="s">
        <v>24</v>
      </c>
      <c r="E20" s="6">
        <v>103</v>
      </c>
      <c r="F20" s="6">
        <v>108</v>
      </c>
      <c r="G20" s="6">
        <v>98</v>
      </c>
      <c r="H20" s="6">
        <v>115</v>
      </c>
      <c r="I20" s="6">
        <v>95</v>
      </c>
      <c r="J20" s="6">
        <v>95</v>
      </c>
      <c r="K20" s="6">
        <v>97</v>
      </c>
      <c r="L20" s="6">
        <v>110</v>
      </c>
      <c r="M20" s="6">
        <v>95</v>
      </c>
      <c r="N20" s="6">
        <v>108</v>
      </c>
      <c r="O20" s="6">
        <v>100</v>
      </c>
      <c r="P20" s="6">
        <v>112</v>
      </c>
      <c r="Q20" s="6">
        <v>118</v>
      </c>
      <c r="R20" s="6">
        <v>112</v>
      </c>
      <c r="S20" s="6">
        <v>114</v>
      </c>
      <c r="T20" s="6">
        <v>108</v>
      </c>
      <c r="U20" s="6">
        <v>117</v>
      </c>
      <c r="V20" s="6">
        <v>129</v>
      </c>
      <c r="W20" s="6">
        <v>106</v>
      </c>
      <c r="X20" s="6">
        <v>93</v>
      </c>
      <c r="Y20" s="6">
        <v>108</v>
      </c>
      <c r="Z20" s="6">
        <v>106</v>
      </c>
      <c r="AA20" s="6">
        <v>106</v>
      </c>
      <c r="AB20" s="6">
        <v>69</v>
      </c>
      <c r="AC20" s="5">
        <f t="shared" si="4"/>
        <v>2522</v>
      </c>
    </row>
    <row r="21" spans="1:29">
      <c r="A21" s="13"/>
      <c r="B21" s="88"/>
      <c r="C21" s="98"/>
      <c r="D21" s="5" t="s">
        <v>25</v>
      </c>
      <c r="E21" s="5">
        <f t="shared" ref="E21:AB21" si="5">SUM(E19:E20)</f>
        <v>209</v>
      </c>
      <c r="F21" s="5">
        <f t="shared" si="5"/>
        <v>222</v>
      </c>
      <c r="G21" s="5">
        <f t="shared" si="5"/>
        <v>201</v>
      </c>
      <c r="H21" s="5">
        <f t="shared" si="5"/>
        <v>201</v>
      </c>
      <c r="I21" s="5">
        <f t="shared" si="5"/>
        <v>197</v>
      </c>
      <c r="J21" s="5">
        <f t="shared" si="5"/>
        <v>202</v>
      </c>
      <c r="K21" s="5">
        <f t="shared" si="5"/>
        <v>193</v>
      </c>
      <c r="L21" s="5">
        <f t="shared" ref="L21:R21" si="6">SUM(L19:L20)</f>
        <v>206</v>
      </c>
      <c r="M21" s="5">
        <f t="shared" si="6"/>
        <v>190</v>
      </c>
      <c r="N21" s="5">
        <f t="shared" si="6"/>
        <v>203</v>
      </c>
      <c r="O21" s="5">
        <f t="shared" si="6"/>
        <v>204</v>
      </c>
      <c r="P21" s="5">
        <f t="shared" si="6"/>
        <v>228</v>
      </c>
      <c r="Q21" s="5">
        <f t="shared" ref="Q21" si="7">SUM(Q19:Q20)</f>
        <v>224</v>
      </c>
      <c r="R21" s="5">
        <f t="shared" si="6"/>
        <v>217</v>
      </c>
      <c r="S21" s="5">
        <f t="shared" ref="S21:X21" si="8">SUM(S19:S20)</f>
        <v>231</v>
      </c>
      <c r="T21" s="5">
        <f t="shared" si="8"/>
        <v>213</v>
      </c>
      <c r="U21" s="5">
        <f t="shared" si="8"/>
        <v>225</v>
      </c>
      <c r="V21" s="5">
        <f t="shared" si="8"/>
        <v>236</v>
      </c>
      <c r="W21" s="5">
        <f t="shared" si="8"/>
        <v>226</v>
      </c>
      <c r="X21" s="5">
        <f t="shared" si="8"/>
        <v>205</v>
      </c>
      <c r="Y21" s="5">
        <f t="shared" si="5"/>
        <v>214</v>
      </c>
      <c r="Z21" s="5">
        <f t="shared" si="5"/>
        <v>211</v>
      </c>
      <c r="AA21" s="5">
        <f t="shared" si="5"/>
        <v>223</v>
      </c>
      <c r="AB21" s="5">
        <f t="shared" si="5"/>
        <v>145</v>
      </c>
      <c r="AC21" s="5">
        <f t="shared" si="4"/>
        <v>5026</v>
      </c>
    </row>
    <row r="22" spans="1:29">
      <c r="A22" s="12"/>
      <c r="B22" s="95" t="s">
        <v>30</v>
      </c>
      <c r="C22" s="96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6"/>
      <c r="AC22" s="5">
        <f t="shared" si="4"/>
        <v>3</v>
      </c>
    </row>
    <row r="23" spans="1:29">
      <c r="A23" s="12"/>
      <c r="B23" s="87"/>
      <c r="C23" s="97"/>
      <c r="D23" s="6" t="s">
        <v>24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6"/>
      <c r="AC23" s="5">
        <f t="shared" si="4"/>
        <v>1</v>
      </c>
    </row>
    <row r="24" spans="1:29">
      <c r="A24" s="13"/>
      <c r="B24" s="88"/>
      <c r="C24" s="98"/>
      <c r="D24" s="5" t="s">
        <v>25</v>
      </c>
      <c r="E24" s="5">
        <f t="shared" ref="E24:AB24" si="9">SUM(E22:E23)</f>
        <v>1</v>
      </c>
      <c r="F24" s="5">
        <f t="shared" si="9"/>
        <v>0</v>
      </c>
      <c r="G24" s="5">
        <f t="shared" si="9"/>
        <v>0</v>
      </c>
      <c r="H24" s="5">
        <f t="shared" si="9"/>
        <v>2</v>
      </c>
      <c r="I24" s="5">
        <f t="shared" si="9"/>
        <v>0</v>
      </c>
      <c r="J24" s="5">
        <f t="shared" si="9"/>
        <v>0</v>
      </c>
      <c r="K24" s="5">
        <f t="shared" si="9"/>
        <v>0</v>
      </c>
      <c r="L24" s="5">
        <f t="shared" ref="L24:R24" si="10">SUM(L22:L23)</f>
        <v>0</v>
      </c>
      <c r="M24" s="5">
        <f t="shared" si="10"/>
        <v>0</v>
      </c>
      <c r="N24" s="5">
        <f t="shared" si="10"/>
        <v>1</v>
      </c>
      <c r="O24" s="5">
        <f t="shared" si="10"/>
        <v>0</v>
      </c>
      <c r="P24" s="5">
        <f t="shared" si="10"/>
        <v>0</v>
      </c>
      <c r="Q24" s="5">
        <f t="shared" ref="Q24" si="11">SUM(Q22:Q23)</f>
        <v>0</v>
      </c>
      <c r="R24" s="5">
        <f t="shared" si="10"/>
        <v>0</v>
      </c>
      <c r="S24" s="5">
        <f t="shared" ref="S24:X24" si="12">SUM(S22:S23)</f>
        <v>0</v>
      </c>
      <c r="T24" s="5">
        <f t="shared" si="12"/>
        <v>0</v>
      </c>
      <c r="U24" s="5">
        <f t="shared" si="12"/>
        <v>0</v>
      </c>
      <c r="V24" s="5">
        <f t="shared" si="12"/>
        <v>0</v>
      </c>
      <c r="W24" s="5">
        <f t="shared" si="12"/>
        <v>0</v>
      </c>
      <c r="X24" s="5">
        <f t="shared" si="12"/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5">
        <f t="shared" si="4"/>
        <v>4</v>
      </c>
    </row>
    <row r="25" spans="1:29">
      <c r="A25" s="12"/>
      <c r="B25" s="95" t="s">
        <v>32</v>
      </c>
      <c r="C25" s="96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6">
        <v>1</v>
      </c>
      <c r="K25" s="6">
        <v>2</v>
      </c>
      <c r="L25" s="6">
        <v>3</v>
      </c>
      <c r="M25" s="6">
        <v>0</v>
      </c>
      <c r="N25" s="6">
        <v>0</v>
      </c>
      <c r="O25" s="6">
        <v>2</v>
      </c>
      <c r="P25" s="6">
        <v>1</v>
      </c>
      <c r="Q25" s="6">
        <v>4</v>
      </c>
      <c r="R25" s="6">
        <v>1</v>
      </c>
      <c r="S25" s="6">
        <v>0</v>
      </c>
      <c r="T25" s="6">
        <v>6</v>
      </c>
      <c r="U25" s="6">
        <v>2</v>
      </c>
      <c r="V25" s="6">
        <v>0</v>
      </c>
      <c r="W25" s="6">
        <v>1</v>
      </c>
      <c r="X25" s="6">
        <v>1</v>
      </c>
      <c r="Y25" s="6">
        <v>0</v>
      </c>
      <c r="Z25" s="6">
        <v>0</v>
      </c>
      <c r="AA25" s="6">
        <v>2</v>
      </c>
      <c r="AB25" s="6">
        <v>0</v>
      </c>
      <c r="AC25" s="5">
        <f t="shared" si="4"/>
        <v>28</v>
      </c>
    </row>
    <row r="26" spans="1:29">
      <c r="A26" s="12"/>
      <c r="B26" s="87"/>
      <c r="C26" s="97"/>
      <c r="D26" s="6" t="s">
        <v>24</v>
      </c>
      <c r="E26" s="6">
        <v>4</v>
      </c>
      <c r="F26" s="6">
        <v>1</v>
      </c>
      <c r="G26" s="6">
        <v>0</v>
      </c>
      <c r="H26" s="6">
        <v>0</v>
      </c>
      <c r="I26" s="6">
        <v>0</v>
      </c>
      <c r="J26" s="6">
        <v>4</v>
      </c>
      <c r="K26" s="6">
        <v>3</v>
      </c>
      <c r="L26" s="6">
        <v>1</v>
      </c>
      <c r="M26" s="6">
        <v>0</v>
      </c>
      <c r="N26" s="6">
        <v>2</v>
      </c>
      <c r="O26" s="6">
        <v>3</v>
      </c>
      <c r="P26" s="6">
        <v>1</v>
      </c>
      <c r="Q26" s="6">
        <v>4</v>
      </c>
      <c r="R26" s="6">
        <v>4</v>
      </c>
      <c r="S26" s="6">
        <v>0</v>
      </c>
      <c r="T26" s="6">
        <v>5</v>
      </c>
      <c r="U26" s="6">
        <v>3</v>
      </c>
      <c r="V26" s="6">
        <v>4</v>
      </c>
      <c r="W26" s="6">
        <v>0</v>
      </c>
      <c r="X26" s="6">
        <v>0</v>
      </c>
      <c r="Y26" s="6">
        <v>1</v>
      </c>
      <c r="Z26" s="6">
        <v>2</v>
      </c>
      <c r="AA26" s="6">
        <v>0</v>
      </c>
      <c r="AB26" s="6">
        <v>1</v>
      </c>
      <c r="AC26" s="5">
        <f t="shared" si="4"/>
        <v>43</v>
      </c>
    </row>
    <row r="27" spans="1:29">
      <c r="A27" s="13"/>
      <c r="B27" s="88"/>
      <c r="C27" s="98"/>
      <c r="D27" s="5" t="s">
        <v>25</v>
      </c>
      <c r="E27" s="5">
        <f t="shared" ref="E27:AB27" si="13">SUM(E25:E26)</f>
        <v>5</v>
      </c>
      <c r="F27" s="5">
        <f t="shared" si="13"/>
        <v>1</v>
      </c>
      <c r="G27" s="5">
        <f t="shared" si="13"/>
        <v>0</v>
      </c>
      <c r="H27" s="5">
        <f t="shared" si="13"/>
        <v>1</v>
      </c>
      <c r="I27" s="5">
        <f t="shared" si="13"/>
        <v>0</v>
      </c>
      <c r="J27" s="5">
        <f t="shared" si="13"/>
        <v>5</v>
      </c>
      <c r="K27" s="5">
        <f t="shared" si="13"/>
        <v>5</v>
      </c>
      <c r="L27" s="5">
        <f t="shared" ref="L27:R27" si="14">SUM(L25:L26)</f>
        <v>4</v>
      </c>
      <c r="M27" s="5">
        <f t="shared" si="14"/>
        <v>0</v>
      </c>
      <c r="N27" s="5">
        <f t="shared" si="14"/>
        <v>2</v>
      </c>
      <c r="O27" s="5">
        <f t="shared" si="14"/>
        <v>5</v>
      </c>
      <c r="P27" s="5">
        <f t="shared" si="14"/>
        <v>2</v>
      </c>
      <c r="Q27" s="5">
        <f t="shared" ref="Q27" si="15">SUM(Q25:Q26)</f>
        <v>8</v>
      </c>
      <c r="R27" s="5">
        <f t="shared" si="14"/>
        <v>5</v>
      </c>
      <c r="S27" s="5">
        <f t="shared" ref="S27:X27" si="16">SUM(S25:S26)</f>
        <v>0</v>
      </c>
      <c r="T27" s="5">
        <f t="shared" si="16"/>
        <v>11</v>
      </c>
      <c r="U27" s="5">
        <f t="shared" si="16"/>
        <v>5</v>
      </c>
      <c r="V27" s="5">
        <f t="shared" si="16"/>
        <v>4</v>
      </c>
      <c r="W27" s="5">
        <f t="shared" si="16"/>
        <v>1</v>
      </c>
      <c r="X27" s="5">
        <f t="shared" si="16"/>
        <v>1</v>
      </c>
      <c r="Y27" s="5">
        <f t="shared" si="13"/>
        <v>1</v>
      </c>
      <c r="Z27" s="5">
        <f t="shared" si="13"/>
        <v>2</v>
      </c>
      <c r="AA27" s="5">
        <f t="shared" si="13"/>
        <v>2</v>
      </c>
      <c r="AB27" s="5">
        <f t="shared" si="13"/>
        <v>1</v>
      </c>
      <c r="AC27" s="5">
        <f t="shared" si="4"/>
        <v>71</v>
      </c>
    </row>
    <row r="28" spans="1:29">
      <c r="A28" s="13"/>
      <c r="B28" s="99" t="s">
        <v>34</v>
      </c>
      <c r="C28" s="100" t="s">
        <v>35</v>
      </c>
      <c r="D28" s="5" t="s">
        <v>23</v>
      </c>
      <c r="E28" s="5">
        <f>SUM(E19,E22,E25)</f>
        <v>108</v>
      </c>
      <c r="F28" s="5">
        <f t="shared" ref="F28:R28" si="17">SUM(F19,F22,F25)</f>
        <v>114</v>
      </c>
      <c r="G28" s="5">
        <f t="shared" si="17"/>
        <v>103</v>
      </c>
      <c r="H28" s="5">
        <f t="shared" si="17"/>
        <v>88</v>
      </c>
      <c r="I28" s="5">
        <f t="shared" si="17"/>
        <v>102</v>
      </c>
      <c r="J28" s="5">
        <f t="shared" si="17"/>
        <v>108</v>
      </c>
      <c r="K28" s="5">
        <f t="shared" si="17"/>
        <v>98</v>
      </c>
      <c r="L28" s="5">
        <f t="shared" si="17"/>
        <v>99</v>
      </c>
      <c r="M28" s="5">
        <f t="shared" si="17"/>
        <v>95</v>
      </c>
      <c r="N28" s="5">
        <f t="shared" si="17"/>
        <v>96</v>
      </c>
      <c r="O28" s="5">
        <f t="shared" si="17"/>
        <v>106</v>
      </c>
      <c r="P28" s="5">
        <f t="shared" si="17"/>
        <v>117</v>
      </c>
      <c r="Q28" s="5">
        <f t="shared" ref="Q28" si="18">SUM(Q19,Q22,Q25)</f>
        <v>110</v>
      </c>
      <c r="R28" s="5">
        <f t="shared" si="17"/>
        <v>106</v>
      </c>
      <c r="S28" s="5">
        <f t="shared" ref="S28:X28" si="19">SUM(S19,S22,S25)</f>
        <v>117</v>
      </c>
      <c r="T28" s="5">
        <f t="shared" si="19"/>
        <v>111</v>
      </c>
      <c r="U28" s="5">
        <f t="shared" si="19"/>
        <v>110</v>
      </c>
      <c r="V28" s="5">
        <f t="shared" si="19"/>
        <v>107</v>
      </c>
      <c r="W28" s="5">
        <f t="shared" si="19"/>
        <v>121</v>
      </c>
      <c r="X28" s="5">
        <f t="shared" si="19"/>
        <v>113</v>
      </c>
      <c r="Y28" s="5">
        <f t="shared" ref="Y28:AB29" si="20">SUM(Y19,Y22,Y25)</f>
        <v>106</v>
      </c>
      <c r="Z28" s="5">
        <f t="shared" si="20"/>
        <v>105</v>
      </c>
      <c r="AA28" s="5">
        <f t="shared" si="20"/>
        <v>119</v>
      </c>
      <c r="AB28" s="5">
        <f t="shared" si="20"/>
        <v>76</v>
      </c>
      <c r="AC28" s="5">
        <f t="shared" si="4"/>
        <v>2535</v>
      </c>
    </row>
    <row r="29" spans="1:29">
      <c r="A29" s="13"/>
      <c r="B29" s="87"/>
      <c r="C29" s="97"/>
      <c r="D29" s="5" t="s">
        <v>24</v>
      </c>
      <c r="E29" s="5">
        <f>SUM(E20,E23,E26)</f>
        <v>107</v>
      </c>
      <c r="F29" s="5">
        <f t="shared" ref="F29:R29" si="21">SUM(F20,F23,F26)</f>
        <v>109</v>
      </c>
      <c r="G29" s="5">
        <f t="shared" si="21"/>
        <v>98</v>
      </c>
      <c r="H29" s="5">
        <f t="shared" si="21"/>
        <v>116</v>
      </c>
      <c r="I29" s="5">
        <f t="shared" si="21"/>
        <v>95</v>
      </c>
      <c r="J29" s="5">
        <f t="shared" si="21"/>
        <v>99</v>
      </c>
      <c r="K29" s="5">
        <f t="shared" si="21"/>
        <v>100</v>
      </c>
      <c r="L29" s="5">
        <f t="shared" si="21"/>
        <v>111</v>
      </c>
      <c r="M29" s="5">
        <f t="shared" si="21"/>
        <v>95</v>
      </c>
      <c r="N29" s="5">
        <f t="shared" si="21"/>
        <v>110</v>
      </c>
      <c r="O29" s="5">
        <f t="shared" si="21"/>
        <v>103</v>
      </c>
      <c r="P29" s="5">
        <f t="shared" si="21"/>
        <v>113</v>
      </c>
      <c r="Q29" s="5">
        <f t="shared" ref="Q29" si="22">SUM(Q20,Q23,Q26)</f>
        <v>122</v>
      </c>
      <c r="R29" s="5">
        <f t="shared" si="21"/>
        <v>116</v>
      </c>
      <c r="S29" s="5">
        <f t="shared" ref="S29:X29" si="23">SUM(S20,S23,S26)</f>
        <v>114</v>
      </c>
      <c r="T29" s="5">
        <f t="shared" si="23"/>
        <v>113</v>
      </c>
      <c r="U29" s="5">
        <f t="shared" si="23"/>
        <v>120</v>
      </c>
      <c r="V29" s="5">
        <f t="shared" si="23"/>
        <v>133</v>
      </c>
      <c r="W29" s="5">
        <f t="shared" si="23"/>
        <v>106</v>
      </c>
      <c r="X29" s="5">
        <f t="shared" si="23"/>
        <v>93</v>
      </c>
      <c r="Y29" s="5">
        <f t="shared" si="20"/>
        <v>109</v>
      </c>
      <c r="Z29" s="5">
        <f t="shared" si="20"/>
        <v>108</v>
      </c>
      <c r="AA29" s="5">
        <f t="shared" si="20"/>
        <v>106</v>
      </c>
      <c r="AB29" s="5">
        <f t="shared" si="20"/>
        <v>70</v>
      </c>
      <c r="AC29" s="5">
        <f t="shared" si="4"/>
        <v>2566</v>
      </c>
    </row>
    <row r="30" spans="1:29">
      <c r="A30" s="13"/>
      <c r="B30" s="88"/>
      <c r="C30" s="98"/>
      <c r="D30" s="5" t="s">
        <v>25</v>
      </c>
      <c r="E30" s="5">
        <f t="shared" ref="E30:AB30" si="24">SUM(E28:E29)</f>
        <v>215</v>
      </c>
      <c r="F30" s="5">
        <f t="shared" si="24"/>
        <v>223</v>
      </c>
      <c r="G30" s="5">
        <f t="shared" si="24"/>
        <v>201</v>
      </c>
      <c r="H30" s="5">
        <f t="shared" si="24"/>
        <v>204</v>
      </c>
      <c r="I30" s="5">
        <f t="shared" si="24"/>
        <v>197</v>
      </c>
      <c r="J30" s="5">
        <f t="shared" si="24"/>
        <v>207</v>
      </c>
      <c r="K30" s="5">
        <f t="shared" si="24"/>
        <v>198</v>
      </c>
      <c r="L30" s="5">
        <f t="shared" ref="L30:R30" si="25">SUM(L28:L29)</f>
        <v>210</v>
      </c>
      <c r="M30" s="5">
        <f t="shared" si="25"/>
        <v>190</v>
      </c>
      <c r="N30" s="5">
        <f t="shared" si="25"/>
        <v>206</v>
      </c>
      <c r="O30" s="5">
        <f t="shared" si="25"/>
        <v>209</v>
      </c>
      <c r="P30" s="5">
        <f t="shared" si="25"/>
        <v>230</v>
      </c>
      <c r="Q30" s="5">
        <f t="shared" ref="Q30" si="26">SUM(Q28:Q29)</f>
        <v>232</v>
      </c>
      <c r="R30" s="5">
        <f t="shared" si="25"/>
        <v>222</v>
      </c>
      <c r="S30" s="5">
        <f t="shared" ref="S30:X30" si="27">SUM(S28:S29)</f>
        <v>231</v>
      </c>
      <c r="T30" s="5">
        <f t="shared" si="27"/>
        <v>224</v>
      </c>
      <c r="U30" s="5">
        <f t="shared" si="27"/>
        <v>230</v>
      </c>
      <c r="V30" s="5">
        <f t="shared" si="27"/>
        <v>240</v>
      </c>
      <c r="W30" s="5">
        <f t="shared" si="27"/>
        <v>227</v>
      </c>
      <c r="X30" s="5">
        <f t="shared" si="27"/>
        <v>206</v>
      </c>
      <c r="Y30" s="5">
        <f t="shared" si="24"/>
        <v>215</v>
      </c>
      <c r="Z30" s="5">
        <f t="shared" si="24"/>
        <v>213</v>
      </c>
      <c r="AA30" s="5">
        <f t="shared" si="24"/>
        <v>225</v>
      </c>
      <c r="AB30" s="5">
        <f t="shared" si="24"/>
        <v>146</v>
      </c>
      <c r="AC30" s="5">
        <f t="shared" si="4"/>
        <v>5101</v>
      </c>
    </row>
    <row r="31" spans="1:29">
      <c r="A31" s="74"/>
      <c r="B31" s="82"/>
      <c r="C31" s="82"/>
      <c r="D31" s="7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28"/>
    </row>
    <row r="32" spans="1:29">
      <c r="A32" s="14" t="s">
        <v>36</v>
      </c>
      <c r="B32" s="69" t="s">
        <v>37</v>
      </c>
      <c r="C32" s="82"/>
      <c r="D32" s="7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8"/>
    </row>
    <row r="33" spans="1:29">
      <c r="A33" s="6">
        <v>1</v>
      </c>
      <c r="B33" s="90" t="s">
        <v>38</v>
      </c>
      <c r="C33" s="82"/>
      <c r="D33" s="73"/>
      <c r="E33" s="6">
        <v>289</v>
      </c>
      <c r="F33" s="6">
        <v>298</v>
      </c>
      <c r="G33" s="6">
        <v>274</v>
      </c>
      <c r="H33" s="6">
        <v>265</v>
      </c>
      <c r="I33" s="6">
        <v>280</v>
      </c>
      <c r="J33" s="6">
        <v>268</v>
      </c>
      <c r="K33" s="6">
        <v>263</v>
      </c>
      <c r="L33" s="6">
        <v>275</v>
      </c>
      <c r="M33" s="6">
        <v>266</v>
      </c>
      <c r="N33" s="6">
        <v>278</v>
      </c>
      <c r="O33" s="6">
        <v>277</v>
      </c>
      <c r="P33" s="6">
        <v>269</v>
      </c>
      <c r="Q33" s="6">
        <v>299</v>
      </c>
      <c r="R33" s="6">
        <v>296</v>
      </c>
      <c r="S33" s="6">
        <v>293</v>
      </c>
      <c r="T33" s="6">
        <v>294</v>
      </c>
      <c r="U33" s="6">
        <v>298</v>
      </c>
      <c r="V33" s="6">
        <v>299</v>
      </c>
      <c r="W33" s="6">
        <v>302</v>
      </c>
      <c r="X33" s="6">
        <v>282</v>
      </c>
      <c r="Y33" s="6">
        <v>294</v>
      </c>
      <c r="Z33" s="6">
        <v>281</v>
      </c>
      <c r="AA33" s="6">
        <v>280</v>
      </c>
      <c r="AB33" s="6">
        <v>227</v>
      </c>
      <c r="AC33" s="5">
        <f>SUM(E33:AB33)</f>
        <v>6747</v>
      </c>
    </row>
    <row r="34" spans="1:29">
      <c r="A34" s="6">
        <v>2</v>
      </c>
      <c r="B34" s="90" t="s">
        <v>39</v>
      </c>
      <c r="C34" s="82"/>
      <c r="D34" s="73"/>
      <c r="E34" s="5">
        <v>215</v>
      </c>
      <c r="F34" s="5">
        <v>223</v>
      </c>
      <c r="G34" s="5">
        <v>201</v>
      </c>
      <c r="H34" s="5">
        <v>204</v>
      </c>
      <c r="I34" s="5">
        <v>197</v>
      </c>
      <c r="J34" s="5">
        <v>207</v>
      </c>
      <c r="K34" s="5">
        <v>198</v>
      </c>
      <c r="L34" s="5">
        <v>210</v>
      </c>
      <c r="M34" s="5">
        <v>190</v>
      </c>
      <c r="N34" s="5">
        <v>206</v>
      </c>
      <c r="O34" s="5">
        <v>209</v>
      </c>
      <c r="P34" s="5">
        <v>230</v>
      </c>
      <c r="Q34" s="5">
        <v>232</v>
      </c>
      <c r="R34" s="5">
        <v>222</v>
      </c>
      <c r="S34" s="5">
        <v>231</v>
      </c>
      <c r="T34" s="5">
        <v>224</v>
      </c>
      <c r="U34" s="5">
        <v>230</v>
      </c>
      <c r="V34" s="5">
        <v>240</v>
      </c>
      <c r="W34" s="5">
        <v>227</v>
      </c>
      <c r="X34" s="5">
        <v>206</v>
      </c>
      <c r="Y34" s="5">
        <v>215</v>
      </c>
      <c r="Z34" s="5">
        <v>213</v>
      </c>
      <c r="AA34" s="5">
        <v>225</v>
      </c>
      <c r="AB34" s="5">
        <v>146</v>
      </c>
      <c r="AC34" s="5">
        <f>SUM(E34:AB34)</f>
        <v>5101</v>
      </c>
    </row>
    <row r="35" spans="1:29">
      <c r="A35" s="6">
        <v>3</v>
      </c>
      <c r="B35" s="90" t="s">
        <v>40</v>
      </c>
      <c r="C35" s="82"/>
      <c r="D35" s="73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1</v>
      </c>
      <c r="S35" s="6">
        <v>0</v>
      </c>
      <c r="T35" s="6">
        <v>7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5">
        <f>SUM(E35:AB35)</f>
        <v>10</v>
      </c>
    </row>
    <row r="36" spans="1:29">
      <c r="A36" s="6">
        <v>4</v>
      </c>
      <c r="B36" s="90" t="s">
        <v>41</v>
      </c>
      <c r="C36" s="82"/>
      <c r="D36" s="73"/>
      <c r="E36" s="5">
        <f t="shared" ref="E36:AB36" si="28">E33-(E34+E35)</f>
        <v>74</v>
      </c>
      <c r="F36" s="5">
        <f t="shared" si="28"/>
        <v>75</v>
      </c>
      <c r="G36" s="5">
        <f t="shared" si="28"/>
        <v>73</v>
      </c>
      <c r="H36" s="5">
        <f t="shared" si="28"/>
        <v>61</v>
      </c>
      <c r="I36" s="5">
        <f t="shared" si="28"/>
        <v>83</v>
      </c>
      <c r="J36" s="5">
        <f t="shared" si="28"/>
        <v>61</v>
      </c>
      <c r="K36" s="5">
        <f t="shared" si="28"/>
        <v>65</v>
      </c>
      <c r="L36" s="5">
        <f t="shared" ref="L36:R36" si="29">L33-(L34+L35)</f>
        <v>65</v>
      </c>
      <c r="M36" s="5">
        <f t="shared" si="29"/>
        <v>76</v>
      </c>
      <c r="N36" s="5">
        <f t="shared" si="29"/>
        <v>72</v>
      </c>
      <c r="O36" s="5">
        <f t="shared" si="29"/>
        <v>67</v>
      </c>
      <c r="P36" s="5">
        <f t="shared" si="29"/>
        <v>39</v>
      </c>
      <c r="Q36" s="5">
        <f t="shared" ref="Q36" si="30">Q33-(Q34+Q35)</f>
        <v>67</v>
      </c>
      <c r="R36" s="5">
        <f t="shared" si="29"/>
        <v>73</v>
      </c>
      <c r="S36" s="5">
        <f t="shared" ref="S36:X36" si="31">S33-(S34+S35)</f>
        <v>62</v>
      </c>
      <c r="T36" s="5">
        <f t="shared" si="31"/>
        <v>63</v>
      </c>
      <c r="U36" s="5">
        <f t="shared" si="31"/>
        <v>67</v>
      </c>
      <c r="V36" s="5">
        <f t="shared" si="31"/>
        <v>59</v>
      </c>
      <c r="W36" s="5">
        <f t="shared" si="31"/>
        <v>75</v>
      </c>
      <c r="X36" s="5">
        <f t="shared" si="31"/>
        <v>76</v>
      </c>
      <c r="Y36" s="5">
        <f t="shared" si="28"/>
        <v>79</v>
      </c>
      <c r="Z36" s="5">
        <f t="shared" si="28"/>
        <v>68</v>
      </c>
      <c r="AA36" s="5">
        <f t="shared" si="28"/>
        <v>55</v>
      </c>
      <c r="AB36" s="5">
        <f t="shared" si="28"/>
        <v>81</v>
      </c>
      <c r="AC36" s="5">
        <f>SUM(E36:AB36)</f>
        <v>1636</v>
      </c>
    </row>
    <row r="37" spans="1:29">
      <c r="A37" s="74"/>
      <c r="B37" s="82"/>
      <c r="C37" s="82"/>
      <c r="D37" s="82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101"/>
      <c r="Z37" s="101"/>
      <c r="AA37" s="101"/>
      <c r="AB37" s="106"/>
      <c r="AC37" s="28"/>
    </row>
    <row r="38" spans="1:29">
      <c r="A38" s="16" t="s">
        <v>42</v>
      </c>
      <c r="B38" s="69" t="s">
        <v>43</v>
      </c>
      <c r="C38" s="82"/>
      <c r="D38" s="7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8"/>
    </row>
    <row r="39" spans="1:29">
      <c r="A39" s="11"/>
      <c r="B39" s="85" t="s">
        <v>44</v>
      </c>
      <c r="C39" s="81"/>
      <c r="D39" s="6" t="s">
        <v>23</v>
      </c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/>
      <c r="U39" s="6"/>
      <c r="V39" s="6"/>
      <c r="W39" s="6"/>
      <c r="X39" s="6"/>
      <c r="Y39" s="6">
        <v>1</v>
      </c>
      <c r="Z39" s="6"/>
      <c r="AA39" s="6"/>
      <c r="AB39" s="6"/>
      <c r="AC39" s="5">
        <f>SUM(E39:AB39)</f>
        <v>2</v>
      </c>
    </row>
    <row r="40" spans="1:29">
      <c r="A40" s="12"/>
      <c r="B40" s="86"/>
      <c r="C40" s="87"/>
      <c r="D40" s="6" t="s">
        <v>24</v>
      </c>
      <c r="E40" s="6">
        <v>1</v>
      </c>
      <c r="F40" s="6">
        <v>0</v>
      </c>
      <c r="G40" s="6">
        <v>2</v>
      </c>
      <c r="H40" s="6">
        <v>2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/>
      <c r="U40" s="6"/>
      <c r="V40" s="6"/>
      <c r="W40" s="6"/>
      <c r="X40" s="6"/>
      <c r="Y40" s="6">
        <v>1</v>
      </c>
      <c r="Z40" s="6"/>
      <c r="AA40" s="6">
        <v>1</v>
      </c>
      <c r="AB40" s="6"/>
      <c r="AC40" s="5">
        <f>SUM(E40:AB40)</f>
        <v>8</v>
      </c>
    </row>
    <row r="41" spans="1:29">
      <c r="A41" s="14"/>
      <c r="B41" s="84"/>
      <c r="C41" s="88"/>
      <c r="D41" s="5" t="s">
        <v>25</v>
      </c>
      <c r="E41" s="5">
        <f t="shared" ref="E41:AB41" si="32">SUM(E39:E40)</f>
        <v>1</v>
      </c>
      <c r="F41" s="5">
        <f t="shared" si="32"/>
        <v>0</v>
      </c>
      <c r="G41" s="5">
        <f t="shared" si="32"/>
        <v>2</v>
      </c>
      <c r="H41" s="5">
        <f t="shared" si="32"/>
        <v>3</v>
      </c>
      <c r="I41" s="5">
        <f t="shared" si="32"/>
        <v>0</v>
      </c>
      <c r="J41" s="5">
        <f t="shared" si="32"/>
        <v>0</v>
      </c>
      <c r="K41" s="5">
        <f t="shared" si="32"/>
        <v>0</v>
      </c>
      <c r="L41" s="5">
        <f t="shared" ref="L41:R41" si="33">SUM(L39:L40)</f>
        <v>0</v>
      </c>
      <c r="M41" s="5">
        <f t="shared" si="33"/>
        <v>0</v>
      </c>
      <c r="N41" s="5">
        <f t="shared" si="33"/>
        <v>1</v>
      </c>
      <c r="O41" s="5">
        <f t="shared" si="33"/>
        <v>0</v>
      </c>
      <c r="P41" s="5">
        <f t="shared" si="33"/>
        <v>0</v>
      </c>
      <c r="Q41" s="5">
        <f t="shared" ref="Q41" si="34">SUM(Q39:Q40)</f>
        <v>0</v>
      </c>
      <c r="R41" s="5">
        <f t="shared" si="33"/>
        <v>0</v>
      </c>
      <c r="S41" s="5">
        <f t="shared" ref="S41:X41" si="35">SUM(S39:S40)</f>
        <v>0</v>
      </c>
      <c r="T41" s="5">
        <f t="shared" si="35"/>
        <v>0</v>
      </c>
      <c r="U41" s="5">
        <f t="shared" si="35"/>
        <v>0</v>
      </c>
      <c r="V41" s="5">
        <f t="shared" si="35"/>
        <v>0</v>
      </c>
      <c r="W41" s="5">
        <f t="shared" si="35"/>
        <v>0</v>
      </c>
      <c r="X41" s="5">
        <f t="shared" si="35"/>
        <v>0</v>
      </c>
      <c r="Y41" s="5">
        <f t="shared" si="32"/>
        <v>2</v>
      </c>
      <c r="Z41" s="5">
        <f t="shared" si="32"/>
        <v>0</v>
      </c>
      <c r="AA41" s="5">
        <f t="shared" si="32"/>
        <v>1</v>
      </c>
      <c r="AB41" s="5">
        <f t="shared" si="32"/>
        <v>0</v>
      </c>
      <c r="AC41" s="5">
        <f>SUM(E41:AB41)</f>
        <v>10</v>
      </c>
    </row>
    <row r="42" spans="1:29">
      <c r="A42" s="83"/>
      <c r="B42" s="84"/>
      <c r="C42" s="84"/>
      <c r="D42" s="88"/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82"/>
      <c r="Z42" s="82"/>
      <c r="AA42" s="82"/>
      <c r="AB42" s="73"/>
      <c r="AC42" s="5"/>
    </row>
    <row r="43" spans="1:29" ht="13.15" customHeight="1">
      <c r="A43" s="16" t="s">
        <v>45</v>
      </c>
      <c r="B43" s="69" t="s">
        <v>46</v>
      </c>
      <c r="C43" s="82"/>
      <c r="D43" s="73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3.15" customHeight="1">
      <c r="A44" s="85" t="s">
        <v>47</v>
      </c>
      <c r="B44" s="89"/>
      <c r="C44" s="89"/>
      <c r="D44" s="81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</row>
    <row r="45" spans="1:29">
      <c r="A45" s="11" t="s">
        <v>48</v>
      </c>
      <c r="B45" s="17" t="s">
        <v>28</v>
      </c>
      <c r="C45" s="72" t="s">
        <v>49</v>
      </c>
      <c r="D45" s="73"/>
      <c r="E45" s="6">
        <v>8</v>
      </c>
      <c r="F45" s="6">
        <v>7</v>
      </c>
      <c r="G45" s="6">
        <v>9</v>
      </c>
      <c r="H45" s="6">
        <v>11</v>
      </c>
      <c r="I45" s="6">
        <v>12</v>
      </c>
      <c r="J45" s="6">
        <v>6</v>
      </c>
      <c r="K45" s="6">
        <v>4</v>
      </c>
      <c r="L45" s="6">
        <v>9</v>
      </c>
      <c r="M45" s="6">
        <v>9</v>
      </c>
      <c r="N45" s="6">
        <v>1</v>
      </c>
      <c r="O45" s="6">
        <v>7</v>
      </c>
      <c r="P45" s="6">
        <v>3</v>
      </c>
      <c r="Q45" s="6">
        <v>2</v>
      </c>
      <c r="R45" s="6">
        <v>1</v>
      </c>
      <c r="S45" s="6">
        <v>3</v>
      </c>
      <c r="T45" s="6">
        <v>8</v>
      </c>
      <c r="U45" s="6">
        <v>7</v>
      </c>
      <c r="V45" s="6">
        <v>13</v>
      </c>
      <c r="W45" s="6">
        <v>8</v>
      </c>
      <c r="X45" s="6">
        <v>0</v>
      </c>
      <c r="Y45" s="6">
        <v>6</v>
      </c>
      <c r="Z45" s="6">
        <v>0</v>
      </c>
      <c r="AA45" s="6">
        <v>1</v>
      </c>
      <c r="AB45" s="6">
        <v>2</v>
      </c>
      <c r="AC45" s="5">
        <f t="shared" ref="AC45:AC54" si="36">SUM(E45:AB45)</f>
        <v>137</v>
      </c>
    </row>
    <row r="46" spans="1:29">
      <c r="A46" s="11" t="s">
        <v>50</v>
      </c>
      <c r="B46" s="50"/>
      <c r="C46" s="24" t="s">
        <v>105</v>
      </c>
      <c r="D46" s="51"/>
      <c r="E46" s="6">
        <v>17</v>
      </c>
      <c r="F46" s="6">
        <v>21</v>
      </c>
      <c r="G46" s="6">
        <v>25</v>
      </c>
      <c r="H46" s="6">
        <v>27</v>
      </c>
      <c r="I46" s="6">
        <v>39</v>
      </c>
      <c r="J46" s="6">
        <v>22</v>
      </c>
      <c r="K46" s="6">
        <v>19</v>
      </c>
      <c r="L46" s="6">
        <v>23</v>
      </c>
      <c r="M46" s="6">
        <v>33</v>
      </c>
      <c r="N46" s="6">
        <v>16</v>
      </c>
      <c r="O46" s="6">
        <v>6</v>
      </c>
      <c r="P46" s="6">
        <v>8</v>
      </c>
      <c r="Q46" s="6">
        <v>6</v>
      </c>
      <c r="R46" s="6">
        <v>5</v>
      </c>
      <c r="S46" s="6">
        <v>4</v>
      </c>
      <c r="T46" s="6">
        <v>15</v>
      </c>
      <c r="U46" s="6">
        <v>35</v>
      </c>
      <c r="V46" s="6">
        <v>36</v>
      </c>
      <c r="W46" s="6">
        <v>14</v>
      </c>
      <c r="X46" s="6">
        <v>0</v>
      </c>
      <c r="Y46" s="6">
        <v>3</v>
      </c>
      <c r="Z46" s="6">
        <v>1</v>
      </c>
      <c r="AA46" s="6">
        <v>1</v>
      </c>
      <c r="AB46" s="6">
        <v>10</v>
      </c>
      <c r="AC46" s="5">
        <f t="shared" si="36"/>
        <v>386</v>
      </c>
    </row>
    <row r="47" spans="1:29">
      <c r="A47" s="7"/>
      <c r="B47" s="50"/>
      <c r="C47" s="24" t="s">
        <v>106</v>
      </c>
      <c r="D47" s="51"/>
      <c r="E47" s="6">
        <v>0</v>
      </c>
      <c r="F47" s="6">
        <v>4</v>
      </c>
      <c r="G47" s="6">
        <v>0</v>
      </c>
      <c r="H47" s="6">
        <v>1</v>
      </c>
      <c r="I47" s="6">
        <v>1</v>
      </c>
      <c r="J47" s="6">
        <v>0</v>
      </c>
      <c r="K47" s="6">
        <v>1</v>
      </c>
      <c r="L47" s="6">
        <v>3</v>
      </c>
      <c r="M47" s="6">
        <v>2</v>
      </c>
      <c r="N47" s="6">
        <v>0</v>
      </c>
      <c r="O47" s="6">
        <v>0</v>
      </c>
      <c r="P47" s="6">
        <v>1</v>
      </c>
      <c r="Q47" s="6">
        <v>2</v>
      </c>
      <c r="R47" s="6">
        <v>1</v>
      </c>
      <c r="S47" s="6">
        <v>2</v>
      </c>
      <c r="T47" s="6">
        <v>2</v>
      </c>
      <c r="U47" s="6">
        <v>0</v>
      </c>
      <c r="V47" s="6">
        <v>3</v>
      </c>
      <c r="W47" s="6">
        <v>1</v>
      </c>
      <c r="X47" s="6">
        <v>1</v>
      </c>
      <c r="Y47" s="6">
        <v>1</v>
      </c>
      <c r="Z47" s="6">
        <v>0</v>
      </c>
      <c r="AA47" s="6">
        <v>3</v>
      </c>
      <c r="AB47" s="6">
        <v>0</v>
      </c>
      <c r="AC47" s="5">
        <f t="shared" si="36"/>
        <v>29</v>
      </c>
    </row>
    <row r="48" spans="1:29">
      <c r="A48" s="7"/>
      <c r="B48" s="50"/>
      <c r="C48" s="24" t="s">
        <v>107</v>
      </c>
      <c r="D48" s="51"/>
      <c r="E48" s="6">
        <v>1</v>
      </c>
      <c r="F48" s="6">
        <v>0</v>
      </c>
      <c r="G48" s="6">
        <v>1</v>
      </c>
      <c r="H48" s="6">
        <v>1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1</v>
      </c>
      <c r="R48" s="6">
        <v>0</v>
      </c>
      <c r="S48" s="6">
        <v>0</v>
      </c>
      <c r="T48" s="6">
        <v>0</v>
      </c>
      <c r="U48" s="6">
        <v>1</v>
      </c>
      <c r="V48" s="6">
        <v>8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1</v>
      </c>
      <c r="AC48" s="5">
        <f t="shared" si="36"/>
        <v>16</v>
      </c>
    </row>
    <row r="49" spans="1:29">
      <c r="A49" s="7"/>
      <c r="B49" s="50"/>
      <c r="C49" s="24" t="s">
        <v>108</v>
      </c>
      <c r="D49" s="51"/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3</v>
      </c>
      <c r="N49" s="6">
        <v>0</v>
      </c>
      <c r="O49" s="6">
        <v>2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1</v>
      </c>
      <c r="W49" s="6">
        <v>1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5">
        <f t="shared" si="36"/>
        <v>9</v>
      </c>
    </row>
    <row r="50" spans="1:29">
      <c r="A50" s="7"/>
      <c r="B50" s="50"/>
      <c r="C50" s="24" t="s">
        <v>109</v>
      </c>
      <c r="D50" s="51"/>
      <c r="E50" s="6">
        <v>3</v>
      </c>
      <c r="F50" s="6">
        <v>1</v>
      </c>
      <c r="G50" s="6">
        <v>1</v>
      </c>
      <c r="H50" s="6">
        <v>2</v>
      </c>
      <c r="I50" s="6">
        <v>2</v>
      </c>
      <c r="J50" s="6">
        <v>0</v>
      </c>
      <c r="K50" s="6">
        <v>0</v>
      </c>
      <c r="L50" s="6">
        <v>2</v>
      </c>
      <c r="M50" s="6">
        <v>4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2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f t="shared" si="36"/>
        <v>18</v>
      </c>
    </row>
    <row r="51" spans="1:29">
      <c r="A51" s="7"/>
      <c r="B51" s="50"/>
      <c r="C51" s="24" t="s">
        <v>110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4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f t="shared" si="36"/>
        <v>5</v>
      </c>
    </row>
    <row r="52" spans="1:29" ht="13.15" customHeight="1">
      <c r="A52" s="7"/>
      <c r="B52" s="50"/>
      <c r="C52" s="24" t="s">
        <v>111</v>
      </c>
      <c r="D52" s="51"/>
      <c r="E52" s="6">
        <v>3</v>
      </c>
      <c r="F52" s="6">
        <v>16</v>
      </c>
      <c r="G52" s="6">
        <v>4</v>
      </c>
      <c r="H52" s="6">
        <v>4</v>
      </c>
      <c r="I52" s="6">
        <v>11</v>
      </c>
      <c r="J52" s="6">
        <v>2</v>
      </c>
      <c r="K52" s="6">
        <v>8</v>
      </c>
      <c r="L52" s="6">
        <v>8</v>
      </c>
      <c r="M52" s="6">
        <v>5</v>
      </c>
      <c r="N52" s="6">
        <v>1</v>
      </c>
      <c r="O52" s="6">
        <v>8</v>
      </c>
      <c r="P52" s="6">
        <v>2</v>
      </c>
      <c r="Q52" s="6">
        <v>3</v>
      </c>
      <c r="R52" s="6">
        <v>0</v>
      </c>
      <c r="S52" s="6">
        <v>0</v>
      </c>
      <c r="T52" s="6">
        <v>3</v>
      </c>
      <c r="U52" s="6">
        <v>8</v>
      </c>
      <c r="V52" s="6">
        <v>3</v>
      </c>
      <c r="W52" s="6">
        <v>6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5">
        <f t="shared" si="36"/>
        <v>95</v>
      </c>
    </row>
    <row r="53" spans="1:29" ht="13.15" customHeight="1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5">
        <f t="shared" si="36"/>
        <v>0</v>
      </c>
    </row>
    <row r="54" spans="1:29" ht="13.15" customHeight="1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5">
        <f t="shared" si="36"/>
        <v>0</v>
      </c>
    </row>
    <row r="55" spans="1:29">
      <c r="A55" s="6" t="s">
        <v>26</v>
      </c>
      <c r="B55" s="66" t="s">
        <v>51</v>
      </c>
      <c r="C55" s="82"/>
      <c r="D55" s="73"/>
      <c r="E55" s="5">
        <f>SUM(E45:E54)</f>
        <v>33</v>
      </c>
      <c r="F55" s="5">
        <f t="shared" ref="F55:R55" si="37">SUM(F45:F54)</f>
        <v>49</v>
      </c>
      <c r="G55" s="5">
        <f t="shared" si="37"/>
        <v>40</v>
      </c>
      <c r="H55" s="5">
        <f t="shared" si="37"/>
        <v>46</v>
      </c>
      <c r="I55" s="5">
        <f t="shared" si="37"/>
        <v>70</v>
      </c>
      <c r="J55" s="5">
        <f t="shared" si="37"/>
        <v>30</v>
      </c>
      <c r="K55" s="5">
        <f t="shared" si="37"/>
        <v>32</v>
      </c>
      <c r="L55" s="5">
        <f t="shared" si="37"/>
        <v>47</v>
      </c>
      <c r="M55" s="5">
        <f t="shared" si="37"/>
        <v>56</v>
      </c>
      <c r="N55" s="5">
        <f t="shared" si="37"/>
        <v>18</v>
      </c>
      <c r="O55" s="5">
        <f t="shared" si="37"/>
        <v>24</v>
      </c>
      <c r="P55" s="5">
        <f t="shared" si="37"/>
        <v>15</v>
      </c>
      <c r="Q55" s="5">
        <f t="shared" ref="Q55" si="38">SUM(Q45:Q54)</f>
        <v>14</v>
      </c>
      <c r="R55" s="5">
        <f t="shared" si="37"/>
        <v>7</v>
      </c>
      <c r="S55" s="5">
        <f t="shared" ref="S55:AC55" si="39">SUM(S45:S54)</f>
        <v>9</v>
      </c>
      <c r="T55" s="5">
        <f t="shared" si="39"/>
        <v>30</v>
      </c>
      <c r="U55" s="5">
        <f t="shared" si="39"/>
        <v>51</v>
      </c>
      <c r="V55" s="5">
        <f t="shared" si="39"/>
        <v>64</v>
      </c>
      <c r="W55" s="5">
        <f t="shared" si="39"/>
        <v>30</v>
      </c>
      <c r="X55" s="5">
        <f t="shared" si="39"/>
        <v>1</v>
      </c>
      <c r="Y55" s="5">
        <f t="shared" si="39"/>
        <v>10</v>
      </c>
      <c r="Z55" s="5">
        <f t="shared" si="39"/>
        <v>1</v>
      </c>
      <c r="AA55" s="5">
        <f t="shared" si="39"/>
        <v>5</v>
      </c>
      <c r="AB55" s="5">
        <f t="shared" si="39"/>
        <v>13</v>
      </c>
      <c r="AC55" s="5">
        <f t="shared" si="39"/>
        <v>695</v>
      </c>
    </row>
    <row r="56" spans="1:29">
      <c r="A56" s="83"/>
      <c r="B56" s="84"/>
      <c r="C56" s="84"/>
      <c r="D56" s="84"/>
      <c r="E56" s="84"/>
      <c r="AC56" s="5"/>
    </row>
    <row r="57" spans="1:29">
      <c r="A57" s="11" t="s">
        <v>48</v>
      </c>
      <c r="B57" s="17" t="s">
        <v>30</v>
      </c>
      <c r="C57" s="72" t="s">
        <v>52</v>
      </c>
      <c r="D57" s="73"/>
      <c r="E57" s="6">
        <v>7</v>
      </c>
      <c r="F57" s="6">
        <v>5</v>
      </c>
      <c r="G57" s="6">
        <v>5</v>
      </c>
      <c r="H57" s="6">
        <v>3</v>
      </c>
      <c r="I57" s="6">
        <v>5</v>
      </c>
      <c r="J57" s="6">
        <v>5</v>
      </c>
      <c r="K57" s="6">
        <v>2</v>
      </c>
      <c r="L57" s="6">
        <v>5</v>
      </c>
      <c r="M57" s="6">
        <v>9</v>
      </c>
      <c r="N57" s="6">
        <v>3</v>
      </c>
      <c r="O57" s="6">
        <v>6</v>
      </c>
      <c r="P57" s="6">
        <v>7</v>
      </c>
      <c r="Q57" s="6">
        <v>7</v>
      </c>
      <c r="R57" s="6">
        <v>7</v>
      </c>
      <c r="S57" s="6">
        <v>5</v>
      </c>
      <c r="T57" s="6">
        <v>2</v>
      </c>
      <c r="U57" s="6">
        <v>4</v>
      </c>
      <c r="V57" s="6">
        <v>4</v>
      </c>
      <c r="W57" s="6">
        <v>10</v>
      </c>
      <c r="X57" s="6">
        <v>1</v>
      </c>
      <c r="Y57" s="6">
        <v>9</v>
      </c>
      <c r="Z57" s="6">
        <v>6</v>
      </c>
      <c r="AA57" s="6">
        <v>2</v>
      </c>
      <c r="AB57" s="6">
        <v>5</v>
      </c>
      <c r="AC57" s="5">
        <f t="shared" ref="AC57:AC66" si="40">SUM(E57:AB57)</f>
        <v>124</v>
      </c>
    </row>
    <row r="58" spans="1:29">
      <c r="A58" s="11" t="s">
        <v>50</v>
      </c>
      <c r="B58" s="50"/>
      <c r="C58" s="24" t="s">
        <v>112</v>
      </c>
      <c r="D58" s="51"/>
      <c r="E58" s="6">
        <v>0</v>
      </c>
      <c r="F58" s="6">
        <v>1</v>
      </c>
      <c r="G58" s="6">
        <v>1</v>
      </c>
      <c r="H58" s="6">
        <v>3</v>
      </c>
      <c r="I58" s="6">
        <v>0</v>
      </c>
      <c r="J58" s="6">
        <v>2</v>
      </c>
      <c r="K58" s="6">
        <v>1</v>
      </c>
      <c r="L58" s="6">
        <v>2</v>
      </c>
      <c r="M58" s="6">
        <v>2</v>
      </c>
      <c r="N58" s="6">
        <v>1</v>
      </c>
      <c r="O58" s="6">
        <v>2</v>
      </c>
      <c r="P58" s="6">
        <v>2</v>
      </c>
      <c r="Q58" s="6">
        <v>0</v>
      </c>
      <c r="R58" s="6">
        <v>2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1</v>
      </c>
      <c r="Y58" s="6">
        <v>2</v>
      </c>
      <c r="Z58" s="6">
        <v>1</v>
      </c>
      <c r="AA58" s="6">
        <v>3</v>
      </c>
      <c r="AB58" s="6">
        <v>0</v>
      </c>
      <c r="AC58" s="5">
        <f t="shared" si="40"/>
        <v>26</v>
      </c>
    </row>
    <row r="59" spans="1:29">
      <c r="A59" s="7"/>
      <c r="B59" s="50"/>
      <c r="C59" s="24" t="s">
        <v>113</v>
      </c>
      <c r="D59" s="51"/>
      <c r="E59" s="6">
        <v>10</v>
      </c>
      <c r="F59" s="6">
        <v>8</v>
      </c>
      <c r="G59" s="6">
        <v>7</v>
      </c>
      <c r="H59" s="6">
        <v>7</v>
      </c>
      <c r="I59" s="6">
        <v>4</v>
      </c>
      <c r="J59" s="6">
        <v>1</v>
      </c>
      <c r="K59" s="6">
        <v>3</v>
      </c>
      <c r="L59" s="6">
        <v>9</v>
      </c>
      <c r="M59" s="6">
        <v>5</v>
      </c>
      <c r="N59" s="6">
        <v>4</v>
      </c>
      <c r="O59" s="6">
        <v>1</v>
      </c>
      <c r="P59" s="6">
        <v>1</v>
      </c>
      <c r="Q59" s="6">
        <v>2</v>
      </c>
      <c r="R59" s="6">
        <v>3</v>
      </c>
      <c r="S59" s="6">
        <v>2</v>
      </c>
      <c r="T59" s="6">
        <v>1</v>
      </c>
      <c r="U59" s="6">
        <v>5</v>
      </c>
      <c r="V59" s="6">
        <v>3</v>
      </c>
      <c r="W59" s="6">
        <v>20</v>
      </c>
      <c r="X59" s="6">
        <v>1</v>
      </c>
      <c r="Y59" s="6">
        <v>2</v>
      </c>
      <c r="Z59" s="6">
        <v>1</v>
      </c>
      <c r="AA59" s="6">
        <v>1</v>
      </c>
      <c r="AB59" s="6">
        <v>0</v>
      </c>
      <c r="AC59" s="5">
        <f t="shared" si="40"/>
        <v>101</v>
      </c>
    </row>
    <row r="60" spans="1:29">
      <c r="A60" s="7"/>
      <c r="B60" s="50"/>
      <c r="C60" s="24" t="s">
        <v>114</v>
      </c>
      <c r="D60" s="51"/>
      <c r="E60" s="6">
        <v>20</v>
      </c>
      <c r="F60" s="6">
        <v>20</v>
      </c>
      <c r="G60" s="6">
        <v>14</v>
      </c>
      <c r="H60" s="6">
        <v>35</v>
      </c>
      <c r="I60" s="6">
        <v>32</v>
      </c>
      <c r="J60" s="6">
        <v>34</v>
      </c>
      <c r="K60" s="6">
        <v>25</v>
      </c>
      <c r="L60" s="6">
        <v>17</v>
      </c>
      <c r="M60" s="6">
        <v>4</v>
      </c>
      <c r="N60" s="6">
        <v>8</v>
      </c>
      <c r="O60" s="6">
        <v>12</v>
      </c>
      <c r="P60" s="6">
        <v>24</v>
      </c>
      <c r="Q60" s="6">
        <v>55</v>
      </c>
      <c r="R60" s="6">
        <v>28</v>
      </c>
      <c r="S60" s="6">
        <v>32</v>
      </c>
      <c r="T60" s="6">
        <v>13</v>
      </c>
      <c r="U60" s="6">
        <v>10</v>
      </c>
      <c r="V60" s="6">
        <v>8</v>
      </c>
      <c r="W60" s="6">
        <v>7</v>
      </c>
      <c r="X60" s="6">
        <v>3</v>
      </c>
      <c r="Y60" s="6">
        <v>1</v>
      </c>
      <c r="Z60" s="6">
        <v>7</v>
      </c>
      <c r="AA60" s="6">
        <v>0</v>
      </c>
      <c r="AB60" s="6">
        <v>1</v>
      </c>
      <c r="AC60" s="5">
        <f t="shared" si="40"/>
        <v>410</v>
      </c>
    </row>
    <row r="61" spans="1:29">
      <c r="A61" s="7"/>
      <c r="B61" s="50"/>
      <c r="C61" s="24" t="s">
        <v>115</v>
      </c>
      <c r="D61" s="51"/>
      <c r="E61" s="6">
        <v>2</v>
      </c>
      <c r="F61" s="6">
        <v>3</v>
      </c>
      <c r="G61" s="6">
        <v>1</v>
      </c>
      <c r="H61" s="6">
        <v>2</v>
      </c>
      <c r="I61" s="6">
        <v>1</v>
      </c>
      <c r="J61" s="6">
        <v>1</v>
      </c>
      <c r="K61" s="6">
        <v>0</v>
      </c>
      <c r="L61" s="6">
        <v>8</v>
      </c>
      <c r="M61" s="6">
        <v>0</v>
      </c>
      <c r="N61" s="6">
        <v>0</v>
      </c>
      <c r="O61" s="6">
        <v>1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1</v>
      </c>
      <c r="V61" s="6">
        <v>3</v>
      </c>
      <c r="W61" s="6">
        <v>1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5">
        <f t="shared" si="40"/>
        <v>25</v>
      </c>
    </row>
    <row r="62" spans="1:29">
      <c r="A62" s="7"/>
      <c r="B62" s="50"/>
      <c r="C62" s="24" t="s">
        <v>116</v>
      </c>
      <c r="D62" s="51"/>
      <c r="E62" s="6">
        <v>1</v>
      </c>
      <c r="F62" s="6">
        <v>1</v>
      </c>
      <c r="G62" s="6">
        <v>0</v>
      </c>
      <c r="H62" s="6">
        <v>1</v>
      </c>
      <c r="I62" s="6">
        <v>1</v>
      </c>
      <c r="J62" s="6">
        <v>0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1</v>
      </c>
      <c r="R62" s="6">
        <v>0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2</v>
      </c>
      <c r="AA62" s="6">
        <v>0</v>
      </c>
      <c r="AB62" s="6">
        <v>0</v>
      </c>
      <c r="AC62" s="5">
        <f t="shared" si="40"/>
        <v>10</v>
      </c>
    </row>
    <row r="63" spans="1:29" ht="13.15" customHeight="1">
      <c r="A63" s="7"/>
      <c r="B63" s="50"/>
      <c r="C63" s="24" t="s">
        <v>117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5">
        <f t="shared" si="40"/>
        <v>1</v>
      </c>
    </row>
    <row r="64" spans="1:29">
      <c r="A64" s="7"/>
      <c r="B64" s="50"/>
      <c r="C64" s="24" t="s">
        <v>118</v>
      </c>
      <c r="D64" s="51"/>
      <c r="E64" s="6">
        <v>1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5">
        <f t="shared" si="40"/>
        <v>3</v>
      </c>
    </row>
    <row r="65" spans="1:29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5">
        <f t="shared" si="40"/>
        <v>0</v>
      </c>
    </row>
    <row r="66" spans="1:29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5">
        <f t="shared" si="40"/>
        <v>0</v>
      </c>
    </row>
    <row r="67" spans="1:29">
      <c r="A67" s="6" t="s">
        <v>26</v>
      </c>
      <c r="B67" s="66" t="s">
        <v>51</v>
      </c>
      <c r="C67" s="82"/>
      <c r="D67" s="73"/>
      <c r="E67" s="5">
        <f t="shared" ref="E67:AC67" si="41">SUM(E57:E66)</f>
        <v>41</v>
      </c>
      <c r="F67" s="5">
        <f t="shared" ref="F67:R67" si="42">SUM(F57:F66)</f>
        <v>39</v>
      </c>
      <c r="G67" s="5">
        <f t="shared" si="42"/>
        <v>28</v>
      </c>
      <c r="H67" s="5">
        <f t="shared" si="42"/>
        <v>51</v>
      </c>
      <c r="I67" s="5">
        <f t="shared" si="42"/>
        <v>43</v>
      </c>
      <c r="J67" s="5">
        <f t="shared" si="42"/>
        <v>43</v>
      </c>
      <c r="K67" s="5">
        <f t="shared" si="42"/>
        <v>32</v>
      </c>
      <c r="L67" s="5">
        <f t="shared" si="42"/>
        <v>41</v>
      </c>
      <c r="M67" s="5">
        <f t="shared" si="42"/>
        <v>21</v>
      </c>
      <c r="N67" s="5">
        <f t="shared" si="42"/>
        <v>16</v>
      </c>
      <c r="O67" s="5">
        <f t="shared" si="42"/>
        <v>22</v>
      </c>
      <c r="P67" s="5">
        <f t="shared" si="42"/>
        <v>34</v>
      </c>
      <c r="Q67" s="5">
        <f t="shared" ref="Q67" si="43">SUM(Q57:Q66)</f>
        <v>66</v>
      </c>
      <c r="R67" s="5">
        <f t="shared" si="42"/>
        <v>40</v>
      </c>
      <c r="S67" s="5">
        <f t="shared" si="41"/>
        <v>40</v>
      </c>
      <c r="T67" s="5">
        <f t="shared" si="41"/>
        <v>18</v>
      </c>
      <c r="U67" s="5">
        <f t="shared" si="41"/>
        <v>20</v>
      </c>
      <c r="V67" s="5">
        <f t="shared" si="41"/>
        <v>18</v>
      </c>
      <c r="W67" s="5">
        <f t="shared" si="41"/>
        <v>38</v>
      </c>
      <c r="X67" s="5">
        <f t="shared" si="41"/>
        <v>6</v>
      </c>
      <c r="Y67" s="5">
        <f t="shared" si="41"/>
        <v>14</v>
      </c>
      <c r="Z67" s="5">
        <f t="shared" si="41"/>
        <v>17</v>
      </c>
      <c r="AA67" s="5">
        <f t="shared" si="41"/>
        <v>6</v>
      </c>
      <c r="AB67" s="5">
        <f t="shared" si="41"/>
        <v>6</v>
      </c>
      <c r="AC67" s="5">
        <f t="shared" si="41"/>
        <v>700</v>
      </c>
    </row>
    <row r="68" spans="1:29">
      <c r="A68" s="83"/>
      <c r="B68" s="84"/>
      <c r="C68" s="84"/>
      <c r="D68" s="84"/>
      <c r="E68" s="84"/>
    </row>
    <row r="69" spans="1:29">
      <c r="A69" s="11" t="s">
        <v>48</v>
      </c>
      <c r="B69" s="17" t="s">
        <v>32</v>
      </c>
      <c r="C69" s="72" t="s">
        <v>53</v>
      </c>
      <c r="D69" s="73"/>
      <c r="E69" s="6">
        <v>9</v>
      </c>
      <c r="F69" s="6">
        <v>10</v>
      </c>
      <c r="G69" s="6">
        <v>12</v>
      </c>
      <c r="H69" s="6">
        <v>6</v>
      </c>
      <c r="I69" s="6">
        <v>4</v>
      </c>
      <c r="J69" s="6">
        <v>5</v>
      </c>
      <c r="K69" s="6">
        <v>2</v>
      </c>
      <c r="L69" s="6">
        <v>2</v>
      </c>
      <c r="M69" s="6">
        <v>5</v>
      </c>
      <c r="N69" s="6">
        <v>1</v>
      </c>
      <c r="O69" s="6">
        <v>1</v>
      </c>
      <c r="P69" s="6">
        <v>6</v>
      </c>
      <c r="Q69" s="6">
        <v>28</v>
      </c>
      <c r="R69" s="6">
        <v>7</v>
      </c>
      <c r="S69" s="6">
        <v>10</v>
      </c>
      <c r="T69" s="6">
        <v>11</v>
      </c>
      <c r="U69" s="6">
        <v>6</v>
      </c>
      <c r="V69" s="6">
        <v>5</v>
      </c>
      <c r="W69" s="6">
        <v>3</v>
      </c>
      <c r="X69" s="6">
        <v>2</v>
      </c>
      <c r="Y69" s="6">
        <v>17</v>
      </c>
      <c r="Z69" s="6">
        <v>5</v>
      </c>
      <c r="AA69" s="6">
        <v>10</v>
      </c>
      <c r="AB69" s="6">
        <v>4</v>
      </c>
      <c r="AC69" s="5">
        <f t="shared" ref="AC69:AC78" si="44">SUM(E69:AB69)</f>
        <v>171</v>
      </c>
    </row>
    <row r="70" spans="1:29">
      <c r="A70" s="11" t="s">
        <v>50</v>
      </c>
      <c r="B70" s="50"/>
      <c r="C70" s="24" t="s">
        <v>119</v>
      </c>
      <c r="D70" s="51"/>
      <c r="E70" s="6">
        <v>12</v>
      </c>
      <c r="F70" s="6">
        <v>7</v>
      </c>
      <c r="G70" s="6">
        <v>7</v>
      </c>
      <c r="H70" s="6">
        <v>0</v>
      </c>
      <c r="I70" s="6">
        <v>1</v>
      </c>
      <c r="J70" s="6">
        <v>5</v>
      </c>
      <c r="K70" s="6">
        <v>6</v>
      </c>
      <c r="L70" s="6">
        <v>8</v>
      </c>
      <c r="M70" s="6">
        <v>3</v>
      </c>
      <c r="N70" s="6">
        <v>2</v>
      </c>
      <c r="O70" s="6">
        <v>1</v>
      </c>
      <c r="P70" s="6">
        <v>11</v>
      </c>
      <c r="Q70" s="6">
        <v>50</v>
      </c>
      <c r="R70" s="6">
        <v>84</v>
      </c>
      <c r="S70" s="6">
        <v>34</v>
      </c>
      <c r="T70" s="6">
        <v>28</v>
      </c>
      <c r="U70" s="6">
        <v>24</v>
      </c>
      <c r="V70" s="6">
        <v>6</v>
      </c>
      <c r="W70" s="6">
        <v>4</v>
      </c>
      <c r="X70" s="6">
        <v>16</v>
      </c>
      <c r="Y70" s="6">
        <v>48</v>
      </c>
      <c r="Z70" s="6">
        <v>26</v>
      </c>
      <c r="AA70" s="6">
        <v>24</v>
      </c>
      <c r="AB70" s="6">
        <v>49</v>
      </c>
      <c r="AC70" s="5">
        <f t="shared" si="44"/>
        <v>456</v>
      </c>
    </row>
    <row r="71" spans="1:29">
      <c r="A71" s="7"/>
      <c r="B71" s="50"/>
      <c r="C71" s="24" t="s">
        <v>120</v>
      </c>
      <c r="D71" s="51"/>
      <c r="E71" s="6">
        <v>3</v>
      </c>
      <c r="F71" s="6">
        <v>1</v>
      </c>
      <c r="G71" s="6">
        <v>5</v>
      </c>
      <c r="H71" s="6">
        <v>2</v>
      </c>
      <c r="I71" s="6">
        <v>2</v>
      </c>
      <c r="J71" s="6">
        <v>5</v>
      </c>
      <c r="K71" s="6">
        <v>3</v>
      </c>
      <c r="L71" s="6">
        <v>1</v>
      </c>
      <c r="M71" s="6">
        <v>1</v>
      </c>
      <c r="N71" s="6">
        <v>1</v>
      </c>
      <c r="O71" s="6">
        <v>1</v>
      </c>
      <c r="P71" s="6">
        <v>0</v>
      </c>
      <c r="Q71" s="6">
        <v>1</v>
      </c>
      <c r="R71" s="6">
        <v>1</v>
      </c>
      <c r="S71" s="6">
        <v>0</v>
      </c>
      <c r="T71" s="6">
        <v>2</v>
      </c>
      <c r="U71" s="6">
        <v>0</v>
      </c>
      <c r="V71" s="6">
        <v>0</v>
      </c>
      <c r="W71" s="6">
        <v>0</v>
      </c>
      <c r="X71" s="6">
        <v>1</v>
      </c>
      <c r="Y71" s="6">
        <v>3</v>
      </c>
      <c r="Z71" s="6">
        <v>4</v>
      </c>
      <c r="AA71" s="6">
        <v>4</v>
      </c>
      <c r="AB71" s="6">
        <v>1</v>
      </c>
      <c r="AC71" s="5">
        <f t="shared" si="44"/>
        <v>42</v>
      </c>
    </row>
    <row r="72" spans="1:29">
      <c r="A72" s="7"/>
      <c r="B72" s="50"/>
      <c r="C72" s="24" t="s">
        <v>121</v>
      </c>
      <c r="D72" s="51"/>
      <c r="E72" s="6">
        <v>0</v>
      </c>
      <c r="F72" s="6">
        <v>1</v>
      </c>
      <c r="G72" s="6">
        <v>0</v>
      </c>
      <c r="H72" s="6">
        <v>2</v>
      </c>
      <c r="I72" s="6">
        <v>0</v>
      </c>
      <c r="J72" s="6">
        <v>1</v>
      </c>
      <c r="K72" s="6">
        <v>3</v>
      </c>
      <c r="L72" s="6">
        <v>1</v>
      </c>
      <c r="M72" s="6">
        <v>1</v>
      </c>
      <c r="N72" s="6">
        <v>0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2</v>
      </c>
      <c r="V72" s="6">
        <v>0</v>
      </c>
      <c r="W72" s="6">
        <v>1</v>
      </c>
      <c r="X72" s="6">
        <v>5</v>
      </c>
      <c r="Y72" s="6">
        <v>3</v>
      </c>
      <c r="Z72" s="6">
        <v>0</v>
      </c>
      <c r="AA72" s="6">
        <v>2</v>
      </c>
      <c r="AB72" s="6">
        <v>0</v>
      </c>
      <c r="AC72" s="5">
        <f t="shared" si="44"/>
        <v>23</v>
      </c>
    </row>
    <row r="73" spans="1:29">
      <c r="A73" s="7"/>
      <c r="B73" s="50"/>
      <c r="C73" s="24" t="s">
        <v>122</v>
      </c>
      <c r="D73" s="51"/>
      <c r="E73" s="6">
        <v>0</v>
      </c>
      <c r="F73" s="6">
        <v>0</v>
      </c>
      <c r="G73" s="6">
        <v>1</v>
      </c>
      <c r="H73" s="6">
        <v>0</v>
      </c>
      <c r="I73" s="6">
        <v>1</v>
      </c>
      <c r="J73" s="6">
        <v>0</v>
      </c>
      <c r="K73" s="6">
        <v>0</v>
      </c>
      <c r="L73" s="6">
        <v>2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3</v>
      </c>
      <c r="AB73" s="6">
        <v>0</v>
      </c>
      <c r="AC73" s="5">
        <f t="shared" si="44"/>
        <v>10</v>
      </c>
    </row>
    <row r="74" spans="1:29" ht="13.15" customHeight="1">
      <c r="A74" s="7"/>
      <c r="B74" s="50"/>
      <c r="C74" s="24" t="s">
        <v>123</v>
      </c>
      <c r="D74" s="51"/>
      <c r="E74" s="6">
        <v>44</v>
      </c>
      <c r="F74" s="6">
        <v>9</v>
      </c>
      <c r="G74" s="6">
        <v>22</v>
      </c>
      <c r="H74" s="6">
        <v>21</v>
      </c>
      <c r="I74" s="6">
        <v>13</v>
      </c>
      <c r="J74" s="6">
        <v>22</v>
      </c>
      <c r="K74" s="6">
        <v>14</v>
      </c>
      <c r="L74" s="6">
        <v>8</v>
      </c>
      <c r="M74" s="6">
        <v>10</v>
      </c>
      <c r="N74" s="6">
        <v>20</v>
      </c>
      <c r="O74" s="6">
        <v>13</v>
      </c>
      <c r="P74" s="6">
        <v>9</v>
      </c>
      <c r="Q74" s="6">
        <v>14</v>
      </c>
      <c r="R74" s="6">
        <v>14</v>
      </c>
      <c r="S74" s="6">
        <v>22</v>
      </c>
      <c r="T74" s="6">
        <v>8</v>
      </c>
      <c r="U74" s="6">
        <v>2</v>
      </c>
      <c r="V74" s="6">
        <v>8</v>
      </c>
      <c r="W74" s="6">
        <v>13</v>
      </c>
      <c r="X74" s="6">
        <v>6</v>
      </c>
      <c r="Y74" s="6">
        <v>2</v>
      </c>
      <c r="Z74" s="6">
        <v>0</v>
      </c>
      <c r="AA74" s="6">
        <v>3</v>
      </c>
      <c r="AB74" s="6">
        <v>0</v>
      </c>
      <c r="AC74" s="5">
        <f t="shared" si="44"/>
        <v>297</v>
      </c>
    </row>
    <row r="75" spans="1:29">
      <c r="A75" s="7"/>
      <c r="B75" s="50"/>
      <c r="C75" s="24" t="s">
        <v>124</v>
      </c>
      <c r="D75" s="51"/>
      <c r="E75" s="6">
        <v>0</v>
      </c>
      <c r="F75" s="6">
        <v>0</v>
      </c>
      <c r="G75" s="6">
        <v>2</v>
      </c>
      <c r="H75" s="6">
        <v>3</v>
      </c>
      <c r="I75" s="6">
        <v>0</v>
      </c>
      <c r="J75" s="6">
        <v>0</v>
      </c>
      <c r="K75" s="6">
        <v>3</v>
      </c>
      <c r="L75" s="6">
        <v>1</v>
      </c>
      <c r="M75" s="6">
        <v>1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3</v>
      </c>
      <c r="X75" s="6">
        <v>21</v>
      </c>
      <c r="Y75" s="6">
        <v>15</v>
      </c>
      <c r="Z75" s="6">
        <v>33</v>
      </c>
      <c r="AA75" s="6">
        <v>15</v>
      </c>
      <c r="AB75" s="6">
        <v>0</v>
      </c>
      <c r="AC75" s="5">
        <f t="shared" si="44"/>
        <v>98</v>
      </c>
    </row>
    <row r="76" spans="1:29">
      <c r="A76" s="7"/>
      <c r="B76" s="50"/>
      <c r="C76" s="24" t="s">
        <v>125</v>
      </c>
      <c r="D76" s="51"/>
      <c r="E76" s="6">
        <v>12</v>
      </c>
      <c r="F76" s="6">
        <v>28</v>
      </c>
      <c r="G76" s="6">
        <v>30</v>
      </c>
      <c r="H76" s="6">
        <v>23</v>
      </c>
      <c r="I76" s="6">
        <v>20</v>
      </c>
      <c r="J76" s="6">
        <v>44</v>
      </c>
      <c r="K76" s="6">
        <v>65</v>
      </c>
      <c r="L76" s="6">
        <v>11</v>
      </c>
      <c r="M76" s="6">
        <v>13</v>
      </c>
      <c r="N76" s="6">
        <v>44</v>
      </c>
      <c r="O76" s="6">
        <v>8</v>
      </c>
      <c r="P76" s="6">
        <v>26</v>
      </c>
      <c r="Q76" s="6">
        <v>29</v>
      </c>
      <c r="R76" s="6">
        <v>26</v>
      </c>
      <c r="S76" s="6">
        <v>47</v>
      </c>
      <c r="T76" s="6">
        <v>5</v>
      </c>
      <c r="U76" s="6">
        <v>16</v>
      </c>
      <c r="V76" s="6">
        <v>35</v>
      </c>
      <c r="W76" s="6">
        <v>8</v>
      </c>
      <c r="X76" s="6">
        <v>0</v>
      </c>
      <c r="Y76" s="6">
        <v>2</v>
      </c>
      <c r="Z76" s="6">
        <v>10</v>
      </c>
      <c r="AA76" s="6">
        <v>24</v>
      </c>
      <c r="AB76" s="6">
        <v>0</v>
      </c>
      <c r="AC76" s="5">
        <f t="shared" si="44"/>
        <v>526</v>
      </c>
    </row>
    <row r="77" spans="1:29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5">
        <f t="shared" si="44"/>
        <v>0</v>
      </c>
    </row>
    <row r="78" spans="1:29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5">
        <f t="shared" si="44"/>
        <v>0</v>
      </c>
    </row>
    <row r="79" spans="1:29">
      <c r="A79" s="6" t="s">
        <v>26</v>
      </c>
      <c r="B79" s="66" t="s">
        <v>51</v>
      </c>
      <c r="C79" s="82"/>
      <c r="D79" s="73"/>
      <c r="E79" s="5">
        <f t="shared" ref="E79:AC79" si="45">SUM(E69:E78)</f>
        <v>80</v>
      </c>
      <c r="F79" s="5">
        <f t="shared" ref="F79:R79" si="46">SUM(F69:F78)</f>
        <v>56</v>
      </c>
      <c r="G79" s="5">
        <f t="shared" si="46"/>
        <v>79</v>
      </c>
      <c r="H79" s="5">
        <f t="shared" si="46"/>
        <v>57</v>
      </c>
      <c r="I79" s="5">
        <f t="shared" si="46"/>
        <v>41</v>
      </c>
      <c r="J79" s="5">
        <f t="shared" si="46"/>
        <v>82</v>
      </c>
      <c r="K79" s="5">
        <f t="shared" si="46"/>
        <v>96</v>
      </c>
      <c r="L79" s="5">
        <f t="shared" si="46"/>
        <v>34</v>
      </c>
      <c r="M79" s="5">
        <f t="shared" si="46"/>
        <v>34</v>
      </c>
      <c r="N79" s="5">
        <f t="shared" si="46"/>
        <v>68</v>
      </c>
      <c r="O79" s="5">
        <f t="shared" si="46"/>
        <v>25</v>
      </c>
      <c r="P79" s="5">
        <f t="shared" si="46"/>
        <v>52</v>
      </c>
      <c r="Q79" s="5">
        <f t="shared" ref="Q79" si="47">SUM(Q69:Q78)</f>
        <v>122</v>
      </c>
      <c r="R79" s="5">
        <f t="shared" si="46"/>
        <v>132</v>
      </c>
      <c r="S79" s="5">
        <f t="shared" si="45"/>
        <v>114</v>
      </c>
      <c r="T79" s="5">
        <f t="shared" si="45"/>
        <v>55</v>
      </c>
      <c r="U79" s="5">
        <f t="shared" si="45"/>
        <v>52</v>
      </c>
      <c r="V79" s="5">
        <f t="shared" si="45"/>
        <v>54</v>
      </c>
      <c r="W79" s="5">
        <f t="shared" si="45"/>
        <v>32</v>
      </c>
      <c r="X79" s="5">
        <f t="shared" si="45"/>
        <v>51</v>
      </c>
      <c r="Y79" s="5">
        <f t="shared" si="45"/>
        <v>90</v>
      </c>
      <c r="Z79" s="5">
        <f t="shared" si="45"/>
        <v>78</v>
      </c>
      <c r="AA79" s="5">
        <f t="shared" si="45"/>
        <v>85</v>
      </c>
      <c r="AB79" s="5">
        <f t="shared" si="45"/>
        <v>54</v>
      </c>
      <c r="AC79" s="5">
        <f t="shared" si="45"/>
        <v>1623</v>
      </c>
    </row>
    <row r="80" spans="1:29">
      <c r="A80" s="83"/>
      <c r="B80" s="84"/>
      <c r="C80" s="84"/>
      <c r="D80" s="84"/>
      <c r="E80" s="84"/>
    </row>
    <row r="81" spans="1:29">
      <c r="A81" s="11" t="s">
        <v>48</v>
      </c>
      <c r="B81" s="17" t="s">
        <v>34</v>
      </c>
      <c r="C81" s="72" t="s">
        <v>54</v>
      </c>
      <c r="D81" s="73"/>
      <c r="E81" s="6">
        <v>4</v>
      </c>
      <c r="F81" s="6">
        <v>4</v>
      </c>
      <c r="G81" s="6">
        <v>3</v>
      </c>
      <c r="H81" s="6">
        <v>2</v>
      </c>
      <c r="I81" s="6">
        <v>0</v>
      </c>
      <c r="J81" s="6">
        <v>2</v>
      </c>
      <c r="K81" s="6">
        <v>2</v>
      </c>
      <c r="L81" s="6">
        <v>3</v>
      </c>
      <c r="M81" s="6">
        <v>3</v>
      </c>
      <c r="N81" s="6">
        <v>0</v>
      </c>
      <c r="O81" s="6">
        <v>1</v>
      </c>
      <c r="P81" s="6">
        <v>1</v>
      </c>
      <c r="Q81" s="6">
        <v>2</v>
      </c>
      <c r="R81" s="6">
        <v>4</v>
      </c>
      <c r="S81" s="6">
        <v>2</v>
      </c>
      <c r="T81" s="6">
        <v>9</v>
      </c>
      <c r="U81" s="6">
        <v>2</v>
      </c>
      <c r="V81" s="6">
        <v>1</v>
      </c>
      <c r="W81" s="6">
        <v>3</v>
      </c>
      <c r="X81" s="6">
        <v>3</v>
      </c>
      <c r="Y81" s="6">
        <v>1</v>
      </c>
      <c r="Z81" s="6">
        <v>0</v>
      </c>
      <c r="AA81" s="6">
        <v>3</v>
      </c>
      <c r="AB81" s="6">
        <v>1</v>
      </c>
      <c r="AC81" s="5">
        <f t="shared" ref="AC81:AC90" si="48">SUM(E81:AB81)</f>
        <v>56</v>
      </c>
    </row>
    <row r="82" spans="1:29">
      <c r="A82" s="11" t="s">
        <v>50</v>
      </c>
      <c r="B82" s="50"/>
      <c r="C82" s="24" t="s">
        <v>126</v>
      </c>
      <c r="D82" s="51"/>
      <c r="E82" s="6">
        <v>5</v>
      </c>
      <c r="F82" s="6">
        <v>5</v>
      </c>
      <c r="G82" s="6">
        <v>7</v>
      </c>
      <c r="H82" s="6">
        <v>3</v>
      </c>
      <c r="I82" s="6">
        <v>1</v>
      </c>
      <c r="J82" s="6">
        <v>3</v>
      </c>
      <c r="K82" s="6">
        <v>0</v>
      </c>
      <c r="L82" s="6">
        <v>2</v>
      </c>
      <c r="M82" s="6">
        <v>1</v>
      </c>
      <c r="N82" s="6">
        <v>2</v>
      </c>
      <c r="O82" s="6">
        <v>2</v>
      </c>
      <c r="P82" s="6">
        <v>2</v>
      </c>
      <c r="Q82" s="6">
        <v>2</v>
      </c>
      <c r="R82" s="6">
        <v>0</v>
      </c>
      <c r="S82" s="6">
        <v>1</v>
      </c>
      <c r="T82" s="6">
        <v>1</v>
      </c>
      <c r="U82" s="6">
        <v>1</v>
      </c>
      <c r="V82" s="6">
        <v>1</v>
      </c>
      <c r="W82" s="6">
        <v>0</v>
      </c>
      <c r="X82" s="6">
        <v>4</v>
      </c>
      <c r="Y82" s="6">
        <v>6</v>
      </c>
      <c r="Z82" s="6">
        <v>3</v>
      </c>
      <c r="AA82" s="6">
        <v>16</v>
      </c>
      <c r="AB82" s="6">
        <v>2</v>
      </c>
      <c r="AC82" s="5">
        <f t="shared" si="48"/>
        <v>70</v>
      </c>
    </row>
    <row r="83" spans="1:29">
      <c r="A83" s="7"/>
      <c r="B83" s="50"/>
      <c r="C83" s="24" t="s">
        <v>127</v>
      </c>
      <c r="D83" s="51"/>
      <c r="E83" s="6">
        <v>1</v>
      </c>
      <c r="F83" s="6">
        <v>2</v>
      </c>
      <c r="G83" s="6">
        <v>0</v>
      </c>
      <c r="H83" s="6">
        <v>1</v>
      </c>
      <c r="I83" s="6">
        <v>1</v>
      </c>
      <c r="J83" s="6">
        <v>9</v>
      </c>
      <c r="K83" s="6">
        <v>6</v>
      </c>
      <c r="L83" s="6">
        <v>0</v>
      </c>
      <c r="M83" s="6">
        <v>5</v>
      </c>
      <c r="N83" s="6">
        <v>1</v>
      </c>
      <c r="O83" s="6">
        <v>0</v>
      </c>
      <c r="P83" s="6">
        <v>0</v>
      </c>
      <c r="Q83" s="6">
        <v>0</v>
      </c>
      <c r="R83" s="6">
        <v>3</v>
      </c>
      <c r="S83" s="6">
        <v>3</v>
      </c>
      <c r="T83" s="6">
        <v>27</v>
      </c>
      <c r="U83" s="6">
        <v>10</v>
      </c>
      <c r="V83" s="6">
        <v>3</v>
      </c>
      <c r="W83" s="6">
        <v>1</v>
      </c>
      <c r="X83" s="6">
        <v>1</v>
      </c>
      <c r="Y83" s="6">
        <v>0</v>
      </c>
      <c r="Z83" s="6">
        <v>1</v>
      </c>
      <c r="AA83" s="6">
        <v>2</v>
      </c>
      <c r="AB83" s="6">
        <v>0</v>
      </c>
      <c r="AC83" s="5">
        <f t="shared" si="48"/>
        <v>77</v>
      </c>
    </row>
    <row r="84" spans="1:29">
      <c r="A84" s="7"/>
      <c r="B84" s="50"/>
      <c r="C84" s="24" t="s">
        <v>128</v>
      </c>
      <c r="D84" s="51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2</v>
      </c>
      <c r="U84" s="6">
        <v>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5">
        <f t="shared" si="48"/>
        <v>4</v>
      </c>
    </row>
    <row r="85" spans="1:29" ht="13.15" customHeight="1">
      <c r="A85" s="7"/>
      <c r="B85" s="50"/>
      <c r="C85" s="24" t="s">
        <v>129</v>
      </c>
      <c r="D85" s="51"/>
      <c r="E85" s="6">
        <v>2</v>
      </c>
      <c r="F85" s="6">
        <v>3</v>
      </c>
      <c r="G85" s="6">
        <v>0</v>
      </c>
      <c r="H85" s="6">
        <v>0</v>
      </c>
      <c r="I85" s="6">
        <v>0</v>
      </c>
      <c r="J85" s="6">
        <v>4</v>
      </c>
      <c r="K85" s="6">
        <v>0</v>
      </c>
      <c r="L85" s="6">
        <v>3</v>
      </c>
      <c r="M85" s="6">
        <v>10</v>
      </c>
      <c r="N85" s="6">
        <v>2</v>
      </c>
      <c r="O85" s="6">
        <v>2</v>
      </c>
      <c r="P85" s="6">
        <v>1</v>
      </c>
      <c r="Q85" s="6">
        <v>1</v>
      </c>
      <c r="R85" s="6">
        <v>1</v>
      </c>
      <c r="S85" s="6">
        <v>0</v>
      </c>
      <c r="T85" s="6">
        <v>1</v>
      </c>
      <c r="U85" s="6">
        <v>0</v>
      </c>
      <c r="V85" s="6">
        <v>0</v>
      </c>
      <c r="W85" s="6">
        <v>0</v>
      </c>
      <c r="X85" s="6">
        <v>1</v>
      </c>
      <c r="Y85" s="6">
        <v>0</v>
      </c>
      <c r="Z85" s="6">
        <v>1</v>
      </c>
      <c r="AA85" s="6">
        <v>0</v>
      </c>
      <c r="AB85" s="6">
        <v>1</v>
      </c>
      <c r="AC85" s="5">
        <f t="shared" si="48"/>
        <v>33</v>
      </c>
    </row>
    <row r="86" spans="1:29">
      <c r="A86" s="7"/>
      <c r="B86" s="50"/>
      <c r="C86" s="24" t="s">
        <v>130</v>
      </c>
      <c r="D86" s="51"/>
      <c r="E86" s="6">
        <v>0</v>
      </c>
      <c r="F86" s="6">
        <v>0</v>
      </c>
      <c r="G86" s="6">
        <v>0</v>
      </c>
      <c r="H86" s="6">
        <v>2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1</v>
      </c>
      <c r="X86" s="6">
        <v>0</v>
      </c>
      <c r="Y86" s="6">
        <v>0</v>
      </c>
      <c r="Z86" s="6">
        <v>0</v>
      </c>
      <c r="AA86" s="6">
        <v>1</v>
      </c>
      <c r="AB86" s="6">
        <v>0</v>
      </c>
      <c r="AC86" s="5">
        <f t="shared" si="48"/>
        <v>7</v>
      </c>
    </row>
    <row r="87" spans="1:29">
      <c r="A87" s="7"/>
      <c r="B87" s="50"/>
      <c r="C87" s="24" t="s">
        <v>131</v>
      </c>
      <c r="D87" s="51"/>
      <c r="E87" s="6">
        <v>0</v>
      </c>
      <c r="F87" s="6">
        <v>5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f t="shared" si="48"/>
        <v>6</v>
      </c>
    </row>
    <row r="88" spans="1:29">
      <c r="A88" s="7"/>
      <c r="B88" s="50"/>
      <c r="C88" s="24" t="s">
        <v>132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5">
        <f t="shared" si="48"/>
        <v>1</v>
      </c>
    </row>
    <row r="89" spans="1:29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5">
        <f t="shared" si="48"/>
        <v>0</v>
      </c>
    </row>
    <row r="90" spans="1:29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">
        <f t="shared" si="48"/>
        <v>0</v>
      </c>
    </row>
    <row r="91" spans="1:29">
      <c r="A91" s="6" t="s">
        <v>26</v>
      </c>
      <c r="B91" s="66" t="s">
        <v>51</v>
      </c>
      <c r="C91" s="82"/>
      <c r="D91" s="73"/>
      <c r="E91" s="5">
        <f t="shared" ref="E91:AC91" si="49">SUM(E81:E90)</f>
        <v>13</v>
      </c>
      <c r="F91" s="5">
        <f t="shared" ref="F91:R91" si="50">SUM(F81:F90)</f>
        <v>19</v>
      </c>
      <c r="G91" s="5">
        <f t="shared" si="50"/>
        <v>11</v>
      </c>
      <c r="H91" s="5">
        <f t="shared" si="50"/>
        <v>8</v>
      </c>
      <c r="I91" s="5">
        <f t="shared" si="50"/>
        <v>2</v>
      </c>
      <c r="J91" s="5">
        <f t="shared" si="50"/>
        <v>18</v>
      </c>
      <c r="K91" s="5">
        <f t="shared" si="50"/>
        <v>8</v>
      </c>
      <c r="L91" s="5">
        <f t="shared" si="50"/>
        <v>9</v>
      </c>
      <c r="M91" s="5">
        <f t="shared" si="50"/>
        <v>19</v>
      </c>
      <c r="N91" s="5">
        <f t="shared" si="50"/>
        <v>5</v>
      </c>
      <c r="O91" s="5">
        <f t="shared" si="50"/>
        <v>6</v>
      </c>
      <c r="P91" s="5">
        <f t="shared" si="50"/>
        <v>4</v>
      </c>
      <c r="Q91" s="5">
        <f t="shared" ref="Q91" si="51">SUM(Q81:Q90)</f>
        <v>5</v>
      </c>
      <c r="R91" s="5">
        <f t="shared" si="50"/>
        <v>8</v>
      </c>
      <c r="S91" s="5">
        <f t="shared" si="49"/>
        <v>6</v>
      </c>
      <c r="T91" s="5">
        <f t="shared" si="49"/>
        <v>40</v>
      </c>
      <c r="U91" s="5">
        <f t="shared" si="49"/>
        <v>14</v>
      </c>
      <c r="V91" s="5">
        <f t="shared" si="49"/>
        <v>6</v>
      </c>
      <c r="W91" s="5">
        <f t="shared" si="49"/>
        <v>6</v>
      </c>
      <c r="X91" s="5">
        <f t="shared" si="49"/>
        <v>9</v>
      </c>
      <c r="Y91" s="5">
        <f t="shared" si="49"/>
        <v>7</v>
      </c>
      <c r="Z91" s="5">
        <f t="shared" si="49"/>
        <v>5</v>
      </c>
      <c r="AA91" s="5">
        <f t="shared" si="49"/>
        <v>22</v>
      </c>
      <c r="AB91" s="5">
        <f t="shared" si="49"/>
        <v>4</v>
      </c>
      <c r="AC91" s="5">
        <f t="shared" si="49"/>
        <v>254</v>
      </c>
    </row>
    <row r="92" spans="1:29">
      <c r="A92" s="83"/>
      <c r="B92" s="84"/>
      <c r="C92" s="84"/>
      <c r="D92" s="84"/>
      <c r="E92" s="84"/>
    </row>
    <row r="93" spans="1:29">
      <c r="A93" s="11" t="s">
        <v>48</v>
      </c>
      <c r="B93" s="17" t="s">
        <v>55</v>
      </c>
      <c r="C93" s="72" t="s">
        <v>56</v>
      </c>
      <c r="D93" s="73"/>
      <c r="E93" s="6">
        <v>0</v>
      </c>
      <c r="F93" s="6">
        <v>0</v>
      </c>
      <c r="G93" s="6">
        <v>1</v>
      </c>
      <c r="H93" s="6">
        <v>2</v>
      </c>
      <c r="I93" s="6">
        <v>2</v>
      </c>
      <c r="J93" s="6">
        <v>1</v>
      </c>
      <c r="K93" s="6">
        <v>1</v>
      </c>
      <c r="L93" s="6">
        <v>3</v>
      </c>
      <c r="M93" s="6">
        <v>3</v>
      </c>
      <c r="N93" s="6">
        <v>1</v>
      </c>
      <c r="O93" s="6">
        <v>2</v>
      </c>
      <c r="P93" s="6">
        <v>1</v>
      </c>
      <c r="Q93" s="6">
        <v>0</v>
      </c>
      <c r="R93" s="6">
        <v>1</v>
      </c>
      <c r="S93" s="6">
        <v>5</v>
      </c>
      <c r="T93" s="6">
        <v>4</v>
      </c>
      <c r="U93" s="6">
        <v>1</v>
      </c>
      <c r="V93" s="6">
        <v>4</v>
      </c>
      <c r="W93" s="6">
        <v>7</v>
      </c>
      <c r="X93" s="6">
        <v>0</v>
      </c>
      <c r="Y93" s="6">
        <v>0</v>
      </c>
      <c r="Z93" s="6">
        <v>2</v>
      </c>
      <c r="AA93" s="6">
        <v>1</v>
      </c>
      <c r="AB93" s="6">
        <v>0</v>
      </c>
      <c r="AC93" s="5">
        <f t="shared" ref="AC93:AC102" si="52">SUM(E93:AB93)</f>
        <v>42</v>
      </c>
    </row>
    <row r="94" spans="1:29">
      <c r="A94" s="11" t="s">
        <v>50</v>
      </c>
      <c r="B94" s="50"/>
      <c r="C94" s="24" t="s">
        <v>133</v>
      </c>
      <c r="D94" s="51"/>
      <c r="E94" s="6">
        <v>6</v>
      </c>
      <c r="F94" s="6">
        <v>4</v>
      </c>
      <c r="G94" s="6">
        <v>3</v>
      </c>
      <c r="H94" s="6">
        <v>4</v>
      </c>
      <c r="I94" s="6">
        <v>0</v>
      </c>
      <c r="J94" s="6">
        <v>3</v>
      </c>
      <c r="K94" s="6">
        <v>0</v>
      </c>
      <c r="L94" s="6">
        <v>23</v>
      </c>
      <c r="M94" s="6">
        <v>21</v>
      </c>
      <c r="N94" s="6">
        <v>21</v>
      </c>
      <c r="O94" s="6">
        <v>30</v>
      </c>
      <c r="P94" s="6">
        <v>9</v>
      </c>
      <c r="Q94" s="6">
        <v>6</v>
      </c>
      <c r="R94" s="6">
        <v>4</v>
      </c>
      <c r="S94" s="6">
        <v>14</v>
      </c>
      <c r="T94" s="6">
        <v>11</v>
      </c>
      <c r="U94" s="6">
        <v>9</v>
      </c>
      <c r="V94" s="6">
        <v>27</v>
      </c>
      <c r="W94" s="6">
        <v>21</v>
      </c>
      <c r="X94" s="6">
        <v>3</v>
      </c>
      <c r="Y94" s="6">
        <v>6</v>
      </c>
      <c r="Z94" s="6">
        <v>5</v>
      </c>
      <c r="AA94" s="6">
        <v>15</v>
      </c>
      <c r="AB94" s="6">
        <v>14</v>
      </c>
      <c r="AC94" s="5">
        <f t="shared" si="52"/>
        <v>259</v>
      </c>
    </row>
    <row r="95" spans="1:29">
      <c r="A95" s="7"/>
      <c r="B95" s="50"/>
      <c r="C95" s="24" t="s">
        <v>134</v>
      </c>
      <c r="D95" s="51"/>
      <c r="E95" s="6">
        <v>2</v>
      </c>
      <c r="F95" s="6">
        <v>1</v>
      </c>
      <c r="G95" s="6">
        <v>0</v>
      </c>
      <c r="H95" s="6">
        <v>0</v>
      </c>
      <c r="I95" s="6">
        <v>2</v>
      </c>
      <c r="J95" s="6">
        <v>0</v>
      </c>
      <c r="K95" s="6">
        <v>0</v>
      </c>
      <c r="L95" s="6">
        <v>2</v>
      </c>
      <c r="M95" s="6">
        <v>1</v>
      </c>
      <c r="N95" s="6">
        <v>0</v>
      </c>
      <c r="O95" s="6">
        <v>2</v>
      </c>
      <c r="P95" s="6">
        <v>4</v>
      </c>
      <c r="Q95" s="6">
        <v>1</v>
      </c>
      <c r="R95" s="6">
        <v>2</v>
      </c>
      <c r="S95" s="6">
        <v>14</v>
      </c>
      <c r="T95" s="6">
        <v>2</v>
      </c>
      <c r="U95" s="6">
        <v>1</v>
      </c>
      <c r="V95" s="6">
        <v>0</v>
      </c>
      <c r="W95" s="6">
        <v>3</v>
      </c>
      <c r="X95" s="6">
        <v>1</v>
      </c>
      <c r="Y95" s="6">
        <v>0</v>
      </c>
      <c r="Z95" s="6">
        <v>0</v>
      </c>
      <c r="AA95" s="6">
        <v>0</v>
      </c>
      <c r="AB95" s="6">
        <v>1</v>
      </c>
      <c r="AC95" s="5">
        <f t="shared" si="52"/>
        <v>39</v>
      </c>
    </row>
    <row r="96" spans="1:29" ht="13.15" customHeight="1">
      <c r="A96" s="7"/>
      <c r="B96" s="50"/>
      <c r="C96" s="24" t="s">
        <v>135</v>
      </c>
      <c r="D96" s="51"/>
      <c r="E96" s="6">
        <v>1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1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5">
        <f t="shared" si="52"/>
        <v>6</v>
      </c>
    </row>
    <row r="97" spans="1:29">
      <c r="A97" s="7"/>
      <c r="B97" s="50"/>
      <c r="C97" s="24" t="s">
        <v>136</v>
      </c>
      <c r="D97" s="51"/>
      <c r="E97" s="6">
        <v>1</v>
      </c>
      <c r="F97" s="6">
        <v>1</v>
      </c>
      <c r="G97" s="6">
        <v>1</v>
      </c>
      <c r="H97" s="6">
        <v>1</v>
      </c>
      <c r="I97" s="6">
        <v>2</v>
      </c>
      <c r="J97" s="6">
        <v>6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5">
        <f t="shared" si="52"/>
        <v>12</v>
      </c>
    </row>
    <row r="98" spans="1:29">
      <c r="A98" s="7"/>
      <c r="B98" s="50"/>
      <c r="C98" s="24" t="s">
        <v>137</v>
      </c>
      <c r="D98" s="51"/>
      <c r="E98" s="6">
        <v>4</v>
      </c>
      <c r="F98" s="6">
        <v>1</v>
      </c>
      <c r="G98" s="6">
        <v>3</v>
      </c>
      <c r="H98" s="6">
        <v>1</v>
      </c>
      <c r="I98" s="6">
        <v>0</v>
      </c>
      <c r="J98" s="6">
        <v>0</v>
      </c>
      <c r="K98" s="6">
        <v>6</v>
      </c>
      <c r="L98" s="6">
        <v>4</v>
      </c>
      <c r="M98" s="6">
        <v>0</v>
      </c>
      <c r="N98" s="6">
        <v>3</v>
      </c>
      <c r="O98" s="6">
        <v>1</v>
      </c>
      <c r="P98" s="6">
        <v>0</v>
      </c>
      <c r="Q98" s="6">
        <v>0</v>
      </c>
      <c r="R98" s="6">
        <v>6</v>
      </c>
      <c r="S98" s="6">
        <v>2</v>
      </c>
      <c r="T98" s="6">
        <v>0</v>
      </c>
      <c r="U98" s="6">
        <v>1</v>
      </c>
      <c r="V98" s="6">
        <v>2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f t="shared" si="52"/>
        <v>34</v>
      </c>
    </row>
    <row r="99" spans="1:29">
      <c r="A99" s="7"/>
      <c r="B99" s="50"/>
      <c r="C99" s="24" t="s">
        <v>138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52"/>
        <v>0</v>
      </c>
    </row>
    <row r="100" spans="1:29">
      <c r="A100" s="7"/>
      <c r="B100" s="50"/>
      <c r="C100" s="24" t="s">
        <v>139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1</v>
      </c>
      <c r="AA100" s="6">
        <v>0</v>
      </c>
      <c r="AB100" s="6">
        <v>0</v>
      </c>
      <c r="AC100" s="5">
        <f t="shared" si="52"/>
        <v>1</v>
      </c>
    </row>
    <row r="101" spans="1:29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">
        <f t="shared" si="52"/>
        <v>0</v>
      </c>
    </row>
    <row r="102" spans="1:29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">
        <f t="shared" si="52"/>
        <v>0</v>
      </c>
    </row>
    <row r="103" spans="1:29">
      <c r="A103" s="6" t="s">
        <v>26</v>
      </c>
      <c r="B103" s="66" t="s">
        <v>51</v>
      </c>
      <c r="C103" s="82"/>
      <c r="D103" s="73"/>
      <c r="E103" s="5">
        <f t="shared" ref="E103:AC103" si="53">SUM(E93:E102)</f>
        <v>14</v>
      </c>
      <c r="F103" s="5">
        <f t="shared" ref="F103:R103" si="54">SUM(F93:F102)</f>
        <v>8</v>
      </c>
      <c r="G103" s="5">
        <f t="shared" si="54"/>
        <v>8</v>
      </c>
      <c r="H103" s="5">
        <f t="shared" si="54"/>
        <v>8</v>
      </c>
      <c r="I103" s="5">
        <f t="shared" si="54"/>
        <v>6</v>
      </c>
      <c r="J103" s="5">
        <f t="shared" si="54"/>
        <v>10</v>
      </c>
      <c r="K103" s="5">
        <f t="shared" si="54"/>
        <v>7</v>
      </c>
      <c r="L103" s="5">
        <f t="shared" si="54"/>
        <v>33</v>
      </c>
      <c r="M103" s="5">
        <f t="shared" si="54"/>
        <v>26</v>
      </c>
      <c r="N103" s="5">
        <f t="shared" si="54"/>
        <v>25</v>
      </c>
      <c r="O103" s="5">
        <f t="shared" si="54"/>
        <v>35</v>
      </c>
      <c r="P103" s="5">
        <f t="shared" si="54"/>
        <v>14</v>
      </c>
      <c r="Q103" s="5">
        <f t="shared" ref="Q103" si="55">SUM(Q93:Q102)</f>
        <v>8</v>
      </c>
      <c r="R103" s="5">
        <f t="shared" si="54"/>
        <v>13</v>
      </c>
      <c r="S103" s="5">
        <f t="shared" si="53"/>
        <v>35</v>
      </c>
      <c r="T103" s="5">
        <f t="shared" si="53"/>
        <v>17</v>
      </c>
      <c r="U103" s="5">
        <f t="shared" si="53"/>
        <v>12</v>
      </c>
      <c r="V103" s="5">
        <f t="shared" si="53"/>
        <v>33</v>
      </c>
      <c r="W103" s="5">
        <f t="shared" si="53"/>
        <v>31</v>
      </c>
      <c r="X103" s="5">
        <f t="shared" si="53"/>
        <v>5</v>
      </c>
      <c r="Y103" s="5">
        <f t="shared" si="53"/>
        <v>6</v>
      </c>
      <c r="Z103" s="5">
        <f t="shared" si="53"/>
        <v>8</v>
      </c>
      <c r="AA103" s="5">
        <f t="shared" si="53"/>
        <v>16</v>
      </c>
      <c r="AB103" s="5">
        <f t="shared" si="53"/>
        <v>15</v>
      </c>
      <c r="AC103" s="5">
        <f t="shared" si="53"/>
        <v>393</v>
      </c>
    </row>
    <row r="104" spans="1:29">
      <c r="A104" s="83"/>
      <c r="B104" s="84"/>
      <c r="C104" s="84"/>
      <c r="D104" s="84"/>
      <c r="E104" s="8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>
      <c r="A105" s="11" t="s">
        <v>48</v>
      </c>
      <c r="B105" s="17" t="s">
        <v>57</v>
      </c>
      <c r="C105" s="72" t="s">
        <v>58</v>
      </c>
      <c r="D105" s="73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0</v>
      </c>
      <c r="W105" s="6">
        <v>0</v>
      </c>
      <c r="X105" s="6">
        <v>0</v>
      </c>
      <c r="Y105" s="6">
        <v>1</v>
      </c>
      <c r="Z105" s="6">
        <v>3</v>
      </c>
      <c r="AA105" s="6">
        <v>1</v>
      </c>
      <c r="AB105" s="6">
        <v>0</v>
      </c>
      <c r="AC105" s="5">
        <f t="shared" ref="AC105:AC114" si="56">SUM(E105:AB105)</f>
        <v>8</v>
      </c>
    </row>
    <row r="106" spans="1:29">
      <c r="A106" s="11" t="s">
        <v>50</v>
      </c>
      <c r="B106" s="50"/>
      <c r="C106" s="24" t="s">
        <v>140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  <c r="X106" s="6">
        <v>0</v>
      </c>
      <c r="Y106" s="6">
        <v>0</v>
      </c>
      <c r="Z106" s="6">
        <v>2</v>
      </c>
      <c r="AA106" s="6">
        <v>0</v>
      </c>
      <c r="AB106" s="6">
        <v>0</v>
      </c>
      <c r="AC106" s="5">
        <f t="shared" si="56"/>
        <v>3</v>
      </c>
    </row>
    <row r="107" spans="1:29" ht="13.15" customHeight="1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5">
        <f t="shared" si="56"/>
        <v>0</v>
      </c>
    </row>
    <row r="108" spans="1:29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56"/>
        <v>0</v>
      </c>
    </row>
    <row r="109" spans="1:29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56"/>
        <v>0</v>
      </c>
    </row>
    <row r="110" spans="1:29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56"/>
        <v>0</v>
      </c>
    </row>
    <row r="111" spans="1:29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56"/>
        <v>0</v>
      </c>
    </row>
    <row r="112" spans="1:29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56"/>
        <v>0</v>
      </c>
    </row>
    <row r="113" spans="1:29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56"/>
        <v>0</v>
      </c>
    </row>
    <row r="114" spans="1:29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56"/>
        <v>0</v>
      </c>
    </row>
    <row r="115" spans="1:29" ht="13.15" customHeight="1">
      <c r="A115" s="6" t="s">
        <v>26</v>
      </c>
      <c r="B115" s="66" t="s">
        <v>51</v>
      </c>
      <c r="C115" s="67"/>
      <c r="D115" s="68"/>
      <c r="E115" s="5">
        <f t="shared" ref="E115:AC115" si="57">SUM(E105:E114)</f>
        <v>0</v>
      </c>
      <c r="F115" s="5">
        <f t="shared" ref="F115:R115" si="58">SUM(F105:F114)</f>
        <v>0</v>
      </c>
      <c r="G115" s="5">
        <f t="shared" si="58"/>
        <v>0</v>
      </c>
      <c r="H115" s="5">
        <f t="shared" si="58"/>
        <v>0</v>
      </c>
      <c r="I115" s="5">
        <f t="shared" si="58"/>
        <v>1</v>
      </c>
      <c r="J115" s="5">
        <f t="shared" si="58"/>
        <v>0</v>
      </c>
      <c r="K115" s="5">
        <f t="shared" si="58"/>
        <v>0</v>
      </c>
      <c r="L115" s="5">
        <f t="shared" si="58"/>
        <v>1</v>
      </c>
      <c r="M115" s="5">
        <f t="shared" si="58"/>
        <v>0</v>
      </c>
      <c r="N115" s="5">
        <f t="shared" si="58"/>
        <v>0</v>
      </c>
      <c r="O115" s="5">
        <f t="shared" si="58"/>
        <v>0</v>
      </c>
      <c r="P115" s="5">
        <f t="shared" si="58"/>
        <v>0</v>
      </c>
      <c r="Q115" s="5">
        <f t="shared" ref="Q115" si="59">SUM(Q105:Q114)</f>
        <v>0</v>
      </c>
      <c r="R115" s="5">
        <f t="shared" si="58"/>
        <v>0</v>
      </c>
      <c r="S115" s="5">
        <f t="shared" si="57"/>
        <v>0</v>
      </c>
      <c r="T115" s="5">
        <f t="shared" si="57"/>
        <v>0</v>
      </c>
      <c r="U115" s="5">
        <f t="shared" si="57"/>
        <v>2</v>
      </c>
      <c r="V115" s="5">
        <f t="shared" si="57"/>
        <v>0</v>
      </c>
      <c r="W115" s="5">
        <f t="shared" si="57"/>
        <v>0</v>
      </c>
      <c r="X115" s="5">
        <f t="shared" si="57"/>
        <v>0</v>
      </c>
      <c r="Y115" s="5">
        <f t="shared" si="57"/>
        <v>1</v>
      </c>
      <c r="Z115" s="5">
        <f t="shared" si="57"/>
        <v>5</v>
      </c>
      <c r="AA115" s="5">
        <f t="shared" si="57"/>
        <v>1</v>
      </c>
      <c r="AB115" s="5">
        <f t="shared" si="57"/>
        <v>0</v>
      </c>
      <c r="AC115" s="5">
        <f t="shared" si="57"/>
        <v>11</v>
      </c>
    </row>
    <row r="116" spans="1:29">
      <c r="A116" s="74"/>
      <c r="B116" s="75"/>
      <c r="C116" s="75"/>
      <c r="D116" s="75"/>
      <c r="E116" s="7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>
      <c r="A117" s="11" t="s">
        <v>48</v>
      </c>
      <c r="B117" s="17" t="s">
        <v>59</v>
      </c>
      <c r="C117" s="72" t="s">
        <v>60</v>
      </c>
      <c r="D117" s="73"/>
      <c r="E117" s="6">
        <v>0</v>
      </c>
      <c r="F117" s="6">
        <v>0</v>
      </c>
      <c r="G117" s="6">
        <v>2</v>
      </c>
      <c r="H117" s="6">
        <v>0</v>
      </c>
      <c r="I117" s="6">
        <v>0</v>
      </c>
      <c r="J117" s="6">
        <v>5</v>
      </c>
      <c r="K117" s="6">
        <v>1</v>
      </c>
      <c r="L117" s="6">
        <v>0</v>
      </c>
      <c r="M117" s="6">
        <v>0</v>
      </c>
      <c r="N117" s="6">
        <v>1</v>
      </c>
      <c r="O117" s="6">
        <v>1</v>
      </c>
      <c r="P117" s="6">
        <v>2</v>
      </c>
      <c r="Q117" s="6">
        <v>1</v>
      </c>
      <c r="R117" s="6">
        <v>3</v>
      </c>
      <c r="S117" s="6">
        <v>4</v>
      </c>
      <c r="T117" s="6">
        <v>2</v>
      </c>
      <c r="U117" s="6">
        <v>1</v>
      </c>
      <c r="V117" s="6">
        <v>2</v>
      </c>
      <c r="W117" s="6">
        <v>0</v>
      </c>
      <c r="X117" s="6">
        <v>0</v>
      </c>
      <c r="Y117" s="6">
        <v>1</v>
      </c>
      <c r="Z117" s="6">
        <v>1</v>
      </c>
      <c r="AA117" s="6">
        <v>2</v>
      </c>
      <c r="AB117" s="6"/>
      <c r="AC117" s="5">
        <f t="shared" ref="AC117:AC126" si="60">SUM(E117:AB117)</f>
        <v>29</v>
      </c>
    </row>
    <row r="118" spans="1:29">
      <c r="A118" s="11" t="s">
        <v>50</v>
      </c>
      <c r="B118" s="50"/>
      <c r="C118" s="24" t="s">
        <v>141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2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1</v>
      </c>
      <c r="AB118" s="6">
        <v>0</v>
      </c>
      <c r="AC118" s="5">
        <f t="shared" si="60"/>
        <v>6</v>
      </c>
    </row>
    <row r="119" spans="1:29">
      <c r="A119" s="7"/>
      <c r="B119" s="45"/>
      <c r="C119" s="46"/>
      <c r="D119" s="47"/>
      <c r="E119" s="6">
        <v>0</v>
      </c>
      <c r="F119" s="6">
        <v>1</v>
      </c>
      <c r="G119" s="6">
        <v>2</v>
      </c>
      <c r="H119" s="6">
        <v>0</v>
      </c>
      <c r="I119" s="6">
        <v>0</v>
      </c>
      <c r="J119" s="6">
        <v>5</v>
      </c>
      <c r="K119" s="6">
        <v>1</v>
      </c>
      <c r="L119" s="6">
        <v>0</v>
      </c>
      <c r="M119" s="6">
        <v>0</v>
      </c>
      <c r="N119" s="6">
        <v>1</v>
      </c>
      <c r="O119" s="6">
        <v>1</v>
      </c>
      <c r="P119" s="6">
        <v>4</v>
      </c>
      <c r="Q119" s="6">
        <v>1</v>
      </c>
      <c r="R119" s="6">
        <v>3</v>
      </c>
      <c r="S119" s="6">
        <v>4</v>
      </c>
      <c r="T119" s="6">
        <v>2</v>
      </c>
      <c r="U119" s="6">
        <v>2</v>
      </c>
      <c r="V119" s="6">
        <v>2</v>
      </c>
      <c r="W119" s="6">
        <v>1</v>
      </c>
      <c r="X119" s="6">
        <v>0</v>
      </c>
      <c r="Y119" s="6">
        <v>1</v>
      </c>
      <c r="Z119" s="6">
        <v>1</v>
      </c>
      <c r="AA119" s="6">
        <v>3</v>
      </c>
      <c r="AB119" s="6">
        <v>0</v>
      </c>
      <c r="AC119" s="5">
        <f t="shared" si="60"/>
        <v>35</v>
      </c>
    </row>
    <row r="120" spans="1:29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5">
        <f t="shared" si="60"/>
        <v>0</v>
      </c>
    </row>
    <row r="121" spans="1:29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5">
        <f t="shared" si="60"/>
        <v>0</v>
      </c>
    </row>
    <row r="122" spans="1:29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5">
        <f t="shared" si="60"/>
        <v>0</v>
      </c>
    </row>
    <row r="123" spans="1:29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5">
        <f t="shared" si="60"/>
        <v>0</v>
      </c>
    </row>
    <row r="124" spans="1:29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60"/>
        <v>0</v>
      </c>
    </row>
    <row r="125" spans="1:29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60"/>
        <v>0</v>
      </c>
    </row>
    <row r="126" spans="1:29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60"/>
        <v>0</v>
      </c>
    </row>
    <row r="127" spans="1:29">
      <c r="A127" s="6" t="s">
        <v>26</v>
      </c>
      <c r="B127" s="66" t="s">
        <v>51</v>
      </c>
      <c r="C127" s="67"/>
      <c r="D127" s="68"/>
      <c r="E127" s="5">
        <f t="shared" ref="E127:AC127" si="61">SUM(E117:E126)</f>
        <v>0</v>
      </c>
      <c r="F127" s="5">
        <f t="shared" ref="F127:R127" si="62">SUM(F117:F126)</f>
        <v>2</v>
      </c>
      <c r="G127" s="5">
        <f t="shared" si="62"/>
        <v>4</v>
      </c>
      <c r="H127" s="5">
        <f t="shared" si="62"/>
        <v>0</v>
      </c>
      <c r="I127" s="5">
        <f t="shared" si="62"/>
        <v>0</v>
      </c>
      <c r="J127" s="5">
        <f t="shared" si="62"/>
        <v>10</v>
      </c>
      <c r="K127" s="5">
        <f t="shared" si="62"/>
        <v>2</v>
      </c>
      <c r="L127" s="5">
        <f t="shared" si="62"/>
        <v>0</v>
      </c>
      <c r="M127" s="5">
        <f t="shared" si="62"/>
        <v>0</v>
      </c>
      <c r="N127" s="5">
        <f t="shared" si="62"/>
        <v>2</v>
      </c>
      <c r="O127" s="5">
        <f t="shared" si="62"/>
        <v>2</v>
      </c>
      <c r="P127" s="5">
        <f t="shared" si="62"/>
        <v>8</v>
      </c>
      <c r="Q127" s="5">
        <f t="shared" ref="Q127" si="63">SUM(Q117:Q126)</f>
        <v>2</v>
      </c>
      <c r="R127" s="5">
        <f t="shared" si="62"/>
        <v>6</v>
      </c>
      <c r="S127" s="5">
        <f t="shared" si="61"/>
        <v>8</v>
      </c>
      <c r="T127" s="5">
        <f t="shared" si="61"/>
        <v>4</v>
      </c>
      <c r="U127" s="5">
        <f t="shared" si="61"/>
        <v>4</v>
      </c>
      <c r="V127" s="5">
        <f t="shared" si="61"/>
        <v>4</v>
      </c>
      <c r="W127" s="5">
        <f t="shared" si="61"/>
        <v>2</v>
      </c>
      <c r="X127" s="5">
        <f t="shared" si="61"/>
        <v>0</v>
      </c>
      <c r="Y127" s="5">
        <f t="shared" si="61"/>
        <v>2</v>
      </c>
      <c r="Z127" s="5">
        <f t="shared" si="61"/>
        <v>2</v>
      </c>
      <c r="AA127" s="5">
        <f t="shared" si="61"/>
        <v>6</v>
      </c>
      <c r="AB127" s="5">
        <f t="shared" si="61"/>
        <v>0</v>
      </c>
      <c r="AC127" s="5">
        <f t="shared" si="61"/>
        <v>70</v>
      </c>
    </row>
    <row r="128" spans="1:29">
      <c r="A128" s="74"/>
      <c r="B128" s="75"/>
      <c r="C128" s="75"/>
      <c r="D128" s="75"/>
      <c r="E128" s="7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>
      <c r="A129" s="11" t="s">
        <v>48</v>
      </c>
      <c r="B129" s="17" t="s">
        <v>61</v>
      </c>
      <c r="C129" s="72" t="s">
        <v>62</v>
      </c>
      <c r="D129" s="73"/>
      <c r="E129" s="6">
        <v>1</v>
      </c>
      <c r="F129" s="6">
        <v>1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1</v>
      </c>
      <c r="N129" s="6">
        <v>2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1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5">
        <f t="shared" ref="AC129:AC138" si="64">SUM(E129:AB129)</f>
        <v>7</v>
      </c>
    </row>
    <row r="130" spans="1:29" ht="13.15" customHeight="1">
      <c r="A130" s="11" t="s">
        <v>50</v>
      </c>
      <c r="B130" s="50"/>
      <c r="C130" s="24" t="s">
        <v>142</v>
      </c>
      <c r="D130" s="51"/>
      <c r="E130" s="6">
        <v>0</v>
      </c>
      <c r="F130" s="6">
        <v>1</v>
      </c>
      <c r="G130" s="6">
        <v>1</v>
      </c>
      <c r="H130" s="6">
        <v>1</v>
      </c>
      <c r="I130" s="6">
        <v>0</v>
      </c>
      <c r="J130" s="6">
        <v>1</v>
      </c>
      <c r="K130" s="6">
        <v>0</v>
      </c>
      <c r="L130" s="6">
        <v>2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64"/>
        <v>8</v>
      </c>
    </row>
    <row r="131" spans="1:29">
      <c r="A131" s="7"/>
      <c r="B131" s="50"/>
      <c r="C131" s="24" t="s">
        <v>143</v>
      </c>
      <c r="D131" s="51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 t="shared" si="64"/>
        <v>1</v>
      </c>
    </row>
    <row r="132" spans="1:29">
      <c r="A132" s="7"/>
      <c r="B132" s="50"/>
      <c r="C132" s="24" t="s">
        <v>144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64"/>
        <v>0</v>
      </c>
    </row>
    <row r="133" spans="1:29">
      <c r="A133" s="7"/>
      <c r="B133" s="50"/>
      <c r="C133" s="24" t="s">
        <v>145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64"/>
        <v>0</v>
      </c>
    </row>
    <row r="134" spans="1:29">
      <c r="A134" s="7"/>
      <c r="B134" s="50"/>
      <c r="C134" s="24" t="s">
        <v>146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5">
        <f t="shared" si="64"/>
        <v>2</v>
      </c>
    </row>
    <row r="135" spans="1:29">
      <c r="A135" s="7"/>
      <c r="B135" s="50"/>
      <c r="C135" s="24" t="s">
        <v>147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64"/>
        <v>0</v>
      </c>
    </row>
    <row r="136" spans="1:29">
      <c r="A136" s="7"/>
      <c r="B136" s="50"/>
      <c r="C136" s="24" t="s">
        <v>148</v>
      </c>
      <c r="D136" s="51"/>
      <c r="E136" s="6">
        <v>0</v>
      </c>
      <c r="F136" s="6">
        <v>3</v>
      </c>
      <c r="G136" s="6">
        <v>0</v>
      </c>
      <c r="H136" s="6">
        <v>1</v>
      </c>
      <c r="I136" s="6">
        <v>0</v>
      </c>
      <c r="J136" s="6">
        <v>0</v>
      </c>
      <c r="K136" s="6">
        <v>1</v>
      </c>
      <c r="L136" s="6">
        <v>1</v>
      </c>
      <c r="M136" s="6">
        <v>0</v>
      </c>
      <c r="N136" s="6">
        <v>0</v>
      </c>
      <c r="O136" s="6">
        <v>1</v>
      </c>
      <c r="P136" s="6">
        <v>1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64"/>
        <v>8</v>
      </c>
    </row>
    <row r="137" spans="1:29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">
        <f t="shared" si="64"/>
        <v>0</v>
      </c>
    </row>
    <row r="138" spans="1:29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5">
        <f t="shared" si="64"/>
        <v>0</v>
      </c>
    </row>
    <row r="139" spans="1:29">
      <c r="A139" s="6" t="s">
        <v>26</v>
      </c>
      <c r="B139" s="66" t="s">
        <v>51</v>
      </c>
      <c r="C139" s="67"/>
      <c r="D139" s="68"/>
      <c r="E139" s="5">
        <f t="shared" ref="E139:AC139" si="65">SUM(E129:E138)</f>
        <v>1</v>
      </c>
      <c r="F139" s="5">
        <f t="shared" ref="F139:R139" si="66">SUM(F129:F138)</f>
        <v>5</v>
      </c>
      <c r="G139" s="5">
        <f t="shared" si="66"/>
        <v>2</v>
      </c>
      <c r="H139" s="5">
        <f t="shared" si="66"/>
        <v>2</v>
      </c>
      <c r="I139" s="5">
        <f t="shared" si="66"/>
        <v>0</v>
      </c>
      <c r="J139" s="5">
        <f t="shared" si="66"/>
        <v>2</v>
      </c>
      <c r="K139" s="5">
        <f t="shared" si="66"/>
        <v>1</v>
      </c>
      <c r="L139" s="5">
        <f t="shared" si="66"/>
        <v>4</v>
      </c>
      <c r="M139" s="5">
        <f t="shared" si="66"/>
        <v>1</v>
      </c>
      <c r="N139" s="5">
        <f t="shared" si="66"/>
        <v>2</v>
      </c>
      <c r="O139" s="5">
        <f t="shared" si="66"/>
        <v>1</v>
      </c>
      <c r="P139" s="5">
        <f t="shared" si="66"/>
        <v>2</v>
      </c>
      <c r="Q139" s="5">
        <f t="shared" ref="Q139" si="67">SUM(Q129:Q138)</f>
        <v>0</v>
      </c>
      <c r="R139" s="5">
        <f t="shared" si="66"/>
        <v>0</v>
      </c>
      <c r="S139" s="5">
        <f t="shared" si="65"/>
        <v>1</v>
      </c>
      <c r="T139" s="5">
        <f t="shared" si="65"/>
        <v>0</v>
      </c>
      <c r="U139" s="5">
        <f t="shared" si="65"/>
        <v>1</v>
      </c>
      <c r="V139" s="5">
        <f t="shared" si="65"/>
        <v>0</v>
      </c>
      <c r="W139" s="5">
        <f t="shared" si="65"/>
        <v>1</v>
      </c>
      <c r="X139" s="5">
        <f t="shared" si="65"/>
        <v>0</v>
      </c>
      <c r="Y139" s="5">
        <f t="shared" si="65"/>
        <v>0</v>
      </c>
      <c r="Z139" s="5">
        <f t="shared" si="65"/>
        <v>0</v>
      </c>
      <c r="AA139" s="5">
        <f t="shared" si="65"/>
        <v>0</v>
      </c>
      <c r="AB139" s="5">
        <f t="shared" si="65"/>
        <v>0</v>
      </c>
      <c r="AC139" s="5">
        <f t="shared" si="65"/>
        <v>26</v>
      </c>
    </row>
    <row r="140" spans="1:29">
      <c r="A140" s="74"/>
      <c r="B140" s="75"/>
      <c r="C140" s="75"/>
      <c r="D140" s="75"/>
      <c r="E140" s="7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3.15" customHeight="1">
      <c r="A141" s="11" t="s">
        <v>48</v>
      </c>
      <c r="B141" s="17" t="s">
        <v>63</v>
      </c>
      <c r="C141" s="72" t="s">
        <v>64</v>
      </c>
      <c r="D141" s="73"/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1</v>
      </c>
      <c r="AC141" s="5">
        <f t="shared" ref="AC141:AC150" si="68">SUM(E141:AB141)</f>
        <v>2</v>
      </c>
    </row>
    <row r="142" spans="1:29">
      <c r="A142" s="11" t="s">
        <v>50</v>
      </c>
      <c r="B142" s="17"/>
      <c r="C142" s="24" t="s">
        <v>149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 t="shared" si="68"/>
        <v>0</v>
      </c>
    </row>
    <row r="143" spans="1:29">
      <c r="A143" s="7"/>
      <c r="B143" s="45"/>
      <c r="C143" s="46"/>
      <c r="D143" s="4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5">
        <f t="shared" si="68"/>
        <v>0</v>
      </c>
    </row>
    <row r="144" spans="1:29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5">
        <f t="shared" si="68"/>
        <v>0</v>
      </c>
    </row>
    <row r="145" spans="1:29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68"/>
        <v>0</v>
      </c>
    </row>
    <row r="146" spans="1:29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68"/>
        <v>0</v>
      </c>
    </row>
    <row r="147" spans="1:29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>
        <f t="shared" si="68"/>
        <v>0</v>
      </c>
    </row>
    <row r="148" spans="1:29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68"/>
        <v>0</v>
      </c>
    </row>
    <row r="149" spans="1:29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68"/>
        <v>0</v>
      </c>
    </row>
    <row r="150" spans="1:29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68"/>
        <v>0</v>
      </c>
    </row>
    <row r="151" spans="1:29" ht="13.15" customHeight="1">
      <c r="A151" s="6" t="s">
        <v>26</v>
      </c>
      <c r="B151" s="66" t="s">
        <v>51</v>
      </c>
      <c r="C151" s="67"/>
      <c r="D151" s="68"/>
      <c r="E151" s="5">
        <f t="shared" ref="E151:AC151" si="69">SUM(E141:E150)</f>
        <v>0</v>
      </c>
      <c r="F151" s="5">
        <f t="shared" ref="F151:R151" si="70">SUM(F141:F150)</f>
        <v>0</v>
      </c>
      <c r="G151" s="5">
        <f t="shared" si="70"/>
        <v>0</v>
      </c>
      <c r="H151" s="5">
        <f t="shared" si="70"/>
        <v>1</v>
      </c>
      <c r="I151" s="5">
        <f t="shared" si="70"/>
        <v>0</v>
      </c>
      <c r="J151" s="5">
        <f t="shared" si="70"/>
        <v>0</v>
      </c>
      <c r="K151" s="5">
        <f t="shared" si="70"/>
        <v>0</v>
      </c>
      <c r="L151" s="5">
        <f t="shared" si="70"/>
        <v>0</v>
      </c>
      <c r="M151" s="5">
        <f t="shared" si="70"/>
        <v>0</v>
      </c>
      <c r="N151" s="5">
        <f t="shared" si="70"/>
        <v>0</v>
      </c>
      <c r="O151" s="5">
        <f t="shared" si="70"/>
        <v>0</v>
      </c>
      <c r="P151" s="5">
        <f t="shared" si="70"/>
        <v>0</v>
      </c>
      <c r="Q151" s="5">
        <f t="shared" ref="Q151" si="71">SUM(Q141:Q150)</f>
        <v>0</v>
      </c>
      <c r="R151" s="5">
        <f t="shared" si="70"/>
        <v>0</v>
      </c>
      <c r="S151" s="5">
        <f t="shared" si="69"/>
        <v>0</v>
      </c>
      <c r="T151" s="5">
        <f t="shared" si="69"/>
        <v>0</v>
      </c>
      <c r="U151" s="5">
        <f t="shared" si="69"/>
        <v>0</v>
      </c>
      <c r="V151" s="5">
        <f t="shared" si="69"/>
        <v>0</v>
      </c>
      <c r="W151" s="5">
        <f t="shared" si="69"/>
        <v>0</v>
      </c>
      <c r="X151" s="5">
        <f t="shared" si="69"/>
        <v>0</v>
      </c>
      <c r="Y151" s="5">
        <f t="shared" si="69"/>
        <v>0</v>
      </c>
      <c r="Z151" s="5">
        <f t="shared" si="69"/>
        <v>0</v>
      </c>
      <c r="AA151" s="5">
        <f t="shared" si="69"/>
        <v>0</v>
      </c>
      <c r="AB151" s="5">
        <f t="shared" si="69"/>
        <v>1</v>
      </c>
      <c r="AC151" s="5">
        <f t="shared" si="69"/>
        <v>2</v>
      </c>
    </row>
    <row r="152" spans="1:29">
      <c r="A152" s="74"/>
      <c r="B152" s="75"/>
      <c r="C152" s="75"/>
      <c r="D152" s="75"/>
      <c r="E152" s="7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</row>
    <row r="153" spans="1:29">
      <c r="A153" s="11" t="s">
        <v>48</v>
      </c>
      <c r="B153" s="44" t="s">
        <v>65</v>
      </c>
      <c r="C153" s="80" t="s">
        <v>66</v>
      </c>
      <c r="D153" s="81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5">
        <f>SUM(E154:AB154)</f>
        <v>1</v>
      </c>
    </row>
    <row r="154" spans="1:29">
      <c r="A154" s="52" t="s">
        <v>50</v>
      </c>
      <c r="B154" s="50"/>
      <c r="C154" s="24" t="s">
        <v>150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1</v>
      </c>
      <c r="Z154" s="6">
        <v>0</v>
      </c>
      <c r="AA154" s="6">
        <v>0</v>
      </c>
      <c r="AB154" s="6">
        <v>0</v>
      </c>
      <c r="AC154" s="5">
        <f>SUM(E155:AB155)</f>
        <v>2</v>
      </c>
    </row>
    <row r="155" spans="1:29">
      <c r="A155" s="7"/>
      <c r="B155" s="50"/>
      <c r="C155" s="24" t="s">
        <v>151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5">
        <f>SUM(E156:AB156)</f>
        <v>1</v>
      </c>
    </row>
    <row r="156" spans="1:29">
      <c r="A156" s="7"/>
      <c r="B156" s="50"/>
      <c r="C156" s="24" t="s">
        <v>152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>SUM(E157:AB157)</f>
        <v>1</v>
      </c>
    </row>
    <row r="157" spans="1:29">
      <c r="A157" s="7"/>
      <c r="B157" s="50"/>
      <c r="C157" s="24" t="s">
        <v>153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ref="AC157:AC162" si="72">SUM(E163:AB163)</f>
        <v>37</v>
      </c>
    </row>
    <row r="158" spans="1:29">
      <c r="A158" s="7"/>
      <c r="B158" s="50"/>
      <c r="C158" s="24" t="s">
        <v>154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72"/>
        <v>0</v>
      </c>
    </row>
    <row r="159" spans="1:29">
      <c r="A159" s="7"/>
      <c r="B159" s="50"/>
      <c r="C159" s="24" t="s">
        <v>155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  <c r="M159" s="6">
        <v>1</v>
      </c>
      <c r="N159" s="6">
        <v>0</v>
      </c>
      <c r="O159" s="6">
        <v>4</v>
      </c>
      <c r="P159" s="6">
        <v>1</v>
      </c>
      <c r="Q159" s="6">
        <v>0</v>
      </c>
      <c r="R159" s="6">
        <v>2</v>
      </c>
      <c r="S159" s="6">
        <v>3</v>
      </c>
      <c r="T159" s="6">
        <v>2</v>
      </c>
      <c r="U159" s="6">
        <v>10</v>
      </c>
      <c r="V159" s="6">
        <v>0</v>
      </c>
      <c r="W159" s="6">
        <v>4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72"/>
        <v>1</v>
      </c>
    </row>
    <row r="160" spans="1:29">
      <c r="A160" s="7"/>
      <c r="B160" s="50"/>
      <c r="C160" s="24" t="s">
        <v>156</v>
      </c>
      <c r="D160" s="51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 t="shared" si="72"/>
        <v>0</v>
      </c>
    </row>
    <row r="161" spans="1:29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72"/>
        <v>0</v>
      </c>
    </row>
    <row r="162" spans="1:29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72"/>
        <v>0</v>
      </c>
    </row>
    <row r="163" spans="1:29">
      <c r="A163" s="6" t="s">
        <v>26</v>
      </c>
      <c r="B163" s="77" t="s">
        <v>51</v>
      </c>
      <c r="C163" s="78"/>
      <c r="D163" s="79"/>
      <c r="E163" s="5">
        <f t="shared" ref="E163:AC163" si="73">SUM(E153:E162)</f>
        <v>0</v>
      </c>
      <c r="F163" s="5">
        <f t="shared" ref="F163:R163" si="74">SUM(F153:F162)</f>
        <v>0</v>
      </c>
      <c r="G163" s="5">
        <f t="shared" si="74"/>
        <v>0</v>
      </c>
      <c r="H163" s="5">
        <f t="shared" si="74"/>
        <v>0</v>
      </c>
      <c r="I163" s="5">
        <f t="shared" si="74"/>
        <v>1</v>
      </c>
      <c r="J163" s="5">
        <f t="shared" si="74"/>
        <v>0</v>
      </c>
      <c r="K163" s="5">
        <f t="shared" si="74"/>
        <v>0</v>
      </c>
      <c r="L163" s="5">
        <f t="shared" si="74"/>
        <v>1</v>
      </c>
      <c r="M163" s="5">
        <f t="shared" si="74"/>
        <v>2</v>
      </c>
      <c r="N163" s="5">
        <f t="shared" si="74"/>
        <v>0</v>
      </c>
      <c r="O163" s="5">
        <f t="shared" si="74"/>
        <v>4</v>
      </c>
      <c r="P163" s="5">
        <f t="shared" si="74"/>
        <v>1</v>
      </c>
      <c r="Q163" s="5">
        <f t="shared" ref="Q163" si="75">SUM(Q153:Q162)</f>
        <v>1</v>
      </c>
      <c r="R163" s="5">
        <f t="shared" si="74"/>
        <v>3</v>
      </c>
      <c r="S163" s="5">
        <f t="shared" si="73"/>
        <v>4</v>
      </c>
      <c r="T163" s="5">
        <f t="shared" si="73"/>
        <v>2</v>
      </c>
      <c r="U163" s="5">
        <f t="shared" si="73"/>
        <v>12</v>
      </c>
      <c r="V163" s="5">
        <f t="shared" si="73"/>
        <v>0</v>
      </c>
      <c r="W163" s="5">
        <f t="shared" si="73"/>
        <v>4</v>
      </c>
      <c r="X163" s="5">
        <f t="shared" si="73"/>
        <v>0</v>
      </c>
      <c r="Y163" s="5">
        <f t="shared" si="73"/>
        <v>2</v>
      </c>
      <c r="Z163" s="5">
        <f t="shared" si="73"/>
        <v>0</v>
      </c>
      <c r="AA163" s="5">
        <f t="shared" si="73"/>
        <v>0</v>
      </c>
      <c r="AB163" s="5">
        <f t="shared" si="73"/>
        <v>0</v>
      </c>
      <c r="AC163" s="5">
        <f t="shared" si="73"/>
        <v>43</v>
      </c>
    </row>
    <row r="164" spans="1:29">
      <c r="A164" s="74"/>
      <c r="B164" s="75"/>
      <c r="C164" s="75"/>
      <c r="D164" s="75"/>
      <c r="E164" s="7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.15" customHeight="1">
      <c r="A165" s="11" t="s">
        <v>48</v>
      </c>
      <c r="B165" s="17" t="s">
        <v>67</v>
      </c>
      <c r="C165" s="72" t="s">
        <v>68</v>
      </c>
      <c r="D165" s="7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>
        <v>1</v>
      </c>
      <c r="AA165" s="6"/>
      <c r="AB165" s="6"/>
      <c r="AC165" s="5">
        <f t="shared" ref="AC165:AC174" si="76">SUM(E165:AB165)</f>
        <v>1</v>
      </c>
    </row>
    <row r="166" spans="1:29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5">
        <f t="shared" si="76"/>
        <v>0</v>
      </c>
    </row>
    <row r="167" spans="1:29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si="76"/>
        <v>0</v>
      </c>
    </row>
    <row r="168" spans="1:29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76"/>
        <v>0</v>
      </c>
    </row>
    <row r="169" spans="1:29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76"/>
        <v>0</v>
      </c>
    </row>
    <row r="170" spans="1:29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76"/>
        <v>0</v>
      </c>
    </row>
    <row r="171" spans="1:29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76"/>
        <v>0</v>
      </c>
    </row>
    <row r="172" spans="1:29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76"/>
        <v>0</v>
      </c>
    </row>
    <row r="173" spans="1:29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76"/>
        <v>0</v>
      </c>
    </row>
    <row r="174" spans="1:29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76"/>
        <v>0</v>
      </c>
    </row>
    <row r="175" spans="1:29">
      <c r="A175" s="6" t="s">
        <v>26</v>
      </c>
      <c r="B175" s="66" t="s">
        <v>51</v>
      </c>
      <c r="C175" s="67"/>
      <c r="D175" s="68"/>
      <c r="E175" s="5">
        <f t="shared" ref="E175:AC175" si="77">SUM(E165:E174)</f>
        <v>0</v>
      </c>
      <c r="F175" s="5">
        <f t="shared" ref="F175:R175" si="78">SUM(F165:F174)</f>
        <v>0</v>
      </c>
      <c r="G175" s="5">
        <f t="shared" si="78"/>
        <v>0</v>
      </c>
      <c r="H175" s="5">
        <f t="shared" si="78"/>
        <v>0</v>
      </c>
      <c r="I175" s="5">
        <f t="shared" si="78"/>
        <v>0</v>
      </c>
      <c r="J175" s="5">
        <f t="shared" si="78"/>
        <v>0</v>
      </c>
      <c r="K175" s="5">
        <f t="shared" si="78"/>
        <v>0</v>
      </c>
      <c r="L175" s="5">
        <f t="shared" si="78"/>
        <v>0</v>
      </c>
      <c r="M175" s="5">
        <f t="shared" si="78"/>
        <v>0</v>
      </c>
      <c r="N175" s="5">
        <f t="shared" si="78"/>
        <v>0</v>
      </c>
      <c r="O175" s="5">
        <f t="shared" si="78"/>
        <v>0</v>
      </c>
      <c r="P175" s="5">
        <f t="shared" si="78"/>
        <v>0</v>
      </c>
      <c r="Q175" s="5">
        <f t="shared" ref="Q175" si="79">SUM(Q165:Q174)</f>
        <v>0</v>
      </c>
      <c r="R175" s="5">
        <f t="shared" si="78"/>
        <v>0</v>
      </c>
      <c r="S175" s="5">
        <f t="shared" si="77"/>
        <v>0</v>
      </c>
      <c r="T175" s="5">
        <f t="shared" si="77"/>
        <v>0</v>
      </c>
      <c r="U175" s="5">
        <f t="shared" si="77"/>
        <v>0</v>
      </c>
      <c r="V175" s="5">
        <f t="shared" si="77"/>
        <v>0</v>
      </c>
      <c r="W175" s="5">
        <f t="shared" si="77"/>
        <v>0</v>
      </c>
      <c r="X175" s="5">
        <f t="shared" si="77"/>
        <v>0</v>
      </c>
      <c r="Y175" s="5">
        <f t="shared" si="77"/>
        <v>0</v>
      </c>
      <c r="Z175" s="5">
        <f t="shared" si="77"/>
        <v>1</v>
      </c>
      <c r="AA175" s="5">
        <f t="shared" si="77"/>
        <v>0</v>
      </c>
      <c r="AB175" s="5">
        <f t="shared" si="77"/>
        <v>0</v>
      </c>
      <c r="AC175" s="5">
        <f t="shared" si="77"/>
        <v>1</v>
      </c>
    </row>
    <row r="176" spans="1:29" ht="13.15" customHeight="1">
      <c r="A176" s="74"/>
      <c r="B176" s="75"/>
      <c r="C176" s="75"/>
      <c r="D176" s="75"/>
      <c r="E176" s="7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>
      <c r="A177" s="11" t="s">
        <v>48</v>
      </c>
      <c r="B177" s="17" t="s">
        <v>69</v>
      </c>
      <c r="C177" s="72" t="s">
        <v>70</v>
      </c>
      <c r="D177" s="73"/>
      <c r="E177" s="6">
        <v>0</v>
      </c>
      <c r="F177" s="6">
        <v>1</v>
      </c>
      <c r="G177" s="6">
        <v>1</v>
      </c>
      <c r="H177" s="6">
        <v>0</v>
      </c>
      <c r="I177" s="6">
        <v>2</v>
      </c>
      <c r="J177" s="6">
        <v>0</v>
      </c>
      <c r="K177" s="6">
        <v>0</v>
      </c>
      <c r="L177" s="6">
        <v>2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5">
        <f t="shared" ref="AC177:AC186" si="80">SUM(E177:AB177)</f>
        <v>8</v>
      </c>
    </row>
    <row r="178" spans="1:29">
      <c r="A178" s="11" t="s">
        <v>50</v>
      </c>
      <c r="B178" s="50"/>
      <c r="C178" s="24" t="s">
        <v>157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1</v>
      </c>
      <c r="V178" s="6">
        <v>0</v>
      </c>
      <c r="W178" s="6">
        <v>1</v>
      </c>
      <c r="X178" s="6">
        <v>1</v>
      </c>
      <c r="Y178" s="6">
        <v>0</v>
      </c>
      <c r="Z178" s="6">
        <v>1</v>
      </c>
      <c r="AA178" s="6">
        <v>0</v>
      </c>
      <c r="AB178" s="6">
        <v>1</v>
      </c>
      <c r="AC178" s="5">
        <f t="shared" si="80"/>
        <v>5</v>
      </c>
    </row>
    <row r="179" spans="1:29">
      <c r="A179" s="7"/>
      <c r="B179" s="50"/>
      <c r="C179" s="24" t="s">
        <v>158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f t="shared" si="80"/>
        <v>3</v>
      </c>
    </row>
    <row r="180" spans="1:29">
      <c r="A180" s="7"/>
      <c r="B180" s="50"/>
      <c r="C180" s="24" t="s">
        <v>159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5">
        <f t="shared" si="80"/>
        <v>1</v>
      </c>
    </row>
    <row r="181" spans="1:29">
      <c r="A181" s="7"/>
      <c r="B181" s="50"/>
      <c r="C181" s="24" t="s">
        <v>160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1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80"/>
        <v>1</v>
      </c>
    </row>
    <row r="182" spans="1:29">
      <c r="A182" s="7"/>
      <c r="B182" s="45"/>
      <c r="C182" s="46"/>
      <c r="D182" s="4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5">
        <f t="shared" si="80"/>
        <v>0</v>
      </c>
    </row>
    <row r="183" spans="1:29">
      <c r="A183" s="7"/>
      <c r="B183" s="45"/>
      <c r="C183" s="46"/>
      <c r="D183" s="4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5">
        <f t="shared" si="80"/>
        <v>0</v>
      </c>
    </row>
    <row r="184" spans="1:29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5">
        <f t="shared" si="80"/>
        <v>0</v>
      </c>
    </row>
    <row r="185" spans="1:29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5">
        <f t="shared" si="80"/>
        <v>0</v>
      </c>
    </row>
    <row r="186" spans="1:29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5">
        <f t="shared" si="80"/>
        <v>0</v>
      </c>
    </row>
    <row r="187" spans="1:29" ht="13.15" customHeight="1">
      <c r="A187" s="6" t="s">
        <v>26</v>
      </c>
      <c r="B187" s="66" t="s">
        <v>51</v>
      </c>
      <c r="C187" s="67"/>
      <c r="D187" s="68"/>
      <c r="E187" s="5">
        <f t="shared" ref="E187:AC187" si="81">SUM(E177:E186)</f>
        <v>0</v>
      </c>
      <c r="F187" s="5">
        <f t="shared" ref="F187:R187" si="82">SUM(F177:F186)</f>
        <v>1</v>
      </c>
      <c r="G187" s="5">
        <f t="shared" si="82"/>
        <v>1</v>
      </c>
      <c r="H187" s="5">
        <f t="shared" si="82"/>
        <v>0</v>
      </c>
      <c r="I187" s="5">
        <f t="shared" si="82"/>
        <v>2</v>
      </c>
      <c r="J187" s="5">
        <f t="shared" si="82"/>
        <v>0</v>
      </c>
      <c r="K187" s="5">
        <f t="shared" si="82"/>
        <v>0</v>
      </c>
      <c r="L187" s="5">
        <f t="shared" si="82"/>
        <v>2</v>
      </c>
      <c r="M187" s="5">
        <f t="shared" si="82"/>
        <v>2</v>
      </c>
      <c r="N187" s="5">
        <f t="shared" si="82"/>
        <v>0</v>
      </c>
      <c r="O187" s="5">
        <f t="shared" si="82"/>
        <v>0</v>
      </c>
      <c r="P187" s="5">
        <f t="shared" si="82"/>
        <v>0</v>
      </c>
      <c r="Q187" s="5">
        <f t="shared" ref="Q187" si="83">SUM(Q177:Q186)</f>
        <v>1</v>
      </c>
      <c r="R187" s="5">
        <f t="shared" si="82"/>
        <v>0</v>
      </c>
      <c r="S187" s="5">
        <f t="shared" si="81"/>
        <v>0</v>
      </c>
      <c r="T187" s="5">
        <f t="shared" si="81"/>
        <v>1</v>
      </c>
      <c r="U187" s="5">
        <f t="shared" si="81"/>
        <v>2</v>
      </c>
      <c r="V187" s="5">
        <f t="shared" si="81"/>
        <v>0</v>
      </c>
      <c r="W187" s="5">
        <f t="shared" si="81"/>
        <v>2</v>
      </c>
      <c r="X187" s="5">
        <f t="shared" si="81"/>
        <v>1</v>
      </c>
      <c r="Y187" s="5">
        <f t="shared" si="81"/>
        <v>0</v>
      </c>
      <c r="Z187" s="5">
        <f t="shared" si="81"/>
        <v>1</v>
      </c>
      <c r="AA187" s="5">
        <f t="shared" si="81"/>
        <v>1</v>
      </c>
      <c r="AB187" s="5">
        <f t="shared" si="81"/>
        <v>1</v>
      </c>
      <c r="AC187" s="5">
        <f t="shared" si="81"/>
        <v>18</v>
      </c>
    </row>
    <row r="188" spans="1:29">
      <c r="A188" s="74"/>
      <c r="B188" s="75"/>
      <c r="C188" s="75"/>
      <c r="D188" s="75"/>
      <c r="E188" s="7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5"/>
    </row>
    <row r="189" spans="1:29">
      <c r="A189" s="11" t="s">
        <v>48</v>
      </c>
      <c r="B189" s="17" t="s">
        <v>71</v>
      </c>
      <c r="C189" s="72" t="s">
        <v>72</v>
      </c>
      <c r="D189" s="73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/>
      <c r="U189" s="6"/>
      <c r="V189" s="6"/>
      <c r="W189" s="6"/>
      <c r="X189" s="6"/>
      <c r="Y189" s="6"/>
      <c r="Z189" s="6"/>
      <c r="AA189" s="6"/>
      <c r="AB189" s="6"/>
      <c r="AC189" s="5">
        <f t="shared" ref="AC189:AC198" si="84">SUM(E189:AB189)</f>
        <v>0</v>
      </c>
    </row>
    <row r="190" spans="1:29">
      <c r="A190" s="11" t="s">
        <v>50</v>
      </c>
      <c r="B190" s="50"/>
      <c r="C190" s="24" t="s">
        <v>161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1</v>
      </c>
      <c r="T190" s="6"/>
      <c r="U190" s="6"/>
      <c r="V190" s="6"/>
      <c r="W190" s="6"/>
      <c r="X190" s="6"/>
      <c r="Y190" s="6"/>
      <c r="Z190" s="6"/>
      <c r="AA190" s="6"/>
      <c r="AB190" s="6"/>
      <c r="AC190" s="5">
        <f t="shared" si="84"/>
        <v>2</v>
      </c>
    </row>
    <row r="191" spans="1:29">
      <c r="A191" s="7"/>
      <c r="B191" s="50"/>
      <c r="C191" s="24" t="s">
        <v>162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/>
      <c r="U191" s="6"/>
      <c r="V191" s="6"/>
      <c r="W191" s="6"/>
      <c r="X191" s="6"/>
      <c r="Y191" s="6"/>
      <c r="Z191" s="6"/>
      <c r="AA191" s="6"/>
      <c r="AB191" s="6"/>
      <c r="AC191" s="5">
        <f t="shared" si="84"/>
        <v>0</v>
      </c>
    </row>
    <row r="192" spans="1:29">
      <c r="A192" s="7"/>
      <c r="B192" s="50"/>
      <c r="C192" s="24" t="s">
        <v>163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/>
      <c r="U192" s="6"/>
      <c r="V192" s="6"/>
      <c r="W192" s="6"/>
      <c r="X192" s="6"/>
      <c r="Y192" s="6"/>
      <c r="Z192" s="6"/>
      <c r="AA192" s="6"/>
      <c r="AB192" s="6"/>
      <c r="AC192" s="5">
        <f t="shared" si="84"/>
        <v>0</v>
      </c>
    </row>
    <row r="193" spans="1:29">
      <c r="A193" s="7"/>
      <c r="B193" s="50"/>
      <c r="C193" s="24" t="s">
        <v>164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/>
      <c r="U193" s="6"/>
      <c r="V193" s="6"/>
      <c r="W193" s="6"/>
      <c r="X193" s="6"/>
      <c r="Y193" s="6"/>
      <c r="Z193" s="6"/>
      <c r="AA193" s="6"/>
      <c r="AB193" s="6"/>
      <c r="AC193" s="5">
        <f t="shared" si="84"/>
        <v>0</v>
      </c>
    </row>
    <row r="194" spans="1:29">
      <c r="A194" s="7"/>
      <c r="B194" s="50"/>
      <c r="C194" s="24" t="s">
        <v>165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/>
      <c r="V194" s="6"/>
      <c r="W194" s="6"/>
      <c r="X194" s="6"/>
      <c r="Y194" s="6"/>
      <c r="Z194" s="6"/>
      <c r="AA194" s="6"/>
      <c r="AB194" s="6"/>
      <c r="AC194" s="5">
        <f t="shared" si="84"/>
        <v>0</v>
      </c>
    </row>
    <row r="195" spans="1:29">
      <c r="A195" s="7"/>
      <c r="B195" s="50"/>
      <c r="C195" s="24" t="s">
        <v>166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/>
      <c r="U195" s="6"/>
      <c r="V195" s="6"/>
      <c r="W195" s="6"/>
      <c r="X195" s="6"/>
      <c r="Y195" s="6"/>
      <c r="Z195" s="6"/>
      <c r="AA195" s="6"/>
      <c r="AB195" s="6"/>
      <c r="AC195" s="5">
        <f t="shared" si="84"/>
        <v>0</v>
      </c>
    </row>
    <row r="196" spans="1:29" ht="13.15" customHeight="1">
      <c r="A196" s="7"/>
      <c r="B196" s="50"/>
      <c r="C196" s="24" t="s">
        <v>167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6"/>
      <c r="V196" s="6"/>
      <c r="W196" s="6"/>
      <c r="X196" s="6"/>
      <c r="Y196" s="6"/>
      <c r="Z196" s="6"/>
      <c r="AA196" s="6"/>
      <c r="AB196" s="6"/>
      <c r="AC196" s="5">
        <f t="shared" si="84"/>
        <v>0</v>
      </c>
    </row>
    <row r="197" spans="1:29" ht="13.15" customHeight="1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5">
        <f t="shared" si="84"/>
        <v>0</v>
      </c>
    </row>
    <row r="198" spans="1:29" ht="13.15" customHeight="1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5">
        <f t="shared" si="84"/>
        <v>0</v>
      </c>
    </row>
    <row r="199" spans="1:29">
      <c r="A199" s="6" t="s">
        <v>26</v>
      </c>
      <c r="B199" s="66" t="s">
        <v>51</v>
      </c>
      <c r="C199" s="67"/>
      <c r="D199" s="68"/>
      <c r="E199" s="5">
        <f t="shared" ref="E199:AC199" si="85">SUM(E189:E198)</f>
        <v>0</v>
      </c>
      <c r="F199" s="5">
        <f t="shared" ref="F199:R199" si="86">SUM(F189:F198)</f>
        <v>0</v>
      </c>
      <c r="G199" s="5">
        <f t="shared" si="86"/>
        <v>0</v>
      </c>
      <c r="H199" s="5">
        <f t="shared" si="86"/>
        <v>0</v>
      </c>
      <c r="I199" s="5">
        <f t="shared" si="86"/>
        <v>0</v>
      </c>
      <c r="J199" s="5">
        <f t="shared" si="86"/>
        <v>0</v>
      </c>
      <c r="K199" s="5">
        <f t="shared" si="86"/>
        <v>0</v>
      </c>
      <c r="L199" s="5">
        <f t="shared" si="86"/>
        <v>0</v>
      </c>
      <c r="M199" s="5">
        <f t="shared" si="86"/>
        <v>0</v>
      </c>
      <c r="N199" s="5">
        <f t="shared" si="86"/>
        <v>0</v>
      </c>
      <c r="O199" s="5">
        <f t="shared" si="86"/>
        <v>1</v>
      </c>
      <c r="P199" s="5">
        <f t="shared" si="86"/>
        <v>0</v>
      </c>
      <c r="Q199" s="5">
        <f t="shared" ref="Q199" si="87">SUM(Q189:Q198)</f>
        <v>0</v>
      </c>
      <c r="R199" s="5">
        <f t="shared" si="86"/>
        <v>0</v>
      </c>
      <c r="S199" s="5">
        <f t="shared" si="85"/>
        <v>1</v>
      </c>
      <c r="T199" s="5">
        <f t="shared" si="85"/>
        <v>0</v>
      </c>
      <c r="U199" s="5">
        <f t="shared" si="85"/>
        <v>0</v>
      </c>
      <c r="V199" s="5">
        <f t="shared" si="85"/>
        <v>0</v>
      </c>
      <c r="W199" s="5">
        <f t="shared" si="85"/>
        <v>0</v>
      </c>
      <c r="X199" s="5">
        <f t="shared" si="85"/>
        <v>0</v>
      </c>
      <c r="Y199" s="5">
        <f t="shared" si="85"/>
        <v>0</v>
      </c>
      <c r="Z199" s="5">
        <f t="shared" si="85"/>
        <v>0</v>
      </c>
      <c r="AA199" s="5">
        <f t="shared" si="85"/>
        <v>0</v>
      </c>
      <c r="AB199" s="5">
        <f t="shared" si="85"/>
        <v>0</v>
      </c>
      <c r="AC199" s="5">
        <f t="shared" si="85"/>
        <v>2</v>
      </c>
    </row>
    <row r="200" spans="1:29">
      <c r="A200" s="74"/>
      <c r="B200" s="75"/>
      <c r="C200" s="75"/>
      <c r="D200" s="75"/>
      <c r="E200" s="7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>
      <c r="A201" s="11" t="s">
        <v>48</v>
      </c>
      <c r="B201" s="17" t="s">
        <v>73</v>
      </c>
      <c r="C201" s="72" t="s">
        <v>74</v>
      </c>
      <c r="D201" s="73"/>
      <c r="E201" s="6">
        <v>1</v>
      </c>
      <c r="F201" s="6">
        <v>5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1</v>
      </c>
      <c r="M201" s="6">
        <v>1</v>
      </c>
      <c r="N201" s="6">
        <v>1</v>
      </c>
      <c r="O201" s="6">
        <v>0</v>
      </c>
      <c r="P201" s="6">
        <v>2</v>
      </c>
      <c r="Q201" s="6">
        <v>1</v>
      </c>
      <c r="R201" s="6">
        <v>0</v>
      </c>
      <c r="S201" s="6">
        <v>0</v>
      </c>
      <c r="T201" s="6">
        <v>1</v>
      </c>
      <c r="U201" s="6">
        <v>1</v>
      </c>
      <c r="V201" s="6">
        <v>0</v>
      </c>
      <c r="W201" s="6">
        <v>1</v>
      </c>
      <c r="X201" s="6">
        <v>3</v>
      </c>
      <c r="Y201" s="6">
        <v>7</v>
      </c>
      <c r="Z201" s="6">
        <v>10</v>
      </c>
      <c r="AA201" s="6">
        <v>11</v>
      </c>
      <c r="AB201" s="6">
        <v>1</v>
      </c>
      <c r="AC201" s="5">
        <f t="shared" ref="AC201:AC210" si="88">SUM(E201:AB201)</f>
        <v>47</v>
      </c>
    </row>
    <row r="202" spans="1:29">
      <c r="A202" s="11" t="s">
        <v>50</v>
      </c>
      <c r="B202" s="50"/>
      <c r="C202" s="24" t="s">
        <v>168</v>
      </c>
      <c r="D202" s="51"/>
      <c r="E202" s="6">
        <v>9</v>
      </c>
      <c r="F202" s="6">
        <v>3</v>
      </c>
      <c r="G202" s="6">
        <v>1</v>
      </c>
      <c r="H202" s="6">
        <v>3</v>
      </c>
      <c r="I202" s="6">
        <v>3</v>
      </c>
      <c r="J202" s="6">
        <v>1</v>
      </c>
      <c r="K202" s="6">
        <v>1</v>
      </c>
      <c r="L202" s="6">
        <v>1</v>
      </c>
      <c r="M202" s="6">
        <v>1</v>
      </c>
      <c r="N202" s="6">
        <v>0</v>
      </c>
      <c r="O202" s="6">
        <v>0</v>
      </c>
      <c r="P202" s="6">
        <v>0</v>
      </c>
      <c r="Q202" s="6">
        <v>1</v>
      </c>
      <c r="R202" s="6">
        <v>1</v>
      </c>
      <c r="S202" s="6">
        <v>1</v>
      </c>
      <c r="T202" s="6">
        <v>2</v>
      </c>
      <c r="U202" s="6">
        <v>0</v>
      </c>
      <c r="V202" s="6">
        <v>0</v>
      </c>
      <c r="W202" s="6">
        <v>2</v>
      </c>
      <c r="X202" s="6">
        <v>113</v>
      </c>
      <c r="Y202" s="6"/>
      <c r="Z202" s="6">
        <v>61</v>
      </c>
      <c r="AA202" s="6">
        <v>72</v>
      </c>
      <c r="AB202" s="6">
        <v>61</v>
      </c>
      <c r="AC202" s="5">
        <f t="shared" si="88"/>
        <v>337</v>
      </c>
    </row>
    <row r="203" spans="1:29">
      <c r="A203" s="7"/>
      <c r="B203" s="50"/>
      <c r="C203" s="24" t="s">
        <v>169</v>
      </c>
      <c r="D203" s="51"/>
      <c r="E203" s="6">
        <v>2</v>
      </c>
      <c r="F203" s="6">
        <v>0</v>
      </c>
      <c r="G203" s="6">
        <v>1</v>
      </c>
      <c r="H203" s="6">
        <v>0</v>
      </c>
      <c r="I203" s="6">
        <v>0</v>
      </c>
      <c r="J203" s="6">
        <v>1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3</v>
      </c>
      <c r="Y203" s="6">
        <v>0</v>
      </c>
      <c r="Z203" s="6">
        <v>3</v>
      </c>
      <c r="AA203" s="6">
        <v>1</v>
      </c>
      <c r="AB203" s="6">
        <v>0</v>
      </c>
      <c r="AC203" s="5">
        <f t="shared" si="88"/>
        <v>12</v>
      </c>
    </row>
    <row r="204" spans="1:29">
      <c r="A204" s="7"/>
      <c r="B204" s="50"/>
      <c r="C204" s="24" t="s">
        <v>170</v>
      </c>
      <c r="D204" s="51"/>
      <c r="E204" s="6">
        <v>1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1</v>
      </c>
      <c r="AC204" s="5">
        <f t="shared" si="88"/>
        <v>4</v>
      </c>
    </row>
    <row r="205" spans="1:29">
      <c r="A205" s="7"/>
      <c r="B205" s="50"/>
      <c r="C205" s="24" t="s">
        <v>171</v>
      </c>
      <c r="D205" s="51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4</v>
      </c>
      <c r="Y205" s="6">
        <v>0</v>
      </c>
      <c r="Z205" s="6">
        <v>2</v>
      </c>
      <c r="AA205" s="6">
        <v>5</v>
      </c>
      <c r="AB205" s="6">
        <v>0</v>
      </c>
      <c r="AC205" s="5">
        <f t="shared" si="88"/>
        <v>13</v>
      </c>
    </row>
    <row r="206" spans="1:29">
      <c r="A206" s="7"/>
      <c r="B206" s="50"/>
      <c r="C206" s="24" t="s">
        <v>172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88"/>
        <v>1</v>
      </c>
    </row>
    <row r="207" spans="1:29" ht="13.15" customHeight="1">
      <c r="A207" s="7"/>
      <c r="B207" s="50"/>
      <c r="C207" s="24" t="s">
        <v>173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1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88"/>
        <v>1</v>
      </c>
    </row>
    <row r="208" spans="1:29">
      <c r="A208" s="7"/>
      <c r="B208" s="50"/>
      <c r="C208" s="24" t="s">
        <v>174</v>
      </c>
      <c r="D208" s="51"/>
      <c r="E208" s="6">
        <v>0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1</v>
      </c>
      <c r="Y208" s="6">
        <v>0</v>
      </c>
      <c r="Z208" s="6">
        <v>0</v>
      </c>
      <c r="AA208" s="6">
        <v>0</v>
      </c>
      <c r="AB208" s="6">
        <v>0</v>
      </c>
      <c r="AC208" s="5">
        <f t="shared" si="88"/>
        <v>3</v>
      </c>
    </row>
    <row r="209" spans="1:29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5">
        <f t="shared" si="88"/>
        <v>0</v>
      </c>
    </row>
    <row r="210" spans="1:29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5">
        <f t="shared" si="88"/>
        <v>0</v>
      </c>
    </row>
    <row r="211" spans="1:29">
      <c r="A211" s="6" t="s">
        <v>26</v>
      </c>
      <c r="B211" s="66" t="s">
        <v>51</v>
      </c>
      <c r="C211" s="67"/>
      <c r="D211" s="68"/>
      <c r="E211" s="5">
        <f t="shared" ref="E211:AC211" si="89">SUM(E201:E210)</f>
        <v>13</v>
      </c>
      <c r="F211" s="5">
        <f t="shared" ref="F211:R211" si="90">SUM(F201:F210)</f>
        <v>11</v>
      </c>
      <c r="G211" s="5">
        <f t="shared" si="90"/>
        <v>2</v>
      </c>
      <c r="H211" s="5">
        <f t="shared" si="90"/>
        <v>3</v>
      </c>
      <c r="I211" s="5">
        <f t="shared" si="90"/>
        <v>3</v>
      </c>
      <c r="J211" s="5">
        <f t="shared" si="90"/>
        <v>2</v>
      </c>
      <c r="K211" s="5">
        <f t="shared" si="90"/>
        <v>2</v>
      </c>
      <c r="L211" s="5">
        <f t="shared" si="90"/>
        <v>2</v>
      </c>
      <c r="M211" s="5">
        <f t="shared" si="90"/>
        <v>2</v>
      </c>
      <c r="N211" s="5">
        <f t="shared" si="90"/>
        <v>3</v>
      </c>
      <c r="O211" s="5">
        <f t="shared" si="90"/>
        <v>0</v>
      </c>
      <c r="P211" s="5">
        <f t="shared" si="90"/>
        <v>2</v>
      </c>
      <c r="Q211" s="5">
        <f t="shared" ref="Q211" si="91">SUM(Q201:Q210)</f>
        <v>3</v>
      </c>
      <c r="R211" s="5">
        <f t="shared" si="90"/>
        <v>2</v>
      </c>
      <c r="S211" s="5">
        <f t="shared" si="89"/>
        <v>1</v>
      </c>
      <c r="T211" s="5">
        <f t="shared" si="89"/>
        <v>4</v>
      </c>
      <c r="U211" s="5">
        <f t="shared" si="89"/>
        <v>1</v>
      </c>
      <c r="V211" s="5">
        <f t="shared" si="89"/>
        <v>0</v>
      </c>
      <c r="W211" s="5">
        <f t="shared" si="89"/>
        <v>3</v>
      </c>
      <c r="X211" s="5">
        <f t="shared" si="89"/>
        <v>124</v>
      </c>
      <c r="Y211" s="5">
        <f t="shared" si="89"/>
        <v>7</v>
      </c>
      <c r="Z211" s="5">
        <f t="shared" si="89"/>
        <v>76</v>
      </c>
      <c r="AA211" s="5">
        <f t="shared" si="89"/>
        <v>89</v>
      </c>
      <c r="AB211" s="5">
        <f t="shared" si="89"/>
        <v>63</v>
      </c>
      <c r="AC211" s="5">
        <f t="shared" si="89"/>
        <v>418</v>
      </c>
    </row>
    <row r="212" spans="1:29">
      <c r="A212" s="74"/>
      <c r="B212" s="75"/>
      <c r="C212" s="75"/>
      <c r="D212" s="75"/>
      <c r="E212" s="7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>
      <c r="A213" s="11" t="s">
        <v>48</v>
      </c>
      <c r="B213" s="17" t="s">
        <v>75</v>
      </c>
      <c r="C213" s="72" t="s">
        <v>76</v>
      </c>
      <c r="D213" s="73"/>
      <c r="E213" s="6">
        <v>2</v>
      </c>
      <c r="F213" s="6">
        <v>0</v>
      </c>
      <c r="G213" s="6">
        <v>0</v>
      </c>
      <c r="H213" s="6">
        <v>1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1</v>
      </c>
      <c r="Q213" s="6">
        <v>3</v>
      </c>
      <c r="R213" s="6">
        <v>0</v>
      </c>
      <c r="S213" s="6">
        <v>1</v>
      </c>
      <c r="T213" s="6">
        <v>1</v>
      </c>
      <c r="U213" s="6">
        <v>0</v>
      </c>
      <c r="V213" s="6">
        <v>0</v>
      </c>
      <c r="W213" s="6">
        <v>0</v>
      </c>
      <c r="X213" s="6">
        <v>1</v>
      </c>
      <c r="Y213" s="6">
        <v>0</v>
      </c>
      <c r="Z213" s="6">
        <v>0</v>
      </c>
      <c r="AA213" s="6">
        <v>0</v>
      </c>
      <c r="AB213" s="6">
        <v>0</v>
      </c>
      <c r="AC213" s="5">
        <f t="shared" ref="AC213:AC222" si="92">SUM(E213:AB213)</f>
        <v>11</v>
      </c>
    </row>
    <row r="214" spans="1:29">
      <c r="A214" s="11" t="s">
        <v>50</v>
      </c>
      <c r="B214" s="50"/>
      <c r="C214" s="24" t="s">
        <v>175</v>
      </c>
      <c r="D214" s="51"/>
      <c r="E214" s="6">
        <v>0</v>
      </c>
      <c r="F214" s="6">
        <v>0</v>
      </c>
      <c r="G214" s="6">
        <v>1</v>
      </c>
      <c r="H214" s="6">
        <v>1</v>
      </c>
      <c r="I214" s="6">
        <v>1</v>
      </c>
      <c r="J214" s="6">
        <v>0</v>
      </c>
      <c r="K214" s="6">
        <v>1</v>
      </c>
      <c r="L214" s="6">
        <v>0</v>
      </c>
      <c r="M214" s="6">
        <v>1</v>
      </c>
      <c r="N214" s="6">
        <v>1</v>
      </c>
      <c r="O214" s="6">
        <v>1</v>
      </c>
      <c r="P214" s="6">
        <v>0</v>
      </c>
      <c r="Q214" s="6">
        <v>1</v>
      </c>
      <c r="R214" s="6">
        <v>1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</v>
      </c>
      <c r="Z214" s="6">
        <v>0</v>
      </c>
      <c r="AA214" s="6">
        <v>0</v>
      </c>
      <c r="AB214" s="6">
        <v>0</v>
      </c>
      <c r="AC214" s="5">
        <f t="shared" si="92"/>
        <v>10</v>
      </c>
    </row>
    <row r="215" spans="1:29">
      <c r="A215" s="7"/>
      <c r="B215" s="50"/>
      <c r="C215" s="24" t="s">
        <v>176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1</v>
      </c>
      <c r="AA215" s="6">
        <v>0</v>
      </c>
      <c r="AB215" s="6">
        <v>0</v>
      </c>
      <c r="AC215" s="5">
        <f t="shared" si="92"/>
        <v>2</v>
      </c>
    </row>
    <row r="216" spans="1:29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5">
        <f t="shared" si="92"/>
        <v>0</v>
      </c>
    </row>
    <row r="217" spans="1:29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92"/>
        <v>0</v>
      </c>
    </row>
    <row r="218" spans="1:29" ht="13.15" customHeight="1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92"/>
        <v>0</v>
      </c>
    </row>
    <row r="219" spans="1:29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92"/>
        <v>0</v>
      </c>
    </row>
    <row r="220" spans="1:29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92"/>
        <v>0</v>
      </c>
    </row>
    <row r="221" spans="1:29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92"/>
        <v>0</v>
      </c>
    </row>
    <row r="222" spans="1:29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92"/>
        <v>0</v>
      </c>
    </row>
    <row r="223" spans="1:29">
      <c r="A223" s="6" t="s">
        <v>26</v>
      </c>
      <c r="B223" s="66" t="s">
        <v>51</v>
      </c>
      <c r="C223" s="67"/>
      <c r="D223" s="68"/>
      <c r="E223" s="5">
        <f t="shared" ref="E223:AC223" si="93">SUM(E213:E222)</f>
        <v>2</v>
      </c>
      <c r="F223" s="5">
        <f t="shared" ref="F223:R223" si="94">SUM(F213:F222)</f>
        <v>0</v>
      </c>
      <c r="G223" s="5">
        <f t="shared" si="94"/>
        <v>1</v>
      </c>
      <c r="H223" s="5">
        <f t="shared" si="94"/>
        <v>2</v>
      </c>
      <c r="I223" s="5">
        <f t="shared" si="94"/>
        <v>2</v>
      </c>
      <c r="J223" s="5">
        <f t="shared" si="94"/>
        <v>0</v>
      </c>
      <c r="K223" s="5">
        <f t="shared" si="94"/>
        <v>1</v>
      </c>
      <c r="L223" s="5">
        <f t="shared" si="94"/>
        <v>0</v>
      </c>
      <c r="M223" s="5">
        <f t="shared" si="94"/>
        <v>1</v>
      </c>
      <c r="N223" s="5">
        <f t="shared" si="94"/>
        <v>1</v>
      </c>
      <c r="O223" s="5">
        <f t="shared" si="94"/>
        <v>1</v>
      </c>
      <c r="P223" s="5">
        <f t="shared" si="94"/>
        <v>1</v>
      </c>
      <c r="Q223" s="5">
        <f t="shared" ref="Q223" si="95">SUM(Q213:Q222)</f>
        <v>5</v>
      </c>
      <c r="R223" s="5">
        <f t="shared" si="94"/>
        <v>1</v>
      </c>
      <c r="S223" s="5">
        <f t="shared" si="93"/>
        <v>1</v>
      </c>
      <c r="T223" s="5">
        <f t="shared" si="93"/>
        <v>1</v>
      </c>
      <c r="U223" s="5">
        <f t="shared" si="93"/>
        <v>0</v>
      </c>
      <c r="V223" s="5">
        <f t="shared" si="93"/>
        <v>0</v>
      </c>
      <c r="W223" s="5">
        <f t="shared" si="93"/>
        <v>0</v>
      </c>
      <c r="X223" s="5">
        <f t="shared" si="93"/>
        <v>1</v>
      </c>
      <c r="Y223" s="5">
        <f t="shared" si="93"/>
        <v>1</v>
      </c>
      <c r="Z223" s="5">
        <f t="shared" si="93"/>
        <v>1</v>
      </c>
      <c r="AA223" s="5">
        <f t="shared" si="93"/>
        <v>0</v>
      </c>
      <c r="AB223" s="5">
        <f t="shared" si="93"/>
        <v>0</v>
      </c>
      <c r="AC223" s="5">
        <f t="shared" si="93"/>
        <v>23</v>
      </c>
    </row>
    <row r="224" spans="1:29">
      <c r="A224" s="74"/>
      <c r="B224" s="75"/>
      <c r="C224" s="75"/>
      <c r="D224" s="75"/>
      <c r="E224" s="7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>
      <c r="A225" s="11" t="s">
        <v>48</v>
      </c>
      <c r="B225" s="17" t="s">
        <v>77</v>
      </c>
      <c r="C225" s="72" t="s">
        <v>78</v>
      </c>
      <c r="D225" s="73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1</v>
      </c>
      <c r="AC225" s="5">
        <f t="shared" ref="AC225:AC234" si="96">SUM(E225:AB225)</f>
        <v>2</v>
      </c>
    </row>
    <row r="226" spans="1:29">
      <c r="A226" s="11" t="s">
        <v>50</v>
      </c>
      <c r="B226" s="17"/>
      <c r="C226" s="24" t="s">
        <v>177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1</v>
      </c>
      <c r="U226" s="6">
        <v>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5">
        <f t="shared" si="96"/>
        <v>3</v>
      </c>
    </row>
    <row r="227" spans="1:29">
      <c r="A227" s="7"/>
      <c r="B227" s="63"/>
      <c r="C227" s="46"/>
      <c r="D227" s="4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5">
        <f t="shared" si="96"/>
        <v>0</v>
      </c>
    </row>
    <row r="228" spans="1:29">
      <c r="A228" s="7"/>
      <c r="B228" s="63"/>
      <c r="C228" s="46"/>
      <c r="D228" s="4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5">
        <f t="shared" si="96"/>
        <v>0</v>
      </c>
    </row>
    <row r="229" spans="1:29" ht="13.15" customHeight="1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5">
        <f t="shared" si="96"/>
        <v>0</v>
      </c>
    </row>
    <row r="230" spans="1:29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>
        <f t="shared" si="96"/>
        <v>0</v>
      </c>
    </row>
    <row r="231" spans="1:29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>
        <f t="shared" si="96"/>
        <v>0</v>
      </c>
    </row>
    <row r="232" spans="1:29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96"/>
        <v>0</v>
      </c>
    </row>
    <row r="233" spans="1:29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96"/>
        <v>0</v>
      </c>
    </row>
    <row r="234" spans="1:29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96"/>
        <v>0</v>
      </c>
    </row>
    <row r="235" spans="1:29">
      <c r="A235" s="6" t="s">
        <v>26</v>
      </c>
      <c r="B235" s="66" t="s">
        <v>51</v>
      </c>
      <c r="C235" s="67"/>
      <c r="D235" s="68"/>
      <c r="E235" s="5">
        <f t="shared" ref="E235:AC235" si="97">SUM(E225:E234)</f>
        <v>0</v>
      </c>
      <c r="F235" s="5">
        <f t="shared" ref="F235:R235" si="98">SUM(F225:F234)</f>
        <v>0</v>
      </c>
      <c r="G235" s="5">
        <f t="shared" si="98"/>
        <v>0</v>
      </c>
      <c r="H235" s="5">
        <f t="shared" si="98"/>
        <v>0</v>
      </c>
      <c r="I235" s="5">
        <f t="shared" si="98"/>
        <v>0</v>
      </c>
      <c r="J235" s="5">
        <f t="shared" si="98"/>
        <v>0</v>
      </c>
      <c r="K235" s="5">
        <f t="shared" si="98"/>
        <v>0</v>
      </c>
      <c r="L235" s="5">
        <f t="shared" si="98"/>
        <v>0</v>
      </c>
      <c r="M235" s="5">
        <f t="shared" si="98"/>
        <v>0</v>
      </c>
      <c r="N235" s="5">
        <f t="shared" si="98"/>
        <v>0</v>
      </c>
      <c r="O235" s="5">
        <f t="shared" si="98"/>
        <v>1</v>
      </c>
      <c r="P235" s="5">
        <f t="shared" si="98"/>
        <v>0</v>
      </c>
      <c r="Q235" s="5">
        <f t="shared" ref="Q235" si="99">SUM(Q225:Q234)</f>
        <v>0</v>
      </c>
      <c r="R235" s="5">
        <f t="shared" si="98"/>
        <v>0</v>
      </c>
      <c r="S235" s="5">
        <f t="shared" si="97"/>
        <v>0</v>
      </c>
      <c r="T235" s="5">
        <f t="shared" si="97"/>
        <v>1</v>
      </c>
      <c r="U235" s="5">
        <f t="shared" si="97"/>
        <v>2</v>
      </c>
      <c r="V235" s="5">
        <f t="shared" si="97"/>
        <v>0</v>
      </c>
      <c r="W235" s="5">
        <f t="shared" si="97"/>
        <v>0</v>
      </c>
      <c r="X235" s="5">
        <f t="shared" si="97"/>
        <v>0</v>
      </c>
      <c r="Y235" s="5">
        <f t="shared" si="97"/>
        <v>0</v>
      </c>
      <c r="Z235" s="5">
        <f t="shared" si="97"/>
        <v>0</v>
      </c>
      <c r="AA235" s="5">
        <f t="shared" si="97"/>
        <v>0</v>
      </c>
      <c r="AB235" s="5">
        <f t="shared" si="97"/>
        <v>1</v>
      </c>
      <c r="AC235" s="5">
        <f t="shared" si="97"/>
        <v>5</v>
      </c>
    </row>
    <row r="236" spans="1:29">
      <c r="A236" s="74"/>
      <c r="B236" s="75"/>
      <c r="C236" s="75"/>
      <c r="D236" s="75"/>
      <c r="E236" s="7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>
      <c r="A237" s="11" t="s">
        <v>48</v>
      </c>
      <c r="B237" s="17" t="s">
        <v>79</v>
      </c>
      <c r="C237" s="72" t="s">
        <v>80</v>
      </c>
      <c r="D237" s="73"/>
      <c r="E237" s="6">
        <v>1</v>
      </c>
      <c r="F237" s="6">
        <v>1</v>
      </c>
      <c r="G237" s="6">
        <v>4</v>
      </c>
      <c r="H237" s="6">
        <v>1</v>
      </c>
      <c r="I237" s="6">
        <v>1</v>
      </c>
      <c r="J237" s="6">
        <v>0</v>
      </c>
      <c r="K237" s="6">
        <v>1</v>
      </c>
      <c r="L237" s="6">
        <v>2</v>
      </c>
      <c r="M237" s="6">
        <v>1</v>
      </c>
      <c r="N237" s="6">
        <v>5</v>
      </c>
      <c r="O237" s="6">
        <v>3</v>
      </c>
      <c r="P237" s="6">
        <v>8</v>
      </c>
      <c r="Q237" s="6">
        <v>0</v>
      </c>
      <c r="R237" s="6">
        <v>0</v>
      </c>
      <c r="S237" s="6">
        <v>0</v>
      </c>
      <c r="T237" s="6">
        <v>1</v>
      </c>
      <c r="U237" s="6">
        <v>4</v>
      </c>
      <c r="V237" s="6">
        <v>4</v>
      </c>
      <c r="W237" s="6">
        <v>7</v>
      </c>
      <c r="X237" s="6">
        <v>0</v>
      </c>
      <c r="Y237" s="6">
        <v>0</v>
      </c>
      <c r="Z237" s="6">
        <v>0</v>
      </c>
      <c r="AA237" s="6">
        <v>0</v>
      </c>
      <c r="AB237" s="6"/>
      <c r="AC237" s="5">
        <f t="shared" ref="AC237:AC246" si="100">SUM(E237:AB237)</f>
        <v>44</v>
      </c>
    </row>
    <row r="238" spans="1:29">
      <c r="A238" s="11" t="s">
        <v>50</v>
      </c>
      <c r="B238" s="50"/>
      <c r="C238" s="24" t="s">
        <v>178</v>
      </c>
      <c r="D238" s="51"/>
      <c r="E238" s="6">
        <v>8</v>
      </c>
      <c r="F238" s="6">
        <v>12</v>
      </c>
      <c r="G238" s="6">
        <v>16</v>
      </c>
      <c r="H238" s="6">
        <v>12</v>
      </c>
      <c r="I238" s="6">
        <v>16</v>
      </c>
      <c r="J238" s="6">
        <v>5</v>
      </c>
      <c r="K238" s="6">
        <v>3</v>
      </c>
      <c r="L238" s="6">
        <v>23</v>
      </c>
      <c r="M238" s="6">
        <v>18</v>
      </c>
      <c r="N238" s="6">
        <v>46</v>
      </c>
      <c r="O238" s="6">
        <v>65</v>
      </c>
      <c r="P238" s="6">
        <v>86</v>
      </c>
      <c r="Q238" s="6">
        <v>2</v>
      </c>
      <c r="R238" s="6">
        <v>5</v>
      </c>
      <c r="S238" s="6">
        <v>2</v>
      </c>
      <c r="T238" s="6">
        <v>27</v>
      </c>
      <c r="U238" s="6">
        <v>47</v>
      </c>
      <c r="V238" s="6">
        <v>43</v>
      </c>
      <c r="W238" s="6">
        <v>65</v>
      </c>
      <c r="X238" s="6">
        <v>1</v>
      </c>
      <c r="Y238" s="6">
        <v>0</v>
      </c>
      <c r="Z238" s="6">
        <v>2</v>
      </c>
      <c r="AA238" s="6">
        <v>0</v>
      </c>
      <c r="AB238" s="6">
        <v>43</v>
      </c>
      <c r="AC238" s="5">
        <f t="shared" si="100"/>
        <v>547</v>
      </c>
    </row>
    <row r="239" spans="1:29">
      <c r="A239" s="7"/>
      <c r="B239" s="50"/>
      <c r="C239" s="24" t="s">
        <v>179</v>
      </c>
      <c r="D239" s="51"/>
      <c r="E239" s="6">
        <v>0</v>
      </c>
      <c r="F239" s="6">
        <v>2</v>
      </c>
      <c r="G239" s="6">
        <v>0</v>
      </c>
      <c r="H239" s="6">
        <v>0</v>
      </c>
      <c r="I239" s="6">
        <v>1</v>
      </c>
      <c r="J239" s="6">
        <v>0</v>
      </c>
      <c r="K239" s="6">
        <v>2</v>
      </c>
      <c r="L239" s="6">
        <v>0</v>
      </c>
      <c r="M239" s="6">
        <v>1</v>
      </c>
      <c r="N239" s="6">
        <v>0</v>
      </c>
      <c r="O239" s="6">
        <v>3</v>
      </c>
      <c r="P239" s="6">
        <v>0</v>
      </c>
      <c r="Q239" s="6">
        <v>0</v>
      </c>
      <c r="R239" s="6">
        <v>0</v>
      </c>
      <c r="S239" s="6">
        <v>0</v>
      </c>
      <c r="T239" s="6">
        <v>1</v>
      </c>
      <c r="U239" s="6">
        <v>0</v>
      </c>
      <c r="V239" s="6">
        <v>0</v>
      </c>
      <c r="W239" s="6">
        <v>2</v>
      </c>
      <c r="X239" s="6">
        <v>0</v>
      </c>
      <c r="Y239" s="6">
        <v>1</v>
      </c>
      <c r="Z239" s="6">
        <v>0</v>
      </c>
      <c r="AA239" s="6">
        <v>0</v>
      </c>
      <c r="AB239" s="6">
        <v>0</v>
      </c>
      <c r="AC239" s="5">
        <f t="shared" si="100"/>
        <v>13</v>
      </c>
    </row>
    <row r="240" spans="1:29" ht="13.15" customHeight="1">
      <c r="A240" s="7"/>
      <c r="B240" s="50"/>
      <c r="C240" s="24" t="s">
        <v>180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1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5">
        <f t="shared" si="100"/>
        <v>2</v>
      </c>
    </row>
    <row r="241" spans="1:29">
      <c r="A241" s="7"/>
      <c r="B241" s="50"/>
      <c r="C241" s="24" t="s">
        <v>181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100"/>
        <v>0</v>
      </c>
    </row>
    <row r="242" spans="1:29" ht="12.75" customHeight="1">
      <c r="A242" s="7"/>
      <c r="B242" s="50"/>
      <c r="C242" s="24" t="s">
        <v>182</v>
      </c>
      <c r="D242" s="51"/>
      <c r="E242" s="6">
        <v>0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2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5">
        <f t="shared" si="100"/>
        <v>4</v>
      </c>
    </row>
    <row r="243" spans="1:29">
      <c r="A243" s="7"/>
      <c r="B243" s="50"/>
      <c r="C243" s="24" t="s">
        <v>183</v>
      </c>
      <c r="D243" s="51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5">
        <f t="shared" si="100"/>
        <v>1</v>
      </c>
    </row>
    <row r="244" spans="1:29">
      <c r="A244" s="7"/>
      <c r="B244" s="50"/>
      <c r="C244" s="24" t="s">
        <v>184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6">
        <v>0</v>
      </c>
      <c r="U244" s="6">
        <v>1</v>
      </c>
      <c r="V244" s="6">
        <v>2</v>
      </c>
      <c r="W244" s="6">
        <v>0</v>
      </c>
      <c r="X244" s="6">
        <v>1</v>
      </c>
      <c r="Y244" s="6">
        <v>0</v>
      </c>
      <c r="Z244" s="6">
        <v>0</v>
      </c>
      <c r="AA244" s="6">
        <v>0</v>
      </c>
      <c r="AB244" s="6">
        <v>0</v>
      </c>
      <c r="AC244" s="5">
        <f t="shared" si="100"/>
        <v>6</v>
      </c>
    </row>
    <row r="245" spans="1:29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5">
        <f t="shared" si="100"/>
        <v>0</v>
      </c>
    </row>
    <row r="246" spans="1:29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5">
        <f t="shared" si="100"/>
        <v>0</v>
      </c>
    </row>
    <row r="247" spans="1:29" ht="12.75" customHeight="1">
      <c r="A247" s="6" t="s">
        <v>26</v>
      </c>
      <c r="B247" s="66" t="s">
        <v>51</v>
      </c>
      <c r="C247" s="67"/>
      <c r="D247" s="68"/>
      <c r="E247" s="5">
        <f t="shared" ref="E247:AC247" si="101">SUM(E237:E246)</f>
        <v>10</v>
      </c>
      <c r="F247" s="5">
        <f t="shared" ref="F247:R247" si="102">SUM(F237:F246)</f>
        <v>15</v>
      </c>
      <c r="G247" s="5">
        <f t="shared" si="102"/>
        <v>20</v>
      </c>
      <c r="H247" s="5">
        <f t="shared" si="102"/>
        <v>14</v>
      </c>
      <c r="I247" s="5">
        <f t="shared" si="102"/>
        <v>20</v>
      </c>
      <c r="J247" s="5">
        <f t="shared" si="102"/>
        <v>5</v>
      </c>
      <c r="K247" s="5">
        <f t="shared" si="102"/>
        <v>6</v>
      </c>
      <c r="L247" s="5">
        <f t="shared" si="102"/>
        <v>25</v>
      </c>
      <c r="M247" s="5">
        <f t="shared" si="102"/>
        <v>20</v>
      </c>
      <c r="N247" s="5">
        <f t="shared" si="102"/>
        <v>51</v>
      </c>
      <c r="O247" s="5">
        <f t="shared" si="102"/>
        <v>71</v>
      </c>
      <c r="P247" s="5">
        <f t="shared" si="102"/>
        <v>94</v>
      </c>
      <c r="Q247" s="5">
        <f t="shared" ref="Q247" si="103">SUM(Q237:Q246)</f>
        <v>2</v>
      </c>
      <c r="R247" s="5">
        <f t="shared" si="102"/>
        <v>5</v>
      </c>
      <c r="S247" s="5">
        <f t="shared" si="101"/>
        <v>3</v>
      </c>
      <c r="T247" s="5">
        <f t="shared" si="101"/>
        <v>29</v>
      </c>
      <c r="U247" s="5">
        <f t="shared" si="101"/>
        <v>54</v>
      </c>
      <c r="V247" s="5">
        <f t="shared" si="101"/>
        <v>51</v>
      </c>
      <c r="W247" s="5">
        <f t="shared" si="101"/>
        <v>74</v>
      </c>
      <c r="X247" s="5">
        <f t="shared" si="101"/>
        <v>2</v>
      </c>
      <c r="Y247" s="5">
        <f t="shared" si="101"/>
        <v>1</v>
      </c>
      <c r="Z247" s="5">
        <f t="shared" si="101"/>
        <v>2</v>
      </c>
      <c r="AA247" s="5">
        <f t="shared" si="101"/>
        <v>0</v>
      </c>
      <c r="AB247" s="5">
        <f t="shared" si="101"/>
        <v>43</v>
      </c>
      <c r="AC247" s="5">
        <f t="shared" si="101"/>
        <v>617</v>
      </c>
    </row>
    <row r="248" spans="1:29">
      <c r="A248" s="74"/>
      <c r="B248" s="75"/>
      <c r="C248" s="75"/>
      <c r="D248" s="75"/>
      <c r="E248" s="76"/>
    </row>
    <row r="249" spans="1:29">
      <c r="A249" s="11" t="s">
        <v>48</v>
      </c>
      <c r="B249" s="17" t="s">
        <v>81</v>
      </c>
      <c r="C249" s="72" t="s">
        <v>82</v>
      </c>
      <c r="D249" s="73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3</v>
      </c>
      <c r="M249" s="6">
        <v>0</v>
      </c>
      <c r="N249" s="6">
        <v>0</v>
      </c>
      <c r="O249" s="6">
        <v>1</v>
      </c>
      <c r="P249" s="6">
        <v>0</v>
      </c>
      <c r="Q249" s="6">
        <v>0</v>
      </c>
      <c r="R249" s="6">
        <v>0</v>
      </c>
      <c r="S249" s="6">
        <v>0</v>
      </c>
      <c r="T249" s="6"/>
      <c r="U249" s="6"/>
      <c r="V249" s="6"/>
      <c r="W249" s="6"/>
      <c r="X249" s="6"/>
      <c r="Y249" s="6"/>
      <c r="Z249" s="6"/>
      <c r="AA249" s="6"/>
      <c r="AB249" s="6"/>
      <c r="AC249" s="5">
        <f t="shared" ref="AC249:AC258" si="104">SUM(E249:AB249)</f>
        <v>4</v>
      </c>
    </row>
    <row r="250" spans="1:29">
      <c r="A250" s="11" t="s">
        <v>50</v>
      </c>
      <c r="B250" s="17"/>
      <c r="C250" s="24" t="s">
        <v>185</v>
      </c>
      <c r="D250" s="49"/>
      <c r="E250" s="6">
        <v>0</v>
      </c>
      <c r="F250" s="6">
        <v>0</v>
      </c>
      <c r="G250" s="6">
        <v>2</v>
      </c>
      <c r="H250" s="6">
        <v>0</v>
      </c>
      <c r="I250" s="6">
        <v>0</v>
      </c>
      <c r="J250" s="6">
        <v>0</v>
      </c>
      <c r="K250" s="6">
        <v>0</v>
      </c>
      <c r="L250" s="6">
        <v>4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/>
      <c r="U250" s="6"/>
      <c r="V250" s="6"/>
      <c r="W250" s="6"/>
      <c r="X250" s="6"/>
      <c r="Y250" s="6"/>
      <c r="Z250" s="6"/>
      <c r="AA250" s="6"/>
      <c r="AB250" s="6"/>
      <c r="AC250" s="5">
        <f t="shared" si="104"/>
        <v>7</v>
      </c>
    </row>
    <row r="251" spans="1:29">
      <c r="A251" s="7"/>
      <c r="B251" s="17"/>
      <c r="C251" s="24" t="s">
        <v>186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/>
      <c r="U251" s="6"/>
      <c r="V251" s="6"/>
      <c r="W251" s="6"/>
      <c r="X251" s="6"/>
      <c r="Y251" s="6"/>
      <c r="Z251" s="6"/>
      <c r="AA251" s="6"/>
      <c r="AB251" s="6"/>
      <c r="AC251" s="5">
        <f t="shared" si="104"/>
        <v>0</v>
      </c>
    </row>
    <row r="252" spans="1:29">
      <c r="A252" s="7"/>
      <c r="B252" s="50"/>
      <c r="C252" s="24" t="s">
        <v>187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1</v>
      </c>
      <c r="R252" s="6">
        <v>0</v>
      </c>
      <c r="S252" s="6">
        <v>0</v>
      </c>
      <c r="T252" s="6"/>
      <c r="U252" s="6"/>
      <c r="V252" s="6"/>
      <c r="W252" s="6"/>
      <c r="X252" s="6"/>
      <c r="Y252" s="6"/>
      <c r="Z252" s="6"/>
      <c r="AA252" s="6"/>
      <c r="AB252" s="6"/>
      <c r="AC252" s="5">
        <f t="shared" si="104"/>
        <v>1</v>
      </c>
    </row>
    <row r="253" spans="1:29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104"/>
        <v>0</v>
      </c>
    </row>
    <row r="254" spans="1:29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104"/>
        <v>0</v>
      </c>
    </row>
    <row r="255" spans="1:29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104"/>
        <v>0</v>
      </c>
    </row>
    <row r="256" spans="1:29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104"/>
        <v>0</v>
      </c>
    </row>
    <row r="257" spans="1:29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104"/>
        <v>0</v>
      </c>
    </row>
    <row r="258" spans="1:29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104"/>
        <v>0</v>
      </c>
    </row>
    <row r="259" spans="1:29">
      <c r="A259" s="6" t="s">
        <v>26</v>
      </c>
      <c r="B259" s="66" t="s">
        <v>51</v>
      </c>
      <c r="C259" s="67"/>
      <c r="D259" s="68"/>
      <c r="E259" s="5">
        <f t="shared" ref="E259:AC259" si="105">SUM(E249:E258)</f>
        <v>0</v>
      </c>
      <c r="F259" s="5">
        <f t="shared" ref="F259:R259" si="106">SUM(F249:F258)</f>
        <v>0</v>
      </c>
      <c r="G259" s="5">
        <f t="shared" si="106"/>
        <v>2</v>
      </c>
      <c r="H259" s="5">
        <f t="shared" si="106"/>
        <v>0</v>
      </c>
      <c r="I259" s="5">
        <f t="shared" si="106"/>
        <v>0</v>
      </c>
      <c r="J259" s="5">
        <f t="shared" si="106"/>
        <v>0</v>
      </c>
      <c r="K259" s="5">
        <f t="shared" si="106"/>
        <v>0</v>
      </c>
      <c r="L259" s="5">
        <f t="shared" si="106"/>
        <v>7</v>
      </c>
      <c r="M259" s="5">
        <f t="shared" si="106"/>
        <v>0</v>
      </c>
      <c r="N259" s="5">
        <f t="shared" si="106"/>
        <v>1</v>
      </c>
      <c r="O259" s="5">
        <f t="shared" si="106"/>
        <v>1</v>
      </c>
      <c r="P259" s="5">
        <f t="shared" si="106"/>
        <v>0</v>
      </c>
      <c r="Q259" s="5">
        <f t="shared" ref="Q259" si="107">SUM(Q249:Q258)</f>
        <v>1</v>
      </c>
      <c r="R259" s="5">
        <f t="shared" si="106"/>
        <v>0</v>
      </c>
      <c r="S259" s="5">
        <f t="shared" si="105"/>
        <v>0</v>
      </c>
      <c r="T259" s="5">
        <f t="shared" si="105"/>
        <v>0</v>
      </c>
      <c r="U259" s="5">
        <f t="shared" si="105"/>
        <v>0</v>
      </c>
      <c r="V259" s="5">
        <f t="shared" si="105"/>
        <v>0</v>
      </c>
      <c r="W259" s="5">
        <f t="shared" si="105"/>
        <v>0</v>
      </c>
      <c r="X259" s="5">
        <f t="shared" si="105"/>
        <v>0</v>
      </c>
      <c r="Y259" s="5">
        <f t="shared" si="105"/>
        <v>0</v>
      </c>
      <c r="Z259" s="5">
        <f t="shared" si="105"/>
        <v>0</v>
      </c>
      <c r="AA259" s="5">
        <f t="shared" si="105"/>
        <v>0</v>
      </c>
      <c r="AB259" s="5">
        <f t="shared" si="105"/>
        <v>0</v>
      </c>
      <c r="AC259" s="5">
        <f t="shared" si="105"/>
        <v>12</v>
      </c>
    </row>
    <row r="261" spans="1:29">
      <c r="A261" s="16" t="s">
        <v>83</v>
      </c>
      <c r="B261" s="69" t="s">
        <v>84</v>
      </c>
      <c r="C261" s="70"/>
      <c r="D261" s="7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>
      <c r="A262" s="16"/>
      <c r="B262" s="19" t="s">
        <v>85</v>
      </c>
      <c r="C262" s="64" t="s">
        <v>86</v>
      </c>
      <c r="D262" s="65"/>
      <c r="E262" s="6">
        <f>E55+E67+E79+E91+E103+E115+E127+E139+E151+E163+E175+E187+E199+E211+E223+E235+E247+E259</f>
        <v>207</v>
      </c>
      <c r="F262" s="6">
        <f t="shared" ref="F262:R262" si="108">F55+F67+F79+F91+F103+F115+F127+F139+F151+F163+F175+F187+F199+F211+F223+F235+F247+F259</f>
        <v>205</v>
      </c>
      <c r="G262" s="6">
        <f t="shared" si="108"/>
        <v>198</v>
      </c>
      <c r="H262" s="6">
        <f t="shared" si="108"/>
        <v>192</v>
      </c>
      <c r="I262" s="6">
        <f t="shared" si="108"/>
        <v>191</v>
      </c>
      <c r="J262" s="6">
        <f t="shared" si="108"/>
        <v>202</v>
      </c>
      <c r="K262" s="6">
        <f t="shared" si="108"/>
        <v>187</v>
      </c>
      <c r="L262" s="6">
        <f t="shared" si="108"/>
        <v>206</v>
      </c>
      <c r="M262" s="6">
        <f t="shared" si="108"/>
        <v>184</v>
      </c>
      <c r="N262" s="6">
        <f t="shared" si="108"/>
        <v>192</v>
      </c>
      <c r="O262" s="6">
        <f t="shared" si="108"/>
        <v>194</v>
      </c>
      <c r="P262" s="6">
        <f t="shared" si="108"/>
        <v>227</v>
      </c>
      <c r="Q262" s="6">
        <f t="shared" ref="Q262" si="109">Q55+Q67+Q79+Q91+Q103+Q115+Q127+Q139+Q151+Q163+Q175+Q187+Q199+Q211+Q223+Q235+Q247+Q259</f>
        <v>230</v>
      </c>
      <c r="R262" s="6">
        <f t="shared" si="108"/>
        <v>217</v>
      </c>
      <c r="S262" s="6">
        <f t="shared" ref="S262:X262" si="110">S55+S67+S79+S91+S103+S115+S127+S139+S151+S163+S175+S187+S199+S211+S223+S235+S247+S259</f>
        <v>223</v>
      </c>
      <c r="T262" s="6">
        <f t="shared" si="110"/>
        <v>202</v>
      </c>
      <c r="U262" s="6">
        <f t="shared" si="110"/>
        <v>227</v>
      </c>
      <c r="V262" s="6">
        <f t="shared" si="110"/>
        <v>230</v>
      </c>
      <c r="W262" s="6">
        <f t="shared" si="110"/>
        <v>223</v>
      </c>
      <c r="X262" s="6">
        <f t="shared" si="110"/>
        <v>200</v>
      </c>
      <c r="Y262" s="6">
        <f t="shared" ref="Y262:AB262" si="111">Y55+Y67+Y79+Y91+Y103+Y115+Y127+Y139+Y151+Y163+Y175+Y187+Y199+Y211+Y223+Y235+Y247+Y259</f>
        <v>141</v>
      </c>
      <c r="Z262" s="6">
        <f t="shared" si="111"/>
        <v>197</v>
      </c>
      <c r="AA262" s="6">
        <f t="shared" si="111"/>
        <v>231</v>
      </c>
      <c r="AB262" s="6">
        <f t="shared" si="111"/>
        <v>201</v>
      </c>
      <c r="AC262" s="5">
        <f>SUM(E262:AB262)</f>
        <v>4907</v>
      </c>
    </row>
    <row r="263" spans="1:29">
      <c r="A263" s="13"/>
      <c r="B263" s="19" t="s">
        <v>87</v>
      </c>
      <c r="C263" s="64" t="s">
        <v>88</v>
      </c>
      <c r="D263" s="65"/>
      <c r="E263" s="6">
        <v>8</v>
      </c>
      <c r="F263" s="6">
        <v>19</v>
      </c>
      <c r="G263" s="6">
        <v>5</v>
      </c>
      <c r="H263" s="6">
        <v>12</v>
      </c>
      <c r="I263" s="6">
        <v>6</v>
      </c>
      <c r="J263" s="6">
        <v>10</v>
      </c>
      <c r="K263" s="6">
        <v>12</v>
      </c>
      <c r="L263" s="6">
        <v>4</v>
      </c>
      <c r="M263" s="6">
        <v>6</v>
      </c>
      <c r="N263" s="6">
        <v>15</v>
      </c>
      <c r="O263" s="6">
        <v>16</v>
      </c>
      <c r="P263" s="6">
        <v>7</v>
      </c>
      <c r="Q263" s="6">
        <v>3</v>
      </c>
      <c r="R263" s="6">
        <v>8</v>
      </c>
      <c r="S263" s="6">
        <v>12</v>
      </c>
      <c r="T263" s="6">
        <v>24</v>
      </c>
      <c r="U263" s="6">
        <v>5</v>
      </c>
      <c r="V263" s="6">
        <v>12</v>
      </c>
      <c r="W263" s="6">
        <v>5</v>
      </c>
      <c r="X263" s="6">
        <v>6</v>
      </c>
      <c r="Y263" s="6">
        <v>14</v>
      </c>
      <c r="Z263" s="6">
        <v>6</v>
      </c>
      <c r="AA263" s="6">
        <v>8</v>
      </c>
      <c r="AB263" s="6">
        <v>6</v>
      </c>
      <c r="AC263" s="5">
        <f>SUM(E263:AB263)</f>
        <v>229</v>
      </c>
    </row>
    <row r="264" spans="1:29">
      <c r="A264" s="14"/>
      <c r="B264" s="19" t="s">
        <v>89</v>
      </c>
      <c r="C264" s="64" t="s">
        <v>90</v>
      </c>
      <c r="D264" s="65"/>
      <c r="E264" s="5">
        <f>SUM(E262:E263)</f>
        <v>215</v>
      </c>
      <c r="F264" s="5">
        <f t="shared" ref="F264:R264" si="112">SUM(F262:F263)</f>
        <v>224</v>
      </c>
      <c r="G264" s="5">
        <f t="shared" si="112"/>
        <v>203</v>
      </c>
      <c r="H264" s="5">
        <f t="shared" si="112"/>
        <v>204</v>
      </c>
      <c r="I264" s="5">
        <f t="shared" si="112"/>
        <v>197</v>
      </c>
      <c r="J264" s="5">
        <f t="shared" si="112"/>
        <v>212</v>
      </c>
      <c r="K264" s="5">
        <f t="shared" si="112"/>
        <v>199</v>
      </c>
      <c r="L264" s="5">
        <f t="shared" si="112"/>
        <v>210</v>
      </c>
      <c r="M264" s="5">
        <f t="shared" si="112"/>
        <v>190</v>
      </c>
      <c r="N264" s="5">
        <f t="shared" si="112"/>
        <v>207</v>
      </c>
      <c r="O264" s="5">
        <f t="shared" si="112"/>
        <v>210</v>
      </c>
      <c r="P264" s="5">
        <f t="shared" si="112"/>
        <v>234</v>
      </c>
      <c r="Q264" s="5">
        <f t="shared" ref="Q264" si="113">SUM(Q262:Q263)</f>
        <v>233</v>
      </c>
      <c r="R264" s="5">
        <f t="shared" si="112"/>
        <v>225</v>
      </c>
      <c r="S264" s="5">
        <f t="shared" ref="S264:X264" si="114">SUM(S262:S263)</f>
        <v>235</v>
      </c>
      <c r="T264" s="5">
        <f t="shared" si="114"/>
        <v>226</v>
      </c>
      <c r="U264" s="5">
        <f t="shared" si="114"/>
        <v>232</v>
      </c>
      <c r="V264" s="5">
        <f t="shared" si="114"/>
        <v>242</v>
      </c>
      <c r="W264" s="5">
        <f t="shared" si="114"/>
        <v>228</v>
      </c>
      <c r="X264" s="5">
        <f t="shared" si="114"/>
        <v>206</v>
      </c>
      <c r="Y264" s="5">
        <f t="shared" ref="Y264:AB264" si="115">SUM(Y262:Y263)</f>
        <v>155</v>
      </c>
      <c r="Z264" s="5">
        <f t="shared" si="115"/>
        <v>203</v>
      </c>
      <c r="AA264" s="5">
        <f t="shared" si="115"/>
        <v>239</v>
      </c>
      <c r="AB264" s="5">
        <f t="shared" si="115"/>
        <v>207</v>
      </c>
      <c r="AC264" s="5">
        <f>SUM(E264:AB264)</f>
        <v>5136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B37"/>
    <mergeCell ref="B38:D38"/>
    <mergeCell ref="A42:D42"/>
    <mergeCell ref="E42:AB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AB15">
    <cfRule type="containsBlanks" dxfId="111" priority="21">
      <formula>LEN(TRIM(E14))=0</formula>
    </cfRule>
  </conditionalFormatting>
  <conditionalFormatting sqref="E19:AB20">
    <cfRule type="containsBlanks" dxfId="110" priority="24">
      <formula>LEN(TRIM(E19))=0</formula>
    </cfRule>
  </conditionalFormatting>
  <conditionalFormatting sqref="E22:AB23 E25:AB26 E33:AB33 E35:AB35 E39:AB40">
    <cfRule type="containsBlanks" dxfId="109" priority="25">
      <formula>LEN(TRIM(E22))=0</formula>
    </cfRule>
  </conditionalFormatting>
  <conditionalFormatting sqref="E30:AB30">
    <cfRule type="expression" dxfId="108" priority="26">
      <formula>E30&lt;&gt;E47</formula>
    </cfRule>
    <cfRule type="expression" dxfId="107" priority="27">
      <formula>E30&lt;&gt;E34</formula>
    </cfRule>
  </conditionalFormatting>
  <conditionalFormatting sqref="E34:AB34">
    <cfRule type="expression" dxfId="106" priority="22">
      <formula>E30&lt;&gt;E34</formula>
    </cfRule>
    <cfRule type="expression" dxfId="105" priority="23">
      <formula>E30=E34</formula>
    </cfRule>
    <cfRule type="expression" dxfId="104" priority="28">
      <formula>E34&lt;&gt;E30</formula>
    </cfRule>
    <cfRule type="expression" dxfId="103" priority="30">
      <formula>E34&lt;&gt;E64</formula>
    </cfRule>
  </conditionalFormatting>
  <conditionalFormatting sqref="E45:AB54">
    <cfRule type="containsBlanks" dxfId="102" priority="20">
      <formula>LEN(TRIM(E45))=0</formula>
    </cfRule>
  </conditionalFormatting>
  <conditionalFormatting sqref="E57:AB66">
    <cfRule type="containsBlanks" dxfId="101" priority="19">
      <formula>LEN(TRIM(E57))=0</formula>
    </cfRule>
  </conditionalFormatting>
  <conditionalFormatting sqref="E69:AB78">
    <cfRule type="containsBlanks" dxfId="100" priority="18">
      <formula>LEN(TRIM(E69))=0</formula>
    </cfRule>
  </conditionalFormatting>
  <conditionalFormatting sqref="E81:AB90">
    <cfRule type="containsBlanks" dxfId="99" priority="17">
      <formula>LEN(TRIM(E81))=0</formula>
    </cfRule>
  </conditionalFormatting>
  <conditionalFormatting sqref="E93:AB102">
    <cfRule type="containsBlanks" dxfId="98" priority="16">
      <formula>LEN(TRIM(E93))=0</formula>
    </cfRule>
  </conditionalFormatting>
  <conditionalFormatting sqref="E105:AB114">
    <cfRule type="containsBlanks" dxfId="97" priority="15">
      <formula>LEN(TRIM(E105))=0</formula>
    </cfRule>
  </conditionalFormatting>
  <conditionalFormatting sqref="E117:AB126">
    <cfRule type="containsBlanks" dxfId="96" priority="1">
      <formula>LEN(TRIM(E117))=0</formula>
    </cfRule>
  </conditionalFormatting>
  <conditionalFormatting sqref="E129:AB138">
    <cfRule type="containsBlanks" dxfId="95" priority="14">
      <formula>LEN(TRIM(E129))=0</formula>
    </cfRule>
  </conditionalFormatting>
  <conditionalFormatting sqref="E141:AB150">
    <cfRule type="containsBlanks" dxfId="94" priority="13">
      <formula>LEN(TRIM(E141))=0</formula>
    </cfRule>
  </conditionalFormatting>
  <conditionalFormatting sqref="E153:AB162">
    <cfRule type="containsBlanks" dxfId="93" priority="3">
      <formula>LEN(TRIM(E153))=0</formula>
    </cfRule>
  </conditionalFormatting>
  <conditionalFormatting sqref="E165:AB174">
    <cfRule type="containsBlanks" dxfId="92" priority="12">
      <formula>LEN(TRIM(E165))=0</formula>
    </cfRule>
  </conditionalFormatting>
  <conditionalFormatting sqref="E177:AB186">
    <cfRule type="containsBlanks" dxfId="91" priority="11">
      <formula>LEN(TRIM(E177))=0</formula>
    </cfRule>
  </conditionalFormatting>
  <conditionalFormatting sqref="E189:AB198">
    <cfRule type="containsBlanks" dxfId="90" priority="10">
      <formula>LEN(TRIM(E189))=0</formula>
    </cfRule>
  </conditionalFormatting>
  <conditionalFormatting sqref="E201:AB210">
    <cfRule type="containsBlanks" dxfId="89" priority="9">
      <formula>LEN(TRIM(E201))=0</formula>
    </cfRule>
  </conditionalFormatting>
  <conditionalFormatting sqref="E213:AB222">
    <cfRule type="containsBlanks" dxfId="88" priority="8">
      <formula>LEN(TRIM(E213))=0</formula>
    </cfRule>
  </conditionalFormatting>
  <conditionalFormatting sqref="E225:AB234">
    <cfRule type="containsBlanks" dxfId="87" priority="7">
      <formula>LEN(TRIM(E225))=0</formula>
    </cfRule>
  </conditionalFormatting>
  <conditionalFormatting sqref="E237:AB246">
    <cfRule type="containsBlanks" dxfId="86" priority="6">
      <formula>LEN(TRIM(E237))=0</formula>
    </cfRule>
  </conditionalFormatting>
  <conditionalFormatting sqref="E249:AB258">
    <cfRule type="containsBlanks" dxfId="85" priority="4">
      <formula>LEN(TRIM(E249))=0</formula>
    </cfRule>
  </conditionalFormatting>
  <conditionalFormatting sqref="E262:AB263">
    <cfRule type="containsBlanks" dxfId="8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00B050"/>
  </sheetPr>
  <dimension ref="A2:AJ264"/>
  <sheetViews>
    <sheetView topLeftCell="C12" zoomScale="55" zoomScaleNormal="55" workbookViewId="0">
      <pane ySplit="2" topLeftCell="A14" activePane="bottomLeft" state="frozen"/>
      <selection activeCell="A12" sqref="A12"/>
      <selection pane="bottomLeft" activeCell="AC272" sqref="AC272"/>
    </sheetView>
  </sheetViews>
  <sheetFormatPr defaultRowHeight="13"/>
  <cols>
    <col min="3" max="3" width="67.09765625" bestFit="1" customWidth="1"/>
    <col min="4" max="4" width="5.8984375" bestFit="1" customWidth="1"/>
    <col min="36" max="36" width="13.296875" customWidth="1"/>
  </cols>
  <sheetData>
    <row r="2" spans="1:36">
      <c r="C2" s="43" t="s">
        <v>98</v>
      </c>
      <c r="D2" s="43" t="s">
        <v>104</v>
      </c>
    </row>
    <row r="3" spans="1:36">
      <c r="C3" s="43" t="s">
        <v>99</v>
      </c>
      <c r="D3" s="43" t="s">
        <v>100</v>
      </c>
    </row>
    <row r="4" spans="1:36">
      <c r="C4" s="43" t="s">
        <v>101</v>
      </c>
      <c r="D4" s="43" t="s">
        <v>102</v>
      </c>
    </row>
    <row r="5" spans="1:36">
      <c r="C5" s="43"/>
      <c r="D5" s="43"/>
    </row>
    <row r="6" spans="1:36">
      <c r="C6" s="43"/>
      <c r="D6" s="43"/>
    </row>
    <row r="7" spans="1:36">
      <c r="C7" s="43"/>
      <c r="D7" s="43"/>
    </row>
    <row r="8" spans="1:36">
      <c r="C8" s="43"/>
      <c r="D8" s="43"/>
    </row>
    <row r="9" spans="1:36">
      <c r="C9" s="43" t="s">
        <v>103</v>
      </c>
      <c r="D9" s="43" t="s">
        <v>211</v>
      </c>
    </row>
    <row r="11" spans="1:36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S11" s="1"/>
      <c r="T11" s="1"/>
      <c r="U11" s="1"/>
      <c r="V11" s="1"/>
      <c r="W11" s="1"/>
      <c r="X11" s="1"/>
      <c r="Y11" s="1"/>
      <c r="Z11" s="1"/>
      <c r="AA11" s="3"/>
    </row>
    <row r="12" spans="1:36">
      <c r="A12" s="5" t="s">
        <v>0</v>
      </c>
      <c r="B12" s="69" t="s">
        <v>1</v>
      </c>
      <c r="C12" s="82"/>
      <c r="D12" s="73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4" t="s">
        <v>97</v>
      </c>
    </row>
    <row r="13" spans="1:36">
      <c r="A13" s="6" t="s">
        <v>2</v>
      </c>
      <c r="B13" s="90" t="s">
        <v>3</v>
      </c>
      <c r="C13" s="8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189</v>
      </c>
      <c r="AD13" s="5" t="s">
        <v>190</v>
      </c>
      <c r="AE13" s="5" t="s">
        <v>191</v>
      </c>
      <c r="AF13" s="5" t="s">
        <v>192</v>
      </c>
      <c r="AG13" s="5" t="s">
        <v>193</v>
      </c>
      <c r="AH13" s="5" t="s">
        <v>194</v>
      </c>
      <c r="AI13" s="5" t="s">
        <v>195</v>
      </c>
      <c r="AJ13" s="105"/>
    </row>
    <row r="14" spans="1:36">
      <c r="A14" s="7"/>
      <c r="B14" s="93" t="s">
        <v>22</v>
      </c>
      <c r="C14" s="81"/>
      <c r="D14" s="6" t="s">
        <v>23</v>
      </c>
      <c r="E14" s="6">
        <v>136</v>
      </c>
      <c r="F14" s="6">
        <v>134</v>
      </c>
      <c r="G14" s="6">
        <v>138</v>
      </c>
      <c r="H14" s="6">
        <v>149</v>
      </c>
      <c r="I14" s="6">
        <v>111</v>
      </c>
      <c r="J14" s="6">
        <v>124</v>
      </c>
      <c r="K14" s="6">
        <v>130</v>
      </c>
      <c r="L14" s="6">
        <v>121</v>
      </c>
      <c r="M14" s="6">
        <v>121</v>
      </c>
      <c r="N14" s="6">
        <v>142</v>
      </c>
      <c r="O14" s="6">
        <v>141</v>
      </c>
      <c r="P14" s="6">
        <v>134</v>
      </c>
      <c r="Q14" s="6">
        <v>120</v>
      </c>
      <c r="R14" s="6">
        <v>141</v>
      </c>
      <c r="S14" s="6">
        <v>131</v>
      </c>
      <c r="T14" s="6">
        <v>123</v>
      </c>
      <c r="U14" s="6">
        <v>125</v>
      </c>
      <c r="V14" s="6">
        <v>131</v>
      </c>
      <c r="W14" s="6">
        <v>132</v>
      </c>
      <c r="X14" s="6">
        <v>127</v>
      </c>
      <c r="Y14" s="6">
        <v>142</v>
      </c>
      <c r="Z14" s="6">
        <v>122</v>
      </c>
      <c r="AA14" s="6">
        <v>134</v>
      </c>
      <c r="AB14" s="6">
        <v>125</v>
      </c>
      <c r="AC14" s="6">
        <v>128</v>
      </c>
      <c r="AD14" s="6">
        <v>136</v>
      </c>
      <c r="AE14" s="6">
        <v>135</v>
      </c>
      <c r="AF14" s="6">
        <v>115</v>
      </c>
      <c r="AG14" s="6">
        <v>126</v>
      </c>
      <c r="AH14" s="6">
        <v>141</v>
      </c>
      <c r="AI14" s="6">
        <v>132</v>
      </c>
      <c r="AJ14" s="5">
        <f>SUM(E14:AI14)</f>
        <v>4047</v>
      </c>
    </row>
    <row r="15" spans="1:36">
      <c r="A15" s="7"/>
      <c r="B15" s="94"/>
      <c r="C15" s="87"/>
      <c r="D15" s="6" t="s">
        <v>24</v>
      </c>
      <c r="E15" s="6">
        <v>114</v>
      </c>
      <c r="F15" s="6">
        <v>111</v>
      </c>
      <c r="G15" s="6">
        <v>135</v>
      </c>
      <c r="H15" s="6">
        <v>138</v>
      </c>
      <c r="I15" s="6">
        <v>123</v>
      </c>
      <c r="J15" s="6">
        <v>131</v>
      </c>
      <c r="K15" s="6">
        <v>131</v>
      </c>
      <c r="L15" s="6">
        <v>118</v>
      </c>
      <c r="M15" s="6">
        <v>127</v>
      </c>
      <c r="N15" s="6">
        <v>126</v>
      </c>
      <c r="O15" s="6">
        <v>131</v>
      </c>
      <c r="P15" s="6">
        <v>149</v>
      </c>
      <c r="Q15" s="6">
        <v>111</v>
      </c>
      <c r="R15" s="6">
        <v>124</v>
      </c>
      <c r="S15" s="6">
        <v>130</v>
      </c>
      <c r="T15" s="6">
        <v>117</v>
      </c>
      <c r="U15" s="6">
        <v>130</v>
      </c>
      <c r="V15" s="6">
        <v>121</v>
      </c>
      <c r="W15" s="6">
        <v>122</v>
      </c>
      <c r="X15" s="6">
        <v>116</v>
      </c>
      <c r="Y15" s="6">
        <v>119</v>
      </c>
      <c r="Z15" s="6">
        <v>128</v>
      </c>
      <c r="AA15" s="6">
        <v>142</v>
      </c>
      <c r="AB15" s="6">
        <v>128</v>
      </c>
      <c r="AC15" s="6">
        <v>130</v>
      </c>
      <c r="AD15" s="6">
        <v>140</v>
      </c>
      <c r="AE15" s="6">
        <v>123</v>
      </c>
      <c r="AF15" s="6">
        <v>127</v>
      </c>
      <c r="AG15" s="6">
        <v>142</v>
      </c>
      <c r="AH15" s="6">
        <v>128</v>
      </c>
      <c r="AI15" s="6">
        <v>133</v>
      </c>
      <c r="AJ15" s="5">
        <f>SUM(E15:AI15)</f>
        <v>3945</v>
      </c>
    </row>
    <row r="16" spans="1:36">
      <c r="A16" s="8"/>
      <c r="B16" s="92"/>
      <c r="C16" s="88"/>
      <c r="D16" s="5" t="s">
        <v>25</v>
      </c>
      <c r="E16" s="5">
        <f t="shared" ref="E16:AE16" si="0">SUM(E14:E15)</f>
        <v>250</v>
      </c>
      <c r="F16" s="5">
        <f t="shared" ref="F16:R16" si="1">SUM(F14:F15)</f>
        <v>245</v>
      </c>
      <c r="G16" s="5">
        <f t="shared" si="1"/>
        <v>273</v>
      </c>
      <c r="H16" s="5">
        <f t="shared" si="1"/>
        <v>287</v>
      </c>
      <c r="I16" s="5">
        <f t="shared" si="1"/>
        <v>234</v>
      </c>
      <c r="J16" s="5">
        <f t="shared" si="1"/>
        <v>255</v>
      </c>
      <c r="K16" s="5">
        <f t="shared" si="1"/>
        <v>261</v>
      </c>
      <c r="L16" s="5">
        <f t="shared" si="1"/>
        <v>239</v>
      </c>
      <c r="M16" s="5">
        <f t="shared" si="1"/>
        <v>248</v>
      </c>
      <c r="N16" s="5">
        <f t="shared" si="1"/>
        <v>268</v>
      </c>
      <c r="O16" s="5">
        <f t="shared" si="1"/>
        <v>272</v>
      </c>
      <c r="P16" s="5">
        <f t="shared" si="1"/>
        <v>283</v>
      </c>
      <c r="Q16" s="5">
        <f t="shared" si="1"/>
        <v>231</v>
      </c>
      <c r="R16" s="5">
        <f t="shared" si="1"/>
        <v>265</v>
      </c>
      <c r="S16" s="5">
        <f t="shared" si="0"/>
        <v>261</v>
      </c>
      <c r="T16" s="5">
        <f t="shared" si="0"/>
        <v>240</v>
      </c>
      <c r="U16" s="5">
        <f t="shared" si="0"/>
        <v>255</v>
      </c>
      <c r="V16" s="5">
        <f t="shared" si="0"/>
        <v>252</v>
      </c>
      <c r="W16" s="5">
        <f t="shared" si="0"/>
        <v>254</v>
      </c>
      <c r="X16" s="5">
        <f t="shared" si="0"/>
        <v>243</v>
      </c>
      <c r="Y16" s="5">
        <f t="shared" si="0"/>
        <v>261</v>
      </c>
      <c r="Z16" s="5">
        <f t="shared" si="0"/>
        <v>250</v>
      </c>
      <c r="AA16" s="5">
        <f t="shared" si="0"/>
        <v>276</v>
      </c>
      <c r="AB16" s="5">
        <f t="shared" si="0"/>
        <v>253</v>
      </c>
      <c r="AC16" s="5">
        <f t="shared" si="0"/>
        <v>258</v>
      </c>
      <c r="AD16" s="5">
        <f t="shared" si="0"/>
        <v>276</v>
      </c>
      <c r="AE16" s="5">
        <f t="shared" si="0"/>
        <v>258</v>
      </c>
      <c r="AF16" s="5">
        <f t="shared" ref="AF16:AI16" si="2">SUM(AF14:AF15)</f>
        <v>242</v>
      </c>
      <c r="AG16" s="5">
        <f t="shared" si="2"/>
        <v>268</v>
      </c>
      <c r="AH16" s="5">
        <f t="shared" si="2"/>
        <v>269</v>
      </c>
      <c r="AI16" s="5">
        <f t="shared" si="2"/>
        <v>265</v>
      </c>
      <c r="AJ16" s="5">
        <f>SUM(E16:AI16)</f>
        <v>7992</v>
      </c>
    </row>
    <row r="17" spans="1:36">
      <c r="A17" s="74"/>
      <c r="B17" s="82"/>
      <c r="C17" s="8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10"/>
      <c r="AB17" s="10"/>
      <c r="AC17" s="10"/>
      <c r="AD17" s="10"/>
      <c r="AE17" s="10"/>
      <c r="AF17" s="10"/>
      <c r="AG17" s="10"/>
      <c r="AH17" s="10"/>
      <c r="AI17" s="10"/>
      <c r="AJ17" s="28"/>
    </row>
    <row r="18" spans="1:36">
      <c r="A18" s="11" t="s">
        <v>26</v>
      </c>
      <c r="B18" s="90" t="s">
        <v>27</v>
      </c>
      <c r="C18" s="8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10"/>
      <c r="AB18" s="10"/>
      <c r="AC18" s="10"/>
      <c r="AD18" s="10"/>
      <c r="AE18" s="10"/>
      <c r="AF18" s="10"/>
      <c r="AG18" s="10"/>
      <c r="AH18" s="10"/>
      <c r="AI18" s="10"/>
      <c r="AJ18" s="28"/>
    </row>
    <row r="19" spans="1:36">
      <c r="A19" s="11"/>
      <c r="B19" s="95" t="s">
        <v>28</v>
      </c>
      <c r="C19" s="96" t="s">
        <v>29</v>
      </c>
      <c r="D19" s="6" t="s">
        <v>23</v>
      </c>
      <c r="E19" s="6">
        <v>108</v>
      </c>
      <c r="F19" s="6">
        <v>107</v>
      </c>
      <c r="G19" s="6">
        <v>111</v>
      </c>
      <c r="H19" s="6">
        <v>110</v>
      </c>
      <c r="I19" s="6">
        <v>91</v>
      </c>
      <c r="J19" s="6">
        <v>99</v>
      </c>
      <c r="K19" s="6">
        <v>109</v>
      </c>
      <c r="L19" s="6">
        <v>92</v>
      </c>
      <c r="M19" s="6">
        <v>102</v>
      </c>
      <c r="N19" s="6">
        <v>116</v>
      </c>
      <c r="O19" s="6">
        <v>107</v>
      </c>
      <c r="P19" s="6">
        <v>110</v>
      </c>
      <c r="Q19" s="6">
        <v>108</v>
      </c>
      <c r="R19" s="6">
        <v>108</v>
      </c>
      <c r="S19" s="6">
        <v>95</v>
      </c>
      <c r="T19" s="6">
        <v>93</v>
      </c>
      <c r="U19" s="6">
        <v>105</v>
      </c>
      <c r="V19" s="6">
        <v>96</v>
      </c>
      <c r="W19" s="6">
        <v>98</v>
      </c>
      <c r="X19" s="6">
        <v>98</v>
      </c>
      <c r="Y19" s="6">
        <v>108</v>
      </c>
      <c r="Z19" s="6">
        <v>98</v>
      </c>
      <c r="AA19" s="6">
        <v>111</v>
      </c>
      <c r="AB19" s="6">
        <v>94</v>
      </c>
      <c r="AC19" s="6">
        <v>110</v>
      </c>
      <c r="AD19" s="6">
        <v>101</v>
      </c>
      <c r="AE19" s="6">
        <v>115</v>
      </c>
      <c r="AF19" s="6">
        <v>102</v>
      </c>
      <c r="AG19" s="6">
        <v>108</v>
      </c>
      <c r="AH19" s="6">
        <v>115</v>
      </c>
      <c r="AI19" s="6">
        <v>110</v>
      </c>
      <c r="AJ19" s="5">
        <f t="shared" ref="AJ19:AJ30" si="3">SUM(E19:AI19)</f>
        <v>3235</v>
      </c>
    </row>
    <row r="20" spans="1:36">
      <c r="A20" s="12"/>
      <c r="B20" s="87"/>
      <c r="C20" s="97"/>
      <c r="D20" s="6" t="s">
        <v>24</v>
      </c>
      <c r="E20" s="6">
        <v>94</v>
      </c>
      <c r="F20" s="6">
        <v>96</v>
      </c>
      <c r="G20" s="6">
        <v>111</v>
      </c>
      <c r="H20" s="6">
        <v>113</v>
      </c>
      <c r="I20" s="6">
        <v>100</v>
      </c>
      <c r="J20" s="6">
        <v>103</v>
      </c>
      <c r="K20" s="6">
        <v>112</v>
      </c>
      <c r="L20" s="6">
        <v>94</v>
      </c>
      <c r="M20" s="6">
        <v>93</v>
      </c>
      <c r="N20" s="6">
        <v>104</v>
      </c>
      <c r="O20" s="6">
        <v>105</v>
      </c>
      <c r="P20" s="6">
        <v>119</v>
      </c>
      <c r="Q20" s="6">
        <v>91</v>
      </c>
      <c r="R20" s="6">
        <v>103</v>
      </c>
      <c r="S20" s="6">
        <v>100</v>
      </c>
      <c r="T20" s="6">
        <v>95</v>
      </c>
      <c r="U20" s="6">
        <v>116</v>
      </c>
      <c r="V20" s="6">
        <v>101</v>
      </c>
      <c r="W20" s="6">
        <v>91</v>
      </c>
      <c r="X20" s="6">
        <v>92</v>
      </c>
      <c r="Y20" s="6">
        <v>108</v>
      </c>
      <c r="Z20" s="6">
        <v>111</v>
      </c>
      <c r="AA20" s="6">
        <v>114</v>
      </c>
      <c r="AB20" s="6">
        <v>90</v>
      </c>
      <c r="AC20" s="6">
        <v>109</v>
      </c>
      <c r="AD20" s="6">
        <v>105</v>
      </c>
      <c r="AE20" s="6">
        <v>101</v>
      </c>
      <c r="AF20" s="6">
        <v>111</v>
      </c>
      <c r="AG20" s="6">
        <v>116</v>
      </c>
      <c r="AH20" s="6">
        <v>102</v>
      </c>
      <c r="AI20" s="6">
        <v>112</v>
      </c>
      <c r="AJ20" s="5">
        <f t="shared" si="3"/>
        <v>3212</v>
      </c>
    </row>
    <row r="21" spans="1:36">
      <c r="A21" s="13"/>
      <c r="B21" s="88"/>
      <c r="C21" s="98"/>
      <c r="D21" s="5" t="s">
        <v>25</v>
      </c>
      <c r="E21" s="5">
        <f t="shared" ref="E21:AE21" si="4">SUM(E19:E20)</f>
        <v>202</v>
      </c>
      <c r="F21" s="5">
        <f t="shared" ref="F21:R21" si="5">SUM(F19:F20)</f>
        <v>203</v>
      </c>
      <c r="G21" s="5">
        <f t="shared" si="5"/>
        <v>222</v>
      </c>
      <c r="H21" s="5">
        <f t="shared" si="5"/>
        <v>223</v>
      </c>
      <c r="I21" s="5">
        <f t="shared" si="5"/>
        <v>191</v>
      </c>
      <c r="J21" s="5">
        <f t="shared" si="5"/>
        <v>202</v>
      </c>
      <c r="K21" s="5">
        <f t="shared" si="5"/>
        <v>221</v>
      </c>
      <c r="L21" s="5">
        <f t="shared" si="5"/>
        <v>186</v>
      </c>
      <c r="M21" s="5">
        <f t="shared" si="5"/>
        <v>195</v>
      </c>
      <c r="N21" s="5">
        <f t="shared" si="5"/>
        <v>220</v>
      </c>
      <c r="O21" s="5">
        <f t="shared" si="5"/>
        <v>212</v>
      </c>
      <c r="P21" s="5">
        <f t="shared" si="5"/>
        <v>229</v>
      </c>
      <c r="Q21" s="5">
        <f t="shared" si="5"/>
        <v>199</v>
      </c>
      <c r="R21" s="5">
        <f t="shared" si="5"/>
        <v>211</v>
      </c>
      <c r="S21" s="5">
        <f t="shared" si="4"/>
        <v>195</v>
      </c>
      <c r="T21" s="5">
        <f t="shared" si="4"/>
        <v>188</v>
      </c>
      <c r="U21" s="5">
        <f t="shared" si="4"/>
        <v>221</v>
      </c>
      <c r="V21" s="5">
        <f t="shared" si="4"/>
        <v>197</v>
      </c>
      <c r="W21" s="5">
        <f t="shared" si="4"/>
        <v>189</v>
      </c>
      <c r="X21" s="5">
        <f t="shared" si="4"/>
        <v>190</v>
      </c>
      <c r="Y21" s="5">
        <f t="shared" si="4"/>
        <v>216</v>
      </c>
      <c r="Z21" s="5">
        <f t="shared" si="4"/>
        <v>209</v>
      </c>
      <c r="AA21" s="5">
        <f t="shared" si="4"/>
        <v>225</v>
      </c>
      <c r="AB21" s="5">
        <f t="shared" si="4"/>
        <v>184</v>
      </c>
      <c r="AC21" s="5">
        <f t="shared" si="4"/>
        <v>219</v>
      </c>
      <c r="AD21" s="5">
        <f t="shared" si="4"/>
        <v>206</v>
      </c>
      <c r="AE21" s="5">
        <f t="shared" si="4"/>
        <v>216</v>
      </c>
      <c r="AF21" s="5">
        <f t="shared" ref="AF21:AI21" si="6">SUM(AF19:AF20)</f>
        <v>213</v>
      </c>
      <c r="AG21" s="5">
        <f t="shared" si="6"/>
        <v>224</v>
      </c>
      <c r="AH21" s="5">
        <f t="shared" si="6"/>
        <v>217</v>
      </c>
      <c r="AI21" s="5">
        <f t="shared" si="6"/>
        <v>222</v>
      </c>
      <c r="AJ21" s="5">
        <f t="shared" si="3"/>
        <v>6447</v>
      </c>
    </row>
    <row r="22" spans="1:36">
      <c r="A22" s="12"/>
      <c r="B22" s="95" t="s">
        <v>30</v>
      </c>
      <c r="C22" s="9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5">
        <f t="shared" si="3"/>
        <v>1</v>
      </c>
    </row>
    <row r="23" spans="1:36">
      <c r="A23" s="12"/>
      <c r="B23" s="87"/>
      <c r="C23" s="97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/>
      <c r="AJ23" s="5">
        <f t="shared" si="3"/>
        <v>0</v>
      </c>
    </row>
    <row r="24" spans="1:36">
      <c r="A24" s="13"/>
      <c r="B24" s="88"/>
      <c r="C24" s="98"/>
      <c r="D24" s="5" t="s">
        <v>25</v>
      </c>
      <c r="E24" s="5">
        <f t="shared" ref="E24:AE24" si="7">SUM(E22:E23)</f>
        <v>0</v>
      </c>
      <c r="F24" s="5">
        <f t="shared" ref="F24:R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si="7"/>
        <v>0</v>
      </c>
      <c r="Z24" s="5">
        <f t="shared" si="7"/>
        <v>1</v>
      </c>
      <c r="AA24" s="5">
        <f t="shared" si="7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ref="AF24:AI24" si="9">SUM(AF22:AF23)</f>
        <v>0</v>
      </c>
      <c r="AG24" s="5">
        <f t="shared" si="9"/>
        <v>0</v>
      </c>
      <c r="AH24" s="5">
        <f t="shared" si="9"/>
        <v>0</v>
      </c>
      <c r="AI24" s="5">
        <f t="shared" si="9"/>
        <v>0</v>
      </c>
      <c r="AJ24" s="5">
        <f t="shared" si="3"/>
        <v>1</v>
      </c>
    </row>
    <row r="25" spans="1:36">
      <c r="A25" s="12"/>
      <c r="B25" s="95" t="s">
        <v>32</v>
      </c>
      <c r="C25" s="96" t="s">
        <v>33</v>
      </c>
      <c r="D25" s="6" t="s">
        <v>23</v>
      </c>
      <c r="E25" s="6">
        <v>4</v>
      </c>
      <c r="F25" s="6">
        <v>3</v>
      </c>
      <c r="G25" s="6">
        <v>3</v>
      </c>
      <c r="H25" s="6">
        <v>1</v>
      </c>
      <c r="I25" s="6">
        <v>0</v>
      </c>
      <c r="J25" s="6">
        <v>6</v>
      </c>
      <c r="K25" s="6">
        <v>3</v>
      </c>
      <c r="L25" s="6">
        <v>3</v>
      </c>
      <c r="M25" s="6">
        <v>3</v>
      </c>
      <c r="N25" s="6">
        <v>0</v>
      </c>
      <c r="O25" s="6">
        <v>1</v>
      </c>
      <c r="P25" s="6">
        <v>0</v>
      </c>
      <c r="Q25" s="6">
        <v>0</v>
      </c>
      <c r="R25" s="6">
        <v>1</v>
      </c>
      <c r="S25" s="6">
        <v>6</v>
      </c>
      <c r="T25" s="6">
        <v>3</v>
      </c>
      <c r="U25" s="6">
        <v>1</v>
      </c>
      <c r="V25" s="6">
        <v>4</v>
      </c>
      <c r="W25" s="6">
        <v>6</v>
      </c>
      <c r="X25" s="6">
        <v>4</v>
      </c>
      <c r="Y25" s="6">
        <v>3</v>
      </c>
      <c r="Z25" s="6">
        <v>1</v>
      </c>
      <c r="AA25" s="6">
        <v>4</v>
      </c>
      <c r="AB25" s="6">
        <v>3</v>
      </c>
      <c r="AC25" s="6">
        <v>0</v>
      </c>
      <c r="AD25" s="6">
        <v>0</v>
      </c>
      <c r="AE25" s="6">
        <v>4</v>
      </c>
      <c r="AF25" s="6">
        <v>0</v>
      </c>
      <c r="AG25" s="6">
        <v>2</v>
      </c>
      <c r="AH25" s="6">
        <v>5</v>
      </c>
      <c r="AI25" s="6">
        <v>1</v>
      </c>
      <c r="AJ25" s="5">
        <f t="shared" si="3"/>
        <v>75</v>
      </c>
    </row>
    <row r="26" spans="1:36">
      <c r="A26" s="12"/>
      <c r="B26" s="87"/>
      <c r="C26" s="97"/>
      <c r="D26" s="6" t="s">
        <v>24</v>
      </c>
      <c r="E26" s="6">
        <v>5</v>
      </c>
      <c r="F26" s="6">
        <v>6</v>
      </c>
      <c r="G26" s="6">
        <v>4</v>
      </c>
      <c r="H26" s="6">
        <v>2</v>
      </c>
      <c r="I26" s="6">
        <v>0</v>
      </c>
      <c r="J26" s="6">
        <v>7</v>
      </c>
      <c r="K26" s="6">
        <v>5</v>
      </c>
      <c r="L26" s="6">
        <v>6</v>
      </c>
      <c r="M26" s="6">
        <v>5</v>
      </c>
      <c r="N26" s="6">
        <v>1</v>
      </c>
      <c r="O26" s="6">
        <v>1</v>
      </c>
      <c r="P26" s="6">
        <v>3</v>
      </c>
      <c r="Q26" s="6">
        <v>0</v>
      </c>
      <c r="R26" s="6">
        <v>1</v>
      </c>
      <c r="S26" s="6">
        <v>11</v>
      </c>
      <c r="T26" s="6">
        <v>6</v>
      </c>
      <c r="U26" s="6">
        <v>1</v>
      </c>
      <c r="V26" s="6">
        <v>3</v>
      </c>
      <c r="W26" s="6">
        <v>8</v>
      </c>
      <c r="X26" s="6">
        <v>2</v>
      </c>
      <c r="Y26" s="6">
        <v>4</v>
      </c>
      <c r="Z26" s="6">
        <v>1</v>
      </c>
      <c r="AA26" s="6">
        <v>3</v>
      </c>
      <c r="AB26" s="6">
        <v>2</v>
      </c>
      <c r="AC26" s="6">
        <v>0</v>
      </c>
      <c r="AD26" s="6">
        <v>1</v>
      </c>
      <c r="AE26" s="6">
        <v>3</v>
      </c>
      <c r="AF26" s="6">
        <v>0</v>
      </c>
      <c r="AG26" s="6">
        <v>1</v>
      </c>
      <c r="AH26" s="6">
        <v>5</v>
      </c>
      <c r="AI26" s="6">
        <v>4</v>
      </c>
      <c r="AJ26" s="5">
        <f t="shared" si="3"/>
        <v>101</v>
      </c>
    </row>
    <row r="27" spans="1:36">
      <c r="A27" s="13"/>
      <c r="B27" s="88"/>
      <c r="C27" s="98"/>
      <c r="D27" s="5" t="s">
        <v>25</v>
      </c>
      <c r="E27" s="5">
        <f t="shared" ref="E27:AE27" si="10">SUM(E25:E26)</f>
        <v>9</v>
      </c>
      <c r="F27" s="5">
        <f t="shared" ref="F27:R27" si="11">SUM(F25:F26)</f>
        <v>9</v>
      </c>
      <c r="G27" s="5">
        <f t="shared" si="11"/>
        <v>7</v>
      </c>
      <c r="H27" s="5">
        <f t="shared" si="11"/>
        <v>3</v>
      </c>
      <c r="I27" s="5">
        <f t="shared" si="11"/>
        <v>0</v>
      </c>
      <c r="J27" s="5">
        <f t="shared" si="11"/>
        <v>13</v>
      </c>
      <c r="K27" s="5">
        <f t="shared" si="11"/>
        <v>8</v>
      </c>
      <c r="L27" s="5">
        <f t="shared" si="11"/>
        <v>9</v>
      </c>
      <c r="M27" s="5">
        <f t="shared" si="11"/>
        <v>8</v>
      </c>
      <c r="N27" s="5">
        <f t="shared" si="11"/>
        <v>1</v>
      </c>
      <c r="O27" s="5">
        <f t="shared" si="11"/>
        <v>2</v>
      </c>
      <c r="P27" s="5">
        <f t="shared" si="11"/>
        <v>3</v>
      </c>
      <c r="Q27" s="5">
        <f t="shared" si="11"/>
        <v>0</v>
      </c>
      <c r="R27" s="5">
        <f t="shared" si="11"/>
        <v>2</v>
      </c>
      <c r="S27" s="5">
        <f t="shared" si="10"/>
        <v>17</v>
      </c>
      <c r="T27" s="5">
        <f t="shared" si="10"/>
        <v>9</v>
      </c>
      <c r="U27" s="5">
        <f t="shared" si="10"/>
        <v>2</v>
      </c>
      <c r="V27" s="5">
        <f t="shared" si="10"/>
        <v>7</v>
      </c>
      <c r="W27" s="5">
        <f t="shared" si="10"/>
        <v>14</v>
      </c>
      <c r="X27" s="5">
        <f t="shared" si="10"/>
        <v>6</v>
      </c>
      <c r="Y27" s="5">
        <f t="shared" si="10"/>
        <v>7</v>
      </c>
      <c r="Z27" s="5">
        <f t="shared" si="10"/>
        <v>2</v>
      </c>
      <c r="AA27" s="5">
        <f t="shared" si="10"/>
        <v>7</v>
      </c>
      <c r="AB27" s="5">
        <f t="shared" si="10"/>
        <v>5</v>
      </c>
      <c r="AC27" s="5">
        <f t="shared" si="10"/>
        <v>0</v>
      </c>
      <c r="AD27" s="5">
        <f t="shared" si="10"/>
        <v>1</v>
      </c>
      <c r="AE27" s="5">
        <f t="shared" si="10"/>
        <v>7</v>
      </c>
      <c r="AF27" s="5">
        <f t="shared" ref="AF27:AI27" si="12">SUM(AF25:AF26)</f>
        <v>0</v>
      </c>
      <c r="AG27" s="5">
        <f t="shared" si="12"/>
        <v>3</v>
      </c>
      <c r="AH27" s="5">
        <f t="shared" si="12"/>
        <v>10</v>
      </c>
      <c r="AI27" s="5">
        <f t="shared" si="12"/>
        <v>5</v>
      </c>
      <c r="AJ27" s="5">
        <f t="shared" si="3"/>
        <v>176</v>
      </c>
    </row>
    <row r="28" spans="1:36">
      <c r="A28" s="13"/>
      <c r="B28" s="99" t="s">
        <v>34</v>
      </c>
      <c r="C28" s="100" t="s">
        <v>35</v>
      </c>
      <c r="D28" s="5" t="s">
        <v>23</v>
      </c>
      <c r="E28" s="5">
        <f>SUM(E19,E22,E25)</f>
        <v>112</v>
      </c>
      <c r="F28" s="5">
        <f t="shared" ref="F28:R28" si="13">SUM(F19,F22,F25)</f>
        <v>110</v>
      </c>
      <c r="G28" s="5">
        <f t="shared" si="13"/>
        <v>114</v>
      </c>
      <c r="H28" s="5">
        <f t="shared" si="13"/>
        <v>111</v>
      </c>
      <c r="I28" s="5">
        <f t="shared" si="13"/>
        <v>91</v>
      </c>
      <c r="J28" s="5">
        <f t="shared" si="13"/>
        <v>105</v>
      </c>
      <c r="K28" s="5">
        <f t="shared" si="13"/>
        <v>112</v>
      </c>
      <c r="L28" s="5">
        <f t="shared" si="13"/>
        <v>95</v>
      </c>
      <c r="M28" s="5">
        <f t="shared" si="13"/>
        <v>105</v>
      </c>
      <c r="N28" s="5">
        <f t="shared" si="13"/>
        <v>116</v>
      </c>
      <c r="O28" s="5">
        <f t="shared" si="13"/>
        <v>108</v>
      </c>
      <c r="P28" s="5">
        <f t="shared" si="13"/>
        <v>110</v>
      </c>
      <c r="Q28" s="5">
        <f t="shared" si="13"/>
        <v>108</v>
      </c>
      <c r="R28" s="5">
        <f t="shared" si="13"/>
        <v>109</v>
      </c>
      <c r="S28" s="5">
        <f t="shared" ref="S28:AE29" si="14">SUM(S19,S22,S25)</f>
        <v>101</v>
      </c>
      <c r="T28" s="5">
        <f t="shared" si="14"/>
        <v>96</v>
      </c>
      <c r="U28" s="5">
        <f t="shared" si="14"/>
        <v>106</v>
      </c>
      <c r="V28" s="5">
        <f t="shared" si="14"/>
        <v>100</v>
      </c>
      <c r="W28" s="5">
        <f t="shared" si="14"/>
        <v>104</v>
      </c>
      <c r="X28" s="5">
        <f t="shared" si="14"/>
        <v>102</v>
      </c>
      <c r="Y28" s="5">
        <f t="shared" si="14"/>
        <v>111</v>
      </c>
      <c r="Z28" s="5">
        <f t="shared" si="14"/>
        <v>100</v>
      </c>
      <c r="AA28" s="5">
        <f t="shared" si="14"/>
        <v>115</v>
      </c>
      <c r="AB28" s="5">
        <f t="shared" si="14"/>
        <v>97</v>
      </c>
      <c r="AC28" s="5">
        <f t="shared" si="14"/>
        <v>110</v>
      </c>
      <c r="AD28" s="5">
        <f t="shared" si="14"/>
        <v>101</v>
      </c>
      <c r="AE28" s="5">
        <f t="shared" si="14"/>
        <v>119</v>
      </c>
      <c r="AF28" s="5">
        <f t="shared" ref="AF28:AI28" si="15">SUM(AF19,AF22,AF25)</f>
        <v>102</v>
      </c>
      <c r="AG28" s="5">
        <f t="shared" si="15"/>
        <v>110</v>
      </c>
      <c r="AH28" s="5">
        <f t="shared" si="15"/>
        <v>120</v>
      </c>
      <c r="AI28" s="5">
        <f t="shared" si="15"/>
        <v>111</v>
      </c>
      <c r="AJ28" s="5">
        <f t="shared" si="3"/>
        <v>3311</v>
      </c>
    </row>
    <row r="29" spans="1:36">
      <c r="A29" s="13"/>
      <c r="B29" s="87"/>
      <c r="C29" s="97"/>
      <c r="D29" s="5" t="s">
        <v>24</v>
      </c>
      <c r="E29" s="5">
        <f>SUM(E20,E23,E26)</f>
        <v>99</v>
      </c>
      <c r="F29" s="5">
        <f t="shared" ref="F29:R29" si="16">SUM(F20,F23,F26)</f>
        <v>102</v>
      </c>
      <c r="G29" s="5">
        <f t="shared" si="16"/>
        <v>115</v>
      </c>
      <c r="H29" s="5">
        <f t="shared" si="16"/>
        <v>115</v>
      </c>
      <c r="I29" s="5">
        <f t="shared" si="16"/>
        <v>100</v>
      </c>
      <c r="J29" s="5">
        <f t="shared" si="16"/>
        <v>110</v>
      </c>
      <c r="K29" s="5">
        <f t="shared" si="16"/>
        <v>117</v>
      </c>
      <c r="L29" s="5">
        <f t="shared" si="16"/>
        <v>100</v>
      </c>
      <c r="M29" s="5">
        <f t="shared" si="16"/>
        <v>98</v>
      </c>
      <c r="N29" s="5">
        <f t="shared" si="16"/>
        <v>105</v>
      </c>
      <c r="O29" s="5">
        <f t="shared" si="16"/>
        <v>106</v>
      </c>
      <c r="P29" s="5">
        <f t="shared" si="16"/>
        <v>122</v>
      </c>
      <c r="Q29" s="5">
        <f t="shared" si="16"/>
        <v>91</v>
      </c>
      <c r="R29" s="5">
        <f t="shared" si="16"/>
        <v>104</v>
      </c>
      <c r="S29" s="5">
        <f t="shared" si="14"/>
        <v>111</v>
      </c>
      <c r="T29" s="5">
        <f t="shared" si="14"/>
        <v>101</v>
      </c>
      <c r="U29" s="5">
        <f t="shared" si="14"/>
        <v>117</v>
      </c>
      <c r="V29" s="5">
        <f t="shared" si="14"/>
        <v>104</v>
      </c>
      <c r="W29" s="5">
        <f t="shared" si="14"/>
        <v>99</v>
      </c>
      <c r="X29" s="5">
        <f t="shared" si="14"/>
        <v>94</v>
      </c>
      <c r="Y29" s="5">
        <f t="shared" si="14"/>
        <v>112</v>
      </c>
      <c r="Z29" s="5">
        <f t="shared" si="14"/>
        <v>112</v>
      </c>
      <c r="AA29" s="5">
        <f t="shared" si="14"/>
        <v>117</v>
      </c>
      <c r="AB29" s="5">
        <f t="shared" si="14"/>
        <v>92</v>
      </c>
      <c r="AC29" s="5">
        <f t="shared" si="14"/>
        <v>109</v>
      </c>
      <c r="AD29" s="5">
        <f t="shared" si="14"/>
        <v>106</v>
      </c>
      <c r="AE29" s="5">
        <f t="shared" si="14"/>
        <v>104</v>
      </c>
      <c r="AF29" s="5">
        <f t="shared" ref="AF29:AI29" si="17">SUM(AF20,AF23,AF26)</f>
        <v>111</v>
      </c>
      <c r="AG29" s="5">
        <f t="shared" si="17"/>
        <v>117</v>
      </c>
      <c r="AH29" s="5">
        <f t="shared" si="17"/>
        <v>107</v>
      </c>
      <c r="AI29" s="5">
        <f t="shared" si="17"/>
        <v>116</v>
      </c>
      <c r="AJ29" s="5">
        <f t="shared" si="3"/>
        <v>3313</v>
      </c>
    </row>
    <row r="30" spans="1:36">
      <c r="A30" s="13"/>
      <c r="B30" s="88"/>
      <c r="C30" s="98"/>
      <c r="D30" s="5" t="s">
        <v>25</v>
      </c>
      <c r="E30" s="5">
        <f t="shared" ref="E30:AE30" si="18">SUM(E28:E29)</f>
        <v>211</v>
      </c>
      <c r="F30" s="5">
        <f t="shared" ref="F30:R30" si="19">SUM(F28:F29)</f>
        <v>212</v>
      </c>
      <c r="G30" s="5">
        <f t="shared" si="19"/>
        <v>229</v>
      </c>
      <c r="H30" s="5">
        <f t="shared" si="19"/>
        <v>226</v>
      </c>
      <c r="I30" s="5">
        <f t="shared" si="19"/>
        <v>191</v>
      </c>
      <c r="J30" s="5">
        <f t="shared" si="19"/>
        <v>215</v>
      </c>
      <c r="K30" s="5">
        <f t="shared" si="19"/>
        <v>229</v>
      </c>
      <c r="L30" s="5">
        <f t="shared" si="19"/>
        <v>195</v>
      </c>
      <c r="M30" s="5">
        <f t="shared" si="19"/>
        <v>203</v>
      </c>
      <c r="N30" s="5">
        <f t="shared" si="19"/>
        <v>221</v>
      </c>
      <c r="O30" s="5">
        <f t="shared" si="19"/>
        <v>214</v>
      </c>
      <c r="P30" s="5">
        <f t="shared" si="19"/>
        <v>232</v>
      </c>
      <c r="Q30" s="5">
        <f t="shared" si="19"/>
        <v>199</v>
      </c>
      <c r="R30" s="5">
        <f t="shared" si="19"/>
        <v>213</v>
      </c>
      <c r="S30" s="5">
        <f t="shared" si="18"/>
        <v>212</v>
      </c>
      <c r="T30" s="5">
        <f t="shared" si="18"/>
        <v>197</v>
      </c>
      <c r="U30" s="5">
        <f t="shared" si="18"/>
        <v>223</v>
      </c>
      <c r="V30" s="5">
        <f t="shared" si="18"/>
        <v>204</v>
      </c>
      <c r="W30" s="5">
        <f t="shared" si="18"/>
        <v>203</v>
      </c>
      <c r="X30" s="5">
        <f t="shared" si="18"/>
        <v>196</v>
      </c>
      <c r="Y30" s="5">
        <f t="shared" si="18"/>
        <v>223</v>
      </c>
      <c r="Z30" s="5">
        <f t="shared" si="18"/>
        <v>212</v>
      </c>
      <c r="AA30" s="5">
        <f t="shared" si="18"/>
        <v>232</v>
      </c>
      <c r="AB30" s="5">
        <f t="shared" si="18"/>
        <v>189</v>
      </c>
      <c r="AC30" s="5">
        <f t="shared" si="18"/>
        <v>219</v>
      </c>
      <c r="AD30" s="5">
        <f t="shared" si="18"/>
        <v>207</v>
      </c>
      <c r="AE30" s="5">
        <f t="shared" si="18"/>
        <v>223</v>
      </c>
      <c r="AF30" s="5">
        <f t="shared" ref="AF30:AI30" si="20">SUM(AF28:AF29)</f>
        <v>213</v>
      </c>
      <c r="AG30" s="5">
        <f t="shared" si="20"/>
        <v>227</v>
      </c>
      <c r="AH30" s="5">
        <f t="shared" si="20"/>
        <v>227</v>
      </c>
      <c r="AI30" s="5">
        <f t="shared" si="20"/>
        <v>227</v>
      </c>
      <c r="AJ30" s="5">
        <f t="shared" si="3"/>
        <v>6624</v>
      </c>
    </row>
    <row r="31" spans="1:36">
      <c r="A31" s="74"/>
      <c r="B31" s="82"/>
      <c r="C31" s="8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10"/>
      <c r="AB31" s="10"/>
      <c r="AC31" s="10"/>
      <c r="AD31" s="10"/>
      <c r="AE31" s="10"/>
      <c r="AF31" s="10"/>
      <c r="AG31" s="10"/>
      <c r="AH31" s="10"/>
      <c r="AI31" s="10"/>
      <c r="AJ31" s="28"/>
    </row>
    <row r="32" spans="1:36">
      <c r="A32" s="14" t="s">
        <v>36</v>
      </c>
      <c r="B32" s="69" t="s">
        <v>37</v>
      </c>
      <c r="C32" s="8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5"/>
      <c r="T32" s="5"/>
      <c r="U32" s="5"/>
      <c r="V32" s="5"/>
      <c r="W32" s="5"/>
      <c r="X32" s="5"/>
      <c r="Y32" s="5"/>
      <c r="Z32" s="5"/>
      <c r="AA32" s="15"/>
      <c r="AB32" s="15"/>
      <c r="AC32" s="15"/>
      <c r="AD32" s="15"/>
      <c r="AE32" s="15"/>
      <c r="AF32" s="15"/>
      <c r="AG32" s="15"/>
      <c r="AH32" s="15"/>
      <c r="AI32" s="15"/>
      <c r="AJ32" s="28"/>
    </row>
    <row r="33" spans="1:36">
      <c r="A33" s="6">
        <v>1</v>
      </c>
      <c r="B33" s="90" t="s">
        <v>38</v>
      </c>
      <c r="C33" s="82"/>
      <c r="D33" s="73"/>
      <c r="E33" s="6">
        <v>255</v>
      </c>
      <c r="F33" s="6">
        <v>250</v>
      </c>
      <c r="G33" s="6">
        <v>279</v>
      </c>
      <c r="H33" s="6">
        <v>292</v>
      </c>
      <c r="I33" s="6">
        <v>239</v>
      </c>
      <c r="J33" s="6">
        <v>261</v>
      </c>
      <c r="K33" s="6">
        <v>267</v>
      </c>
      <c r="L33" s="6">
        <v>244</v>
      </c>
      <c r="M33" s="6">
        <v>253</v>
      </c>
      <c r="N33" s="6">
        <v>274</v>
      </c>
      <c r="O33" s="6">
        <v>278</v>
      </c>
      <c r="P33" s="6">
        <v>289</v>
      </c>
      <c r="Q33" s="6">
        <v>236</v>
      </c>
      <c r="R33" s="6">
        <v>273</v>
      </c>
      <c r="S33" s="6">
        <v>267</v>
      </c>
      <c r="T33" s="6">
        <v>245</v>
      </c>
      <c r="U33" s="6">
        <v>261</v>
      </c>
      <c r="V33" s="6">
        <v>258</v>
      </c>
      <c r="W33" s="6">
        <v>260</v>
      </c>
      <c r="X33" s="6">
        <v>248</v>
      </c>
      <c r="Y33" s="6">
        <v>267</v>
      </c>
      <c r="Z33" s="6">
        <v>255</v>
      </c>
      <c r="AA33" s="6">
        <v>282</v>
      </c>
      <c r="AB33" s="6">
        <v>259</v>
      </c>
      <c r="AC33" s="6">
        <v>264</v>
      </c>
      <c r="AD33" s="6">
        <v>282</v>
      </c>
      <c r="AE33" s="6">
        <v>274</v>
      </c>
      <c r="AF33" s="6">
        <v>246</v>
      </c>
      <c r="AG33" s="6">
        <v>273</v>
      </c>
      <c r="AH33" s="6">
        <v>275</v>
      </c>
      <c r="AI33" s="6">
        <v>271</v>
      </c>
      <c r="AJ33" s="5">
        <f>SUM(E33:AI33)</f>
        <v>8177</v>
      </c>
    </row>
    <row r="34" spans="1:36">
      <c r="A34" s="6">
        <v>2</v>
      </c>
      <c r="B34" s="90" t="s">
        <v>39</v>
      </c>
      <c r="C34" s="82"/>
      <c r="D34" s="73"/>
      <c r="E34" s="5">
        <v>211</v>
      </c>
      <c r="F34" s="5">
        <v>212</v>
      </c>
      <c r="G34" s="5">
        <v>229</v>
      </c>
      <c r="H34" s="5">
        <v>226</v>
      </c>
      <c r="I34" s="5">
        <v>191</v>
      </c>
      <c r="J34" s="5">
        <v>215</v>
      </c>
      <c r="K34" s="5">
        <v>229</v>
      </c>
      <c r="L34" s="5">
        <v>195</v>
      </c>
      <c r="M34" s="5">
        <v>203</v>
      </c>
      <c r="N34" s="5">
        <v>221</v>
      </c>
      <c r="O34" s="5">
        <v>214</v>
      </c>
      <c r="P34" s="5">
        <v>232</v>
      </c>
      <c r="Q34" s="5">
        <v>199</v>
      </c>
      <c r="R34" s="5">
        <v>213</v>
      </c>
      <c r="S34" s="5">
        <v>212</v>
      </c>
      <c r="T34" s="5">
        <v>197</v>
      </c>
      <c r="U34" s="5">
        <v>223</v>
      </c>
      <c r="V34" s="5">
        <v>204</v>
      </c>
      <c r="W34" s="5">
        <v>203</v>
      </c>
      <c r="X34" s="5">
        <v>196</v>
      </c>
      <c r="Y34" s="5">
        <v>223</v>
      </c>
      <c r="Z34" s="5">
        <v>212</v>
      </c>
      <c r="AA34" s="5">
        <v>232</v>
      </c>
      <c r="AB34" s="5">
        <v>189</v>
      </c>
      <c r="AC34" s="5">
        <v>219</v>
      </c>
      <c r="AD34" s="5">
        <v>207</v>
      </c>
      <c r="AE34" s="5">
        <v>223</v>
      </c>
      <c r="AF34" s="5">
        <v>213</v>
      </c>
      <c r="AG34" s="5">
        <v>227</v>
      </c>
      <c r="AH34" s="5">
        <v>227</v>
      </c>
      <c r="AI34" s="5">
        <v>227</v>
      </c>
      <c r="AJ34" s="5">
        <f>SUM(E34:AI34)</f>
        <v>6624</v>
      </c>
    </row>
    <row r="35" spans="1:36">
      <c r="A35" s="6">
        <v>3</v>
      </c>
      <c r="B35" s="90" t="s">
        <v>40</v>
      </c>
      <c r="C35" s="82"/>
      <c r="D35" s="73"/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1</v>
      </c>
      <c r="AH35" s="6">
        <v>0</v>
      </c>
      <c r="AI35" s="6">
        <v>2</v>
      </c>
      <c r="AJ35" s="5">
        <f>SUM(E35:AI35)</f>
        <v>6</v>
      </c>
    </row>
    <row r="36" spans="1:36">
      <c r="A36" s="6">
        <v>4</v>
      </c>
      <c r="B36" s="90" t="s">
        <v>41</v>
      </c>
      <c r="C36" s="82"/>
      <c r="D36" s="73"/>
      <c r="E36" s="5">
        <f t="shared" ref="E36:AE36" si="21">E33-(E34+E35)</f>
        <v>41</v>
      </c>
      <c r="F36" s="5">
        <f t="shared" ref="F36:R36" si="22">F33-(F34+F35)</f>
        <v>38</v>
      </c>
      <c r="G36" s="5">
        <f t="shared" si="22"/>
        <v>50</v>
      </c>
      <c r="H36" s="5">
        <f t="shared" si="22"/>
        <v>66</v>
      </c>
      <c r="I36" s="5">
        <f t="shared" si="22"/>
        <v>48</v>
      </c>
      <c r="J36" s="5">
        <f t="shared" si="22"/>
        <v>46</v>
      </c>
      <c r="K36" s="5">
        <f t="shared" si="22"/>
        <v>38</v>
      </c>
      <c r="L36" s="5">
        <f t="shared" si="22"/>
        <v>49</v>
      </c>
      <c r="M36" s="5">
        <f t="shared" si="22"/>
        <v>50</v>
      </c>
      <c r="N36" s="5">
        <f t="shared" si="22"/>
        <v>53</v>
      </c>
      <c r="O36" s="5">
        <f t="shared" si="22"/>
        <v>64</v>
      </c>
      <c r="P36" s="5">
        <f t="shared" si="22"/>
        <v>57</v>
      </c>
      <c r="Q36" s="5">
        <f t="shared" si="22"/>
        <v>37</v>
      </c>
      <c r="R36" s="5">
        <f t="shared" si="22"/>
        <v>60</v>
      </c>
      <c r="S36" s="5">
        <f t="shared" si="21"/>
        <v>55</v>
      </c>
      <c r="T36" s="5">
        <f t="shared" si="21"/>
        <v>48</v>
      </c>
      <c r="U36" s="5">
        <f t="shared" si="21"/>
        <v>38</v>
      </c>
      <c r="V36" s="5">
        <f t="shared" si="21"/>
        <v>54</v>
      </c>
      <c r="W36" s="5">
        <f t="shared" si="21"/>
        <v>57</v>
      </c>
      <c r="X36" s="5">
        <f t="shared" si="21"/>
        <v>52</v>
      </c>
      <c r="Y36" s="5">
        <f t="shared" si="21"/>
        <v>44</v>
      </c>
      <c r="Z36" s="5">
        <f t="shared" si="21"/>
        <v>43</v>
      </c>
      <c r="AA36" s="5">
        <f t="shared" si="21"/>
        <v>50</v>
      </c>
      <c r="AB36" s="5">
        <f t="shared" si="21"/>
        <v>70</v>
      </c>
      <c r="AC36" s="5">
        <f t="shared" si="21"/>
        <v>45</v>
      </c>
      <c r="AD36" s="5">
        <f t="shared" si="21"/>
        <v>75</v>
      </c>
      <c r="AE36" s="5">
        <f t="shared" si="21"/>
        <v>51</v>
      </c>
      <c r="AF36" s="5">
        <f t="shared" ref="AF36:AI36" si="23">AF33-(AF34+AF35)</f>
        <v>33</v>
      </c>
      <c r="AG36" s="5">
        <f t="shared" si="23"/>
        <v>45</v>
      </c>
      <c r="AH36" s="5">
        <f t="shared" si="23"/>
        <v>48</v>
      </c>
      <c r="AI36" s="5">
        <f t="shared" si="23"/>
        <v>42</v>
      </c>
      <c r="AJ36" s="5">
        <f>SUM(E36:AI36)</f>
        <v>1547</v>
      </c>
    </row>
    <row r="37" spans="1:36">
      <c r="A37" s="74"/>
      <c r="B37" s="82"/>
      <c r="C37" s="82"/>
      <c r="D37" s="82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101"/>
      <c r="T37" s="101"/>
      <c r="U37" s="101"/>
      <c r="V37" s="106"/>
      <c r="W37" s="6"/>
      <c r="X37" s="6"/>
      <c r="Y37" s="6"/>
      <c r="Z37" s="6"/>
      <c r="AA37" s="10"/>
      <c r="AB37" s="26"/>
      <c r="AC37" s="26"/>
      <c r="AD37" s="26"/>
      <c r="AE37" s="26"/>
      <c r="AF37" s="26"/>
      <c r="AG37" s="26"/>
      <c r="AH37" s="26"/>
      <c r="AI37" s="26"/>
      <c r="AJ37" s="28"/>
    </row>
    <row r="38" spans="1:36">
      <c r="A38" s="16" t="s">
        <v>42</v>
      </c>
      <c r="B38" s="69" t="s">
        <v>43</v>
      </c>
      <c r="C38" s="8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5"/>
      <c r="T38" s="5"/>
      <c r="U38" s="5"/>
      <c r="V38" s="5"/>
      <c r="W38" s="5"/>
      <c r="X38" s="5"/>
      <c r="Y38" s="5"/>
      <c r="Z38" s="5"/>
      <c r="AA38" s="15"/>
      <c r="AB38" s="15"/>
      <c r="AC38" s="15"/>
      <c r="AD38" s="15"/>
      <c r="AE38" s="15"/>
      <c r="AF38" s="15"/>
      <c r="AG38" s="15"/>
      <c r="AH38" s="15"/>
      <c r="AI38" s="15"/>
      <c r="AJ38" s="28"/>
    </row>
    <row r="39" spans="1:36">
      <c r="A39" s="11"/>
      <c r="B39" s="85" t="s">
        <v>44</v>
      </c>
      <c r="C39" s="81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/>
      <c r="AJ39" s="5">
        <f>SUM(E39:AI39)</f>
        <v>4</v>
      </c>
    </row>
    <row r="40" spans="1:36">
      <c r="A40" s="12"/>
      <c r="B40" s="86"/>
      <c r="C40" s="8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/>
      <c r="AJ40" s="5">
        <f>SUM(E40:AI40)</f>
        <v>0</v>
      </c>
    </row>
    <row r="41" spans="1:36">
      <c r="A41" s="14"/>
      <c r="B41" s="84"/>
      <c r="C41" s="88"/>
      <c r="D41" s="5" t="s">
        <v>25</v>
      </c>
      <c r="E41" s="5">
        <f t="shared" ref="E41:AE41" si="24">SUM(E39:E40)</f>
        <v>0</v>
      </c>
      <c r="F41" s="5">
        <f t="shared" ref="F41:R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1</v>
      </c>
      <c r="M41" s="5">
        <f t="shared" si="25"/>
        <v>0</v>
      </c>
      <c r="N41" s="5">
        <f t="shared" si="25"/>
        <v>2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1</v>
      </c>
      <c r="Y41" s="5">
        <f t="shared" si="24"/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ref="AF41:AI41" si="26">SUM(AF39:AF40)</f>
        <v>0</v>
      </c>
      <c r="AG41" s="5">
        <f t="shared" si="26"/>
        <v>0</v>
      </c>
      <c r="AH41" s="5">
        <f t="shared" si="26"/>
        <v>0</v>
      </c>
      <c r="AI41" s="5">
        <f t="shared" si="26"/>
        <v>0</v>
      </c>
      <c r="AJ41" s="5">
        <f>SUM(E41:AI41)</f>
        <v>4</v>
      </c>
    </row>
    <row r="42" spans="1:36">
      <c r="A42" s="83"/>
      <c r="B42" s="84"/>
      <c r="C42" s="84"/>
      <c r="D42" s="88"/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82"/>
      <c r="T42" s="82"/>
      <c r="U42" s="82"/>
      <c r="V42" s="73"/>
      <c r="W42" s="6"/>
      <c r="X42" s="6"/>
      <c r="Y42" s="6"/>
      <c r="Z42" s="6"/>
      <c r="AA42" s="10"/>
      <c r="AB42" s="6"/>
      <c r="AC42" s="10"/>
      <c r="AD42" s="6"/>
      <c r="AE42" s="10"/>
      <c r="AF42" s="10"/>
      <c r="AG42" s="6"/>
      <c r="AH42" s="10"/>
      <c r="AI42" s="6"/>
      <c r="AJ42" s="5"/>
    </row>
    <row r="43" spans="1:36" ht="13.15" customHeight="1">
      <c r="A43" s="16" t="s">
        <v>45</v>
      </c>
      <c r="B43" s="69" t="s">
        <v>46</v>
      </c>
      <c r="C43" s="8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15"/>
      <c r="AB43" s="5"/>
      <c r="AC43" s="15"/>
      <c r="AD43" s="5"/>
      <c r="AE43" s="15"/>
      <c r="AF43" s="15"/>
      <c r="AG43" s="5"/>
      <c r="AH43" s="15"/>
      <c r="AI43" s="5"/>
      <c r="AJ43" s="5"/>
    </row>
    <row r="44" spans="1:36" ht="13.15" customHeight="1">
      <c r="A44" s="85" t="s">
        <v>47</v>
      </c>
      <c r="B44" s="89"/>
      <c r="C44" s="89"/>
      <c r="D44" s="81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10"/>
      <c r="AB44" s="6"/>
      <c r="AC44" s="10"/>
      <c r="AD44" s="6"/>
      <c r="AE44" s="10"/>
      <c r="AF44" s="10"/>
      <c r="AG44" s="6"/>
      <c r="AH44" s="10"/>
      <c r="AI44" s="6"/>
      <c r="AJ44" s="5"/>
    </row>
    <row r="45" spans="1:36">
      <c r="A45" s="11" t="s">
        <v>48</v>
      </c>
      <c r="B45" s="17" t="s">
        <v>28</v>
      </c>
      <c r="C45" s="72" t="s">
        <v>49</v>
      </c>
      <c r="D45" s="73"/>
      <c r="E45" s="6">
        <v>1</v>
      </c>
      <c r="F45" s="6">
        <v>4</v>
      </c>
      <c r="G45" s="6">
        <v>2</v>
      </c>
      <c r="H45" s="6">
        <v>4</v>
      </c>
      <c r="I45" s="6">
        <v>6</v>
      </c>
      <c r="J45" s="6">
        <v>3</v>
      </c>
      <c r="K45" s="6">
        <v>6</v>
      </c>
      <c r="L45" s="6">
        <v>4</v>
      </c>
      <c r="M45" s="6">
        <v>4</v>
      </c>
      <c r="N45" s="6">
        <v>3</v>
      </c>
      <c r="O45" s="6">
        <v>6</v>
      </c>
      <c r="P45" s="6">
        <v>5</v>
      </c>
      <c r="Q45" s="6">
        <v>2</v>
      </c>
      <c r="R45" s="6">
        <v>3</v>
      </c>
      <c r="S45" s="6">
        <v>4</v>
      </c>
      <c r="T45" s="6">
        <v>3</v>
      </c>
      <c r="U45" s="6">
        <v>7</v>
      </c>
      <c r="V45" s="6">
        <v>12</v>
      </c>
      <c r="W45" s="6">
        <v>4</v>
      </c>
      <c r="X45" s="6">
        <v>3</v>
      </c>
      <c r="Y45" s="6">
        <v>5</v>
      </c>
      <c r="Z45" s="6">
        <v>7</v>
      </c>
      <c r="AA45" s="6">
        <v>1</v>
      </c>
      <c r="AB45" s="6">
        <v>5</v>
      </c>
      <c r="AC45" s="6">
        <v>5</v>
      </c>
      <c r="AD45" s="6">
        <v>0</v>
      </c>
      <c r="AE45" s="6">
        <v>3</v>
      </c>
      <c r="AF45" s="6">
        <v>2</v>
      </c>
      <c r="AG45" s="6">
        <v>3</v>
      </c>
      <c r="AH45" s="6">
        <v>6</v>
      </c>
      <c r="AI45" s="6">
        <v>6</v>
      </c>
      <c r="AJ45" s="5">
        <f t="shared" ref="AJ45:AJ54" si="27">SUM(E45:AI45)</f>
        <v>129</v>
      </c>
    </row>
    <row r="46" spans="1:36">
      <c r="A46" s="11" t="s">
        <v>50</v>
      </c>
      <c r="B46" s="50"/>
      <c r="C46" s="24" t="s">
        <v>105</v>
      </c>
      <c r="D46" s="51"/>
      <c r="E46" s="6">
        <v>2</v>
      </c>
      <c r="F46" s="6">
        <v>1</v>
      </c>
      <c r="G46" s="6">
        <v>4</v>
      </c>
      <c r="H46" s="6">
        <v>3</v>
      </c>
      <c r="I46" s="6">
        <v>15</v>
      </c>
      <c r="J46" s="6">
        <v>8</v>
      </c>
      <c r="K46" s="6">
        <v>26</v>
      </c>
      <c r="L46" s="6">
        <v>10</v>
      </c>
      <c r="M46" s="6">
        <v>20</v>
      </c>
      <c r="N46" s="6">
        <v>18</v>
      </c>
      <c r="O46" s="6">
        <v>9</v>
      </c>
      <c r="P46" s="6">
        <v>10</v>
      </c>
      <c r="Q46" s="6">
        <v>1</v>
      </c>
      <c r="R46" s="6">
        <v>8</v>
      </c>
      <c r="S46" s="6">
        <v>10</v>
      </c>
      <c r="T46" s="6">
        <v>12</v>
      </c>
      <c r="U46" s="6">
        <v>18</v>
      </c>
      <c r="V46" s="6">
        <v>16</v>
      </c>
      <c r="W46" s="6">
        <v>11</v>
      </c>
      <c r="X46" s="6">
        <v>2</v>
      </c>
      <c r="Y46" s="6">
        <v>15</v>
      </c>
      <c r="Z46" s="6">
        <v>23</v>
      </c>
      <c r="AA46" s="6">
        <v>6</v>
      </c>
      <c r="AB46" s="6">
        <v>4</v>
      </c>
      <c r="AC46" s="6">
        <v>21</v>
      </c>
      <c r="AD46" s="6">
        <v>2</v>
      </c>
      <c r="AE46" s="6">
        <v>8</v>
      </c>
      <c r="AF46" s="6">
        <v>2</v>
      </c>
      <c r="AG46" s="6">
        <v>7</v>
      </c>
      <c r="AH46" s="6">
        <v>2</v>
      </c>
      <c r="AI46" s="6">
        <v>4</v>
      </c>
      <c r="AJ46" s="5">
        <f t="shared" si="27"/>
        <v>298</v>
      </c>
    </row>
    <row r="47" spans="1:36">
      <c r="A47" s="7"/>
      <c r="B47" s="50"/>
      <c r="C47" s="24" t="s">
        <v>106</v>
      </c>
      <c r="D47" s="51"/>
      <c r="E47" s="6">
        <v>0</v>
      </c>
      <c r="F47" s="6">
        <v>1</v>
      </c>
      <c r="G47" s="6">
        <v>4</v>
      </c>
      <c r="H47" s="6">
        <v>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</v>
      </c>
      <c r="P47" s="6">
        <v>1</v>
      </c>
      <c r="Q47" s="6">
        <v>0</v>
      </c>
      <c r="R47" s="6">
        <v>2</v>
      </c>
      <c r="S47" s="6"/>
      <c r="T47" s="6">
        <v>1</v>
      </c>
      <c r="U47" s="6">
        <v>1</v>
      </c>
      <c r="V47" s="6">
        <v>0</v>
      </c>
      <c r="W47" s="6">
        <v>1</v>
      </c>
      <c r="X47" s="6">
        <v>0</v>
      </c>
      <c r="Y47" s="6">
        <v>0</v>
      </c>
      <c r="Z47" s="6">
        <v>1</v>
      </c>
      <c r="AA47" s="6">
        <v>2</v>
      </c>
      <c r="AB47" s="6">
        <v>0</v>
      </c>
      <c r="AC47" s="6">
        <v>1</v>
      </c>
      <c r="AD47" s="6">
        <v>0</v>
      </c>
      <c r="AE47" s="6">
        <v>1</v>
      </c>
      <c r="AF47" s="6">
        <v>1</v>
      </c>
      <c r="AG47" s="6">
        <v>0</v>
      </c>
      <c r="AH47" s="6">
        <v>0</v>
      </c>
      <c r="AI47" s="6">
        <v>0</v>
      </c>
      <c r="AJ47" s="5">
        <f t="shared" si="27"/>
        <v>21</v>
      </c>
    </row>
    <row r="48" spans="1:36">
      <c r="A48" s="7"/>
      <c r="B48" s="50"/>
      <c r="C48" s="24" t="s">
        <v>107</v>
      </c>
      <c r="D48" s="51"/>
      <c r="E48" s="6">
        <v>0</v>
      </c>
      <c r="F48" s="6">
        <v>1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/>
      <c r="T48" s="6">
        <v>0</v>
      </c>
      <c r="U48" s="6">
        <v>0</v>
      </c>
      <c r="V48" s="6">
        <v>0</v>
      </c>
      <c r="W48" s="6">
        <v>3</v>
      </c>
      <c r="X48" s="6">
        <v>1</v>
      </c>
      <c r="Y48" s="6">
        <v>0</v>
      </c>
      <c r="Z48" s="6">
        <v>0</v>
      </c>
      <c r="AA48" s="6">
        <v>2</v>
      </c>
      <c r="AB48" s="6">
        <v>1</v>
      </c>
      <c r="AC48" s="6">
        <v>0</v>
      </c>
      <c r="AD48" s="6">
        <v>1</v>
      </c>
      <c r="AE48" s="6">
        <v>0</v>
      </c>
      <c r="AF48" s="6">
        <v>2</v>
      </c>
      <c r="AG48" s="6">
        <v>1</v>
      </c>
      <c r="AH48" s="6">
        <v>0</v>
      </c>
      <c r="AI48" s="6">
        <v>0</v>
      </c>
      <c r="AJ48" s="5">
        <f t="shared" si="27"/>
        <v>13</v>
      </c>
    </row>
    <row r="49" spans="1:36">
      <c r="A49" s="7"/>
      <c r="B49" s="50"/>
      <c r="C49" s="24" t="s">
        <v>108</v>
      </c>
      <c r="D49" s="51"/>
      <c r="E49" s="6">
        <v>0</v>
      </c>
      <c r="F49" s="6">
        <v>1</v>
      </c>
      <c r="G49" s="6">
        <v>0</v>
      </c>
      <c r="H49" s="6">
        <v>1</v>
      </c>
      <c r="I49" s="6">
        <v>1</v>
      </c>
      <c r="J49" s="6">
        <v>0</v>
      </c>
      <c r="K49" s="6">
        <v>2</v>
      </c>
      <c r="L49" s="6">
        <v>0</v>
      </c>
      <c r="M49" s="6">
        <v>0</v>
      </c>
      <c r="N49" s="6">
        <v>0</v>
      </c>
      <c r="O49" s="6">
        <v>0</v>
      </c>
      <c r="P49" s="6">
        <v>3</v>
      </c>
      <c r="Q49" s="6">
        <v>0</v>
      </c>
      <c r="R49" s="6">
        <v>0</v>
      </c>
      <c r="S49" s="6"/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</v>
      </c>
      <c r="AF49" s="6">
        <v>0</v>
      </c>
      <c r="AG49" s="6">
        <v>2</v>
      </c>
      <c r="AH49" s="6">
        <v>1</v>
      </c>
      <c r="AI49" s="6">
        <v>2</v>
      </c>
      <c r="AJ49" s="5">
        <f t="shared" si="27"/>
        <v>14</v>
      </c>
    </row>
    <row r="50" spans="1:36">
      <c r="A50" s="7"/>
      <c r="B50" s="50"/>
      <c r="C50" s="24" t="s">
        <v>109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2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1</v>
      </c>
      <c r="U50" s="6">
        <v>1</v>
      </c>
      <c r="V50" s="6">
        <v>1</v>
      </c>
      <c r="W50" s="6">
        <v>0</v>
      </c>
      <c r="X50" s="6">
        <v>0</v>
      </c>
      <c r="Y50" s="6">
        <v>1</v>
      </c>
      <c r="Z50" s="6">
        <v>0</v>
      </c>
      <c r="AA50" s="6">
        <v>1</v>
      </c>
      <c r="AB50" s="6">
        <v>0</v>
      </c>
      <c r="AC50" s="6">
        <v>1</v>
      </c>
      <c r="AD50" s="6">
        <v>0</v>
      </c>
      <c r="AE50" s="6">
        <v>1</v>
      </c>
      <c r="AF50" s="6">
        <v>0</v>
      </c>
      <c r="AG50" s="6">
        <v>2</v>
      </c>
      <c r="AH50" s="6">
        <v>2</v>
      </c>
      <c r="AI50" s="6">
        <v>0</v>
      </c>
      <c r="AJ50" s="5">
        <f t="shared" si="27"/>
        <v>15</v>
      </c>
    </row>
    <row r="51" spans="1:36">
      <c r="A51" s="7"/>
      <c r="B51" s="50"/>
      <c r="C51" s="24" t="s">
        <v>110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1</v>
      </c>
      <c r="J51" s="6">
        <v>1</v>
      </c>
      <c r="K51" s="6">
        <v>1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/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5">
        <f t="shared" si="27"/>
        <v>6</v>
      </c>
    </row>
    <row r="52" spans="1:36" ht="13.15" customHeight="1">
      <c r="A52" s="7"/>
      <c r="B52" s="50"/>
      <c r="C52" s="24" t="s">
        <v>111</v>
      </c>
      <c r="D52" s="51"/>
      <c r="E52" s="6">
        <v>2</v>
      </c>
      <c r="F52" s="6">
        <v>1</v>
      </c>
      <c r="G52" s="6">
        <v>0</v>
      </c>
      <c r="H52" s="6">
        <v>1</v>
      </c>
      <c r="I52" s="6">
        <v>0</v>
      </c>
      <c r="J52" s="6">
        <v>0</v>
      </c>
      <c r="K52" s="6">
        <v>1</v>
      </c>
      <c r="L52" s="6">
        <v>1</v>
      </c>
      <c r="M52" s="6">
        <v>3</v>
      </c>
      <c r="N52" s="6">
        <v>0</v>
      </c>
      <c r="O52" s="6">
        <v>0</v>
      </c>
      <c r="P52" s="6">
        <v>0</v>
      </c>
      <c r="Q52" s="6">
        <v>1</v>
      </c>
      <c r="R52" s="6">
        <v>1</v>
      </c>
      <c r="S52" s="6">
        <v>1</v>
      </c>
      <c r="T52" s="6">
        <v>2</v>
      </c>
      <c r="U52" s="6">
        <v>3</v>
      </c>
      <c r="V52" s="6">
        <v>2</v>
      </c>
      <c r="W52" s="6">
        <v>5</v>
      </c>
      <c r="X52" s="6">
        <v>5</v>
      </c>
      <c r="Y52" s="6">
        <v>0</v>
      </c>
      <c r="Z52" s="6">
        <v>0</v>
      </c>
      <c r="AA52" s="6">
        <v>3</v>
      </c>
      <c r="AB52" s="6">
        <v>0</v>
      </c>
      <c r="AC52" s="6">
        <v>1</v>
      </c>
      <c r="AD52" s="6">
        <v>6</v>
      </c>
      <c r="AE52" s="6">
        <v>2</v>
      </c>
      <c r="AF52" s="6">
        <v>0</v>
      </c>
      <c r="AG52" s="6">
        <v>2</v>
      </c>
      <c r="AH52" s="6">
        <v>2</v>
      </c>
      <c r="AI52" s="6">
        <v>4</v>
      </c>
      <c r="AJ52" s="5">
        <f t="shared" si="27"/>
        <v>49</v>
      </c>
    </row>
    <row r="53" spans="1:36" ht="13.15" customHeight="1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>
        <f t="shared" si="27"/>
        <v>0</v>
      </c>
    </row>
    <row r="54" spans="1:36" ht="13.15" customHeight="1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>
        <f t="shared" si="27"/>
        <v>0</v>
      </c>
    </row>
    <row r="55" spans="1:36">
      <c r="A55" s="6" t="s">
        <v>26</v>
      </c>
      <c r="B55" s="66" t="s">
        <v>51</v>
      </c>
      <c r="C55" s="82"/>
      <c r="D55" s="73"/>
      <c r="E55" s="5">
        <f>SUM(E45:E54)</f>
        <v>5</v>
      </c>
      <c r="F55" s="5">
        <f t="shared" ref="F55:R55" si="28">SUM(F45:F54)</f>
        <v>9</v>
      </c>
      <c r="G55" s="5">
        <f t="shared" si="28"/>
        <v>10</v>
      </c>
      <c r="H55" s="5">
        <f t="shared" si="28"/>
        <v>11</v>
      </c>
      <c r="I55" s="5">
        <f t="shared" si="28"/>
        <v>23</v>
      </c>
      <c r="J55" s="5">
        <f t="shared" si="28"/>
        <v>12</v>
      </c>
      <c r="K55" s="5">
        <f t="shared" si="28"/>
        <v>38</v>
      </c>
      <c r="L55" s="5">
        <f t="shared" si="28"/>
        <v>16</v>
      </c>
      <c r="M55" s="5">
        <f t="shared" si="28"/>
        <v>27</v>
      </c>
      <c r="N55" s="5">
        <f t="shared" si="28"/>
        <v>23</v>
      </c>
      <c r="O55" s="5">
        <f t="shared" si="28"/>
        <v>17</v>
      </c>
      <c r="P55" s="5">
        <f t="shared" si="28"/>
        <v>19</v>
      </c>
      <c r="Q55" s="5">
        <f t="shared" si="28"/>
        <v>4</v>
      </c>
      <c r="R55" s="5">
        <f t="shared" si="28"/>
        <v>14</v>
      </c>
      <c r="S55" s="5">
        <f t="shared" ref="S55:AJ55" si="29">SUM(S45:S54)</f>
        <v>16</v>
      </c>
      <c r="T55" s="5">
        <f t="shared" si="29"/>
        <v>19</v>
      </c>
      <c r="U55" s="5">
        <f t="shared" si="29"/>
        <v>30</v>
      </c>
      <c r="V55" s="5">
        <f t="shared" si="29"/>
        <v>31</v>
      </c>
      <c r="W55" s="5">
        <f t="shared" si="29"/>
        <v>24</v>
      </c>
      <c r="X55" s="5">
        <f t="shared" si="29"/>
        <v>12</v>
      </c>
      <c r="Y55" s="5">
        <f t="shared" si="29"/>
        <v>21</v>
      </c>
      <c r="Z55" s="5">
        <f t="shared" si="29"/>
        <v>31</v>
      </c>
      <c r="AA55" s="5">
        <f t="shared" si="29"/>
        <v>15</v>
      </c>
      <c r="AB55" s="5">
        <f t="shared" si="29"/>
        <v>10</v>
      </c>
      <c r="AC55" s="5">
        <f t="shared" ref="AC55:AE55" si="30">SUM(AC45:AC54)</f>
        <v>30</v>
      </c>
      <c r="AD55" s="5">
        <f t="shared" si="30"/>
        <v>9</v>
      </c>
      <c r="AE55" s="5">
        <f t="shared" si="30"/>
        <v>16</v>
      </c>
      <c r="AF55" s="5">
        <f t="shared" si="29"/>
        <v>7</v>
      </c>
      <c r="AG55" s="5">
        <f t="shared" si="29"/>
        <v>17</v>
      </c>
      <c r="AH55" s="5">
        <f t="shared" si="29"/>
        <v>13</v>
      </c>
      <c r="AI55" s="5">
        <f t="shared" si="29"/>
        <v>16</v>
      </c>
      <c r="AJ55" s="5">
        <f t="shared" si="29"/>
        <v>545</v>
      </c>
    </row>
    <row r="56" spans="1:36">
      <c r="A56" s="83"/>
      <c r="B56" s="84"/>
      <c r="C56" s="84"/>
      <c r="D56" s="84"/>
      <c r="E56" s="84"/>
      <c r="AJ56" s="5"/>
    </row>
    <row r="57" spans="1:36">
      <c r="A57" s="11" t="s">
        <v>48</v>
      </c>
      <c r="B57" s="17" t="s">
        <v>30</v>
      </c>
      <c r="C57" s="72" t="s">
        <v>52</v>
      </c>
      <c r="D57" s="73"/>
      <c r="E57" s="6">
        <v>2</v>
      </c>
      <c r="F57" s="6">
        <v>12</v>
      </c>
      <c r="G57" s="6">
        <v>18</v>
      </c>
      <c r="H57" s="6">
        <v>6</v>
      </c>
      <c r="I57" s="6">
        <v>3</v>
      </c>
      <c r="J57" s="6">
        <v>3</v>
      </c>
      <c r="K57" s="6">
        <v>4</v>
      </c>
      <c r="L57" s="6">
        <v>4</v>
      </c>
      <c r="M57" s="6">
        <v>0</v>
      </c>
      <c r="N57" s="6">
        <v>3</v>
      </c>
      <c r="O57" s="6">
        <v>5</v>
      </c>
      <c r="P57" s="6">
        <v>5</v>
      </c>
      <c r="Q57" s="6">
        <v>6</v>
      </c>
      <c r="R57" s="6">
        <v>12</v>
      </c>
      <c r="S57" s="6">
        <v>2</v>
      </c>
      <c r="T57" s="6">
        <v>4</v>
      </c>
      <c r="U57" s="6">
        <v>7</v>
      </c>
      <c r="V57" s="6">
        <v>5</v>
      </c>
      <c r="W57" s="6">
        <v>6</v>
      </c>
      <c r="X57" s="6">
        <v>8</v>
      </c>
      <c r="Y57" s="6">
        <v>2</v>
      </c>
      <c r="Z57" s="6">
        <v>6</v>
      </c>
      <c r="AA57" s="6">
        <v>5</v>
      </c>
      <c r="AB57" s="6">
        <v>7</v>
      </c>
      <c r="AC57" s="6">
        <v>0</v>
      </c>
      <c r="AD57" s="6">
        <v>6</v>
      </c>
      <c r="AE57" s="6">
        <v>2</v>
      </c>
      <c r="AF57" s="6">
        <v>6</v>
      </c>
      <c r="AG57" s="6">
        <v>2</v>
      </c>
      <c r="AH57" s="6">
        <v>2</v>
      </c>
      <c r="AI57" s="6">
        <v>3</v>
      </c>
      <c r="AJ57" s="5">
        <f t="shared" ref="AJ57:AJ66" si="31">SUM(E57:AI57)</f>
        <v>156</v>
      </c>
    </row>
    <row r="58" spans="1:36">
      <c r="A58" s="11" t="s">
        <v>50</v>
      </c>
      <c r="B58" s="50"/>
      <c r="C58" s="24" t="s">
        <v>112</v>
      </c>
      <c r="D58" s="51"/>
      <c r="E58" s="6">
        <v>0</v>
      </c>
      <c r="F58" s="6">
        <v>1</v>
      </c>
      <c r="G58" s="6">
        <v>1</v>
      </c>
      <c r="H58" s="6">
        <v>4</v>
      </c>
      <c r="I58" s="6">
        <v>1</v>
      </c>
      <c r="J58" s="6">
        <v>0</v>
      </c>
      <c r="K58" s="6">
        <v>2</v>
      </c>
      <c r="L58" s="6">
        <v>2</v>
      </c>
      <c r="M58" s="6">
        <v>1</v>
      </c>
      <c r="N58" s="6">
        <v>1</v>
      </c>
      <c r="O58" s="6">
        <v>2</v>
      </c>
      <c r="P58" s="6">
        <v>0</v>
      </c>
      <c r="Q58" s="6">
        <v>0</v>
      </c>
      <c r="R58" s="6">
        <v>2</v>
      </c>
      <c r="S58" s="6">
        <v>1</v>
      </c>
      <c r="T58" s="6">
        <v>0</v>
      </c>
      <c r="U58" s="6">
        <v>5</v>
      </c>
      <c r="V58" s="6">
        <v>2</v>
      </c>
      <c r="W58" s="6">
        <v>0</v>
      </c>
      <c r="X58" s="6">
        <v>0</v>
      </c>
      <c r="Y58" s="6">
        <v>0</v>
      </c>
      <c r="Z58" s="6">
        <v>4</v>
      </c>
      <c r="AA58" s="6">
        <v>2</v>
      </c>
      <c r="AB58" s="6">
        <v>1</v>
      </c>
      <c r="AC58" s="6">
        <v>2</v>
      </c>
      <c r="AD58" s="6">
        <v>0</v>
      </c>
      <c r="AE58" s="6">
        <v>3</v>
      </c>
      <c r="AF58" s="6">
        <v>3</v>
      </c>
      <c r="AG58" s="6">
        <v>0</v>
      </c>
      <c r="AH58" s="6">
        <v>0</v>
      </c>
      <c r="AI58" s="6">
        <v>1</v>
      </c>
      <c r="AJ58" s="5">
        <f t="shared" si="31"/>
        <v>41</v>
      </c>
    </row>
    <row r="59" spans="1:36">
      <c r="A59" s="7"/>
      <c r="B59" s="50"/>
      <c r="C59" s="24" t="s">
        <v>113</v>
      </c>
      <c r="D59" s="51"/>
      <c r="E59" s="6">
        <v>62</v>
      </c>
      <c r="F59" s="6">
        <v>117</v>
      </c>
      <c r="G59" s="6">
        <v>49</v>
      </c>
      <c r="H59" s="6">
        <v>11</v>
      </c>
      <c r="I59" s="6">
        <v>4</v>
      </c>
      <c r="J59" s="6">
        <v>6</v>
      </c>
      <c r="K59" s="6">
        <v>7</v>
      </c>
      <c r="L59" s="6">
        <v>9</v>
      </c>
      <c r="M59" s="6">
        <v>19</v>
      </c>
      <c r="N59" s="6">
        <v>7</v>
      </c>
      <c r="O59" s="6">
        <v>14</v>
      </c>
      <c r="P59" s="6">
        <v>4</v>
      </c>
      <c r="Q59" s="6">
        <v>26</v>
      </c>
      <c r="R59" s="6">
        <v>6</v>
      </c>
      <c r="S59" s="6">
        <v>5</v>
      </c>
      <c r="T59" s="6">
        <v>4</v>
      </c>
      <c r="U59" s="6">
        <v>8</v>
      </c>
      <c r="V59" s="6">
        <v>12</v>
      </c>
      <c r="W59" s="6">
        <v>9</v>
      </c>
      <c r="X59" s="6">
        <v>11</v>
      </c>
      <c r="Y59" s="6">
        <v>11</v>
      </c>
      <c r="Z59" s="6">
        <v>21</v>
      </c>
      <c r="AA59" s="6">
        <v>4</v>
      </c>
      <c r="AB59" s="6">
        <v>3</v>
      </c>
      <c r="AC59" s="6">
        <v>7</v>
      </c>
      <c r="AD59" s="6">
        <v>7</v>
      </c>
      <c r="AE59" s="6">
        <v>4</v>
      </c>
      <c r="AF59" s="6">
        <v>9</v>
      </c>
      <c r="AG59" s="6">
        <v>1</v>
      </c>
      <c r="AH59" s="6">
        <v>1</v>
      </c>
      <c r="AI59" s="6">
        <v>2</v>
      </c>
      <c r="AJ59" s="5">
        <f t="shared" si="31"/>
        <v>460</v>
      </c>
    </row>
    <row r="60" spans="1:36">
      <c r="A60" s="7"/>
      <c r="B60" s="50"/>
      <c r="C60" s="24" t="s">
        <v>114</v>
      </c>
      <c r="D60" s="51"/>
      <c r="E60" s="6">
        <v>3</v>
      </c>
      <c r="F60" s="6">
        <v>0</v>
      </c>
      <c r="G60" s="6">
        <v>3</v>
      </c>
      <c r="H60" s="6">
        <v>1</v>
      </c>
      <c r="I60" s="6">
        <v>6</v>
      </c>
      <c r="J60" s="6">
        <v>1</v>
      </c>
      <c r="K60" s="6">
        <v>4</v>
      </c>
      <c r="L60" s="6">
        <v>1</v>
      </c>
      <c r="M60" s="6">
        <v>0</v>
      </c>
      <c r="N60" s="6">
        <v>1</v>
      </c>
      <c r="O60" s="6">
        <v>4</v>
      </c>
      <c r="P60" s="6">
        <v>3</v>
      </c>
      <c r="Q60" s="6">
        <v>0</v>
      </c>
      <c r="R60" s="6">
        <v>2</v>
      </c>
      <c r="S60" s="6">
        <v>1</v>
      </c>
      <c r="T60" s="6">
        <v>6</v>
      </c>
      <c r="U60" s="6">
        <v>5</v>
      </c>
      <c r="V60" s="6">
        <v>10</v>
      </c>
      <c r="W60" s="6">
        <v>9</v>
      </c>
      <c r="X60" s="6">
        <v>4</v>
      </c>
      <c r="Y60" s="6">
        <v>3</v>
      </c>
      <c r="Z60" s="6">
        <v>2</v>
      </c>
      <c r="AA60" s="6">
        <v>5</v>
      </c>
      <c r="AB60" s="6">
        <v>1</v>
      </c>
      <c r="AC60" s="6">
        <v>4</v>
      </c>
      <c r="AD60" s="6">
        <v>1</v>
      </c>
      <c r="AE60" s="6">
        <v>1</v>
      </c>
      <c r="AF60" s="6">
        <v>2</v>
      </c>
      <c r="AG60" s="6">
        <v>3</v>
      </c>
      <c r="AH60" s="6">
        <v>0</v>
      </c>
      <c r="AI60" s="6">
        <v>0</v>
      </c>
      <c r="AJ60" s="5">
        <f t="shared" si="31"/>
        <v>86</v>
      </c>
    </row>
    <row r="61" spans="1:36">
      <c r="A61" s="7"/>
      <c r="B61" s="50"/>
      <c r="C61" s="24" t="s">
        <v>115</v>
      </c>
      <c r="D61" s="51"/>
      <c r="E61" s="6">
        <v>0</v>
      </c>
      <c r="F61" s="6">
        <v>2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4</v>
      </c>
      <c r="N61" s="6">
        <v>3</v>
      </c>
      <c r="O61" s="6">
        <v>0</v>
      </c>
      <c r="P61" s="6">
        <v>0</v>
      </c>
      <c r="Q61" s="6">
        <v>1</v>
      </c>
      <c r="R61" s="6">
        <v>2</v>
      </c>
      <c r="S61" s="6"/>
      <c r="T61" s="6">
        <v>0</v>
      </c>
      <c r="U61" s="6">
        <v>2</v>
      </c>
      <c r="V61" s="6">
        <v>0</v>
      </c>
      <c r="W61" s="6">
        <v>3</v>
      </c>
      <c r="X61" s="6">
        <v>1</v>
      </c>
      <c r="Y61" s="6">
        <v>0</v>
      </c>
      <c r="Z61" s="6">
        <v>1</v>
      </c>
      <c r="AA61" s="6">
        <v>0</v>
      </c>
      <c r="AB61" s="6">
        <v>1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5">
        <f t="shared" si="31"/>
        <v>22</v>
      </c>
    </row>
    <row r="62" spans="1:36">
      <c r="A62" s="7"/>
      <c r="B62" s="50"/>
      <c r="C62" s="24" t="s">
        <v>116</v>
      </c>
      <c r="D62" s="51"/>
      <c r="E62" s="6">
        <v>1</v>
      </c>
      <c r="F62" s="6">
        <v>0</v>
      </c>
      <c r="G62" s="6">
        <v>0</v>
      </c>
      <c r="H62" s="6">
        <v>1</v>
      </c>
      <c r="I62" s="6">
        <v>1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/>
      <c r="T62" s="6">
        <v>4</v>
      </c>
      <c r="U62" s="6">
        <v>2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1</v>
      </c>
      <c r="AG62" s="6">
        <v>1</v>
      </c>
      <c r="AH62" s="6">
        <v>0</v>
      </c>
      <c r="AI62" s="6">
        <v>0</v>
      </c>
      <c r="AJ62" s="5">
        <f t="shared" si="31"/>
        <v>12</v>
      </c>
    </row>
    <row r="63" spans="1:36" ht="13.15" customHeight="1">
      <c r="A63" s="7"/>
      <c r="B63" s="50"/>
      <c r="C63" s="24" t="s">
        <v>117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/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5">
        <f t="shared" si="31"/>
        <v>0</v>
      </c>
    </row>
    <row r="64" spans="1:36">
      <c r="A64" s="7"/>
      <c r="B64" s="50"/>
      <c r="C64" s="24" t="s">
        <v>118</v>
      </c>
      <c r="D64" s="51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>
        <v>0</v>
      </c>
      <c r="Q64" s="6">
        <v>0</v>
      </c>
      <c r="R64" s="6">
        <v>1</v>
      </c>
      <c r="S64" s="6"/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6">
        <v>0</v>
      </c>
      <c r="AA64" s="6">
        <v>0</v>
      </c>
      <c r="AB64" s="6">
        <v>0</v>
      </c>
      <c r="AC64" s="6">
        <v>1</v>
      </c>
      <c r="AD64" s="6">
        <v>0</v>
      </c>
      <c r="AE64" s="6">
        <v>0</v>
      </c>
      <c r="AF64" s="6">
        <v>1</v>
      </c>
      <c r="AG64" s="6">
        <v>1</v>
      </c>
      <c r="AH64" s="6">
        <v>0</v>
      </c>
      <c r="AI64" s="6">
        <v>0</v>
      </c>
      <c r="AJ64" s="5">
        <f t="shared" si="31"/>
        <v>8</v>
      </c>
    </row>
    <row r="65" spans="1:36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">
        <f t="shared" si="31"/>
        <v>0</v>
      </c>
    </row>
    <row r="66" spans="1:36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">
        <f t="shared" si="31"/>
        <v>0</v>
      </c>
    </row>
    <row r="67" spans="1:36">
      <c r="A67" s="6" t="s">
        <v>26</v>
      </c>
      <c r="B67" s="66" t="s">
        <v>51</v>
      </c>
      <c r="C67" s="82"/>
      <c r="D67" s="73"/>
      <c r="E67" s="5">
        <f t="shared" ref="E67:AJ67" si="32">SUM(E57:E66)</f>
        <v>68</v>
      </c>
      <c r="F67" s="5">
        <f t="shared" ref="F67:R67" si="33">SUM(F57:F66)</f>
        <v>132</v>
      </c>
      <c r="G67" s="5">
        <f t="shared" si="33"/>
        <v>71</v>
      </c>
      <c r="H67" s="5">
        <f t="shared" si="33"/>
        <v>23</v>
      </c>
      <c r="I67" s="5">
        <f t="shared" si="33"/>
        <v>15</v>
      </c>
      <c r="J67" s="5">
        <f t="shared" si="33"/>
        <v>11</v>
      </c>
      <c r="K67" s="5">
        <f t="shared" si="33"/>
        <v>18</v>
      </c>
      <c r="L67" s="5">
        <f t="shared" si="33"/>
        <v>17</v>
      </c>
      <c r="M67" s="5">
        <f t="shared" si="33"/>
        <v>25</v>
      </c>
      <c r="N67" s="5">
        <f t="shared" si="33"/>
        <v>17</v>
      </c>
      <c r="O67" s="5">
        <f t="shared" si="33"/>
        <v>25</v>
      </c>
      <c r="P67" s="5">
        <f t="shared" si="33"/>
        <v>12</v>
      </c>
      <c r="Q67" s="5">
        <f t="shared" si="33"/>
        <v>33</v>
      </c>
      <c r="R67" s="5">
        <f t="shared" si="33"/>
        <v>25</v>
      </c>
      <c r="S67" s="5">
        <f t="shared" si="32"/>
        <v>9</v>
      </c>
      <c r="T67" s="5">
        <f t="shared" si="32"/>
        <v>18</v>
      </c>
      <c r="U67" s="5">
        <f t="shared" si="32"/>
        <v>29</v>
      </c>
      <c r="V67" s="5">
        <f t="shared" si="32"/>
        <v>29</v>
      </c>
      <c r="W67" s="5">
        <f t="shared" si="32"/>
        <v>27</v>
      </c>
      <c r="X67" s="5">
        <f t="shared" si="32"/>
        <v>24</v>
      </c>
      <c r="Y67" s="5">
        <f t="shared" si="32"/>
        <v>17</v>
      </c>
      <c r="Z67" s="5">
        <f t="shared" si="32"/>
        <v>34</v>
      </c>
      <c r="AA67" s="5">
        <f t="shared" si="32"/>
        <v>16</v>
      </c>
      <c r="AB67" s="5">
        <f t="shared" si="32"/>
        <v>13</v>
      </c>
      <c r="AC67" s="5">
        <f t="shared" ref="AC67:AE67" si="34">SUM(AC57:AC66)</f>
        <v>14</v>
      </c>
      <c r="AD67" s="5">
        <f t="shared" si="34"/>
        <v>14</v>
      </c>
      <c r="AE67" s="5">
        <f t="shared" si="34"/>
        <v>10</v>
      </c>
      <c r="AF67" s="5">
        <f t="shared" si="32"/>
        <v>22</v>
      </c>
      <c r="AG67" s="5">
        <f t="shared" si="32"/>
        <v>8</v>
      </c>
      <c r="AH67" s="5">
        <f t="shared" si="32"/>
        <v>3</v>
      </c>
      <c r="AI67" s="5">
        <f t="shared" si="32"/>
        <v>6</v>
      </c>
      <c r="AJ67" s="5">
        <f t="shared" si="32"/>
        <v>785</v>
      </c>
    </row>
    <row r="68" spans="1:36">
      <c r="A68" s="83"/>
      <c r="B68" s="84"/>
      <c r="C68" s="84"/>
      <c r="D68" s="84"/>
      <c r="E68" s="84"/>
    </row>
    <row r="69" spans="1:36">
      <c r="A69" s="11" t="s">
        <v>48</v>
      </c>
      <c r="B69" s="17" t="s">
        <v>32</v>
      </c>
      <c r="C69" s="72" t="s">
        <v>53</v>
      </c>
      <c r="D69" s="73"/>
      <c r="E69" s="6">
        <v>3</v>
      </c>
      <c r="F69" s="6">
        <v>4</v>
      </c>
      <c r="G69" s="6">
        <v>2</v>
      </c>
      <c r="H69" s="6">
        <v>11</v>
      </c>
      <c r="I69" s="6">
        <v>1</v>
      </c>
      <c r="J69" s="6">
        <v>6</v>
      </c>
      <c r="K69" s="6">
        <v>13</v>
      </c>
      <c r="L69" s="6">
        <v>9</v>
      </c>
      <c r="M69" s="6">
        <v>1</v>
      </c>
      <c r="N69" s="6">
        <v>4</v>
      </c>
      <c r="O69" s="6">
        <v>8</v>
      </c>
      <c r="P69" s="6">
        <v>7</v>
      </c>
      <c r="Q69" s="6">
        <v>11</v>
      </c>
      <c r="R69" s="6">
        <v>7</v>
      </c>
      <c r="S69" s="6">
        <v>4</v>
      </c>
      <c r="T69" s="6">
        <v>9</v>
      </c>
      <c r="U69" s="6">
        <v>8</v>
      </c>
      <c r="V69" s="6">
        <v>6</v>
      </c>
      <c r="W69" s="6">
        <v>1</v>
      </c>
      <c r="X69" s="6">
        <v>8</v>
      </c>
      <c r="Y69" s="6">
        <v>5</v>
      </c>
      <c r="Z69" s="6">
        <v>6</v>
      </c>
      <c r="AA69" s="6">
        <v>7</v>
      </c>
      <c r="AB69" s="6">
        <v>10</v>
      </c>
      <c r="AC69" s="6">
        <v>6</v>
      </c>
      <c r="AD69" s="6">
        <v>6</v>
      </c>
      <c r="AE69" s="6">
        <v>7</v>
      </c>
      <c r="AF69" s="6">
        <v>12</v>
      </c>
      <c r="AG69" s="6">
        <v>4</v>
      </c>
      <c r="AH69" s="6">
        <v>15</v>
      </c>
      <c r="AI69" s="6">
        <v>5</v>
      </c>
      <c r="AJ69" s="5">
        <f t="shared" ref="AJ69:AJ78" si="35">SUM(E69:AI69)</f>
        <v>206</v>
      </c>
    </row>
    <row r="70" spans="1:36">
      <c r="A70" s="11" t="s">
        <v>50</v>
      </c>
      <c r="B70" s="50"/>
      <c r="C70" s="24" t="s">
        <v>119</v>
      </c>
      <c r="D70" s="51"/>
      <c r="E70" s="6">
        <v>8</v>
      </c>
      <c r="F70" s="6">
        <v>2</v>
      </c>
      <c r="G70" s="6">
        <v>5</v>
      </c>
      <c r="H70" s="6">
        <v>7</v>
      </c>
      <c r="I70" s="6">
        <v>2</v>
      </c>
      <c r="J70" s="6">
        <v>2</v>
      </c>
      <c r="K70" s="6">
        <v>11</v>
      </c>
      <c r="L70" s="6">
        <v>11</v>
      </c>
      <c r="M70" s="6">
        <v>22</v>
      </c>
      <c r="N70" s="6">
        <v>10</v>
      </c>
      <c r="O70" s="6">
        <v>48</v>
      </c>
      <c r="P70" s="6">
        <v>2</v>
      </c>
      <c r="Q70" s="6">
        <v>3</v>
      </c>
      <c r="R70" s="6">
        <v>8</v>
      </c>
      <c r="S70" s="6">
        <v>1</v>
      </c>
      <c r="T70" s="6">
        <v>2</v>
      </c>
      <c r="U70" s="6">
        <v>2</v>
      </c>
      <c r="V70" s="6">
        <v>2</v>
      </c>
      <c r="W70" s="6">
        <v>1</v>
      </c>
      <c r="X70" s="6">
        <v>2</v>
      </c>
      <c r="Y70" s="6">
        <v>2</v>
      </c>
      <c r="Z70" s="6">
        <v>4</v>
      </c>
      <c r="AA70" s="6">
        <v>28</v>
      </c>
      <c r="AB70" s="6">
        <v>8</v>
      </c>
      <c r="AC70" s="6">
        <v>15</v>
      </c>
      <c r="AD70" s="6">
        <v>2</v>
      </c>
      <c r="AE70" s="6">
        <v>3</v>
      </c>
      <c r="AF70" s="6">
        <v>7</v>
      </c>
      <c r="AG70" s="6">
        <v>4</v>
      </c>
      <c r="AH70" s="6">
        <v>44</v>
      </c>
      <c r="AI70" s="6">
        <v>35</v>
      </c>
      <c r="AJ70" s="5">
        <f t="shared" si="35"/>
        <v>303</v>
      </c>
    </row>
    <row r="71" spans="1:36">
      <c r="A71" s="7"/>
      <c r="B71" s="50"/>
      <c r="C71" s="24" t="s">
        <v>120</v>
      </c>
      <c r="D71" s="51"/>
      <c r="E71" s="6">
        <v>1</v>
      </c>
      <c r="F71" s="6">
        <v>1</v>
      </c>
      <c r="G71" s="6">
        <v>3</v>
      </c>
      <c r="H71" s="6">
        <v>0</v>
      </c>
      <c r="I71" s="6">
        <v>1</v>
      </c>
      <c r="J71" s="6">
        <v>1</v>
      </c>
      <c r="K71" s="6">
        <v>0</v>
      </c>
      <c r="L71" s="6">
        <v>0</v>
      </c>
      <c r="M71" s="6">
        <v>2</v>
      </c>
      <c r="N71" s="6">
        <v>2</v>
      </c>
      <c r="O71" s="6">
        <v>1</v>
      </c>
      <c r="P71" s="6">
        <v>0</v>
      </c>
      <c r="Q71" s="6">
        <v>16</v>
      </c>
      <c r="R71" s="6">
        <v>2</v>
      </c>
      <c r="S71" s="6">
        <v>1</v>
      </c>
      <c r="T71" s="6">
        <v>1</v>
      </c>
      <c r="U71" s="6">
        <v>0</v>
      </c>
      <c r="V71" s="6">
        <v>0</v>
      </c>
      <c r="W71" s="6">
        <v>6</v>
      </c>
      <c r="X71" s="6">
        <v>2</v>
      </c>
      <c r="Y71" s="6">
        <v>1</v>
      </c>
      <c r="Z71" s="6">
        <v>0</v>
      </c>
      <c r="AA71" s="6">
        <v>0</v>
      </c>
      <c r="AB71" s="6">
        <v>0</v>
      </c>
      <c r="AC71" s="6">
        <v>9</v>
      </c>
      <c r="AD71" s="6">
        <v>3</v>
      </c>
      <c r="AE71" s="6">
        <v>4</v>
      </c>
      <c r="AF71" s="6">
        <v>0</v>
      </c>
      <c r="AG71" s="6">
        <v>1</v>
      </c>
      <c r="AH71" s="6">
        <v>0</v>
      </c>
      <c r="AI71" s="6">
        <v>0</v>
      </c>
      <c r="AJ71" s="5">
        <f t="shared" si="35"/>
        <v>58</v>
      </c>
    </row>
    <row r="72" spans="1:36">
      <c r="A72" s="7"/>
      <c r="B72" s="50"/>
      <c r="C72" s="24" t="s">
        <v>121</v>
      </c>
      <c r="D72" s="51"/>
      <c r="E72" s="6">
        <v>1</v>
      </c>
      <c r="F72" s="6">
        <v>1</v>
      </c>
      <c r="G72" s="6">
        <v>0</v>
      </c>
      <c r="H72" s="6">
        <v>0</v>
      </c>
      <c r="I72" s="6">
        <v>1</v>
      </c>
      <c r="J72" s="6">
        <v>1</v>
      </c>
      <c r="K72" s="6">
        <v>1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1</v>
      </c>
      <c r="R72" s="6">
        <v>0</v>
      </c>
      <c r="S72" s="6">
        <v>0</v>
      </c>
      <c r="T72" s="6">
        <v>0</v>
      </c>
      <c r="U72" s="6">
        <v>1</v>
      </c>
      <c r="V72" s="6">
        <v>2</v>
      </c>
      <c r="W72" s="6">
        <v>3</v>
      </c>
      <c r="X72" s="6">
        <v>2</v>
      </c>
      <c r="Y72" s="6">
        <v>1</v>
      </c>
      <c r="Z72" s="6">
        <v>0</v>
      </c>
      <c r="AA72" s="6">
        <v>2</v>
      </c>
      <c r="AB72" s="6">
        <v>2</v>
      </c>
      <c r="AC72" s="6">
        <v>1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2</v>
      </c>
      <c r="AJ72" s="5">
        <f t="shared" si="35"/>
        <v>23</v>
      </c>
    </row>
    <row r="73" spans="1:36">
      <c r="A73" s="7"/>
      <c r="B73" s="50"/>
      <c r="C73" s="24" t="s">
        <v>122</v>
      </c>
      <c r="D73" s="51"/>
      <c r="E73" s="6">
        <v>0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4</v>
      </c>
      <c r="N73" s="6">
        <v>1</v>
      </c>
      <c r="O73" s="6">
        <v>0</v>
      </c>
      <c r="P73" s="6">
        <v>1</v>
      </c>
      <c r="Q73" s="6">
        <v>2</v>
      </c>
      <c r="R73" s="6">
        <v>3</v>
      </c>
      <c r="S73" s="6">
        <v>0</v>
      </c>
      <c r="T73" s="6">
        <v>0</v>
      </c>
      <c r="U73" s="6">
        <v>4</v>
      </c>
      <c r="V73" s="6">
        <v>1</v>
      </c>
      <c r="W73" s="6">
        <v>2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2</v>
      </c>
      <c r="AD73" s="6">
        <v>0</v>
      </c>
      <c r="AE73" s="6">
        <v>3</v>
      </c>
      <c r="AF73" s="6">
        <v>0</v>
      </c>
      <c r="AG73" s="6">
        <v>0</v>
      </c>
      <c r="AH73" s="6">
        <v>1</v>
      </c>
      <c r="AI73" s="6">
        <v>0</v>
      </c>
      <c r="AJ73" s="5">
        <f t="shared" si="35"/>
        <v>26</v>
      </c>
    </row>
    <row r="74" spans="1:36" ht="13.15" customHeight="1">
      <c r="A74" s="7"/>
      <c r="B74" s="50"/>
      <c r="C74" s="24" t="s">
        <v>123</v>
      </c>
      <c r="D74" s="51"/>
      <c r="E74" s="6">
        <v>31</v>
      </c>
      <c r="F74" s="6">
        <v>7</v>
      </c>
      <c r="G74" s="6">
        <v>16</v>
      </c>
      <c r="H74" s="6">
        <v>34</v>
      </c>
      <c r="I74" s="6">
        <v>2</v>
      </c>
      <c r="J74" s="6">
        <v>6</v>
      </c>
      <c r="K74" s="6">
        <v>5</v>
      </c>
      <c r="L74" s="6">
        <v>3</v>
      </c>
      <c r="M74" s="6">
        <v>11</v>
      </c>
      <c r="N74" s="6">
        <v>7</v>
      </c>
      <c r="O74" s="6">
        <v>9</v>
      </c>
      <c r="P74" s="6">
        <v>15</v>
      </c>
      <c r="Q74" s="6">
        <v>70</v>
      </c>
      <c r="R74" s="6">
        <v>34</v>
      </c>
      <c r="S74" s="6">
        <v>7</v>
      </c>
      <c r="T74" s="6">
        <v>14</v>
      </c>
      <c r="U74" s="6">
        <v>43</v>
      </c>
      <c r="V74" s="6">
        <v>15</v>
      </c>
      <c r="W74" s="6">
        <v>5</v>
      </c>
      <c r="X74" s="6">
        <v>5</v>
      </c>
      <c r="Y74" s="6">
        <v>20</v>
      </c>
      <c r="Z74" s="6">
        <v>21</v>
      </c>
      <c r="AA74" s="6">
        <v>29</v>
      </c>
      <c r="AB74" s="6">
        <v>9</v>
      </c>
      <c r="AC74" s="6">
        <v>28</v>
      </c>
      <c r="AD74" s="6">
        <v>57</v>
      </c>
      <c r="AE74" s="6">
        <v>25</v>
      </c>
      <c r="AF74" s="6">
        <v>28</v>
      </c>
      <c r="AG74" s="6">
        <v>28</v>
      </c>
      <c r="AH74" s="6">
        <v>47</v>
      </c>
      <c r="AI74" s="6">
        <v>45</v>
      </c>
      <c r="AJ74" s="5">
        <f t="shared" si="35"/>
        <v>676</v>
      </c>
    </row>
    <row r="75" spans="1:36">
      <c r="A75" s="7"/>
      <c r="B75" s="50"/>
      <c r="C75" s="24" t="s">
        <v>124</v>
      </c>
      <c r="D75" s="51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6">
        <v>1</v>
      </c>
      <c r="M75" s="6">
        <v>0</v>
      </c>
      <c r="N75" s="6">
        <v>0</v>
      </c>
      <c r="O75" s="6">
        <v>2</v>
      </c>
      <c r="P75" s="6">
        <v>3</v>
      </c>
      <c r="Q75" s="6">
        <v>0</v>
      </c>
      <c r="R75" s="6">
        <v>0</v>
      </c>
      <c r="S75" s="6">
        <v>0</v>
      </c>
      <c r="T75" s="6">
        <v>1</v>
      </c>
      <c r="U75" s="6">
        <v>0</v>
      </c>
      <c r="V75" s="6">
        <v>0</v>
      </c>
      <c r="W75" s="6">
        <v>0</v>
      </c>
      <c r="X75" s="6">
        <v>1</v>
      </c>
      <c r="Y75" s="6">
        <v>1</v>
      </c>
      <c r="Z75" s="6">
        <v>1</v>
      </c>
      <c r="AA75" s="6">
        <v>0</v>
      </c>
      <c r="AB75" s="6">
        <v>0</v>
      </c>
      <c r="AC75" s="6">
        <v>3</v>
      </c>
      <c r="AD75" s="6">
        <v>0</v>
      </c>
      <c r="AE75" s="6">
        <v>4</v>
      </c>
      <c r="AF75" s="6">
        <v>0</v>
      </c>
      <c r="AG75" s="6">
        <v>1</v>
      </c>
      <c r="AH75" s="6">
        <v>0</v>
      </c>
      <c r="AI75" s="6">
        <v>1</v>
      </c>
      <c r="AJ75" s="5">
        <f t="shared" si="35"/>
        <v>20</v>
      </c>
    </row>
    <row r="76" spans="1:36">
      <c r="A76" s="7"/>
      <c r="B76" s="50"/>
      <c r="C76" s="24" t="s">
        <v>125</v>
      </c>
      <c r="D76" s="51"/>
      <c r="E76" s="6">
        <v>7</v>
      </c>
      <c r="F76" s="6">
        <v>12</v>
      </c>
      <c r="G76" s="6">
        <v>19</v>
      </c>
      <c r="H76" s="6">
        <v>24</v>
      </c>
      <c r="I76" s="6">
        <v>38</v>
      </c>
      <c r="J76" s="6">
        <v>16</v>
      </c>
      <c r="K76" s="6">
        <v>8</v>
      </c>
      <c r="L76" s="6">
        <v>66</v>
      </c>
      <c r="M76" s="6">
        <v>29</v>
      </c>
      <c r="N76" s="6">
        <v>49</v>
      </c>
      <c r="O76" s="6">
        <v>6</v>
      </c>
      <c r="P76" s="6">
        <v>2</v>
      </c>
      <c r="Q76" s="6">
        <v>8</v>
      </c>
      <c r="R76" s="6">
        <v>43</v>
      </c>
      <c r="S76" s="6">
        <v>3</v>
      </c>
      <c r="T76" s="6">
        <v>11</v>
      </c>
      <c r="U76" s="6">
        <v>13</v>
      </c>
      <c r="V76" s="6">
        <v>12</v>
      </c>
      <c r="W76" s="6">
        <v>8</v>
      </c>
      <c r="X76" s="6">
        <v>35</v>
      </c>
      <c r="Y76" s="6">
        <v>15</v>
      </c>
      <c r="Z76" s="6">
        <v>9</v>
      </c>
      <c r="AA76" s="6">
        <v>7</v>
      </c>
      <c r="AB76" s="6">
        <v>6</v>
      </c>
      <c r="AC76" s="6">
        <v>40</v>
      </c>
      <c r="AD76" s="6">
        <v>24</v>
      </c>
      <c r="AE76" s="6">
        <v>48</v>
      </c>
      <c r="AF76" s="6">
        <v>19</v>
      </c>
      <c r="AG76" s="6">
        <v>32</v>
      </c>
      <c r="AH76" s="6">
        <v>27</v>
      </c>
      <c r="AI76" s="6">
        <v>8</v>
      </c>
      <c r="AJ76" s="5">
        <f t="shared" si="35"/>
        <v>644</v>
      </c>
    </row>
    <row r="77" spans="1:36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5">
        <f t="shared" si="35"/>
        <v>0</v>
      </c>
    </row>
    <row r="78" spans="1:36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5">
        <f t="shared" si="35"/>
        <v>0</v>
      </c>
    </row>
    <row r="79" spans="1:36">
      <c r="A79" s="6" t="s">
        <v>26</v>
      </c>
      <c r="B79" s="66" t="s">
        <v>51</v>
      </c>
      <c r="C79" s="82"/>
      <c r="D79" s="73"/>
      <c r="E79" s="5">
        <f t="shared" ref="E79:AJ79" si="36">SUM(E69:E78)</f>
        <v>51</v>
      </c>
      <c r="F79" s="5">
        <f t="shared" ref="F79:R79" si="37">SUM(F69:F78)</f>
        <v>27</v>
      </c>
      <c r="G79" s="5">
        <f t="shared" si="37"/>
        <v>45</v>
      </c>
      <c r="H79" s="5">
        <f t="shared" si="37"/>
        <v>77</v>
      </c>
      <c r="I79" s="5">
        <f t="shared" si="37"/>
        <v>45</v>
      </c>
      <c r="J79" s="5">
        <f t="shared" si="37"/>
        <v>33</v>
      </c>
      <c r="K79" s="5">
        <f t="shared" si="37"/>
        <v>38</v>
      </c>
      <c r="L79" s="5">
        <f t="shared" si="37"/>
        <v>90</v>
      </c>
      <c r="M79" s="5">
        <f t="shared" si="37"/>
        <v>69</v>
      </c>
      <c r="N79" s="5">
        <f t="shared" si="37"/>
        <v>74</v>
      </c>
      <c r="O79" s="5">
        <f t="shared" si="37"/>
        <v>74</v>
      </c>
      <c r="P79" s="5">
        <f t="shared" si="37"/>
        <v>30</v>
      </c>
      <c r="Q79" s="5">
        <f t="shared" si="37"/>
        <v>111</v>
      </c>
      <c r="R79" s="5">
        <f t="shared" si="37"/>
        <v>97</v>
      </c>
      <c r="S79" s="5">
        <f t="shared" si="36"/>
        <v>16</v>
      </c>
      <c r="T79" s="5">
        <f t="shared" si="36"/>
        <v>38</v>
      </c>
      <c r="U79" s="5">
        <f t="shared" si="36"/>
        <v>71</v>
      </c>
      <c r="V79" s="5">
        <f t="shared" si="36"/>
        <v>38</v>
      </c>
      <c r="W79" s="5">
        <f t="shared" si="36"/>
        <v>26</v>
      </c>
      <c r="X79" s="5">
        <f t="shared" si="36"/>
        <v>56</v>
      </c>
      <c r="Y79" s="5">
        <f t="shared" si="36"/>
        <v>45</v>
      </c>
      <c r="Z79" s="5">
        <f t="shared" si="36"/>
        <v>41</v>
      </c>
      <c r="AA79" s="5">
        <f t="shared" si="36"/>
        <v>73</v>
      </c>
      <c r="AB79" s="5">
        <f t="shared" si="36"/>
        <v>35</v>
      </c>
      <c r="AC79" s="5">
        <f t="shared" ref="AC79:AE79" si="38">SUM(AC69:AC78)</f>
        <v>104</v>
      </c>
      <c r="AD79" s="5">
        <f t="shared" si="38"/>
        <v>92</v>
      </c>
      <c r="AE79" s="5">
        <f t="shared" si="38"/>
        <v>94</v>
      </c>
      <c r="AF79" s="5">
        <f t="shared" si="36"/>
        <v>66</v>
      </c>
      <c r="AG79" s="5">
        <f t="shared" si="36"/>
        <v>70</v>
      </c>
      <c r="AH79" s="5">
        <f t="shared" si="36"/>
        <v>134</v>
      </c>
      <c r="AI79" s="5">
        <f t="shared" si="36"/>
        <v>96</v>
      </c>
      <c r="AJ79" s="5">
        <f t="shared" si="36"/>
        <v>1956</v>
      </c>
    </row>
    <row r="80" spans="1:36">
      <c r="A80" s="83"/>
      <c r="B80" s="84"/>
      <c r="C80" s="84"/>
      <c r="D80" s="84"/>
      <c r="E80" s="84"/>
    </row>
    <row r="81" spans="1:36">
      <c r="A81" s="11" t="s">
        <v>48</v>
      </c>
      <c r="B81" s="17" t="s">
        <v>34</v>
      </c>
      <c r="C81" s="72" t="s">
        <v>54</v>
      </c>
      <c r="D81" s="73"/>
      <c r="E81" s="6">
        <v>2</v>
      </c>
      <c r="F81" s="6">
        <v>2</v>
      </c>
      <c r="G81" s="6">
        <v>0</v>
      </c>
      <c r="H81" s="6">
        <v>1</v>
      </c>
      <c r="I81" s="6">
        <v>2</v>
      </c>
      <c r="J81" s="6">
        <v>1</v>
      </c>
      <c r="K81" s="6">
        <v>2</v>
      </c>
      <c r="L81" s="6">
        <v>3</v>
      </c>
      <c r="M81" s="6">
        <v>3</v>
      </c>
      <c r="N81" s="6">
        <v>2</v>
      </c>
      <c r="O81" s="6">
        <v>0</v>
      </c>
      <c r="P81" s="6">
        <v>6</v>
      </c>
      <c r="Q81" s="6">
        <v>0</v>
      </c>
      <c r="R81" s="6">
        <v>3</v>
      </c>
      <c r="S81" s="6">
        <v>4</v>
      </c>
      <c r="T81" s="6">
        <v>4</v>
      </c>
      <c r="U81" s="6">
        <v>0</v>
      </c>
      <c r="V81" s="6">
        <v>1</v>
      </c>
      <c r="W81" s="6">
        <v>2</v>
      </c>
      <c r="X81" s="6">
        <v>4</v>
      </c>
      <c r="Y81" s="6">
        <v>2</v>
      </c>
      <c r="Z81" s="6">
        <v>2</v>
      </c>
      <c r="AA81" s="6">
        <v>2</v>
      </c>
      <c r="AB81" s="6">
        <v>1</v>
      </c>
      <c r="AC81" s="6">
        <v>4</v>
      </c>
      <c r="AD81" s="6">
        <v>2</v>
      </c>
      <c r="AE81" s="6">
        <v>1</v>
      </c>
      <c r="AF81" s="6">
        <v>1</v>
      </c>
      <c r="AG81" s="6">
        <v>3</v>
      </c>
      <c r="AH81" s="6">
        <v>5</v>
      </c>
      <c r="AI81" s="6">
        <v>1</v>
      </c>
      <c r="AJ81" s="5">
        <f t="shared" ref="AJ81:AJ90" si="39">SUM(E81:AI81)</f>
        <v>66</v>
      </c>
    </row>
    <row r="82" spans="1:36">
      <c r="A82" s="11" t="s">
        <v>50</v>
      </c>
      <c r="B82" s="50"/>
      <c r="C82" s="24" t="s">
        <v>126</v>
      </c>
      <c r="D82" s="51"/>
      <c r="E82" s="6">
        <v>4</v>
      </c>
      <c r="F82" s="6">
        <v>3</v>
      </c>
      <c r="G82" s="6">
        <v>2</v>
      </c>
      <c r="H82" s="6">
        <v>2</v>
      </c>
      <c r="I82" s="6">
        <v>6</v>
      </c>
      <c r="J82" s="6">
        <v>0</v>
      </c>
      <c r="K82" s="6">
        <v>6</v>
      </c>
      <c r="L82" s="6">
        <v>3</v>
      </c>
      <c r="M82" s="6">
        <v>25</v>
      </c>
      <c r="N82" s="6">
        <v>7</v>
      </c>
      <c r="O82" s="6">
        <v>4</v>
      </c>
      <c r="P82" s="6">
        <v>1</v>
      </c>
      <c r="Q82" s="6">
        <v>9</v>
      </c>
      <c r="R82" s="6">
        <v>3</v>
      </c>
      <c r="S82" s="6">
        <v>5</v>
      </c>
      <c r="T82" s="6">
        <v>1</v>
      </c>
      <c r="U82" s="6">
        <v>1</v>
      </c>
      <c r="V82" s="6">
        <v>13</v>
      </c>
      <c r="W82" s="6">
        <v>4</v>
      </c>
      <c r="X82" s="6">
        <v>8</v>
      </c>
      <c r="Y82" s="6">
        <v>7</v>
      </c>
      <c r="Z82" s="6">
        <v>5</v>
      </c>
      <c r="AA82" s="6">
        <v>6</v>
      </c>
      <c r="AB82" s="6">
        <v>4</v>
      </c>
      <c r="AC82" s="6">
        <v>10</v>
      </c>
      <c r="AD82" s="6">
        <v>1</v>
      </c>
      <c r="AE82" s="6">
        <v>3</v>
      </c>
      <c r="AF82" s="6">
        <v>2</v>
      </c>
      <c r="AG82" s="6">
        <v>7</v>
      </c>
      <c r="AH82" s="6">
        <v>4</v>
      </c>
      <c r="AI82" s="6">
        <v>3</v>
      </c>
      <c r="AJ82" s="5">
        <f t="shared" si="39"/>
        <v>159</v>
      </c>
    </row>
    <row r="83" spans="1:36">
      <c r="A83" s="7"/>
      <c r="B83" s="50"/>
      <c r="C83" s="24" t="s">
        <v>127</v>
      </c>
      <c r="D83" s="51"/>
      <c r="E83" s="6">
        <v>1</v>
      </c>
      <c r="F83" s="6">
        <v>1</v>
      </c>
      <c r="G83" s="6">
        <v>1</v>
      </c>
      <c r="H83" s="6">
        <v>0</v>
      </c>
      <c r="I83" s="6">
        <v>1</v>
      </c>
      <c r="J83" s="6">
        <v>2</v>
      </c>
      <c r="K83" s="6">
        <v>2</v>
      </c>
      <c r="L83" s="6">
        <v>1</v>
      </c>
      <c r="M83" s="6">
        <v>2</v>
      </c>
      <c r="N83" s="6">
        <v>0</v>
      </c>
      <c r="O83" s="6">
        <v>3</v>
      </c>
      <c r="P83" s="6">
        <v>1</v>
      </c>
      <c r="Q83" s="6">
        <v>0</v>
      </c>
      <c r="R83" s="6">
        <v>2</v>
      </c>
      <c r="S83" s="6">
        <v>4</v>
      </c>
      <c r="T83" s="6">
        <v>0</v>
      </c>
      <c r="U83" s="6">
        <v>0</v>
      </c>
      <c r="V83" s="6">
        <v>0</v>
      </c>
      <c r="W83" s="6">
        <v>2</v>
      </c>
      <c r="X83" s="6">
        <v>2</v>
      </c>
      <c r="Y83" s="6">
        <v>1</v>
      </c>
      <c r="Z83" s="6">
        <v>0</v>
      </c>
      <c r="AA83" s="6">
        <v>1</v>
      </c>
      <c r="AB83" s="6">
        <v>0</v>
      </c>
      <c r="AC83" s="6">
        <v>0</v>
      </c>
      <c r="AD83" s="6">
        <v>2</v>
      </c>
      <c r="AE83" s="6">
        <v>2</v>
      </c>
      <c r="AF83" s="6">
        <v>6</v>
      </c>
      <c r="AG83" s="6">
        <v>2</v>
      </c>
      <c r="AH83" s="6">
        <v>0</v>
      </c>
      <c r="AI83" s="6">
        <v>1</v>
      </c>
      <c r="AJ83" s="5">
        <f t="shared" si="39"/>
        <v>40</v>
      </c>
    </row>
    <row r="84" spans="1:36">
      <c r="A84" s="7"/>
      <c r="B84" s="50"/>
      <c r="C84" s="24" t="s">
        <v>128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1</v>
      </c>
      <c r="U84" s="6">
        <v>0</v>
      </c>
      <c r="V84" s="6">
        <v>1</v>
      </c>
      <c r="W84" s="6">
        <v>0</v>
      </c>
      <c r="X84" s="6">
        <v>0</v>
      </c>
      <c r="Y84" s="6">
        <v>1</v>
      </c>
      <c r="Z84" s="6">
        <v>0</v>
      </c>
      <c r="AA84" s="6">
        <v>1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5">
        <f t="shared" si="39"/>
        <v>8</v>
      </c>
    </row>
    <row r="85" spans="1:36" ht="13.15" customHeight="1">
      <c r="A85" s="7"/>
      <c r="B85" s="50"/>
      <c r="C85" s="24" t="s">
        <v>129</v>
      </c>
      <c r="D85" s="51"/>
      <c r="E85" s="6">
        <v>2</v>
      </c>
      <c r="F85" s="6">
        <v>0</v>
      </c>
      <c r="G85" s="6">
        <v>3</v>
      </c>
      <c r="H85" s="6">
        <v>3</v>
      </c>
      <c r="I85" s="6">
        <v>2</v>
      </c>
      <c r="J85" s="6">
        <v>8</v>
      </c>
      <c r="K85" s="6">
        <v>6</v>
      </c>
      <c r="L85" s="6">
        <v>2</v>
      </c>
      <c r="M85" s="6">
        <v>7</v>
      </c>
      <c r="N85" s="6">
        <v>1</v>
      </c>
      <c r="O85" s="6">
        <v>2</v>
      </c>
      <c r="P85" s="6">
        <v>16</v>
      </c>
      <c r="Q85" s="6">
        <v>2</v>
      </c>
      <c r="R85" s="6">
        <v>5</v>
      </c>
      <c r="S85" s="6">
        <v>25</v>
      </c>
      <c r="T85" s="6">
        <v>18</v>
      </c>
      <c r="U85" s="6">
        <v>7</v>
      </c>
      <c r="V85" s="6">
        <v>1</v>
      </c>
      <c r="W85" s="6">
        <v>2</v>
      </c>
      <c r="X85" s="6">
        <v>3</v>
      </c>
      <c r="Y85" s="6">
        <v>3</v>
      </c>
      <c r="Z85" s="6">
        <v>3</v>
      </c>
      <c r="AA85" s="6">
        <v>3</v>
      </c>
      <c r="AB85" s="6">
        <v>16</v>
      </c>
      <c r="AC85" s="6">
        <v>2</v>
      </c>
      <c r="AD85" s="6">
        <v>0</v>
      </c>
      <c r="AE85" s="6">
        <v>0</v>
      </c>
      <c r="AF85" s="6">
        <v>1</v>
      </c>
      <c r="AG85" s="6">
        <v>0</v>
      </c>
      <c r="AH85" s="6">
        <v>0</v>
      </c>
      <c r="AI85" s="6">
        <v>0</v>
      </c>
      <c r="AJ85" s="5">
        <f t="shared" si="39"/>
        <v>143</v>
      </c>
    </row>
    <row r="86" spans="1:36">
      <c r="A86" s="7"/>
      <c r="B86" s="50"/>
      <c r="C86" s="24" t="s">
        <v>130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5">
        <f t="shared" si="39"/>
        <v>0</v>
      </c>
    </row>
    <row r="87" spans="1:36">
      <c r="A87" s="7"/>
      <c r="B87" s="50"/>
      <c r="C87" s="24" t="s">
        <v>131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5">
        <f t="shared" si="39"/>
        <v>0</v>
      </c>
    </row>
    <row r="88" spans="1:36">
      <c r="A88" s="7"/>
      <c r="B88" s="50"/>
      <c r="C88" s="24" t="s">
        <v>132</v>
      </c>
      <c r="D88" s="51"/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2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5">
        <f t="shared" si="39"/>
        <v>3</v>
      </c>
    </row>
    <row r="89" spans="1:36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5">
        <f t="shared" si="39"/>
        <v>0</v>
      </c>
    </row>
    <row r="90" spans="1:36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5">
        <f t="shared" si="39"/>
        <v>0</v>
      </c>
    </row>
    <row r="91" spans="1:36">
      <c r="A91" s="6" t="s">
        <v>26</v>
      </c>
      <c r="B91" s="66" t="s">
        <v>51</v>
      </c>
      <c r="C91" s="82"/>
      <c r="D91" s="73"/>
      <c r="E91" s="5">
        <f t="shared" ref="E91:AJ91" si="40">SUM(E81:E90)</f>
        <v>9</v>
      </c>
      <c r="F91" s="5">
        <f t="shared" ref="F91:R91" si="41">SUM(F81:F90)</f>
        <v>6</v>
      </c>
      <c r="G91" s="5">
        <f t="shared" si="41"/>
        <v>6</v>
      </c>
      <c r="H91" s="5">
        <f t="shared" si="41"/>
        <v>7</v>
      </c>
      <c r="I91" s="5">
        <f t="shared" si="41"/>
        <v>11</v>
      </c>
      <c r="J91" s="5">
        <f t="shared" si="41"/>
        <v>12</v>
      </c>
      <c r="K91" s="5">
        <f t="shared" si="41"/>
        <v>16</v>
      </c>
      <c r="L91" s="5">
        <f t="shared" si="41"/>
        <v>9</v>
      </c>
      <c r="M91" s="5">
        <f t="shared" si="41"/>
        <v>37</v>
      </c>
      <c r="N91" s="5">
        <f t="shared" si="41"/>
        <v>11</v>
      </c>
      <c r="O91" s="5">
        <f t="shared" si="41"/>
        <v>9</v>
      </c>
      <c r="P91" s="5">
        <f t="shared" si="41"/>
        <v>24</v>
      </c>
      <c r="Q91" s="5">
        <f t="shared" si="41"/>
        <v>11</v>
      </c>
      <c r="R91" s="5">
        <f t="shared" si="41"/>
        <v>14</v>
      </c>
      <c r="S91" s="5">
        <f t="shared" si="40"/>
        <v>38</v>
      </c>
      <c r="T91" s="5">
        <f t="shared" si="40"/>
        <v>24</v>
      </c>
      <c r="U91" s="5">
        <f t="shared" si="40"/>
        <v>8</v>
      </c>
      <c r="V91" s="5">
        <f t="shared" si="40"/>
        <v>18</v>
      </c>
      <c r="W91" s="5">
        <f t="shared" si="40"/>
        <v>10</v>
      </c>
      <c r="X91" s="5">
        <f t="shared" si="40"/>
        <v>17</v>
      </c>
      <c r="Y91" s="5">
        <f t="shared" si="40"/>
        <v>14</v>
      </c>
      <c r="Z91" s="5">
        <f t="shared" si="40"/>
        <v>10</v>
      </c>
      <c r="AA91" s="5">
        <f t="shared" si="40"/>
        <v>13</v>
      </c>
      <c r="AB91" s="5">
        <f t="shared" si="40"/>
        <v>21</v>
      </c>
      <c r="AC91" s="5">
        <f t="shared" ref="AC91:AE91" si="42">SUM(AC81:AC90)</f>
        <v>16</v>
      </c>
      <c r="AD91" s="5">
        <f t="shared" si="42"/>
        <v>5</v>
      </c>
      <c r="AE91" s="5">
        <f t="shared" si="42"/>
        <v>6</v>
      </c>
      <c r="AF91" s="5">
        <f t="shared" si="40"/>
        <v>10</v>
      </c>
      <c r="AG91" s="5">
        <f t="shared" si="40"/>
        <v>12</v>
      </c>
      <c r="AH91" s="5">
        <f t="shared" si="40"/>
        <v>9</v>
      </c>
      <c r="AI91" s="5">
        <f t="shared" si="40"/>
        <v>6</v>
      </c>
      <c r="AJ91" s="5">
        <f t="shared" si="40"/>
        <v>419</v>
      </c>
    </row>
    <row r="92" spans="1:36">
      <c r="A92" s="83"/>
      <c r="B92" s="84"/>
      <c r="C92" s="84"/>
      <c r="D92" s="84"/>
      <c r="E92" s="84"/>
    </row>
    <row r="93" spans="1:36">
      <c r="A93" s="11" t="s">
        <v>48</v>
      </c>
      <c r="B93" s="17" t="s">
        <v>55</v>
      </c>
      <c r="C93" s="72" t="s">
        <v>56</v>
      </c>
      <c r="D93" s="73"/>
      <c r="E93" s="6">
        <v>6</v>
      </c>
      <c r="F93" s="6">
        <v>1</v>
      </c>
      <c r="G93" s="6">
        <v>5</v>
      </c>
      <c r="H93" s="6">
        <v>9</v>
      </c>
      <c r="I93" s="6">
        <v>5</v>
      </c>
      <c r="J93" s="6">
        <v>1</v>
      </c>
      <c r="K93" s="6">
        <v>4</v>
      </c>
      <c r="L93" s="6">
        <v>1</v>
      </c>
      <c r="M93" s="6">
        <v>3</v>
      </c>
      <c r="N93" s="6">
        <v>2</v>
      </c>
      <c r="O93" s="6">
        <v>11</v>
      </c>
      <c r="P93" s="6">
        <v>16</v>
      </c>
      <c r="Q93" s="6">
        <v>4</v>
      </c>
      <c r="R93" s="6">
        <v>4</v>
      </c>
      <c r="S93" s="6">
        <v>4</v>
      </c>
      <c r="T93" s="6">
        <v>7</v>
      </c>
      <c r="U93" s="6">
        <v>5</v>
      </c>
      <c r="V93" s="6">
        <v>6</v>
      </c>
      <c r="W93" s="6">
        <v>3</v>
      </c>
      <c r="X93" s="6">
        <v>5</v>
      </c>
      <c r="Y93" s="6">
        <v>6</v>
      </c>
      <c r="Z93" s="6">
        <v>8</v>
      </c>
      <c r="AA93" s="6">
        <v>7</v>
      </c>
      <c r="AB93" s="6">
        <v>10</v>
      </c>
      <c r="AC93" s="6">
        <v>2</v>
      </c>
      <c r="AD93" s="6">
        <v>8</v>
      </c>
      <c r="AE93" s="6">
        <v>4</v>
      </c>
      <c r="AF93" s="6">
        <v>13</v>
      </c>
      <c r="AG93" s="6">
        <v>12</v>
      </c>
      <c r="AH93" s="6">
        <v>13</v>
      </c>
      <c r="AI93" s="6">
        <v>10</v>
      </c>
      <c r="AJ93" s="5">
        <f t="shared" ref="AJ93:AJ102" si="43">SUM(E93:AI93)</f>
        <v>195</v>
      </c>
    </row>
    <row r="94" spans="1:36">
      <c r="A94" s="11" t="s">
        <v>50</v>
      </c>
      <c r="B94" s="50"/>
      <c r="C94" s="24" t="s">
        <v>133</v>
      </c>
      <c r="D94" s="51"/>
      <c r="E94" s="6">
        <v>50</v>
      </c>
      <c r="F94" s="6">
        <v>25</v>
      </c>
      <c r="G94" s="6">
        <v>34</v>
      </c>
      <c r="H94" s="6">
        <v>42</v>
      </c>
      <c r="I94" s="6">
        <v>55</v>
      </c>
      <c r="J94" s="6">
        <v>119</v>
      </c>
      <c r="K94" s="6">
        <v>88</v>
      </c>
      <c r="L94" s="6">
        <v>33</v>
      </c>
      <c r="M94" s="6">
        <v>20</v>
      </c>
      <c r="N94" s="6">
        <v>46</v>
      </c>
      <c r="O94" s="6">
        <v>49</v>
      </c>
      <c r="P94" s="6">
        <v>87</v>
      </c>
      <c r="Q94" s="6">
        <v>15</v>
      </c>
      <c r="R94" s="6">
        <v>30</v>
      </c>
      <c r="S94" s="6">
        <v>79</v>
      </c>
      <c r="T94" s="6">
        <v>40</v>
      </c>
      <c r="U94" s="6">
        <v>45</v>
      </c>
      <c r="V94" s="6">
        <v>45</v>
      </c>
      <c r="W94" s="6">
        <v>56</v>
      </c>
      <c r="X94" s="6">
        <v>37</v>
      </c>
      <c r="Y94" s="6">
        <v>55</v>
      </c>
      <c r="Z94" s="6">
        <v>54</v>
      </c>
      <c r="AA94" s="6">
        <v>27</v>
      </c>
      <c r="AB94" s="6">
        <v>69</v>
      </c>
      <c r="AC94" s="6">
        <v>25</v>
      </c>
      <c r="AD94" s="6">
        <v>59</v>
      </c>
      <c r="AE94" s="6">
        <v>59</v>
      </c>
      <c r="AF94" s="6">
        <v>48</v>
      </c>
      <c r="AG94" s="6">
        <v>69</v>
      </c>
      <c r="AH94" s="6">
        <v>27</v>
      </c>
      <c r="AI94" s="6">
        <v>62</v>
      </c>
      <c r="AJ94" s="5">
        <f t="shared" si="43"/>
        <v>1549</v>
      </c>
    </row>
    <row r="95" spans="1:36">
      <c r="A95" s="7"/>
      <c r="B95" s="50"/>
      <c r="C95" s="24" t="s">
        <v>134</v>
      </c>
      <c r="D95" s="51"/>
      <c r="E95" s="6">
        <v>0</v>
      </c>
      <c r="F95" s="6">
        <v>2</v>
      </c>
      <c r="G95" s="6">
        <v>17</v>
      </c>
      <c r="H95" s="6">
        <v>21</v>
      </c>
      <c r="I95" s="6">
        <v>12</v>
      </c>
      <c r="J95" s="6">
        <v>0</v>
      </c>
      <c r="K95" s="6">
        <v>1</v>
      </c>
      <c r="L95" s="6">
        <v>4</v>
      </c>
      <c r="M95" s="6">
        <v>1</v>
      </c>
      <c r="N95" s="6">
        <v>0</v>
      </c>
      <c r="O95" s="6">
        <v>2</v>
      </c>
      <c r="P95" s="6">
        <v>1</v>
      </c>
      <c r="Q95" s="6">
        <v>9</v>
      </c>
      <c r="R95" s="6">
        <v>0</v>
      </c>
      <c r="S95" s="6">
        <v>3</v>
      </c>
      <c r="T95" s="6">
        <v>2</v>
      </c>
      <c r="U95" s="6">
        <v>0</v>
      </c>
      <c r="V95" s="6">
        <v>6</v>
      </c>
      <c r="W95" s="6">
        <v>3</v>
      </c>
      <c r="X95" s="6">
        <v>3</v>
      </c>
      <c r="Y95" s="6">
        <v>10</v>
      </c>
      <c r="Z95" s="6">
        <v>2</v>
      </c>
      <c r="AA95" s="6">
        <v>15</v>
      </c>
      <c r="AB95" s="6">
        <v>1</v>
      </c>
      <c r="AC95" s="6">
        <v>0</v>
      </c>
      <c r="AD95" s="6">
        <v>1</v>
      </c>
      <c r="AE95" s="6">
        <v>1</v>
      </c>
      <c r="AF95" s="6">
        <v>0</v>
      </c>
      <c r="AG95" s="6">
        <v>1</v>
      </c>
      <c r="AH95" s="6">
        <v>1</v>
      </c>
      <c r="AI95" s="6">
        <v>0</v>
      </c>
      <c r="AJ95" s="5">
        <f t="shared" si="43"/>
        <v>119</v>
      </c>
    </row>
    <row r="96" spans="1:36" ht="13.15" customHeight="1">
      <c r="A96" s="7"/>
      <c r="B96" s="50"/>
      <c r="C96" s="24" t="s">
        <v>135</v>
      </c>
      <c r="D96" s="51"/>
      <c r="E96" s="6">
        <v>3</v>
      </c>
      <c r="F96" s="6">
        <v>0</v>
      </c>
      <c r="G96" s="6">
        <v>1</v>
      </c>
      <c r="H96" s="6">
        <v>3</v>
      </c>
      <c r="I96" s="6">
        <v>0</v>
      </c>
      <c r="J96" s="6">
        <v>0</v>
      </c>
      <c r="K96" s="6">
        <v>1</v>
      </c>
      <c r="L96" s="6">
        <v>1</v>
      </c>
      <c r="M96" s="6">
        <v>0</v>
      </c>
      <c r="N96" s="6">
        <v>9</v>
      </c>
      <c r="O96" s="6">
        <v>3</v>
      </c>
      <c r="P96" s="6">
        <v>2</v>
      </c>
      <c r="Q96" s="6">
        <v>0</v>
      </c>
      <c r="R96" s="6">
        <v>2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1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5">
        <f t="shared" si="43"/>
        <v>27</v>
      </c>
    </row>
    <row r="97" spans="1:36">
      <c r="A97" s="7"/>
      <c r="B97" s="50"/>
      <c r="C97" s="24" t="s">
        <v>136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5">
        <f t="shared" si="43"/>
        <v>1</v>
      </c>
    </row>
    <row r="98" spans="1:36">
      <c r="A98" s="7"/>
      <c r="B98" s="50"/>
      <c r="C98" s="24" t="s">
        <v>137</v>
      </c>
      <c r="D98" s="51"/>
      <c r="E98" s="6">
        <v>1</v>
      </c>
      <c r="F98" s="6">
        <v>0</v>
      </c>
      <c r="G98" s="6">
        <v>7</v>
      </c>
      <c r="H98" s="6">
        <v>5</v>
      </c>
      <c r="I98" s="6">
        <v>6</v>
      </c>
      <c r="J98" s="6">
        <v>3</v>
      </c>
      <c r="K98" s="6">
        <v>1</v>
      </c>
      <c r="L98" s="6">
        <v>1</v>
      </c>
      <c r="M98" s="6">
        <v>1</v>
      </c>
      <c r="N98" s="6">
        <v>0</v>
      </c>
      <c r="O98" s="6">
        <v>2</v>
      </c>
      <c r="P98" s="6">
        <v>1</v>
      </c>
      <c r="Q98" s="6">
        <v>0</v>
      </c>
      <c r="R98" s="6">
        <v>1</v>
      </c>
      <c r="S98" s="6">
        <v>0</v>
      </c>
      <c r="T98" s="6">
        <v>6</v>
      </c>
      <c r="U98" s="6">
        <v>6</v>
      </c>
      <c r="V98" s="6">
        <v>1</v>
      </c>
      <c r="W98" s="6">
        <v>4</v>
      </c>
      <c r="X98" s="6">
        <v>0</v>
      </c>
      <c r="Y98" s="6">
        <v>2</v>
      </c>
      <c r="Z98" s="6">
        <v>2</v>
      </c>
      <c r="AA98" s="6">
        <v>2</v>
      </c>
      <c r="AB98" s="6">
        <v>0</v>
      </c>
      <c r="AC98" s="6">
        <v>0</v>
      </c>
      <c r="AD98" s="6">
        <v>0</v>
      </c>
      <c r="AE98" s="6">
        <v>2</v>
      </c>
      <c r="AF98" s="6">
        <v>5</v>
      </c>
      <c r="AG98" s="6">
        <v>7</v>
      </c>
      <c r="AH98" s="6">
        <v>17</v>
      </c>
      <c r="AI98" s="6">
        <v>13</v>
      </c>
      <c r="AJ98" s="5">
        <f t="shared" si="43"/>
        <v>96</v>
      </c>
    </row>
    <row r="99" spans="1:36">
      <c r="A99" s="7"/>
      <c r="B99" s="50"/>
      <c r="C99" s="24" t="s">
        <v>138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2</v>
      </c>
      <c r="V99" s="6">
        <v>0</v>
      </c>
      <c r="W99" s="6">
        <v>0</v>
      </c>
      <c r="X99" s="6">
        <v>0</v>
      </c>
      <c r="Y99" s="6">
        <v>1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1</v>
      </c>
      <c r="AH99" s="6">
        <v>0</v>
      </c>
      <c r="AI99" s="6">
        <v>1</v>
      </c>
      <c r="AJ99" s="5">
        <f t="shared" si="43"/>
        <v>6</v>
      </c>
    </row>
    <row r="100" spans="1:36">
      <c r="A100" s="7"/>
      <c r="B100" s="50"/>
      <c r="C100" s="24" t="s">
        <v>139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/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1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5">
        <f t="shared" si="43"/>
        <v>1</v>
      </c>
    </row>
    <row r="101" spans="1:36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5">
        <f t="shared" si="43"/>
        <v>0</v>
      </c>
    </row>
    <row r="102" spans="1:36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5">
        <f t="shared" si="43"/>
        <v>0</v>
      </c>
    </row>
    <row r="103" spans="1:36">
      <c r="A103" s="6" t="s">
        <v>26</v>
      </c>
      <c r="B103" s="66" t="s">
        <v>51</v>
      </c>
      <c r="C103" s="82"/>
      <c r="D103" s="73"/>
      <c r="E103" s="5">
        <f t="shared" ref="E103:AJ103" si="44">SUM(E93:E102)</f>
        <v>60</v>
      </c>
      <c r="F103" s="5">
        <f t="shared" ref="F103:R103" si="45">SUM(F93:F102)</f>
        <v>28</v>
      </c>
      <c r="G103" s="5">
        <f t="shared" si="45"/>
        <v>64</v>
      </c>
      <c r="H103" s="5">
        <f t="shared" si="45"/>
        <v>80</v>
      </c>
      <c r="I103" s="5">
        <f t="shared" si="45"/>
        <v>78</v>
      </c>
      <c r="J103" s="5">
        <f t="shared" si="45"/>
        <v>123</v>
      </c>
      <c r="K103" s="5">
        <f t="shared" si="45"/>
        <v>95</v>
      </c>
      <c r="L103" s="5">
        <f t="shared" si="45"/>
        <v>40</v>
      </c>
      <c r="M103" s="5">
        <f t="shared" si="45"/>
        <v>25</v>
      </c>
      <c r="N103" s="5">
        <f t="shared" si="45"/>
        <v>57</v>
      </c>
      <c r="O103" s="5">
        <f t="shared" si="45"/>
        <v>67</v>
      </c>
      <c r="P103" s="5">
        <f t="shared" si="45"/>
        <v>107</v>
      </c>
      <c r="Q103" s="5">
        <f t="shared" si="45"/>
        <v>28</v>
      </c>
      <c r="R103" s="5">
        <f t="shared" si="45"/>
        <v>37</v>
      </c>
      <c r="S103" s="5">
        <f t="shared" si="44"/>
        <v>86</v>
      </c>
      <c r="T103" s="5">
        <f t="shared" si="44"/>
        <v>55</v>
      </c>
      <c r="U103" s="5">
        <f t="shared" si="44"/>
        <v>59</v>
      </c>
      <c r="V103" s="5">
        <f t="shared" si="44"/>
        <v>58</v>
      </c>
      <c r="W103" s="5">
        <f t="shared" si="44"/>
        <v>66</v>
      </c>
      <c r="X103" s="5">
        <f t="shared" si="44"/>
        <v>45</v>
      </c>
      <c r="Y103" s="5">
        <f t="shared" si="44"/>
        <v>74</v>
      </c>
      <c r="Z103" s="5">
        <f t="shared" si="44"/>
        <v>67</v>
      </c>
      <c r="AA103" s="5">
        <f t="shared" si="44"/>
        <v>52</v>
      </c>
      <c r="AB103" s="5">
        <f t="shared" si="44"/>
        <v>81</v>
      </c>
      <c r="AC103" s="5">
        <f t="shared" ref="AC103:AE103" si="46">SUM(AC93:AC102)</f>
        <v>27</v>
      </c>
      <c r="AD103" s="5">
        <f t="shared" si="46"/>
        <v>68</v>
      </c>
      <c r="AE103" s="5">
        <f t="shared" si="46"/>
        <v>66</v>
      </c>
      <c r="AF103" s="5">
        <f t="shared" si="44"/>
        <v>67</v>
      </c>
      <c r="AG103" s="5">
        <f t="shared" si="44"/>
        <v>90</v>
      </c>
      <c r="AH103" s="5">
        <f t="shared" si="44"/>
        <v>58</v>
      </c>
      <c r="AI103" s="5">
        <f t="shared" si="44"/>
        <v>86</v>
      </c>
      <c r="AJ103" s="5">
        <f t="shared" si="44"/>
        <v>1994</v>
      </c>
    </row>
    <row r="104" spans="1:36">
      <c r="A104" s="83"/>
      <c r="B104" s="84"/>
      <c r="C104" s="84"/>
      <c r="D104" s="84"/>
      <c r="E104" s="8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pans="1:36">
      <c r="A105" s="11" t="s">
        <v>48</v>
      </c>
      <c r="B105" s="17" t="s">
        <v>57</v>
      </c>
      <c r="C105" s="72" t="s">
        <v>58</v>
      </c>
      <c r="D105" s="73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2</v>
      </c>
      <c r="AG105" s="6">
        <v>0</v>
      </c>
      <c r="AH105" s="6">
        <v>0</v>
      </c>
      <c r="AI105" s="6"/>
      <c r="AJ105" s="5">
        <f t="shared" ref="AJ105:AJ114" si="47">SUM(E105:AI105)</f>
        <v>5</v>
      </c>
    </row>
    <row r="106" spans="1:36">
      <c r="A106" s="11" t="s">
        <v>50</v>
      </c>
      <c r="B106" s="50"/>
      <c r="C106" s="24" t="s">
        <v>140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1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/>
      <c r="AJ106" s="5">
        <f t="shared" si="47"/>
        <v>2</v>
      </c>
    </row>
    <row r="107" spans="1:36" ht="13.15" customHeight="1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5">
        <f t="shared" si="47"/>
        <v>0</v>
      </c>
    </row>
    <row r="108" spans="1:36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5">
        <f t="shared" si="47"/>
        <v>0</v>
      </c>
    </row>
    <row r="109" spans="1:36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5">
        <f t="shared" si="47"/>
        <v>0</v>
      </c>
    </row>
    <row r="110" spans="1:36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5">
        <f t="shared" si="47"/>
        <v>0</v>
      </c>
    </row>
    <row r="111" spans="1:36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5">
        <f t="shared" si="47"/>
        <v>0</v>
      </c>
    </row>
    <row r="112" spans="1:36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5">
        <f t="shared" si="47"/>
        <v>0</v>
      </c>
    </row>
    <row r="113" spans="1:36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5">
        <f t="shared" si="47"/>
        <v>0</v>
      </c>
    </row>
    <row r="114" spans="1:36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5">
        <f t="shared" si="47"/>
        <v>0</v>
      </c>
    </row>
    <row r="115" spans="1:36" ht="13.15" customHeight="1">
      <c r="A115" s="6" t="s">
        <v>26</v>
      </c>
      <c r="B115" s="66" t="s">
        <v>51</v>
      </c>
      <c r="C115" s="67"/>
      <c r="D115" s="68"/>
      <c r="E115" s="5">
        <f t="shared" ref="E115:AJ115" si="48">SUM(E105:E114)</f>
        <v>0</v>
      </c>
      <c r="F115" s="5">
        <f t="shared" ref="F115:R115" si="49">SUM(F105:F114)</f>
        <v>0</v>
      </c>
      <c r="G115" s="5">
        <f t="shared" si="49"/>
        <v>0</v>
      </c>
      <c r="H115" s="5">
        <f t="shared" si="49"/>
        <v>0</v>
      </c>
      <c r="I115" s="5">
        <f t="shared" si="49"/>
        <v>0</v>
      </c>
      <c r="J115" s="5">
        <f t="shared" si="49"/>
        <v>0</v>
      </c>
      <c r="K115" s="5">
        <f t="shared" si="49"/>
        <v>0</v>
      </c>
      <c r="L115" s="5">
        <f t="shared" si="49"/>
        <v>0</v>
      </c>
      <c r="M115" s="5">
        <f t="shared" si="49"/>
        <v>0</v>
      </c>
      <c r="N115" s="5">
        <f t="shared" si="49"/>
        <v>0</v>
      </c>
      <c r="O115" s="5">
        <f t="shared" si="49"/>
        <v>0</v>
      </c>
      <c r="P115" s="5">
        <f t="shared" si="49"/>
        <v>1</v>
      </c>
      <c r="Q115" s="5">
        <f t="shared" si="49"/>
        <v>0</v>
      </c>
      <c r="R115" s="5">
        <f t="shared" si="49"/>
        <v>0</v>
      </c>
      <c r="S115" s="5">
        <f t="shared" si="48"/>
        <v>0</v>
      </c>
      <c r="T115" s="5">
        <f t="shared" si="48"/>
        <v>0</v>
      </c>
      <c r="U115" s="5">
        <f t="shared" si="48"/>
        <v>0</v>
      </c>
      <c r="V115" s="5">
        <f t="shared" si="48"/>
        <v>2</v>
      </c>
      <c r="W115" s="5">
        <f t="shared" si="48"/>
        <v>1</v>
      </c>
      <c r="X115" s="5">
        <f t="shared" si="48"/>
        <v>0</v>
      </c>
      <c r="Y115" s="5">
        <f t="shared" si="48"/>
        <v>0</v>
      </c>
      <c r="Z115" s="5">
        <f t="shared" si="48"/>
        <v>0</v>
      </c>
      <c r="AA115" s="5">
        <f t="shared" si="48"/>
        <v>0</v>
      </c>
      <c r="AB115" s="5">
        <f t="shared" si="48"/>
        <v>0</v>
      </c>
      <c r="AC115" s="5">
        <f t="shared" ref="AC115:AE115" si="50">SUM(AC105:AC114)</f>
        <v>0</v>
      </c>
      <c r="AD115" s="5">
        <f t="shared" si="50"/>
        <v>1</v>
      </c>
      <c r="AE115" s="5">
        <f t="shared" si="50"/>
        <v>0</v>
      </c>
      <c r="AF115" s="5">
        <f t="shared" si="48"/>
        <v>2</v>
      </c>
      <c r="AG115" s="5">
        <f t="shared" si="48"/>
        <v>0</v>
      </c>
      <c r="AH115" s="5">
        <f t="shared" si="48"/>
        <v>0</v>
      </c>
      <c r="AI115" s="5">
        <f t="shared" si="48"/>
        <v>0</v>
      </c>
      <c r="AJ115" s="5">
        <f t="shared" si="48"/>
        <v>7</v>
      </c>
    </row>
    <row r="116" spans="1:36">
      <c r="A116" s="74"/>
      <c r="B116" s="75"/>
      <c r="C116" s="75"/>
      <c r="D116" s="75"/>
      <c r="E116" s="7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5"/>
    </row>
    <row r="117" spans="1:36">
      <c r="A117" s="11" t="s">
        <v>48</v>
      </c>
      <c r="B117" s="17" t="s">
        <v>59</v>
      </c>
      <c r="C117" s="72" t="s">
        <v>60</v>
      </c>
      <c r="D117" s="73"/>
      <c r="E117" s="6">
        <v>3</v>
      </c>
      <c r="F117" s="6">
        <v>0</v>
      </c>
      <c r="G117" s="6">
        <v>2</v>
      </c>
      <c r="H117" s="6">
        <v>2</v>
      </c>
      <c r="I117" s="6">
        <v>0</v>
      </c>
      <c r="J117" s="6">
        <v>0</v>
      </c>
      <c r="K117" s="6">
        <v>1</v>
      </c>
      <c r="L117" s="6">
        <v>2</v>
      </c>
      <c r="M117" s="6">
        <v>0</v>
      </c>
      <c r="N117" s="6">
        <v>7</v>
      </c>
      <c r="O117" s="6">
        <v>0</v>
      </c>
      <c r="P117" s="6">
        <v>1</v>
      </c>
      <c r="Q117" s="6">
        <v>0</v>
      </c>
      <c r="R117" s="6">
        <v>5</v>
      </c>
      <c r="S117" s="6">
        <v>0</v>
      </c>
      <c r="T117" s="6">
        <v>2</v>
      </c>
      <c r="U117" s="6">
        <v>2</v>
      </c>
      <c r="V117" s="6">
        <v>0</v>
      </c>
      <c r="W117" s="6">
        <v>0</v>
      </c>
      <c r="X117" s="6">
        <v>8</v>
      </c>
      <c r="Y117" s="6">
        <v>1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5</v>
      </c>
      <c r="AF117" s="6">
        <v>1</v>
      </c>
      <c r="AG117" s="6">
        <v>3</v>
      </c>
      <c r="AH117" s="6">
        <v>1</v>
      </c>
      <c r="AI117" s="6">
        <v>2</v>
      </c>
      <c r="AJ117" s="5">
        <f t="shared" ref="AJ117:AJ126" si="51">SUM(E117:AI117)</f>
        <v>48</v>
      </c>
    </row>
    <row r="118" spans="1:36">
      <c r="A118" s="11" t="s">
        <v>50</v>
      </c>
      <c r="B118" s="50"/>
      <c r="C118" s="24" t="s">
        <v>141</v>
      </c>
      <c r="D118" s="51"/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3</v>
      </c>
      <c r="L118" s="6">
        <v>0</v>
      </c>
      <c r="M118" s="6">
        <v>1</v>
      </c>
      <c r="N118" s="6">
        <v>1</v>
      </c>
      <c r="O118" s="6">
        <v>0</v>
      </c>
      <c r="P118" s="6">
        <v>0</v>
      </c>
      <c r="Q118" s="6">
        <v>1</v>
      </c>
      <c r="R118" s="6">
        <v>2</v>
      </c>
      <c r="S118" s="6">
        <v>0</v>
      </c>
      <c r="T118" s="6">
        <v>0</v>
      </c>
      <c r="U118" s="6">
        <v>2</v>
      </c>
      <c r="V118" s="6">
        <v>1</v>
      </c>
      <c r="W118" s="6">
        <v>0</v>
      </c>
      <c r="X118" s="6">
        <v>1</v>
      </c>
      <c r="Y118" s="6">
        <v>1</v>
      </c>
      <c r="Z118" s="6">
        <v>0</v>
      </c>
      <c r="AA118" s="6">
        <v>2</v>
      </c>
      <c r="AB118" s="6">
        <v>0</v>
      </c>
      <c r="AC118" s="6">
        <v>0</v>
      </c>
      <c r="AD118" s="6">
        <v>0</v>
      </c>
      <c r="AE118" s="6">
        <v>1</v>
      </c>
      <c r="AF118" s="6">
        <v>1</v>
      </c>
      <c r="AG118" s="6">
        <v>1</v>
      </c>
      <c r="AH118" s="6">
        <v>1</v>
      </c>
      <c r="AI118" s="6">
        <v>0</v>
      </c>
      <c r="AJ118" s="5">
        <f t="shared" si="51"/>
        <v>20</v>
      </c>
    </row>
    <row r="119" spans="1:36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5">
        <f t="shared" si="51"/>
        <v>0</v>
      </c>
    </row>
    <row r="120" spans="1:36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5">
        <f t="shared" si="51"/>
        <v>0</v>
      </c>
    </row>
    <row r="121" spans="1:36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5">
        <f t="shared" si="51"/>
        <v>0</v>
      </c>
    </row>
    <row r="122" spans="1:36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5">
        <f t="shared" si="51"/>
        <v>0</v>
      </c>
    </row>
    <row r="123" spans="1:36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5">
        <f t="shared" si="51"/>
        <v>0</v>
      </c>
    </row>
    <row r="124" spans="1:36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5">
        <f t="shared" si="51"/>
        <v>0</v>
      </c>
    </row>
    <row r="125" spans="1:36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5">
        <f t="shared" si="51"/>
        <v>0</v>
      </c>
    </row>
    <row r="126" spans="1:36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5">
        <f t="shared" si="51"/>
        <v>0</v>
      </c>
    </row>
    <row r="127" spans="1:36">
      <c r="A127" s="6" t="s">
        <v>26</v>
      </c>
      <c r="B127" s="66" t="s">
        <v>51</v>
      </c>
      <c r="C127" s="67"/>
      <c r="D127" s="68"/>
      <c r="E127" s="5">
        <f t="shared" ref="E127:AJ127" si="52">SUM(E117:E126)</f>
        <v>4</v>
      </c>
      <c r="F127" s="5">
        <f t="shared" ref="F127:R127" si="53">SUM(F117:F126)</f>
        <v>0</v>
      </c>
      <c r="G127" s="5">
        <f t="shared" si="53"/>
        <v>2</v>
      </c>
      <c r="H127" s="5">
        <f t="shared" si="53"/>
        <v>2</v>
      </c>
      <c r="I127" s="5">
        <f t="shared" si="53"/>
        <v>0</v>
      </c>
      <c r="J127" s="5">
        <f t="shared" si="53"/>
        <v>0</v>
      </c>
      <c r="K127" s="5">
        <f t="shared" si="53"/>
        <v>4</v>
      </c>
      <c r="L127" s="5">
        <f t="shared" si="53"/>
        <v>2</v>
      </c>
      <c r="M127" s="5">
        <f t="shared" si="53"/>
        <v>1</v>
      </c>
      <c r="N127" s="5">
        <f t="shared" si="53"/>
        <v>8</v>
      </c>
      <c r="O127" s="5">
        <f t="shared" si="53"/>
        <v>0</v>
      </c>
      <c r="P127" s="5">
        <f t="shared" si="53"/>
        <v>1</v>
      </c>
      <c r="Q127" s="5">
        <f t="shared" si="53"/>
        <v>1</v>
      </c>
      <c r="R127" s="5">
        <f t="shared" si="53"/>
        <v>7</v>
      </c>
      <c r="S127" s="5">
        <f t="shared" si="52"/>
        <v>0</v>
      </c>
      <c r="T127" s="5">
        <f t="shared" si="52"/>
        <v>2</v>
      </c>
      <c r="U127" s="5">
        <f t="shared" si="52"/>
        <v>4</v>
      </c>
      <c r="V127" s="5">
        <f t="shared" si="52"/>
        <v>1</v>
      </c>
      <c r="W127" s="5">
        <f t="shared" si="52"/>
        <v>0</v>
      </c>
      <c r="X127" s="5">
        <f t="shared" si="52"/>
        <v>9</v>
      </c>
      <c r="Y127" s="5">
        <f t="shared" si="52"/>
        <v>2</v>
      </c>
      <c r="Z127" s="5">
        <f t="shared" si="52"/>
        <v>0</v>
      </c>
      <c r="AA127" s="5">
        <f t="shared" si="52"/>
        <v>2</v>
      </c>
      <c r="AB127" s="5">
        <f t="shared" si="52"/>
        <v>0</v>
      </c>
      <c r="AC127" s="5">
        <f t="shared" ref="AC127:AE127" si="54">SUM(AC117:AC126)</f>
        <v>0</v>
      </c>
      <c r="AD127" s="5">
        <f t="shared" si="54"/>
        <v>0</v>
      </c>
      <c r="AE127" s="5">
        <f t="shared" si="54"/>
        <v>6</v>
      </c>
      <c r="AF127" s="5">
        <f t="shared" si="52"/>
        <v>2</v>
      </c>
      <c r="AG127" s="5">
        <f t="shared" si="52"/>
        <v>4</v>
      </c>
      <c r="AH127" s="5">
        <f t="shared" si="52"/>
        <v>2</v>
      </c>
      <c r="AI127" s="5">
        <f t="shared" si="52"/>
        <v>2</v>
      </c>
      <c r="AJ127" s="5">
        <f t="shared" si="52"/>
        <v>68</v>
      </c>
    </row>
    <row r="128" spans="1:36">
      <c r="A128" s="74"/>
      <c r="B128" s="75"/>
      <c r="C128" s="75"/>
      <c r="D128" s="75"/>
      <c r="E128" s="7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spans="1:36">
      <c r="A129" s="11" t="s">
        <v>48</v>
      </c>
      <c r="B129" s="17" t="s">
        <v>61</v>
      </c>
      <c r="C129" s="72" t="s">
        <v>62</v>
      </c>
      <c r="D129" s="73"/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1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0</v>
      </c>
      <c r="AG129" s="6">
        <v>0</v>
      </c>
      <c r="AH129" s="6">
        <v>0</v>
      </c>
      <c r="AI129" s="6"/>
      <c r="AJ129" s="5">
        <f t="shared" ref="AJ129:AJ138" si="55">SUM(E129:AI129)</f>
        <v>6</v>
      </c>
    </row>
    <row r="130" spans="1:36" ht="13.15" customHeight="1">
      <c r="A130" s="11" t="s">
        <v>50</v>
      </c>
      <c r="B130" s="50"/>
      <c r="C130" s="24" t="s">
        <v>142</v>
      </c>
      <c r="D130" s="51"/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  <c r="U130" s="6">
        <v>2</v>
      </c>
      <c r="V130" s="6">
        <v>0</v>
      </c>
      <c r="W130" s="6">
        <v>0</v>
      </c>
      <c r="X130" s="6">
        <v>2</v>
      </c>
      <c r="Y130" s="6">
        <v>0</v>
      </c>
      <c r="Z130" s="6">
        <v>0</v>
      </c>
      <c r="AA130" s="6">
        <v>0</v>
      </c>
      <c r="AB130" s="6">
        <v>0</v>
      </c>
      <c r="AC130" s="6">
        <v>2</v>
      </c>
      <c r="AD130" s="6">
        <v>0</v>
      </c>
      <c r="AE130" s="6">
        <v>1</v>
      </c>
      <c r="AF130" s="6">
        <v>0</v>
      </c>
      <c r="AG130" s="6">
        <v>0</v>
      </c>
      <c r="AH130" s="6">
        <v>0</v>
      </c>
      <c r="AI130" s="6"/>
      <c r="AJ130" s="5">
        <f t="shared" si="55"/>
        <v>10</v>
      </c>
    </row>
    <row r="131" spans="1:36">
      <c r="A131" s="7"/>
      <c r="B131" s="50"/>
      <c r="C131" s="24" t="s">
        <v>143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/>
      <c r="AJ131" s="5">
        <f t="shared" si="55"/>
        <v>1</v>
      </c>
    </row>
    <row r="132" spans="1:36">
      <c r="A132" s="7"/>
      <c r="B132" s="50"/>
      <c r="C132" s="24" t="s">
        <v>144</v>
      </c>
      <c r="D132" s="51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/>
      <c r="AJ132" s="5">
        <f t="shared" si="55"/>
        <v>3</v>
      </c>
    </row>
    <row r="133" spans="1:36">
      <c r="A133" s="7"/>
      <c r="B133" s="50"/>
      <c r="C133" s="24" t="s">
        <v>145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/>
      <c r="AJ133" s="5">
        <f t="shared" si="55"/>
        <v>0</v>
      </c>
    </row>
    <row r="134" spans="1:36">
      <c r="A134" s="7"/>
      <c r="B134" s="50"/>
      <c r="C134" s="24" t="s">
        <v>146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/>
      <c r="AJ134" s="5">
        <f t="shared" si="55"/>
        <v>0</v>
      </c>
    </row>
    <row r="135" spans="1:36">
      <c r="A135" s="7"/>
      <c r="B135" s="50"/>
      <c r="C135" s="24" t="s">
        <v>147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/>
      <c r="AJ135" s="5">
        <f t="shared" si="55"/>
        <v>0</v>
      </c>
    </row>
    <row r="136" spans="1:36">
      <c r="A136" s="7"/>
      <c r="B136" s="50"/>
      <c r="C136" s="24" t="s">
        <v>148</v>
      </c>
      <c r="D136" s="51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2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</v>
      </c>
      <c r="W136" s="6">
        <v>18</v>
      </c>
      <c r="X136" s="6">
        <v>2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/>
      <c r="AJ136" s="5">
        <f t="shared" si="55"/>
        <v>24</v>
      </c>
    </row>
    <row r="137" spans="1:36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5">
        <f t="shared" si="55"/>
        <v>0</v>
      </c>
    </row>
    <row r="138" spans="1:36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5">
        <f t="shared" si="55"/>
        <v>0</v>
      </c>
    </row>
    <row r="139" spans="1:36">
      <c r="A139" s="6" t="s">
        <v>26</v>
      </c>
      <c r="B139" s="66" t="s">
        <v>51</v>
      </c>
      <c r="C139" s="67"/>
      <c r="D139" s="68"/>
      <c r="E139" s="5">
        <f t="shared" ref="E139:AJ139" si="56">SUM(E129:E138)</f>
        <v>1</v>
      </c>
      <c r="F139" s="5">
        <f t="shared" ref="F139:R139" si="57">SUM(F129:F138)</f>
        <v>0</v>
      </c>
      <c r="G139" s="5">
        <f t="shared" si="57"/>
        <v>0</v>
      </c>
      <c r="H139" s="5">
        <f t="shared" si="57"/>
        <v>2</v>
      </c>
      <c r="I139" s="5">
        <f t="shared" si="57"/>
        <v>0</v>
      </c>
      <c r="J139" s="5">
        <f t="shared" si="57"/>
        <v>1</v>
      </c>
      <c r="K139" s="5">
        <f t="shared" si="57"/>
        <v>0</v>
      </c>
      <c r="L139" s="5">
        <f t="shared" si="57"/>
        <v>1</v>
      </c>
      <c r="M139" s="5">
        <f t="shared" si="57"/>
        <v>1</v>
      </c>
      <c r="N139" s="5">
        <f t="shared" si="57"/>
        <v>2</v>
      </c>
      <c r="O139" s="5">
        <f t="shared" si="57"/>
        <v>1</v>
      </c>
      <c r="P139" s="5">
        <f t="shared" si="57"/>
        <v>0</v>
      </c>
      <c r="Q139" s="5">
        <f t="shared" si="57"/>
        <v>0</v>
      </c>
      <c r="R139" s="5">
        <f t="shared" si="57"/>
        <v>1</v>
      </c>
      <c r="S139" s="5">
        <f t="shared" si="56"/>
        <v>1</v>
      </c>
      <c r="T139" s="5">
        <f t="shared" si="56"/>
        <v>1</v>
      </c>
      <c r="U139" s="5">
        <f t="shared" si="56"/>
        <v>2</v>
      </c>
      <c r="V139" s="5">
        <f t="shared" si="56"/>
        <v>2</v>
      </c>
      <c r="W139" s="5">
        <f t="shared" si="56"/>
        <v>18</v>
      </c>
      <c r="X139" s="5">
        <f t="shared" si="56"/>
        <v>4</v>
      </c>
      <c r="Y139" s="5">
        <f t="shared" si="56"/>
        <v>0</v>
      </c>
      <c r="Z139" s="5">
        <f t="shared" si="56"/>
        <v>0</v>
      </c>
      <c r="AA139" s="5">
        <f t="shared" si="56"/>
        <v>1</v>
      </c>
      <c r="AB139" s="5">
        <f t="shared" si="56"/>
        <v>0</v>
      </c>
      <c r="AC139" s="5">
        <f t="shared" ref="AC139:AE139" si="58">SUM(AC129:AC138)</f>
        <v>2</v>
      </c>
      <c r="AD139" s="5">
        <f t="shared" si="58"/>
        <v>1</v>
      </c>
      <c r="AE139" s="5">
        <f t="shared" si="58"/>
        <v>2</v>
      </c>
      <c r="AF139" s="5">
        <f t="shared" si="56"/>
        <v>0</v>
      </c>
      <c r="AG139" s="5">
        <f t="shared" si="56"/>
        <v>0</v>
      </c>
      <c r="AH139" s="5">
        <f t="shared" si="56"/>
        <v>0</v>
      </c>
      <c r="AI139" s="5">
        <f t="shared" si="56"/>
        <v>0</v>
      </c>
      <c r="AJ139" s="5">
        <f t="shared" si="56"/>
        <v>44</v>
      </c>
    </row>
    <row r="140" spans="1:36">
      <c r="A140" s="74"/>
      <c r="B140" s="75"/>
      <c r="C140" s="75"/>
      <c r="D140" s="75"/>
      <c r="E140" s="7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spans="1:36" ht="13.15" customHeight="1">
      <c r="A141" s="11" t="s">
        <v>48</v>
      </c>
      <c r="B141" s="17" t="s">
        <v>63</v>
      </c>
      <c r="C141" s="72" t="s">
        <v>64</v>
      </c>
      <c r="D141" s="73"/>
      <c r="E141" s="6">
        <v>0</v>
      </c>
      <c r="F141" s="6">
        <v>1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/>
      <c r="AJ141" s="5">
        <f t="shared" ref="AJ141:AJ150" si="59">SUM(E141:AI141)</f>
        <v>1</v>
      </c>
    </row>
    <row r="142" spans="1:36">
      <c r="A142" s="11" t="s">
        <v>50</v>
      </c>
      <c r="B142" s="17"/>
      <c r="C142" s="24" t="s">
        <v>149</v>
      </c>
      <c r="D142" s="49"/>
      <c r="E142" s="6">
        <v>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2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/>
      <c r="AJ142" s="5">
        <f t="shared" si="59"/>
        <v>5</v>
      </c>
    </row>
    <row r="143" spans="1:36">
      <c r="A143" s="7"/>
      <c r="B143" s="45"/>
      <c r="C143" s="46"/>
      <c r="D143" s="4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5">
        <f t="shared" si="59"/>
        <v>0</v>
      </c>
    </row>
    <row r="144" spans="1:36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5">
        <f t="shared" si="59"/>
        <v>0</v>
      </c>
    </row>
    <row r="145" spans="1:36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5">
        <f t="shared" si="59"/>
        <v>0</v>
      </c>
    </row>
    <row r="146" spans="1:36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5">
        <f t="shared" si="59"/>
        <v>0</v>
      </c>
    </row>
    <row r="147" spans="1:36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5">
        <f t="shared" si="59"/>
        <v>0</v>
      </c>
    </row>
    <row r="148" spans="1:36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5">
        <f t="shared" si="59"/>
        <v>0</v>
      </c>
    </row>
    <row r="149" spans="1:36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5">
        <f t="shared" si="59"/>
        <v>0</v>
      </c>
    </row>
    <row r="150" spans="1:36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5">
        <f t="shared" si="59"/>
        <v>0</v>
      </c>
    </row>
    <row r="151" spans="1:36" ht="13.15" customHeight="1">
      <c r="A151" s="6" t="s">
        <v>26</v>
      </c>
      <c r="B151" s="66" t="s">
        <v>51</v>
      </c>
      <c r="C151" s="67"/>
      <c r="D151" s="68"/>
      <c r="E151" s="5">
        <f t="shared" ref="E151:AJ151" si="60">SUM(E141:E150)</f>
        <v>2</v>
      </c>
      <c r="F151" s="5">
        <f t="shared" ref="F151:R151" si="61">SUM(F141:F150)</f>
        <v>1</v>
      </c>
      <c r="G151" s="5">
        <f t="shared" si="61"/>
        <v>0</v>
      </c>
      <c r="H151" s="5">
        <f t="shared" si="61"/>
        <v>0</v>
      </c>
      <c r="I151" s="5">
        <f t="shared" si="61"/>
        <v>0</v>
      </c>
      <c r="J151" s="5">
        <f t="shared" si="61"/>
        <v>0</v>
      </c>
      <c r="K151" s="5">
        <f t="shared" si="61"/>
        <v>0</v>
      </c>
      <c r="L151" s="5">
        <f t="shared" si="61"/>
        <v>0</v>
      </c>
      <c r="M151" s="5">
        <f t="shared" si="61"/>
        <v>0</v>
      </c>
      <c r="N151" s="5">
        <f t="shared" si="61"/>
        <v>0</v>
      </c>
      <c r="O151" s="5">
        <f t="shared" si="61"/>
        <v>0</v>
      </c>
      <c r="P151" s="5">
        <f t="shared" si="61"/>
        <v>0</v>
      </c>
      <c r="Q151" s="5">
        <f t="shared" si="61"/>
        <v>0</v>
      </c>
      <c r="R151" s="5">
        <f t="shared" si="61"/>
        <v>0</v>
      </c>
      <c r="S151" s="5">
        <f t="shared" si="60"/>
        <v>0</v>
      </c>
      <c r="T151" s="5">
        <f t="shared" si="60"/>
        <v>1</v>
      </c>
      <c r="U151" s="5">
        <f t="shared" si="60"/>
        <v>0</v>
      </c>
      <c r="V151" s="5">
        <f t="shared" si="60"/>
        <v>0</v>
      </c>
      <c r="W151" s="5">
        <f t="shared" si="60"/>
        <v>0</v>
      </c>
      <c r="X151" s="5">
        <f t="shared" si="60"/>
        <v>2</v>
      </c>
      <c r="Y151" s="5">
        <f t="shared" si="60"/>
        <v>0</v>
      </c>
      <c r="Z151" s="5">
        <f t="shared" si="60"/>
        <v>0</v>
      </c>
      <c r="AA151" s="5">
        <f t="shared" si="60"/>
        <v>0</v>
      </c>
      <c r="AB151" s="5">
        <f t="shared" si="60"/>
        <v>0</v>
      </c>
      <c r="AC151" s="5">
        <f t="shared" ref="AC151:AE151" si="62">SUM(AC141:AC150)</f>
        <v>0</v>
      </c>
      <c r="AD151" s="5">
        <f t="shared" si="62"/>
        <v>0</v>
      </c>
      <c r="AE151" s="5">
        <f t="shared" si="62"/>
        <v>0</v>
      </c>
      <c r="AF151" s="5">
        <f t="shared" si="60"/>
        <v>0</v>
      </c>
      <c r="AG151" s="5">
        <f t="shared" si="60"/>
        <v>0</v>
      </c>
      <c r="AH151" s="5">
        <f t="shared" si="60"/>
        <v>0</v>
      </c>
      <c r="AI151" s="5">
        <f t="shared" si="60"/>
        <v>0</v>
      </c>
      <c r="AJ151" s="5">
        <f t="shared" si="60"/>
        <v>6</v>
      </c>
    </row>
    <row r="152" spans="1:36">
      <c r="A152" s="74"/>
      <c r="B152" s="75"/>
      <c r="C152" s="75"/>
      <c r="D152" s="75"/>
      <c r="E152" s="7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5"/>
    </row>
    <row r="153" spans="1:36">
      <c r="A153" s="11" t="s">
        <v>48</v>
      </c>
      <c r="B153" s="44" t="s">
        <v>65</v>
      </c>
      <c r="C153" s="80" t="s">
        <v>66</v>
      </c>
      <c r="D153" s="81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/>
      <c r="AJ153" s="5">
        <f>SUM(E154:AI154)</f>
        <v>0</v>
      </c>
    </row>
    <row r="154" spans="1:36">
      <c r="A154" s="52" t="s">
        <v>50</v>
      </c>
      <c r="B154" s="50"/>
      <c r="C154" s="24" t="s">
        <v>150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/>
      <c r="AJ154" s="5">
        <f>SUM(E155:AI155)</f>
        <v>2</v>
      </c>
    </row>
    <row r="155" spans="1:36">
      <c r="A155" s="7"/>
      <c r="B155" s="50"/>
      <c r="C155" s="24" t="s">
        <v>151</v>
      </c>
      <c r="D155" s="51"/>
      <c r="E155" s="53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1</v>
      </c>
      <c r="AH155" s="6">
        <v>0</v>
      </c>
      <c r="AI155" s="6"/>
      <c r="AJ155" s="5">
        <f>SUM(E156:AI156)</f>
        <v>2</v>
      </c>
    </row>
    <row r="156" spans="1:36">
      <c r="A156" s="7"/>
      <c r="B156" s="50"/>
      <c r="C156" s="24" t="s">
        <v>152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2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/>
      <c r="AJ156" s="5">
        <f>SUM(E157:AI157)</f>
        <v>0</v>
      </c>
    </row>
    <row r="157" spans="1:36">
      <c r="A157" s="7"/>
      <c r="B157" s="50"/>
      <c r="C157" s="24" t="s">
        <v>153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/>
      <c r="AJ157" s="5">
        <f t="shared" ref="AJ157:AJ162" si="63">SUM(E163:AI163)</f>
        <v>7</v>
      </c>
    </row>
    <row r="158" spans="1:36">
      <c r="A158" s="7"/>
      <c r="B158" s="50"/>
      <c r="C158" s="24" t="s">
        <v>154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/>
      <c r="AJ158" s="5">
        <f t="shared" si="63"/>
        <v>0</v>
      </c>
    </row>
    <row r="159" spans="1:36">
      <c r="A159" s="7"/>
      <c r="B159" s="50"/>
      <c r="C159" s="24" t="s">
        <v>155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1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/>
      <c r="AJ159" s="5">
        <f t="shared" si="63"/>
        <v>8</v>
      </c>
    </row>
    <row r="160" spans="1:36">
      <c r="A160" s="7"/>
      <c r="B160" s="50"/>
      <c r="C160" s="24" t="s">
        <v>156</v>
      </c>
      <c r="D160" s="51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/>
      <c r="AJ160" s="5">
        <f t="shared" si="63"/>
        <v>0</v>
      </c>
    </row>
    <row r="161" spans="1:36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5">
        <f t="shared" si="63"/>
        <v>0</v>
      </c>
    </row>
    <row r="162" spans="1:36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5">
        <f t="shared" si="63"/>
        <v>0</v>
      </c>
    </row>
    <row r="163" spans="1:36">
      <c r="A163" s="6" t="s">
        <v>26</v>
      </c>
      <c r="B163" s="77" t="s">
        <v>51</v>
      </c>
      <c r="C163" s="78"/>
      <c r="D163" s="79"/>
      <c r="E163" s="5">
        <f t="shared" ref="E163:AJ163" si="64">SUM(E153:E162)</f>
        <v>0</v>
      </c>
      <c r="F163" s="5">
        <f t="shared" ref="F163:R163" si="65">SUM(F153:F162)</f>
        <v>0</v>
      </c>
      <c r="G163" s="5">
        <f t="shared" si="65"/>
        <v>1</v>
      </c>
      <c r="H163" s="5">
        <f t="shared" si="65"/>
        <v>1</v>
      </c>
      <c r="I163" s="5">
        <f t="shared" si="65"/>
        <v>0</v>
      </c>
      <c r="J163" s="5">
        <f t="shared" si="65"/>
        <v>0</v>
      </c>
      <c r="K163" s="5">
        <f t="shared" si="65"/>
        <v>0</v>
      </c>
      <c r="L163" s="5">
        <f t="shared" si="65"/>
        <v>0</v>
      </c>
      <c r="M163" s="5">
        <f t="shared" si="65"/>
        <v>0</v>
      </c>
      <c r="N163" s="5">
        <f t="shared" si="65"/>
        <v>0</v>
      </c>
      <c r="O163" s="5">
        <f t="shared" si="65"/>
        <v>0</v>
      </c>
      <c r="P163" s="5">
        <f t="shared" si="65"/>
        <v>0</v>
      </c>
      <c r="Q163" s="5">
        <f t="shared" si="65"/>
        <v>0</v>
      </c>
      <c r="R163" s="5">
        <f t="shared" si="65"/>
        <v>0</v>
      </c>
      <c r="S163" s="5">
        <f t="shared" si="64"/>
        <v>0</v>
      </c>
      <c r="T163" s="5">
        <f t="shared" si="64"/>
        <v>0</v>
      </c>
      <c r="U163" s="5">
        <f t="shared" si="64"/>
        <v>0</v>
      </c>
      <c r="V163" s="5">
        <f t="shared" si="64"/>
        <v>1</v>
      </c>
      <c r="W163" s="5">
        <f t="shared" si="64"/>
        <v>3</v>
      </c>
      <c r="X163" s="5">
        <f t="shared" si="64"/>
        <v>0</v>
      </c>
      <c r="Y163" s="5">
        <f t="shared" si="64"/>
        <v>0</v>
      </c>
      <c r="Z163" s="5">
        <f t="shared" si="64"/>
        <v>0</v>
      </c>
      <c r="AA163" s="5">
        <f t="shared" si="64"/>
        <v>0</v>
      </c>
      <c r="AB163" s="5">
        <f t="shared" si="64"/>
        <v>0</v>
      </c>
      <c r="AC163" s="5">
        <f t="shared" ref="AC163:AE163" si="66">SUM(AC153:AC162)</f>
        <v>0</v>
      </c>
      <c r="AD163" s="5">
        <f t="shared" si="66"/>
        <v>0</v>
      </c>
      <c r="AE163" s="5">
        <f t="shared" si="66"/>
        <v>0</v>
      </c>
      <c r="AF163" s="5">
        <f t="shared" si="64"/>
        <v>0</v>
      </c>
      <c r="AG163" s="5">
        <f t="shared" si="64"/>
        <v>1</v>
      </c>
      <c r="AH163" s="5">
        <f t="shared" si="64"/>
        <v>0</v>
      </c>
      <c r="AI163" s="5">
        <f t="shared" si="64"/>
        <v>0</v>
      </c>
      <c r="AJ163" s="5">
        <f t="shared" si="64"/>
        <v>19</v>
      </c>
    </row>
    <row r="164" spans="1:36">
      <c r="A164" s="74"/>
      <c r="B164" s="75"/>
      <c r="C164" s="75"/>
      <c r="D164" s="75"/>
      <c r="E164" s="7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spans="1:36" ht="13.15" customHeight="1">
      <c r="A165" s="11" t="s">
        <v>48</v>
      </c>
      <c r="B165" s="17" t="s">
        <v>67</v>
      </c>
      <c r="C165" s="72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2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3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2</v>
      </c>
      <c r="AH165" s="6">
        <v>0</v>
      </c>
      <c r="AI165" s="6">
        <v>1</v>
      </c>
      <c r="AJ165" s="5">
        <f t="shared" ref="AJ165:AJ174" si="67">SUM(E165:AI165)</f>
        <v>8</v>
      </c>
    </row>
    <row r="166" spans="1:36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5">
        <f t="shared" si="67"/>
        <v>0</v>
      </c>
    </row>
    <row r="167" spans="1:36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5">
        <f t="shared" si="67"/>
        <v>0</v>
      </c>
    </row>
    <row r="168" spans="1:36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5">
        <f t="shared" si="67"/>
        <v>0</v>
      </c>
    </row>
    <row r="169" spans="1:36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5">
        <f t="shared" si="67"/>
        <v>0</v>
      </c>
    </row>
    <row r="170" spans="1:36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5">
        <f t="shared" si="67"/>
        <v>0</v>
      </c>
    </row>
    <row r="171" spans="1:36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5">
        <f t="shared" si="67"/>
        <v>0</v>
      </c>
    </row>
    <row r="172" spans="1:36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5">
        <f t="shared" si="67"/>
        <v>0</v>
      </c>
    </row>
    <row r="173" spans="1:36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5">
        <f t="shared" si="67"/>
        <v>0</v>
      </c>
    </row>
    <row r="174" spans="1:36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5">
        <f t="shared" si="67"/>
        <v>0</v>
      </c>
    </row>
    <row r="175" spans="1:36">
      <c r="A175" s="6" t="s">
        <v>26</v>
      </c>
      <c r="B175" s="66" t="s">
        <v>51</v>
      </c>
      <c r="C175" s="67"/>
      <c r="D175" s="68"/>
      <c r="E175" s="5">
        <f t="shared" ref="E175:AJ175" si="68">SUM(E165:E174)</f>
        <v>0</v>
      </c>
      <c r="F175" s="5">
        <f t="shared" ref="F175:R175" si="69">SUM(F165:F174)</f>
        <v>0</v>
      </c>
      <c r="G175" s="5">
        <f t="shared" si="69"/>
        <v>0</v>
      </c>
      <c r="H175" s="5">
        <f t="shared" si="69"/>
        <v>0</v>
      </c>
      <c r="I175" s="5">
        <f t="shared" si="69"/>
        <v>0</v>
      </c>
      <c r="J175" s="5">
        <f t="shared" si="69"/>
        <v>0</v>
      </c>
      <c r="K175" s="5">
        <f t="shared" si="69"/>
        <v>0</v>
      </c>
      <c r="L175" s="5">
        <f t="shared" si="69"/>
        <v>0</v>
      </c>
      <c r="M175" s="5">
        <f t="shared" si="69"/>
        <v>0</v>
      </c>
      <c r="N175" s="5">
        <f t="shared" si="69"/>
        <v>0</v>
      </c>
      <c r="O175" s="5">
        <f t="shared" si="69"/>
        <v>0</v>
      </c>
      <c r="P175" s="5">
        <f t="shared" si="69"/>
        <v>2</v>
      </c>
      <c r="Q175" s="5">
        <f t="shared" si="69"/>
        <v>0</v>
      </c>
      <c r="R175" s="5">
        <f t="shared" si="69"/>
        <v>0</v>
      </c>
      <c r="S175" s="5">
        <f t="shared" si="68"/>
        <v>0</v>
      </c>
      <c r="T175" s="5">
        <f t="shared" si="68"/>
        <v>0</v>
      </c>
      <c r="U175" s="5">
        <f t="shared" si="68"/>
        <v>0</v>
      </c>
      <c r="V175" s="5">
        <f t="shared" si="68"/>
        <v>0</v>
      </c>
      <c r="W175" s="5">
        <f t="shared" si="68"/>
        <v>0</v>
      </c>
      <c r="X175" s="5">
        <f t="shared" si="68"/>
        <v>0</v>
      </c>
      <c r="Y175" s="5">
        <f t="shared" si="68"/>
        <v>0</v>
      </c>
      <c r="Z175" s="5">
        <f t="shared" si="68"/>
        <v>0</v>
      </c>
      <c r="AA175" s="5">
        <f t="shared" si="68"/>
        <v>3</v>
      </c>
      <c r="AB175" s="5">
        <f t="shared" si="68"/>
        <v>0</v>
      </c>
      <c r="AC175" s="5">
        <f t="shared" ref="AC175:AE175" si="70">SUM(AC165:AC174)</f>
        <v>0</v>
      </c>
      <c r="AD175" s="5">
        <f t="shared" si="70"/>
        <v>0</v>
      </c>
      <c r="AE175" s="5">
        <f t="shared" si="70"/>
        <v>0</v>
      </c>
      <c r="AF175" s="5">
        <f t="shared" si="68"/>
        <v>0</v>
      </c>
      <c r="AG175" s="5">
        <f t="shared" si="68"/>
        <v>2</v>
      </c>
      <c r="AH175" s="5">
        <f t="shared" si="68"/>
        <v>0</v>
      </c>
      <c r="AI175" s="5">
        <f t="shared" si="68"/>
        <v>1</v>
      </c>
      <c r="AJ175" s="5">
        <f t="shared" si="68"/>
        <v>8</v>
      </c>
    </row>
    <row r="176" spans="1:36" ht="13.15" customHeight="1">
      <c r="A176" s="74"/>
      <c r="B176" s="75"/>
      <c r="C176" s="75"/>
      <c r="D176" s="75"/>
      <c r="E176" s="7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spans="1:36">
      <c r="A177" s="11" t="s">
        <v>48</v>
      </c>
      <c r="B177" s="17" t="s">
        <v>69</v>
      </c>
      <c r="C177" s="72" t="s">
        <v>70</v>
      </c>
      <c r="D177" s="73"/>
      <c r="E177" s="6">
        <v>0</v>
      </c>
      <c r="F177" s="6">
        <v>1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2</v>
      </c>
      <c r="X177" s="6">
        <v>0</v>
      </c>
      <c r="Y177" s="6">
        <v>0</v>
      </c>
      <c r="Z177" s="6">
        <v>1</v>
      </c>
      <c r="AA177" s="6">
        <v>0</v>
      </c>
      <c r="AB177" s="6">
        <v>0</v>
      </c>
      <c r="AC177" s="6">
        <v>0</v>
      </c>
      <c r="AD177" s="6">
        <v>0</v>
      </c>
      <c r="AE177" s="6">
        <v>2</v>
      </c>
      <c r="AF177" s="6">
        <v>0</v>
      </c>
      <c r="AG177" s="6">
        <v>0</v>
      </c>
      <c r="AH177" s="6">
        <v>1</v>
      </c>
      <c r="AI177" s="6"/>
      <c r="AJ177" s="5">
        <f t="shared" ref="AJ177:AJ186" si="71">SUM(E177:AI177)</f>
        <v>9</v>
      </c>
    </row>
    <row r="178" spans="1:36">
      <c r="A178" s="11" t="s">
        <v>50</v>
      </c>
      <c r="B178" s="50"/>
      <c r="C178" s="24" t="s">
        <v>157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1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6">
        <v>0</v>
      </c>
      <c r="V178" s="6">
        <v>1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1</v>
      </c>
      <c r="AH178" s="6">
        <v>0</v>
      </c>
      <c r="AI178" s="6"/>
      <c r="AJ178" s="5">
        <f t="shared" si="71"/>
        <v>6</v>
      </c>
    </row>
    <row r="179" spans="1:36">
      <c r="A179" s="7"/>
      <c r="B179" s="50"/>
      <c r="C179" s="24" t="s">
        <v>158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/>
      <c r="AJ179" s="5">
        <f t="shared" si="71"/>
        <v>2</v>
      </c>
    </row>
    <row r="180" spans="1:36">
      <c r="A180" s="7"/>
      <c r="B180" s="50"/>
      <c r="C180" s="24" t="s">
        <v>159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/>
      <c r="AJ180" s="5">
        <f t="shared" si="71"/>
        <v>0</v>
      </c>
    </row>
    <row r="181" spans="1:36">
      <c r="A181" s="7"/>
      <c r="B181" s="50"/>
      <c r="C181" s="24" t="s">
        <v>160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1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/>
      <c r="AJ181" s="5">
        <f t="shared" si="71"/>
        <v>2</v>
      </c>
    </row>
    <row r="182" spans="1:36">
      <c r="A182" s="7"/>
      <c r="B182" s="45"/>
      <c r="C182" s="46"/>
      <c r="D182" s="4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5">
        <f t="shared" si="71"/>
        <v>0</v>
      </c>
    </row>
    <row r="183" spans="1:36">
      <c r="A183" s="7"/>
      <c r="B183" s="45"/>
      <c r="C183" s="46"/>
      <c r="D183" s="4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5">
        <f t="shared" si="71"/>
        <v>0</v>
      </c>
    </row>
    <row r="184" spans="1:36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5">
        <f t="shared" si="71"/>
        <v>0</v>
      </c>
    </row>
    <row r="185" spans="1:36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5">
        <f t="shared" si="71"/>
        <v>0</v>
      </c>
    </row>
    <row r="186" spans="1:36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5">
        <f t="shared" si="71"/>
        <v>0</v>
      </c>
    </row>
    <row r="187" spans="1:36" ht="13.15" customHeight="1">
      <c r="A187" s="6" t="s">
        <v>26</v>
      </c>
      <c r="B187" s="66" t="s">
        <v>51</v>
      </c>
      <c r="C187" s="67"/>
      <c r="D187" s="68"/>
      <c r="E187" s="5">
        <f t="shared" ref="E187:AJ187" si="72">SUM(E177:E186)</f>
        <v>0</v>
      </c>
      <c r="F187" s="5">
        <f t="shared" ref="F187:R187" si="73">SUM(F177:F186)</f>
        <v>1</v>
      </c>
      <c r="G187" s="5">
        <f t="shared" si="73"/>
        <v>0</v>
      </c>
      <c r="H187" s="5">
        <f t="shared" si="73"/>
        <v>0</v>
      </c>
      <c r="I187" s="5">
        <f t="shared" si="73"/>
        <v>2</v>
      </c>
      <c r="J187" s="5">
        <f t="shared" si="73"/>
        <v>0</v>
      </c>
      <c r="K187" s="5">
        <f t="shared" si="73"/>
        <v>1</v>
      </c>
      <c r="L187" s="5">
        <f t="shared" si="73"/>
        <v>0</v>
      </c>
      <c r="M187" s="5">
        <f t="shared" si="73"/>
        <v>0</v>
      </c>
      <c r="N187" s="5">
        <f t="shared" si="73"/>
        <v>0</v>
      </c>
      <c r="O187" s="5">
        <f t="shared" si="73"/>
        <v>1</v>
      </c>
      <c r="P187" s="5">
        <f t="shared" si="73"/>
        <v>2</v>
      </c>
      <c r="Q187" s="5">
        <f t="shared" si="73"/>
        <v>0</v>
      </c>
      <c r="R187" s="5">
        <f t="shared" si="73"/>
        <v>0</v>
      </c>
      <c r="S187" s="5">
        <f t="shared" si="72"/>
        <v>2</v>
      </c>
      <c r="T187" s="5">
        <f t="shared" si="72"/>
        <v>1</v>
      </c>
      <c r="U187" s="5">
        <f t="shared" si="72"/>
        <v>0</v>
      </c>
      <c r="V187" s="5">
        <f t="shared" si="72"/>
        <v>2</v>
      </c>
      <c r="W187" s="5">
        <f t="shared" si="72"/>
        <v>2</v>
      </c>
      <c r="X187" s="5">
        <f t="shared" si="72"/>
        <v>0</v>
      </c>
      <c r="Y187" s="5">
        <f t="shared" si="72"/>
        <v>0</v>
      </c>
      <c r="Z187" s="5">
        <f t="shared" si="72"/>
        <v>1</v>
      </c>
      <c r="AA187" s="5">
        <f t="shared" si="72"/>
        <v>0</v>
      </c>
      <c r="AB187" s="5">
        <f t="shared" si="72"/>
        <v>0</v>
      </c>
      <c r="AC187" s="5">
        <f t="shared" ref="AC187:AE187" si="74">SUM(AC177:AC186)</f>
        <v>0</v>
      </c>
      <c r="AD187" s="5">
        <f t="shared" si="74"/>
        <v>0</v>
      </c>
      <c r="AE187" s="5">
        <f t="shared" si="74"/>
        <v>2</v>
      </c>
      <c r="AF187" s="5">
        <f t="shared" si="72"/>
        <v>0</v>
      </c>
      <c r="AG187" s="5">
        <f t="shared" si="72"/>
        <v>1</v>
      </c>
      <c r="AH187" s="5">
        <f t="shared" si="72"/>
        <v>1</v>
      </c>
      <c r="AI187" s="5">
        <f t="shared" si="72"/>
        <v>0</v>
      </c>
      <c r="AJ187" s="5">
        <f t="shared" si="72"/>
        <v>19</v>
      </c>
    </row>
    <row r="188" spans="1:36">
      <c r="A188" s="74"/>
      <c r="B188" s="75"/>
      <c r="C188" s="75"/>
      <c r="D188" s="75"/>
      <c r="E188" s="76"/>
      <c r="F188" s="18"/>
      <c r="G188" s="18"/>
      <c r="H188" s="18"/>
      <c r="I188" s="18"/>
      <c r="J188" s="18"/>
      <c r="K188" s="18"/>
      <c r="L188" s="18"/>
      <c r="M188" s="18"/>
      <c r="N188" s="18"/>
      <c r="S188" s="18"/>
      <c r="T188" s="18"/>
      <c r="U188" s="18"/>
      <c r="V188" s="18"/>
      <c r="W188" s="18"/>
      <c r="X188" s="18"/>
      <c r="Y188" s="18"/>
      <c r="Z188" s="18"/>
      <c r="AA188" s="18"/>
      <c r="AJ188" s="5"/>
    </row>
    <row r="189" spans="1:36">
      <c r="A189" s="11" t="s">
        <v>48</v>
      </c>
      <c r="B189" s="17" t="s">
        <v>71</v>
      </c>
      <c r="C189" s="72" t="s">
        <v>72</v>
      </c>
      <c r="D189" s="73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/>
      <c r="AH189" s="6">
        <v>0</v>
      </c>
      <c r="AI189" s="6"/>
      <c r="AJ189" s="5">
        <f t="shared" ref="AJ189:AJ198" si="75">SUM(E189:AI189)</f>
        <v>0</v>
      </c>
    </row>
    <row r="190" spans="1:36">
      <c r="A190" s="11" t="s">
        <v>50</v>
      </c>
      <c r="B190" s="50"/>
      <c r="C190" s="24" t="s">
        <v>161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2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/>
      <c r="AJ190" s="5">
        <f t="shared" si="75"/>
        <v>2</v>
      </c>
    </row>
    <row r="191" spans="1:36">
      <c r="A191" s="7"/>
      <c r="B191" s="50"/>
      <c r="C191" s="24" t="s">
        <v>162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/>
      <c r="AJ191" s="5">
        <f t="shared" si="75"/>
        <v>0</v>
      </c>
    </row>
    <row r="192" spans="1:36">
      <c r="A192" s="7"/>
      <c r="B192" s="50"/>
      <c r="C192" s="24" t="s">
        <v>163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/>
      <c r="AJ192" s="5">
        <f t="shared" si="75"/>
        <v>0</v>
      </c>
    </row>
    <row r="193" spans="1:36">
      <c r="A193" s="7"/>
      <c r="B193" s="50"/>
      <c r="C193" s="24" t="s">
        <v>164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/>
      <c r="AJ193" s="5">
        <f t="shared" si="75"/>
        <v>0</v>
      </c>
    </row>
    <row r="194" spans="1:36">
      <c r="A194" s="7"/>
      <c r="B194" s="50"/>
      <c r="C194" s="24" t="s">
        <v>165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/>
      <c r="AJ194" s="5">
        <f t="shared" si="75"/>
        <v>0</v>
      </c>
    </row>
    <row r="195" spans="1:36">
      <c r="A195" s="7"/>
      <c r="B195" s="50"/>
      <c r="C195" s="24" t="s">
        <v>166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/>
      <c r="AJ195" s="5">
        <f t="shared" si="75"/>
        <v>0</v>
      </c>
    </row>
    <row r="196" spans="1:36" ht="13.15" customHeight="1">
      <c r="A196" s="7"/>
      <c r="B196" s="50"/>
      <c r="C196" s="24" t="s">
        <v>167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/>
      <c r="AJ196" s="5">
        <f t="shared" si="75"/>
        <v>0</v>
      </c>
    </row>
    <row r="197" spans="1:36" ht="13.15" customHeight="1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5">
        <f t="shared" si="75"/>
        <v>0</v>
      </c>
    </row>
    <row r="198" spans="1:36" ht="13.15" customHeight="1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5">
        <f t="shared" si="75"/>
        <v>0</v>
      </c>
    </row>
    <row r="199" spans="1:36">
      <c r="A199" s="6" t="s">
        <v>26</v>
      </c>
      <c r="B199" s="66" t="s">
        <v>51</v>
      </c>
      <c r="C199" s="67"/>
      <c r="D199" s="68"/>
      <c r="E199" s="5">
        <f t="shared" ref="E199:AJ199" si="76">SUM(E189:E198)</f>
        <v>0</v>
      </c>
      <c r="F199" s="5">
        <f t="shared" ref="F199:R199" si="77">SUM(F189:F198)</f>
        <v>0</v>
      </c>
      <c r="G199" s="5">
        <f t="shared" si="77"/>
        <v>0</v>
      </c>
      <c r="H199" s="5">
        <f t="shared" si="77"/>
        <v>0</v>
      </c>
      <c r="I199" s="5">
        <f t="shared" si="77"/>
        <v>0</v>
      </c>
      <c r="J199" s="5">
        <f t="shared" si="77"/>
        <v>2</v>
      </c>
      <c r="K199" s="5">
        <f t="shared" si="77"/>
        <v>0</v>
      </c>
      <c r="L199" s="5">
        <f t="shared" si="77"/>
        <v>0</v>
      </c>
      <c r="M199" s="5">
        <f t="shared" si="77"/>
        <v>0</v>
      </c>
      <c r="N199" s="5">
        <f t="shared" si="77"/>
        <v>0</v>
      </c>
      <c r="O199" s="5">
        <f t="shared" si="77"/>
        <v>0</v>
      </c>
      <c r="P199" s="5">
        <f t="shared" si="77"/>
        <v>0</v>
      </c>
      <c r="Q199" s="5">
        <f t="shared" si="77"/>
        <v>0</v>
      </c>
      <c r="R199" s="5">
        <f t="shared" si="77"/>
        <v>0</v>
      </c>
      <c r="S199" s="5">
        <f t="shared" si="76"/>
        <v>0</v>
      </c>
      <c r="T199" s="5">
        <f t="shared" si="76"/>
        <v>0</v>
      </c>
      <c r="U199" s="5">
        <f t="shared" si="76"/>
        <v>0</v>
      </c>
      <c r="V199" s="5">
        <f t="shared" si="76"/>
        <v>0</v>
      </c>
      <c r="W199" s="5">
        <f t="shared" si="76"/>
        <v>0</v>
      </c>
      <c r="X199" s="5">
        <f t="shared" si="76"/>
        <v>0</v>
      </c>
      <c r="Y199" s="5">
        <f t="shared" si="76"/>
        <v>0</v>
      </c>
      <c r="Z199" s="5">
        <f t="shared" si="76"/>
        <v>0</v>
      </c>
      <c r="AA199" s="5">
        <f t="shared" si="76"/>
        <v>0</v>
      </c>
      <c r="AB199" s="5">
        <f t="shared" si="76"/>
        <v>0</v>
      </c>
      <c r="AC199" s="5">
        <f t="shared" ref="AC199:AE199" si="78">SUM(AC189:AC198)</f>
        <v>0</v>
      </c>
      <c r="AD199" s="5">
        <f t="shared" si="78"/>
        <v>0</v>
      </c>
      <c r="AE199" s="5">
        <f t="shared" si="78"/>
        <v>0</v>
      </c>
      <c r="AF199" s="5">
        <f t="shared" si="76"/>
        <v>0</v>
      </c>
      <c r="AG199" s="5">
        <f t="shared" si="76"/>
        <v>0</v>
      </c>
      <c r="AH199" s="5">
        <f t="shared" si="76"/>
        <v>0</v>
      </c>
      <c r="AI199" s="5">
        <f t="shared" si="76"/>
        <v>0</v>
      </c>
      <c r="AJ199" s="5">
        <f t="shared" si="76"/>
        <v>2</v>
      </c>
    </row>
    <row r="200" spans="1:36">
      <c r="A200" s="74"/>
      <c r="B200" s="75"/>
      <c r="C200" s="75"/>
      <c r="D200" s="75"/>
      <c r="E200" s="7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spans="1:36">
      <c r="A201" s="11" t="s">
        <v>48</v>
      </c>
      <c r="B201" s="17" t="s">
        <v>73</v>
      </c>
      <c r="C201" s="72" t="s">
        <v>74</v>
      </c>
      <c r="D201" s="73"/>
      <c r="E201" s="6">
        <v>0</v>
      </c>
      <c r="F201" s="6">
        <v>1</v>
      </c>
      <c r="G201" s="6">
        <v>2</v>
      </c>
      <c r="H201" s="6">
        <v>4</v>
      </c>
      <c r="I201" s="6">
        <v>2</v>
      </c>
      <c r="J201" s="6">
        <v>1</v>
      </c>
      <c r="K201" s="6">
        <v>1</v>
      </c>
      <c r="L201" s="6">
        <v>2</v>
      </c>
      <c r="M201" s="6">
        <v>3</v>
      </c>
      <c r="N201" s="6">
        <v>0</v>
      </c>
      <c r="O201" s="6">
        <v>0</v>
      </c>
      <c r="P201" s="6">
        <v>2</v>
      </c>
      <c r="Q201" s="6">
        <v>1</v>
      </c>
      <c r="R201" s="6">
        <v>3</v>
      </c>
      <c r="S201" s="6">
        <v>2</v>
      </c>
      <c r="T201" s="6">
        <v>0</v>
      </c>
      <c r="U201" s="6">
        <v>2</v>
      </c>
      <c r="V201" s="6">
        <v>0</v>
      </c>
      <c r="W201" s="6">
        <v>0</v>
      </c>
      <c r="X201" s="6">
        <v>0</v>
      </c>
      <c r="Y201" s="6">
        <v>1</v>
      </c>
      <c r="Z201" s="6">
        <v>2</v>
      </c>
      <c r="AA201" s="6">
        <v>0</v>
      </c>
      <c r="AB201" s="6">
        <v>0</v>
      </c>
      <c r="AC201" s="6">
        <v>1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/>
      <c r="AJ201" s="5">
        <f t="shared" ref="AJ201:AJ210" si="79">SUM(E201:AI201)</f>
        <v>31</v>
      </c>
    </row>
    <row r="202" spans="1:36">
      <c r="A202" s="11" t="s">
        <v>50</v>
      </c>
      <c r="B202" s="50"/>
      <c r="C202" s="24" t="s">
        <v>168</v>
      </c>
      <c r="D202" s="51"/>
      <c r="E202" s="6">
        <v>1</v>
      </c>
      <c r="F202" s="6">
        <v>2</v>
      </c>
      <c r="G202" s="6">
        <v>2</v>
      </c>
      <c r="H202" s="6">
        <v>3</v>
      </c>
      <c r="I202" s="6">
        <v>6</v>
      </c>
      <c r="J202" s="6">
        <v>2</v>
      </c>
      <c r="K202" s="6">
        <v>0</v>
      </c>
      <c r="L202" s="6">
        <v>1</v>
      </c>
      <c r="M202" s="6">
        <v>4</v>
      </c>
      <c r="N202" s="6">
        <v>6</v>
      </c>
      <c r="O202" s="6">
        <v>1</v>
      </c>
      <c r="P202" s="6">
        <v>11</v>
      </c>
      <c r="Q202" s="6">
        <v>1</v>
      </c>
      <c r="R202" s="6">
        <v>0</v>
      </c>
      <c r="S202" s="6">
        <v>1</v>
      </c>
      <c r="T202" s="6">
        <v>7</v>
      </c>
      <c r="U202" s="6">
        <v>2</v>
      </c>
      <c r="V202" s="6">
        <v>6</v>
      </c>
      <c r="W202" s="6">
        <v>3</v>
      </c>
      <c r="X202" s="6">
        <v>5</v>
      </c>
      <c r="Y202" s="6">
        <v>3</v>
      </c>
      <c r="Z202" s="6">
        <v>0</v>
      </c>
      <c r="AA202" s="6">
        <v>2</v>
      </c>
      <c r="AB202" s="6">
        <v>10</v>
      </c>
      <c r="AC202" s="6">
        <v>8</v>
      </c>
      <c r="AD202" s="6">
        <v>2</v>
      </c>
      <c r="AE202" s="6">
        <v>0</v>
      </c>
      <c r="AF202" s="6">
        <v>0</v>
      </c>
      <c r="AG202" s="6">
        <v>1</v>
      </c>
      <c r="AH202" s="6">
        <v>0</v>
      </c>
      <c r="AI202" s="6"/>
      <c r="AJ202" s="5">
        <f t="shared" si="79"/>
        <v>90</v>
      </c>
    </row>
    <row r="203" spans="1:36">
      <c r="A203" s="7"/>
      <c r="B203" s="50"/>
      <c r="C203" s="24" t="s">
        <v>169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4</v>
      </c>
      <c r="M203" s="6">
        <v>4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6">
        <v>1</v>
      </c>
      <c r="U203" s="6">
        <v>0</v>
      </c>
      <c r="V203" s="6">
        <v>1</v>
      </c>
      <c r="W203" s="6">
        <v>0</v>
      </c>
      <c r="X203" s="6">
        <v>1</v>
      </c>
      <c r="Y203" s="6">
        <v>1</v>
      </c>
      <c r="Z203" s="6">
        <v>0</v>
      </c>
      <c r="AA203" s="6">
        <v>0</v>
      </c>
      <c r="AB203" s="6">
        <v>1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/>
      <c r="AJ203" s="5">
        <f t="shared" si="79"/>
        <v>15</v>
      </c>
    </row>
    <row r="204" spans="1:36">
      <c r="A204" s="7"/>
      <c r="B204" s="50"/>
      <c r="C204" s="24" t="s">
        <v>170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2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1</v>
      </c>
      <c r="Y204" s="6">
        <v>0</v>
      </c>
      <c r="Z204" s="6">
        <v>0</v>
      </c>
      <c r="AA204" s="6">
        <v>1</v>
      </c>
      <c r="AB204" s="6">
        <v>1</v>
      </c>
      <c r="AC204" s="6">
        <v>0</v>
      </c>
      <c r="AD204" s="6">
        <v>0</v>
      </c>
      <c r="AE204" s="6">
        <v>1</v>
      </c>
      <c r="AF204" s="6">
        <v>0</v>
      </c>
      <c r="AG204" s="6">
        <v>0</v>
      </c>
      <c r="AH204" s="6">
        <v>0</v>
      </c>
      <c r="AI204" s="6">
        <v>1</v>
      </c>
      <c r="AJ204" s="5">
        <f t="shared" si="79"/>
        <v>7</v>
      </c>
    </row>
    <row r="205" spans="1:36">
      <c r="A205" s="7"/>
      <c r="B205" s="50"/>
      <c r="C205" s="24" t="s">
        <v>171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1</v>
      </c>
      <c r="L205" s="6">
        <v>1</v>
      </c>
      <c r="M205" s="6">
        <v>0</v>
      </c>
      <c r="N205" s="6">
        <v>0</v>
      </c>
      <c r="O205" s="6">
        <v>0</v>
      </c>
      <c r="P205" s="6">
        <v>9</v>
      </c>
      <c r="Q205" s="6">
        <v>0</v>
      </c>
      <c r="R205" s="6">
        <v>0</v>
      </c>
      <c r="S205" s="6">
        <v>4</v>
      </c>
      <c r="T205" s="6">
        <v>1</v>
      </c>
      <c r="U205" s="6">
        <v>0</v>
      </c>
      <c r="V205" s="6">
        <v>1</v>
      </c>
      <c r="W205" s="6">
        <v>2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3</v>
      </c>
      <c r="AE205" s="6">
        <v>0</v>
      </c>
      <c r="AF205" s="6">
        <v>0</v>
      </c>
      <c r="AG205" s="6">
        <v>0</v>
      </c>
      <c r="AH205" s="6">
        <v>0</v>
      </c>
      <c r="AI205" s="6"/>
      <c r="AJ205" s="5">
        <f t="shared" si="79"/>
        <v>23</v>
      </c>
    </row>
    <row r="206" spans="1:36">
      <c r="A206" s="7"/>
      <c r="B206" s="50"/>
      <c r="C206" s="24" t="s">
        <v>172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/>
      <c r="AJ206" s="5">
        <f t="shared" si="79"/>
        <v>2</v>
      </c>
    </row>
    <row r="207" spans="1:36" ht="13.15" customHeight="1">
      <c r="A207" s="7"/>
      <c r="B207" s="50"/>
      <c r="C207" s="24" t="s">
        <v>173</v>
      </c>
      <c r="D207" s="51"/>
      <c r="E207" s="6">
        <v>0</v>
      </c>
      <c r="F207" s="6">
        <v>0</v>
      </c>
      <c r="G207" s="6">
        <v>1</v>
      </c>
      <c r="H207" s="6">
        <v>0</v>
      </c>
      <c r="I207" s="6">
        <v>1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/>
      <c r="AJ207" s="5">
        <f t="shared" si="79"/>
        <v>3</v>
      </c>
    </row>
    <row r="208" spans="1:36">
      <c r="A208" s="7"/>
      <c r="B208" s="50"/>
      <c r="C208" s="24" t="s">
        <v>174</v>
      </c>
      <c r="D208" s="51"/>
      <c r="E208" s="6">
        <v>2</v>
      </c>
      <c r="F208" s="6">
        <v>0</v>
      </c>
      <c r="G208" s="6">
        <v>1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1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/>
      <c r="AJ208" s="5">
        <f t="shared" si="79"/>
        <v>6</v>
      </c>
    </row>
    <row r="209" spans="1:36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5">
        <f t="shared" si="79"/>
        <v>0</v>
      </c>
    </row>
    <row r="210" spans="1:36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5">
        <f t="shared" si="79"/>
        <v>0</v>
      </c>
    </row>
    <row r="211" spans="1:36">
      <c r="A211" s="6" t="s">
        <v>26</v>
      </c>
      <c r="B211" s="66" t="s">
        <v>51</v>
      </c>
      <c r="C211" s="67"/>
      <c r="D211" s="68"/>
      <c r="E211" s="5">
        <f t="shared" ref="E211:AJ211" si="80">SUM(E201:E210)</f>
        <v>3</v>
      </c>
      <c r="F211" s="5">
        <f t="shared" ref="F211:R211" si="81">SUM(F201:F210)</f>
        <v>3</v>
      </c>
      <c r="G211" s="5">
        <f t="shared" si="81"/>
        <v>6</v>
      </c>
      <c r="H211" s="5">
        <f t="shared" si="81"/>
        <v>8</v>
      </c>
      <c r="I211" s="5">
        <f t="shared" si="81"/>
        <v>9</v>
      </c>
      <c r="J211" s="5">
        <f t="shared" si="81"/>
        <v>4</v>
      </c>
      <c r="K211" s="5">
        <f t="shared" si="81"/>
        <v>4</v>
      </c>
      <c r="L211" s="5">
        <f t="shared" si="81"/>
        <v>11</v>
      </c>
      <c r="M211" s="5">
        <f t="shared" si="81"/>
        <v>11</v>
      </c>
      <c r="N211" s="5">
        <f t="shared" si="81"/>
        <v>6</v>
      </c>
      <c r="O211" s="5">
        <f t="shared" si="81"/>
        <v>2</v>
      </c>
      <c r="P211" s="5">
        <f t="shared" si="81"/>
        <v>22</v>
      </c>
      <c r="Q211" s="5">
        <f t="shared" si="81"/>
        <v>2</v>
      </c>
      <c r="R211" s="5">
        <f t="shared" si="81"/>
        <v>4</v>
      </c>
      <c r="S211" s="5">
        <f t="shared" si="80"/>
        <v>7</v>
      </c>
      <c r="T211" s="5">
        <f t="shared" si="80"/>
        <v>9</v>
      </c>
      <c r="U211" s="5">
        <f t="shared" si="80"/>
        <v>4</v>
      </c>
      <c r="V211" s="5">
        <f t="shared" si="80"/>
        <v>8</v>
      </c>
      <c r="W211" s="5">
        <f t="shared" si="80"/>
        <v>5</v>
      </c>
      <c r="X211" s="5">
        <f t="shared" si="80"/>
        <v>8</v>
      </c>
      <c r="Y211" s="5">
        <f t="shared" si="80"/>
        <v>5</v>
      </c>
      <c r="Z211" s="5">
        <f t="shared" si="80"/>
        <v>2</v>
      </c>
      <c r="AA211" s="5">
        <f t="shared" si="80"/>
        <v>3</v>
      </c>
      <c r="AB211" s="5">
        <f t="shared" si="80"/>
        <v>12</v>
      </c>
      <c r="AC211" s="5">
        <f t="shared" ref="AC211:AE211" si="82">SUM(AC201:AC210)</f>
        <v>9</v>
      </c>
      <c r="AD211" s="5">
        <f t="shared" si="82"/>
        <v>7</v>
      </c>
      <c r="AE211" s="5">
        <f t="shared" si="82"/>
        <v>1</v>
      </c>
      <c r="AF211" s="5">
        <f t="shared" si="80"/>
        <v>0</v>
      </c>
      <c r="AG211" s="5">
        <f t="shared" si="80"/>
        <v>1</v>
      </c>
      <c r="AH211" s="5">
        <f t="shared" si="80"/>
        <v>0</v>
      </c>
      <c r="AI211" s="5">
        <f t="shared" si="80"/>
        <v>1</v>
      </c>
      <c r="AJ211" s="5">
        <f t="shared" si="80"/>
        <v>177</v>
      </c>
    </row>
    <row r="212" spans="1:36">
      <c r="A212" s="74"/>
      <c r="B212" s="75"/>
      <c r="C212" s="75"/>
      <c r="D212" s="75"/>
      <c r="E212" s="7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spans="1:36">
      <c r="A213" s="11" t="s">
        <v>48</v>
      </c>
      <c r="B213" s="17" t="s">
        <v>75</v>
      </c>
      <c r="C213" s="72" t="s">
        <v>76</v>
      </c>
      <c r="D213" s="73"/>
      <c r="E213" s="6">
        <v>0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1</v>
      </c>
      <c r="N213" s="6">
        <v>1</v>
      </c>
      <c r="O213" s="6">
        <v>0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>
        <v>1</v>
      </c>
      <c r="V213" s="6">
        <v>0</v>
      </c>
      <c r="W213" s="6">
        <v>1</v>
      </c>
      <c r="X213" s="6">
        <v>2</v>
      </c>
      <c r="Y213" s="6">
        <v>0</v>
      </c>
      <c r="Z213" s="6">
        <v>0</v>
      </c>
      <c r="AA213" s="6">
        <v>1</v>
      </c>
      <c r="AB213" s="6">
        <v>3</v>
      </c>
      <c r="AC213" s="6">
        <v>0</v>
      </c>
      <c r="AD213" s="6">
        <v>0</v>
      </c>
      <c r="AE213" s="6">
        <v>1</v>
      </c>
      <c r="AF213" s="6">
        <v>1</v>
      </c>
      <c r="AG213" s="6">
        <v>0</v>
      </c>
      <c r="AH213" s="6">
        <v>0</v>
      </c>
      <c r="AI213" s="6"/>
      <c r="AJ213" s="5">
        <f t="shared" ref="AJ213:AJ222" si="83">SUM(E213:AI213)</f>
        <v>15</v>
      </c>
    </row>
    <row r="214" spans="1:36">
      <c r="A214" s="11" t="s">
        <v>50</v>
      </c>
      <c r="B214" s="50"/>
      <c r="C214" s="24" t="s">
        <v>175</v>
      </c>
      <c r="D214" s="51"/>
      <c r="E214" s="6">
        <v>0</v>
      </c>
      <c r="F214" s="6">
        <v>0</v>
      </c>
      <c r="G214" s="6">
        <v>0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>
        <v>2</v>
      </c>
      <c r="O214" s="6">
        <v>1</v>
      </c>
      <c r="P214" s="6">
        <v>0</v>
      </c>
      <c r="Q214" s="6">
        <v>2</v>
      </c>
      <c r="R214" s="6">
        <v>2</v>
      </c>
      <c r="S214" s="6">
        <v>0</v>
      </c>
      <c r="T214" s="6">
        <v>0</v>
      </c>
      <c r="U214" s="6">
        <v>3</v>
      </c>
      <c r="V214" s="6">
        <v>0</v>
      </c>
      <c r="W214" s="6">
        <v>2</v>
      </c>
      <c r="X214" s="6">
        <v>1</v>
      </c>
      <c r="Y214" s="6">
        <v>1</v>
      </c>
      <c r="Z214" s="6">
        <v>0</v>
      </c>
      <c r="AA214" s="6">
        <v>1</v>
      </c>
      <c r="AB214" s="6">
        <v>0</v>
      </c>
      <c r="AC214" s="6">
        <v>0</v>
      </c>
      <c r="AD214" s="6">
        <v>0</v>
      </c>
      <c r="AE214" s="6">
        <v>0</v>
      </c>
      <c r="AF214" s="6">
        <v>1</v>
      </c>
      <c r="AG214" s="6">
        <v>4</v>
      </c>
      <c r="AH214" s="6">
        <v>1</v>
      </c>
      <c r="AI214" s="6"/>
      <c r="AJ214" s="5">
        <f t="shared" si="83"/>
        <v>22</v>
      </c>
    </row>
    <row r="215" spans="1:36">
      <c r="A215" s="7"/>
      <c r="B215" s="50"/>
      <c r="C215" s="24" t="s">
        <v>176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0</v>
      </c>
      <c r="W215" s="6">
        <v>0</v>
      </c>
      <c r="X215" s="6">
        <v>0</v>
      </c>
      <c r="Y215" s="6">
        <v>1</v>
      </c>
      <c r="Z215" s="6">
        <v>0</v>
      </c>
      <c r="AA215" s="6">
        <v>0</v>
      </c>
      <c r="AB215" s="6">
        <v>0</v>
      </c>
      <c r="AC215" s="6">
        <v>2</v>
      </c>
      <c r="AD215" s="6">
        <v>0</v>
      </c>
      <c r="AE215" s="6">
        <v>0</v>
      </c>
      <c r="AF215" s="6">
        <v>0</v>
      </c>
      <c r="AG215" s="6">
        <v>1</v>
      </c>
      <c r="AH215" s="6">
        <v>0</v>
      </c>
      <c r="AI215" s="6"/>
      <c r="AJ215" s="5">
        <f t="shared" si="83"/>
        <v>6</v>
      </c>
    </row>
    <row r="216" spans="1:36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5">
        <f t="shared" si="83"/>
        <v>0</v>
      </c>
    </row>
    <row r="217" spans="1:36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5">
        <f t="shared" si="83"/>
        <v>0</v>
      </c>
    </row>
    <row r="218" spans="1:36" ht="13.15" customHeight="1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5">
        <f t="shared" si="83"/>
        <v>0</v>
      </c>
    </row>
    <row r="219" spans="1:36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5">
        <f t="shared" si="83"/>
        <v>0</v>
      </c>
    </row>
    <row r="220" spans="1:36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5">
        <f t="shared" si="83"/>
        <v>0</v>
      </c>
    </row>
    <row r="221" spans="1:36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5">
        <f t="shared" si="83"/>
        <v>0</v>
      </c>
    </row>
    <row r="222" spans="1:36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5">
        <f t="shared" si="83"/>
        <v>0</v>
      </c>
    </row>
    <row r="223" spans="1:36">
      <c r="A223" s="6" t="s">
        <v>26</v>
      </c>
      <c r="B223" s="66" t="s">
        <v>51</v>
      </c>
      <c r="C223" s="67"/>
      <c r="D223" s="68"/>
      <c r="E223" s="5">
        <f t="shared" ref="E223:AJ223" si="84">SUM(E213:E222)</f>
        <v>0</v>
      </c>
      <c r="F223" s="5">
        <f t="shared" ref="F223:R223" si="85">SUM(F213:F222)</f>
        <v>0</v>
      </c>
      <c r="G223" s="5">
        <f t="shared" si="85"/>
        <v>1</v>
      </c>
      <c r="H223" s="5">
        <f t="shared" si="85"/>
        <v>0</v>
      </c>
      <c r="I223" s="5">
        <f t="shared" si="85"/>
        <v>2</v>
      </c>
      <c r="J223" s="5">
        <f t="shared" si="85"/>
        <v>0</v>
      </c>
      <c r="K223" s="5">
        <f t="shared" si="85"/>
        <v>0</v>
      </c>
      <c r="L223" s="5">
        <f t="shared" si="85"/>
        <v>1</v>
      </c>
      <c r="M223" s="5">
        <f t="shared" si="85"/>
        <v>1</v>
      </c>
      <c r="N223" s="5">
        <f t="shared" si="85"/>
        <v>3</v>
      </c>
      <c r="O223" s="5">
        <f t="shared" si="85"/>
        <v>1</v>
      </c>
      <c r="P223" s="5">
        <f t="shared" si="85"/>
        <v>0</v>
      </c>
      <c r="Q223" s="5">
        <f t="shared" si="85"/>
        <v>2</v>
      </c>
      <c r="R223" s="5">
        <f t="shared" si="85"/>
        <v>3</v>
      </c>
      <c r="S223" s="5">
        <f t="shared" si="84"/>
        <v>0</v>
      </c>
      <c r="T223" s="5">
        <f t="shared" si="84"/>
        <v>0</v>
      </c>
      <c r="U223" s="5">
        <f t="shared" si="84"/>
        <v>5</v>
      </c>
      <c r="V223" s="5">
        <f t="shared" si="84"/>
        <v>0</v>
      </c>
      <c r="W223" s="5">
        <f t="shared" si="84"/>
        <v>3</v>
      </c>
      <c r="X223" s="5">
        <f t="shared" si="84"/>
        <v>3</v>
      </c>
      <c r="Y223" s="5">
        <f t="shared" si="84"/>
        <v>2</v>
      </c>
      <c r="Z223" s="5">
        <f t="shared" si="84"/>
        <v>0</v>
      </c>
      <c r="AA223" s="5">
        <f t="shared" si="84"/>
        <v>2</v>
      </c>
      <c r="AB223" s="5">
        <f t="shared" si="84"/>
        <v>3</v>
      </c>
      <c r="AC223" s="5">
        <f t="shared" ref="AC223:AE223" si="86">SUM(AC213:AC222)</f>
        <v>2</v>
      </c>
      <c r="AD223" s="5">
        <f t="shared" si="86"/>
        <v>0</v>
      </c>
      <c r="AE223" s="5">
        <f t="shared" si="86"/>
        <v>1</v>
      </c>
      <c r="AF223" s="5">
        <f t="shared" si="84"/>
        <v>2</v>
      </c>
      <c r="AG223" s="5">
        <f t="shared" si="84"/>
        <v>5</v>
      </c>
      <c r="AH223" s="5">
        <f t="shared" si="84"/>
        <v>1</v>
      </c>
      <c r="AI223" s="5">
        <f t="shared" si="84"/>
        <v>0</v>
      </c>
      <c r="AJ223" s="5">
        <f t="shared" si="84"/>
        <v>43</v>
      </c>
    </row>
    <row r="224" spans="1:36">
      <c r="A224" s="74"/>
      <c r="B224" s="75"/>
      <c r="C224" s="75"/>
      <c r="D224" s="75"/>
      <c r="E224" s="7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spans="1:36">
      <c r="A225" s="11" t="s">
        <v>48</v>
      </c>
      <c r="B225" s="17" t="s">
        <v>77</v>
      </c>
      <c r="C225" s="72" t="s">
        <v>78</v>
      </c>
      <c r="D225" s="73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2</v>
      </c>
      <c r="U225" s="6">
        <v>0</v>
      </c>
      <c r="V225" s="6">
        <v>0</v>
      </c>
      <c r="W225" s="6">
        <v>1</v>
      </c>
      <c r="X225" s="6">
        <v>0</v>
      </c>
      <c r="Y225" s="6">
        <v>1</v>
      </c>
      <c r="Z225" s="6">
        <v>1</v>
      </c>
      <c r="AA225" s="6">
        <v>2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/>
      <c r="AJ225" s="5">
        <f t="shared" ref="AJ225:AJ234" si="87">SUM(E225:AI225)</f>
        <v>8</v>
      </c>
    </row>
    <row r="226" spans="1:36">
      <c r="A226" s="11" t="s">
        <v>50</v>
      </c>
      <c r="B226" s="17"/>
      <c r="C226" s="24" t="s">
        <v>177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2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17</v>
      </c>
      <c r="U226" s="6">
        <v>2</v>
      </c>
      <c r="V226" s="6">
        <v>5</v>
      </c>
      <c r="W226" s="6">
        <v>0</v>
      </c>
      <c r="X226" s="6">
        <v>0</v>
      </c>
      <c r="Y226" s="6">
        <v>0</v>
      </c>
      <c r="Z226" s="6">
        <v>1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/>
      <c r="AJ226" s="5">
        <f t="shared" si="87"/>
        <v>28</v>
      </c>
    </row>
    <row r="227" spans="1:36">
      <c r="A227" s="7"/>
      <c r="B227" s="63"/>
      <c r="C227" s="46"/>
      <c r="D227" s="4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5">
        <f t="shared" si="87"/>
        <v>0</v>
      </c>
    </row>
    <row r="228" spans="1:36">
      <c r="A228" s="7"/>
      <c r="B228" s="63"/>
      <c r="C228" s="46"/>
      <c r="D228" s="4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5">
        <f t="shared" si="87"/>
        <v>0</v>
      </c>
    </row>
    <row r="229" spans="1:36" ht="13.15" customHeight="1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5">
        <f t="shared" si="87"/>
        <v>0</v>
      </c>
    </row>
    <row r="230" spans="1:36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5">
        <f t="shared" si="87"/>
        <v>0</v>
      </c>
    </row>
    <row r="231" spans="1:36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5">
        <f t="shared" si="87"/>
        <v>0</v>
      </c>
    </row>
    <row r="232" spans="1:36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5">
        <f t="shared" si="87"/>
        <v>0</v>
      </c>
    </row>
    <row r="233" spans="1:36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5">
        <f t="shared" si="87"/>
        <v>0</v>
      </c>
    </row>
    <row r="234" spans="1:36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5">
        <f t="shared" si="87"/>
        <v>0</v>
      </c>
    </row>
    <row r="235" spans="1:36">
      <c r="A235" s="6" t="s">
        <v>26</v>
      </c>
      <c r="B235" s="66" t="s">
        <v>51</v>
      </c>
      <c r="C235" s="67"/>
      <c r="D235" s="68"/>
      <c r="E235" s="5">
        <f t="shared" ref="E235:AJ235" si="88">SUM(E225:E234)</f>
        <v>1</v>
      </c>
      <c r="F235" s="5">
        <f t="shared" ref="F235:R235" si="89">SUM(F225:F234)</f>
        <v>0</v>
      </c>
      <c r="G235" s="5">
        <f t="shared" si="89"/>
        <v>0</v>
      </c>
      <c r="H235" s="5">
        <f t="shared" si="89"/>
        <v>0</v>
      </c>
      <c r="I235" s="5">
        <f t="shared" si="89"/>
        <v>2</v>
      </c>
      <c r="J235" s="5">
        <f t="shared" si="89"/>
        <v>0</v>
      </c>
      <c r="K235" s="5">
        <f t="shared" si="89"/>
        <v>0</v>
      </c>
      <c r="L235" s="5">
        <f t="shared" si="89"/>
        <v>0</v>
      </c>
      <c r="M235" s="5">
        <f t="shared" si="89"/>
        <v>0</v>
      </c>
      <c r="N235" s="5">
        <f t="shared" si="89"/>
        <v>0</v>
      </c>
      <c r="O235" s="5">
        <f t="shared" si="89"/>
        <v>0</v>
      </c>
      <c r="P235" s="5">
        <f t="shared" si="89"/>
        <v>0</v>
      </c>
      <c r="Q235" s="5">
        <f t="shared" si="89"/>
        <v>0</v>
      </c>
      <c r="R235" s="5">
        <f t="shared" si="89"/>
        <v>0</v>
      </c>
      <c r="S235" s="5">
        <f t="shared" si="88"/>
        <v>1</v>
      </c>
      <c r="T235" s="5">
        <f t="shared" si="88"/>
        <v>19</v>
      </c>
      <c r="U235" s="5">
        <f t="shared" si="88"/>
        <v>2</v>
      </c>
      <c r="V235" s="5">
        <f t="shared" si="88"/>
        <v>5</v>
      </c>
      <c r="W235" s="5">
        <f t="shared" si="88"/>
        <v>1</v>
      </c>
      <c r="X235" s="5">
        <f t="shared" si="88"/>
        <v>0</v>
      </c>
      <c r="Y235" s="5">
        <f t="shared" si="88"/>
        <v>1</v>
      </c>
      <c r="Z235" s="5">
        <f t="shared" si="88"/>
        <v>2</v>
      </c>
      <c r="AA235" s="5">
        <f t="shared" si="88"/>
        <v>2</v>
      </c>
      <c r="AB235" s="5">
        <f t="shared" si="88"/>
        <v>0</v>
      </c>
      <c r="AC235" s="5">
        <f t="shared" ref="AC235:AE235" si="90">SUM(AC225:AC234)</f>
        <v>0</v>
      </c>
      <c r="AD235" s="5">
        <f t="shared" si="90"/>
        <v>0</v>
      </c>
      <c r="AE235" s="5">
        <f t="shared" si="90"/>
        <v>0</v>
      </c>
      <c r="AF235" s="5">
        <f t="shared" si="88"/>
        <v>0</v>
      </c>
      <c r="AG235" s="5">
        <f t="shared" si="88"/>
        <v>0</v>
      </c>
      <c r="AH235" s="5">
        <f t="shared" si="88"/>
        <v>0</v>
      </c>
      <c r="AI235" s="5">
        <f t="shared" si="88"/>
        <v>0</v>
      </c>
      <c r="AJ235" s="5">
        <f t="shared" si="88"/>
        <v>36</v>
      </c>
    </row>
    <row r="236" spans="1:36">
      <c r="A236" s="74"/>
      <c r="B236" s="75"/>
      <c r="C236" s="75"/>
      <c r="D236" s="75"/>
      <c r="E236" s="7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pans="1:36">
      <c r="A237" s="11" t="s">
        <v>48</v>
      </c>
      <c r="B237" s="17" t="s">
        <v>79</v>
      </c>
      <c r="C237" s="72" t="s">
        <v>80</v>
      </c>
      <c r="D237" s="73"/>
      <c r="E237" s="6">
        <v>0</v>
      </c>
      <c r="F237" s="6">
        <v>0</v>
      </c>
      <c r="G237" s="6">
        <v>0</v>
      </c>
      <c r="H237" s="6">
        <v>1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1</v>
      </c>
      <c r="R237" s="6">
        <v>0</v>
      </c>
      <c r="S237" s="6">
        <v>2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1</v>
      </c>
      <c r="Z237" s="6">
        <v>7</v>
      </c>
      <c r="AA237" s="6">
        <v>3</v>
      </c>
      <c r="AB237" s="6">
        <v>1</v>
      </c>
      <c r="AC237" s="6">
        <v>0</v>
      </c>
      <c r="AD237" s="6">
        <v>0</v>
      </c>
      <c r="AE237" s="6">
        <v>0</v>
      </c>
      <c r="AF237" s="6">
        <v>1</v>
      </c>
      <c r="AG237" s="6">
        <v>0</v>
      </c>
      <c r="AH237" s="6">
        <v>0</v>
      </c>
      <c r="AI237" s="6">
        <v>0</v>
      </c>
      <c r="AJ237" s="5">
        <f t="shared" ref="AJ237:AJ246" si="91">SUM(E237:AI237)</f>
        <v>18</v>
      </c>
    </row>
    <row r="238" spans="1:36">
      <c r="A238" s="11" t="s">
        <v>50</v>
      </c>
      <c r="B238" s="50"/>
      <c r="C238" s="24" t="s">
        <v>178</v>
      </c>
      <c r="D238" s="51"/>
      <c r="E238" s="6">
        <v>0</v>
      </c>
      <c r="F238" s="6">
        <v>0</v>
      </c>
      <c r="G238" s="6">
        <v>1</v>
      </c>
      <c r="H238" s="6">
        <v>0</v>
      </c>
      <c r="I238" s="6">
        <v>0</v>
      </c>
      <c r="J238" s="6">
        <v>9</v>
      </c>
      <c r="K238" s="6">
        <v>2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20</v>
      </c>
      <c r="T238" s="6">
        <v>0</v>
      </c>
      <c r="U238" s="6">
        <v>0</v>
      </c>
      <c r="V238" s="6">
        <v>1</v>
      </c>
      <c r="W238" s="6">
        <v>0</v>
      </c>
      <c r="X238" s="6">
        <v>0</v>
      </c>
      <c r="Y238" s="6">
        <v>26</v>
      </c>
      <c r="Z238" s="6">
        <v>11</v>
      </c>
      <c r="AA238" s="6">
        <v>34</v>
      </c>
      <c r="AB238" s="6">
        <v>3</v>
      </c>
      <c r="AC238" s="6">
        <v>3</v>
      </c>
      <c r="AD238" s="6">
        <v>0</v>
      </c>
      <c r="AE238" s="6">
        <v>0</v>
      </c>
      <c r="AF238" s="6">
        <v>31</v>
      </c>
      <c r="AG238" s="6">
        <v>2</v>
      </c>
      <c r="AH238" s="6">
        <v>2</v>
      </c>
      <c r="AI238" s="6">
        <v>3</v>
      </c>
      <c r="AJ238" s="5">
        <f t="shared" si="91"/>
        <v>148</v>
      </c>
    </row>
    <row r="239" spans="1:36">
      <c r="A239" s="7"/>
      <c r="B239" s="50"/>
      <c r="C239" s="24" t="s">
        <v>179</v>
      </c>
      <c r="D239" s="51"/>
      <c r="E239" s="6">
        <v>0</v>
      </c>
      <c r="F239" s="6">
        <v>0</v>
      </c>
      <c r="G239" s="6">
        <v>1</v>
      </c>
      <c r="H239" s="6">
        <v>0</v>
      </c>
      <c r="I239" s="6">
        <v>1</v>
      </c>
      <c r="J239" s="6">
        <v>3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3</v>
      </c>
      <c r="T239" s="6">
        <v>1</v>
      </c>
      <c r="U239" s="6">
        <v>0</v>
      </c>
      <c r="V239" s="6">
        <v>0</v>
      </c>
      <c r="W239" s="6">
        <v>1</v>
      </c>
      <c r="X239" s="6">
        <v>1</v>
      </c>
      <c r="Y239" s="6">
        <v>1</v>
      </c>
      <c r="Z239" s="6">
        <v>0</v>
      </c>
      <c r="AA239" s="6">
        <v>3</v>
      </c>
      <c r="AB239" s="6">
        <v>1</v>
      </c>
      <c r="AC239" s="6">
        <v>0</v>
      </c>
      <c r="AD239" s="6">
        <v>2</v>
      </c>
      <c r="AE239" s="6">
        <v>0</v>
      </c>
      <c r="AF239" s="6">
        <v>0</v>
      </c>
      <c r="AG239" s="6">
        <v>2</v>
      </c>
      <c r="AH239" s="6">
        <v>0</v>
      </c>
      <c r="AI239" s="6">
        <v>0</v>
      </c>
      <c r="AJ239" s="5">
        <f t="shared" si="91"/>
        <v>20</v>
      </c>
    </row>
    <row r="240" spans="1:36" ht="13.15" customHeight="1">
      <c r="A240" s="7"/>
      <c r="B240" s="50"/>
      <c r="C240" s="24" t="s">
        <v>180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5">
        <f t="shared" si="91"/>
        <v>0</v>
      </c>
    </row>
    <row r="241" spans="1:36">
      <c r="A241" s="7"/>
      <c r="B241" s="50"/>
      <c r="C241" s="24" t="s">
        <v>181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6">
        <v>0</v>
      </c>
      <c r="AG241" s="6">
        <v>0</v>
      </c>
      <c r="AH241" s="6">
        <v>0</v>
      </c>
      <c r="AI241" s="6">
        <v>0</v>
      </c>
      <c r="AJ241" s="5">
        <f t="shared" si="91"/>
        <v>1</v>
      </c>
    </row>
    <row r="242" spans="1:36" ht="12.75" customHeight="1">
      <c r="A242" s="7"/>
      <c r="B242" s="50"/>
      <c r="C242" s="24" t="s">
        <v>182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5">
        <f t="shared" si="91"/>
        <v>0</v>
      </c>
    </row>
    <row r="243" spans="1:36">
      <c r="A243" s="7"/>
      <c r="B243" s="50"/>
      <c r="C243" s="24" t="s">
        <v>183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5">
        <f t="shared" si="91"/>
        <v>2</v>
      </c>
    </row>
    <row r="244" spans="1:36">
      <c r="A244" s="7"/>
      <c r="B244" s="50"/>
      <c r="C244" s="24" t="s">
        <v>184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1</v>
      </c>
      <c r="K244" s="6">
        <v>0</v>
      </c>
      <c r="L244" s="6">
        <v>1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5">
        <f t="shared" si="91"/>
        <v>3</v>
      </c>
    </row>
    <row r="245" spans="1:36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5">
        <f t="shared" si="91"/>
        <v>0</v>
      </c>
    </row>
    <row r="246" spans="1:36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5">
        <f t="shared" si="91"/>
        <v>0</v>
      </c>
    </row>
    <row r="247" spans="1:36" ht="12.75" customHeight="1">
      <c r="A247" s="6" t="s">
        <v>26</v>
      </c>
      <c r="B247" s="66" t="s">
        <v>51</v>
      </c>
      <c r="C247" s="67"/>
      <c r="D247" s="68"/>
      <c r="E247" s="5">
        <f t="shared" ref="E247:AJ247" si="92">SUM(E237:E246)</f>
        <v>0</v>
      </c>
      <c r="F247" s="5">
        <f t="shared" ref="F247:R247" si="93">SUM(F237:F246)</f>
        <v>0</v>
      </c>
      <c r="G247" s="5">
        <f t="shared" si="93"/>
        <v>2</v>
      </c>
      <c r="H247" s="5">
        <f t="shared" si="93"/>
        <v>1</v>
      </c>
      <c r="I247" s="5">
        <f t="shared" si="93"/>
        <v>1</v>
      </c>
      <c r="J247" s="5">
        <f t="shared" si="93"/>
        <v>13</v>
      </c>
      <c r="K247" s="5">
        <f t="shared" si="93"/>
        <v>3</v>
      </c>
      <c r="L247" s="5">
        <f t="shared" si="93"/>
        <v>1</v>
      </c>
      <c r="M247" s="5">
        <f t="shared" si="93"/>
        <v>0</v>
      </c>
      <c r="N247" s="5">
        <f t="shared" si="93"/>
        <v>1</v>
      </c>
      <c r="O247" s="5">
        <f t="shared" si="93"/>
        <v>0</v>
      </c>
      <c r="P247" s="5">
        <f t="shared" si="93"/>
        <v>0</v>
      </c>
      <c r="Q247" s="5">
        <f t="shared" si="93"/>
        <v>1</v>
      </c>
      <c r="R247" s="5">
        <f t="shared" si="93"/>
        <v>0</v>
      </c>
      <c r="S247" s="5">
        <f t="shared" si="92"/>
        <v>25</v>
      </c>
      <c r="T247" s="5">
        <f t="shared" si="92"/>
        <v>1</v>
      </c>
      <c r="U247" s="5">
        <f t="shared" si="92"/>
        <v>0</v>
      </c>
      <c r="V247" s="5">
        <f t="shared" si="92"/>
        <v>1</v>
      </c>
      <c r="W247" s="5">
        <f t="shared" si="92"/>
        <v>1</v>
      </c>
      <c r="X247" s="5">
        <f t="shared" si="92"/>
        <v>1</v>
      </c>
      <c r="Y247" s="5">
        <f t="shared" si="92"/>
        <v>28</v>
      </c>
      <c r="Z247" s="5">
        <f t="shared" si="92"/>
        <v>18</v>
      </c>
      <c r="AA247" s="5">
        <f t="shared" si="92"/>
        <v>40</v>
      </c>
      <c r="AB247" s="5">
        <f t="shared" si="92"/>
        <v>5</v>
      </c>
      <c r="AC247" s="5">
        <f t="shared" ref="AC247:AE247" si="94">SUM(AC237:AC246)</f>
        <v>3</v>
      </c>
      <c r="AD247" s="5">
        <f t="shared" si="94"/>
        <v>3</v>
      </c>
      <c r="AE247" s="5">
        <f t="shared" si="94"/>
        <v>2</v>
      </c>
      <c r="AF247" s="5">
        <f t="shared" si="92"/>
        <v>32</v>
      </c>
      <c r="AG247" s="5">
        <f t="shared" si="92"/>
        <v>4</v>
      </c>
      <c r="AH247" s="5">
        <f t="shared" si="92"/>
        <v>2</v>
      </c>
      <c r="AI247" s="5">
        <f t="shared" si="92"/>
        <v>3</v>
      </c>
      <c r="AJ247" s="5">
        <f t="shared" si="92"/>
        <v>192</v>
      </c>
    </row>
    <row r="248" spans="1:36">
      <c r="A248" s="74"/>
      <c r="B248" s="75"/>
      <c r="C248" s="75"/>
      <c r="D248" s="75"/>
      <c r="E248" s="76"/>
    </row>
    <row r="249" spans="1:36">
      <c r="A249" s="11" t="s">
        <v>48</v>
      </c>
      <c r="B249" s="17" t="s">
        <v>81</v>
      </c>
      <c r="C249" s="72" t="s">
        <v>82</v>
      </c>
      <c r="D249" s="73"/>
      <c r="E249" s="6">
        <v>0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/>
      <c r="AJ249" s="5">
        <f t="shared" ref="AJ249:AJ258" si="95">SUM(E249:AI249)</f>
        <v>3</v>
      </c>
    </row>
    <row r="250" spans="1:36">
      <c r="A250" s="11" t="s">
        <v>50</v>
      </c>
      <c r="B250" s="17"/>
      <c r="C250" s="24" t="s">
        <v>185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3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/>
      <c r="AJ250" s="5">
        <f t="shared" si="95"/>
        <v>4</v>
      </c>
    </row>
    <row r="251" spans="1:36">
      <c r="A251" s="7"/>
      <c r="B251" s="17"/>
      <c r="C251" s="24" t="s">
        <v>186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/>
      <c r="AJ251" s="5">
        <f t="shared" si="95"/>
        <v>0</v>
      </c>
    </row>
    <row r="252" spans="1:36">
      <c r="A252" s="7"/>
      <c r="B252" s="50"/>
      <c r="C252" s="24" t="s">
        <v>187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1</v>
      </c>
      <c r="AG252" s="6">
        <v>0</v>
      </c>
      <c r="AH252" s="6">
        <v>0</v>
      </c>
      <c r="AI252" s="6"/>
      <c r="AJ252" s="5">
        <f t="shared" si="95"/>
        <v>1</v>
      </c>
    </row>
    <row r="253" spans="1:36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5">
        <f t="shared" si="95"/>
        <v>0</v>
      </c>
    </row>
    <row r="254" spans="1:36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5">
        <f t="shared" si="95"/>
        <v>0</v>
      </c>
    </row>
    <row r="255" spans="1:36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5">
        <f t="shared" si="95"/>
        <v>0</v>
      </c>
    </row>
    <row r="256" spans="1:36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5">
        <f t="shared" si="95"/>
        <v>0</v>
      </c>
    </row>
    <row r="257" spans="1:36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5">
        <f t="shared" si="95"/>
        <v>0</v>
      </c>
    </row>
    <row r="258" spans="1:36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5">
        <f t="shared" si="95"/>
        <v>0</v>
      </c>
    </row>
    <row r="259" spans="1:36">
      <c r="A259" s="6" t="s">
        <v>26</v>
      </c>
      <c r="B259" s="66" t="s">
        <v>51</v>
      </c>
      <c r="C259" s="67"/>
      <c r="D259" s="68"/>
      <c r="E259" s="5">
        <f t="shared" ref="E259:AJ259" si="96">SUM(E249:E258)</f>
        <v>0</v>
      </c>
      <c r="F259" s="5">
        <f t="shared" ref="F259:R259" si="97">SUM(F249:F258)</f>
        <v>0</v>
      </c>
      <c r="G259" s="5">
        <f t="shared" si="97"/>
        <v>1</v>
      </c>
      <c r="H259" s="5">
        <f t="shared" si="97"/>
        <v>0</v>
      </c>
      <c r="I259" s="5">
        <f t="shared" si="97"/>
        <v>0</v>
      </c>
      <c r="J259" s="5">
        <f t="shared" si="97"/>
        <v>0</v>
      </c>
      <c r="K259" s="5">
        <f t="shared" si="97"/>
        <v>1</v>
      </c>
      <c r="L259" s="5">
        <f t="shared" si="97"/>
        <v>0</v>
      </c>
      <c r="M259" s="5">
        <f t="shared" si="97"/>
        <v>0</v>
      </c>
      <c r="N259" s="5">
        <f t="shared" si="97"/>
        <v>2</v>
      </c>
      <c r="O259" s="5">
        <f t="shared" si="97"/>
        <v>0</v>
      </c>
      <c r="P259" s="5">
        <f t="shared" si="97"/>
        <v>0</v>
      </c>
      <c r="Q259" s="5">
        <f t="shared" si="97"/>
        <v>0</v>
      </c>
      <c r="R259" s="5">
        <f t="shared" si="97"/>
        <v>0</v>
      </c>
      <c r="S259" s="5">
        <f t="shared" si="96"/>
        <v>0</v>
      </c>
      <c r="T259" s="5">
        <f t="shared" si="96"/>
        <v>0</v>
      </c>
      <c r="U259" s="5">
        <f t="shared" si="96"/>
        <v>0</v>
      </c>
      <c r="V259" s="5">
        <f t="shared" si="96"/>
        <v>0</v>
      </c>
      <c r="W259" s="5">
        <f t="shared" si="96"/>
        <v>3</v>
      </c>
      <c r="X259" s="5">
        <f t="shared" si="96"/>
        <v>0</v>
      </c>
      <c r="Y259" s="5">
        <f t="shared" si="96"/>
        <v>0</v>
      </c>
      <c r="Z259" s="5">
        <f t="shared" si="96"/>
        <v>0</v>
      </c>
      <c r="AA259" s="5">
        <f t="shared" si="96"/>
        <v>0</v>
      </c>
      <c r="AB259" s="5">
        <f t="shared" si="96"/>
        <v>0</v>
      </c>
      <c r="AC259" s="5">
        <f t="shared" ref="AC259:AE259" si="98">SUM(AC249:AC258)</f>
        <v>0</v>
      </c>
      <c r="AD259" s="5">
        <f t="shared" si="98"/>
        <v>0</v>
      </c>
      <c r="AE259" s="5">
        <f t="shared" si="98"/>
        <v>0</v>
      </c>
      <c r="AF259" s="5">
        <f t="shared" si="96"/>
        <v>1</v>
      </c>
      <c r="AG259" s="5">
        <f t="shared" si="96"/>
        <v>0</v>
      </c>
      <c r="AH259" s="5">
        <f t="shared" si="96"/>
        <v>0</v>
      </c>
      <c r="AI259" s="5">
        <f t="shared" si="96"/>
        <v>0</v>
      </c>
      <c r="AJ259" s="5">
        <f t="shared" si="96"/>
        <v>8</v>
      </c>
    </row>
    <row r="261" spans="1:36">
      <c r="A261" s="16" t="s">
        <v>83</v>
      </c>
      <c r="B261" s="69" t="s">
        <v>84</v>
      </c>
      <c r="C261" s="70"/>
      <c r="D261" s="7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  <c r="T261" s="5"/>
      <c r="U261" s="5"/>
      <c r="V261" s="5"/>
      <c r="W261" s="5"/>
      <c r="X261" s="5"/>
      <c r="Y261" s="5"/>
      <c r="Z261" s="5"/>
      <c r="AA261" s="15"/>
      <c r="AB261" s="15"/>
      <c r="AC261" s="15"/>
      <c r="AD261" s="15"/>
      <c r="AE261" s="15"/>
      <c r="AF261" s="15"/>
      <c r="AG261" s="15"/>
      <c r="AH261" s="15"/>
      <c r="AI261" s="15"/>
      <c r="AJ261" s="5"/>
    </row>
    <row r="262" spans="1:36">
      <c r="A262" s="16"/>
      <c r="B262" s="19" t="s">
        <v>85</v>
      </c>
      <c r="C262" s="64" t="s">
        <v>86</v>
      </c>
      <c r="D262" s="65"/>
      <c r="E262" s="6">
        <f>E55+E67+E79+E91+E103+E115+E127+E139+E151+E163+E175+E187+E199+E211+E223+E235+E247+E259</f>
        <v>204</v>
      </c>
      <c r="F262" s="6">
        <f t="shared" ref="F262:R262" si="99">F55+F67+F79+F91+F103+F115+F127+F139+F151+F163+F175+F187+F199+F211+F223+F235+F247+F259</f>
        <v>207</v>
      </c>
      <c r="G262" s="6">
        <f t="shared" si="99"/>
        <v>209</v>
      </c>
      <c r="H262" s="6">
        <f t="shared" si="99"/>
        <v>212</v>
      </c>
      <c r="I262" s="6">
        <f t="shared" si="99"/>
        <v>188</v>
      </c>
      <c r="J262" s="6">
        <f t="shared" si="99"/>
        <v>211</v>
      </c>
      <c r="K262" s="6">
        <f t="shared" si="99"/>
        <v>218</v>
      </c>
      <c r="L262" s="6">
        <f t="shared" si="99"/>
        <v>188</v>
      </c>
      <c r="M262" s="6">
        <f t="shared" si="99"/>
        <v>197</v>
      </c>
      <c r="N262" s="6">
        <f t="shared" si="99"/>
        <v>204</v>
      </c>
      <c r="O262" s="6">
        <f t="shared" si="99"/>
        <v>197</v>
      </c>
      <c r="P262" s="6">
        <f t="shared" si="99"/>
        <v>220</v>
      </c>
      <c r="Q262" s="6">
        <f t="shared" si="99"/>
        <v>193</v>
      </c>
      <c r="R262" s="6">
        <f t="shared" si="99"/>
        <v>202</v>
      </c>
      <c r="S262" s="6">
        <f t="shared" ref="S262:AE262" si="100">S55+S67+S79+S91+S103+S115+S127+S139+S151+S163+S175+S187+S199+S211+S223+S235+S247+S259</f>
        <v>201</v>
      </c>
      <c r="T262" s="6">
        <f t="shared" si="100"/>
        <v>188</v>
      </c>
      <c r="U262" s="6">
        <f t="shared" si="100"/>
        <v>214</v>
      </c>
      <c r="V262" s="6">
        <f t="shared" si="100"/>
        <v>196</v>
      </c>
      <c r="W262" s="6">
        <f t="shared" si="100"/>
        <v>190</v>
      </c>
      <c r="X262" s="6">
        <f t="shared" si="100"/>
        <v>181</v>
      </c>
      <c r="Y262" s="6">
        <f t="shared" si="100"/>
        <v>209</v>
      </c>
      <c r="Z262" s="6">
        <f t="shared" si="100"/>
        <v>206</v>
      </c>
      <c r="AA262" s="6">
        <f t="shared" si="100"/>
        <v>222</v>
      </c>
      <c r="AB262" s="6">
        <f t="shared" si="100"/>
        <v>180</v>
      </c>
      <c r="AC262" s="6">
        <f t="shared" si="100"/>
        <v>207</v>
      </c>
      <c r="AD262" s="6">
        <f t="shared" si="100"/>
        <v>200</v>
      </c>
      <c r="AE262" s="6">
        <f t="shared" si="100"/>
        <v>206</v>
      </c>
      <c r="AF262" s="6">
        <f t="shared" ref="AF262:AI262" si="101">AF55+AF67+AF79+AF91+AF103+AF115+AF127+AF139+AF151+AF163+AF175+AF187+AF199+AF211+AF223+AF235+AF247+AF259</f>
        <v>211</v>
      </c>
      <c r="AG262" s="6">
        <f t="shared" si="101"/>
        <v>215</v>
      </c>
      <c r="AH262" s="6">
        <f t="shared" si="101"/>
        <v>223</v>
      </c>
      <c r="AI262" s="6">
        <f t="shared" si="101"/>
        <v>217</v>
      </c>
      <c r="AJ262" s="5">
        <f>SUM(E262:AI262)</f>
        <v>6316</v>
      </c>
    </row>
    <row r="263" spans="1:36">
      <c r="A263" s="13"/>
      <c r="B263" s="19" t="s">
        <v>87</v>
      </c>
      <c r="C263" s="64" t="s">
        <v>88</v>
      </c>
      <c r="D263" s="65"/>
      <c r="E263" s="6">
        <v>7</v>
      </c>
      <c r="F263" s="6">
        <v>5</v>
      </c>
      <c r="G263" s="6">
        <v>20</v>
      </c>
      <c r="H263" s="6">
        <v>14</v>
      </c>
      <c r="I263" s="6">
        <v>3</v>
      </c>
      <c r="J263" s="6">
        <v>4</v>
      </c>
      <c r="K263" s="6">
        <v>11</v>
      </c>
      <c r="L263" s="6">
        <v>7</v>
      </c>
      <c r="M263" s="6">
        <v>6</v>
      </c>
      <c r="N263" s="6">
        <v>17</v>
      </c>
      <c r="O263" s="6">
        <v>17</v>
      </c>
      <c r="P263" s="6">
        <v>12</v>
      </c>
      <c r="Q263" s="6">
        <v>6</v>
      </c>
      <c r="R263" s="6">
        <v>11</v>
      </c>
      <c r="S263" s="6">
        <v>11</v>
      </c>
      <c r="T263" s="6">
        <v>9</v>
      </c>
      <c r="U263" s="6">
        <v>9</v>
      </c>
      <c r="V263" s="6">
        <v>8</v>
      </c>
      <c r="W263" s="6">
        <v>13</v>
      </c>
      <c r="X263" s="6">
        <v>15</v>
      </c>
      <c r="Y263" s="6">
        <v>14</v>
      </c>
      <c r="Z263" s="6">
        <v>6</v>
      </c>
      <c r="AA263" s="6">
        <v>10</v>
      </c>
      <c r="AB263" s="6">
        <v>9</v>
      </c>
      <c r="AC263" s="6">
        <v>11</v>
      </c>
      <c r="AD263" s="6">
        <v>8</v>
      </c>
      <c r="AE263" s="6">
        <v>17</v>
      </c>
      <c r="AF263" s="6">
        <v>2</v>
      </c>
      <c r="AG263" s="6">
        <v>11</v>
      </c>
      <c r="AH263" s="6">
        <v>4</v>
      </c>
      <c r="AI263" s="6">
        <v>9</v>
      </c>
      <c r="AJ263" s="5">
        <f>SUM(E263:AI263)</f>
        <v>306</v>
      </c>
    </row>
    <row r="264" spans="1:36">
      <c r="A264" s="14"/>
      <c r="B264" s="19" t="s">
        <v>89</v>
      </c>
      <c r="C264" s="64" t="s">
        <v>90</v>
      </c>
      <c r="D264" s="65"/>
      <c r="E264" s="5">
        <f>SUM(E262:E263)</f>
        <v>211</v>
      </c>
      <c r="F264" s="5">
        <f t="shared" ref="F264:R264" si="102">SUM(F262:F263)</f>
        <v>212</v>
      </c>
      <c r="G264" s="5">
        <f t="shared" si="102"/>
        <v>229</v>
      </c>
      <c r="H264" s="5">
        <f t="shared" si="102"/>
        <v>226</v>
      </c>
      <c r="I264" s="5">
        <f t="shared" si="102"/>
        <v>191</v>
      </c>
      <c r="J264" s="5">
        <f t="shared" si="102"/>
        <v>215</v>
      </c>
      <c r="K264" s="5">
        <f t="shared" si="102"/>
        <v>229</v>
      </c>
      <c r="L264" s="5">
        <f t="shared" si="102"/>
        <v>195</v>
      </c>
      <c r="M264" s="5">
        <f t="shared" si="102"/>
        <v>203</v>
      </c>
      <c r="N264" s="5">
        <f t="shared" si="102"/>
        <v>221</v>
      </c>
      <c r="O264" s="5">
        <f t="shared" si="102"/>
        <v>214</v>
      </c>
      <c r="P264" s="5">
        <f t="shared" si="102"/>
        <v>232</v>
      </c>
      <c r="Q264" s="5">
        <f t="shared" si="102"/>
        <v>199</v>
      </c>
      <c r="R264" s="5">
        <f t="shared" si="102"/>
        <v>213</v>
      </c>
      <c r="S264" s="5">
        <f t="shared" ref="S264:AE264" si="103">SUM(S262:S263)</f>
        <v>212</v>
      </c>
      <c r="T264" s="5">
        <f t="shared" si="103"/>
        <v>197</v>
      </c>
      <c r="U264" s="5">
        <f t="shared" si="103"/>
        <v>223</v>
      </c>
      <c r="V264" s="5">
        <f t="shared" si="103"/>
        <v>204</v>
      </c>
      <c r="W264" s="5">
        <f t="shared" si="103"/>
        <v>203</v>
      </c>
      <c r="X264" s="5">
        <f t="shared" si="103"/>
        <v>196</v>
      </c>
      <c r="Y264" s="5">
        <f t="shared" si="103"/>
        <v>223</v>
      </c>
      <c r="Z264" s="5">
        <f t="shared" si="103"/>
        <v>212</v>
      </c>
      <c r="AA264" s="5">
        <f t="shared" si="103"/>
        <v>232</v>
      </c>
      <c r="AB264" s="5">
        <f t="shared" si="103"/>
        <v>189</v>
      </c>
      <c r="AC264" s="5">
        <f t="shared" si="103"/>
        <v>218</v>
      </c>
      <c r="AD264" s="5">
        <f t="shared" si="103"/>
        <v>208</v>
      </c>
      <c r="AE264" s="5">
        <f t="shared" si="103"/>
        <v>223</v>
      </c>
      <c r="AF264" s="5">
        <f t="shared" ref="AF264:AI264" si="104">SUM(AF262:AF263)</f>
        <v>213</v>
      </c>
      <c r="AG264" s="5">
        <f t="shared" si="104"/>
        <v>226</v>
      </c>
      <c r="AH264" s="5">
        <f t="shared" si="104"/>
        <v>227</v>
      </c>
      <c r="AI264" s="5">
        <f t="shared" si="104"/>
        <v>226</v>
      </c>
      <c r="AJ264" s="5">
        <f>SUM(E264:AI264)</f>
        <v>6622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I12"/>
    <mergeCell ref="AJ12:AJ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V37"/>
    <mergeCell ref="B38:D38"/>
    <mergeCell ref="A42:D42"/>
    <mergeCell ref="E42:V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</mergeCells>
  <phoneticPr fontId="9" type="noConversion"/>
  <conditionalFormatting sqref="E14:AI15">
    <cfRule type="containsBlanks" dxfId="83" priority="22">
      <formula>LEN(TRIM(E14))=0</formula>
    </cfRule>
  </conditionalFormatting>
  <conditionalFormatting sqref="E19:AI20">
    <cfRule type="containsBlanks" dxfId="82" priority="25">
      <formula>LEN(TRIM(E19))=0</formula>
    </cfRule>
  </conditionalFormatting>
  <conditionalFormatting sqref="E22:AI23 E25:AI26 E33:AI33 E35:AI35 E39:AI40">
    <cfRule type="containsBlanks" dxfId="81" priority="26">
      <formula>LEN(TRIM(E22))=0</formula>
    </cfRule>
  </conditionalFormatting>
  <conditionalFormatting sqref="E30:AI30">
    <cfRule type="expression" dxfId="80" priority="27">
      <formula>E30&lt;&gt;E47</formula>
    </cfRule>
    <cfRule type="expression" dxfId="79" priority="28">
      <formula>E30&lt;&gt;E34</formula>
    </cfRule>
  </conditionalFormatting>
  <conditionalFormatting sqref="E34:AI34">
    <cfRule type="expression" dxfId="78" priority="23">
      <formula>E30&lt;&gt;E34</formula>
    </cfRule>
    <cfRule type="expression" dxfId="77" priority="24">
      <formula>E30=E34</formula>
    </cfRule>
    <cfRule type="expression" dxfId="76" priority="29">
      <formula>E34&lt;&gt;E30</formula>
    </cfRule>
    <cfRule type="expression" dxfId="75" priority="31">
      <formula>E34&lt;&gt;E64</formula>
    </cfRule>
  </conditionalFormatting>
  <conditionalFormatting sqref="E45:AI54">
    <cfRule type="containsBlanks" dxfId="74" priority="21">
      <formula>LEN(TRIM(E45))=0</formula>
    </cfRule>
  </conditionalFormatting>
  <conditionalFormatting sqref="E57:AI66">
    <cfRule type="containsBlanks" dxfId="73" priority="20">
      <formula>LEN(TRIM(E57))=0</formula>
    </cfRule>
  </conditionalFormatting>
  <conditionalFormatting sqref="E69:AI78">
    <cfRule type="containsBlanks" dxfId="72" priority="19">
      <formula>LEN(TRIM(E69))=0</formula>
    </cfRule>
  </conditionalFormatting>
  <conditionalFormatting sqref="E81:AI90">
    <cfRule type="containsBlanks" dxfId="71" priority="18">
      <formula>LEN(TRIM(E81))=0</formula>
    </cfRule>
  </conditionalFormatting>
  <conditionalFormatting sqref="E93:AI102">
    <cfRule type="containsBlanks" dxfId="70" priority="17">
      <formula>LEN(TRIM(E93))=0</formula>
    </cfRule>
  </conditionalFormatting>
  <conditionalFormatting sqref="E105:AI114">
    <cfRule type="containsBlanks" dxfId="69" priority="16">
      <formula>LEN(TRIM(E105))=0</formula>
    </cfRule>
  </conditionalFormatting>
  <conditionalFormatting sqref="E117:AI126">
    <cfRule type="containsBlanks" dxfId="68" priority="2">
      <formula>LEN(TRIM(E117))=0</formula>
    </cfRule>
  </conditionalFormatting>
  <conditionalFormatting sqref="E129:AI138">
    <cfRule type="containsBlanks" dxfId="67" priority="15">
      <formula>LEN(TRIM(E129))=0</formula>
    </cfRule>
  </conditionalFormatting>
  <conditionalFormatting sqref="E141:AI150">
    <cfRule type="containsBlanks" dxfId="66" priority="14">
      <formula>LEN(TRIM(E141))=0</formula>
    </cfRule>
  </conditionalFormatting>
  <conditionalFormatting sqref="E153:AI162">
    <cfRule type="containsBlanks" dxfId="65" priority="4">
      <formula>LEN(TRIM(E153))=0</formula>
    </cfRule>
  </conditionalFormatting>
  <conditionalFormatting sqref="E165:AI174">
    <cfRule type="containsBlanks" dxfId="64" priority="13">
      <formula>LEN(TRIM(E165))=0</formula>
    </cfRule>
  </conditionalFormatting>
  <conditionalFormatting sqref="E177:AI186">
    <cfRule type="containsBlanks" dxfId="63" priority="12">
      <formula>LEN(TRIM(E177))=0</formula>
    </cfRule>
  </conditionalFormatting>
  <conditionalFormatting sqref="E189:AI198">
    <cfRule type="containsBlanks" dxfId="62" priority="11">
      <formula>LEN(TRIM(E189))=0</formula>
    </cfRule>
  </conditionalFormatting>
  <conditionalFormatting sqref="E201:AI210">
    <cfRule type="containsBlanks" dxfId="61" priority="10">
      <formula>LEN(TRIM(E201))=0</formula>
    </cfRule>
  </conditionalFormatting>
  <conditionalFormatting sqref="E213:AI222">
    <cfRule type="containsBlanks" dxfId="60" priority="9">
      <formula>LEN(TRIM(E213))=0</formula>
    </cfRule>
  </conditionalFormatting>
  <conditionalFormatting sqref="E225:AI234">
    <cfRule type="containsBlanks" dxfId="59" priority="8">
      <formula>LEN(TRIM(E225))=0</formula>
    </cfRule>
  </conditionalFormatting>
  <conditionalFormatting sqref="E237:AI246">
    <cfRule type="containsBlanks" dxfId="58" priority="7">
      <formula>LEN(TRIM(E237))=0</formula>
    </cfRule>
  </conditionalFormatting>
  <conditionalFormatting sqref="E249:AI258">
    <cfRule type="containsBlanks" dxfId="57" priority="5">
      <formula>LEN(TRIM(E249))=0</formula>
    </cfRule>
  </conditionalFormatting>
  <conditionalFormatting sqref="E262:AI263">
    <cfRule type="containsBlanks" dxfId="56" priority="3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00B050"/>
  </sheetPr>
  <dimension ref="A2:AB264"/>
  <sheetViews>
    <sheetView topLeftCell="C12" zoomScale="65" zoomScaleNormal="65" workbookViewId="0">
      <pane xSplit="1" ySplit="2" topLeftCell="D14" activePane="bottomRight" state="frozen"/>
      <selection activeCell="C12" sqref="C12"/>
      <selection pane="topRight" activeCell="D12" sqref="D12"/>
      <selection pane="bottomLeft" activeCell="C14" sqref="C14"/>
      <selection pane="bottomRight" activeCell="U277" sqref="U277"/>
    </sheetView>
  </sheetViews>
  <sheetFormatPr defaultRowHeight="13"/>
  <cols>
    <col min="3" max="3" width="67.09765625" bestFit="1" customWidth="1"/>
    <col min="4" max="4" width="5.8984375" bestFit="1" customWidth="1"/>
    <col min="28" max="28" width="13.296875" customWidth="1"/>
  </cols>
  <sheetData>
    <row r="2" spans="1:28">
      <c r="C2" s="43" t="s">
        <v>98</v>
      </c>
      <c r="D2" s="43" t="s">
        <v>104</v>
      </c>
    </row>
    <row r="3" spans="1:28">
      <c r="C3" s="43" t="s">
        <v>99</v>
      </c>
      <c r="D3" s="43" t="s">
        <v>100</v>
      </c>
    </row>
    <row r="4" spans="1:28">
      <c r="C4" s="43" t="s">
        <v>101</v>
      </c>
      <c r="D4" s="43" t="s">
        <v>102</v>
      </c>
    </row>
    <row r="5" spans="1:28">
      <c r="C5" s="43"/>
      <c r="D5" s="43"/>
    </row>
    <row r="6" spans="1:28">
      <c r="C6" s="43"/>
      <c r="D6" s="43"/>
    </row>
    <row r="7" spans="1:28">
      <c r="C7" s="43"/>
      <c r="D7" s="43"/>
    </row>
    <row r="8" spans="1:28">
      <c r="C8" s="43"/>
      <c r="D8" s="43"/>
    </row>
    <row r="9" spans="1:28">
      <c r="C9" s="43" t="s">
        <v>103</v>
      </c>
      <c r="D9" s="43" t="s">
        <v>212</v>
      </c>
    </row>
    <row r="11" spans="1:28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>
      <c r="A12" s="5" t="s">
        <v>0</v>
      </c>
      <c r="B12" s="69" t="s">
        <v>1</v>
      </c>
      <c r="C12" s="82"/>
      <c r="D12" s="73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4" t="s">
        <v>97</v>
      </c>
    </row>
    <row r="13" spans="1:28">
      <c r="A13" s="6" t="s">
        <v>2</v>
      </c>
      <c r="B13" s="90" t="s">
        <v>3</v>
      </c>
      <c r="C13" s="8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5"/>
    </row>
    <row r="14" spans="1:28">
      <c r="A14" s="7"/>
      <c r="B14" s="93" t="s">
        <v>22</v>
      </c>
      <c r="C14" s="81"/>
      <c r="D14" s="6" t="s">
        <v>23</v>
      </c>
      <c r="E14" s="6">
        <v>133</v>
      </c>
      <c r="F14" s="6">
        <v>132</v>
      </c>
      <c r="G14" s="6">
        <v>142</v>
      </c>
      <c r="H14" s="6">
        <v>138</v>
      </c>
      <c r="I14" s="6">
        <v>136</v>
      </c>
      <c r="J14" s="6">
        <v>115</v>
      </c>
      <c r="K14" s="6">
        <v>118</v>
      </c>
      <c r="L14" s="6">
        <v>107</v>
      </c>
      <c r="M14" s="6">
        <v>150</v>
      </c>
      <c r="N14" s="6">
        <v>140</v>
      </c>
      <c r="O14" s="6">
        <v>90</v>
      </c>
      <c r="P14" s="6">
        <v>91</v>
      </c>
      <c r="Q14" s="6">
        <v>134</v>
      </c>
      <c r="R14" s="6">
        <v>109</v>
      </c>
      <c r="S14" s="6">
        <v>136</v>
      </c>
      <c r="T14" s="6">
        <v>100</v>
      </c>
      <c r="U14" s="6">
        <v>130</v>
      </c>
      <c r="V14" s="6">
        <v>139</v>
      </c>
      <c r="W14" s="6">
        <v>134</v>
      </c>
      <c r="X14" s="6">
        <v>135</v>
      </c>
      <c r="Y14" s="6">
        <v>123</v>
      </c>
      <c r="Z14" s="6">
        <v>149</v>
      </c>
      <c r="AA14" s="6">
        <v>143</v>
      </c>
      <c r="AB14" s="5">
        <f>SUM(E14:AA14)</f>
        <v>2924</v>
      </c>
    </row>
    <row r="15" spans="1:28">
      <c r="A15" s="7"/>
      <c r="B15" s="94"/>
      <c r="C15" s="87"/>
      <c r="D15" s="6" t="s">
        <v>24</v>
      </c>
      <c r="E15" s="6">
        <v>148</v>
      </c>
      <c r="F15" s="6">
        <v>134</v>
      </c>
      <c r="G15" s="6">
        <v>140</v>
      </c>
      <c r="H15" s="6">
        <v>136</v>
      </c>
      <c r="I15" s="6">
        <v>142</v>
      </c>
      <c r="J15" s="6">
        <v>119</v>
      </c>
      <c r="K15" s="6">
        <v>112</v>
      </c>
      <c r="L15" s="6">
        <v>104</v>
      </c>
      <c r="M15" s="6">
        <v>127</v>
      </c>
      <c r="N15" s="6">
        <v>144</v>
      </c>
      <c r="O15" s="6">
        <v>88</v>
      </c>
      <c r="P15" s="6">
        <v>85</v>
      </c>
      <c r="Q15" s="6">
        <v>119</v>
      </c>
      <c r="R15" s="6">
        <v>119</v>
      </c>
      <c r="S15" s="6">
        <v>143</v>
      </c>
      <c r="T15" s="6">
        <v>99</v>
      </c>
      <c r="U15" s="6">
        <v>146</v>
      </c>
      <c r="V15" s="6">
        <v>139</v>
      </c>
      <c r="W15" s="6">
        <v>131</v>
      </c>
      <c r="X15" s="6">
        <v>148</v>
      </c>
      <c r="Y15" s="6">
        <v>120</v>
      </c>
      <c r="Z15" s="6">
        <v>144</v>
      </c>
      <c r="AA15" s="6">
        <v>140</v>
      </c>
      <c r="AB15" s="5">
        <f>SUM(E15:AA15)</f>
        <v>2927</v>
      </c>
    </row>
    <row r="16" spans="1:28">
      <c r="A16" s="8"/>
      <c r="B16" s="92"/>
      <c r="C16" s="88"/>
      <c r="D16" s="5" t="s">
        <v>25</v>
      </c>
      <c r="E16" s="5">
        <f t="shared" ref="E16:AA16" si="0">SUM(E14:E15)</f>
        <v>281</v>
      </c>
      <c r="F16" s="5">
        <f t="shared" ref="F16:S16" si="1">SUM(F14:F15)</f>
        <v>266</v>
      </c>
      <c r="G16" s="5">
        <f t="shared" si="1"/>
        <v>282</v>
      </c>
      <c r="H16" s="5">
        <f t="shared" si="1"/>
        <v>274</v>
      </c>
      <c r="I16" s="5">
        <f t="shared" si="1"/>
        <v>278</v>
      </c>
      <c r="J16" s="5">
        <f t="shared" si="1"/>
        <v>234</v>
      </c>
      <c r="K16" s="5">
        <f t="shared" si="1"/>
        <v>230</v>
      </c>
      <c r="L16" s="5">
        <f t="shared" si="1"/>
        <v>211</v>
      </c>
      <c r="M16" s="5">
        <f t="shared" si="1"/>
        <v>277</v>
      </c>
      <c r="N16" s="5">
        <f t="shared" si="1"/>
        <v>284</v>
      </c>
      <c r="O16" s="5">
        <f t="shared" si="1"/>
        <v>178</v>
      </c>
      <c r="P16" s="5">
        <f t="shared" si="1"/>
        <v>176</v>
      </c>
      <c r="Q16" s="5">
        <f t="shared" si="1"/>
        <v>253</v>
      </c>
      <c r="R16" s="5">
        <f t="shared" si="1"/>
        <v>228</v>
      </c>
      <c r="S16" s="5">
        <f t="shared" si="1"/>
        <v>279</v>
      </c>
      <c r="T16" s="5">
        <f t="shared" si="0"/>
        <v>199</v>
      </c>
      <c r="U16" s="5">
        <f t="shared" si="0"/>
        <v>276</v>
      </c>
      <c r="V16" s="5">
        <f t="shared" si="0"/>
        <v>278</v>
      </c>
      <c r="W16" s="5">
        <f t="shared" si="0"/>
        <v>265</v>
      </c>
      <c r="X16" s="5">
        <f t="shared" si="0"/>
        <v>283</v>
      </c>
      <c r="Y16" s="5">
        <f t="shared" si="0"/>
        <v>243</v>
      </c>
      <c r="Z16" s="5">
        <f t="shared" si="0"/>
        <v>293</v>
      </c>
      <c r="AA16" s="5">
        <f t="shared" si="0"/>
        <v>283</v>
      </c>
      <c r="AB16" s="5">
        <f>SUM(E16:AA16)</f>
        <v>5851</v>
      </c>
    </row>
    <row r="17" spans="1:28">
      <c r="A17" s="74"/>
      <c r="B17" s="82"/>
      <c r="C17" s="82"/>
      <c r="D17" s="7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28"/>
    </row>
    <row r="18" spans="1:28">
      <c r="A18" s="11" t="s">
        <v>26</v>
      </c>
      <c r="B18" s="90" t="s">
        <v>27</v>
      </c>
      <c r="C18" s="82"/>
      <c r="D18" s="7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28"/>
    </row>
    <row r="19" spans="1:28">
      <c r="A19" s="11"/>
      <c r="B19" s="95" t="s">
        <v>28</v>
      </c>
      <c r="C19" s="96" t="s">
        <v>29</v>
      </c>
      <c r="D19" s="6" t="s">
        <v>23</v>
      </c>
      <c r="E19" s="6">
        <v>105</v>
      </c>
      <c r="F19" s="6">
        <v>102</v>
      </c>
      <c r="G19" s="6">
        <v>111</v>
      </c>
      <c r="H19" s="6">
        <v>105</v>
      </c>
      <c r="I19" s="6">
        <v>108</v>
      </c>
      <c r="J19" s="6">
        <v>91</v>
      </c>
      <c r="K19" s="6">
        <v>95</v>
      </c>
      <c r="L19" s="6">
        <v>80</v>
      </c>
      <c r="M19" s="6">
        <v>109</v>
      </c>
      <c r="N19" s="6">
        <v>124</v>
      </c>
      <c r="O19" s="6">
        <v>77</v>
      </c>
      <c r="P19" s="6">
        <v>80</v>
      </c>
      <c r="Q19" s="6">
        <v>100</v>
      </c>
      <c r="R19" s="6">
        <v>89</v>
      </c>
      <c r="S19" s="6">
        <v>110</v>
      </c>
      <c r="T19" s="6">
        <v>79</v>
      </c>
      <c r="U19" s="6">
        <v>106</v>
      </c>
      <c r="V19" s="6">
        <v>107</v>
      </c>
      <c r="W19" s="6">
        <v>113</v>
      </c>
      <c r="X19" s="6">
        <v>111</v>
      </c>
      <c r="Y19" s="6">
        <v>100</v>
      </c>
      <c r="Z19" s="6">
        <v>103</v>
      </c>
      <c r="AA19" s="6">
        <v>116</v>
      </c>
      <c r="AB19" s="5">
        <f t="shared" ref="AB19:AB30" si="2">SUM(E19:AA19)</f>
        <v>2321</v>
      </c>
    </row>
    <row r="20" spans="1:28">
      <c r="A20" s="12"/>
      <c r="B20" s="87"/>
      <c r="C20" s="97"/>
      <c r="D20" s="6" t="s">
        <v>24</v>
      </c>
      <c r="E20" s="6">
        <v>116</v>
      </c>
      <c r="F20" s="6">
        <v>114</v>
      </c>
      <c r="G20" s="6">
        <v>116</v>
      </c>
      <c r="H20" s="6">
        <v>105</v>
      </c>
      <c r="I20" s="6">
        <v>119</v>
      </c>
      <c r="J20" s="6">
        <v>101</v>
      </c>
      <c r="K20" s="6">
        <v>95</v>
      </c>
      <c r="L20" s="6">
        <v>87</v>
      </c>
      <c r="M20" s="6">
        <v>102</v>
      </c>
      <c r="N20" s="6">
        <v>126</v>
      </c>
      <c r="O20" s="6">
        <v>75</v>
      </c>
      <c r="P20" s="6">
        <v>75</v>
      </c>
      <c r="Q20" s="6">
        <v>93</v>
      </c>
      <c r="R20" s="6">
        <v>98</v>
      </c>
      <c r="S20" s="6">
        <v>122</v>
      </c>
      <c r="T20" s="6">
        <v>73</v>
      </c>
      <c r="U20" s="6">
        <v>125</v>
      </c>
      <c r="V20" s="6">
        <v>115</v>
      </c>
      <c r="W20" s="6">
        <v>114</v>
      </c>
      <c r="X20" s="6">
        <v>125</v>
      </c>
      <c r="Y20" s="6">
        <v>99</v>
      </c>
      <c r="Z20" s="6">
        <v>117</v>
      </c>
      <c r="AA20" s="6">
        <v>112</v>
      </c>
      <c r="AB20" s="5">
        <f t="shared" si="2"/>
        <v>2424</v>
      </c>
    </row>
    <row r="21" spans="1:28">
      <c r="A21" s="13"/>
      <c r="B21" s="88"/>
      <c r="C21" s="98"/>
      <c r="D21" s="5" t="s">
        <v>25</v>
      </c>
      <c r="E21" s="5">
        <f t="shared" ref="E21:AA21" si="3">SUM(E19:E20)</f>
        <v>221</v>
      </c>
      <c r="F21" s="5">
        <f t="shared" ref="F21:S21" si="4">SUM(F19:F20)</f>
        <v>216</v>
      </c>
      <c r="G21" s="5">
        <f t="shared" si="4"/>
        <v>227</v>
      </c>
      <c r="H21" s="5">
        <f t="shared" si="4"/>
        <v>210</v>
      </c>
      <c r="I21" s="5">
        <f t="shared" si="4"/>
        <v>227</v>
      </c>
      <c r="J21" s="5">
        <f t="shared" si="4"/>
        <v>192</v>
      </c>
      <c r="K21" s="5">
        <f t="shared" si="4"/>
        <v>190</v>
      </c>
      <c r="L21" s="5">
        <f t="shared" si="4"/>
        <v>167</v>
      </c>
      <c r="M21" s="5">
        <f t="shared" si="4"/>
        <v>211</v>
      </c>
      <c r="N21" s="5">
        <f t="shared" si="4"/>
        <v>250</v>
      </c>
      <c r="O21" s="5">
        <f t="shared" si="4"/>
        <v>152</v>
      </c>
      <c r="P21" s="5">
        <f t="shared" si="4"/>
        <v>155</v>
      </c>
      <c r="Q21" s="5">
        <f t="shared" si="4"/>
        <v>193</v>
      </c>
      <c r="R21" s="5">
        <f t="shared" si="4"/>
        <v>187</v>
      </c>
      <c r="S21" s="5">
        <f t="shared" si="4"/>
        <v>232</v>
      </c>
      <c r="T21" s="5">
        <f t="shared" si="3"/>
        <v>152</v>
      </c>
      <c r="U21" s="5">
        <f t="shared" si="3"/>
        <v>231</v>
      </c>
      <c r="V21" s="5">
        <f t="shared" si="3"/>
        <v>222</v>
      </c>
      <c r="W21" s="5">
        <f t="shared" si="3"/>
        <v>227</v>
      </c>
      <c r="X21" s="5">
        <f t="shared" si="3"/>
        <v>236</v>
      </c>
      <c r="Y21" s="5">
        <f t="shared" si="3"/>
        <v>199</v>
      </c>
      <c r="Z21" s="5">
        <f t="shared" si="3"/>
        <v>220</v>
      </c>
      <c r="AA21" s="5">
        <f t="shared" si="3"/>
        <v>228</v>
      </c>
      <c r="AB21" s="5">
        <f t="shared" si="2"/>
        <v>4745</v>
      </c>
    </row>
    <row r="22" spans="1:28">
      <c r="A22" s="12"/>
      <c r="B22" s="95" t="s">
        <v>30</v>
      </c>
      <c r="C22" s="9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5">
        <f t="shared" si="2"/>
        <v>2</v>
      </c>
    </row>
    <row r="23" spans="1:28">
      <c r="A23" s="12"/>
      <c r="B23" s="87"/>
      <c r="C23" s="97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/>
      <c r="V23" s="6"/>
      <c r="W23" s="6"/>
      <c r="X23" s="6"/>
      <c r="Y23" s="6"/>
      <c r="Z23" s="6"/>
      <c r="AA23" s="6"/>
      <c r="AB23" s="5">
        <f t="shared" si="2"/>
        <v>2</v>
      </c>
    </row>
    <row r="24" spans="1:28">
      <c r="A24" s="13"/>
      <c r="B24" s="88"/>
      <c r="C24" s="98"/>
      <c r="D24" s="5" t="s">
        <v>25</v>
      </c>
      <c r="E24" s="5">
        <f t="shared" ref="E24:AA24" si="5">SUM(E22:E23)</f>
        <v>0</v>
      </c>
      <c r="F24" s="5">
        <f t="shared" ref="F24:S24" si="6">SUM(F22:F23)</f>
        <v>1</v>
      </c>
      <c r="G24" s="5">
        <f t="shared" si="6"/>
        <v>0</v>
      </c>
      <c r="H24" s="5">
        <f t="shared" si="6"/>
        <v>3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2"/>
        <v>4</v>
      </c>
    </row>
    <row r="25" spans="1:28">
      <c r="A25" s="12"/>
      <c r="B25" s="95" t="s">
        <v>32</v>
      </c>
      <c r="C25" s="96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3</v>
      </c>
      <c r="I25" s="6">
        <v>1</v>
      </c>
      <c r="J25" s="6">
        <v>2</v>
      </c>
      <c r="K25" s="6">
        <v>2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2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1</v>
      </c>
      <c r="AA25" s="6">
        <v>0</v>
      </c>
      <c r="AB25" s="5">
        <f t="shared" si="2"/>
        <v>15</v>
      </c>
    </row>
    <row r="26" spans="1:28">
      <c r="A26" s="12"/>
      <c r="B26" s="87"/>
      <c r="C26" s="97"/>
      <c r="D26" s="6" t="s">
        <v>24</v>
      </c>
      <c r="E26" s="6">
        <v>2</v>
      </c>
      <c r="F26" s="6">
        <v>0</v>
      </c>
      <c r="G26" s="6">
        <v>2</v>
      </c>
      <c r="H26" s="6">
        <v>1</v>
      </c>
      <c r="I26" s="6">
        <v>0</v>
      </c>
      <c r="J26" s="6">
        <v>0</v>
      </c>
      <c r="K26" s="6">
        <v>3</v>
      </c>
      <c r="L26" s="6">
        <v>1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2</v>
      </c>
      <c r="S26" s="6">
        <v>0</v>
      </c>
      <c r="T26" s="6">
        <v>0</v>
      </c>
      <c r="U26" s="6">
        <v>1</v>
      </c>
      <c r="V26" s="6">
        <v>3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5">
        <f t="shared" si="2"/>
        <v>16</v>
      </c>
    </row>
    <row r="27" spans="1:28">
      <c r="A27" s="13"/>
      <c r="B27" s="88"/>
      <c r="C27" s="98"/>
      <c r="D27" s="5" t="s">
        <v>25</v>
      </c>
      <c r="E27" s="5">
        <f t="shared" ref="E27:AA27" si="7">SUM(E25:E26)</f>
        <v>2</v>
      </c>
      <c r="F27" s="5">
        <f t="shared" ref="F27:S27" si="8">SUM(F25:F26)</f>
        <v>0</v>
      </c>
      <c r="G27" s="5">
        <f t="shared" si="8"/>
        <v>2</v>
      </c>
      <c r="H27" s="5">
        <f t="shared" si="8"/>
        <v>4</v>
      </c>
      <c r="I27" s="5">
        <f t="shared" si="8"/>
        <v>1</v>
      </c>
      <c r="J27" s="5">
        <f t="shared" si="8"/>
        <v>2</v>
      </c>
      <c r="K27" s="5">
        <f t="shared" si="8"/>
        <v>5</v>
      </c>
      <c r="L27" s="5">
        <f t="shared" si="8"/>
        <v>1</v>
      </c>
      <c r="M27" s="5">
        <f t="shared" si="8"/>
        <v>0</v>
      </c>
      <c r="N27" s="5">
        <f t="shared" si="8"/>
        <v>0</v>
      </c>
      <c r="O27" s="5">
        <f t="shared" si="8"/>
        <v>2</v>
      </c>
      <c r="P27" s="5">
        <f t="shared" si="8"/>
        <v>1</v>
      </c>
      <c r="Q27" s="5">
        <f t="shared" si="8"/>
        <v>2</v>
      </c>
      <c r="R27" s="5">
        <f t="shared" si="8"/>
        <v>2</v>
      </c>
      <c r="S27" s="5">
        <f t="shared" si="8"/>
        <v>0</v>
      </c>
      <c r="T27" s="5">
        <f t="shared" si="7"/>
        <v>0</v>
      </c>
      <c r="U27" s="5">
        <f t="shared" si="7"/>
        <v>1</v>
      </c>
      <c r="V27" s="5">
        <f t="shared" si="7"/>
        <v>4</v>
      </c>
      <c r="W27" s="5">
        <f t="shared" si="7"/>
        <v>0</v>
      </c>
      <c r="X27" s="5">
        <f t="shared" si="7"/>
        <v>1</v>
      </c>
      <c r="Y27" s="5">
        <f t="shared" si="7"/>
        <v>0</v>
      </c>
      <c r="Z27" s="5">
        <f t="shared" si="7"/>
        <v>1</v>
      </c>
      <c r="AA27" s="5">
        <f t="shared" si="7"/>
        <v>0</v>
      </c>
      <c r="AB27" s="5">
        <f t="shared" si="2"/>
        <v>31</v>
      </c>
    </row>
    <row r="28" spans="1:28">
      <c r="A28" s="13"/>
      <c r="B28" s="99" t="s">
        <v>34</v>
      </c>
      <c r="C28" s="100" t="s">
        <v>35</v>
      </c>
      <c r="D28" s="5" t="s">
        <v>23</v>
      </c>
      <c r="E28" s="5">
        <f>SUM(E19,E22,E25)</f>
        <v>105</v>
      </c>
      <c r="F28" s="5">
        <f t="shared" ref="F28:S28" si="9">SUM(F19,F22,F25)</f>
        <v>102</v>
      </c>
      <c r="G28" s="5">
        <f t="shared" si="9"/>
        <v>111</v>
      </c>
      <c r="H28" s="5">
        <f t="shared" si="9"/>
        <v>110</v>
      </c>
      <c r="I28" s="5">
        <f t="shared" si="9"/>
        <v>109</v>
      </c>
      <c r="J28" s="5">
        <f t="shared" si="9"/>
        <v>93</v>
      </c>
      <c r="K28" s="5">
        <f t="shared" si="9"/>
        <v>97</v>
      </c>
      <c r="L28" s="5">
        <f t="shared" si="9"/>
        <v>80</v>
      </c>
      <c r="M28" s="5">
        <f t="shared" si="9"/>
        <v>109</v>
      </c>
      <c r="N28" s="5">
        <f t="shared" si="9"/>
        <v>124</v>
      </c>
      <c r="O28" s="5">
        <f t="shared" si="9"/>
        <v>78</v>
      </c>
      <c r="P28" s="5">
        <f t="shared" si="9"/>
        <v>81</v>
      </c>
      <c r="Q28" s="5">
        <f t="shared" si="9"/>
        <v>102</v>
      </c>
      <c r="R28" s="5">
        <f t="shared" si="9"/>
        <v>89</v>
      </c>
      <c r="S28" s="5">
        <f t="shared" si="9"/>
        <v>110</v>
      </c>
      <c r="T28" s="5">
        <f t="shared" ref="T28:AA29" si="10">SUM(T19,T22,T25)</f>
        <v>79</v>
      </c>
      <c r="U28" s="5">
        <f t="shared" si="10"/>
        <v>106</v>
      </c>
      <c r="V28" s="5">
        <f t="shared" si="10"/>
        <v>108</v>
      </c>
      <c r="W28" s="5">
        <f t="shared" si="10"/>
        <v>113</v>
      </c>
      <c r="X28" s="5">
        <f t="shared" si="10"/>
        <v>112</v>
      </c>
      <c r="Y28" s="5">
        <f t="shared" si="10"/>
        <v>100</v>
      </c>
      <c r="Z28" s="5">
        <f t="shared" si="10"/>
        <v>104</v>
      </c>
      <c r="AA28" s="5">
        <f t="shared" si="10"/>
        <v>116</v>
      </c>
      <c r="AB28" s="5">
        <f t="shared" si="2"/>
        <v>2338</v>
      </c>
    </row>
    <row r="29" spans="1:28">
      <c r="A29" s="13"/>
      <c r="B29" s="87"/>
      <c r="C29" s="97"/>
      <c r="D29" s="5" t="s">
        <v>24</v>
      </c>
      <c r="E29" s="5">
        <f>SUM(E20,E23,E26)</f>
        <v>118</v>
      </c>
      <c r="F29" s="5">
        <f t="shared" ref="F29:S29" si="11">SUM(F20,F23,F26)</f>
        <v>115</v>
      </c>
      <c r="G29" s="5">
        <f t="shared" si="11"/>
        <v>118</v>
      </c>
      <c r="H29" s="5">
        <f t="shared" si="11"/>
        <v>107</v>
      </c>
      <c r="I29" s="5">
        <f t="shared" si="11"/>
        <v>119</v>
      </c>
      <c r="J29" s="5">
        <f t="shared" si="11"/>
        <v>101</v>
      </c>
      <c r="K29" s="5">
        <f t="shared" si="11"/>
        <v>98</v>
      </c>
      <c r="L29" s="5">
        <f t="shared" si="11"/>
        <v>88</v>
      </c>
      <c r="M29" s="5">
        <f t="shared" si="11"/>
        <v>102</v>
      </c>
      <c r="N29" s="5">
        <f t="shared" si="11"/>
        <v>126</v>
      </c>
      <c r="O29" s="5">
        <f t="shared" si="11"/>
        <v>76</v>
      </c>
      <c r="P29" s="5">
        <f t="shared" si="11"/>
        <v>75</v>
      </c>
      <c r="Q29" s="5">
        <f t="shared" si="11"/>
        <v>93</v>
      </c>
      <c r="R29" s="5">
        <f t="shared" si="11"/>
        <v>100</v>
      </c>
      <c r="S29" s="5">
        <f t="shared" si="11"/>
        <v>122</v>
      </c>
      <c r="T29" s="5">
        <f t="shared" si="10"/>
        <v>73</v>
      </c>
      <c r="U29" s="5">
        <f t="shared" si="10"/>
        <v>126</v>
      </c>
      <c r="V29" s="5">
        <f t="shared" si="10"/>
        <v>118</v>
      </c>
      <c r="W29" s="5">
        <f t="shared" si="10"/>
        <v>114</v>
      </c>
      <c r="X29" s="5">
        <f t="shared" si="10"/>
        <v>125</v>
      </c>
      <c r="Y29" s="5">
        <f t="shared" si="10"/>
        <v>99</v>
      </c>
      <c r="Z29" s="5">
        <f t="shared" si="10"/>
        <v>117</v>
      </c>
      <c r="AA29" s="5">
        <f t="shared" si="10"/>
        <v>112</v>
      </c>
      <c r="AB29" s="5">
        <f t="shared" si="2"/>
        <v>2442</v>
      </c>
    </row>
    <row r="30" spans="1:28">
      <c r="A30" s="13"/>
      <c r="B30" s="88"/>
      <c r="C30" s="98"/>
      <c r="D30" s="5" t="s">
        <v>25</v>
      </c>
      <c r="E30" s="5">
        <f t="shared" ref="E30:S30" si="12">SUM(E28:E29)</f>
        <v>223</v>
      </c>
      <c r="F30" s="5">
        <f t="shared" si="12"/>
        <v>217</v>
      </c>
      <c r="G30" s="5">
        <f t="shared" si="12"/>
        <v>229</v>
      </c>
      <c r="H30" s="5">
        <f t="shared" si="12"/>
        <v>217</v>
      </c>
      <c r="I30" s="5">
        <f t="shared" si="12"/>
        <v>228</v>
      </c>
      <c r="J30" s="5">
        <f t="shared" si="12"/>
        <v>194</v>
      </c>
      <c r="K30" s="5">
        <f t="shared" si="12"/>
        <v>195</v>
      </c>
      <c r="L30" s="5">
        <f t="shared" si="12"/>
        <v>168</v>
      </c>
      <c r="M30" s="5">
        <f t="shared" si="12"/>
        <v>211</v>
      </c>
      <c r="N30" s="5">
        <f t="shared" si="12"/>
        <v>250</v>
      </c>
      <c r="O30" s="5">
        <f t="shared" si="12"/>
        <v>154</v>
      </c>
      <c r="P30" s="5">
        <f t="shared" si="12"/>
        <v>156</v>
      </c>
      <c r="Q30" s="5">
        <f t="shared" si="12"/>
        <v>195</v>
      </c>
      <c r="R30" s="5">
        <f t="shared" si="12"/>
        <v>189</v>
      </c>
      <c r="S30" s="5">
        <f t="shared" si="12"/>
        <v>232</v>
      </c>
      <c r="T30" s="5">
        <f t="shared" ref="T30:AA30" si="13">SUM(T28:T29)</f>
        <v>152</v>
      </c>
      <c r="U30" s="5">
        <f t="shared" si="13"/>
        <v>232</v>
      </c>
      <c r="V30" s="5">
        <f t="shared" si="13"/>
        <v>226</v>
      </c>
      <c r="W30" s="5">
        <f t="shared" si="13"/>
        <v>227</v>
      </c>
      <c r="X30" s="5">
        <f t="shared" si="13"/>
        <v>237</v>
      </c>
      <c r="Y30" s="5">
        <f t="shared" si="13"/>
        <v>199</v>
      </c>
      <c r="Z30" s="5">
        <f t="shared" si="13"/>
        <v>221</v>
      </c>
      <c r="AA30" s="5">
        <f t="shared" si="13"/>
        <v>228</v>
      </c>
      <c r="AB30" s="5">
        <f t="shared" si="2"/>
        <v>4780</v>
      </c>
    </row>
    <row r="31" spans="1:28">
      <c r="A31" s="74"/>
      <c r="B31" s="82"/>
      <c r="C31" s="82"/>
      <c r="D31" s="7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28"/>
    </row>
    <row r="32" spans="1:28">
      <c r="A32" s="14" t="s">
        <v>36</v>
      </c>
      <c r="B32" s="69" t="s">
        <v>37</v>
      </c>
      <c r="C32" s="82"/>
      <c r="D32" s="7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8"/>
    </row>
    <row r="33" spans="1:28">
      <c r="A33" s="6">
        <v>1</v>
      </c>
      <c r="B33" s="90" t="s">
        <v>38</v>
      </c>
      <c r="C33" s="82"/>
      <c r="D33" s="73"/>
      <c r="E33" s="6">
        <v>287</v>
      </c>
      <c r="F33" s="6">
        <v>272</v>
      </c>
      <c r="G33" s="6">
        <v>288</v>
      </c>
      <c r="H33" s="6">
        <v>280</v>
      </c>
      <c r="I33" s="6">
        <v>284</v>
      </c>
      <c r="J33" s="6">
        <v>239</v>
      </c>
      <c r="K33" s="6">
        <v>235</v>
      </c>
      <c r="L33" s="6">
        <v>217</v>
      </c>
      <c r="M33" s="6">
        <v>283</v>
      </c>
      <c r="N33" s="6">
        <v>290</v>
      </c>
      <c r="O33" s="6">
        <v>182</v>
      </c>
      <c r="P33" s="6">
        <v>180</v>
      </c>
      <c r="Q33" s="6">
        <v>259</v>
      </c>
      <c r="R33" s="6">
        <v>233</v>
      </c>
      <c r="S33" s="6">
        <v>285</v>
      </c>
      <c r="T33" s="6">
        <v>203</v>
      </c>
      <c r="U33" s="6">
        <v>282</v>
      </c>
      <c r="V33" s="6">
        <v>284</v>
      </c>
      <c r="W33" s="6">
        <v>271</v>
      </c>
      <c r="X33" s="6">
        <v>289</v>
      </c>
      <c r="Y33" s="6">
        <v>248</v>
      </c>
      <c r="Z33" s="6">
        <v>299</v>
      </c>
      <c r="AA33" s="6">
        <v>289</v>
      </c>
      <c r="AB33" s="5">
        <f>SUM(E33:AA33)</f>
        <v>5979</v>
      </c>
    </row>
    <row r="34" spans="1:28">
      <c r="A34" s="6">
        <v>2</v>
      </c>
      <c r="B34" s="90" t="s">
        <v>39</v>
      </c>
      <c r="C34" s="82"/>
      <c r="D34" s="73"/>
      <c r="E34" s="5">
        <v>223</v>
      </c>
      <c r="F34" s="5">
        <v>217</v>
      </c>
      <c r="G34" s="5">
        <v>229</v>
      </c>
      <c r="H34" s="5">
        <v>217</v>
      </c>
      <c r="I34" s="5">
        <v>228</v>
      </c>
      <c r="J34" s="5">
        <v>194</v>
      </c>
      <c r="K34" s="5">
        <v>195</v>
      </c>
      <c r="L34" s="5">
        <v>168</v>
      </c>
      <c r="M34" s="5">
        <v>211</v>
      </c>
      <c r="N34" s="5">
        <v>250</v>
      </c>
      <c r="O34" s="5">
        <v>154</v>
      </c>
      <c r="P34" s="5">
        <v>156</v>
      </c>
      <c r="Q34" s="5">
        <v>195</v>
      </c>
      <c r="R34" s="5">
        <v>189</v>
      </c>
      <c r="S34" s="5">
        <v>232</v>
      </c>
      <c r="T34" s="5">
        <v>152</v>
      </c>
      <c r="U34" s="5">
        <v>232</v>
      </c>
      <c r="V34" s="5">
        <v>226</v>
      </c>
      <c r="W34" s="5">
        <v>227</v>
      </c>
      <c r="X34" s="5">
        <v>237</v>
      </c>
      <c r="Y34" s="5">
        <v>199</v>
      </c>
      <c r="Z34" s="5">
        <v>221</v>
      </c>
      <c r="AA34" s="5">
        <v>228</v>
      </c>
      <c r="AB34" s="5">
        <f>SUM(E34:AA34)</f>
        <v>4780</v>
      </c>
    </row>
    <row r="35" spans="1:28">
      <c r="A35" s="6">
        <v>3</v>
      </c>
      <c r="B35" s="90" t="s">
        <v>40</v>
      </c>
      <c r="C35" s="82"/>
      <c r="D35" s="73"/>
      <c r="E35" s="6">
        <v>1</v>
      </c>
      <c r="F35" s="6">
        <v>1</v>
      </c>
      <c r="G35" s="6">
        <v>0</v>
      </c>
      <c r="H35" s="6">
        <v>3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1</v>
      </c>
      <c r="W35" s="6">
        <v>2</v>
      </c>
      <c r="X35" s="6">
        <v>2</v>
      </c>
      <c r="Y35" s="6">
        <v>3</v>
      </c>
      <c r="Z35" s="6">
        <v>4</v>
      </c>
      <c r="AA35" s="6">
        <v>0</v>
      </c>
      <c r="AB35" s="5">
        <f>SUM(E35:AA35)</f>
        <v>21</v>
      </c>
    </row>
    <row r="36" spans="1:28">
      <c r="A36" s="6">
        <v>4</v>
      </c>
      <c r="B36" s="90" t="s">
        <v>41</v>
      </c>
      <c r="C36" s="82"/>
      <c r="D36" s="73"/>
      <c r="E36" s="5">
        <f t="shared" ref="E36:AA36" si="14">E33-(E34+E35)</f>
        <v>63</v>
      </c>
      <c r="F36" s="5">
        <f t="shared" ref="F36:S36" si="15">F33-(F34+F35)</f>
        <v>54</v>
      </c>
      <c r="G36" s="5">
        <f t="shared" si="15"/>
        <v>59</v>
      </c>
      <c r="H36" s="5">
        <f t="shared" si="15"/>
        <v>60</v>
      </c>
      <c r="I36" s="5">
        <f t="shared" si="15"/>
        <v>55</v>
      </c>
      <c r="J36" s="5">
        <f t="shared" si="15"/>
        <v>44</v>
      </c>
      <c r="K36" s="5">
        <f t="shared" si="15"/>
        <v>40</v>
      </c>
      <c r="L36" s="5">
        <f t="shared" si="15"/>
        <v>49</v>
      </c>
      <c r="M36" s="5">
        <f t="shared" si="15"/>
        <v>72</v>
      </c>
      <c r="N36" s="5">
        <f t="shared" si="15"/>
        <v>39</v>
      </c>
      <c r="O36" s="5">
        <f t="shared" si="15"/>
        <v>28</v>
      </c>
      <c r="P36" s="5">
        <f t="shared" si="15"/>
        <v>24</v>
      </c>
      <c r="Q36" s="5">
        <f t="shared" si="15"/>
        <v>64</v>
      </c>
      <c r="R36" s="5">
        <f t="shared" si="15"/>
        <v>44</v>
      </c>
      <c r="S36" s="5">
        <f t="shared" si="15"/>
        <v>52</v>
      </c>
      <c r="T36" s="5">
        <f t="shared" si="14"/>
        <v>51</v>
      </c>
      <c r="U36" s="5">
        <f t="shared" si="14"/>
        <v>50</v>
      </c>
      <c r="V36" s="5">
        <f t="shared" si="14"/>
        <v>57</v>
      </c>
      <c r="W36" s="5">
        <f t="shared" si="14"/>
        <v>42</v>
      </c>
      <c r="X36" s="5">
        <f t="shared" si="14"/>
        <v>50</v>
      </c>
      <c r="Y36" s="5">
        <f t="shared" si="14"/>
        <v>46</v>
      </c>
      <c r="Z36" s="5">
        <f t="shared" si="14"/>
        <v>74</v>
      </c>
      <c r="AA36" s="5">
        <f t="shared" si="14"/>
        <v>61</v>
      </c>
      <c r="AB36" s="5">
        <f>SUM(E36:AA36)</f>
        <v>1178</v>
      </c>
    </row>
    <row r="37" spans="1:28">
      <c r="A37" s="74"/>
      <c r="B37" s="82"/>
      <c r="C37" s="82"/>
      <c r="D37" s="82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101"/>
      <c r="U37" s="101"/>
      <c r="V37" s="101"/>
      <c r="W37" s="106"/>
      <c r="X37" s="6"/>
      <c r="Y37" s="6"/>
      <c r="Z37" s="6"/>
      <c r="AA37" s="6"/>
      <c r="AB37" s="28"/>
    </row>
    <row r="38" spans="1:28">
      <c r="A38" s="16" t="s">
        <v>42</v>
      </c>
      <c r="B38" s="69" t="s">
        <v>43</v>
      </c>
      <c r="C38" s="82"/>
      <c r="D38" s="7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8"/>
    </row>
    <row r="39" spans="1:28">
      <c r="A39" s="11"/>
      <c r="B39" s="85" t="s">
        <v>44</v>
      </c>
      <c r="C39" s="81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/>
      <c r="U39" s="6"/>
      <c r="V39" s="6"/>
      <c r="W39" s="6"/>
      <c r="X39" s="6"/>
      <c r="Y39" s="6"/>
      <c r="Z39" s="6"/>
      <c r="AA39" s="6"/>
      <c r="AB39" s="5">
        <f>SUM(E39:AA39)</f>
        <v>2</v>
      </c>
    </row>
    <row r="40" spans="1:28">
      <c r="A40" s="12"/>
      <c r="B40" s="86"/>
      <c r="C40" s="8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/>
      <c r="V40" s="6"/>
      <c r="W40" s="6"/>
      <c r="X40" s="6"/>
      <c r="Y40" s="6"/>
      <c r="Z40" s="6"/>
      <c r="AA40" s="6"/>
      <c r="AB40" s="5">
        <f>SUM(E40:AA40)</f>
        <v>2</v>
      </c>
    </row>
    <row r="41" spans="1:28">
      <c r="A41" s="14"/>
      <c r="B41" s="84"/>
      <c r="C41" s="88"/>
      <c r="D41" s="5" t="s">
        <v>25</v>
      </c>
      <c r="E41" s="5">
        <f t="shared" ref="E41:AA41" si="16">SUM(E39:E40)</f>
        <v>0</v>
      </c>
      <c r="F41" s="5">
        <f t="shared" ref="F41:S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2</v>
      </c>
      <c r="J41" s="5">
        <f t="shared" si="17"/>
        <v>0</v>
      </c>
      <c r="K41" s="5">
        <f t="shared" si="17"/>
        <v>0</v>
      </c>
      <c r="L41" s="5">
        <f t="shared" si="17"/>
        <v>1</v>
      </c>
      <c r="M41" s="5">
        <f t="shared" si="17"/>
        <v>0</v>
      </c>
      <c r="N41" s="5">
        <f t="shared" si="17"/>
        <v>0</v>
      </c>
      <c r="O41" s="5">
        <f t="shared" si="17"/>
        <v>0</v>
      </c>
      <c r="P41" s="5">
        <f t="shared" si="17"/>
        <v>0</v>
      </c>
      <c r="Q41" s="5">
        <f t="shared" si="17"/>
        <v>0</v>
      </c>
      <c r="R41" s="5">
        <f t="shared" si="17"/>
        <v>0</v>
      </c>
      <c r="S41" s="5">
        <f t="shared" si="17"/>
        <v>1</v>
      </c>
      <c r="T41" s="5">
        <f t="shared" si="16"/>
        <v>0</v>
      </c>
      <c r="U41" s="5">
        <f t="shared" si="16"/>
        <v>0</v>
      </c>
      <c r="V41" s="5">
        <f t="shared" si="16"/>
        <v>0</v>
      </c>
      <c r="W41" s="5">
        <f t="shared" si="16"/>
        <v>0</v>
      </c>
      <c r="X41" s="5">
        <f t="shared" si="16"/>
        <v>0</v>
      </c>
      <c r="Y41" s="5">
        <f t="shared" si="16"/>
        <v>0</v>
      </c>
      <c r="Z41" s="5">
        <f t="shared" si="16"/>
        <v>0</v>
      </c>
      <c r="AA41" s="5">
        <f t="shared" si="16"/>
        <v>0</v>
      </c>
      <c r="AB41" s="5">
        <f>SUM(E41:AA41)</f>
        <v>4</v>
      </c>
    </row>
    <row r="42" spans="1:28">
      <c r="A42" s="83"/>
      <c r="B42" s="84"/>
      <c r="C42" s="84"/>
      <c r="D42" s="88"/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82"/>
      <c r="U42" s="82"/>
      <c r="V42" s="82"/>
      <c r="W42" s="73"/>
      <c r="X42" s="6"/>
      <c r="Y42" s="6"/>
      <c r="Z42" s="6"/>
      <c r="AA42" s="6"/>
      <c r="AB42" s="5"/>
    </row>
    <row r="43" spans="1:28" ht="13.15" customHeight="1">
      <c r="A43" s="16" t="s">
        <v>45</v>
      </c>
      <c r="B43" s="69" t="s">
        <v>46</v>
      </c>
      <c r="C43" s="82"/>
      <c r="D43" s="73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3.15" customHeight="1">
      <c r="A44" s="85" t="s">
        <v>47</v>
      </c>
      <c r="B44" s="89"/>
      <c r="C44" s="89"/>
      <c r="D44" s="81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5"/>
    </row>
    <row r="45" spans="1:28">
      <c r="A45" s="11" t="s">
        <v>48</v>
      </c>
      <c r="B45" s="17" t="s">
        <v>28</v>
      </c>
      <c r="C45" s="72" t="s">
        <v>49</v>
      </c>
      <c r="D45" s="73"/>
      <c r="E45" s="6">
        <v>1</v>
      </c>
      <c r="F45" s="6">
        <v>3</v>
      </c>
      <c r="G45" s="6">
        <v>6</v>
      </c>
      <c r="H45" s="6">
        <v>5</v>
      </c>
      <c r="I45" s="6">
        <v>0</v>
      </c>
      <c r="J45" s="6">
        <v>2</v>
      </c>
      <c r="K45" s="6">
        <v>1</v>
      </c>
      <c r="L45" s="6">
        <v>1</v>
      </c>
      <c r="M45" s="6">
        <v>1</v>
      </c>
      <c r="N45" s="6">
        <v>4</v>
      </c>
      <c r="O45" s="6">
        <v>0</v>
      </c>
      <c r="P45" s="6">
        <v>0</v>
      </c>
      <c r="Q45" s="6">
        <v>4</v>
      </c>
      <c r="R45" s="6">
        <v>2</v>
      </c>
      <c r="S45" s="6">
        <v>3</v>
      </c>
      <c r="T45" s="6">
        <v>2</v>
      </c>
      <c r="U45" s="6">
        <v>4</v>
      </c>
      <c r="V45" s="6">
        <v>0</v>
      </c>
      <c r="W45" s="6">
        <v>3</v>
      </c>
      <c r="X45" s="6">
        <v>5</v>
      </c>
      <c r="Y45" s="6">
        <v>6</v>
      </c>
      <c r="Z45" s="6">
        <v>2</v>
      </c>
      <c r="AA45" s="6">
        <v>1</v>
      </c>
      <c r="AB45" s="5">
        <f t="shared" ref="AB45:AB54" si="18">SUM(E45:AA45)</f>
        <v>56</v>
      </c>
    </row>
    <row r="46" spans="1:28">
      <c r="A46" s="11" t="s">
        <v>50</v>
      </c>
      <c r="B46" s="50"/>
      <c r="C46" s="24" t="s">
        <v>105</v>
      </c>
      <c r="D46" s="51"/>
      <c r="E46" s="6">
        <v>4</v>
      </c>
      <c r="F46" s="6">
        <v>7</v>
      </c>
      <c r="G46" s="6">
        <v>5</v>
      </c>
      <c r="H46" s="6">
        <v>3</v>
      </c>
      <c r="I46" s="6">
        <v>1</v>
      </c>
      <c r="J46" s="6">
        <v>0</v>
      </c>
      <c r="K46" s="6">
        <v>0</v>
      </c>
      <c r="L46" s="6">
        <v>6</v>
      </c>
      <c r="M46" s="6">
        <v>4</v>
      </c>
      <c r="N46" s="6">
        <v>0</v>
      </c>
      <c r="O46" s="6">
        <v>1</v>
      </c>
      <c r="P46" s="6">
        <v>0</v>
      </c>
      <c r="Q46" s="6">
        <v>4</v>
      </c>
      <c r="R46" s="6">
        <v>5</v>
      </c>
      <c r="S46" s="6">
        <v>7</v>
      </c>
      <c r="T46" s="6">
        <v>2</v>
      </c>
      <c r="U46" s="6">
        <v>4</v>
      </c>
      <c r="V46" s="6">
        <v>1</v>
      </c>
      <c r="W46" s="6">
        <v>0</v>
      </c>
      <c r="X46" s="6">
        <v>0</v>
      </c>
      <c r="Y46" s="6">
        <v>0</v>
      </c>
      <c r="Z46" s="6">
        <v>3</v>
      </c>
      <c r="AA46" s="6">
        <v>0</v>
      </c>
      <c r="AB46" s="5">
        <f t="shared" si="18"/>
        <v>57</v>
      </c>
    </row>
    <row r="47" spans="1:28">
      <c r="A47" s="7"/>
      <c r="B47" s="50"/>
      <c r="C47" s="24" t="s">
        <v>106</v>
      </c>
      <c r="D47" s="51"/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>
        <v>0</v>
      </c>
      <c r="Q47" s="6">
        <v>1</v>
      </c>
      <c r="R47" s="6">
        <v>0</v>
      </c>
      <c r="S47" s="6">
        <v>0</v>
      </c>
      <c r="T47" s="6">
        <v>2</v>
      </c>
      <c r="U47" s="6">
        <v>2</v>
      </c>
      <c r="V47" s="6">
        <v>1</v>
      </c>
      <c r="W47" s="6">
        <v>7</v>
      </c>
      <c r="X47" s="6">
        <v>11</v>
      </c>
      <c r="Y47" s="6">
        <v>2</v>
      </c>
      <c r="Z47" s="6">
        <v>12</v>
      </c>
      <c r="AA47" s="6">
        <v>18</v>
      </c>
      <c r="AB47" s="5">
        <f t="shared" si="18"/>
        <v>59</v>
      </c>
    </row>
    <row r="48" spans="1:28">
      <c r="A48" s="7"/>
      <c r="B48" s="50"/>
      <c r="C48" s="24" t="s">
        <v>107</v>
      </c>
      <c r="D48" s="51"/>
      <c r="E48" s="6">
        <v>2</v>
      </c>
      <c r="F48" s="6">
        <v>1</v>
      </c>
      <c r="G48" s="6">
        <v>0</v>
      </c>
      <c r="H48" s="6">
        <v>1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5">
        <f t="shared" si="18"/>
        <v>9</v>
      </c>
    </row>
    <row r="49" spans="1:28">
      <c r="A49" s="7"/>
      <c r="B49" s="50"/>
      <c r="C49" s="24" t="s">
        <v>108</v>
      </c>
      <c r="D49" s="51"/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4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5">
        <f t="shared" si="18"/>
        <v>7</v>
      </c>
    </row>
    <row r="50" spans="1:28">
      <c r="A50" s="7"/>
      <c r="B50" s="50"/>
      <c r="C50" s="24" t="s">
        <v>109</v>
      </c>
      <c r="D50" s="51"/>
      <c r="E50" s="6">
        <v>31</v>
      </c>
      <c r="F50" s="6">
        <v>18</v>
      </c>
      <c r="G50" s="6">
        <v>5</v>
      </c>
      <c r="H50" s="6">
        <v>5</v>
      </c>
      <c r="I50" s="6">
        <v>3</v>
      </c>
      <c r="J50" s="6">
        <v>3</v>
      </c>
      <c r="K50" s="6">
        <v>1</v>
      </c>
      <c r="L50" s="6">
        <v>6</v>
      </c>
      <c r="M50" s="6">
        <v>3</v>
      </c>
      <c r="N50" s="6">
        <v>3</v>
      </c>
      <c r="O50" s="6">
        <v>2</v>
      </c>
      <c r="P50" s="6">
        <v>1</v>
      </c>
      <c r="Q50" s="6">
        <v>7</v>
      </c>
      <c r="R50" s="6">
        <v>5</v>
      </c>
      <c r="S50" s="6">
        <v>0</v>
      </c>
      <c r="T50" s="6">
        <v>3</v>
      </c>
      <c r="U50" s="6">
        <v>0</v>
      </c>
      <c r="V50" s="6">
        <v>1</v>
      </c>
      <c r="W50" s="6">
        <v>0</v>
      </c>
      <c r="X50" s="6">
        <v>2</v>
      </c>
      <c r="Y50" s="6">
        <v>2</v>
      </c>
      <c r="Z50" s="6">
        <v>2</v>
      </c>
      <c r="AA50" s="6">
        <v>1</v>
      </c>
      <c r="AB50" s="5">
        <f t="shared" si="18"/>
        <v>104</v>
      </c>
    </row>
    <row r="51" spans="1:28">
      <c r="A51" s="7"/>
      <c r="B51" s="50"/>
      <c r="C51" s="24" t="s">
        <v>110</v>
      </c>
      <c r="D51" s="51"/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5">
        <f t="shared" si="18"/>
        <v>2</v>
      </c>
    </row>
    <row r="52" spans="1:28" ht="13.15" customHeight="1">
      <c r="A52" s="7"/>
      <c r="B52" s="50"/>
      <c r="C52" s="24" t="s">
        <v>111</v>
      </c>
      <c r="D52" s="51"/>
      <c r="E52" s="6">
        <v>1</v>
      </c>
      <c r="F52" s="6">
        <v>0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4</v>
      </c>
      <c r="M52" s="6">
        <v>0</v>
      </c>
      <c r="N52" s="6">
        <v>1</v>
      </c>
      <c r="O52" s="6">
        <v>3</v>
      </c>
      <c r="P52" s="6">
        <v>0</v>
      </c>
      <c r="Q52" s="6">
        <v>1</v>
      </c>
      <c r="R52" s="6">
        <v>0</v>
      </c>
      <c r="S52" s="6">
        <v>2</v>
      </c>
      <c r="T52" s="6">
        <v>0</v>
      </c>
      <c r="U52" s="6">
        <v>2</v>
      </c>
      <c r="V52" s="6">
        <v>1</v>
      </c>
      <c r="W52" s="6">
        <v>1</v>
      </c>
      <c r="X52" s="6">
        <v>0</v>
      </c>
      <c r="Y52" s="6">
        <v>2</v>
      </c>
      <c r="Z52" s="6">
        <v>3</v>
      </c>
      <c r="AA52" s="6">
        <v>1</v>
      </c>
      <c r="AB52" s="5">
        <f t="shared" si="18"/>
        <v>23</v>
      </c>
    </row>
    <row r="53" spans="1:28" ht="13.15" customHeight="1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5">
        <f t="shared" si="18"/>
        <v>0</v>
      </c>
    </row>
    <row r="54" spans="1:28" ht="13.15" customHeight="1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5">
        <f t="shared" si="18"/>
        <v>0</v>
      </c>
    </row>
    <row r="55" spans="1:28">
      <c r="A55" s="6" t="s">
        <v>26</v>
      </c>
      <c r="B55" s="66" t="s">
        <v>51</v>
      </c>
      <c r="C55" s="82"/>
      <c r="D55" s="73"/>
      <c r="E55" s="5">
        <f>SUM(E45:E54)</f>
        <v>40</v>
      </c>
      <c r="F55" s="5">
        <f t="shared" ref="F55:S55" si="19">SUM(F45:F54)</f>
        <v>30</v>
      </c>
      <c r="G55" s="5">
        <f t="shared" si="19"/>
        <v>18</v>
      </c>
      <c r="H55" s="5">
        <f t="shared" si="19"/>
        <v>15</v>
      </c>
      <c r="I55" s="5">
        <f t="shared" si="19"/>
        <v>4</v>
      </c>
      <c r="J55" s="5">
        <f t="shared" si="19"/>
        <v>6</v>
      </c>
      <c r="K55" s="5">
        <f t="shared" si="19"/>
        <v>2</v>
      </c>
      <c r="L55" s="5">
        <f t="shared" si="19"/>
        <v>18</v>
      </c>
      <c r="M55" s="5">
        <f t="shared" si="19"/>
        <v>9</v>
      </c>
      <c r="N55" s="5">
        <f t="shared" si="19"/>
        <v>10</v>
      </c>
      <c r="O55" s="5">
        <f t="shared" si="19"/>
        <v>6</v>
      </c>
      <c r="P55" s="5">
        <f t="shared" si="19"/>
        <v>1</v>
      </c>
      <c r="Q55" s="5">
        <f t="shared" si="19"/>
        <v>17</v>
      </c>
      <c r="R55" s="5">
        <f t="shared" si="19"/>
        <v>12</v>
      </c>
      <c r="S55" s="5">
        <f t="shared" si="19"/>
        <v>13</v>
      </c>
      <c r="T55" s="5">
        <f t="shared" ref="T55:AB55" si="20">SUM(T45:T54)</f>
        <v>13</v>
      </c>
      <c r="U55" s="5">
        <f t="shared" si="20"/>
        <v>15</v>
      </c>
      <c r="V55" s="5">
        <f t="shared" si="20"/>
        <v>4</v>
      </c>
      <c r="W55" s="5">
        <f t="shared" si="20"/>
        <v>11</v>
      </c>
      <c r="X55" s="5">
        <f t="shared" si="20"/>
        <v>18</v>
      </c>
      <c r="Y55" s="5">
        <f t="shared" si="20"/>
        <v>12</v>
      </c>
      <c r="Z55" s="5">
        <f t="shared" si="20"/>
        <v>22</v>
      </c>
      <c r="AA55" s="5">
        <f t="shared" si="20"/>
        <v>21</v>
      </c>
      <c r="AB55" s="5">
        <f t="shared" si="20"/>
        <v>317</v>
      </c>
    </row>
    <row r="56" spans="1:28">
      <c r="A56" s="83"/>
      <c r="B56" s="84"/>
      <c r="C56" s="84"/>
      <c r="D56" s="84"/>
      <c r="E56" s="84"/>
      <c r="AB56" s="5"/>
    </row>
    <row r="57" spans="1:28">
      <c r="A57" s="11" t="s">
        <v>48</v>
      </c>
      <c r="B57" s="17" t="s">
        <v>30</v>
      </c>
      <c r="C57" s="72" t="s">
        <v>52</v>
      </c>
      <c r="D57" s="73"/>
      <c r="E57" s="6">
        <v>3</v>
      </c>
      <c r="F57" s="6">
        <v>2</v>
      </c>
      <c r="G57" s="6">
        <v>6</v>
      </c>
      <c r="H57" s="6">
        <v>0</v>
      </c>
      <c r="I57" s="6">
        <v>1</v>
      </c>
      <c r="J57" s="6">
        <v>2</v>
      </c>
      <c r="K57" s="6">
        <v>3</v>
      </c>
      <c r="L57" s="6">
        <v>1</v>
      </c>
      <c r="M57" s="6">
        <v>3</v>
      </c>
      <c r="N57" s="6">
        <v>3</v>
      </c>
      <c r="O57" s="6">
        <v>0</v>
      </c>
      <c r="P57" s="6">
        <v>1</v>
      </c>
      <c r="Q57" s="6">
        <v>4</v>
      </c>
      <c r="R57" s="6">
        <v>3</v>
      </c>
      <c r="S57" s="6">
        <v>1</v>
      </c>
      <c r="T57" s="6">
        <v>1</v>
      </c>
      <c r="U57" s="6">
        <v>1</v>
      </c>
      <c r="V57" s="6">
        <v>2</v>
      </c>
      <c r="W57" s="6">
        <v>4</v>
      </c>
      <c r="X57" s="6">
        <v>8</v>
      </c>
      <c r="Y57" s="6">
        <v>5</v>
      </c>
      <c r="Z57" s="6">
        <v>3</v>
      </c>
      <c r="AA57" s="6">
        <v>4</v>
      </c>
      <c r="AB57" s="5">
        <f t="shared" ref="AB57:AB66" si="21">SUM(E57:AA57)</f>
        <v>61</v>
      </c>
    </row>
    <row r="58" spans="1:28">
      <c r="A58" s="11" t="s">
        <v>50</v>
      </c>
      <c r="B58" s="50"/>
      <c r="C58" s="24" t="s">
        <v>112</v>
      </c>
      <c r="D58" s="51"/>
      <c r="E58" s="6">
        <v>2</v>
      </c>
      <c r="F58" s="6">
        <v>2</v>
      </c>
      <c r="G58" s="6">
        <v>4</v>
      </c>
      <c r="H58" s="6">
        <v>3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2</v>
      </c>
      <c r="O58" s="6">
        <v>0</v>
      </c>
      <c r="P58" s="6">
        <v>0</v>
      </c>
      <c r="Q58" s="6">
        <v>0</v>
      </c>
      <c r="R58" s="6">
        <v>1</v>
      </c>
      <c r="S58" s="6">
        <v>0</v>
      </c>
      <c r="T58" s="6">
        <v>2</v>
      </c>
      <c r="U58" s="6">
        <v>1</v>
      </c>
      <c r="V58" s="6">
        <v>1</v>
      </c>
      <c r="W58" s="6">
        <v>1</v>
      </c>
      <c r="X58" s="6">
        <v>1</v>
      </c>
      <c r="Y58" s="6">
        <v>0</v>
      </c>
      <c r="Z58" s="6">
        <v>5</v>
      </c>
      <c r="AA58" s="6">
        <v>1</v>
      </c>
      <c r="AB58" s="5">
        <f t="shared" si="21"/>
        <v>27</v>
      </c>
    </row>
    <row r="59" spans="1:28">
      <c r="A59" s="7"/>
      <c r="B59" s="50"/>
      <c r="C59" s="24" t="s">
        <v>113</v>
      </c>
      <c r="D59" s="51"/>
      <c r="E59" s="6">
        <v>3</v>
      </c>
      <c r="F59" s="6">
        <v>3</v>
      </c>
      <c r="G59" s="6">
        <v>1</v>
      </c>
      <c r="H59" s="6">
        <v>3</v>
      </c>
      <c r="I59" s="6">
        <v>3</v>
      </c>
      <c r="J59" s="6">
        <v>3</v>
      </c>
      <c r="K59" s="6">
        <v>2</v>
      </c>
      <c r="L59" s="6">
        <v>0</v>
      </c>
      <c r="M59" s="6">
        <v>2</v>
      </c>
      <c r="N59" s="6">
        <v>8</v>
      </c>
      <c r="O59" s="6">
        <v>4</v>
      </c>
      <c r="P59" s="6">
        <v>1</v>
      </c>
      <c r="Q59" s="6">
        <v>0</v>
      </c>
      <c r="R59" s="6">
        <v>1</v>
      </c>
      <c r="S59" s="6">
        <v>2</v>
      </c>
      <c r="T59" s="6">
        <v>1</v>
      </c>
      <c r="U59" s="6">
        <v>3</v>
      </c>
      <c r="V59" s="6">
        <v>0</v>
      </c>
      <c r="W59" s="6">
        <v>4</v>
      </c>
      <c r="X59" s="6">
        <v>4</v>
      </c>
      <c r="Y59" s="6">
        <v>3</v>
      </c>
      <c r="Z59" s="6">
        <v>5</v>
      </c>
      <c r="AA59" s="6">
        <v>14</v>
      </c>
      <c r="AB59" s="5">
        <f t="shared" si="21"/>
        <v>70</v>
      </c>
    </row>
    <row r="60" spans="1:28">
      <c r="A60" s="7"/>
      <c r="B60" s="50"/>
      <c r="C60" s="24" t="s">
        <v>114</v>
      </c>
      <c r="D60" s="51"/>
      <c r="E60" s="6">
        <v>1</v>
      </c>
      <c r="F60" s="6">
        <v>0</v>
      </c>
      <c r="G60" s="6">
        <v>1</v>
      </c>
      <c r="H60" s="6">
        <v>1</v>
      </c>
      <c r="I60" s="6">
        <v>0</v>
      </c>
      <c r="J60" s="6">
        <v>1</v>
      </c>
      <c r="K60" s="6">
        <v>1</v>
      </c>
      <c r="L60" s="6">
        <v>2</v>
      </c>
      <c r="M60" s="6">
        <v>2</v>
      </c>
      <c r="N60" s="6">
        <v>3</v>
      </c>
      <c r="O60" s="6">
        <v>1</v>
      </c>
      <c r="P60" s="6">
        <v>0</v>
      </c>
      <c r="Q60" s="6">
        <v>0</v>
      </c>
      <c r="R60" s="6">
        <v>5</v>
      </c>
      <c r="S60" s="6">
        <v>1</v>
      </c>
      <c r="T60" s="6">
        <v>5</v>
      </c>
      <c r="U60" s="6">
        <v>21</v>
      </c>
      <c r="V60" s="6">
        <v>12</v>
      </c>
      <c r="W60" s="6">
        <v>4</v>
      </c>
      <c r="X60" s="6">
        <v>1</v>
      </c>
      <c r="Y60" s="6">
        <v>3</v>
      </c>
      <c r="Z60" s="6">
        <v>5</v>
      </c>
      <c r="AA60" s="6">
        <v>1</v>
      </c>
      <c r="AB60" s="5">
        <f t="shared" si="21"/>
        <v>71</v>
      </c>
    </row>
    <row r="61" spans="1:28">
      <c r="A61" s="7"/>
      <c r="B61" s="50"/>
      <c r="C61" s="24" t="s">
        <v>115</v>
      </c>
      <c r="D61" s="51"/>
      <c r="E61" s="6">
        <v>0</v>
      </c>
      <c r="F61" s="6">
        <v>1</v>
      </c>
      <c r="G61" s="6">
        <v>1</v>
      </c>
      <c r="H61" s="6">
        <v>0</v>
      </c>
      <c r="I61" s="6">
        <v>0</v>
      </c>
      <c r="J61" s="6">
        <v>2</v>
      </c>
      <c r="K61" s="6">
        <v>0</v>
      </c>
      <c r="L61" s="6">
        <v>0</v>
      </c>
      <c r="M61" s="6">
        <v>1</v>
      </c>
      <c r="N61" s="6">
        <v>1</v>
      </c>
      <c r="O61" s="6">
        <v>1</v>
      </c>
      <c r="P61" s="6">
        <v>0</v>
      </c>
      <c r="Q61" s="6">
        <v>0</v>
      </c>
      <c r="R61" s="6">
        <v>1</v>
      </c>
      <c r="S61" s="6">
        <v>0</v>
      </c>
      <c r="T61" s="6">
        <v>2</v>
      </c>
      <c r="U61" s="6">
        <v>2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5">
        <f t="shared" si="21"/>
        <v>12</v>
      </c>
    </row>
    <row r="62" spans="1:28">
      <c r="A62" s="7"/>
      <c r="B62" s="50"/>
      <c r="C62" s="24" t="s">
        <v>116</v>
      </c>
      <c r="D62" s="51"/>
      <c r="E62" s="6">
        <v>1</v>
      </c>
      <c r="F62" s="6">
        <v>0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2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5">
        <f t="shared" si="21"/>
        <v>5</v>
      </c>
    </row>
    <row r="63" spans="1:28" ht="13.15" customHeight="1">
      <c r="A63" s="7"/>
      <c r="B63" s="50"/>
      <c r="C63" s="24" t="s">
        <v>117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5">
        <f t="shared" si="21"/>
        <v>0</v>
      </c>
    </row>
    <row r="64" spans="1:28">
      <c r="A64" s="7"/>
      <c r="B64" s="50"/>
      <c r="C64" s="24" t="s">
        <v>118</v>
      </c>
      <c r="D64" s="51"/>
      <c r="E64" s="6">
        <v>1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1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5">
        <f t="shared" si="21"/>
        <v>4</v>
      </c>
    </row>
    <row r="65" spans="1:28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>
        <f t="shared" si="21"/>
        <v>0</v>
      </c>
    </row>
    <row r="66" spans="1:28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>
        <f t="shared" si="21"/>
        <v>0</v>
      </c>
    </row>
    <row r="67" spans="1:28">
      <c r="A67" s="6" t="s">
        <v>26</v>
      </c>
      <c r="B67" s="66" t="s">
        <v>51</v>
      </c>
      <c r="C67" s="82"/>
      <c r="D67" s="73"/>
      <c r="E67" s="5">
        <f t="shared" ref="E67:AB67" si="22">SUM(E57:E66)</f>
        <v>11</v>
      </c>
      <c r="F67" s="5">
        <f t="shared" ref="F67:S67" si="23">SUM(F57:F66)</f>
        <v>8</v>
      </c>
      <c r="G67" s="5">
        <f t="shared" si="23"/>
        <v>13</v>
      </c>
      <c r="H67" s="5">
        <f t="shared" si="23"/>
        <v>8</v>
      </c>
      <c r="I67" s="5">
        <f t="shared" si="23"/>
        <v>5</v>
      </c>
      <c r="J67" s="5">
        <f t="shared" si="23"/>
        <v>8</v>
      </c>
      <c r="K67" s="5">
        <f t="shared" si="23"/>
        <v>6</v>
      </c>
      <c r="L67" s="5">
        <f t="shared" si="23"/>
        <v>4</v>
      </c>
      <c r="M67" s="5">
        <f t="shared" si="23"/>
        <v>11</v>
      </c>
      <c r="N67" s="5">
        <f t="shared" si="23"/>
        <v>18</v>
      </c>
      <c r="O67" s="5">
        <f t="shared" si="23"/>
        <v>6</v>
      </c>
      <c r="P67" s="5">
        <f t="shared" si="23"/>
        <v>2</v>
      </c>
      <c r="Q67" s="5">
        <f t="shared" si="23"/>
        <v>4</v>
      </c>
      <c r="R67" s="5">
        <f t="shared" si="23"/>
        <v>11</v>
      </c>
      <c r="S67" s="5">
        <f t="shared" si="23"/>
        <v>4</v>
      </c>
      <c r="T67" s="5">
        <f t="shared" si="22"/>
        <v>11</v>
      </c>
      <c r="U67" s="5">
        <f t="shared" si="22"/>
        <v>28</v>
      </c>
      <c r="V67" s="5">
        <f t="shared" si="22"/>
        <v>15</v>
      </c>
      <c r="W67" s="5">
        <f t="shared" si="22"/>
        <v>13</v>
      </c>
      <c r="X67" s="5">
        <f t="shared" si="22"/>
        <v>15</v>
      </c>
      <c r="Y67" s="5">
        <f t="shared" si="22"/>
        <v>11</v>
      </c>
      <c r="Z67" s="5">
        <f t="shared" si="22"/>
        <v>18</v>
      </c>
      <c r="AA67" s="5">
        <f t="shared" si="22"/>
        <v>20</v>
      </c>
      <c r="AB67" s="5">
        <f t="shared" si="22"/>
        <v>250</v>
      </c>
    </row>
    <row r="68" spans="1:28">
      <c r="A68" s="83"/>
      <c r="B68" s="84"/>
      <c r="C68" s="84"/>
      <c r="D68" s="84"/>
      <c r="E68" s="84"/>
    </row>
    <row r="69" spans="1:28">
      <c r="A69" s="11" t="s">
        <v>48</v>
      </c>
      <c r="B69" s="17" t="s">
        <v>32</v>
      </c>
      <c r="C69" s="72" t="s">
        <v>53</v>
      </c>
      <c r="D69" s="73"/>
      <c r="E69" s="6">
        <v>7</v>
      </c>
      <c r="F69" s="6">
        <v>8</v>
      </c>
      <c r="G69" s="6">
        <v>6</v>
      </c>
      <c r="H69" s="6">
        <v>5</v>
      </c>
      <c r="I69" s="6">
        <v>8</v>
      </c>
      <c r="J69" s="6">
        <v>7</v>
      </c>
      <c r="K69" s="6">
        <v>3</v>
      </c>
      <c r="L69" s="6">
        <v>3</v>
      </c>
      <c r="M69" s="6">
        <v>7</v>
      </c>
      <c r="N69" s="6">
        <v>7</v>
      </c>
      <c r="O69" s="6">
        <v>2</v>
      </c>
      <c r="P69" s="6">
        <v>2</v>
      </c>
      <c r="Q69" s="6">
        <v>5</v>
      </c>
      <c r="R69" s="6">
        <v>1</v>
      </c>
      <c r="S69" s="6">
        <v>4</v>
      </c>
      <c r="T69" s="6">
        <v>3</v>
      </c>
      <c r="U69" s="6">
        <v>2</v>
      </c>
      <c r="V69" s="6">
        <v>14</v>
      </c>
      <c r="W69" s="6">
        <v>11</v>
      </c>
      <c r="X69" s="6">
        <v>18</v>
      </c>
      <c r="Y69" s="6">
        <v>10</v>
      </c>
      <c r="Z69" s="6">
        <v>17</v>
      </c>
      <c r="AA69" s="6">
        <v>8</v>
      </c>
      <c r="AB69" s="5">
        <f t="shared" ref="AB69:AB78" si="24">SUM(E69:AA69)</f>
        <v>158</v>
      </c>
    </row>
    <row r="70" spans="1:28">
      <c r="A70" s="11" t="s">
        <v>50</v>
      </c>
      <c r="B70" s="50"/>
      <c r="C70" s="24" t="s">
        <v>119</v>
      </c>
      <c r="D70" s="51"/>
      <c r="E70" s="6">
        <v>2</v>
      </c>
      <c r="F70" s="6">
        <v>0</v>
      </c>
      <c r="G70" s="6">
        <v>1</v>
      </c>
      <c r="H70" s="6">
        <v>1</v>
      </c>
      <c r="I70" s="6">
        <v>3</v>
      </c>
      <c r="J70" s="6">
        <v>1</v>
      </c>
      <c r="K70" s="6">
        <v>7</v>
      </c>
      <c r="L70" s="6">
        <v>4</v>
      </c>
      <c r="M70" s="6">
        <v>11</v>
      </c>
      <c r="N70" s="6">
        <v>41</v>
      </c>
      <c r="O70" s="6">
        <v>10</v>
      </c>
      <c r="P70" s="6">
        <v>4</v>
      </c>
      <c r="Q70" s="6">
        <v>5</v>
      </c>
      <c r="R70" s="6">
        <v>4</v>
      </c>
      <c r="S70" s="6">
        <v>4</v>
      </c>
      <c r="T70" s="6">
        <v>7</v>
      </c>
      <c r="U70" s="6">
        <v>13</v>
      </c>
      <c r="V70" s="6">
        <v>121</v>
      </c>
      <c r="W70" s="6">
        <v>124</v>
      </c>
      <c r="X70" s="6">
        <v>123</v>
      </c>
      <c r="Y70" s="6">
        <v>107</v>
      </c>
      <c r="Z70" s="6">
        <v>120</v>
      </c>
      <c r="AA70" s="6">
        <v>133</v>
      </c>
      <c r="AB70" s="5">
        <f t="shared" si="24"/>
        <v>846</v>
      </c>
    </row>
    <row r="71" spans="1:28">
      <c r="A71" s="7"/>
      <c r="B71" s="50"/>
      <c r="C71" s="24" t="s">
        <v>120</v>
      </c>
      <c r="D71" s="51"/>
      <c r="E71" s="6">
        <v>1</v>
      </c>
      <c r="F71" s="6">
        <v>0</v>
      </c>
      <c r="G71" s="6">
        <v>1</v>
      </c>
      <c r="H71" s="6">
        <v>1</v>
      </c>
      <c r="I71" s="6">
        <v>0</v>
      </c>
      <c r="J71" s="6">
        <v>1</v>
      </c>
      <c r="K71" s="6">
        <v>4</v>
      </c>
      <c r="L71" s="6">
        <v>0</v>
      </c>
      <c r="M71" s="6">
        <v>11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1</v>
      </c>
      <c r="T71" s="6">
        <v>1</v>
      </c>
      <c r="U71" s="6">
        <v>0</v>
      </c>
      <c r="V71" s="6">
        <v>1</v>
      </c>
      <c r="W71" s="6">
        <v>1</v>
      </c>
      <c r="X71" s="6">
        <v>3</v>
      </c>
      <c r="Y71" s="6">
        <v>1</v>
      </c>
      <c r="Z71" s="6">
        <v>1</v>
      </c>
      <c r="AA71" s="6">
        <v>0</v>
      </c>
      <c r="AB71" s="5">
        <f t="shared" si="24"/>
        <v>29</v>
      </c>
    </row>
    <row r="72" spans="1:28">
      <c r="A72" s="7"/>
      <c r="B72" s="50"/>
      <c r="C72" s="24" t="s">
        <v>121</v>
      </c>
      <c r="D72" s="51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2</v>
      </c>
      <c r="N72" s="6">
        <v>1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1</v>
      </c>
      <c r="W72" s="6">
        <v>1</v>
      </c>
      <c r="X72" s="6">
        <v>1</v>
      </c>
      <c r="Y72" s="6">
        <v>3</v>
      </c>
      <c r="Z72" s="6">
        <v>0</v>
      </c>
      <c r="AA72" s="6">
        <v>0</v>
      </c>
      <c r="AB72" s="5">
        <f t="shared" si="24"/>
        <v>12</v>
      </c>
    </row>
    <row r="73" spans="1:28">
      <c r="A73" s="7"/>
      <c r="B73" s="50"/>
      <c r="C73" s="24" t="s">
        <v>122</v>
      </c>
      <c r="D73" s="51"/>
      <c r="E73" s="6">
        <v>0</v>
      </c>
      <c r="F73" s="6">
        <v>0</v>
      </c>
      <c r="G73" s="6">
        <v>1</v>
      </c>
      <c r="H73" s="6">
        <v>0</v>
      </c>
      <c r="I73" s="6">
        <v>0</v>
      </c>
      <c r="J73" s="6">
        <v>2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5">
        <f t="shared" si="24"/>
        <v>5</v>
      </c>
    </row>
    <row r="74" spans="1:28" ht="13.15" customHeight="1">
      <c r="A74" s="7"/>
      <c r="B74" s="50"/>
      <c r="C74" s="24" t="s">
        <v>123</v>
      </c>
      <c r="D74" s="51"/>
      <c r="E74" s="6">
        <v>29</v>
      </c>
      <c r="F74" s="6">
        <v>40</v>
      </c>
      <c r="G74" s="6">
        <v>21</v>
      </c>
      <c r="H74" s="6">
        <v>11</v>
      </c>
      <c r="I74" s="6">
        <v>24</v>
      </c>
      <c r="J74" s="6">
        <v>36</v>
      </c>
      <c r="K74" s="6">
        <v>26</v>
      </c>
      <c r="L74" s="6">
        <v>9</v>
      </c>
      <c r="M74" s="6">
        <v>15</v>
      </c>
      <c r="N74" s="6">
        <v>10</v>
      </c>
      <c r="O74" s="6">
        <v>15</v>
      </c>
      <c r="P74" s="6">
        <v>6</v>
      </c>
      <c r="Q74" s="6">
        <v>5</v>
      </c>
      <c r="R74" s="6">
        <v>30</v>
      </c>
      <c r="S74" s="6">
        <v>30</v>
      </c>
      <c r="T74" s="6">
        <v>15</v>
      </c>
      <c r="U74" s="6">
        <v>7</v>
      </c>
      <c r="V74" s="6">
        <v>1</v>
      </c>
      <c r="W74" s="6">
        <v>2</v>
      </c>
      <c r="X74" s="6">
        <v>2</v>
      </c>
      <c r="Y74" s="6">
        <v>3</v>
      </c>
      <c r="Z74" s="6">
        <v>4</v>
      </c>
      <c r="AA74" s="6">
        <v>0</v>
      </c>
      <c r="AB74" s="5">
        <f t="shared" si="24"/>
        <v>341</v>
      </c>
    </row>
    <row r="75" spans="1:28">
      <c r="A75" s="7"/>
      <c r="B75" s="50"/>
      <c r="C75" s="24" t="s">
        <v>124</v>
      </c>
      <c r="D75" s="51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5">
        <f t="shared" si="24"/>
        <v>3</v>
      </c>
    </row>
    <row r="76" spans="1:28">
      <c r="A76" s="7"/>
      <c r="B76" s="50"/>
      <c r="C76" s="24" t="s">
        <v>125</v>
      </c>
      <c r="D76" s="51"/>
      <c r="E76" s="6">
        <v>102</v>
      </c>
      <c r="F76" s="6">
        <v>113</v>
      </c>
      <c r="G76" s="6">
        <v>140</v>
      </c>
      <c r="H76" s="6">
        <v>151</v>
      </c>
      <c r="I76" s="6">
        <v>159</v>
      </c>
      <c r="J76" s="6">
        <v>96</v>
      </c>
      <c r="K76" s="6">
        <v>116</v>
      </c>
      <c r="L76" s="6">
        <v>95</v>
      </c>
      <c r="M76" s="6">
        <v>84</v>
      </c>
      <c r="N76" s="6">
        <v>119</v>
      </c>
      <c r="O76" s="6">
        <v>23</v>
      </c>
      <c r="P76" s="6">
        <v>33</v>
      </c>
      <c r="Q76" s="6">
        <v>29</v>
      </c>
      <c r="R76" s="6">
        <v>15</v>
      </c>
      <c r="S76" s="6">
        <v>18</v>
      </c>
      <c r="T76" s="6">
        <v>24</v>
      </c>
      <c r="U76" s="6">
        <v>34</v>
      </c>
      <c r="V76" s="6">
        <v>19</v>
      </c>
      <c r="W76" s="6">
        <v>19</v>
      </c>
      <c r="X76" s="6">
        <v>29</v>
      </c>
      <c r="Y76" s="6">
        <v>24</v>
      </c>
      <c r="Z76" s="6">
        <v>13</v>
      </c>
      <c r="AA76" s="6">
        <v>5</v>
      </c>
      <c r="AB76" s="5">
        <f t="shared" si="24"/>
        <v>1460</v>
      </c>
    </row>
    <row r="77" spans="1:28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5">
        <f t="shared" si="24"/>
        <v>0</v>
      </c>
    </row>
    <row r="78" spans="1:28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5">
        <f t="shared" si="24"/>
        <v>0</v>
      </c>
    </row>
    <row r="79" spans="1:28">
      <c r="A79" s="6" t="s">
        <v>26</v>
      </c>
      <c r="B79" s="66" t="s">
        <v>51</v>
      </c>
      <c r="C79" s="82"/>
      <c r="D79" s="73"/>
      <c r="E79" s="5">
        <f t="shared" ref="E79:AB79" si="25">SUM(E69:E78)</f>
        <v>142</v>
      </c>
      <c r="F79" s="5">
        <f t="shared" ref="F79:S79" si="26">SUM(F69:F78)</f>
        <v>161</v>
      </c>
      <c r="G79" s="5">
        <f t="shared" si="26"/>
        <v>170</v>
      </c>
      <c r="H79" s="5">
        <f t="shared" si="26"/>
        <v>169</v>
      </c>
      <c r="I79" s="5">
        <f t="shared" si="26"/>
        <v>194</v>
      </c>
      <c r="J79" s="5">
        <f t="shared" si="26"/>
        <v>143</v>
      </c>
      <c r="K79" s="5">
        <f t="shared" si="26"/>
        <v>158</v>
      </c>
      <c r="L79" s="5">
        <f t="shared" si="26"/>
        <v>111</v>
      </c>
      <c r="M79" s="5">
        <f t="shared" si="26"/>
        <v>131</v>
      </c>
      <c r="N79" s="5">
        <f t="shared" si="26"/>
        <v>179</v>
      </c>
      <c r="O79" s="5">
        <f t="shared" si="26"/>
        <v>52</v>
      </c>
      <c r="P79" s="5">
        <f t="shared" si="26"/>
        <v>45</v>
      </c>
      <c r="Q79" s="5">
        <f t="shared" si="26"/>
        <v>44</v>
      </c>
      <c r="R79" s="5">
        <f t="shared" si="26"/>
        <v>50</v>
      </c>
      <c r="S79" s="5">
        <f t="shared" si="26"/>
        <v>58</v>
      </c>
      <c r="T79" s="5">
        <f t="shared" si="25"/>
        <v>50</v>
      </c>
      <c r="U79" s="5">
        <f t="shared" si="25"/>
        <v>57</v>
      </c>
      <c r="V79" s="5">
        <f t="shared" si="25"/>
        <v>157</v>
      </c>
      <c r="W79" s="5">
        <f t="shared" si="25"/>
        <v>158</v>
      </c>
      <c r="X79" s="5">
        <f t="shared" si="25"/>
        <v>176</v>
      </c>
      <c r="Y79" s="5">
        <f t="shared" si="25"/>
        <v>148</v>
      </c>
      <c r="Z79" s="5">
        <f t="shared" si="25"/>
        <v>155</v>
      </c>
      <c r="AA79" s="5">
        <f t="shared" si="25"/>
        <v>146</v>
      </c>
      <c r="AB79" s="5">
        <f t="shared" si="25"/>
        <v>2854</v>
      </c>
    </row>
    <row r="80" spans="1:28">
      <c r="A80" s="83"/>
      <c r="B80" s="84"/>
      <c r="C80" s="84"/>
      <c r="D80" s="84"/>
      <c r="E80" s="84"/>
    </row>
    <row r="81" spans="1:28">
      <c r="A81" s="11" t="s">
        <v>48</v>
      </c>
      <c r="B81" s="17" t="s">
        <v>34</v>
      </c>
      <c r="C81" s="72" t="s">
        <v>54</v>
      </c>
      <c r="D81" s="73"/>
      <c r="E81" s="6">
        <v>1</v>
      </c>
      <c r="F81" s="6">
        <v>0</v>
      </c>
      <c r="G81" s="6">
        <v>0</v>
      </c>
      <c r="H81" s="6">
        <v>0</v>
      </c>
      <c r="I81" s="6">
        <v>2</v>
      </c>
      <c r="J81" s="6">
        <v>1</v>
      </c>
      <c r="K81" s="6">
        <v>0</v>
      </c>
      <c r="L81" s="6">
        <v>1</v>
      </c>
      <c r="M81" s="6">
        <v>1</v>
      </c>
      <c r="N81" s="6">
        <v>3</v>
      </c>
      <c r="O81" s="6">
        <v>3</v>
      </c>
      <c r="P81" s="6">
        <v>3</v>
      </c>
      <c r="Q81" s="6">
        <v>2</v>
      </c>
      <c r="R81" s="6">
        <v>1</v>
      </c>
      <c r="S81" s="6">
        <v>0</v>
      </c>
      <c r="T81" s="6">
        <v>3</v>
      </c>
      <c r="U81" s="6">
        <v>0</v>
      </c>
      <c r="V81" s="6">
        <v>1</v>
      </c>
      <c r="W81" s="6">
        <v>1</v>
      </c>
      <c r="X81" s="6">
        <v>5</v>
      </c>
      <c r="Y81" s="6">
        <v>1</v>
      </c>
      <c r="Z81" s="6">
        <v>1</v>
      </c>
      <c r="AA81" s="6">
        <v>3</v>
      </c>
      <c r="AB81" s="5">
        <f t="shared" ref="AB81:AB90" si="27">SUM(E81:AA81)</f>
        <v>33</v>
      </c>
    </row>
    <row r="82" spans="1:28">
      <c r="A82" s="11" t="s">
        <v>50</v>
      </c>
      <c r="B82" s="50"/>
      <c r="C82" s="24" t="s">
        <v>126</v>
      </c>
      <c r="D82" s="51"/>
      <c r="E82" s="6">
        <v>1</v>
      </c>
      <c r="F82" s="6">
        <v>2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2</v>
      </c>
      <c r="N82" s="6">
        <v>0</v>
      </c>
      <c r="O82" s="6">
        <v>0</v>
      </c>
      <c r="P82" s="6">
        <v>0</v>
      </c>
      <c r="Q82" s="6">
        <v>0</v>
      </c>
      <c r="R82" s="6">
        <v>3</v>
      </c>
      <c r="S82" s="6">
        <v>0</v>
      </c>
      <c r="T82" s="6">
        <v>4</v>
      </c>
      <c r="U82" s="6">
        <v>8</v>
      </c>
      <c r="V82" s="6">
        <v>0</v>
      </c>
      <c r="W82" s="6">
        <v>8</v>
      </c>
      <c r="X82" s="6">
        <v>1</v>
      </c>
      <c r="Y82" s="6">
        <v>3</v>
      </c>
      <c r="Z82" s="6">
        <v>0</v>
      </c>
      <c r="AA82" s="6">
        <v>6</v>
      </c>
      <c r="AB82" s="5">
        <f t="shared" si="27"/>
        <v>38</v>
      </c>
    </row>
    <row r="83" spans="1:28">
      <c r="A83" s="7"/>
      <c r="B83" s="50"/>
      <c r="C83" s="24" t="s">
        <v>127</v>
      </c>
      <c r="D83" s="51"/>
      <c r="E83" s="6">
        <v>1</v>
      </c>
      <c r="F83" s="6">
        <v>0</v>
      </c>
      <c r="G83" s="6">
        <v>0</v>
      </c>
      <c r="H83" s="6">
        <v>1</v>
      </c>
      <c r="I83" s="6">
        <v>2</v>
      </c>
      <c r="J83" s="6">
        <v>6</v>
      </c>
      <c r="K83" s="6">
        <v>10</v>
      </c>
      <c r="L83" s="6">
        <v>7</v>
      </c>
      <c r="M83" s="6">
        <v>18</v>
      </c>
      <c r="N83" s="6">
        <v>15</v>
      </c>
      <c r="O83" s="6">
        <v>71</v>
      </c>
      <c r="P83" s="6">
        <v>98</v>
      </c>
      <c r="Q83" s="6">
        <v>1</v>
      </c>
      <c r="R83" s="6">
        <v>1</v>
      </c>
      <c r="S83" s="6">
        <v>0</v>
      </c>
      <c r="T83" s="6">
        <v>4</v>
      </c>
      <c r="U83" s="6">
        <v>2</v>
      </c>
      <c r="V83" s="6">
        <v>4</v>
      </c>
      <c r="W83" s="6">
        <v>1</v>
      </c>
      <c r="X83" s="6">
        <v>1</v>
      </c>
      <c r="Y83" s="6">
        <v>1</v>
      </c>
      <c r="Z83" s="6">
        <v>2</v>
      </c>
      <c r="AA83" s="6">
        <v>6</v>
      </c>
      <c r="AB83" s="5">
        <f t="shared" si="27"/>
        <v>252</v>
      </c>
    </row>
    <row r="84" spans="1:28">
      <c r="A84" s="7"/>
      <c r="B84" s="50"/>
      <c r="C84" s="24" t="s">
        <v>128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1</v>
      </c>
      <c r="S84" s="6">
        <v>0</v>
      </c>
      <c r="T84" s="6">
        <v>0</v>
      </c>
      <c r="U84" s="6">
        <v>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5">
        <f t="shared" si="27"/>
        <v>4</v>
      </c>
    </row>
    <row r="85" spans="1:28" ht="13.15" customHeight="1">
      <c r="A85" s="7"/>
      <c r="B85" s="50"/>
      <c r="C85" s="24" t="s">
        <v>129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5">
        <f t="shared" si="27"/>
        <v>0</v>
      </c>
    </row>
    <row r="86" spans="1:28">
      <c r="A86" s="7"/>
      <c r="B86" s="50"/>
      <c r="C86" s="24" t="s">
        <v>130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  <c r="AA86" s="6">
        <v>0</v>
      </c>
      <c r="AB86" s="5">
        <f t="shared" si="27"/>
        <v>1</v>
      </c>
    </row>
    <row r="87" spans="1:28">
      <c r="A87" s="7"/>
      <c r="B87" s="50"/>
      <c r="C87" s="24" t="s">
        <v>131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5">
        <f t="shared" si="27"/>
        <v>0</v>
      </c>
    </row>
    <row r="88" spans="1:28">
      <c r="A88" s="7"/>
      <c r="B88" s="50"/>
      <c r="C88" s="24" t="s">
        <v>132</v>
      </c>
      <c r="D88" s="51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5">
        <f t="shared" si="27"/>
        <v>1</v>
      </c>
    </row>
    <row r="89" spans="1:28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5">
        <f t="shared" si="27"/>
        <v>0</v>
      </c>
    </row>
    <row r="90" spans="1:28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5">
        <f t="shared" si="27"/>
        <v>0</v>
      </c>
    </row>
    <row r="91" spans="1:28">
      <c r="A91" s="6" t="s">
        <v>26</v>
      </c>
      <c r="B91" s="66" t="s">
        <v>51</v>
      </c>
      <c r="C91" s="82"/>
      <c r="D91" s="73"/>
      <c r="E91" s="5">
        <f t="shared" ref="E91:AB91" si="28">SUM(E81:E90)</f>
        <v>3</v>
      </c>
      <c r="F91" s="5">
        <f t="shared" ref="F91:S91" si="29">SUM(F81:F90)</f>
        <v>2</v>
      </c>
      <c r="G91" s="5">
        <f t="shared" si="29"/>
        <v>1</v>
      </c>
      <c r="H91" s="5">
        <f t="shared" si="29"/>
        <v>1</v>
      </c>
      <c r="I91" s="5">
        <f t="shared" si="29"/>
        <v>4</v>
      </c>
      <c r="J91" s="5">
        <f t="shared" si="29"/>
        <v>7</v>
      </c>
      <c r="K91" s="5">
        <f t="shared" si="29"/>
        <v>10</v>
      </c>
      <c r="L91" s="5">
        <f t="shared" si="29"/>
        <v>8</v>
      </c>
      <c r="M91" s="5">
        <f t="shared" si="29"/>
        <v>21</v>
      </c>
      <c r="N91" s="5">
        <f t="shared" si="29"/>
        <v>18</v>
      </c>
      <c r="O91" s="5">
        <f t="shared" si="29"/>
        <v>74</v>
      </c>
      <c r="P91" s="5">
        <f t="shared" si="29"/>
        <v>102</v>
      </c>
      <c r="Q91" s="5">
        <f t="shared" si="29"/>
        <v>4</v>
      </c>
      <c r="R91" s="5">
        <f t="shared" si="29"/>
        <v>6</v>
      </c>
      <c r="S91" s="5">
        <f t="shared" si="29"/>
        <v>0</v>
      </c>
      <c r="T91" s="5">
        <f t="shared" si="28"/>
        <v>11</v>
      </c>
      <c r="U91" s="5">
        <f t="shared" si="28"/>
        <v>11</v>
      </c>
      <c r="V91" s="5">
        <f t="shared" si="28"/>
        <v>5</v>
      </c>
      <c r="W91" s="5">
        <f t="shared" si="28"/>
        <v>11</v>
      </c>
      <c r="X91" s="5">
        <f t="shared" si="28"/>
        <v>7</v>
      </c>
      <c r="Y91" s="5">
        <f t="shared" si="28"/>
        <v>5</v>
      </c>
      <c r="Z91" s="5">
        <f t="shared" si="28"/>
        <v>3</v>
      </c>
      <c r="AA91" s="5">
        <f t="shared" si="28"/>
        <v>15</v>
      </c>
      <c r="AB91" s="5">
        <f t="shared" si="28"/>
        <v>329</v>
      </c>
    </row>
    <row r="92" spans="1:28">
      <c r="A92" s="83"/>
      <c r="B92" s="84"/>
      <c r="C92" s="84"/>
      <c r="D92" s="84"/>
      <c r="E92" s="84"/>
    </row>
    <row r="93" spans="1:28">
      <c r="A93" s="11" t="s">
        <v>48</v>
      </c>
      <c r="B93" s="17" t="s">
        <v>55</v>
      </c>
      <c r="C93" s="72" t="s">
        <v>56</v>
      </c>
      <c r="D93" s="73"/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2</v>
      </c>
      <c r="K93" s="6">
        <v>0</v>
      </c>
      <c r="L93" s="6">
        <v>0</v>
      </c>
      <c r="M93" s="6">
        <v>1</v>
      </c>
      <c r="N93" s="6">
        <v>1</v>
      </c>
      <c r="O93" s="6">
        <v>1</v>
      </c>
      <c r="P93" s="6">
        <v>0</v>
      </c>
      <c r="Q93" s="6">
        <v>0</v>
      </c>
      <c r="R93" s="6">
        <v>1</v>
      </c>
      <c r="S93" s="6">
        <v>0</v>
      </c>
      <c r="T93" s="6">
        <v>2</v>
      </c>
      <c r="U93" s="6">
        <v>0</v>
      </c>
      <c r="V93" s="6">
        <v>1</v>
      </c>
      <c r="W93" s="6">
        <v>1</v>
      </c>
      <c r="X93" s="6">
        <v>2</v>
      </c>
      <c r="Y93" s="6">
        <v>0</v>
      </c>
      <c r="Z93" s="6">
        <v>0</v>
      </c>
      <c r="AA93" s="6">
        <v>0</v>
      </c>
      <c r="AB93" s="5">
        <f t="shared" ref="AB93:AB102" si="30">SUM(E93:AA93)</f>
        <v>17</v>
      </c>
    </row>
    <row r="94" spans="1:28">
      <c r="A94" s="11" t="s">
        <v>50</v>
      </c>
      <c r="B94" s="50"/>
      <c r="C94" s="24" t="s">
        <v>133</v>
      </c>
      <c r="D94" s="51"/>
      <c r="E94" s="6">
        <v>0</v>
      </c>
      <c r="F94" s="6">
        <v>0</v>
      </c>
      <c r="G94" s="6">
        <v>0</v>
      </c>
      <c r="H94" s="6">
        <v>1</v>
      </c>
      <c r="I94" s="6">
        <v>1</v>
      </c>
      <c r="J94" s="6">
        <v>2</v>
      </c>
      <c r="K94" s="6">
        <v>0</v>
      </c>
      <c r="L94" s="6">
        <v>1</v>
      </c>
      <c r="M94" s="6">
        <v>2</v>
      </c>
      <c r="N94" s="6">
        <v>1</v>
      </c>
      <c r="O94" s="6">
        <v>2</v>
      </c>
      <c r="P94" s="6">
        <v>1</v>
      </c>
      <c r="Q94" s="6">
        <v>2</v>
      </c>
      <c r="R94" s="6">
        <v>1</v>
      </c>
      <c r="S94" s="6">
        <v>2</v>
      </c>
      <c r="T94" s="6">
        <v>2</v>
      </c>
      <c r="U94" s="6">
        <v>1</v>
      </c>
      <c r="V94" s="6">
        <v>2</v>
      </c>
      <c r="W94" s="6">
        <v>2</v>
      </c>
      <c r="X94" s="6">
        <v>0</v>
      </c>
      <c r="Y94" s="6">
        <v>0</v>
      </c>
      <c r="Z94" s="6">
        <v>0</v>
      </c>
      <c r="AA94" s="6">
        <v>0</v>
      </c>
      <c r="AB94" s="5">
        <f t="shared" si="30"/>
        <v>23</v>
      </c>
    </row>
    <row r="95" spans="1:28">
      <c r="A95" s="7"/>
      <c r="B95" s="50"/>
      <c r="C95" s="24" t="s">
        <v>134</v>
      </c>
      <c r="D95" s="51"/>
      <c r="E95" s="6">
        <v>0</v>
      </c>
      <c r="F95" s="6">
        <v>0</v>
      </c>
      <c r="G95" s="6">
        <v>3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2</v>
      </c>
      <c r="U95" s="6">
        <v>0</v>
      </c>
      <c r="V95" s="6">
        <v>0</v>
      </c>
      <c r="W95" s="6">
        <v>0</v>
      </c>
      <c r="X95" s="6">
        <v>0</v>
      </c>
      <c r="Y95" s="6">
        <v>2</v>
      </c>
      <c r="Z95" s="6">
        <v>0</v>
      </c>
      <c r="AA95" s="6">
        <v>0</v>
      </c>
      <c r="AB95" s="5">
        <f t="shared" si="30"/>
        <v>8</v>
      </c>
    </row>
    <row r="96" spans="1:28" ht="13.15" customHeight="1">
      <c r="A96" s="7"/>
      <c r="B96" s="50"/>
      <c r="C96" s="24" t="s">
        <v>135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5">
        <f t="shared" si="30"/>
        <v>1</v>
      </c>
    </row>
    <row r="97" spans="1:28">
      <c r="A97" s="7"/>
      <c r="B97" s="50"/>
      <c r="C97" s="24" t="s">
        <v>136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5">
        <f t="shared" si="30"/>
        <v>2</v>
      </c>
    </row>
    <row r="98" spans="1:28">
      <c r="A98" s="7"/>
      <c r="B98" s="50"/>
      <c r="C98" s="24" t="s">
        <v>137</v>
      </c>
      <c r="D98" s="51"/>
      <c r="E98" s="6">
        <v>0</v>
      </c>
      <c r="F98" s="6">
        <v>2</v>
      </c>
      <c r="G98" s="6">
        <v>0</v>
      </c>
      <c r="H98" s="6">
        <v>3</v>
      </c>
      <c r="I98" s="6">
        <v>1</v>
      </c>
      <c r="J98" s="6">
        <v>1</v>
      </c>
      <c r="K98" s="6">
        <v>1</v>
      </c>
      <c r="L98" s="6">
        <v>1</v>
      </c>
      <c r="M98" s="6">
        <v>5</v>
      </c>
      <c r="N98" s="6">
        <v>8</v>
      </c>
      <c r="O98" s="6">
        <v>0</v>
      </c>
      <c r="P98" s="6">
        <v>0</v>
      </c>
      <c r="Q98" s="6">
        <v>0</v>
      </c>
      <c r="R98" s="6">
        <v>0</v>
      </c>
      <c r="S98" s="6">
        <v>5</v>
      </c>
      <c r="T98" s="6">
        <v>16</v>
      </c>
      <c r="U98" s="6">
        <v>24</v>
      </c>
      <c r="V98" s="6">
        <v>7</v>
      </c>
      <c r="W98" s="6">
        <v>8</v>
      </c>
      <c r="X98" s="6">
        <v>5</v>
      </c>
      <c r="Y98" s="6">
        <v>1</v>
      </c>
      <c r="Z98" s="6">
        <v>0</v>
      </c>
      <c r="AA98" s="6">
        <v>2</v>
      </c>
      <c r="AB98" s="5">
        <f t="shared" si="30"/>
        <v>90</v>
      </c>
    </row>
    <row r="99" spans="1:28">
      <c r="A99" s="7"/>
      <c r="B99" s="50"/>
      <c r="C99" s="24" t="s">
        <v>138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4</v>
      </c>
      <c r="R99" s="6">
        <v>0</v>
      </c>
      <c r="S99" s="6">
        <v>0</v>
      </c>
      <c r="T99" s="6">
        <v>4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5">
        <f t="shared" si="30"/>
        <v>9</v>
      </c>
    </row>
    <row r="100" spans="1:28">
      <c r="A100" s="7"/>
      <c r="B100" s="50"/>
      <c r="C100" s="24" t="s">
        <v>139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5">
        <f t="shared" si="30"/>
        <v>0</v>
      </c>
    </row>
    <row r="101" spans="1:28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5">
        <f t="shared" si="30"/>
        <v>0</v>
      </c>
    </row>
    <row r="102" spans="1:28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5">
        <f t="shared" si="30"/>
        <v>0</v>
      </c>
    </row>
    <row r="103" spans="1:28">
      <c r="A103" s="6" t="s">
        <v>26</v>
      </c>
      <c r="B103" s="66" t="s">
        <v>51</v>
      </c>
      <c r="C103" s="82"/>
      <c r="D103" s="73"/>
      <c r="E103" s="5">
        <f t="shared" ref="E103:AB103" si="31">SUM(E93:E102)</f>
        <v>1</v>
      </c>
      <c r="F103" s="5">
        <f t="shared" ref="F103:S103" si="32">SUM(F93:F102)</f>
        <v>3</v>
      </c>
      <c r="G103" s="5">
        <f t="shared" si="32"/>
        <v>4</v>
      </c>
      <c r="H103" s="5">
        <f t="shared" si="32"/>
        <v>5</v>
      </c>
      <c r="I103" s="5">
        <f t="shared" si="32"/>
        <v>3</v>
      </c>
      <c r="J103" s="5">
        <f t="shared" si="32"/>
        <v>5</v>
      </c>
      <c r="K103" s="5">
        <f t="shared" si="32"/>
        <v>1</v>
      </c>
      <c r="L103" s="5">
        <f t="shared" si="32"/>
        <v>3</v>
      </c>
      <c r="M103" s="5">
        <f t="shared" si="32"/>
        <v>9</v>
      </c>
      <c r="N103" s="5">
        <f t="shared" si="32"/>
        <v>11</v>
      </c>
      <c r="O103" s="5">
        <f t="shared" si="32"/>
        <v>3</v>
      </c>
      <c r="P103" s="5">
        <f t="shared" si="32"/>
        <v>1</v>
      </c>
      <c r="Q103" s="5">
        <f t="shared" si="32"/>
        <v>6</v>
      </c>
      <c r="R103" s="5">
        <f t="shared" si="32"/>
        <v>2</v>
      </c>
      <c r="S103" s="5">
        <f t="shared" si="32"/>
        <v>7</v>
      </c>
      <c r="T103" s="5">
        <f t="shared" si="31"/>
        <v>26</v>
      </c>
      <c r="U103" s="5">
        <f t="shared" si="31"/>
        <v>26</v>
      </c>
      <c r="V103" s="5">
        <f t="shared" si="31"/>
        <v>10</v>
      </c>
      <c r="W103" s="5">
        <f t="shared" si="31"/>
        <v>12</v>
      </c>
      <c r="X103" s="5">
        <f t="shared" si="31"/>
        <v>7</v>
      </c>
      <c r="Y103" s="5">
        <f t="shared" si="31"/>
        <v>3</v>
      </c>
      <c r="Z103" s="5">
        <f t="shared" si="31"/>
        <v>0</v>
      </c>
      <c r="AA103" s="5">
        <f t="shared" si="31"/>
        <v>2</v>
      </c>
      <c r="AB103" s="5">
        <f t="shared" si="31"/>
        <v>150</v>
      </c>
    </row>
    <row r="104" spans="1:28">
      <c r="A104" s="83"/>
      <c r="B104" s="84"/>
      <c r="C104" s="84"/>
      <c r="D104" s="84"/>
      <c r="E104" s="8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>
      <c r="A105" s="11" t="s">
        <v>48</v>
      </c>
      <c r="B105" s="17" t="s">
        <v>57</v>
      </c>
      <c r="C105" s="72" t="s">
        <v>58</v>
      </c>
      <c r="D105" s="73"/>
      <c r="E105" s="6">
        <v>1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2</v>
      </c>
      <c r="AB105" s="5">
        <f t="shared" ref="AB105:AB114" si="33">SUM(E105:AA105)</f>
        <v>6</v>
      </c>
    </row>
    <row r="106" spans="1:28">
      <c r="A106" s="11" t="s">
        <v>50</v>
      </c>
      <c r="B106" s="50"/>
      <c r="C106" s="24" t="s">
        <v>140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5">
        <f t="shared" si="33"/>
        <v>0</v>
      </c>
    </row>
    <row r="107" spans="1:28" ht="13.15" customHeight="1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5">
        <f t="shared" si="33"/>
        <v>0</v>
      </c>
    </row>
    <row r="108" spans="1:28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f t="shared" si="33"/>
        <v>0</v>
      </c>
    </row>
    <row r="109" spans="1:28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f t="shared" si="33"/>
        <v>0</v>
      </c>
    </row>
    <row r="110" spans="1:28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f t="shared" si="33"/>
        <v>0</v>
      </c>
    </row>
    <row r="111" spans="1:28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>
        <f t="shared" si="33"/>
        <v>0</v>
      </c>
    </row>
    <row r="112" spans="1:28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>
        <f t="shared" si="33"/>
        <v>0</v>
      </c>
    </row>
    <row r="113" spans="1:28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f t="shared" si="33"/>
        <v>0</v>
      </c>
    </row>
    <row r="114" spans="1:28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>
        <f t="shared" si="33"/>
        <v>0</v>
      </c>
    </row>
    <row r="115" spans="1:28" ht="13.15" customHeight="1">
      <c r="A115" s="6" t="s">
        <v>26</v>
      </c>
      <c r="B115" s="66" t="s">
        <v>51</v>
      </c>
      <c r="C115" s="67"/>
      <c r="D115" s="68"/>
      <c r="E115" s="5">
        <f t="shared" ref="E115:AB115" si="34">SUM(E105:E114)</f>
        <v>1</v>
      </c>
      <c r="F115" s="5">
        <f t="shared" ref="F115:S115" si="35">SUM(F105:F114)</f>
        <v>1</v>
      </c>
      <c r="G115" s="5">
        <f t="shared" si="35"/>
        <v>0</v>
      </c>
      <c r="H115" s="5">
        <f t="shared" si="35"/>
        <v>0</v>
      </c>
      <c r="I115" s="5">
        <f t="shared" si="35"/>
        <v>1</v>
      </c>
      <c r="J115" s="5">
        <f t="shared" si="35"/>
        <v>0</v>
      </c>
      <c r="K115" s="5">
        <f t="shared" si="35"/>
        <v>0</v>
      </c>
      <c r="L115" s="5">
        <f t="shared" si="35"/>
        <v>0</v>
      </c>
      <c r="M115" s="5">
        <f t="shared" si="35"/>
        <v>0</v>
      </c>
      <c r="N115" s="5">
        <f t="shared" si="35"/>
        <v>0</v>
      </c>
      <c r="O115" s="5">
        <f t="shared" si="35"/>
        <v>0</v>
      </c>
      <c r="P115" s="5">
        <f t="shared" si="35"/>
        <v>0</v>
      </c>
      <c r="Q115" s="5">
        <f t="shared" si="35"/>
        <v>0</v>
      </c>
      <c r="R115" s="5">
        <f t="shared" si="35"/>
        <v>0</v>
      </c>
      <c r="S115" s="5">
        <f t="shared" si="35"/>
        <v>0</v>
      </c>
      <c r="T115" s="5">
        <f t="shared" si="34"/>
        <v>0</v>
      </c>
      <c r="U115" s="5">
        <f t="shared" si="34"/>
        <v>1</v>
      </c>
      <c r="V115" s="5">
        <f t="shared" si="34"/>
        <v>0</v>
      </c>
      <c r="W115" s="5">
        <f t="shared" si="34"/>
        <v>0</v>
      </c>
      <c r="X115" s="5">
        <f t="shared" si="34"/>
        <v>0</v>
      </c>
      <c r="Y115" s="5">
        <f t="shared" si="34"/>
        <v>0</v>
      </c>
      <c r="Z115" s="5">
        <f t="shared" si="34"/>
        <v>0</v>
      </c>
      <c r="AA115" s="5">
        <f t="shared" si="34"/>
        <v>2</v>
      </c>
      <c r="AB115" s="5">
        <f t="shared" si="34"/>
        <v>6</v>
      </c>
    </row>
    <row r="116" spans="1:28">
      <c r="A116" s="74"/>
      <c r="B116" s="75"/>
      <c r="C116" s="75"/>
      <c r="D116" s="75"/>
      <c r="E116" s="7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28">
      <c r="A117" s="11" t="s">
        <v>48</v>
      </c>
      <c r="B117" s="17" t="s">
        <v>59</v>
      </c>
      <c r="C117" s="72" t="s">
        <v>60</v>
      </c>
      <c r="D117" s="73"/>
      <c r="E117" s="6">
        <v>1</v>
      </c>
      <c r="F117" s="6">
        <v>2</v>
      </c>
      <c r="G117" s="6">
        <v>3</v>
      </c>
      <c r="H117" s="6">
        <v>5</v>
      </c>
      <c r="I117" s="6">
        <v>5</v>
      </c>
      <c r="J117" s="6">
        <v>3</v>
      </c>
      <c r="K117" s="6">
        <v>3</v>
      </c>
      <c r="L117" s="6">
        <v>3</v>
      </c>
      <c r="M117" s="6">
        <v>3</v>
      </c>
      <c r="N117" s="6">
        <v>3</v>
      </c>
      <c r="O117" s="6">
        <v>1</v>
      </c>
      <c r="P117" s="6">
        <v>0</v>
      </c>
      <c r="Q117" s="6">
        <v>1</v>
      </c>
      <c r="R117" s="6">
        <v>4</v>
      </c>
      <c r="S117" s="6">
        <v>2</v>
      </c>
      <c r="T117" s="6">
        <v>2</v>
      </c>
      <c r="U117" s="6">
        <v>1</v>
      </c>
      <c r="V117" s="6">
        <v>2</v>
      </c>
      <c r="W117" s="6">
        <v>2</v>
      </c>
      <c r="X117" s="6">
        <v>0</v>
      </c>
      <c r="Y117" s="6">
        <v>0</v>
      </c>
      <c r="Z117" s="6">
        <v>1</v>
      </c>
      <c r="AA117" s="6">
        <v>1</v>
      </c>
      <c r="AB117" s="5">
        <f t="shared" ref="AB117:AB126" si="36">SUM(E117:AA117)</f>
        <v>48</v>
      </c>
    </row>
    <row r="118" spans="1:28">
      <c r="A118" s="11" t="s">
        <v>50</v>
      </c>
      <c r="B118" s="50"/>
      <c r="C118" s="24" t="s">
        <v>141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1</v>
      </c>
      <c r="P118" s="6">
        <v>0</v>
      </c>
      <c r="Q118" s="6">
        <v>0</v>
      </c>
      <c r="R118" s="6">
        <v>1</v>
      </c>
      <c r="S118" s="6">
        <v>0</v>
      </c>
      <c r="T118" s="6">
        <v>1</v>
      </c>
      <c r="U118" s="6">
        <v>1</v>
      </c>
      <c r="V118" s="6">
        <v>0</v>
      </c>
      <c r="W118" s="6">
        <v>0</v>
      </c>
      <c r="X118" s="6">
        <v>0</v>
      </c>
      <c r="Y118" s="6">
        <v>1</v>
      </c>
      <c r="Z118" s="6">
        <v>0</v>
      </c>
      <c r="AA118" s="6">
        <v>2</v>
      </c>
      <c r="AB118" s="5">
        <f t="shared" si="36"/>
        <v>8</v>
      </c>
    </row>
    <row r="119" spans="1:28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5">
        <f t="shared" si="36"/>
        <v>0</v>
      </c>
    </row>
    <row r="120" spans="1:28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5">
        <f t="shared" si="36"/>
        <v>0</v>
      </c>
    </row>
    <row r="121" spans="1:28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5">
        <f t="shared" si="36"/>
        <v>0</v>
      </c>
    </row>
    <row r="122" spans="1:28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5">
        <f t="shared" si="36"/>
        <v>0</v>
      </c>
    </row>
    <row r="123" spans="1:28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5">
        <f t="shared" si="36"/>
        <v>0</v>
      </c>
    </row>
    <row r="124" spans="1:28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5">
        <f t="shared" si="36"/>
        <v>0</v>
      </c>
    </row>
    <row r="125" spans="1:28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5">
        <f t="shared" si="36"/>
        <v>0</v>
      </c>
    </row>
    <row r="126" spans="1:28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5">
        <f t="shared" si="36"/>
        <v>0</v>
      </c>
    </row>
    <row r="127" spans="1:28">
      <c r="A127" s="6" t="s">
        <v>26</v>
      </c>
      <c r="B127" s="66" t="s">
        <v>51</v>
      </c>
      <c r="C127" s="67"/>
      <c r="D127" s="68"/>
      <c r="E127" s="5">
        <f t="shared" ref="E127:AB127" si="37">SUM(E117:E126)</f>
        <v>1</v>
      </c>
      <c r="F127" s="5">
        <f t="shared" ref="F127:S127" si="38">SUM(F117:F126)</f>
        <v>2</v>
      </c>
      <c r="G127" s="5">
        <f t="shared" si="38"/>
        <v>3</v>
      </c>
      <c r="H127" s="5">
        <f t="shared" si="38"/>
        <v>5</v>
      </c>
      <c r="I127" s="5">
        <f t="shared" si="38"/>
        <v>5</v>
      </c>
      <c r="J127" s="5">
        <f t="shared" si="38"/>
        <v>3</v>
      </c>
      <c r="K127" s="5">
        <f t="shared" si="38"/>
        <v>3</v>
      </c>
      <c r="L127" s="5">
        <f t="shared" si="38"/>
        <v>3</v>
      </c>
      <c r="M127" s="5">
        <f t="shared" si="38"/>
        <v>4</v>
      </c>
      <c r="N127" s="5">
        <f t="shared" si="38"/>
        <v>3</v>
      </c>
      <c r="O127" s="5">
        <f t="shared" si="38"/>
        <v>2</v>
      </c>
      <c r="P127" s="5">
        <f t="shared" si="38"/>
        <v>0</v>
      </c>
      <c r="Q127" s="5">
        <f t="shared" si="38"/>
        <v>1</v>
      </c>
      <c r="R127" s="5">
        <f t="shared" si="38"/>
        <v>5</v>
      </c>
      <c r="S127" s="5">
        <f t="shared" si="38"/>
        <v>2</v>
      </c>
      <c r="T127" s="5">
        <f t="shared" si="37"/>
        <v>3</v>
      </c>
      <c r="U127" s="5">
        <f t="shared" si="37"/>
        <v>2</v>
      </c>
      <c r="V127" s="5">
        <f t="shared" si="37"/>
        <v>2</v>
      </c>
      <c r="W127" s="5">
        <f t="shared" si="37"/>
        <v>2</v>
      </c>
      <c r="X127" s="5">
        <f t="shared" si="37"/>
        <v>0</v>
      </c>
      <c r="Y127" s="5">
        <f t="shared" si="37"/>
        <v>1</v>
      </c>
      <c r="Z127" s="5">
        <f t="shared" si="37"/>
        <v>1</v>
      </c>
      <c r="AA127" s="5">
        <f t="shared" si="37"/>
        <v>3</v>
      </c>
      <c r="AB127" s="5">
        <f t="shared" si="37"/>
        <v>56</v>
      </c>
    </row>
    <row r="128" spans="1:28">
      <c r="A128" s="74"/>
      <c r="B128" s="75"/>
      <c r="C128" s="75"/>
      <c r="D128" s="75"/>
      <c r="E128" s="7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>
      <c r="A129" s="11" t="s">
        <v>48</v>
      </c>
      <c r="B129" s="17" t="s">
        <v>61</v>
      </c>
      <c r="C129" s="72" t="s">
        <v>62</v>
      </c>
      <c r="D129" s="73"/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1</v>
      </c>
      <c r="Y129" s="6">
        <v>0</v>
      </c>
      <c r="Z129" s="6">
        <v>0</v>
      </c>
      <c r="AA129" s="6">
        <v>0</v>
      </c>
      <c r="AB129" s="5">
        <f t="shared" ref="AB129:AB138" si="39">SUM(E129:AA129)</f>
        <v>3</v>
      </c>
    </row>
    <row r="130" spans="1:28" ht="13.15" customHeight="1">
      <c r="A130" s="11" t="s">
        <v>50</v>
      </c>
      <c r="B130" s="50"/>
      <c r="C130" s="24" t="s">
        <v>142</v>
      </c>
      <c r="D130" s="51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5">
        <f t="shared" si="39"/>
        <v>2</v>
      </c>
    </row>
    <row r="131" spans="1:28">
      <c r="A131" s="7"/>
      <c r="B131" s="50"/>
      <c r="C131" s="24" t="s">
        <v>143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39"/>
        <v>1</v>
      </c>
    </row>
    <row r="132" spans="1:28">
      <c r="A132" s="7"/>
      <c r="B132" s="50"/>
      <c r="C132" s="24" t="s">
        <v>144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5">
        <f t="shared" si="39"/>
        <v>0</v>
      </c>
    </row>
    <row r="133" spans="1:28">
      <c r="A133" s="7"/>
      <c r="B133" s="50"/>
      <c r="C133" s="24" t="s">
        <v>145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2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39"/>
        <v>3</v>
      </c>
    </row>
    <row r="134" spans="1:28">
      <c r="A134" s="7"/>
      <c r="B134" s="50"/>
      <c r="C134" s="24" t="s">
        <v>146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>
        <f t="shared" si="39"/>
        <v>0</v>
      </c>
    </row>
    <row r="135" spans="1:28">
      <c r="A135" s="7"/>
      <c r="B135" s="50"/>
      <c r="C135" s="24" t="s">
        <v>147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5">
        <f t="shared" si="39"/>
        <v>0</v>
      </c>
    </row>
    <row r="136" spans="1:28">
      <c r="A136" s="7"/>
      <c r="B136" s="50"/>
      <c r="C136" s="24" t="s">
        <v>148</v>
      </c>
      <c r="D136" s="51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5">
        <f t="shared" si="39"/>
        <v>0</v>
      </c>
    </row>
    <row r="137" spans="1:28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5">
        <f t="shared" si="39"/>
        <v>0</v>
      </c>
    </row>
    <row r="138" spans="1:28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>
        <f t="shared" si="39"/>
        <v>0</v>
      </c>
    </row>
    <row r="139" spans="1:28">
      <c r="A139" s="6" t="s">
        <v>26</v>
      </c>
      <c r="B139" s="66" t="s">
        <v>51</v>
      </c>
      <c r="C139" s="67"/>
      <c r="D139" s="68"/>
      <c r="E139" s="5">
        <f t="shared" ref="E139:AB139" si="40">SUM(E129:E138)</f>
        <v>0</v>
      </c>
      <c r="F139" s="5">
        <f t="shared" ref="F139:S139" si="41">SUM(F129:F138)</f>
        <v>1</v>
      </c>
      <c r="G139" s="5">
        <f t="shared" si="41"/>
        <v>1</v>
      </c>
      <c r="H139" s="5">
        <f t="shared" si="41"/>
        <v>0</v>
      </c>
      <c r="I139" s="5">
        <f t="shared" si="41"/>
        <v>0</v>
      </c>
      <c r="J139" s="5">
        <f t="shared" si="41"/>
        <v>0</v>
      </c>
      <c r="K139" s="5">
        <f t="shared" si="41"/>
        <v>1</v>
      </c>
      <c r="L139" s="5">
        <f t="shared" si="41"/>
        <v>1</v>
      </c>
      <c r="M139" s="5">
        <f t="shared" si="41"/>
        <v>0</v>
      </c>
      <c r="N139" s="5">
        <f t="shared" si="41"/>
        <v>0</v>
      </c>
      <c r="O139" s="5">
        <f t="shared" si="41"/>
        <v>1</v>
      </c>
      <c r="P139" s="5">
        <f t="shared" si="41"/>
        <v>0</v>
      </c>
      <c r="Q139" s="5">
        <f t="shared" si="41"/>
        <v>0</v>
      </c>
      <c r="R139" s="5">
        <f t="shared" si="41"/>
        <v>0</v>
      </c>
      <c r="S139" s="5">
        <f t="shared" si="41"/>
        <v>2</v>
      </c>
      <c r="T139" s="5">
        <f t="shared" si="40"/>
        <v>1</v>
      </c>
      <c r="U139" s="5">
        <f t="shared" si="40"/>
        <v>0</v>
      </c>
      <c r="V139" s="5">
        <f t="shared" si="40"/>
        <v>0</v>
      </c>
      <c r="W139" s="5">
        <f t="shared" si="40"/>
        <v>0</v>
      </c>
      <c r="X139" s="5">
        <f t="shared" si="40"/>
        <v>1</v>
      </c>
      <c r="Y139" s="5">
        <f t="shared" si="40"/>
        <v>0</v>
      </c>
      <c r="Z139" s="5">
        <f t="shared" si="40"/>
        <v>0</v>
      </c>
      <c r="AA139" s="5">
        <f t="shared" si="40"/>
        <v>0</v>
      </c>
      <c r="AB139" s="5">
        <f t="shared" si="40"/>
        <v>9</v>
      </c>
    </row>
    <row r="140" spans="1:28">
      <c r="A140" s="74"/>
      <c r="B140" s="75"/>
      <c r="C140" s="75"/>
      <c r="D140" s="75"/>
      <c r="E140" s="7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3.15" customHeight="1">
      <c r="A141" s="11" t="s">
        <v>48</v>
      </c>
      <c r="B141" s="17" t="s">
        <v>63</v>
      </c>
      <c r="C141" s="72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5">
        <f t="shared" ref="AB141:AB150" si="42">SUM(E141:AA141)</f>
        <v>0</v>
      </c>
    </row>
    <row r="142" spans="1:28">
      <c r="A142" s="11" t="s">
        <v>50</v>
      </c>
      <c r="B142" s="17"/>
      <c r="C142" s="24" t="s">
        <v>149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1</v>
      </c>
      <c r="AA142" s="6">
        <v>0</v>
      </c>
      <c r="AB142" s="5">
        <f t="shared" si="42"/>
        <v>2</v>
      </c>
    </row>
    <row r="143" spans="1:28">
      <c r="A143" s="7"/>
      <c r="B143" s="45"/>
      <c r="C143" s="46"/>
      <c r="D143" s="4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f t="shared" si="42"/>
        <v>0</v>
      </c>
    </row>
    <row r="144" spans="1:28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>
        <f t="shared" si="42"/>
        <v>0</v>
      </c>
    </row>
    <row r="145" spans="1:28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>
        <f t="shared" si="42"/>
        <v>0</v>
      </c>
    </row>
    <row r="146" spans="1:28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f t="shared" si="42"/>
        <v>0</v>
      </c>
    </row>
    <row r="147" spans="1:28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f t="shared" si="42"/>
        <v>0</v>
      </c>
    </row>
    <row r="148" spans="1:28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f t="shared" si="42"/>
        <v>0</v>
      </c>
    </row>
    <row r="149" spans="1:28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f t="shared" si="42"/>
        <v>0</v>
      </c>
    </row>
    <row r="150" spans="1:28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f t="shared" si="42"/>
        <v>0</v>
      </c>
    </row>
    <row r="151" spans="1:28" ht="13.15" customHeight="1">
      <c r="A151" s="6" t="s">
        <v>26</v>
      </c>
      <c r="B151" s="66" t="s">
        <v>51</v>
      </c>
      <c r="C151" s="67"/>
      <c r="D151" s="68"/>
      <c r="E151" s="5">
        <f t="shared" ref="E151:AB151" si="43">SUM(E141:E150)</f>
        <v>0</v>
      </c>
      <c r="F151" s="5">
        <f t="shared" ref="F151:S151" si="44">SUM(F141:F150)</f>
        <v>0</v>
      </c>
      <c r="G151" s="5">
        <f t="shared" si="44"/>
        <v>0</v>
      </c>
      <c r="H151" s="5">
        <f t="shared" si="44"/>
        <v>0</v>
      </c>
      <c r="I151" s="5">
        <f t="shared" si="44"/>
        <v>1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3"/>
        <v>0</v>
      </c>
      <c r="U151" s="5">
        <f t="shared" si="43"/>
        <v>0</v>
      </c>
      <c r="V151" s="5">
        <f t="shared" si="43"/>
        <v>0</v>
      </c>
      <c r="W151" s="5">
        <f t="shared" si="43"/>
        <v>0</v>
      </c>
      <c r="X151" s="5">
        <f t="shared" si="43"/>
        <v>0</v>
      </c>
      <c r="Y151" s="5">
        <f t="shared" si="43"/>
        <v>0</v>
      </c>
      <c r="Z151" s="5">
        <f t="shared" si="43"/>
        <v>1</v>
      </c>
      <c r="AA151" s="5">
        <f t="shared" si="43"/>
        <v>0</v>
      </c>
      <c r="AB151" s="5">
        <f t="shared" si="43"/>
        <v>2</v>
      </c>
    </row>
    <row r="152" spans="1:28">
      <c r="A152" s="74"/>
      <c r="B152" s="75"/>
      <c r="C152" s="75"/>
      <c r="D152" s="75"/>
      <c r="E152" s="7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</row>
    <row r="153" spans="1:28">
      <c r="A153" s="11" t="s">
        <v>48</v>
      </c>
      <c r="B153" s="44" t="s">
        <v>65</v>
      </c>
      <c r="C153" s="80" t="s">
        <v>66</v>
      </c>
      <c r="D153" s="81"/>
      <c r="E153" s="6">
        <v>1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5">
        <f>SUM(E154:AA154)</f>
        <v>0</v>
      </c>
    </row>
    <row r="154" spans="1:28">
      <c r="A154" s="52" t="s">
        <v>50</v>
      </c>
      <c r="B154" s="50"/>
      <c r="C154" s="24" t="s">
        <v>150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5">
        <f>SUM(E155:AA155)</f>
        <v>1</v>
      </c>
    </row>
    <row r="155" spans="1:28">
      <c r="A155" s="7"/>
      <c r="B155" s="50"/>
      <c r="C155" s="24" t="s">
        <v>151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0</v>
      </c>
      <c r="AA155" s="6">
        <v>0</v>
      </c>
      <c r="AB155" s="5">
        <f>SUM(E156:AA156)</f>
        <v>0</v>
      </c>
    </row>
    <row r="156" spans="1:28">
      <c r="A156" s="7"/>
      <c r="B156" s="50"/>
      <c r="C156" s="24" t="s">
        <v>152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5">
        <f>SUM(E157:AA157)</f>
        <v>2</v>
      </c>
    </row>
    <row r="157" spans="1:28">
      <c r="A157" s="7"/>
      <c r="B157" s="50"/>
      <c r="C157" s="24" t="s">
        <v>153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1</v>
      </c>
      <c r="Y157" s="6">
        <v>0</v>
      </c>
      <c r="Z157" s="6">
        <v>0</v>
      </c>
      <c r="AA157" s="6">
        <v>0</v>
      </c>
      <c r="AB157" s="5">
        <f t="shared" ref="AB157:AB162" si="45">SUM(E163:AA163)</f>
        <v>5</v>
      </c>
    </row>
    <row r="158" spans="1:28">
      <c r="A158" s="7"/>
      <c r="B158" s="50"/>
      <c r="C158" s="24" t="s">
        <v>154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5">
        <f t="shared" si="45"/>
        <v>0</v>
      </c>
    </row>
    <row r="159" spans="1:28">
      <c r="A159" s="7"/>
      <c r="B159" s="50"/>
      <c r="C159" s="24" t="s">
        <v>155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5">
        <f t="shared" si="45"/>
        <v>1</v>
      </c>
    </row>
    <row r="160" spans="1:28">
      <c r="A160" s="7"/>
      <c r="B160" s="50"/>
      <c r="C160" s="24" t="s">
        <v>156</v>
      </c>
      <c r="D160" s="51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5">
        <f t="shared" si="45"/>
        <v>0</v>
      </c>
    </row>
    <row r="161" spans="1:28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45"/>
        <v>0</v>
      </c>
    </row>
    <row r="162" spans="1:28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45"/>
        <v>0</v>
      </c>
    </row>
    <row r="163" spans="1:28">
      <c r="A163" s="6" t="s">
        <v>26</v>
      </c>
      <c r="B163" s="77" t="s">
        <v>51</v>
      </c>
      <c r="C163" s="78"/>
      <c r="D163" s="79"/>
      <c r="E163" s="5">
        <f t="shared" ref="E163:AB163" si="46">SUM(E153:E162)</f>
        <v>1</v>
      </c>
      <c r="F163" s="5">
        <f t="shared" ref="F163:S163" si="47">SUM(F153:F162)</f>
        <v>0</v>
      </c>
      <c r="G163" s="5">
        <f t="shared" si="47"/>
        <v>0</v>
      </c>
      <c r="H163" s="5">
        <f t="shared" si="47"/>
        <v>1</v>
      </c>
      <c r="I163" s="5">
        <f t="shared" si="47"/>
        <v>0</v>
      </c>
      <c r="J163" s="5">
        <f t="shared" si="47"/>
        <v>0</v>
      </c>
      <c r="K163" s="5">
        <f t="shared" si="47"/>
        <v>0</v>
      </c>
      <c r="L163" s="5">
        <f t="shared" si="47"/>
        <v>0</v>
      </c>
      <c r="M163" s="5">
        <f t="shared" si="47"/>
        <v>0</v>
      </c>
      <c r="N163" s="5">
        <f t="shared" si="47"/>
        <v>0</v>
      </c>
      <c r="O163" s="5">
        <f t="shared" si="47"/>
        <v>0</v>
      </c>
      <c r="P163" s="5">
        <f t="shared" si="47"/>
        <v>0</v>
      </c>
      <c r="Q163" s="5">
        <f t="shared" si="47"/>
        <v>0</v>
      </c>
      <c r="R163" s="5">
        <f t="shared" si="47"/>
        <v>1</v>
      </c>
      <c r="S163" s="5">
        <f t="shared" si="47"/>
        <v>0</v>
      </c>
      <c r="T163" s="5">
        <f t="shared" si="46"/>
        <v>0</v>
      </c>
      <c r="U163" s="5">
        <f t="shared" si="46"/>
        <v>0</v>
      </c>
      <c r="V163" s="5">
        <f t="shared" si="46"/>
        <v>0</v>
      </c>
      <c r="W163" s="5">
        <f t="shared" si="46"/>
        <v>0</v>
      </c>
      <c r="X163" s="5">
        <f t="shared" si="46"/>
        <v>2</v>
      </c>
      <c r="Y163" s="5">
        <f t="shared" si="46"/>
        <v>0</v>
      </c>
      <c r="Z163" s="5">
        <f t="shared" si="46"/>
        <v>0</v>
      </c>
      <c r="AA163" s="5">
        <f t="shared" si="46"/>
        <v>0</v>
      </c>
      <c r="AB163" s="5">
        <f t="shared" si="46"/>
        <v>9</v>
      </c>
    </row>
    <row r="164" spans="1:28">
      <c r="A164" s="74"/>
      <c r="B164" s="75"/>
      <c r="C164" s="75"/>
      <c r="D164" s="75"/>
      <c r="E164" s="7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3.15" customHeight="1">
      <c r="A165" s="11" t="s">
        <v>48</v>
      </c>
      <c r="B165" s="17" t="s">
        <v>67</v>
      </c>
      <c r="C165" s="72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6"/>
      <c r="W165" s="6"/>
      <c r="X165" s="6"/>
      <c r="Y165" s="6"/>
      <c r="Z165" s="6"/>
      <c r="AA165" s="6"/>
      <c r="AB165" s="5">
        <f t="shared" ref="AB165:AB174" si="48">SUM(E165:AA165)</f>
        <v>1</v>
      </c>
    </row>
    <row r="166" spans="1:28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5">
        <f t="shared" si="48"/>
        <v>0</v>
      </c>
    </row>
    <row r="167" spans="1:28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>
        <f t="shared" si="48"/>
        <v>0</v>
      </c>
    </row>
    <row r="168" spans="1:28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>
        <f t="shared" si="48"/>
        <v>0</v>
      </c>
    </row>
    <row r="169" spans="1:28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>
        <f t="shared" si="48"/>
        <v>0</v>
      </c>
    </row>
    <row r="170" spans="1:28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>
        <f t="shared" si="48"/>
        <v>0</v>
      </c>
    </row>
    <row r="171" spans="1:28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>
        <f t="shared" si="48"/>
        <v>0</v>
      </c>
    </row>
    <row r="172" spans="1:28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>
        <f t="shared" si="48"/>
        <v>0</v>
      </c>
    </row>
    <row r="173" spans="1:28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>
        <f t="shared" si="48"/>
        <v>0</v>
      </c>
    </row>
    <row r="174" spans="1:28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f t="shared" si="48"/>
        <v>0</v>
      </c>
    </row>
    <row r="175" spans="1:28">
      <c r="A175" s="6" t="s">
        <v>26</v>
      </c>
      <c r="B175" s="66" t="s">
        <v>51</v>
      </c>
      <c r="C175" s="67"/>
      <c r="D175" s="68"/>
      <c r="E175" s="5">
        <f t="shared" ref="E175:AB175" si="49">SUM(E165:E174)</f>
        <v>0</v>
      </c>
      <c r="F175" s="5">
        <f t="shared" ref="F175:S175" si="50">SUM(F165:F174)</f>
        <v>0</v>
      </c>
      <c r="G175" s="5">
        <f t="shared" si="50"/>
        <v>0</v>
      </c>
      <c r="H175" s="5">
        <f t="shared" si="50"/>
        <v>0</v>
      </c>
      <c r="I175" s="5">
        <f t="shared" si="50"/>
        <v>1</v>
      </c>
      <c r="J175" s="5">
        <f t="shared" si="50"/>
        <v>0</v>
      </c>
      <c r="K175" s="5">
        <f t="shared" si="50"/>
        <v>0</v>
      </c>
      <c r="L175" s="5">
        <f t="shared" si="50"/>
        <v>0</v>
      </c>
      <c r="M175" s="5">
        <f t="shared" si="50"/>
        <v>0</v>
      </c>
      <c r="N175" s="5">
        <f t="shared" si="50"/>
        <v>0</v>
      </c>
      <c r="O175" s="5">
        <f t="shared" si="50"/>
        <v>0</v>
      </c>
      <c r="P175" s="5">
        <f t="shared" si="50"/>
        <v>0</v>
      </c>
      <c r="Q175" s="5">
        <f t="shared" si="50"/>
        <v>0</v>
      </c>
      <c r="R175" s="5">
        <f t="shared" si="50"/>
        <v>0</v>
      </c>
      <c r="S175" s="5">
        <f t="shared" si="50"/>
        <v>0</v>
      </c>
      <c r="T175" s="5">
        <f t="shared" si="49"/>
        <v>0</v>
      </c>
      <c r="U175" s="5">
        <f t="shared" si="49"/>
        <v>0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0</v>
      </c>
      <c r="Z175" s="5">
        <f t="shared" si="49"/>
        <v>0</v>
      </c>
      <c r="AA175" s="5">
        <f t="shared" si="49"/>
        <v>0</v>
      </c>
      <c r="AB175" s="5">
        <f t="shared" si="49"/>
        <v>1</v>
      </c>
    </row>
    <row r="176" spans="1:28" ht="13.15" customHeight="1">
      <c r="A176" s="74"/>
      <c r="B176" s="75"/>
      <c r="C176" s="75"/>
      <c r="D176" s="75"/>
      <c r="E176" s="7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>
      <c r="A177" s="11" t="s">
        <v>48</v>
      </c>
      <c r="B177" s="17" t="s">
        <v>69</v>
      </c>
      <c r="C177" s="72" t="s">
        <v>70</v>
      </c>
      <c r="D177" s="73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5">
        <f t="shared" ref="AB177:AB186" si="51">SUM(E177:AA177)</f>
        <v>1</v>
      </c>
    </row>
    <row r="178" spans="1:28">
      <c r="A178" s="11" t="s">
        <v>50</v>
      </c>
      <c r="B178" s="50"/>
      <c r="C178" s="24" t="s">
        <v>157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5">
        <f t="shared" si="51"/>
        <v>1</v>
      </c>
    </row>
    <row r="179" spans="1:28">
      <c r="A179" s="7"/>
      <c r="B179" s="50"/>
      <c r="C179" s="24" t="s">
        <v>158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5">
        <f t="shared" si="51"/>
        <v>1</v>
      </c>
    </row>
    <row r="180" spans="1:28">
      <c r="A180" s="7"/>
      <c r="B180" s="50"/>
      <c r="C180" s="24" t="s">
        <v>159</v>
      </c>
      <c r="D180" s="51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5">
        <f t="shared" si="51"/>
        <v>1</v>
      </c>
    </row>
    <row r="181" spans="1:28">
      <c r="A181" s="7"/>
      <c r="B181" s="50"/>
      <c r="C181" s="24" t="s">
        <v>160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>
        <f t="shared" si="51"/>
        <v>0</v>
      </c>
    </row>
    <row r="182" spans="1:28">
      <c r="A182" s="7"/>
      <c r="B182" s="45"/>
      <c r="C182" s="46"/>
      <c r="D182" s="4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5">
        <f t="shared" si="51"/>
        <v>0</v>
      </c>
    </row>
    <row r="183" spans="1:28">
      <c r="A183" s="7"/>
      <c r="B183" s="45"/>
      <c r="C183" s="46"/>
      <c r="D183" s="4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>
        <f t="shared" si="51"/>
        <v>0</v>
      </c>
    </row>
    <row r="184" spans="1:28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5">
        <f t="shared" si="51"/>
        <v>0</v>
      </c>
    </row>
    <row r="185" spans="1:28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5">
        <f t="shared" si="51"/>
        <v>0</v>
      </c>
    </row>
    <row r="186" spans="1:28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>
        <f t="shared" si="51"/>
        <v>0</v>
      </c>
    </row>
    <row r="187" spans="1:28" ht="13.15" customHeight="1">
      <c r="A187" s="6" t="s">
        <v>26</v>
      </c>
      <c r="B187" s="66" t="s">
        <v>51</v>
      </c>
      <c r="C187" s="67"/>
      <c r="D187" s="68"/>
      <c r="E187" s="5">
        <f t="shared" ref="E187:AB187" si="52">SUM(E177:E186)</f>
        <v>0</v>
      </c>
      <c r="F187" s="5">
        <f t="shared" ref="F187:S187" si="53">SUM(F177:F186)</f>
        <v>0</v>
      </c>
      <c r="G187" s="5">
        <f t="shared" si="53"/>
        <v>1</v>
      </c>
      <c r="H187" s="5">
        <f t="shared" si="53"/>
        <v>0</v>
      </c>
      <c r="I187" s="5">
        <f t="shared" si="53"/>
        <v>0</v>
      </c>
      <c r="J187" s="5">
        <f t="shared" si="53"/>
        <v>0</v>
      </c>
      <c r="K187" s="5">
        <f t="shared" si="53"/>
        <v>0</v>
      </c>
      <c r="L187" s="5">
        <f t="shared" si="53"/>
        <v>0</v>
      </c>
      <c r="M187" s="5">
        <f t="shared" si="53"/>
        <v>0</v>
      </c>
      <c r="N187" s="5">
        <f t="shared" si="53"/>
        <v>0</v>
      </c>
      <c r="O187" s="5">
        <f t="shared" si="53"/>
        <v>1</v>
      </c>
      <c r="P187" s="5">
        <f t="shared" si="53"/>
        <v>0</v>
      </c>
      <c r="Q187" s="5">
        <f t="shared" si="53"/>
        <v>1</v>
      </c>
      <c r="R187" s="5">
        <f t="shared" si="53"/>
        <v>0</v>
      </c>
      <c r="S187" s="5">
        <f t="shared" si="53"/>
        <v>0</v>
      </c>
      <c r="T187" s="5">
        <f t="shared" si="52"/>
        <v>0</v>
      </c>
      <c r="U187" s="5">
        <f t="shared" si="52"/>
        <v>0</v>
      </c>
      <c r="V187" s="5">
        <f t="shared" si="52"/>
        <v>0</v>
      </c>
      <c r="W187" s="5">
        <f t="shared" si="52"/>
        <v>0</v>
      </c>
      <c r="X187" s="5">
        <f t="shared" si="52"/>
        <v>0</v>
      </c>
      <c r="Y187" s="5">
        <f t="shared" si="52"/>
        <v>0</v>
      </c>
      <c r="Z187" s="5">
        <f t="shared" si="52"/>
        <v>1</v>
      </c>
      <c r="AA187" s="5">
        <f t="shared" si="52"/>
        <v>0</v>
      </c>
      <c r="AB187" s="5">
        <f t="shared" si="52"/>
        <v>4</v>
      </c>
    </row>
    <row r="188" spans="1:28">
      <c r="A188" s="74"/>
      <c r="B188" s="75"/>
      <c r="C188" s="75"/>
      <c r="D188" s="75"/>
      <c r="E188" s="7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5"/>
    </row>
    <row r="189" spans="1:28">
      <c r="A189" s="11" t="s">
        <v>48</v>
      </c>
      <c r="B189" s="17" t="s">
        <v>71</v>
      </c>
      <c r="C189" s="72" t="s">
        <v>72</v>
      </c>
      <c r="D189" s="73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5">
        <f t="shared" ref="AB189:AB198" si="54">SUM(E189:AA189)</f>
        <v>1</v>
      </c>
    </row>
    <row r="190" spans="1:28">
      <c r="A190" s="11" t="s">
        <v>50</v>
      </c>
      <c r="B190" s="50"/>
      <c r="C190" s="24" t="s">
        <v>161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5">
        <f t="shared" si="54"/>
        <v>0</v>
      </c>
    </row>
    <row r="191" spans="1:28">
      <c r="A191" s="7"/>
      <c r="B191" s="50"/>
      <c r="C191" s="24" t="s">
        <v>162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5">
        <f t="shared" si="54"/>
        <v>1</v>
      </c>
    </row>
    <row r="192" spans="1:28">
      <c r="A192" s="7"/>
      <c r="B192" s="50"/>
      <c r="C192" s="24" t="s">
        <v>163</v>
      </c>
      <c r="D192" s="51"/>
      <c r="E192" s="6">
        <v>2</v>
      </c>
      <c r="F192" s="6">
        <v>0</v>
      </c>
      <c r="G192" s="6">
        <v>4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3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5">
        <f t="shared" si="54"/>
        <v>9</v>
      </c>
    </row>
    <row r="193" spans="1:28">
      <c r="A193" s="7"/>
      <c r="B193" s="50"/>
      <c r="C193" s="24" t="s">
        <v>164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5">
        <f t="shared" si="54"/>
        <v>0</v>
      </c>
    </row>
    <row r="194" spans="1:28">
      <c r="A194" s="7"/>
      <c r="B194" s="50"/>
      <c r="C194" s="24" t="s">
        <v>165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5">
        <f t="shared" si="54"/>
        <v>0</v>
      </c>
    </row>
    <row r="195" spans="1:28">
      <c r="A195" s="7"/>
      <c r="B195" s="50"/>
      <c r="C195" s="24" t="s">
        <v>166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5">
        <f t="shared" si="54"/>
        <v>0</v>
      </c>
    </row>
    <row r="196" spans="1:28" ht="13.15" customHeight="1">
      <c r="A196" s="7"/>
      <c r="B196" s="50"/>
      <c r="C196" s="24" t="s">
        <v>167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5">
        <f t="shared" si="54"/>
        <v>1</v>
      </c>
    </row>
    <row r="197" spans="1:28" ht="13.15" customHeight="1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5">
        <f t="shared" si="54"/>
        <v>0</v>
      </c>
    </row>
    <row r="198" spans="1:28" ht="13.15" customHeight="1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>
        <f t="shared" si="54"/>
        <v>0</v>
      </c>
    </row>
    <row r="199" spans="1:28">
      <c r="A199" s="6" t="s">
        <v>26</v>
      </c>
      <c r="B199" s="66" t="s">
        <v>51</v>
      </c>
      <c r="C199" s="67"/>
      <c r="D199" s="68"/>
      <c r="E199" s="5">
        <f t="shared" ref="E199:AB199" si="55">SUM(E189:E198)</f>
        <v>2</v>
      </c>
      <c r="F199" s="5">
        <f t="shared" ref="F199:S199" si="56">SUM(F189:F198)</f>
        <v>0</v>
      </c>
      <c r="G199" s="5">
        <f t="shared" si="56"/>
        <v>4</v>
      </c>
      <c r="H199" s="5">
        <f t="shared" si="56"/>
        <v>0</v>
      </c>
      <c r="I199" s="5">
        <f t="shared" si="56"/>
        <v>1</v>
      </c>
      <c r="J199" s="5">
        <f t="shared" si="56"/>
        <v>0</v>
      </c>
      <c r="K199" s="5">
        <f t="shared" si="56"/>
        <v>0</v>
      </c>
      <c r="L199" s="5">
        <f t="shared" si="56"/>
        <v>0</v>
      </c>
      <c r="M199" s="5">
        <f t="shared" si="56"/>
        <v>0</v>
      </c>
      <c r="N199" s="5">
        <f t="shared" si="56"/>
        <v>0</v>
      </c>
      <c r="O199" s="5">
        <f t="shared" si="56"/>
        <v>0</v>
      </c>
      <c r="P199" s="5">
        <f t="shared" si="56"/>
        <v>0</v>
      </c>
      <c r="Q199" s="5">
        <f t="shared" si="56"/>
        <v>4</v>
      </c>
      <c r="R199" s="5">
        <f t="shared" si="56"/>
        <v>0</v>
      </c>
      <c r="S199" s="5">
        <f t="shared" si="56"/>
        <v>0</v>
      </c>
      <c r="T199" s="5">
        <f t="shared" si="55"/>
        <v>1</v>
      </c>
      <c r="U199" s="5">
        <f t="shared" si="55"/>
        <v>0</v>
      </c>
      <c r="V199" s="5">
        <f t="shared" si="55"/>
        <v>0</v>
      </c>
      <c r="W199" s="5">
        <f t="shared" si="55"/>
        <v>0</v>
      </c>
      <c r="X199" s="5">
        <f t="shared" si="55"/>
        <v>0</v>
      </c>
      <c r="Y199" s="5">
        <f t="shared" si="55"/>
        <v>0</v>
      </c>
      <c r="Z199" s="5">
        <f t="shared" si="55"/>
        <v>0</v>
      </c>
      <c r="AA199" s="5">
        <f t="shared" si="55"/>
        <v>0</v>
      </c>
      <c r="AB199" s="5">
        <f t="shared" si="55"/>
        <v>12</v>
      </c>
    </row>
    <row r="200" spans="1:28">
      <c r="A200" s="74"/>
      <c r="B200" s="75"/>
      <c r="C200" s="75"/>
      <c r="D200" s="75"/>
      <c r="E200" s="7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>
      <c r="A201" s="11" t="s">
        <v>48</v>
      </c>
      <c r="B201" s="17" t="s">
        <v>73</v>
      </c>
      <c r="C201" s="72" t="s">
        <v>74</v>
      </c>
      <c r="D201" s="73"/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2</v>
      </c>
      <c r="L201" s="6">
        <v>2</v>
      </c>
      <c r="M201" s="6">
        <v>1</v>
      </c>
      <c r="N201" s="6">
        <v>1</v>
      </c>
      <c r="O201" s="6">
        <v>0</v>
      </c>
      <c r="P201" s="6">
        <v>0</v>
      </c>
      <c r="Q201" s="6">
        <v>3</v>
      </c>
      <c r="R201" s="6">
        <v>2</v>
      </c>
      <c r="S201" s="6">
        <v>2</v>
      </c>
      <c r="T201" s="6">
        <v>2</v>
      </c>
      <c r="U201" s="6">
        <v>7</v>
      </c>
      <c r="V201" s="6">
        <v>0</v>
      </c>
      <c r="W201" s="6">
        <v>1</v>
      </c>
      <c r="X201" s="6">
        <v>0</v>
      </c>
      <c r="Y201" s="6">
        <v>0</v>
      </c>
      <c r="Z201" s="6">
        <v>0</v>
      </c>
      <c r="AA201" s="6">
        <v>1</v>
      </c>
      <c r="AB201" s="5">
        <f t="shared" ref="AB201:AB210" si="57">SUM(E201:AA201)</f>
        <v>24</v>
      </c>
    </row>
    <row r="202" spans="1:28">
      <c r="A202" s="11" t="s">
        <v>50</v>
      </c>
      <c r="B202" s="50"/>
      <c r="C202" s="24" t="s">
        <v>168</v>
      </c>
      <c r="D202" s="51"/>
      <c r="E202" s="6">
        <v>0</v>
      </c>
      <c r="F202" s="6">
        <v>0</v>
      </c>
      <c r="G202" s="6">
        <v>0</v>
      </c>
      <c r="H202" s="6">
        <v>3</v>
      </c>
      <c r="I202" s="6">
        <v>0</v>
      </c>
      <c r="J202" s="6">
        <v>0</v>
      </c>
      <c r="K202" s="6">
        <v>1</v>
      </c>
      <c r="L202" s="6">
        <v>2</v>
      </c>
      <c r="M202" s="6">
        <v>1</v>
      </c>
      <c r="N202" s="6">
        <v>2</v>
      </c>
      <c r="O202" s="6">
        <v>1</v>
      </c>
      <c r="P202" s="6">
        <v>1</v>
      </c>
      <c r="Q202" s="6">
        <v>0</v>
      </c>
      <c r="R202" s="6">
        <v>1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  <c r="AB202" s="5">
        <f t="shared" si="57"/>
        <v>13</v>
      </c>
    </row>
    <row r="203" spans="1:28">
      <c r="A203" s="7"/>
      <c r="B203" s="50"/>
      <c r="C203" s="24" t="s">
        <v>169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5">
        <f t="shared" si="57"/>
        <v>2</v>
      </c>
    </row>
    <row r="204" spans="1:28">
      <c r="A204" s="7"/>
      <c r="B204" s="50"/>
      <c r="C204" s="24" t="s">
        <v>170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5">
        <f t="shared" si="57"/>
        <v>1</v>
      </c>
    </row>
    <row r="205" spans="1:28">
      <c r="A205" s="7"/>
      <c r="B205" s="50"/>
      <c r="C205" s="24" t="s">
        <v>171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4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2</v>
      </c>
      <c r="V205" s="6">
        <v>16</v>
      </c>
      <c r="W205" s="6">
        <v>3</v>
      </c>
      <c r="X205" s="6">
        <v>1</v>
      </c>
      <c r="Y205" s="6">
        <v>0</v>
      </c>
      <c r="Z205" s="6">
        <v>0</v>
      </c>
      <c r="AA205" s="6">
        <v>3</v>
      </c>
      <c r="AB205" s="5">
        <f t="shared" si="57"/>
        <v>32</v>
      </c>
    </row>
    <row r="206" spans="1:28">
      <c r="A206" s="7"/>
      <c r="B206" s="50"/>
      <c r="C206" s="24" t="s">
        <v>172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57"/>
        <v>1</v>
      </c>
    </row>
    <row r="207" spans="1:28" ht="13.15" customHeight="1">
      <c r="A207" s="7"/>
      <c r="B207" s="50"/>
      <c r="C207" s="24" t="s">
        <v>173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1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5">
        <f t="shared" si="57"/>
        <v>1</v>
      </c>
    </row>
    <row r="208" spans="1:28">
      <c r="A208" s="7"/>
      <c r="B208" s="50"/>
      <c r="C208" s="24" t="s">
        <v>174</v>
      </c>
      <c r="D208" s="51"/>
      <c r="E208" s="6">
        <v>2</v>
      </c>
      <c r="F208" s="6">
        <v>0</v>
      </c>
      <c r="G208" s="6">
        <v>1</v>
      </c>
      <c r="H208" s="6">
        <v>1</v>
      </c>
      <c r="I208" s="6">
        <v>0</v>
      </c>
      <c r="J208" s="6">
        <v>3</v>
      </c>
      <c r="K208" s="6">
        <v>0</v>
      </c>
      <c r="L208" s="6">
        <v>3</v>
      </c>
      <c r="M208" s="6">
        <v>0</v>
      </c>
      <c r="N208" s="6">
        <v>0</v>
      </c>
      <c r="O208" s="6">
        <v>1</v>
      </c>
      <c r="P208" s="6">
        <v>0</v>
      </c>
      <c r="Q208" s="6">
        <v>99</v>
      </c>
      <c r="R208" s="6">
        <v>89</v>
      </c>
      <c r="S208" s="6">
        <v>132</v>
      </c>
      <c r="T208" s="6">
        <v>22</v>
      </c>
      <c r="U208" s="6">
        <v>66</v>
      </c>
      <c r="V208" s="6">
        <v>3</v>
      </c>
      <c r="W208" s="6">
        <v>0</v>
      </c>
      <c r="X208" s="6">
        <v>1</v>
      </c>
      <c r="Y208" s="6">
        <v>2</v>
      </c>
      <c r="Z208" s="6">
        <v>0</v>
      </c>
      <c r="AA208" s="6">
        <v>1</v>
      </c>
      <c r="AB208" s="5">
        <f t="shared" si="57"/>
        <v>426</v>
      </c>
    </row>
    <row r="209" spans="1:28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5">
        <f t="shared" si="57"/>
        <v>0</v>
      </c>
    </row>
    <row r="210" spans="1:28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5">
        <f t="shared" si="57"/>
        <v>0</v>
      </c>
    </row>
    <row r="211" spans="1:28">
      <c r="A211" s="6" t="s">
        <v>26</v>
      </c>
      <c r="B211" s="66" t="s">
        <v>51</v>
      </c>
      <c r="C211" s="67"/>
      <c r="D211" s="68"/>
      <c r="E211" s="5">
        <f t="shared" ref="E211:AB211" si="58">SUM(E201:E210)</f>
        <v>2</v>
      </c>
      <c r="F211" s="5">
        <f t="shared" ref="F211:S211" si="59">SUM(F201:F210)</f>
        <v>0</v>
      </c>
      <c r="G211" s="5">
        <f t="shared" si="59"/>
        <v>1</v>
      </c>
      <c r="H211" s="5">
        <f t="shared" si="59"/>
        <v>5</v>
      </c>
      <c r="I211" s="5">
        <f t="shared" si="59"/>
        <v>1</v>
      </c>
      <c r="J211" s="5">
        <f t="shared" si="59"/>
        <v>3</v>
      </c>
      <c r="K211" s="5">
        <f t="shared" si="59"/>
        <v>8</v>
      </c>
      <c r="L211" s="5">
        <f t="shared" si="59"/>
        <v>7</v>
      </c>
      <c r="M211" s="5">
        <f t="shared" si="59"/>
        <v>2</v>
      </c>
      <c r="N211" s="5">
        <f t="shared" si="59"/>
        <v>3</v>
      </c>
      <c r="O211" s="5">
        <f t="shared" si="59"/>
        <v>3</v>
      </c>
      <c r="P211" s="5">
        <f t="shared" si="59"/>
        <v>1</v>
      </c>
      <c r="Q211" s="5">
        <f t="shared" si="59"/>
        <v>104</v>
      </c>
      <c r="R211" s="5">
        <f t="shared" si="59"/>
        <v>93</v>
      </c>
      <c r="S211" s="5">
        <f t="shared" si="59"/>
        <v>135</v>
      </c>
      <c r="T211" s="5">
        <f t="shared" si="58"/>
        <v>24</v>
      </c>
      <c r="U211" s="5">
        <f t="shared" si="58"/>
        <v>75</v>
      </c>
      <c r="V211" s="5">
        <f t="shared" si="58"/>
        <v>19</v>
      </c>
      <c r="W211" s="5">
        <f t="shared" si="58"/>
        <v>4</v>
      </c>
      <c r="X211" s="5">
        <f t="shared" si="58"/>
        <v>2</v>
      </c>
      <c r="Y211" s="5">
        <f t="shared" si="58"/>
        <v>2</v>
      </c>
      <c r="Z211" s="5">
        <f t="shared" si="58"/>
        <v>0</v>
      </c>
      <c r="AA211" s="5">
        <f t="shared" si="58"/>
        <v>6</v>
      </c>
      <c r="AB211" s="5">
        <f t="shared" si="58"/>
        <v>500</v>
      </c>
    </row>
    <row r="212" spans="1:28">
      <c r="A212" s="74"/>
      <c r="B212" s="75"/>
      <c r="C212" s="75"/>
      <c r="D212" s="75"/>
      <c r="E212" s="7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>
      <c r="A213" s="11" t="s">
        <v>48</v>
      </c>
      <c r="B213" s="17" t="s">
        <v>75</v>
      </c>
      <c r="C213" s="72" t="s">
        <v>76</v>
      </c>
      <c r="D213" s="73"/>
      <c r="E213" s="6">
        <v>0</v>
      </c>
      <c r="F213" s="6">
        <v>1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4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1</v>
      </c>
      <c r="T213" s="6">
        <v>4</v>
      </c>
      <c r="U213" s="6">
        <v>0</v>
      </c>
      <c r="V213" s="6">
        <v>1</v>
      </c>
      <c r="W213" s="6">
        <v>1</v>
      </c>
      <c r="X213" s="6">
        <v>0</v>
      </c>
      <c r="Y213" s="6">
        <v>1</v>
      </c>
      <c r="Z213" s="6">
        <v>0</v>
      </c>
      <c r="AA213" s="6">
        <v>0</v>
      </c>
      <c r="AB213" s="5">
        <f t="shared" ref="AB213:AB222" si="60">SUM(E213:AA213)</f>
        <v>14</v>
      </c>
    </row>
    <row r="214" spans="1:28">
      <c r="A214" s="11" t="s">
        <v>50</v>
      </c>
      <c r="B214" s="50"/>
      <c r="C214" s="24" t="s">
        <v>175</v>
      </c>
      <c r="D214" s="51"/>
      <c r="E214" s="6">
        <v>1</v>
      </c>
      <c r="F214" s="6">
        <v>2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2</v>
      </c>
      <c r="S214" s="6">
        <v>0</v>
      </c>
      <c r="T214" s="6">
        <v>0</v>
      </c>
      <c r="U214" s="6">
        <v>2</v>
      </c>
      <c r="V214" s="6">
        <v>0</v>
      </c>
      <c r="W214" s="6">
        <v>0</v>
      </c>
      <c r="X214" s="6">
        <v>1</v>
      </c>
      <c r="Y214" s="6">
        <v>0</v>
      </c>
      <c r="Z214" s="6">
        <v>0</v>
      </c>
      <c r="AA214" s="6">
        <v>0</v>
      </c>
      <c r="AB214" s="5">
        <f t="shared" si="60"/>
        <v>11</v>
      </c>
    </row>
    <row r="215" spans="1:28">
      <c r="A215" s="7"/>
      <c r="B215" s="50"/>
      <c r="C215" s="24" t="s">
        <v>176</v>
      </c>
      <c r="D215" s="51"/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1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5">
        <f t="shared" si="60"/>
        <v>4</v>
      </c>
    </row>
    <row r="216" spans="1:28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5">
        <f t="shared" si="60"/>
        <v>0</v>
      </c>
    </row>
    <row r="217" spans="1:28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>
        <f t="shared" si="60"/>
        <v>0</v>
      </c>
    </row>
    <row r="218" spans="1:28" ht="13.15" customHeight="1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>
        <f t="shared" si="60"/>
        <v>0</v>
      </c>
    </row>
    <row r="219" spans="1:28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>
        <f t="shared" si="60"/>
        <v>0</v>
      </c>
    </row>
    <row r="220" spans="1:28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>
        <f t="shared" si="60"/>
        <v>0</v>
      </c>
    </row>
    <row r="221" spans="1:28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>
        <f t="shared" si="60"/>
        <v>0</v>
      </c>
    </row>
    <row r="222" spans="1:28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>
        <f t="shared" si="60"/>
        <v>0</v>
      </c>
    </row>
    <row r="223" spans="1:28">
      <c r="A223" s="6" t="s">
        <v>26</v>
      </c>
      <c r="B223" s="66" t="s">
        <v>51</v>
      </c>
      <c r="C223" s="67"/>
      <c r="D223" s="68"/>
      <c r="E223" s="5">
        <f t="shared" ref="E223:AB223" si="61">SUM(E213:E222)</f>
        <v>2</v>
      </c>
      <c r="F223" s="5">
        <f t="shared" ref="F223:S223" si="62">SUM(F213:F222)</f>
        <v>3</v>
      </c>
      <c r="G223" s="5">
        <f t="shared" si="62"/>
        <v>1</v>
      </c>
      <c r="H223" s="5">
        <f t="shared" si="62"/>
        <v>1</v>
      </c>
      <c r="I223" s="5">
        <f t="shared" si="62"/>
        <v>0</v>
      </c>
      <c r="J223" s="5">
        <f t="shared" si="62"/>
        <v>0</v>
      </c>
      <c r="K223" s="5">
        <f t="shared" si="62"/>
        <v>1</v>
      </c>
      <c r="L223" s="5">
        <f t="shared" si="62"/>
        <v>1</v>
      </c>
      <c r="M223" s="5">
        <f t="shared" si="62"/>
        <v>4</v>
      </c>
      <c r="N223" s="5">
        <f t="shared" si="62"/>
        <v>0</v>
      </c>
      <c r="O223" s="5">
        <f t="shared" si="62"/>
        <v>0</v>
      </c>
      <c r="P223" s="5">
        <f t="shared" si="62"/>
        <v>0</v>
      </c>
      <c r="Q223" s="5">
        <f t="shared" si="62"/>
        <v>2</v>
      </c>
      <c r="R223" s="5">
        <f t="shared" si="62"/>
        <v>2</v>
      </c>
      <c r="S223" s="5">
        <f t="shared" si="62"/>
        <v>1</v>
      </c>
      <c r="T223" s="5">
        <f t="shared" si="61"/>
        <v>5</v>
      </c>
      <c r="U223" s="5">
        <f t="shared" si="61"/>
        <v>2</v>
      </c>
      <c r="V223" s="5">
        <f t="shared" si="61"/>
        <v>1</v>
      </c>
      <c r="W223" s="5">
        <f t="shared" si="61"/>
        <v>1</v>
      </c>
      <c r="X223" s="5">
        <f t="shared" si="61"/>
        <v>1</v>
      </c>
      <c r="Y223" s="5">
        <f t="shared" si="61"/>
        <v>1</v>
      </c>
      <c r="Z223" s="5">
        <f t="shared" si="61"/>
        <v>0</v>
      </c>
      <c r="AA223" s="5">
        <f t="shared" si="61"/>
        <v>0</v>
      </c>
      <c r="AB223" s="5">
        <f t="shared" si="61"/>
        <v>29</v>
      </c>
    </row>
    <row r="224" spans="1:28">
      <c r="A224" s="74"/>
      <c r="B224" s="75"/>
      <c r="C224" s="75"/>
      <c r="D224" s="75"/>
      <c r="E224" s="7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>
      <c r="A225" s="11" t="s">
        <v>48</v>
      </c>
      <c r="B225" s="17" t="s">
        <v>77</v>
      </c>
      <c r="C225" s="72" t="s">
        <v>78</v>
      </c>
      <c r="D225" s="73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5">
        <f t="shared" ref="AB225:AB234" si="63">SUM(E225:AA225)</f>
        <v>3</v>
      </c>
    </row>
    <row r="226" spans="1:28">
      <c r="A226" s="11" t="s">
        <v>50</v>
      </c>
      <c r="B226" s="17"/>
      <c r="C226" s="24" t="s">
        <v>177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5">
        <f t="shared" si="63"/>
        <v>3</v>
      </c>
    </row>
    <row r="227" spans="1:28">
      <c r="A227" s="7"/>
      <c r="B227" s="63"/>
      <c r="C227" s="46"/>
      <c r="D227" s="4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5">
        <f t="shared" si="63"/>
        <v>0</v>
      </c>
    </row>
    <row r="228" spans="1:28">
      <c r="A228" s="7"/>
      <c r="B228" s="63"/>
      <c r="C228" s="46"/>
      <c r="D228" s="4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5">
        <f t="shared" si="63"/>
        <v>0</v>
      </c>
    </row>
    <row r="229" spans="1:28" ht="13.15" customHeight="1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5">
        <f t="shared" si="63"/>
        <v>0</v>
      </c>
    </row>
    <row r="230" spans="1:28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>
        <f t="shared" si="63"/>
        <v>0</v>
      </c>
    </row>
    <row r="231" spans="1:28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>
        <f t="shared" si="63"/>
        <v>0</v>
      </c>
    </row>
    <row r="232" spans="1:28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>
        <f t="shared" si="63"/>
        <v>0</v>
      </c>
    </row>
    <row r="233" spans="1:28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>
        <f t="shared" si="63"/>
        <v>0</v>
      </c>
    </row>
    <row r="234" spans="1:28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>
        <f t="shared" si="63"/>
        <v>0</v>
      </c>
    </row>
    <row r="235" spans="1:28">
      <c r="A235" s="6" t="s">
        <v>26</v>
      </c>
      <c r="B235" s="66" t="s">
        <v>51</v>
      </c>
      <c r="C235" s="67"/>
      <c r="D235" s="68"/>
      <c r="E235" s="5">
        <f t="shared" ref="E235:AB235" si="64">SUM(E225:E234)</f>
        <v>0</v>
      </c>
      <c r="F235" s="5">
        <f t="shared" ref="F235:S235" si="65">SUM(F225:F234)</f>
        <v>0</v>
      </c>
      <c r="G235" s="5">
        <f t="shared" si="65"/>
        <v>0</v>
      </c>
      <c r="H235" s="5">
        <f t="shared" si="65"/>
        <v>0</v>
      </c>
      <c r="I235" s="5">
        <f t="shared" si="65"/>
        <v>1</v>
      </c>
      <c r="J235" s="5">
        <f t="shared" si="65"/>
        <v>0</v>
      </c>
      <c r="K235" s="5">
        <f t="shared" si="65"/>
        <v>0</v>
      </c>
      <c r="L235" s="5">
        <f t="shared" si="65"/>
        <v>0</v>
      </c>
      <c r="M235" s="5">
        <f t="shared" si="65"/>
        <v>1</v>
      </c>
      <c r="N235" s="5">
        <f t="shared" si="65"/>
        <v>3</v>
      </c>
      <c r="O235" s="5">
        <f t="shared" si="65"/>
        <v>0</v>
      </c>
      <c r="P235" s="5">
        <f t="shared" si="65"/>
        <v>0</v>
      </c>
      <c r="Q235" s="5">
        <f t="shared" si="65"/>
        <v>0</v>
      </c>
      <c r="R235" s="5">
        <f t="shared" si="65"/>
        <v>0</v>
      </c>
      <c r="S235" s="5">
        <f t="shared" si="65"/>
        <v>0</v>
      </c>
      <c r="T235" s="5">
        <f t="shared" si="64"/>
        <v>0</v>
      </c>
      <c r="U235" s="5">
        <f t="shared" si="64"/>
        <v>0</v>
      </c>
      <c r="V235" s="5">
        <f t="shared" si="64"/>
        <v>0</v>
      </c>
      <c r="W235" s="5">
        <f t="shared" si="64"/>
        <v>0</v>
      </c>
      <c r="X235" s="5">
        <f t="shared" si="64"/>
        <v>0</v>
      </c>
      <c r="Y235" s="5">
        <f t="shared" si="64"/>
        <v>0</v>
      </c>
      <c r="Z235" s="5">
        <f t="shared" si="64"/>
        <v>0</v>
      </c>
      <c r="AA235" s="5">
        <f t="shared" si="64"/>
        <v>1</v>
      </c>
      <c r="AB235" s="5">
        <f t="shared" si="64"/>
        <v>6</v>
      </c>
    </row>
    <row r="236" spans="1:28">
      <c r="A236" s="74"/>
      <c r="B236" s="75"/>
      <c r="C236" s="75"/>
      <c r="D236" s="75"/>
      <c r="E236" s="7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>
      <c r="A237" s="11" t="s">
        <v>48</v>
      </c>
      <c r="B237" s="17" t="s">
        <v>79</v>
      </c>
      <c r="C237" s="72" t="s">
        <v>80</v>
      </c>
      <c r="D237" s="73"/>
      <c r="E237" s="6">
        <v>0</v>
      </c>
      <c r="F237" s="6">
        <v>0</v>
      </c>
      <c r="G237" s="6">
        <v>0</v>
      </c>
      <c r="H237" s="6">
        <v>1</v>
      </c>
      <c r="I237" s="6">
        <v>1</v>
      </c>
      <c r="J237" s="6">
        <v>0</v>
      </c>
      <c r="K237" s="6">
        <v>0</v>
      </c>
      <c r="L237" s="6">
        <v>0</v>
      </c>
      <c r="M237" s="6">
        <v>1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1</v>
      </c>
      <c r="V237" s="6">
        <v>0</v>
      </c>
      <c r="W237" s="6">
        <v>0</v>
      </c>
      <c r="X237" s="6">
        <v>0</v>
      </c>
      <c r="Y237" s="6">
        <v>0</v>
      </c>
      <c r="Z237" s="6">
        <v>4</v>
      </c>
      <c r="AA237" s="6">
        <v>0</v>
      </c>
      <c r="AB237" s="5">
        <f t="shared" ref="AB237:AB246" si="66">SUM(E237:AA237)</f>
        <v>9</v>
      </c>
    </row>
    <row r="238" spans="1:28">
      <c r="A238" s="11" t="s">
        <v>50</v>
      </c>
      <c r="B238" s="50"/>
      <c r="C238" s="24" t="s">
        <v>178</v>
      </c>
      <c r="D238" s="51"/>
      <c r="E238" s="6">
        <v>2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7</v>
      </c>
      <c r="Z238" s="6">
        <v>9</v>
      </c>
      <c r="AA238" s="6">
        <v>0</v>
      </c>
      <c r="AB238" s="5">
        <f t="shared" si="66"/>
        <v>18</v>
      </c>
    </row>
    <row r="239" spans="1:28">
      <c r="A239" s="7"/>
      <c r="B239" s="50"/>
      <c r="C239" s="24" t="s">
        <v>179</v>
      </c>
      <c r="D239" s="51"/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5">
        <f t="shared" si="66"/>
        <v>0</v>
      </c>
    </row>
    <row r="240" spans="1:28" ht="13.15" customHeight="1">
      <c r="A240" s="7"/>
      <c r="B240" s="50"/>
      <c r="C240" s="24" t="s">
        <v>180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5">
        <f t="shared" si="66"/>
        <v>0</v>
      </c>
    </row>
    <row r="241" spans="1:28">
      <c r="A241" s="7"/>
      <c r="B241" s="50"/>
      <c r="C241" s="24" t="s">
        <v>181</v>
      </c>
      <c r="D241" s="51"/>
      <c r="E241" s="6">
        <v>0</v>
      </c>
      <c r="F241" s="6">
        <v>0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66"/>
        <v>1</v>
      </c>
    </row>
    <row r="242" spans="1:28" ht="12.75" customHeight="1">
      <c r="A242" s="7"/>
      <c r="B242" s="50"/>
      <c r="C242" s="24" t="s">
        <v>182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5">
        <f t="shared" si="66"/>
        <v>1</v>
      </c>
    </row>
    <row r="243" spans="1:28">
      <c r="A243" s="7"/>
      <c r="B243" s="50"/>
      <c r="C243" s="24" t="s">
        <v>183</v>
      </c>
      <c r="D243" s="51"/>
      <c r="E243" s="6">
        <v>0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1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66"/>
        <v>4</v>
      </c>
    </row>
    <row r="244" spans="1:28">
      <c r="A244" s="7"/>
      <c r="B244" s="50"/>
      <c r="C244" s="24" t="s">
        <v>184</v>
      </c>
      <c r="D244" s="51"/>
      <c r="E244" s="6">
        <v>0</v>
      </c>
      <c r="F244" s="6">
        <v>0</v>
      </c>
      <c r="G244" s="6">
        <v>2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5">
        <f t="shared" si="66"/>
        <v>2</v>
      </c>
    </row>
    <row r="245" spans="1:28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5">
        <f t="shared" si="66"/>
        <v>0</v>
      </c>
    </row>
    <row r="246" spans="1:28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5">
        <f t="shared" si="66"/>
        <v>0</v>
      </c>
    </row>
    <row r="247" spans="1:28" ht="12.75" customHeight="1">
      <c r="A247" s="6" t="s">
        <v>26</v>
      </c>
      <c r="B247" s="66" t="s">
        <v>51</v>
      </c>
      <c r="C247" s="67"/>
      <c r="D247" s="68"/>
      <c r="E247" s="5">
        <f t="shared" ref="E247:AB247" si="67">SUM(E237:E246)</f>
        <v>2</v>
      </c>
      <c r="F247" s="5">
        <f t="shared" ref="F247:S247" si="68">SUM(F237:F246)</f>
        <v>0</v>
      </c>
      <c r="G247" s="5">
        <f t="shared" si="68"/>
        <v>4</v>
      </c>
      <c r="H247" s="5">
        <f t="shared" si="68"/>
        <v>1</v>
      </c>
      <c r="I247" s="5">
        <f t="shared" si="68"/>
        <v>1</v>
      </c>
      <c r="J247" s="5">
        <f t="shared" si="68"/>
        <v>0</v>
      </c>
      <c r="K247" s="5">
        <f t="shared" si="68"/>
        <v>0</v>
      </c>
      <c r="L247" s="5">
        <f t="shared" si="68"/>
        <v>0</v>
      </c>
      <c r="M247" s="5">
        <f t="shared" si="68"/>
        <v>2</v>
      </c>
      <c r="N247" s="5">
        <f t="shared" si="68"/>
        <v>2</v>
      </c>
      <c r="O247" s="5">
        <f t="shared" si="68"/>
        <v>0</v>
      </c>
      <c r="P247" s="5">
        <f t="shared" si="68"/>
        <v>0</v>
      </c>
      <c r="Q247" s="5">
        <f t="shared" si="68"/>
        <v>1</v>
      </c>
      <c r="R247" s="5">
        <f t="shared" si="68"/>
        <v>0</v>
      </c>
      <c r="S247" s="5">
        <f t="shared" si="68"/>
        <v>0</v>
      </c>
      <c r="T247" s="5">
        <f t="shared" si="67"/>
        <v>0</v>
      </c>
      <c r="U247" s="5">
        <f t="shared" si="67"/>
        <v>1</v>
      </c>
      <c r="V247" s="5">
        <f t="shared" si="67"/>
        <v>0</v>
      </c>
      <c r="W247" s="5">
        <f t="shared" si="67"/>
        <v>1</v>
      </c>
      <c r="X247" s="5">
        <f t="shared" si="67"/>
        <v>0</v>
      </c>
      <c r="Y247" s="5">
        <f t="shared" si="67"/>
        <v>7</v>
      </c>
      <c r="Z247" s="5">
        <f t="shared" si="67"/>
        <v>13</v>
      </c>
      <c r="AA247" s="5">
        <f t="shared" si="67"/>
        <v>0</v>
      </c>
      <c r="AB247" s="5">
        <f t="shared" si="67"/>
        <v>35</v>
      </c>
    </row>
    <row r="248" spans="1:28">
      <c r="A248" s="74"/>
      <c r="B248" s="75"/>
      <c r="C248" s="75"/>
      <c r="D248" s="75"/>
      <c r="E248" s="76"/>
    </row>
    <row r="249" spans="1:28">
      <c r="A249" s="11" t="s">
        <v>48</v>
      </c>
      <c r="B249" s="17" t="s">
        <v>81</v>
      </c>
      <c r="C249" s="72" t="s">
        <v>82</v>
      </c>
      <c r="D249" s="73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5">
        <f t="shared" ref="AB249:AB258" si="69">SUM(E249:AA249)</f>
        <v>0</v>
      </c>
    </row>
    <row r="250" spans="1:28">
      <c r="A250" s="11" t="s">
        <v>50</v>
      </c>
      <c r="B250" s="17"/>
      <c r="C250" s="24" t="s">
        <v>185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5">
        <f t="shared" si="69"/>
        <v>0</v>
      </c>
    </row>
    <row r="251" spans="1:28">
      <c r="A251" s="7"/>
      <c r="B251" s="17"/>
      <c r="C251" s="24" t="s">
        <v>186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 t="shared" si="69"/>
        <v>0</v>
      </c>
    </row>
    <row r="252" spans="1:28">
      <c r="A252" s="7"/>
      <c r="B252" s="50"/>
      <c r="C252" s="24" t="s">
        <v>187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5">
        <f t="shared" si="69"/>
        <v>0</v>
      </c>
    </row>
    <row r="253" spans="1:28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>
        <f t="shared" si="69"/>
        <v>0</v>
      </c>
    </row>
    <row r="254" spans="1:28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>
        <f t="shared" si="69"/>
        <v>0</v>
      </c>
    </row>
    <row r="255" spans="1:28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>
        <f t="shared" si="69"/>
        <v>0</v>
      </c>
    </row>
    <row r="256" spans="1:28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>
        <f t="shared" si="69"/>
        <v>0</v>
      </c>
    </row>
    <row r="257" spans="1:28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>
        <f t="shared" si="69"/>
        <v>0</v>
      </c>
    </row>
    <row r="258" spans="1:28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>
        <f t="shared" si="69"/>
        <v>0</v>
      </c>
    </row>
    <row r="259" spans="1:28">
      <c r="A259" s="6" t="s">
        <v>26</v>
      </c>
      <c r="B259" s="66" t="s">
        <v>51</v>
      </c>
      <c r="C259" s="67"/>
      <c r="D259" s="68"/>
      <c r="E259" s="5">
        <f t="shared" ref="E259:AB259" si="70">SUM(E249:E258)</f>
        <v>0</v>
      </c>
      <c r="F259" s="5">
        <f t="shared" ref="F259:S259" si="71">SUM(F249:F258)</f>
        <v>0</v>
      </c>
      <c r="G259" s="5">
        <f t="shared" si="71"/>
        <v>0</v>
      </c>
      <c r="H259" s="5">
        <f t="shared" si="71"/>
        <v>0</v>
      </c>
      <c r="I259" s="5">
        <f t="shared" si="71"/>
        <v>0</v>
      </c>
      <c r="J259" s="5">
        <f t="shared" si="71"/>
        <v>0</v>
      </c>
      <c r="K259" s="5">
        <f t="shared" si="71"/>
        <v>0</v>
      </c>
      <c r="L259" s="5">
        <f t="shared" si="71"/>
        <v>0</v>
      </c>
      <c r="M259" s="5">
        <f t="shared" si="71"/>
        <v>0</v>
      </c>
      <c r="N259" s="5">
        <f t="shared" si="71"/>
        <v>0</v>
      </c>
      <c r="O259" s="5">
        <f t="shared" si="71"/>
        <v>0</v>
      </c>
      <c r="P259" s="5">
        <f t="shared" si="71"/>
        <v>0</v>
      </c>
      <c r="Q259" s="5">
        <f t="shared" si="71"/>
        <v>0</v>
      </c>
      <c r="R259" s="5">
        <f t="shared" si="71"/>
        <v>0</v>
      </c>
      <c r="S259" s="5">
        <f t="shared" si="71"/>
        <v>0</v>
      </c>
      <c r="T259" s="5">
        <f t="shared" si="70"/>
        <v>0</v>
      </c>
      <c r="U259" s="5">
        <f t="shared" si="70"/>
        <v>0</v>
      </c>
      <c r="V259" s="5">
        <f t="shared" si="70"/>
        <v>0</v>
      </c>
      <c r="W259" s="5">
        <f t="shared" si="70"/>
        <v>0</v>
      </c>
      <c r="X259" s="5">
        <f t="shared" si="70"/>
        <v>0</v>
      </c>
      <c r="Y259" s="5">
        <f t="shared" si="70"/>
        <v>0</v>
      </c>
      <c r="Z259" s="5">
        <f t="shared" si="70"/>
        <v>0</v>
      </c>
      <c r="AA259" s="5">
        <f t="shared" si="70"/>
        <v>0</v>
      </c>
      <c r="AB259" s="5">
        <f t="shared" si="70"/>
        <v>0</v>
      </c>
    </row>
    <row r="261" spans="1:28">
      <c r="A261" s="16" t="s">
        <v>83</v>
      </c>
      <c r="B261" s="69" t="s">
        <v>84</v>
      </c>
      <c r="C261" s="70"/>
      <c r="D261" s="7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>
      <c r="A262" s="16"/>
      <c r="B262" s="19" t="s">
        <v>85</v>
      </c>
      <c r="C262" s="64" t="s">
        <v>86</v>
      </c>
      <c r="D262" s="65"/>
      <c r="E262" s="6">
        <f>E55+E67+E79+E91+E103+E115+E127+E139+E151+E163+E175+E187+E199+E211+E223+E235+E247+E259</f>
        <v>208</v>
      </c>
      <c r="F262" s="6">
        <f t="shared" ref="F262:S262" si="72">F55+F67+F79+F91+F103+F115+F127+F139+F151+F163+F175+F187+F199+F211+F223+F235+F247+F259</f>
        <v>211</v>
      </c>
      <c r="G262" s="6">
        <f t="shared" si="72"/>
        <v>221</v>
      </c>
      <c r="H262" s="6">
        <f t="shared" si="72"/>
        <v>211</v>
      </c>
      <c r="I262" s="6">
        <f t="shared" si="72"/>
        <v>222</v>
      </c>
      <c r="J262" s="6">
        <f t="shared" si="72"/>
        <v>175</v>
      </c>
      <c r="K262" s="6">
        <f t="shared" si="72"/>
        <v>190</v>
      </c>
      <c r="L262" s="6">
        <f t="shared" si="72"/>
        <v>156</v>
      </c>
      <c r="M262" s="6">
        <f t="shared" si="72"/>
        <v>194</v>
      </c>
      <c r="N262" s="6">
        <f t="shared" si="72"/>
        <v>247</v>
      </c>
      <c r="O262" s="6">
        <f t="shared" si="72"/>
        <v>148</v>
      </c>
      <c r="P262" s="6">
        <f t="shared" si="72"/>
        <v>152</v>
      </c>
      <c r="Q262" s="6">
        <f t="shared" si="72"/>
        <v>188</v>
      </c>
      <c r="R262" s="6">
        <f t="shared" si="72"/>
        <v>182</v>
      </c>
      <c r="S262" s="6">
        <f t="shared" si="72"/>
        <v>222</v>
      </c>
      <c r="T262" s="6">
        <f t="shared" ref="T262:AA262" si="73">T55+T67+T79+T91+T103+T115+T127+T139+T151+T163+T175+T187+T199+T211+T223+T235+T247+T259</f>
        <v>145</v>
      </c>
      <c r="U262" s="6">
        <f t="shared" si="73"/>
        <v>218</v>
      </c>
      <c r="V262" s="6">
        <f t="shared" si="73"/>
        <v>213</v>
      </c>
      <c r="W262" s="6">
        <f t="shared" si="73"/>
        <v>213</v>
      </c>
      <c r="X262" s="6">
        <f t="shared" si="73"/>
        <v>229</v>
      </c>
      <c r="Y262" s="6">
        <f t="shared" si="73"/>
        <v>190</v>
      </c>
      <c r="Z262" s="6">
        <f t="shared" si="73"/>
        <v>214</v>
      </c>
      <c r="AA262" s="6">
        <f t="shared" si="73"/>
        <v>216</v>
      </c>
      <c r="AB262" s="5">
        <f>SUM(E262:AA262)</f>
        <v>4565</v>
      </c>
    </row>
    <row r="263" spans="1:28">
      <c r="A263" s="13"/>
      <c r="B263" s="19" t="s">
        <v>87</v>
      </c>
      <c r="C263" s="64" t="s">
        <v>88</v>
      </c>
      <c r="D263" s="65"/>
      <c r="E263">
        <v>15</v>
      </c>
      <c r="F263">
        <v>6</v>
      </c>
      <c r="G263">
        <v>9</v>
      </c>
      <c r="H263">
        <v>6</v>
      </c>
      <c r="I263">
        <v>6</v>
      </c>
      <c r="J263">
        <v>19</v>
      </c>
      <c r="K263">
        <v>5</v>
      </c>
      <c r="L263">
        <v>12</v>
      </c>
      <c r="M263">
        <v>17</v>
      </c>
      <c r="N263">
        <v>3</v>
      </c>
      <c r="O263">
        <v>6</v>
      </c>
      <c r="P263">
        <v>4</v>
      </c>
      <c r="Q263">
        <v>6</v>
      </c>
      <c r="R263">
        <v>8</v>
      </c>
      <c r="S263">
        <v>10</v>
      </c>
      <c r="T263" s="6">
        <v>7</v>
      </c>
      <c r="U263" s="6">
        <v>14</v>
      </c>
      <c r="V263" s="6">
        <v>13</v>
      </c>
      <c r="W263" s="6">
        <v>14</v>
      </c>
      <c r="X263" s="6">
        <v>8</v>
      </c>
      <c r="Y263" s="6">
        <v>9</v>
      </c>
      <c r="Z263" s="6">
        <v>7</v>
      </c>
      <c r="AA263" s="6">
        <v>12</v>
      </c>
      <c r="AB263" s="5">
        <f>SUM(E263:AA263)</f>
        <v>216</v>
      </c>
    </row>
    <row r="264" spans="1:28">
      <c r="A264" s="14"/>
      <c r="B264" s="19" t="s">
        <v>89</v>
      </c>
      <c r="C264" s="64" t="s">
        <v>90</v>
      </c>
      <c r="D264" s="65"/>
      <c r="E264" s="5">
        <f>SUM(E262:E263)</f>
        <v>223</v>
      </c>
      <c r="F264" s="5">
        <f t="shared" ref="F264:S264" si="74">SUM(F262:F263)</f>
        <v>217</v>
      </c>
      <c r="G264" s="5">
        <f t="shared" si="74"/>
        <v>230</v>
      </c>
      <c r="H264" s="5">
        <f t="shared" si="74"/>
        <v>217</v>
      </c>
      <c r="I264" s="5">
        <f t="shared" si="74"/>
        <v>228</v>
      </c>
      <c r="J264" s="5">
        <f t="shared" si="74"/>
        <v>194</v>
      </c>
      <c r="K264" s="5">
        <f t="shared" si="74"/>
        <v>195</v>
      </c>
      <c r="L264" s="5">
        <f t="shared" si="74"/>
        <v>168</v>
      </c>
      <c r="M264" s="5">
        <f t="shared" si="74"/>
        <v>211</v>
      </c>
      <c r="N264" s="5">
        <f t="shared" si="74"/>
        <v>250</v>
      </c>
      <c r="O264" s="5">
        <f t="shared" si="74"/>
        <v>154</v>
      </c>
      <c r="P264" s="5">
        <f t="shared" si="74"/>
        <v>156</v>
      </c>
      <c r="Q264" s="5">
        <f t="shared" si="74"/>
        <v>194</v>
      </c>
      <c r="R264" s="5">
        <f t="shared" si="74"/>
        <v>190</v>
      </c>
      <c r="S264" s="5">
        <f t="shared" si="74"/>
        <v>232</v>
      </c>
      <c r="T264" s="5">
        <f t="shared" ref="T264:AA264" si="75">SUM(T262:T263)</f>
        <v>152</v>
      </c>
      <c r="U264" s="5">
        <f t="shared" si="75"/>
        <v>232</v>
      </c>
      <c r="V264" s="5">
        <f t="shared" si="75"/>
        <v>226</v>
      </c>
      <c r="W264" s="5">
        <f t="shared" si="75"/>
        <v>227</v>
      </c>
      <c r="X264" s="5">
        <f t="shared" si="75"/>
        <v>237</v>
      </c>
      <c r="Y264" s="5">
        <f t="shared" si="75"/>
        <v>199</v>
      </c>
      <c r="Z264" s="5">
        <f t="shared" si="75"/>
        <v>221</v>
      </c>
      <c r="AA264" s="5">
        <f t="shared" si="75"/>
        <v>228</v>
      </c>
      <c r="AB264" s="5">
        <f>SUM(E264:AA264)</f>
        <v>4781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W37"/>
    <mergeCell ref="B38:D38"/>
    <mergeCell ref="B39:C41"/>
    <mergeCell ref="A42:D42"/>
    <mergeCell ref="E42:W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AA12"/>
    <mergeCell ref="AB12:AB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9" type="noConversion"/>
  <conditionalFormatting sqref="E14:AA15">
    <cfRule type="containsBlanks" dxfId="55" priority="20">
      <formula>LEN(TRIM(E14))=0</formula>
    </cfRule>
  </conditionalFormatting>
  <conditionalFormatting sqref="E19:AA20">
    <cfRule type="containsBlanks" dxfId="54" priority="23">
      <formula>LEN(TRIM(E19))=0</formula>
    </cfRule>
  </conditionalFormatting>
  <conditionalFormatting sqref="E22:AA23 E25:AA26 E33:AA33 E35:AA35 E39:AA40">
    <cfRule type="containsBlanks" dxfId="53" priority="24">
      <formula>LEN(TRIM(E22))=0</formula>
    </cfRule>
  </conditionalFormatting>
  <conditionalFormatting sqref="E30:AA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AA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AA54">
    <cfRule type="containsBlanks" dxfId="46" priority="19">
      <formula>LEN(TRIM(E45))=0</formula>
    </cfRule>
  </conditionalFormatting>
  <conditionalFormatting sqref="E57:AA66">
    <cfRule type="containsBlanks" dxfId="45" priority="18">
      <formula>LEN(TRIM(E57))=0</formula>
    </cfRule>
  </conditionalFormatting>
  <conditionalFormatting sqref="E69:AA78">
    <cfRule type="containsBlanks" dxfId="44" priority="17">
      <formula>LEN(TRIM(E69))=0</formula>
    </cfRule>
  </conditionalFormatting>
  <conditionalFormatting sqref="E81:AA90">
    <cfRule type="containsBlanks" dxfId="43" priority="16">
      <formula>LEN(TRIM(E81))=0</formula>
    </cfRule>
  </conditionalFormatting>
  <conditionalFormatting sqref="E93:AA102">
    <cfRule type="containsBlanks" dxfId="42" priority="15">
      <formula>LEN(TRIM(E93))=0</formula>
    </cfRule>
  </conditionalFormatting>
  <conditionalFormatting sqref="E105:AA114">
    <cfRule type="containsBlanks" dxfId="41" priority="14">
      <formula>LEN(TRIM(E105))=0</formula>
    </cfRule>
  </conditionalFormatting>
  <conditionalFormatting sqref="E117:AA126">
    <cfRule type="containsBlanks" dxfId="40" priority="1">
      <formula>LEN(TRIM(E117))=0</formula>
    </cfRule>
  </conditionalFormatting>
  <conditionalFormatting sqref="E129:AA138">
    <cfRule type="containsBlanks" dxfId="39" priority="13">
      <formula>LEN(TRIM(E129))=0</formula>
    </cfRule>
  </conditionalFormatting>
  <conditionalFormatting sqref="E141:AA150">
    <cfRule type="containsBlanks" dxfId="38" priority="12">
      <formula>LEN(TRIM(E141))=0</formula>
    </cfRule>
  </conditionalFormatting>
  <conditionalFormatting sqref="E153:AA162">
    <cfRule type="containsBlanks" dxfId="37" priority="3">
      <formula>LEN(TRIM(E153))=0</formula>
    </cfRule>
  </conditionalFormatting>
  <conditionalFormatting sqref="E165:AA174">
    <cfRule type="containsBlanks" dxfId="36" priority="11">
      <formula>LEN(TRIM(E165))=0</formula>
    </cfRule>
  </conditionalFormatting>
  <conditionalFormatting sqref="E177:AA186">
    <cfRule type="containsBlanks" dxfId="35" priority="10">
      <formula>LEN(TRIM(E177))=0</formula>
    </cfRule>
  </conditionalFormatting>
  <conditionalFormatting sqref="E189:AA198">
    <cfRule type="containsBlanks" dxfId="34" priority="9">
      <formula>LEN(TRIM(E189))=0</formula>
    </cfRule>
  </conditionalFormatting>
  <conditionalFormatting sqref="E201:AA210">
    <cfRule type="containsBlanks" dxfId="33" priority="8">
      <formula>LEN(TRIM(E201))=0</formula>
    </cfRule>
  </conditionalFormatting>
  <conditionalFormatting sqref="E213:AA222">
    <cfRule type="containsBlanks" dxfId="32" priority="7">
      <formula>LEN(TRIM(E213))=0</formula>
    </cfRule>
  </conditionalFormatting>
  <conditionalFormatting sqref="E225:AA234">
    <cfRule type="containsBlanks" dxfId="31" priority="6">
      <formula>LEN(TRIM(E225))=0</formula>
    </cfRule>
  </conditionalFormatting>
  <conditionalFormatting sqref="E237:AA246">
    <cfRule type="containsBlanks" dxfId="30" priority="5">
      <formula>LEN(TRIM(E237))=0</formula>
    </cfRule>
  </conditionalFormatting>
  <conditionalFormatting sqref="E249:AA258">
    <cfRule type="containsBlanks" dxfId="29" priority="4">
      <formula>LEN(TRIM(E249))=0</formula>
    </cfRule>
  </conditionalFormatting>
  <conditionalFormatting sqref="E262:AA262 T263:AA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00B050"/>
  </sheetPr>
  <dimension ref="A2:AB264"/>
  <sheetViews>
    <sheetView topLeftCell="C13" zoomScale="55" zoomScaleNormal="55" workbookViewId="0">
      <pane xSplit="1" ySplit="1" topLeftCell="D14" activePane="bottomRight" state="frozen"/>
      <selection activeCell="C13" sqref="C13"/>
      <selection pane="topRight" activeCell="D13" sqref="D13"/>
      <selection pane="bottomLeft" activeCell="C14" sqref="C14"/>
      <selection pane="bottomRight" activeCell="Y268" sqref="Y268"/>
    </sheetView>
  </sheetViews>
  <sheetFormatPr defaultRowHeight="13"/>
  <cols>
    <col min="3" max="3" width="67.09765625" bestFit="1" customWidth="1"/>
    <col min="4" max="4" width="5.8984375" bestFit="1" customWidth="1"/>
    <col min="5" max="5" width="9.09765625" customWidth="1"/>
    <col min="28" max="28" width="13.296875" customWidth="1"/>
  </cols>
  <sheetData>
    <row r="2" spans="1:28">
      <c r="C2" s="43" t="s">
        <v>98</v>
      </c>
      <c r="D2" s="43" t="s">
        <v>104</v>
      </c>
    </row>
    <row r="3" spans="1:28">
      <c r="C3" s="43" t="s">
        <v>99</v>
      </c>
      <c r="D3" s="43" t="s">
        <v>100</v>
      </c>
    </row>
    <row r="4" spans="1:28">
      <c r="C4" s="43" t="s">
        <v>101</v>
      </c>
      <c r="D4" s="43" t="s">
        <v>102</v>
      </c>
    </row>
    <row r="5" spans="1:28">
      <c r="C5" s="43"/>
      <c r="D5" s="43"/>
    </row>
    <row r="6" spans="1:28">
      <c r="C6" s="43"/>
      <c r="D6" s="43"/>
    </row>
    <row r="7" spans="1:28">
      <c r="C7" s="43"/>
      <c r="D7" s="43"/>
    </row>
    <row r="8" spans="1:28">
      <c r="C8" s="43"/>
      <c r="D8" s="43"/>
    </row>
    <row r="9" spans="1:28">
      <c r="C9" s="43" t="s">
        <v>103</v>
      </c>
      <c r="D9" s="43" t="s">
        <v>104</v>
      </c>
    </row>
    <row r="11" spans="1:28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1"/>
      <c r="U11" s="1"/>
      <c r="V11" s="1"/>
      <c r="W11" s="1"/>
      <c r="X11" s="1"/>
      <c r="Y11" s="1"/>
      <c r="Z11" s="3"/>
    </row>
    <row r="12" spans="1:28">
      <c r="A12" s="5" t="s">
        <v>0</v>
      </c>
      <c r="B12" s="69" t="s">
        <v>1</v>
      </c>
      <c r="C12" s="82"/>
      <c r="D12" s="73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4" t="s">
        <v>97</v>
      </c>
    </row>
    <row r="13" spans="1:28">
      <c r="A13" s="6" t="s">
        <v>2</v>
      </c>
      <c r="B13" s="90" t="s">
        <v>3</v>
      </c>
      <c r="C13" s="8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5"/>
    </row>
    <row r="14" spans="1:28">
      <c r="A14" s="7"/>
      <c r="B14" s="93" t="s">
        <v>22</v>
      </c>
      <c r="C14" s="81"/>
      <c r="D14" s="6" t="s">
        <v>23</v>
      </c>
      <c r="E14" s="6">
        <v>145</v>
      </c>
      <c r="F14" s="6">
        <v>131</v>
      </c>
      <c r="G14" s="6">
        <v>134</v>
      </c>
      <c r="H14" s="6">
        <v>122</v>
      </c>
      <c r="I14" s="6">
        <v>121</v>
      </c>
      <c r="J14" s="6">
        <v>109</v>
      </c>
      <c r="K14" s="6">
        <v>127</v>
      </c>
      <c r="L14" s="6">
        <v>130</v>
      </c>
      <c r="M14" s="6">
        <v>140</v>
      </c>
      <c r="N14" s="6">
        <v>125</v>
      </c>
      <c r="O14" s="6">
        <v>136</v>
      </c>
      <c r="P14" s="6">
        <v>142</v>
      </c>
      <c r="Q14" s="6">
        <v>134</v>
      </c>
      <c r="R14" s="6">
        <v>131</v>
      </c>
      <c r="S14" s="6">
        <v>124</v>
      </c>
      <c r="T14" s="6">
        <v>148</v>
      </c>
      <c r="U14" s="6">
        <v>136</v>
      </c>
      <c r="V14" s="6">
        <v>131</v>
      </c>
      <c r="W14" s="6">
        <v>138</v>
      </c>
      <c r="X14" s="6">
        <v>139</v>
      </c>
      <c r="Y14" s="6">
        <v>139</v>
      </c>
      <c r="Z14" s="6">
        <v>133</v>
      </c>
      <c r="AA14" s="6">
        <v>136</v>
      </c>
      <c r="AB14" s="5">
        <f>SUM(E14:AA14)</f>
        <v>3051</v>
      </c>
    </row>
    <row r="15" spans="1:28">
      <c r="A15" s="7"/>
      <c r="B15" s="94"/>
      <c r="C15" s="87"/>
      <c r="D15" s="6" t="s">
        <v>24</v>
      </c>
      <c r="E15" s="6">
        <v>125</v>
      </c>
      <c r="F15" s="6">
        <v>123</v>
      </c>
      <c r="G15" s="6">
        <v>135</v>
      </c>
      <c r="H15" s="6">
        <v>131</v>
      </c>
      <c r="I15" s="6">
        <v>133</v>
      </c>
      <c r="J15" s="6">
        <v>129</v>
      </c>
      <c r="K15" s="6">
        <v>126</v>
      </c>
      <c r="L15" s="6">
        <v>137</v>
      </c>
      <c r="M15" s="6">
        <v>131</v>
      </c>
      <c r="N15" s="6">
        <v>144</v>
      </c>
      <c r="O15" s="6">
        <v>134</v>
      </c>
      <c r="P15" s="6">
        <v>126</v>
      </c>
      <c r="Q15" s="6">
        <v>133</v>
      </c>
      <c r="R15" s="6">
        <v>140</v>
      </c>
      <c r="S15" s="6">
        <v>142</v>
      </c>
      <c r="T15" s="6">
        <v>125</v>
      </c>
      <c r="U15" s="6">
        <v>143</v>
      </c>
      <c r="V15" s="6">
        <v>124</v>
      </c>
      <c r="W15" s="6">
        <v>145</v>
      </c>
      <c r="X15" s="6">
        <v>141</v>
      </c>
      <c r="Y15" s="6">
        <v>137</v>
      </c>
      <c r="Z15" s="6">
        <v>126</v>
      </c>
      <c r="AA15" s="6">
        <v>132</v>
      </c>
      <c r="AB15" s="5">
        <f>SUM(E15:AA15)</f>
        <v>3062</v>
      </c>
    </row>
    <row r="16" spans="1:28">
      <c r="A16" s="8"/>
      <c r="B16" s="92"/>
      <c r="C16" s="88"/>
      <c r="D16" s="5" t="s">
        <v>25</v>
      </c>
      <c r="E16" s="5">
        <f t="shared" ref="E16:W16" si="0">SUM(E14:E15)</f>
        <v>270</v>
      </c>
      <c r="F16" s="5">
        <f t="shared" ref="F16:Q16" si="1">SUM(F14:F15)</f>
        <v>254</v>
      </c>
      <c r="G16" s="5">
        <f t="shared" si="1"/>
        <v>269</v>
      </c>
      <c r="H16" s="5">
        <f t="shared" si="1"/>
        <v>253</v>
      </c>
      <c r="I16" s="5">
        <f t="shared" si="1"/>
        <v>254</v>
      </c>
      <c r="J16" s="5">
        <f t="shared" si="1"/>
        <v>238</v>
      </c>
      <c r="K16" s="5">
        <f t="shared" si="1"/>
        <v>253</v>
      </c>
      <c r="L16" s="5">
        <f t="shared" si="1"/>
        <v>267</v>
      </c>
      <c r="M16" s="5">
        <f t="shared" si="1"/>
        <v>271</v>
      </c>
      <c r="N16" s="5">
        <f t="shared" si="1"/>
        <v>269</v>
      </c>
      <c r="O16" s="5">
        <f t="shared" si="1"/>
        <v>270</v>
      </c>
      <c r="P16" s="5">
        <f t="shared" si="1"/>
        <v>268</v>
      </c>
      <c r="Q16" s="5">
        <f t="shared" si="1"/>
        <v>267</v>
      </c>
      <c r="R16" s="5">
        <f t="shared" si="0"/>
        <v>271</v>
      </c>
      <c r="S16" s="5">
        <f t="shared" si="0"/>
        <v>266</v>
      </c>
      <c r="T16" s="5">
        <f t="shared" si="0"/>
        <v>273</v>
      </c>
      <c r="U16" s="5">
        <f t="shared" si="0"/>
        <v>279</v>
      </c>
      <c r="V16" s="5">
        <f t="shared" si="0"/>
        <v>255</v>
      </c>
      <c r="W16" s="5">
        <f t="shared" si="0"/>
        <v>283</v>
      </c>
      <c r="X16" s="5">
        <f t="shared" ref="X16:AA16" si="2">SUM(X14:X15)</f>
        <v>280</v>
      </c>
      <c r="Y16" s="5">
        <f t="shared" si="2"/>
        <v>276</v>
      </c>
      <c r="Z16" s="5">
        <f t="shared" si="2"/>
        <v>259</v>
      </c>
      <c r="AA16" s="5">
        <f t="shared" si="2"/>
        <v>268</v>
      </c>
      <c r="AB16" s="5">
        <f>SUM(E16:AA16)</f>
        <v>6113</v>
      </c>
    </row>
    <row r="17" spans="1:28">
      <c r="A17" s="74"/>
      <c r="B17" s="82"/>
      <c r="C17" s="8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6"/>
      <c r="U17" s="6"/>
      <c r="V17" s="6"/>
      <c r="W17" s="6"/>
      <c r="X17" s="6"/>
      <c r="Y17" s="6"/>
      <c r="Z17" s="10"/>
      <c r="AA17" s="10"/>
      <c r="AB17" s="28"/>
    </row>
    <row r="18" spans="1:28">
      <c r="A18" s="11" t="s">
        <v>26</v>
      </c>
      <c r="B18" s="90" t="s">
        <v>27</v>
      </c>
      <c r="C18" s="8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6"/>
      <c r="U18" s="6"/>
      <c r="V18" s="6"/>
      <c r="W18" s="6"/>
      <c r="X18" s="6"/>
      <c r="Y18" s="6"/>
      <c r="Z18" s="10"/>
      <c r="AA18" s="10"/>
      <c r="AB18" s="28"/>
    </row>
    <row r="19" spans="1:28">
      <c r="A19" s="11"/>
      <c r="B19" s="95" t="s">
        <v>28</v>
      </c>
      <c r="C19" s="96" t="s">
        <v>29</v>
      </c>
      <c r="D19" s="6" t="s">
        <v>23</v>
      </c>
      <c r="E19" s="6">
        <v>109</v>
      </c>
      <c r="F19" s="6">
        <v>97</v>
      </c>
      <c r="G19" s="6">
        <v>104</v>
      </c>
      <c r="H19" s="6">
        <v>86</v>
      </c>
      <c r="I19" s="6">
        <v>89</v>
      </c>
      <c r="J19" s="6">
        <v>83</v>
      </c>
      <c r="K19" s="6">
        <v>89</v>
      </c>
      <c r="L19" s="6">
        <v>100</v>
      </c>
      <c r="M19" s="6">
        <v>107</v>
      </c>
      <c r="N19" s="6">
        <v>93</v>
      </c>
      <c r="O19" s="6">
        <v>91</v>
      </c>
      <c r="P19" s="6">
        <v>94</v>
      </c>
      <c r="Q19" s="6">
        <v>97</v>
      </c>
      <c r="R19" s="6">
        <v>96</v>
      </c>
      <c r="S19" s="6">
        <v>88</v>
      </c>
      <c r="T19" s="6">
        <v>113</v>
      </c>
      <c r="U19" s="6">
        <v>109</v>
      </c>
      <c r="V19" s="6">
        <v>90</v>
      </c>
      <c r="W19" s="6">
        <v>109</v>
      </c>
      <c r="X19" s="6">
        <v>110</v>
      </c>
      <c r="Y19" s="6">
        <v>104</v>
      </c>
      <c r="Z19" s="6">
        <v>94</v>
      </c>
      <c r="AA19" s="6">
        <v>100</v>
      </c>
      <c r="AB19" s="5">
        <f t="shared" ref="AB19:AB30" si="3">SUM(E19:AA19)</f>
        <v>2252</v>
      </c>
    </row>
    <row r="20" spans="1:28">
      <c r="A20" s="12"/>
      <c r="B20" s="87"/>
      <c r="C20" s="97"/>
      <c r="D20" s="6" t="s">
        <v>24</v>
      </c>
      <c r="E20" s="6">
        <v>98</v>
      </c>
      <c r="F20" s="6">
        <v>104</v>
      </c>
      <c r="G20" s="6">
        <v>107</v>
      </c>
      <c r="H20" s="6">
        <v>98</v>
      </c>
      <c r="I20" s="6">
        <v>105</v>
      </c>
      <c r="J20" s="6">
        <v>108</v>
      </c>
      <c r="K20" s="6">
        <v>100</v>
      </c>
      <c r="L20" s="6">
        <v>108</v>
      </c>
      <c r="M20" s="6">
        <v>104</v>
      </c>
      <c r="N20" s="6">
        <v>112</v>
      </c>
      <c r="O20" s="6">
        <v>101</v>
      </c>
      <c r="P20" s="6">
        <v>87</v>
      </c>
      <c r="Q20" s="6">
        <v>99</v>
      </c>
      <c r="R20" s="6">
        <v>109</v>
      </c>
      <c r="S20" s="6">
        <v>95</v>
      </c>
      <c r="T20" s="6">
        <v>98</v>
      </c>
      <c r="U20" s="6">
        <v>120</v>
      </c>
      <c r="V20" s="6">
        <v>94</v>
      </c>
      <c r="W20" s="6">
        <v>119</v>
      </c>
      <c r="X20" s="6">
        <v>122</v>
      </c>
      <c r="Y20" s="6">
        <v>111</v>
      </c>
      <c r="Z20" s="6">
        <v>95</v>
      </c>
      <c r="AA20" s="6">
        <v>99</v>
      </c>
      <c r="AB20" s="5">
        <f t="shared" si="3"/>
        <v>2393</v>
      </c>
    </row>
    <row r="21" spans="1:28">
      <c r="A21" s="13"/>
      <c r="B21" s="88"/>
      <c r="C21" s="98"/>
      <c r="D21" s="5" t="s">
        <v>25</v>
      </c>
      <c r="E21" s="5">
        <f t="shared" ref="E21:W21" si="4">SUM(E19:E20)</f>
        <v>207</v>
      </c>
      <c r="F21" s="5">
        <f t="shared" ref="F21:Q21" si="5">SUM(F19:F20)</f>
        <v>201</v>
      </c>
      <c r="G21" s="5">
        <f t="shared" si="5"/>
        <v>211</v>
      </c>
      <c r="H21" s="5">
        <f t="shared" si="5"/>
        <v>184</v>
      </c>
      <c r="I21" s="5">
        <f t="shared" si="5"/>
        <v>194</v>
      </c>
      <c r="J21" s="5">
        <f t="shared" si="5"/>
        <v>191</v>
      </c>
      <c r="K21" s="5">
        <f t="shared" si="5"/>
        <v>189</v>
      </c>
      <c r="L21" s="5">
        <f t="shared" si="5"/>
        <v>208</v>
      </c>
      <c r="M21" s="5">
        <f t="shared" si="5"/>
        <v>211</v>
      </c>
      <c r="N21" s="5">
        <f t="shared" si="5"/>
        <v>205</v>
      </c>
      <c r="O21" s="5">
        <f t="shared" si="5"/>
        <v>192</v>
      </c>
      <c r="P21" s="5">
        <f t="shared" si="5"/>
        <v>181</v>
      </c>
      <c r="Q21" s="5">
        <f t="shared" si="5"/>
        <v>196</v>
      </c>
      <c r="R21" s="5">
        <f t="shared" si="4"/>
        <v>205</v>
      </c>
      <c r="S21" s="5">
        <f t="shared" si="4"/>
        <v>183</v>
      </c>
      <c r="T21" s="5">
        <f t="shared" si="4"/>
        <v>211</v>
      </c>
      <c r="U21" s="5">
        <f t="shared" si="4"/>
        <v>229</v>
      </c>
      <c r="V21" s="5">
        <f t="shared" si="4"/>
        <v>184</v>
      </c>
      <c r="W21" s="5">
        <f t="shared" si="4"/>
        <v>228</v>
      </c>
      <c r="X21" s="5">
        <f t="shared" ref="X21:AA21" si="6">SUM(X19:X20)</f>
        <v>232</v>
      </c>
      <c r="Y21" s="5">
        <f t="shared" si="6"/>
        <v>215</v>
      </c>
      <c r="Z21" s="5">
        <f t="shared" si="6"/>
        <v>189</v>
      </c>
      <c r="AA21" s="5">
        <f t="shared" si="6"/>
        <v>199</v>
      </c>
      <c r="AB21" s="5">
        <f t="shared" si="3"/>
        <v>4645</v>
      </c>
    </row>
    <row r="22" spans="1:28">
      <c r="A22" s="12"/>
      <c r="B22" s="95" t="s">
        <v>30</v>
      </c>
      <c r="C22" s="9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5">
        <f t="shared" si="3"/>
        <v>1</v>
      </c>
    </row>
    <row r="23" spans="1:28">
      <c r="A23" s="12"/>
      <c r="B23" s="87"/>
      <c r="C23" s="97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5">
        <f t="shared" si="3"/>
        <v>0</v>
      </c>
    </row>
    <row r="24" spans="1:28">
      <c r="A24" s="13"/>
      <c r="B24" s="88"/>
      <c r="C24" s="98"/>
      <c r="D24" s="5" t="s">
        <v>25</v>
      </c>
      <c r="E24" s="5">
        <f t="shared" ref="E24:W24" si="7">SUM(E22:E23)</f>
        <v>0</v>
      </c>
      <c r="F24" s="5">
        <f t="shared" ref="F24:Q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7"/>
        <v>0</v>
      </c>
      <c r="S24" s="5">
        <f t="shared" si="7"/>
        <v>1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ref="X24:AA24" si="9">SUM(X22:X23)</f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3"/>
        <v>1</v>
      </c>
    </row>
    <row r="25" spans="1:28">
      <c r="A25" s="12"/>
      <c r="B25" s="95" t="s">
        <v>32</v>
      </c>
      <c r="C25" s="96" t="s">
        <v>33</v>
      </c>
      <c r="D25" s="6" t="s">
        <v>23</v>
      </c>
      <c r="E25" s="6">
        <v>2</v>
      </c>
      <c r="F25" s="6">
        <v>2</v>
      </c>
      <c r="G25" s="6">
        <v>4</v>
      </c>
      <c r="H25" s="6">
        <v>1</v>
      </c>
      <c r="I25" s="6">
        <v>1</v>
      </c>
      <c r="J25" s="6">
        <v>6</v>
      </c>
      <c r="K25" s="6">
        <v>5</v>
      </c>
      <c r="L25" s="6">
        <v>1</v>
      </c>
      <c r="M25" s="6">
        <v>0</v>
      </c>
      <c r="N25" s="6">
        <v>1</v>
      </c>
      <c r="O25" s="6">
        <v>0</v>
      </c>
      <c r="P25" s="6">
        <v>4</v>
      </c>
      <c r="Q25" s="6">
        <v>0</v>
      </c>
      <c r="R25" s="6">
        <v>3</v>
      </c>
      <c r="S25" s="6">
        <v>2</v>
      </c>
      <c r="T25" s="6">
        <v>2</v>
      </c>
      <c r="U25" s="6">
        <v>4</v>
      </c>
      <c r="V25" s="6">
        <v>2</v>
      </c>
      <c r="W25" s="6">
        <v>0</v>
      </c>
      <c r="X25" s="6">
        <v>0</v>
      </c>
      <c r="Y25" s="6">
        <v>1</v>
      </c>
      <c r="Z25" s="6">
        <v>5</v>
      </c>
      <c r="AA25" s="6">
        <v>1</v>
      </c>
      <c r="AB25" s="5">
        <f t="shared" si="3"/>
        <v>47</v>
      </c>
    </row>
    <row r="26" spans="1:28">
      <c r="A26" s="12"/>
      <c r="B26" s="87"/>
      <c r="C26" s="97"/>
      <c r="D26" s="6" t="s">
        <v>24</v>
      </c>
      <c r="E26" s="6">
        <v>3</v>
      </c>
      <c r="F26" s="6">
        <v>6</v>
      </c>
      <c r="G26" s="6">
        <v>6</v>
      </c>
      <c r="H26" s="6">
        <v>3</v>
      </c>
      <c r="I26" s="6">
        <v>4</v>
      </c>
      <c r="J26" s="6">
        <v>4</v>
      </c>
      <c r="K26" s="6">
        <v>4</v>
      </c>
      <c r="L26" s="6">
        <v>0</v>
      </c>
      <c r="M26" s="6">
        <v>5</v>
      </c>
      <c r="N26" s="6">
        <v>5</v>
      </c>
      <c r="O26" s="6">
        <v>1</v>
      </c>
      <c r="P26" s="6">
        <v>9</v>
      </c>
      <c r="Q26" s="6">
        <v>1</v>
      </c>
      <c r="R26" s="6">
        <v>2</v>
      </c>
      <c r="S26" s="6">
        <v>1</v>
      </c>
      <c r="T26" s="6">
        <v>5</v>
      </c>
      <c r="U26" s="6">
        <v>3</v>
      </c>
      <c r="V26" s="6">
        <v>2</v>
      </c>
      <c r="W26" s="6">
        <v>2</v>
      </c>
      <c r="X26" s="6">
        <v>2</v>
      </c>
      <c r="Y26" s="6">
        <v>2</v>
      </c>
      <c r="Z26" s="6">
        <v>3</v>
      </c>
      <c r="AA26" s="6">
        <v>2</v>
      </c>
      <c r="AB26" s="5">
        <f t="shared" si="3"/>
        <v>75</v>
      </c>
    </row>
    <row r="27" spans="1:28">
      <c r="A27" s="13"/>
      <c r="B27" s="88"/>
      <c r="C27" s="98"/>
      <c r="D27" s="5" t="s">
        <v>25</v>
      </c>
      <c r="E27" s="5">
        <f t="shared" ref="E27:W27" si="10">SUM(E25:E26)</f>
        <v>5</v>
      </c>
      <c r="F27" s="5">
        <f t="shared" ref="F27:Q27" si="11">SUM(F25:F26)</f>
        <v>8</v>
      </c>
      <c r="G27" s="5">
        <f t="shared" si="11"/>
        <v>10</v>
      </c>
      <c r="H27" s="5">
        <f t="shared" si="11"/>
        <v>4</v>
      </c>
      <c r="I27" s="5">
        <f t="shared" si="11"/>
        <v>5</v>
      </c>
      <c r="J27" s="5">
        <f t="shared" si="11"/>
        <v>10</v>
      </c>
      <c r="K27" s="5">
        <f t="shared" si="11"/>
        <v>9</v>
      </c>
      <c r="L27" s="5">
        <f t="shared" si="11"/>
        <v>1</v>
      </c>
      <c r="M27" s="5">
        <f t="shared" si="11"/>
        <v>5</v>
      </c>
      <c r="N27" s="5">
        <f t="shared" si="11"/>
        <v>6</v>
      </c>
      <c r="O27" s="5">
        <f t="shared" si="11"/>
        <v>1</v>
      </c>
      <c r="P27" s="5">
        <f t="shared" si="11"/>
        <v>13</v>
      </c>
      <c r="Q27" s="5">
        <f t="shared" si="11"/>
        <v>1</v>
      </c>
      <c r="R27" s="5">
        <f t="shared" si="10"/>
        <v>5</v>
      </c>
      <c r="S27" s="5">
        <f t="shared" si="10"/>
        <v>3</v>
      </c>
      <c r="T27" s="5">
        <f t="shared" si="10"/>
        <v>7</v>
      </c>
      <c r="U27" s="5">
        <f t="shared" si="10"/>
        <v>7</v>
      </c>
      <c r="V27" s="5">
        <f t="shared" si="10"/>
        <v>4</v>
      </c>
      <c r="W27" s="5">
        <f t="shared" si="10"/>
        <v>2</v>
      </c>
      <c r="X27" s="5">
        <f t="shared" ref="X27:AA27" si="12">SUM(X25:X26)</f>
        <v>2</v>
      </c>
      <c r="Y27" s="5">
        <f t="shared" si="12"/>
        <v>3</v>
      </c>
      <c r="Z27" s="5">
        <f t="shared" si="12"/>
        <v>8</v>
      </c>
      <c r="AA27" s="5">
        <f t="shared" si="12"/>
        <v>3</v>
      </c>
      <c r="AB27" s="5">
        <f t="shared" si="3"/>
        <v>122</v>
      </c>
    </row>
    <row r="28" spans="1:28">
      <c r="A28" s="13"/>
      <c r="B28" s="99" t="s">
        <v>34</v>
      </c>
      <c r="C28" s="100" t="s">
        <v>35</v>
      </c>
      <c r="D28" s="5" t="s">
        <v>23</v>
      </c>
      <c r="E28" s="5">
        <f>SUM(E19,E22,E25)</f>
        <v>111</v>
      </c>
      <c r="F28" s="5">
        <f t="shared" ref="F28:Q28" si="13">SUM(F19,F22,F25)</f>
        <v>99</v>
      </c>
      <c r="G28" s="5">
        <f t="shared" si="13"/>
        <v>108</v>
      </c>
      <c r="H28" s="5">
        <f t="shared" si="13"/>
        <v>87</v>
      </c>
      <c r="I28" s="5">
        <f t="shared" si="13"/>
        <v>90</v>
      </c>
      <c r="J28" s="5">
        <f t="shared" si="13"/>
        <v>89</v>
      </c>
      <c r="K28" s="5">
        <f t="shared" si="13"/>
        <v>94</v>
      </c>
      <c r="L28" s="5">
        <f t="shared" si="13"/>
        <v>101</v>
      </c>
      <c r="M28" s="5">
        <f t="shared" si="13"/>
        <v>107</v>
      </c>
      <c r="N28" s="5">
        <f t="shared" si="13"/>
        <v>94</v>
      </c>
      <c r="O28" s="5">
        <f t="shared" si="13"/>
        <v>91</v>
      </c>
      <c r="P28" s="5">
        <f t="shared" si="13"/>
        <v>98</v>
      </c>
      <c r="Q28" s="5">
        <f t="shared" si="13"/>
        <v>97</v>
      </c>
      <c r="R28" s="5">
        <f t="shared" ref="R28:W29" si="14">SUM(R19,R22,R25)</f>
        <v>99</v>
      </c>
      <c r="S28" s="5">
        <f t="shared" si="14"/>
        <v>91</v>
      </c>
      <c r="T28" s="5">
        <f t="shared" si="14"/>
        <v>115</v>
      </c>
      <c r="U28" s="5">
        <f t="shared" si="14"/>
        <v>113</v>
      </c>
      <c r="V28" s="5">
        <f t="shared" si="14"/>
        <v>92</v>
      </c>
      <c r="W28" s="5">
        <f t="shared" si="14"/>
        <v>109</v>
      </c>
      <c r="X28" s="5">
        <f t="shared" ref="X28:AA28" si="15">SUM(X19,X22,X25)</f>
        <v>110</v>
      </c>
      <c r="Y28" s="5">
        <f t="shared" si="15"/>
        <v>105</v>
      </c>
      <c r="Z28" s="5">
        <f t="shared" si="15"/>
        <v>99</v>
      </c>
      <c r="AA28" s="5">
        <f t="shared" si="15"/>
        <v>101</v>
      </c>
      <c r="AB28" s="5">
        <f t="shared" si="3"/>
        <v>2300</v>
      </c>
    </row>
    <row r="29" spans="1:28">
      <c r="A29" s="13"/>
      <c r="B29" s="87"/>
      <c r="C29" s="97"/>
      <c r="D29" s="5" t="s">
        <v>24</v>
      </c>
      <c r="E29" s="5">
        <f>SUM(E20,E23,E26)</f>
        <v>101</v>
      </c>
      <c r="F29" s="5">
        <f t="shared" ref="F29:Q29" si="16">SUM(F20,F23,F26)</f>
        <v>110</v>
      </c>
      <c r="G29" s="5">
        <f t="shared" si="16"/>
        <v>113</v>
      </c>
      <c r="H29" s="5">
        <f t="shared" si="16"/>
        <v>101</v>
      </c>
      <c r="I29" s="5">
        <f t="shared" si="16"/>
        <v>109</v>
      </c>
      <c r="J29" s="5">
        <f t="shared" si="16"/>
        <v>112</v>
      </c>
      <c r="K29" s="5">
        <f t="shared" si="16"/>
        <v>104</v>
      </c>
      <c r="L29" s="5">
        <f t="shared" si="16"/>
        <v>108</v>
      </c>
      <c r="M29" s="5">
        <f t="shared" si="16"/>
        <v>109</v>
      </c>
      <c r="N29" s="5">
        <f t="shared" si="16"/>
        <v>117</v>
      </c>
      <c r="O29" s="5">
        <f t="shared" si="16"/>
        <v>102</v>
      </c>
      <c r="P29" s="5">
        <f t="shared" si="16"/>
        <v>96</v>
      </c>
      <c r="Q29" s="5">
        <f t="shared" si="16"/>
        <v>100</v>
      </c>
      <c r="R29" s="5">
        <f t="shared" si="14"/>
        <v>111</v>
      </c>
      <c r="S29" s="5">
        <f t="shared" si="14"/>
        <v>96</v>
      </c>
      <c r="T29" s="5">
        <f t="shared" si="14"/>
        <v>103</v>
      </c>
      <c r="U29" s="5">
        <f t="shared" si="14"/>
        <v>123</v>
      </c>
      <c r="V29" s="5">
        <f t="shared" si="14"/>
        <v>96</v>
      </c>
      <c r="W29" s="5">
        <f t="shared" si="14"/>
        <v>121</v>
      </c>
      <c r="X29" s="5">
        <f t="shared" ref="X29:AA29" si="17">SUM(X20,X23,X26)</f>
        <v>124</v>
      </c>
      <c r="Y29" s="5">
        <f t="shared" si="17"/>
        <v>113</v>
      </c>
      <c r="Z29" s="5">
        <f t="shared" si="17"/>
        <v>98</v>
      </c>
      <c r="AA29" s="5">
        <f t="shared" si="17"/>
        <v>101</v>
      </c>
      <c r="AB29" s="5">
        <f t="shared" si="3"/>
        <v>2468</v>
      </c>
    </row>
    <row r="30" spans="1:28">
      <c r="A30" s="13"/>
      <c r="B30" s="88"/>
      <c r="C30" s="98"/>
      <c r="D30" s="5" t="s">
        <v>25</v>
      </c>
      <c r="E30" s="5">
        <f t="shared" ref="E30:Q30" si="18">SUM(E28:E29)</f>
        <v>212</v>
      </c>
      <c r="F30" s="5">
        <f t="shared" si="18"/>
        <v>209</v>
      </c>
      <c r="G30" s="5">
        <f t="shared" si="18"/>
        <v>221</v>
      </c>
      <c r="H30" s="5">
        <f t="shared" si="18"/>
        <v>188</v>
      </c>
      <c r="I30" s="5">
        <f t="shared" si="18"/>
        <v>199</v>
      </c>
      <c r="J30" s="5">
        <f t="shared" si="18"/>
        <v>201</v>
      </c>
      <c r="K30" s="5">
        <f t="shared" si="18"/>
        <v>198</v>
      </c>
      <c r="L30" s="5">
        <f t="shared" si="18"/>
        <v>209</v>
      </c>
      <c r="M30" s="5">
        <f t="shared" si="18"/>
        <v>216</v>
      </c>
      <c r="N30" s="5">
        <f t="shared" si="18"/>
        <v>211</v>
      </c>
      <c r="O30" s="5">
        <f t="shared" si="18"/>
        <v>193</v>
      </c>
      <c r="P30" s="5">
        <f t="shared" si="18"/>
        <v>194</v>
      </c>
      <c r="Q30" s="5">
        <f t="shared" si="18"/>
        <v>197</v>
      </c>
      <c r="R30" s="5">
        <f t="shared" ref="R30:W30" si="19">SUM(R28:R29)</f>
        <v>210</v>
      </c>
      <c r="S30" s="5">
        <f t="shared" si="19"/>
        <v>187</v>
      </c>
      <c r="T30" s="5">
        <f t="shared" si="19"/>
        <v>218</v>
      </c>
      <c r="U30" s="5">
        <f t="shared" si="19"/>
        <v>236</v>
      </c>
      <c r="V30" s="5">
        <f t="shared" si="19"/>
        <v>188</v>
      </c>
      <c r="W30" s="5">
        <f t="shared" si="19"/>
        <v>230</v>
      </c>
      <c r="X30" s="5">
        <f t="shared" ref="X30:AA30" si="20">SUM(X28:X29)</f>
        <v>234</v>
      </c>
      <c r="Y30" s="5">
        <f t="shared" si="20"/>
        <v>218</v>
      </c>
      <c r="Z30" s="5">
        <f t="shared" si="20"/>
        <v>197</v>
      </c>
      <c r="AA30" s="5">
        <f t="shared" si="20"/>
        <v>202</v>
      </c>
      <c r="AB30" s="5">
        <f t="shared" si="3"/>
        <v>4768</v>
      </c>
    </row>
    <row r="31" spans="1:28">
      <c r="A31" s="74"/>
      <c r="B31" s="82"/>
      <c r="C31" s="8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  <c r="Z31" s="10"/>
      <c r="AA31" s="10"/>
      <c r="AB31" s="28"/>
    </row>
    <row r="32" spans="1:28">
      <c r="A32" s="14" t="s">
        <v>36</v>
      </c>
      <c r="B32" s="69" t="s">
        <v>37</v>
      </c>
      <c r="C32" s="8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5"/>
      <c r="U32" s="5"/>
      <c r="V32" s="5"/>
      <c r="W32" s="5"/>
      <c r="X32" s="5"/>
      <c r="Y32" s="5"/>
      <c r="Z32" s="15"/>
      <c r="AA32" s="15"/>
      <c r="AB32" s="28"/>
    </row>
    <row r="33" spans="1:28">
      <c r="A33" s="6">
        <v>1</v>
      </c>
      <c r="B33" s="90" t="s">
        <v>38</v>
      </c>
      <c r="C33" s="82"/>
      <c r="D33" s="73"/>
      <c r="E33" s="6">
        <v>276</v>
      </c>
      <c r="F33" s="6">
        <v>260</v>
      </c>
      <c r="G33" s="6">
        <v>275</v>
      </c>
      <c r="H33" s="6">
        <v>259</v>
      </c>
      <c r="I33" s="6">
        <v>260</v>
      </c>
      <c r="J33" s="6">
        <v>243</v>
      </c>
      <c r="K33" s="6">
        <v>259</v>
      </c>
      <c r="L33" s="6">
        <v>273</v>
      </c>
      <c r="M33" s="6">
        <v>277</v>
      </c>
      <c r="N33" s="6">
        <v>275</v>
      </c>
      <c r="O33" s="6">
        <v>276</v>
      </c>
      <c r="P33" s="6">
        <v>274</v>
      </c>
      <c r="Q33" s="6">
        <v>273</v>
      </c>
      <c r="R33" s="6">
        <v>277</v>
      </c>
      <c r="S33" s="6">
        <v>273</v>
      </c>
      <c r="T33" s="6">
        <v>279</v>
      </c>
      <c r="U33" s="6">
        <v>285</v>
      </c>
      <c r="V33" s="6">
        <v>261</v>
      </c>
      <c r="W33" s="6">
        <v>289</v>
      </c>
      <c r="X33" s="6">
        <v>286</v>
      </c>
      <c r="Y33" s="6">
        <v>274</v>
      </c>
      <c r="Z33" s="6">
        <v>265</v>
      </c>
      <c r="AA33" s="6">
        <v>274</v>
      </c>
      <c r="AB33" s="5">
        <f>SUM(E33:AA33)</f>
        <v>6243</v>
      </c>
    </row>
    <row r="34" spans="1:28">
      <c r="A34" s="6">
        <v>2</v>
      </c>
      <c r="B34" s="90" t="s">
        <v>39</v>
      </c>
      <c r="C34" s="82"/>
      <c r="D34" s="73"/>
      <c r="E34" s="5">
        <v>212</v>
      </c>
      <c r="F34" s="5">
        <v>209</v>
      </c>
      <c r="G34" s="5">
        <v>221</v>
      </c>
      <c r="H34" s="5">
        <v>188</v>
      </c>
      <c r="I34" s="5">
        <v>199</v>
      </c>
      <c r="J34" s="5">
        <v>201</v>
      </c>
      <c r="K34" s="5">
        <v>198</v>
      </c>
      <c r="L34" s="5">
        <v>209</v>
      </c>
      <c r="M34" s="5">
        <v>216</v>
      </c>
      <c r="N34" s="5">
        <v>211</v>
      </c>
      <c r="O34" s="5">
        <v>193</v>
      </c>
      <c r="P34" s="5">
        <v>194</v>
      </c>
      <c r="Q34" s="5">
        <v>197</v>
      </c>
      <c r="R34" s="5">
        <v>210</v>
      </c>
      <c r="S34" s="5">
        <v>187</v>
      </c>
      <c r="T34" s="5">
        <v>218</v>
      </c>
      <c r="U34" s="5">
        <v>236</v>
      </c>
      <c r="V34" s="5">
        <v>188</v>
      </c>
      <c r="W34" s="5">
        <v>230</v>
      </c>
      <c r="X34" s="5">
        <v>234</v>
      </c>
      <c r="Y34" s="5">
        <v>218</v>
      </c>
      <c r="Z34" s="5">
        <v>197</v>
      </c>
      <c r="AA34" s="5">
        <v>202</v>
      </c>
      <c r="AB34" s="5">
        <f>SUM(E34:AA34)</f>
        <v>4768</v>
      </c>
    </row>
    <row r="35" spans="1:28">
      <c r="A35" s="6">
        <v>3</v>
      </c>
      <c r="B35" s="90" t="s">
        <v>40</v>
      </c>
      <c r="C35" s="82"/>
      <c r="D35" s="73"/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3</v>
      </c>
      <c r="Q35" s="6">
        <v>0</v>
      </c>
      <c r="R35" s="6">
        <v>0</v>
      </c>
      <c r="S35" s="6">
        <v>2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2</v>
      </c>
      <c r="Z35" s="6">
        <v>0</v>
      </c>
      <c r="AA35" s="6">
        <v>1</v>
      </c>
      <c r="AB35" s="5">
        <f>SUM(E35:AA35)</f>
        <v>10</v>
      </c>
    </row>
    <row r="36" spans="1:28">
      <c r="A36" s="6">
        <v>4</v>
      </c>
      <c r="B36" s="90" t="s">
        <v>41</v>
      </c>
      <c r="C36" s="82"/>
      <c r="D36" s="73"/>
      <c r="E36" s="5">
        <f t="shared" ref="E36:W36" si="21">E33-(E34+E35)</f>
        <v>62</v>
      </c>
      <c r="F36" s="5">
        <f t="shared" ref="F36:Q36" si="22">F33-(F34+F35)</f>
        <v>51</v>
      </c>
      <c r="G36" s="5">
        <f t="shared" si="22"/>
        <v>54</v>
      </c>
      <c r="H36" s="5">
        <f t="shared" si="22"/>
        <v>71</v>
      </c>
      <c r="I36" s="5">
        <f t="shared" si="22"/>
        <v>61</v>
      </c>
      <c r="J36" s="5">
        <f t="shared" si="22"/>
        <v>42</v>
      </c>
      <c r="K36" s="5">
        <f t="shared" si="22"/>
        <v>61</v>
      </c>
      <c r="L36" s="5">
        <f t="shared" si="22"/>
        <v>64</v>
      </c>
      <c r="M36" s="5">
        <f t="shared" si="22"/>
        <v>61</v>
      </c>
      <c r="N36" s="5">
        <f t="shared" si="22"/>
        <v>64</v>
      </c>
      <c r="O36" s="5">
        <f t="shared" si="22"/>
        <v>83</v>
      </c>
      <c r="P36" s="5">
        <f t="shared" si="22"/>
        <v>77</v>
      </c>
      <c r="Q36" s="5">
        <f t="shared" si="22"/>
        <v>76</v>
      </c>
      <c r="R36" s="5">
        <f t="shared" si="21"/>
        <v>67</v>
      </c>
      <c r="S36" s="5">
        <f t="shared" si="21"/>
        <v>84</v>
      </c>
      <c r="T36" s="5">
        <f t="shared" si="21"/>
        <v>61</v>
      </c>
      <c r="U36" s="5">
        <f t="shared" si="21"/>
        <v>49</v>
      </c>
      <c r="V36" s="5">
        <f t="shared" si="21"/>
        <v>73</v>
      </c>
      <c r="W36" s="5">
        <f t="shared" si="21"/>
        <v>59</v>
      </c>
      <c r="X36" s="5">
        <f t="shared" ref="X36:AA36" si="23">X33-(X34+X35)</f>
        <v>52</v>
      </c>
      <c r="Y36" s="5">
        <f t="shared" si="23"/>
        <v>54</v>
      </c>
      <c r="Z36" s="5">
        <f t="shared" si="23"/>
        <v>68</v>
      </c>
      <c r="AA36" s="5">
        <f t="shared" si="23"/>
        <v>71</v>
      </c>
      <c r="AB36" s="5">
        <f>SUM(E36:AA36)</f>
        <v>1465</v>
      </c>
    </row>
    <row r="37" spans="1:28">
      <c r="A37" s="74"/>
      <c r="B37" s="82"/>
      <c r="C37" s="82"/>
      <c r="D37" s="82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101"/>
      <c r="S37" s="101"/>
      <c r="T37" s="101"/>
      <c r="U37" s="106"/>
      <c r="V37" s="6"/>
      <c r="W37" s="6"/>
      <c r="X37" s="6"/>
      <c r="Y37" s="6"/>
      <c r="Z37" s="10"/>
      <c r="AA37" s="26"/>
      <c r="AB37" s="28"/>
    </row>
    <row r="38" spans="1:28">
      <c r="A38" s="16" t="s">
        <v>42</v>
      </c>
      <c r="B38" s="69" t="s">
        <v>43</v>
      </c>
      <c r="C38" s="8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5"/>
      <c r="U38" s="5"/>
      <c r="V38" s="5"/>
      <c r="W38" s="5"/>
      <c r="X38" s="5"/>
      <c r="Y38" s="5"/>
      <c r="Z38" s="15"/>
      <c r="AA38" s="15"/>
      <c r="AB38" s="28"/>
    </row>
    <row r="39" spans="1:28">
      <c r="A39" s="11"/>
      <c r="B39" s="85" t="s">
        <v>44</v>
      </c>
      <c r="C39" s="81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5">
        <f>SUM(E39:AA39)</f>
        <v>2</v>
      </c>
    </row>
    <row r="40" spans="1:28">
      <c r="A40" s="12"/>
      <c r="B40" s="86"/>
      <c r="C40" s="8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1</v>
      </c>
      <c r="AB40" s="5">
        <f>SUM(E40:AA40)</f>
        <v>5</v>
      </c>
    </row>
    <row r="41" spans="1:28">
      <c r="A41" s="14"/>
      <c r="B41" s="84"/>
      <c r="C41" s="88"/>
      <c r="D41" s="5" t="s">
        <v>25</v>
      </c>
      <c r="E41" s="5">
        <f t="shared" ref="E41:W41" si="24">SUM(E39:E40)</f>
        <v>0</v>
      </c>
      <c r="F41" s="5">
        <f t="shared" ref="F41:Q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1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2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ref="X41:AA41" si="26">SUM(X39:X40)</f>
        <v>2</v>
      </c>
      <c r="Y41" s="5">
        <f t="shared" si="26"/>
        <v>0</v>
      </c>
      <c r="Z41" s="5">
        <f t="shared" si="26"/>
        <v>0</v>
      </c>
      <c r="AA41" s="5">
        <f t="shared" si="26"/>
        <v>2</v>
      </c>
      <c r="AB41" s="5">
        <f>SUM(E41:AA41)</f>
        <v>7</v>
      </c>
    </row>
    <row r="42" spans="1:28">
      <c r="A42" s="83"/>
      <c r="B42" s="84"/>
      <c r="C42" s="84"/>
      <c r="D42" s="88"/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82"/>
      <c r="S42" s="82"/>
      <c r="T42" s="82"/>
      <c r="U42" s="73"/>
      <c r="V42" s="6"/>
      <c r="W42" s="6"/>
      <c r="X42" s="6"/>
      <c r="Y42" s="6"/>
      <c r="Z42" s="10"/>
      <c r="AA42" s="6"/>
      <c r="AB42" s="5"/>
    </row>
    <row r="43" spans="1:28" ht="13.15" customHeight="1">
      <c r="A43" s="16" t="s">
        <v>45</v>
      </c>
      <c r="B43" s="69" t="s">
        <v>46</v>
      </c>
      <c r="C43" s="8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5"/>
      <c r="Z43" s="15"/>
      <c r="AA43" s="5"/>
      <c r="AB43" s="5"/>
    </row>
    <row r="44" spans="1:28" ht="13.15" customHeight="1">
      <c r="A44" s="85" t="s">
        <v>47</v>
      </c>
      <c r="B44" s="89"/>
      <c r="C44" s="89"/>
      <c r="D44" s="81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6"/>
      <c r="Z44" s="10"/>
      <c r="AA44" s="6"/>
      <c r="AB44" s="5"/>
    </row>
    <row r="45" spans="1:28">
      <c r="A45" s="11" t="s">
        <v>48</v>
      </c>
      <c r="B45" s="17" t="s">
        <v>28</v>
      </c>
      <c r="C45" s="72" t="s">
        <v>49</v>
      </c>
      <c r="D45" s="73"/>
      <c r="E45" s="6">
        <v>7</v>
      </c>
      <c r="F45" s="6">
        <v>4</v>
      </c>
      <c r="G45" s="6">
        <v>4</v>
      </c>
      <c r="H45" s="6">
        <v>1</v>
      </c>
      <c r="I45" s="6">
        <v>3</v>
      </c>
      <c r="J45" s="6">
        <v>5</v>
      </c>
      <c r="K45" s="6">
        <v>4</v>
      </c>
      <c r="L45" s="6">
        <v>8</v>
      </c>
      <c r="M45" s="6">
        <v>1</v>
      </c>
      <c r="N45" s="6">
        <v>4</v>
      </c>
      <c r="O45" s="6">
        <v>4</v>
      </c>
      <c r="P45" s="6">
        <v>4</v>
      </c>
      <c r="Q45" s="6">
        <v>13</v>
      </c>
      <c r="R45" s="6">
        <v>7</v>
      </c>
      <c r="S45" s="6">
        <v>5</v>
      </c>
      <c r="T45" s="6">
        <v>10</v>
      </c>
      <c r="U45" s="6">
        <v>7</v>
      </c>
      <c r="V45" s="6">
        <v>1</v>
      </c>
      <c r="W45" s="6">
        <v>4</v>
      </c>
      <c r="X45" s="6">
        <v>1</v>
      </c>
      <c r="Y45" s="6">
        <v>6</v>
      </c>
      <c r="Z45" s="6">
        <v>5</v>
      </c>
      <c r="AA45" s="6">
        <v>2</v>
      </c>
      <c r="AB45" s="5">
        <f t="shared" ref="AB45:AB54" si="27">SUM(E45:AA45)</f>
        <v>110</v>
      </c>
    </row>
    <row r="46" spans="1:28">
      <c r="A46" s="11" t="s">
        <v>50</v>
      </c>
      <c r="B46" s="50"/>
      <c r="C46" s="24" t="s">
        <v>105</v>
      </c>
      <c r="D46" s="51"/>
      <c r="E46" s="6">
        <v>14</v>
      </c>
      <c r="F46" s="6">
        <v>3</v>
      </c>
      <c r="G46" s="6">
        <v>5</v>
      </c>
      <c r="H46" s="6">
        <v>6</v>
      </c>
      <c r="I46" s="6">
        <v>9</v>
      </c>
      <c r="J46" s="6">
        <v>18</v>
      </c>
      <c r="K46" s="6">
        <v>17</v>
      </c>
      <c r="L46" s="6">
        <v>7</v>
      </c>
      <c r="M46" s="6">
        <v>1</v>
      </c>
      <c r="N46" s="6">
        <v>11</v>
      </c>
      <c r="O46" s="6">
        <v>11</v>
      </c>
      <c r="P46" s="6">
        <v>8</v>
      </c>
      <c r="Q46" s="6">
        <v>33</v>
      </c>
      <c r="R46" s="6">
        <v>30</v>
      </c>
      <c r="S46" s="6">
        <v>11</v>
      </c>
      <c r="T46" s="6">
        <v>17</v>
      </c>
      <c r="U46" s="6">
        <v>11</v>
      </c>
      <c r="V46" s="6">
        <v>7</v>
      </c>
      <c r="W46" s="6">
        <v>2</v>
      </c>
      <c r="X46" s="6">
        <v>12</v>
      </c>
      <c r="Y46" s="6">
        <v>22</v>
      </c>
      <c r="Z46" s="6">
        <v>9</v>
      </c>
      <c r="AA46" s="6">
        <v>8</v>
      </c>
      <c r="AB46" s="5">
        <f t="shared" si="27"/>
        <v>272</v>
      </c>
    </row>
    <row r="47" spans="1:28">
      <c r="A47" s="7"/>
      <c r="B47" s="50"/>
      <c r="C47" s="24" t="s">
        <v>106</v>
      </c>
      <c r="D47" s="51"/>
      <c r="E47" s="6">
        <v>2</v>
      </c>
      <c r="F47" s="6">
        <v>2</v>
      </c>
      <c r="G47" s="6">
        <v>4</v>
      </c>
      <c r="H47" s="6">
        <v>2</v>
      </c>
      <c r="I47" s="6">
        <v>3</v>
      </c>
      <c r="J47" s="6">
        <v>3</v>
      </c>
      <c r="K47" s="6">
        <v>1</v>
      </c>
      <c r="L47" s="6">
        <v>2</v>
      </c>
      <c r="M47" s="6">
        <v>2</v>
      </c>
      <c r="N47" s="6">
        <v>0</v>
      </c>
      <c r="O47" s="6">
        <v>1</v>
      </c>
      <c r="P47" s="6">
        <v>1</v>
      </c>
      <c r="Q47" s="6">
        <v>1</v>
      </c>
      <c r="R47" s="6">
        <v>0</v>
      </c>
      <c r="S47" s="6">
        <v>0</v>
      </c>
      <c r="T47" s="6">
        <v>2</v>
      </c>
      <c r="U47" s="6">
        <v>1</v>
      </c>
      <c r="V47" s="6">
        <v>0</v>
      </c>
      <c r="W47" s="6">
        <v>0</v>
      </c>
      <c r="X47" s="6">
        <v>0</v>
      </c>
      <c r="Y47" s="6">
        <v>0</v>
      </c>
      <c r="Z47" s="6">
        <v>1</v>
      </c>
      <c r="AA47" s="6">
        <v>0</v>
      </c>
      <c r="AB47" s="5">
        <f t="shared" si="27"/>
        <v>28</v>
      </c>
    </row>
    <row r="48" spans="1:28">
      <c r="A48" s="7"/>
      <c r="B48" s="50"/>
      <c r="C48" s="24" t="s">
        <v>107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3</v>
      </c>
      <c r="Z48" s="6">
        <v>9</v>
      </c>
      <c r="AA48" s="6">
        <v>6</v>
      </c>
      <c r="AB48" s="5">
        <f t="shared" si="27"/>
        <v>19</v>
      </c>
    </row>
    <row r="49" spans="1:28">
      <c r="A49" s="7"/>
      <c r="B49" s="50"/>
      <c r="C49" s="24" t="s">
        <v>108</v>
      </c>
      <c r="D49" s="51"/>
      <c r="E49" s="6">
        <v>1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2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2</v>
      </c>
      <c r="Z49" s="6">
        <v>1</v>
      </c>
      <c r="AA49" s="6">
        <v>0</v>
      </c>
      <c r="AB49" s="5">
        <f t="shared" si="27"/>
        <v>7</v>
      </c>
    </row>
    <row r="50" spans="1:28">
      <c r="A50" s="7"/>
      <c r="B50" s="50"/>
      <c r="C50" s="24" t="s">
        <v>109</v>
      </c>
      <c r="D50" s="51"/>
      <c r="E50" s="6">
        <v>2</v>
      </c>
      <c r="F50" s="6">
        <v>1</v>
      </c>
      <c r="G50" s="6">
        <v>0</v>
      </c>
      <c r="H50" s="6">
        <v>2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2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1</v>
      </c>
      <c r="Z50" s="6">
        <v>0</v>
      </c>
      <c r="AA50" s="6">
        <v>0</v>
      </c>
      <c r="AB50" s="5">
        <f t="shared" si="27"/>
        <v>10</v>
      </c>
    </row>
    <row r="51" spans="1:28">
      <c r="A51" s="7"/>
      <c r="B51" s="50"/>
      <c r="C51" s="24" t="s">
        <v>110</v>
      </c>
      <c r="D51" s="51"/>
      <c r="E51" s="6">
        <v>1</v>
      </c>
      <c r="F51" s="6">
        <v>0</v>
      </c>
      <c r="G51" s="6">
        <v>1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2</v>
      </c>
      <c r="Q51" s="6">
        <v>1</v>
      </c>
      <c r="R51" s="6">
        <v>0</v>
      </c>
      <c r="S51" s="6">
        <v>0</v>
      </c>
      <c r="T51" s="6">
        <v>1</v>
      </c>
      <c r="U51" s="6">
        <v>1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5">
        <f t="shared" si="27"/>
        <v>9</v>
      </c>
    </row>
    <row r="52" spans="1:28" ht="13.15" customHeight="1">
      <c r="A52" s="7"/>
      <c r="B52" s="50"/>
      <c r="C52" s="24" t="s">
        <v>111</v>
      </c>
      <c r="D52" s="51"/>
      <c r="E52" s="6">
        <v>1</v>
      </c>
      <c r="F52" s="6">
        <v>1</v>
      </c>
      <c r="G52" s="6">
        <v>9</v>
      </c>
      <c r="H52" s="6">
        <v>7</v>
      </c>
      <c r="I52" s="6">
        <v>2</v>
      </c>
      <c r="J52" s="6">
        <v>0</v>
      </c>
      <c r="K52" s="6">
        <v>0</v>
      </c>
      <c r="L52" s="6">
        <v>0</v>
      </c>
      <c r="M52" s="6">
        <v>16</v>
      </c>
      <c r="N52" s="6">
        <v>7</v>
      </c>
      <c r="O52" s="6">
        <v>14</v>
      </c>
      <c r="P52" s="6">
        <v>2</v>
      </c>
      <c r="Q52" s="6">
        <v>4</v>
      </c>
      <c r="R52" s="6">
        <v>4</v>
      </c>
      <c r="S52" s="6">
        <v>3</v>
      </c>
      <c r="T52" s="6">
        <v>3</v>
      </c>
      <c r="U52" s="6">
        <v>6</v>
      </c>
      <c r="V52" s="6">
        <v>21</v>
      </c>
      <c r="W52" s="6">
        <v>0</v>
      </c>
      <c r="X52" s="6">
        <v>0</v>
      </c>
      <c r="Y52" s="6">
        <v>1</v>
      </c>
      <c r="Z52" s="6">
        <v>2</v>
      </c>
      <c r="AA52" s="6">
        <v>7</v>
      </c>
      <c r="AB52" s="5">
        <f t="shared" si="27"/>
        <v>110</v>
      </c>
    </row>
    <row r="53" spans="1:28" ht="13.15" customHeight="1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5">
        <f t="shared" si="27"/>
        <v>0</v>
      </c>
    </row>
    <row r="54" spans="1:28" ht="13.15" customHeight="1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5">
        <f t="shared" si="27"/>
        <v>0</v>
      </c>
    </row>
    <row r="55" spans="1:28">
      <c r="A55" s="6" t="s">
        <v>26</v>
      </c>
      <c r="B55" s="66" t="s">
        <v>51</v>
      </c>
      <c r="C55" s="82"/>
      <c r="D55" s="73"/>
      <c r="E55" s="5">
        <f>SUM(E45:E54)</f>
        <v>28</v>
      </c>
      <c r="F55" s="5">
        <f t="shared" ref="F55:Q55" si="28">SUM(F45:F54)</f>
        <v>11</v>
      </c>
      <c r="G55" s="5">
        <f t="shared" si="28"/>
        <v>23</v>
      </c>
      <c r="H55" s="5">
        <f t="shared" si="28"/>
        <v>18</v>
      </c>
      <c r="I55" s="5">
        <f t="shared" si="28"/>
        <v>18</v>
      </c>
      <c r="J55" s="5">
        <f t="shared" si="28"/>
        <v>27</v>
      </c>
      <c r="K55" s="5">
        <f t="shared" si="28"/>
        <v>23</v>
      </c>
      <c r="L55" s="5">
        <f t="shared" si="28"/>
        <v>18</v>
      </c>
      <c r="M55" s="5">
        <f t="shared" si="28"/>
        <v>20</v>
      </c>
      <c r="N55" s="5">
        <f t="shared" si="28"/>
        <v>22</v>
      </c>
      <c r="O55" s="5">
        <f t="shared" si="28"/>
        <v>30</v>
      </c>
      <c r="P55" s="5">
        <f t="shared" si="28"/>
        <v>19</v>
      </c>
      <c r="Q55" s="5">
        <f t="shared" si="28"/>
        <v>53</v>
      </c>
      <c r="R55" s="5">
        <f t="shared" ref="R55:AB55" si="29">SUM(R45:R54)</f>
        <v>41</v>
      </c>
      <c r="S55" s="5">
        <f t="shared" si="29"/>
        <v>21</v>
      </c>
      <c r="T55" s="5">
        <f t="shared" si="29"/>
        <v>33</v>
      </c>
      <c r="U55" s="5">
        <f t="shared" si="29"/>
        <v>26</v>
      </c>
      <c r="V55" s="5">
        <f t="shared" si="29"/>
        <v>29</v>
      </c>
      <c r="W55" s="5">
        <f t="shared" si="29"/>
        <v>7</v>
      </c>
      <c r="X55" s="5">
        <f t="shared" si="29"/>
        <v>13</v>
      </c>
      <c r="Y55" s="5">
        <f t="shared" si="29"/>
        <v>35</v>
      </c>
      <c r="Z55" s="5">
        <f t="shared" si="29"/>
        <v>27</v>
      </c>
      <c r="AA55" s="5">
        <f t="shared" si="29"/>
        <v>23</v>
      </c>
      <c r="AB55" s="5">
        <f t="shared" si="29"/>
        <v>565</v>
      </c>
    </row>
    <row r="56" spans="1:28">
      <c r="A56" s="83"/>
      <c r="B56" s="84"/>
      <c r="C56" s="84"/>
      <c r="D56" s="84"/>
      <c r="E56" s="84"/>
      <c r="AB56" s="5"/>
    </row>
    <row r="57" spans="1:28">
      <c r="A57" s="11" t="s">
        <v>48</v>
      </c>
      <c r="B57" s="17" t="s">
        <v>30</v>
      </c>
      <c r="C57" s="72" t="s">
        <v>52</v>
      </c>
      <c r="D57" s="73"/>
      <c r="E57" s="6">
        <v>11</v>
      </c>
      <c r="F57" s="6">
        <v>4</v>
      </c>
      <c r="G57" s="6">
        <v>7</v>
      </c>
      <c r="H57" s="6">
        <v>3</v>
      </c>
      <c r="I57" s="6">
        <v>6</v>
      </c>
      <c r="J57" s="6">
        <v>11</v>
      </c>
      <c r="K57" s="6">
        <v>11</v>
      </c>
      <c r="L57" s="6">
        <v>11</v>
      </c>
      <c r="M57" s="6">
        <v>8</v>
      </c>
      <c r="N57" s="6">
        <v>20</v>
      </c>
      <c r="O57" s="6">
        <v>20</v>
      </c>
      <c r="P57" s="6">
        <v>12</v>
      </c>
      <c r="Q57" s="6">
        <v>17</v>
      </c>
      <c r="R57" s="6">
        <v>8</v>
      </c>
      <c r="S57" s="6">
        <v>6</v>
      </c>
      <c r="T57" s="6">
        <v>9</v>
      </c>
      <c r="U57" s="6">
        <v>6</v>
      </c>
      <c r="V57" s="6">
        <v>10</v>
      </c>
      <c r="W57" s="6">
        <v>8</v>
      </c>
      <c r="X57" s="6">
        <v>8</v>
      </c>
      <c r="Y57" s="6">
        <v>8</v>
      </c>
      <c r="Z57" s="6">
        <v>10</v>
      </c>
      <c r="AA57" s="6">
        <v>21</v>
      </c>
      <c r="AB57" s="5">
        <f t="shared" ref="AB57:AB66" si="30">SUM(E57:AA57)</f>
        <v>235</v>
      </c>
    </row>
    <row r="58" spans="1:28">
      <c r="A58" s="11" t="s">
        <v>50</v>
      </c>
      <c r="B58" s="50"/>
      <c r="C58" s="24" t="s">
        <v>112</v>
      </c>
      <c r="D58" s="51"/>
      <c r="E58" s="6">
        <v>4</v>
      </c>
      <c r="F58" s="6">
        <v>4</v>
      </c>
      <c r="G58" s="6">
        <v>5</v>
      </c>
      <c r="H58" s="6">
        <v>1</v>
      </c>
      <c r="I58" s="6">
        <v>1</v>
      </c>
      <c r="J58" s="6">
        <v>1</v>
      </c>
      <c r="K58" s="6">
        <v>2</v>
      </c>
      <c r="L58" s="6">
        <v>0</v>
      </c>
      <c r="M58" s="6">
        <v>1</v>
      </c>
      <c r="N58" s="6">
        <v>3</v>
      </c>
      <c r="O58" s="6">
        <v>2</v>
      </c>
      <c r="P58" s="6">
        <v>3</v>
      </c>
      <c r="Q58" s="6">
        <v>0</v>
      </c>
      <c r="R58" s="6">
        <v>1</v>
      </c>
      <c r="S58" s="6">
        <v>2</v>
      </c>
      <c r="T58" s="6">
        <v>2</v>
      </c>
      <c r="U58" s="6">
        <v>0</v>
      </c>
      <c r="V58" s="6">
        <v>4</v>
      </c>
      <c r="W58" s="6">
        <v>0</v>
      </c>
      <c r="X58" s="6">
        <v>1</v>
      </c>
      <c r="Y58" s="6">
        <v>1</v>
      </c>
      <c r="Z58" s="6">
        <v>0</v>
      </c>
      <c r="AA58" s="6">
        <v>2</v>
      </c>
      <c r="AB58" s="5">
        <f t="shared" si="30"/>
        <v>40</v>
      </c>
    </row>
    <row r="59" spans="1:28">
      <c r="A59" s="7"/>
      <c r="B59" s="50"/>
      <c r="C59" s="24" t="s">
        <v>113</v>
      </c>
      <c r="D59" s="51"/>
      <c r="E59" s="6">
        <v>38</v>
      </c>
      <c r="F59" s="6">
        <v>9</v>
      </c>
      <c r="G59" s="6">
        <v>23</v>
      </c>
      <c r="H59" s="6">
        <v>6</v>
      </c>
      <c r="I59" s="6">
        <v>16</v>
      </c>
      <c r="J59" s="6">
        <v>17</v>
      </c>
      <c r="K59" s="6">
        <v>24</v>
      </c>
      <c r="L59" s="6">
        <v>17</v>
      </c>
      <c r="M59" s="6">
        <v>11</v>
      </c>
      <c r="N59" s="6">
        <v>29</v>
      </c>
      <c r="O59" s="6">
        <v>23</v>
      </c>
      <c r="P59" s="6">
        <v>21</v>
      </c>
      <c r="Q59" s="6">
        <v>9</v>
      </c>
      <c r="R59" s="6">
        <v>23</v>
      </c>
      <c r="S59" s="6">
        <v>7</v>
      </c>
      <c r="T59" s="6">
        <v>5</v>
      </c>
      <c r="U59" s="6">
        <v>14</v>
      </c>
      <c r="V59" s="6">
        <v>11</v>
      </c>
      <c r="W59" s="6">
        <v>4</v>
      </c>
      <c r="X59" s="6">
        <v>15</v>
      </c>
      <c r="Y59" s="6">
        <v>17</v>
      </c>
      <c r="Z59" s="6">
        <v>39</v>
      </c>
      <c r="AA59" s="6">
        <v>69</v>
      </c>
      <c r="AB59" s="5">
        <f t="shared" si="30"/>
        <v>447</v>
      </c>
    </row>
    <row r="60" spans="1:28">
      <c r="A60" s="7"/>
      <c r="B60" s="50"/>
      <c r="C60" s="24" t="s">
        <v>114</v>
      </c>
      <c r="D60" s="51"/>
      <c r="E60" s="6">
        <v>4</v>
      </c>
      <c r="F60" s="6">
        <v>6</v>
      </c>
      <c r="G60" s="6">
        <v>10</v>
      </c>
      <c r="H60" s="6">
        <v>8</v>
      </c>
      <c r="I60" s="6">
        <v>6</v>
      </c>
      <c r="J60" s="6">
        <v>9</v>
      </c>
      <c r="K60" s="6">
        <v>17</v>
      </c>
      <c r="L60" s="6">
        <v>21</v>
      </c>
      <c r="M60" s="6">
        <v>42</v>
      </c>
      <c r="N60" s="6">
        <v>17</v>
      </c>
      <c r="O60" s="6">
        <v>8</v>
      </c>
      <c r="P60" s="6">
        <v>14</v>
      </c>
      <c r="Q60" s="6">
        <v>17</v>
      </c>
      <c r="R60" s="6">
        <v>8</v>
      </c>
      <c r="S60" s="6">
        <v>7</v>
      </c>
      <c r="T60" s="6">
        <v>7</v>
      </c>
      <c r="U60" s="6">
        <v>15</v>
      </c>
      <c r="V60" s="6">
        <v>4</v>
      </c>
      <c r="W60" s="6">
        <v>3</v>
      </c>
      <c r="X60" s="6">
        <v>5</v>
      </c>
      <c r="Y60" s="6">
        <v>5</v>
      </c>
      <c r="Z60" s="6">
        <v>0</v>
      </c>
      <c r="AA60" s="6">
        <v>2</v>
      </c>
      <c r="AB60" s="5">
        <f t="shared" si="30"/>
        <v>235</v>
      </c>
    </row>
    <row r="61" spans="1:28">
      <c r="A61" s="7"/>
      <c r="B61" s="50"/>
      <c r="C61" s="24" t="s">
        <v>115</v>
      </c>
      <c r="D61" s="51"/>
      <c r="E61" s="6">
        <v>0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2</v>
      </c>
      <c r="N61" s="6">
        <v>4</v>
      </c>
      <c r="O61" s="6">
        <v>0</v>
      </c>
      <c r="P61" s="6">
        <v>0</v>
      </c>
      <c r="Q61" s="6">
        <v>0</v>
      </c>
      <c r="R61" s="6">
        <v>2</v>
      </c>
      <c r="S61" s="6">
        <v>0</v>
      </c>
      <c r="T61" s="6">
        <v>1</v>
      </c>
      <c r="U61" s="6">
        <v>1</v>
      </c>
      <c r="V61" s="6">
        <v>1</v>
      </c>
      <c r="W61" s="6">
        <v>2</v>
      </c>
      <c r="X61" s="6">
        <v>0</v>
      </c>
      <c r="Y61" s="6">
        <v>0</v>
      </c>
      <c r="Z61" s="6">
        <v>0</v>
      </c>
      <c r="AA61" s="6">
        <v>0</v>
      </c>
      <c r="AB61" s="5">
        <f t="shared" si="30"/>
        <v>16</v>
      </c>
    </row>
    <row r="62" spans="1:28">
      <c r="A62" s="7"/>
      <c r="B62" s="50"/>
      <c r="C62" s="24" t="s">
        <v>116</v>
      </c>
      <c r="D62" s="51"/>
      <c r="E62" s="6">
        <v>1</v>
      </c>
      <c r="F62" s="6">
        <v>0</v>
      </c>
      <c r="G62" s="6">
        <v>0</v>
      </c>
      <c r="H62" s="6">
        <v>0</v>
      </c>
      <c r="I62" s="6">
        <v>1</v>
      </c>
      <c r="J62" s="6">
        <v>1</v>
      </c>
      <c r="K62" s="6">
        <v>0</v>
      </c>
      <c r="L62" s="6">
        <v>0</v>
      </c>
      <c r="M62" s="6">
        <v>2</v>
      </c>
      <c r="N62" s="6">
        <v>3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1</v>
      </c>
      <c r="U62" s="6">
        <v>1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5">
        <f t="shared" si="30"/>
        <v>11</v>
      </c>
    </row>
    <row r="63" spans="1:28" ht="13.15" customHeight="1">
      <c r="A63" s="7"/>
      <c r="B63" s="50"/>
      <c r="C63" s="24" t="s">
        <v>117</v>
      </c>
      <c r="D63" s="51"/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5">
        <f t="shared" si="30"/>
        <v>3</v>
      </c>
    </row>
    <row r="64" spans="1:28">
      <c r="A64" s="7"/>
      <c r="B64" s="50"/>
      <c r="C64" s="24" t="s">
        <v>118</v>
      </c>
      <c r="D64" s="51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2</v>
      </c>
      <c r="K64" s="6">
        <v>0</v>
      </c>
      <c r="L64" s="6">
        <v>2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5">
        <f t="shared" si="30"/>
        <v>5</v>
      </c>
    </row>
    <row r="65" spans="1:28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>
        <f t="shared" si="30"/>
        <v>0</v>
      </c>
    </row>
    <row r="66" spans="1:28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>
        <f t="shared" si="30"/>
        <v>0</v>
      </c>
    </row>
    <row r="67" spans="1:28">
      <c r="A67" s="6" t="s">
        <v>26</v>
      </c>
      <c r="B67" s="66" t="s">
        <v>51</v>
      </c>
      <c r="C67" s="82"/>
      <c r="D67" s="73"/>
      <c r="E67" s="5">
        <f t="shared" ref="E67:AB67" si="31">SUM(E57:E66)</f>
        <v>58</v>
      </c>
      <c r="F67" s="5">
        <f t="shared" ref="F67:Q67" si="32">SUM(F57:F66)</f>
        <v>24</v>
      </c>
      <c r="G67" s="5">
        <f t="shared" si="32"/>
        <v>46</v>
      </c>
      <c r="H67" s="5">
        <f t="shared" si="32"/>
        <v>18</v>
      </c>
      <c r="I67" s="5">
        <f t="shared" si="32"/>
        <v>30</v>
      </c>
      <c r="J67" s="5">
        <f t="shared" si="32"/>
        <v>41</v>
      </c>
      <c r="K67" s="5">
        <f t="shared" si="32"/>
        <v>55</v>
      </c>
      <c r="L67" s="5">
        <f t="shared" si="32"/>
        <v>52</v>
      </c>
      <c r="M67" s="5">
        <f t="shared" si="32"/>
        <v>66</v>
      </c>
      <c r="N67" s="5">
        <f t="shared" si="32"/>
        <v>77</v>
      </c>
      <c r="O67" s="5">
        <f t="shared" si="32"/>
        <v>53</v>
      </c>
      <c r="P67" s="5">
        <f t="shared" si="32"/>
        <v>50</v>
      </c>
      <c r="Q67" s="5">
        <f t="shared" si="32"/>
        <v>43</v>
      </c>
      <c r="R67" s="5">
        <f t="shared" si="31"/>
        <v>42</v>
      </c>
      <c r="S67" s="5">
        <f t="shared" si="31"/>
        <v>23</v>
      </c>
      <c r="T67" s="5">
        <f t="shared" si="31"/>
        <v>26</v>
      </c>
      <c r="U67" s="5">
        <f t="shared" si="31"/>
        <v>37</v>
      </c>
      <c r="V67" s="5">
        <f t="shared" si="31"/>
        <v>30</v>
      </c>
      <c r="W67" s="5">
        <f t="shared" si="31"/>
        <v>17</v>
      </c>
      <c r="X67" s="5">
        <f t="shared" si="31"/>
        <v>30</v>
      </c>
      <c r="Y67" s="5">
        <f t="shared" si="31"/>
        <v>31</v>
      </c>
      <c r="Z67" s="5">
        <f t="shared" si="31"/>
        <v>49</v>
      </c>
      <c r="AA67" s="5">
        <f t="shared" si="31"/>
        <v>94</v>
      </c>
      <c r="AB67" s="5">
        <f t="shared" si="31"/>
        <v>992</v>
      </c>
    </row>
    <row r="68" spans="1:28">
      <c r="A68" s="83"/>
      <c r="B68" s="84"/>
      <c r="C68" s="84"/>
      <c r="D68" s="84"/>
      <c r="E68" s="84"/>
    </row>
    <row r="69" spans="1:28">
      <c r="A69" s="11" t="s">
        <v>48</v>
      </c>
      <c r="B69" s="17" t="s">
        <v>32</v>
      </c>
      <c r="C69" s="72" t="s">
        <v>53</v>
      </c>
      <c r="D69" s="73"/>
      <c r="E69" s="6">
        <v>3</v>
      </c>
      <c r="F69" s="6">
        <v>7</v>
      </c>
      <c r="G69" s="6">
        <v>2</v>
      </c>
      <c r="H69" s="6">
        <v>6</v>
      </c>
      <c r="I69" s="6">
        <v>5</v>
      </c>
      <c r="J69" s="6">
        <v>6</v>
      </c>
      <c r="K69" s="6">
        <v>5</v>
      </c>
      <c r="L69" s="6">
        <v>7</v>
      </c>
      <c r="M69" s="6">
        <v>6</v>
      </c>
      <c r="N69" s="6">
        <v>6</v>
      </c>
      <c r="O69" s="6">
        <v>4</v>
      </c>
      <c r="P69" s="6">
        <v>5</v>
      </c>
      <c r="Q69" s="6">
        <v>9</v>
      </c>
      <c r="R69" s="6">
        <v>1</v>
      </c>
      <c r="S69" s="6">
        <v>2</v>
      </c>
      <c r="T69" s="6">
        <v>4</v>
      </c>
      <c r="U69" s="6">
        <v>9</v>
      </c>
      <c r="V69" s="6">
        <v>5</v>
      </c>
      <c r="W69" s="6">
        <v>9</v>
      </c>
      <c r="X69" s="6">
        <v>6</v>
      </c>
      <c r="Y69" s="6">
        <v>7</v>
      </c>
      <c r="Z69" s="6">
        <v>10</v>
      </c>
      <c r="AA69" s="6">
        <v>5</v>
      </c>
      <c r="AB69" s="5">
        <f t="shared" ref="AB69:AB78" si="33">SUM(E69:AA69)</f>
        <v>129</v>
      </c>
    </row>
    <row r="70" spans="1:28">
      <c r="A70" s="11" t="s">
        <v>50</v>
      </c>
      <c r="B70" s="50"/>
      <c r="C70" s="24" t="s">
        <v>119</v>
      </c>
      <c r="D70" s="51"/>
      <c r="E70" s="6">
        <v>2</v>
      </c>
      <c r="F70" s="6">
        <v>0</v>
      </c>
      <c r="G70" s="6">
        <v>1</v>
      </c>
      <c r="H70" s="6">
        <v>3</v>
      </c>
      <c r="I70" s="6">
        <v>2</v>
      </c>
      <c r="J70" s="6">
        <v>3</v>
      </c>
      <c r="K70" s="6">
        <v>1</v>
      </c>
      <c r="L70" s="6">
        <v>0</v>
      </c>
      <c r="M70" s="6">
        <v>8</v>
      </c>
      <c r="N70" s="6">
        <v>3</v>
      </c>
      <c r="O70" s="6">
        <v>2</v>
      </c>
      <c r="P70" s="6">
        <v>4</v>
      </c>
      <c r="Q70" s="6">
        <v>1</v>
      </c>
      <c r="R70" s="6">
        <v>0</v>
      </c>
      <c r="S70" s="6">
        <v>0</v>
      </c>
      <c r="T70" s="6">
        <v>12</v>
      </c>
      <c r="U70" s="6">
        <v>9</v>
      </c>
      <c r="V70" s="6">
        <v>7</v>
      </c>
      <c r="W70" s="6">
        <v>15</v>
      </c>
      <c r="X70" s="6">
        <v>5</v>
      </c>
      <c r="Y70" s="6">
        <v>0</v>
      </c>
      <c r="Z70" s="6">
        <v>1</v>
      </c>
      <c r="AA70" s="6">
        <v>4</v>
      </c>
      <c r="AB70" s="5">
        <f t="shared" si="33"/>
        <v>83</v>
      </c>
    </row>
    <row r="71" spans="1:28">
      <c r="A71" s="7"/>
      <c r="B71" s="50"/>
      <c r="C71" s="24" t="s">
        <v>120</v>
      </c>
      <c r="D71" s="51"/>
      <c r="E71" s="6">
        <v>3</v>
      </c>
      <c r="F71" s="6">
        <v>2</v>
      </c>
      <c r="G71" s="6">
        <v>0</v>
      </c>
      <c r="H71" s="6">
        <v>2</v>
      </c>
      <c r="I71" s="6">
        <v>3</v>
      </c>
      <c r="J71" s="6">
        <v>4</v>
      </c>
      <c r="K71" s="6">
        <v>0</v>
      </c>
      <c r="L71" s="6">
        <v>6</v>
      </c>
      <c r="M71" s="6">
        <v>7</v>
      </c>
      <c r="N71" s="6">
        <v>4</v>
      </c>
      <c r="O71" s="6">
        <v>2</v>
      </c>
      <c r="P71" s="6">
        <v>8</v>
      </c>
      <c r="Q71" s="6">
        <v>2</v>
      </c>
      <c r="R71" s="6">
        <v>2</v>
      </c>
      <c r="S71" s="6">
        <v>2</v>
      </c>
      <c r="T71" s="6">
        <v>0</v>
      </c>
      <c r="U71" s="6">
        <v>1</v>
      </c>
      <c r="V71" s="6">
        <v>0</v>
      </c>
      <c r="W71" s="6">
        <v>3</v>
      </c>
      <c r="X71" s="6">
        <v>5</v>
      </c>
      <c r="Y71" s="6">
        <v>1</v>
      </c>
      <c r="Z71" s="6">
        <v>0</v>
      </c>
      <c r="AA71" s="6">
        <v>1</v>
      </c>
      <c r="AB71" s="5">
        <f t="shared" si="33"/>
        <v>58</v>
      </c>
    </row>
    <row r="72" spans="1:28">
      <c r="A72" s="7"/>
      <c r="B72" s="50"/>
      <c r="C72" s="24" t="s">
        <v>121</v>
      </c>
      <c r="D72" s="51"/>
      <c r="E72" s="6">
        <v>0</v>
      </c>
      <c r="F72" s="6">
        <v>1</v>
      </c>
      <c r="G72" s="6">
        <v>0</v>
      </c>
      <c r="H72" s="6">
        <v>2</v>
      </c>
      <c r="I72" s="6">
        <v>2</v>
      </c>
      <c r="J72" s="6">
        <v>2</v>
      </c>
      <c r="K72" s="6">
        <v>0</v>
      </c>
      <c r="L72" s="6">
        <v>1</v>
      </c>
      <c r="M72" s="6">
        <v>0</v>
      </c>
      <c r="N72" s="6">
        <v>0</v>
      </c>
      <c r="O72" s="6">
        <v>3</v>
      </c>
      <c r="P72" s="6">
        <v>1</v>
      </c>
      <c r="Q72" s="6">
        <v>1</v>
      </c>
      <c r="R72" s="6">
        <v>0</v>
      </c>
      <c r="S72" s="6">
        <v>4</v>
      </c>
      <c r="T72" s="6">
        <v>0</v>
      </c>
      <c r="U72" s="6">
        <v>1</v>
      </c>
      <c r="V72" s="6">
        <v>1</v>
      </c>
      <c r="W72" s="6">
        <v>2</v>
      </c>
      <c r="X72" s="6">
        <v>0</v>
      </c>
      <c r="Y72" s="6">
        <v>3</v>
      </c>
      <c r="Z72" s="6">
        <v>1</v>
      </c>
      <c r="AA72" s="6">
        <v>0</v>
      </c>
      <c r="AB72" s="5">
        <f t="shared" si="33"/>
        <v>25</v>
      </c>
    </row>
    <row r="73" spans="1:28">
      <c r="A73" s="7"/>
      <c r="B73" s="50"/>
      <c r="C73" s="24" t="s">
        <v>122</v>
      </c>
      <c r="D73" s="51"/>
      <c r="E73" s="6">
        <v>0</v>
      </c>
      <c r="F73" s="6">
        <v>0</v>
      </c>
      <c r="G73" s="6">
        <v>2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2</v>
      </c>
      <c r="N73" s="6">
        <v>0</v>
      </c>
      <c r="O73" s="6">
        <v>0</v>
      </c>
      <c r="P73" s="6">
        <v>2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5">
        <f t="shared" si="33"/>
        <v>9</v>
      </c>
    </row>
    <row r="74" spans="1:28" ht="13.15" customHeight="1">
      <c r="A74" s="7"/>
      <c r="B74" s="50"/>
      <c r="C74" s="24" t="s">
        <v>123</v>
      </c>
      <c r="D74" s="51"/>
      <c r="E74" s="6">
        <v>3</v>
      </c>
      <c r="F74" s="6">
        <v>5</v>
      </c>
      <c r="G74" s="6">
        <v>7</v>
      </c>
      <c r="H74" s="6">
        <v>21</v>
      </c>
      <c r="I74" s="6">
        <v>32</v>
      </c>
      <c r="J74" s="6">
        <v>15</v>
      </c>
      <c r="K74" s="6">
        <v>15</v>
      </c>
      <c r="L74" s="6">
        <v>13</v>
      </c>
      <c r="M74" s="6">
        <v>8</v>
      </c>
      <c r="N74" s="6">
        <v>21</v>
      </c>
      <c r="O74" s="6">
        <v>22</v>
      </c>
      <c r="P74" s="6">
        <v>6</v>
      </c>
      <c r="Q74" s="6">
        <v>6</v>
      </c>
      <c r="R74" s="6">
        <v>3</v>
      </c>
      <c r="S74" s="6">
        <v>6</v>
      </c>
      <c r="T74" s="6">
        <v>8</v>
      </c>
      <c r="U74" s="6">
        <v>1</v>
      </c>
      <c r="V74" s="6">
        <v>9</v>
      </c>
      <c r="W74" s="6">
        <v>14</v>
      </c>
      <c r="X74" s="6">
        <v>11</v>
      </c>
      <c r="Y74" s="6">
        <v>3</v>
      </c>
      <c r="Z74" s="6">
        <v>23</v>
      </c>
      <c r="AA74" s="6">
        <v>7</v>
      </c>
      <c r="AB74" s="5">
        <f t="shared" si="33"/>
        <v>259</v>
      </c>
    </row>
    <row r="75" spans="1:28">
      <c r="A75" s="7"/>
      <c r="B75" s="50"/>
      <c r="C75" s="24" t="s">
        <v>124</v>
      </c>
      <c r="D75" s="51"/>
      <c r="E75" s="6">
        <v>0</v>
      </c>
      <c r="F75" s="6">
        <v>2</v>
      </c>
      <c r="G75" s="6">
        <v>4</v>
      </c>
      <c r="H75" s="6">
        <v>2</v>
      </c>
      <c r="I75" s="6">
        <v>5</v>
      </c>
      <c r="J75" s="6">
        <v>8</v>
      </c>
      <c r="K75" s="6">
        <v>18</v>
      </c>
      <c r="L75" s="6">
        <v>2</v>
      </c>
      <c r="M75" s="6">
        <v>1</v>
      </c>
      <c r="N75" s="6">
        <v>1</v>
      </c>
      <c r="O75" s="6">
        <v>5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12</v>
      </c>
      <c r="Y75" s="6">
        <v>0</v>
      </c>
      <c r="Z75" s="6">
        <v>1</v>
      </c>
      <c r="AA75" s="6">
        <v>1</v>
      </c>
      <c r="AB75" s="5">
        <f t="shared" si="33"/>
        <v>63</v>
      </c>
    </row>
    <row r="76" spans="1:28">
      <c r="A76" s="7"/>
      <c r="B76" s="50"/>
      <c r="C76" s="24" t="s">
        <v>125</v>
      </c>
      <c r="D76" s="51"/>
      <c r="E76" s="6">
        <v>6</v>
      </c>
      <c r="F76" s="6">
        <v>23</v>
      </c>
      <c r="G76" s="6">
        <v>4</v>
      </c>
      <c r="H76" s="6">
        <v>2</v>
      </c>
      <c r="I76" s="6">
        <v>9</v>
      </c>
      <c r="J76" s="6">
        <v>10</v>
      </c>
      <c r="K76" s="6">
        <v>7</v>
      </c>
      <c r="L76" s="6">
        <v>17</v>
      </c>
      <c r="M76" s="6">
        <v>11</v>
      </c>
      <c r="N76" s="6">
        <v>4</v>
      </c>
      <c r="O76" s="6">
        <v>1</v>
      </c>
      <c r="P76" s="6">
        <v>1</v>
      </c>
      <c r="Q76" s="6">
        <v>7</v>
      </c>
      <c r="R76" s="6">
        <v>4</v>
      </c>
      <c r="S76" s="6">
        <v>4</v>
      </c>
      <c r="T76" s="6">
        <v>4</v>
      </c>
      <c r="U76" s="6">
        <v>27</v>
      </c>
      <c r="V76" s="6">
        <v>17</v>
      </c>
      <c r="W76" s="6">
        <v>25</v>
      </c>
      <c r="X76" s="6">
        <v>49</v>
      </c>
      <c r="Y76" s="6">
        <v>45</v>
      </c>
      <c r="Z76" s="6">
        <v>29</v>
      </c>
      <c r="AA76" s="6">
        <v>30</v>
      </c>
      <c r="AB76" s="5">
        <f t="shared" si="33"/>
        <v>336</v>
      </c>
    </row>
    <row r="77" spans="1:28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5">
        <f t="shared" si="33"/>
        <v>0</v>
      </c>
    </row>
    <row r="78" spans="1:28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5">
        <f t="shared" si="33"/>
        <v>0</v>
      </c>
    </row>
    <row r="79" spans="1:28">
      <c r="A79" s="6" t="s">
        <v>26</v>
      </c>
      <c r="B79" s="66" t="s">
        <v>51</v>
      </c>
      <c r="C79" s="82"/>
      <c r="D79" s="73"/>
      <c r="E79" s="5">
        <f t="shared" ref="E79:AB79" si="34">SUM(E69:E78)</f>
        <v>17</v>
      </c>
      <c r="F79" s="5">
        <f t="shared" ref="F79:Q79" si="35">SUM(F69:F78)</f>
        <v>40</v>
      </c>
      <c r="G79" s="5">
        <f t="shared" si="35"/>
        <v>20</v>
      </c>
      <c r="H79" s="5">
        <f t="shared" si="35"/>
        <v>39</v>
      </c>
      <c r="I79" s="5">
        <f t="shared" si="35"/>
        <v>58</v>
      </c>
      <c r="J79" s="5">
        <f t="shared" si="35"/>
        <v>48</v>
      </c>
      <c r="K79" s="5">
        <f t="shared" si="35"/>
        <v>46</v>
      </c>
      <c r="L79" s="5">
        <f t="shared" si="35"/>
        <v>46</v>
      </c>
      <c r="M79" s="5">
        <f t="shared" si="35"/>
        <v>43</v>
      </c>
      <c r="N79" s="5">
        <f t="shared" si="35"/>
        <v>39</v>
      </c>
      <c r="O79" s="5">
        <f t="shared" si="35"/>
        <v>39</v>
      </c>
      <c r="P79" s="5">
        <f t="shared" si="35"/>
        <v>27</v>
      </c>
      <c r="Q79" s="5">
        <f t="shared" si="35"/>
        <v>27</v>
      </c>
      <c r="R79" s="5">
        <f t="shared" si="34"/>
        <v>10</v>
      </c>
      <c r="S79" s="5">
        <f t="shared" si="34"/>
        <v>19</v>
      </c>
      <c r="T79" s="5">
        <f t="shared" si="34"/>
        <v>29</v>
      </c>
      <c r="U79" s="5">
        <f t="shared" si="34"/>
        <v>48</v>
      </c>
      <c r="V79" s="5">
        <f t="shared" si="34"/>
        <v>39</v>
      </c>
      <c r="W79" s="5">
        <f t="shared" si="34"/>
        <v>68</v>
      </c>
      <c r="X79" s="5">
        <f t="shared" si="34"/>
        <v>88</v>
      </c>
      <c r="Y79" s="5">
        <f t="shared" si="34"/>
        <v>59</v>
      </c>
      <c r="Z79" s="5">
        <f t="shared" si="34"/>
        <v>65</v>
      </c>
      <c r="AA79" s="5">
        <f t="shared" si="34"/>
        <v>48</v>
      </c>
      <c r="AB79" s="5">
        <f t="shared" si="34"/>
        <v>962</v>
      </c>
    </row>
    <row r="80" spans="1:28">
      <c r="A80" s="83"/>
      <c r="B80" s="84"/>
      <c r="C80" s="84"/>
      <c r="D80" s="84"/>
      <c r="E80" s="84"/>
    </row>
    <row r="81" spans="1:28">
      <c r="A81" s="11" t="s">
        <v>48</v>
      </c>
      <c r="B81" s="17" t="s">
        <v>34</v>
      </c>
      <c r="C81" s="72" t="s">
        <v>54</v>
      </c>
      <c r="D81" s="73"/>
      <c r="E81" s="6">
        <v>3</v>
      </c>
      <c r="F81" s="6">
        <v>6</v>
      </c>
      <c r="G81" s="6">
        <v>1</v>
      </c>
      <c r="H81" s="6">
        <v>1</v>
      </c>
      <c r="I81" s="6">
        <v>3</v>
      </c>
      <c r="J81" s="6">
        <v>2</v>
      </c>
      <c r="K81" s="6">
        <v>6</v>
      </c>
      <c r="L81" s="6">
        <v>1</v>
      </c>
      <c r="M81" s="6">
        <v>1</v>
      </c>
      <c r="N81" s="6">
        <v>2</v>
      </c>
      <c r="O81" s="6">
        <v>1</v>
      </c>
      <c r="P81" s="6">
        <v>4</v>
      </c>
      <c r="Q81" s="6">
        <v>2</v>
      </c>
      <c r="R81" s="6">
        <v>3</v>
      </c>
      <c r="S81" s="6">
        <v>6</v>
      </c>
      <c r="T81" s="6">
        <v>4</v>
      </c>
      <c r="U81" s="6">
        <v>1</v>
      </c>
      <c r="V81" s="6">
        <v>3</v>
      </c>
      <c r="W81" s="6">
        <v>1</v>
      </c>
      <c r="X81" s="6">
        <v>2</v>
      </c>
      <c r="Y81" s="6">
        <v>2</v>
      </c>
      <c r="Z81" s="6">
        <v>9</v>
      </c>
      <c r="AA81" s="6">
        <v>1</v>
      </c>
      <c r="AB81" s="5">
        <f t="shared" ref="AB81:AB90" si="36">SUM(E81:AA81)</f>
        <v>65</v>
      </c>
    </row>
    <row r="82" spans="1:28">
      <c r="A82" s="11" t="s">
        <v>50</v>
      </c>
      <c r="B82" s="50"/>
      <c r="C82" s="24" t="s">
        <v>126</v>
      </c>
      <c r="D82" s="51"/>
      <c r="E82" s="6">
        <v>3</v>
      </c>
      <c r="F82" s="6">
        <v>2</v>
      </c>
      <c r="G82" s="6">
        <v>2</v>
      </c>
      <c r="H82" s="6">
        <v>3</v>
      </c>
      <c r="I82" s="6">
        <v>4</v>
      </c>
      <c r="J82" s="6">
        <v>0</v>
      </c>
      <c r="K82" s="6">
        <v>5</v>
      </c>
      <c r="L82" s="6">
        <v>2</v>
      </c>
      <c r="M82" s="6">
        <v>2</v>
      </c>
      <c r="N82" s="6">
        <v>5</v>
      </c>
      <c r="O82" s="6">
        <v>3</v>
      </c>
      <c r="P82" s="6">
        <v>11</v>
      </c>
      <c r="Q82" s="6">
        <v>3</v>
      </c>
      <c r="R82" s="6">
        <v>21</v>
      </c>
      <c r="S82" s="6">
        <v>16</v>
      </c>
      <c r="T82" s="6">
        <v>19</v>
      </c>
      <c r="U82" s="6">
        <v>10</v>
      </c>
      <c r="V82" s="6">
        <v>8</v>
      </c>
      <c r="W82" s="6">
        <v>3</v>
      </c>
      <c r="X82" s="6">
        <v>4</v>
      </c>
      <c r="Y82" s="6">
        <v>4</v>
      </c>
      <c r="Z82" s="6">
        <v>6</v>
      </c>
      <c r="AA82" s="6">
        <v>2</v>
      </c>
      <c r="AB82" s="5">
        <f t="shared" si="36"/>
        <v>138</v>
      </c>
    </row>
    <row r="83" spans="1:28">
      <c r="A83" s="7"/>
      <c r="B83" s="50"/>
      <c r="C83" s="24" t="s">
        <v>127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1</v>
      </c>
      <c r="K83" s="6">
        <v>0</v>
      </c>
      <c r="L83" s="6">
        <v>1</v>
      </c>
      <c r="M83" s="6">
        <v>5</v>
      </c>
      <c r="N83" s="6">
        <v>1</v>
      </c>
      <c r="O83" s="6">
        <v>0</v>
      </c>
      <c r="P83" s="6">
        <v>3</v>
      </c>
      <c r="Q83" s="6">
        <v>0</v>
      </c>
      <c r="R83" s="6">
        <v>1</v>
      </c>
      <c r="S83" s="6">
        <v>3</v>
      </c>
      <c r="T83" s="6">
        <v>4</v>
      </c>
      <c r="U83" s="6">
        <v>1</v>
      </c>
      <c r="V83" s="6">
        <v>2</v>
      </c>
      <c r="W83" s="6">
        <v>9</v>
      </c>
      <c r="X83" s="6">
        <v>1</v>
      </c>
      <c r="Y83" s="6">
        <v>4</v>
      </c>
      <c r="Z83" s="6">
        <v>2</v>
      </c>
      <c r="AA83" s="6">
        <v>1</v>
      </c>
      <c r="AB83" s="5">
        <f t="shared" si="36"/>
        <v>40</v>
      </c>
    </row>
    <row r="84" spans="1:28">
      <c r="A84" s="7"/>
      <c r="B84" s="50"/>
      <c r="C84" s="24" t="s">
        <v>128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2</v>
      </c>
      <c r="V84" s="6">
        <v>2</v>
      </c>
      <c r="W84" s="6">
        <v>0</v>
      </c>
      <c r="X84" s="6">
        <v>1</v>
      </c>
      <c r="Y84" s="6">
        <v>1</v>
      </c>
      <c r="Z84" s="6">
        <v>1</v>
      </c>
      <c r="AA84" s="6">
        <v>0</v>
      </c>
      <c r="AB84" s="5">
        <f t="shared" si="36"/>
        <v>9</v>
      </c>
    </row>
    <row r="85" spans="1:28" ht="13.15" customHeight="1">
      <c r="A85" s="7"/>
      <c r="B85" s="50"/>
      <c r="C85" s="24" t="s">
        <v>129</v>
      </c>
      <c r="D85" s="51"/>
      <c r="E85" s="6">
        <v>0</v>
      </c>
      <c r="F85" s="6">
        <v>3</v>
      </c>
      <c r="G85" s="6">
        <v>4</v>
      </c>
      <c r="H85" s="6">
        <v>5</v>
      </c>
      <c r="I85" s="6">
        <v>4</v>
      </c>
      <c r="J85" s="6">
        <v>3</v>
      </c>
      <c r="K85" s="6">
        <v>2</v>
      </c>
      <c r="L85" s="6">
        <v>0</v>
      </c>
      <c r="M85" s="6">
        <v>0</v>
      </c>
      <c r="N85" s="6">
        <v>5</v>
      </c>
      <c r="O85" s="6">
        <v>0</v>
      </c>
      <c r="P85" s="6">
        <v>1</v>
      </c>
      <c r="Q85" s="6">
        <v>2</v>
      </c>
      <c r="R85" s="6">
        <v>0</v>
      </c>
      <c r="S85" s="6">
        <v>9</v>
      </c>
      <c r="T85" s="6">
        <v>1</v>
      </c>
      <c r="U85" s="6">
        <v>0</v>
      </c>
      <c r="V85" s="6">
        <v>2</v>
      </c>
      <c r="W85" s="6">
        <v>0</v>
      </c>
      <c r="X85" s="6">
        <v>0</v>
      </c>
      <c r="Y85" s="6">
        <v>7</v>
      </c>
      <c r="Z85" s="6">
        <v>10</v>
      </c>
      <c r="AA85" s="6">
        <v>3</v>
      </c>
      <c r="AB85" s="5">
        <f t="shared" si="36"/>
        <v>61</v>
      </c>
    </row>
    <row r="86" spans="1:28">
      <c r="A86" s="7"/>
      <c r="B86" s="50"/>
      <c r="C86" s="24" t="s">
        <v>130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1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1</v>
      </c>
      <c r="AA86" s="6">
        <v>0</v>
      </c>
      <c r="AB86" s="5">
        <f t="shared" si="36"/>
        <v>4</v>
      </c>
    </row>
    <row r="87" spans="1:28">
      <c r="A87" s="7"/>
      <c r="B87" s="50"/>
      <c r="C87" s="24" t="s">
        <v>131</v>
      </c>
      <c r="D87" s="51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5">
        <f t="shared" si="36"/>
        <v>1</v>
      </c>
    </row>
    <row r="88" spans="1:28">
      <c r="A88" s="7"/>
      <c r="B88" s="50"/>
      <c r="C88" s="24" t="s">
        <v>132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2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5">
        <f t="shared" si="36"/>
        <v>3</v>
      </c>
    </row>
    <row r="89" spans="1:28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5">
        <f t="shared" si="36"/>
        <v>0</v>
      </c>
    </row>
    <row r="90" spans="1:28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5">
        <f t="shared" si="36"/>
        <v>0</v>
      </c>
    </row>
    <row r="91" spans="1:28">
      <c r="A91" s="6" t="s">
        <v>26</v>
      </c>
      <c r="B91" s="66" t="s">
        <v>51</v>
      </c>
      <c r="C91" s="82"/>
      <c r="D91" s="73"/>
      <c r="E91" s="5">
        <f t="shared" ref="E91:AB91" si="37">SUM(E81:E90)</f>
        <v>6</v>
      </c>
      <c r="F91" s="5">
        <f t="shared" ref="F91:Q91" si="38">SUM(F81:F90)</f>
        <v>11</v>
      </c>
      <c r="G91" s="5">
        <f t="shared" si="38"/>
        <v>7</v>
      </c>
      <c r="H91" s="5">
        <f t="shared" si="38"/>
        <v>10</v>
      </c>
      <c r="I91" s="5">
        <f t="shared" si="38"/>
        <v>15</v>
      </c>
      <c r="J91" s="5">
        <f t="shared" si="38"/>
        <v>7</v>
      </c>
      <c r="K91" s="5">
        <f t="shared" si="38"/>
        <v>14</v>
      </c>
      <c r="L91" s="5">
        <f t="shared" si="38"/>
        <v>6</v>
      </c>
      <c r="M91" s="5">
        <f t="shared" si="38"/>
        <v>8</v>
      </c>
      <c r="N91" s="5">
        <f t="shared" si="38"/>
        <v>13</v>
      </c>
      <c r="O91" s="5">
        <f t="shared" si="38"/>
        <v>4</v>
      </c>
      <c r="P91" s="5">
        <f t="shared" si="38"/>
        <v>19</v>
      </c>
      <c r="Q91" s="5">
        <f t="shared" si="38"/>
        <v>8</v>
      </c>
      <c r="R91" s="5">
        <f t="shared" si="37"/>
        <v>25</v>
      </c>
      <c r="S91" s="5">
        <f t="shared" si="37"/>
        <v>34</v>
      </c>
      <c r="T91" s="5">
        <f t="shared" si="37"/>
        <v>28</v>
      </c>
      <c r="U91" s="5">
        <f t="shared" si="37"/>
        <v>14</v>
      </c>
      <c r="V91" s="5">
        <f t="shared" si="37"/>
        <v>17</v>
      </c>
      <c r="W91" s="5">
        <f t="shared" si="37"/>
        <v>13</v>
      </c>
      <c r="X91" s="5">
        <f t="shared" si="37"/>
        <v>8</v>
      </c>
      <c r="Y91" s="5">
        <f t="shared" si="37"/>
        <v>18</v>
      </c>
      <c r="Z91" s="5">
        <f t="shared" si="37"/>
        <v>29</v>
      </c>
      <c r="AA91" s="5">
        <f t="shared" si="37"/>
        <v>7</v>
      </c>
      <c r="AB91" s="5">
        <f t="shared" si="37"/>
        <v>321</v>
      </c>
    </row>
    <row r="92" spans="1:28">
      <c r="A92" s="83"/>
      <c r="B92" s="84"/>
      <c r="C92" s="84"/>
      <c r="D92" s="84"/>
      <c r="E92" s="84"/>
    </row>
    <row r="93" spans="1:28">
      <c r="A93" s="11" t="s">
        <v>48</v>
      </c>
      <c r="B93" s="17" t="s">
        <v>55</v>
      </c>
      <c r="C93" s="72" t="s">
        <v>56</v>
      </c>
      <c r="D93" s="73"/>
      <c r="E93" s="6">
        <v>2</v>
      </c>
      <c r="F93" s="6">
        <v>3</v>
      </c>
      <c r="G93" s="6">
        <v>2</v>
      </c>
      <c r="H93" s="6">
        <v>4</v>
      </c>
      <c r="I93" s="6">
        <v>0</v>
      </c>
      <c r="J93" s="6">
        <v>1</v>
      </c>
      <c r="K93" s="6">
        <v>0</v>
      </c>
      <c r="L93" s="6">
        <v>6</v>
      </c>
      <c r="M93" s="6">
        <v>0</v>
      </c>
      <c r="N93" s="6">
        <v>2</v>
      </c>
      <c r="O93" s="6">
        <v>2</v>
      </c>
      <c r="P93" s="6">
        <v>4</v>
      </c>
      <c r="Q93" s="6">
        <v>0</v>
      </c>
      <c r="R93" s="6">
        <v>0</v>
      </c>
      <c r="S93" s="6">
        <v>1</v>
      </c>
      <c r="T93" s="6">
        <v>1</v>
      </c>
      <c r="U93" s="6">
        <v>1</v>
      </c>
      <c r="V93" s="6">
        <v>2</v>
      </c>
      <c r="W93" s="6">
        <v>2</v>
      </c>
      <c r="X93" s="6">
        <v>1</v>
      </c>
      <c r="Y93" s="6">
        <v>1</v>
      </c>
      <c r="Z93" s="6">
        <v>0</v>
      </c>
      <c r="AA93" s="6">
        <v>0</v>
      </c>
      <c r="AB93" s="5">
        <f t="shared" ref="AB93:AB102" si="39">SUM(E93:AA93)</f>
        <v>35</v>
      </c>
    </row>
    <row r="94" spans="1:28">
      <c r="A94" s="11" t="s">
        <v>50</v>
      </c>
      <c r="B94" s="50"/>
      <c r="C94" s="24" t="s">
        <v>133</v>
      </c>
      <c r="D94" s="51"/>
      <c r="E94" s="6">
        <v>12</v>
      </c>
      <c r="F94" s="6">
        <v>30</v>
      </c>
      <c r="G94" s="6">
        <v>30</v>
      </c>
      <c r="H94" s="6">
        <v>26</v>
      </c>
      <c r="I94" s="6">
        <v>22</v>
      </c>
      <c r="J94" s="6">
        <v>12</v>
      </c>
      <c r="K94" s="6">
        <v>17</v>
      </c>
      <c r="L94" s="6">
        <v>24</v>
      </c>
      <c r="M94" s="6">
        <v>24</v>
      </c>
      <c r="N94" s="6">
        <v>10</v>
      </c>
      <c r="O94" s="6">
        <v>11</v>
      </c>
      <c r="P94" s="6">
        <v>14</v>
      </c>
      <c r="Q94" s="6">
        <v>2</v>
      </c>
      <c r="R94" s="6">
        <v>7</v>
      </c>
      <c r="S94" s="6">
        <v>6</v>
      </c>
      <c r="T94" s="6">
        <v>8</v>
      </c>
      <c r="U94" s="6">
        <v>0</v>
      </c>
      <c r="V94" s="6">
        <v>11</v>
      </c>
      <c r="W94" s="6">
        <v>50</v>
      </c>
      <c r="X94" s="6">
        <v>9</v>
      </c>
      <c r="Y94" s="6">
        <v>0</v>
      </c>
      <c r="Z94" s="6">
        <v>1</v>
      </c>
      <c r="AA94" s="6">
        <v>1</v>
      </c>
      <c r="AB94" s="5">
        <f t="shared" si="39"/>
        <v>327</v>
      </c>
    </row>
    <row r="95" spans="1:28">
      <c r="A95" s="7"/>
      <c r="B95" s="50"/>
      <c r="C95" s="24" t="s">
        <v>134</v>
      </c>
      <c r="D95" s="51"/>
      <c r="E95" s="6">
        <v>3</v>
      </c>
      <c r="F95" s="6">
        <v>3</v>
      </c>
      <c r="G95" s="6">
        <v>13</v>
      </c>
      <c r="H95" s="6">
        <v>6</v>
      </c>
      <c r="I95" s="6">
        <v>1</v>
      </c>
      <c r="J95" s="6">
        <v>0</v>
      </c>
      <c r="K95" s="6">
        <v>1</v>
      </c>
      <c r="L95" s="6">
        <v>0</v>
      </c>
      <c r="M95" s="6">
        <v>2</v>
      </c>
      <c r="N95" s="6">
        <v>0</v>
      </c>
      <c r="O95" s="6">
        <v>0</v>
      </c>
      <c r="P95" s="6">
        <v>1</v>
      </c>
      <c r="Q95" s="6">
        <v>2</v>
      </c>
      <c r="R95" s="6">
        <v>3</v>
      </c>
      <c r="S95" s="6">
        <v>0</v>
      </c>
      <c r="T95" s="6">
        <v>4</v>
      </c>
      <c r="U95" s="6">
        <v>0</v>
      </c>
      <c r="V95" s="6">
        <v>1</v>
      </c>
      <c r="W95" s="6">
        <v>7</v>
      </c>
      <c r="X95" s="6">
        <v>2</v>
      </c>
      <c r="Y95" s="6">
        <v>5</v>
      </c>
      <c r="Z95" s="6">
        <v>0</v>
      </c>
      <c r="AA95" s="6">
        <v>0</v>
      </c>
      <c r="AB95" s="5">
        <f t="shared" si="39"/>
        <v>54</v>
      </c>
    </row>
    <row r="96" spans="1:28" ht="13.15" customHeight="1">
      <c r="A96" s="7"/>
      <c r="B96" s="50"/>
      <c r="C96" s="24" t="s">
        <v>135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0</v>
      </c>
      <c r="Z96" s="6">
        <v>0</v>
      </c>
      <c r="AA96" s="6">
        <v>0</v>
      </c>
      <c r="AB96" s="5">
        <f t="shared" si="39"/>
        <v>4</v>
      </c>
    </row>
    <row r="97" spans="1:28">
      <c r="A97" s="7"/>
      <c r="B97" s="50"/>
      <c r="C97" s="24" t="s">
        <v>136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2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5">
        <f t="shared" si="39"/>
        <v>3</v>
      </c>
    </row>
    <row r="98" spans="1:28">
      <c r="A98" s="7"/>
      <c r="B98" s="50"/>
      <c r="C98" s="24" t="s">
        <v>137</v>
      </c>
      <c r="D98" s="51"/>
      <c r="E98" s="6">
        <v>3</v>
      </c>
      <c r="F98" s="6">
        <v>1</v>
      </c>
      <c r="G98" s="6">
        <v>2</v>
      </c>
      <c r="H98" s="6">
        <v>3</v>
      </c>
      <c r="I98" s="6">
        <v>1</v>
      </c>
      <c r="J98" s="6">
        <v>4</v>
      </c>
      <c r="K98" s="6">
        <v>0</v>
      </c>
      <c r="L98" s="6">
        <v>0</v>
      </c>
      <c r="M98" s="6">
        <v>1</v>
      </c>
      <c r="N98" s="6">
        <v>4</v>
      </c>
      <c r="O98" s="6">
        <v>4</v>
      </c>
      <c r="P98" s="6">
        <v>1</v>
      </c>
      <c r="Q98" s="6">
        <v>4</v>
      </c>
      <c r="R98" s="6">
        <v>2</v>
      </c>
      <c r="S98" s="6">
        <v>13</v>
      </c>
      <c r="T98" s="6">
        <v>5</v>
      </c>
      <c r="U98" s="6">
        <v>2</v>
      </c>
      <c r="V98" s="6">
        <v>5</v>
      </c>
      <c r="W98" s="6">
        <v>1</v>
      </c>
      <c r="X98" s="6">
        <v>1</v>
      </c>
      <c r="Y98" s="6">
        <v>16</v>
      </c>
      <c r="Z98" s="6">
        <v>4</v>
      </c>
      <c r="AA98" s="6">
        <v>1</v>
      </c>
      <c r="AB98" s="5">
        <f t="shared" si="39"/>
        <v>78</v>
      </c>
    </row>
    <row r="99" spans="1:28">
      <c r="A99" s="7"/>
      <c r="B99" s="50"/>
      <c r="C99" s="24" t="s">
        <v>138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1</v>
      </c>
      <c r="R99" s="6">
        <v>0</v>
      </c>
      <c r="S99" s="6">
        <v>1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5">
        <f t="shared" si="39"/>
        <v>4</v>
      </c>
    </row>
    <row r="100" spans="1:28">
      <c r="A100" s="7"/>
      <c r="B100" s="50"/>
      <c r="C100" s="24" t="s">
        <v>139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5">
        <f t="shared" si="39"/>
        <v>0</v>
      </c>
    </row>
    <row r="101" spans="1:28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5">
        <f t="shared" si="39"/>
        <v>0</v>
      </c>
    </row>
    <row r="102" spans="1:28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5">
        <f t="shared" si="39"/>
        <v>0</v>
      </c>
    </row>
    <row r="103" spans="1:28">
      <c r="A103" s="6" t="s">
        <v>26</v>
      </c>
      <c r="B103" s="66" t="s">
        <v>51</v>
      </c>
      <c r="C103" s="82"/>
      <c r="D103" s="73"/>
      <c r="E103" s="5">
        <f t="shared" ref="E103:AB103" si="40">SUM(E93:E102)</f>
        <v>21</v>
      </c>
      <c r="F103" s="5">
        <f t="shared" ref="F103:Q103" si="41">SUM(F93:F102)</f>
        <v>37</v>
      </c>
      <c r="G103" s="5">
        <f t="shared" si="41"/>
        <v>47</v>
      </c>
      <c r="H103" s="5">
        <f t="shared" si="41"/>
        <v>39</v>
      </c>
      <c r="I103" s="5">
        <f t="shared" si="41"/>
        <v>25</v>
      </c>
      <c r="J103" s="5">
        <f t="shared" si="41"/>
        <v>19</v>
      </c>
      <c r="K103" s="5">
        <f t="shared" si="41"/>
        <v>19</v>
      </c>
      <c r="L103" s="5">
        <f t="shared" si="41"/>
        <v>30</v>
      </c>
      <c r="M103" s="5">
        <f t="shared" si="41"/>
        <v>27</v>
      </c>
      <c r="N103" s="5">
        <f t="shared" si="41"/>
        <v>17</v>
      </c>
      <c r="O103" s="5">
        <f t="shared" si="41"/>
        <v>17</v>
      </c>
      <c r="P103" s="5">
        <f t="shared" si="41"/>
        <v>20</v>
      </c>
      <c r="Q103" s="5">
        <f t="shared" si="41"/>
        <v>9</v>
      </c>
      <c r="R103" s="5">
        <f t="shared" si="40"/>
        <v>12</v>
      </c>
      <c r="S103" s="5">
        <f t="shared" si="40"/>
        <v>22</v>
      </c>
      <c r="T103" s="5">
        <f t="shared" si="40"/>
        <v>19</v>
      </c>
      <c r="U103" s="5">
        <f t="shared" si="40"/>
        <v>3</v>
      </c>
      <c r="V103" s="5">
        <f t="shared" si="40"/>
        <v>19</v>
      </c>
      <c r="W103" s="5">
        <f t="shared" si="40"/>
        <v>61</v>
      </c>
      <c r="X103" s="5">
        <f t="shared" si="40"/>
        <v>13</v>
      </c>
      <c r="Y103" s="5">
        <f t="shared" si="40"/>
        <v>22</v>
      </c>
      <c r="Z103" s="5">
        <f t="shared" si="40"/>
        <v>5</v>
      </c>
      <c r="AA103" s="5">
        <f t="shared" si="40"/>
        <v>2</v>
      </c>
      <c r="AB103" s="5">
        <f t="shared" si="40"/>
        <v>505</v>
      </c>
    </row>
    <row r="104" spans="1:28">
      <c r="A104" s="83"/>
      <c r="B104" s="84"/>
      <c r="C104" s="84"/>
      <c r="D104" s="84"/>
      <c r="E104" s="8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>
      <c r="A105" s="11" t="s">
        <v>48</v>
      </c>
      <c r="B105" s="17" t="s">
        <v>57</v>
      </c>
      <c r="C105" s="72" t="s">
        <v>58</v>
      </c>
      <c r="D105" s="73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/>
      <c r="U105" s="6"/>
      <c r="V105" s="6"/>
      <c r="W105" s="6"/>
      <c r="X105" s="6"/>
      <c r="Y105" s="6"/>
      <c r="Z105" s="6"/>
      <c r="AA105" s="6"/>
      <c r="AB105" s="5">
        <f t="shared" ref="AB105:AB114" si="42">SUM(E105:AA105)</f>
        <v>0</v>
      </c>
    </row>
    <row r="106" spans="1:28">
      <c r="A106" s="11" t="s">
        <v>50</v>
      </c>
      <c r="B106" s="50"/>
      <c r="C106" s="24" t="s">
        <v>140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6"/>
      <c r="V106" s="6"/>
      <c r="W106" s="6"/>
      <c r="X106" s="6"/>
      <c r="Y106" s="6"/>
      <c r="Z106" s="6"/>
      <c r="AA106" s="6"/>
      <c r="AB106" s="5">
        <f t="shared" si="42"/>
        <v>2</v>
      </c>
    </row>
    <row r="107" spans="1:28" ht="13.15" customHeight="1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5">
        <f t="shared" si="42"/>
        <v>0</v>
      </c>
    </row>
    <row r="108" spans="1:28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>
        <f t="shared" si="42"/>
        <v>0</v>
      </c>
    </row>
    <row r="109" spans="1:28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>
        <f t="shared" si="42"/>
        <v>0</v>
      </c>
    </row>
    <row r="110" spans="1:28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>
        <f t="shared" si="42"/>
        <v>0</v>
      </c>
    </row>
    <row r="111" spans="1:28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>
        <f t="shared" si="42"/>
        <v>0</v>
      </c>
    </row>
    <row r="112" spans="1:28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>
        <f t="shared" si="42"/>
        <v>0</v>
      </c>
    </row>
    <row r="113" spans="1:28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>
        <f t="shared" si="42"/>
        <v>0</v>
      </c>
    </row>
    <row r="114" spans="1:28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>
        <f t="shared" si="42"/>
        <v>0</v>
      </c>
    </row>
    <row r="115" spans="1:28" ht="13.15" customHeight="1">
      <c r="A115" s="6" t="s">
        <v>26</v>
      </c>
      <c r="B115" s="66" t="s">
        <v>51</v>
      </c>
      <c r="C115" s="67"/>
      <c r="D115" s="68"/>
      <c r="E115" s="5">
        <f t="shared" ref="E115:AB115" si="43">SUM(E105:E114)</f>
        <v>0</v>
      </c>
      <c r="F115" s="5">
        <f t="shared" ref="F115:Q115" si="44">SUM(F105:F114)</f>
        <v>0</v>
      </c>
      <c r="G115" s="5">
        <f t="shared" si="44"/>
        <v>0</v>
      </c>
      <c r="H115" s="5">
        <f t="shared" si="44"/>
        <v>0</v>
      </c>
      <c r="I115" s="5">
        <f t="shared" si="44"/>
        <v>1</v>
      </c>
      <c r="J115" s="5">
        <f t="shared" si="44"/>
        <v>0</v>
      </c>
      <c r="K115" s="5">
        <f t="shared" si="44"/>
        <v>1</v>
      </c>
      <c r="L115" s="5">
        <f t="shared" si="44"/>
        <v>0</v>
      </c>
      <c r="M115" s="5">
        <f t="shared" si="44"/>
        <v>0</v>
      </c>
      <c r="N115" s="5">
        <f t="shared" si="44"/>
        <v>0</v>
      </c>
      <c r="O115" s="5">
        <f t="shared" si="44"/>
        <v>0</v>
      </c>
      <c r="P115" s="5">
        <f t="shared" si="44"/>
        <v>0</v>
      </c>
      <c r="Q115" s="5">
        <f t="shared" si="44"/>
        <v>0</v>
      </c>
      <c r="R115" s="5">
        <f t="shared" si="43"/>
        <v>0</v>
      </c>
      <c r="S115" s="5">
        <f t="shared" si="43"/>
        <v>0</v>
      </c>
      <c r="T115" s="5">
        <f t="shared" si="43"/>
        <v>0</v>
      </c>
      <c r="U115" s="5">
        <f t="shared" si="43"/>
        <v>0</v>
      </c>
      <c r="V115" s="5">
        <f t="shared" si="43"/>
        <v>0</v>
      </c>
      <c r="W115" s="5">
        <f t="shared" si="43"/>
        <v>0</v>
      </c>
      <c r="X115" s="5">
        <f t="shared" si="43"/>
        <v>0</v>
      </c>
      <c r="Y115" s="5">
        <f t="shared" si="43"/>
        <v>0</v>
      </c>
      <c r="Z115" s="5">
        <f t="shared" si="43"/>
        <v>0</v>
      </c>
      <c r="AA115" s="5">
        <f t="shared" si="43"/>
        <v>0</v>
      </c>
      <c r="AB115" s="5">
        <f t="shared" si="43"/>
        <v>2</v>
      </c>
    </row>
    <row r="116" spans="1:28">
      <c r="A116" s="74"/>
      <c r="B116" s="75"/>
      <c r="C116" s="75"/>
      <c r="D116" s="75"/>
      <c r="E116" s="7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28">
      <c r="A117" s="11" t="s">
        <v>48</v>
      </c>
      <c r="B117" s="17" t="s">
        <v>59</v>
      </c>
      <c r="C117" s="72" t="s">
        <v>60</v>
      </c>
      <c r="D117" s="73"/>
      <c r="E117" s="6">
        <v>1</v>
      </c>
      <c r="F117" s="6">
        <v>2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1</v>
      </c>
      <c r="O117" s="6">
        <v>0</v>
      </c>
      <c r="P117" s="6">
        <v>1</v>
      </c>
      <c r="Q117" s="6">
        <v>0</v>
      </c>
      <c r="R117" s="6">
        <v>1</v>
      </c>
      <c r="S117" s="6"/>
      <c r="T117" s="6">
        <v>0</v>
      </c>
      <c r="U117" s="6">
        <v>2</v>
      </c>
      <c r="V117" s="6">
        <v>2</v>
      </c>
      <c r="W117" s="6">
        <v>2</v>
      </c>
      <c r="X117" s="6">
        <v>3</v>
      </c>
      <c r="Y117" s="6">
        <v>0</v>
      </c>
      <c r="Z117" s="6">
        <v>2</v>
      </c>
      <c r="AA117" s="6">
        <v>7</v>
      </c>
      <c r="AB117" s="5">
        <f t="shared" ref="AB117:AB126" si="45">SUM(E117:AA117)</f>
        <v>25</v>
      </c>
    </row>
    <row r="118" spans="1:28">
      <c r="A118" s="11" t="s">
        <v>50</v>
      </c>
      <c r="B118" s="50"/>
      <c r="C118" s="24" t="s">
        <v>141</v>
      </c>
      <c r="D118" s="51"/>
      <c r="E118" s="6">
        <v>0</v>
      </c>
      <c r="F118" s="6">
        <v>1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1</v>
      </c>
      <c r="V118" s="6">
        <v>0</v>
      </c>
      <c r="W118" s="6">
        <v>1</v>
      </c>
      <c r="X118" s="6">
        <v>0</v>
      </c>
      <c r="Y118" s="6">
        <v>1</v>
      </c>
      <c r="Z118" s="6">
        <v>0</v>
      </c>
      <c r="AA118" s="6">
        <v>0</v>
      </c>
      <c r="AB118" s="5">
        <f t="shared" si="45"/>
        <v>8</v>
      </c>
    </row>
    <row r="119" spans="1:28">
      <c r="A119" s="7"/>
      <c r="B119" s="45"/>
      <c r="C119" s="46"/>
      <c r="D119" s="4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5">
        <f t="shared" si="45"/>
        <v>0</v>
      </c>
    </row>
    <row r="120" spans="1:28">
      <c r="A120" s="7"/>
      <c r="B120" s="45"/>
      <c r="C120" s="46"/>
      <c r="D120" s="4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5">
        <f t="shared" si="45"/>
        <v>0</v>
      </c>
    </row>
    <row r="121" spans="1:28">
      <c r="A121" s="7"/>
      <c r="B121" s="45"/>
      <c r="C121" s="46"/>
      <c r="D121" s="4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5">
        <f t="shared" si="45"/>
        <v>0</v>
      </c>
    </row>
    <row r="122" spans="1:28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5">
        <f t="shared" si="45"/>
        <v>0</v>
      </c>
    </row>
    <row r="123" spans="1:28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5">
        <f t="shared" si="45"/>
        <v>0</v>
      </c>
    </row>
    <row r="124" spans="1:28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5">
        <f t="shared" si="45"/>
        <v>0</v>
      </c>
    </row>
    <row r="125" spans="1:28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5">
        <f t="shared" si="45"/>
        <v>0</v>
      </c>
    </row>
    <row r="126" spans="1:28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5">
        <f t="shared" si="45"/>
        <v>0</v>
      </c>
    </row>
    <row r="127" spans="1:28">
      <c r="A127" s="6" t="s">
        <v>26</v>
      </c>
      <c r="B127" s="66" t="s">
        <v>51</v>
      </c>
      <c r="C127" s="67"/>
      <c r="D127" s="68"/>
      <c r="E127" s="5">
        <f t="shared" ref="E127:AB127" si="46">SUM(E117:E126)</f>
        <v>1</v>
      </c>
      <c r="F127" s="5">
        <f t="shared" ref="F127:Q127" si="47">SUM(F117:F126)</f>
        <v>3</v>
      </c>
      <c r="G127" s="5">
        <f t="shared" si="47"/>
        <v>0</v>
      </c>
      <c r="H127" s="5">
        <f t="shared" si="47"/>
        <v>1</v>
      </c>
      <c r="I127" s="5">
        <f t="shared" si="47"/>
        <v>0</v>
      </c>
      <c r="J127" s="5">
        <f t="shared" si="47"/>
        <v>0</v>
      </c>
      <c r="K127" s="5">
        <f t="shared" si="47"/>
        <v>1</v>
      </c>
      <c r="L127" s="5">
        <f t="shared" si="47"/>
        <v>1</v>
      </c>
      <c r="M127" s="5">
        <f t="shared" si="47"/>
        <v>1</v>
      </c>
      <c r="N127" s="5">
        <f t="shared" si="47"/>
        <v>1</v>
      </c>
      <c r="O127" s="5">
        <f t="shared" si="47"/>
        <v>0</v>
      </c>
      <c r="P127" s="5">
        <f t="shared" si="47"/>
        <v>1</v>
      </c>
      <c r="Q127" s="5">
        <f t="shared" si="47"/>
        <v>0</v>
      </c>
      <c r="R127" s="5">
        <f t="shared" si="46"/>
        <v>1</v>
      </c>
      <c r="S127" s="5">
        <f t="shared" si="46"/>
        <v>1</v>
      </c>
      <c r="T127" s="5">
        <f t="shared" si="46"/>
        <v>0</v>
      </c>
      <c r="U127" s="5">
        <f t="shared" si="46"/>
        <v>3</v>
      </c>
      <c r="V127" s="5">
        <f t="shared" si="46"/>
        <v>2</v>
      </c>
      <c r="W127" s="5">
        <f t="shared" si="46"/>
        <v>3</v>
      </c>
      <c r="X127" s="5">
        <f t="shared" si="46"/>
        <v>3</v>
      </c>
      <c r="Y127" s="5">
        <f t="shared" si="46"/>
        <v>1</v>
      </c>
      <c r="Z127" s="5">
        <f t="shared" si="46"/>
        <v>2</v>
      </c>
      <c r="AA127" s="5">
        <f t="shared" si="46"/>
        <v>7</v>
      </c>
      <c r="AB127" s="5">
        <f t="shared" si="46"/>
        <v>33</v>
      </c>
    </row>
    <row r="128" spans="1:28">
      <c r="A128" s="74"/>
      <c r="B128" s="75"/>
      <c r="C128" s="75"/>
      <c r="D128" s="75"/>
      <c r="E128" s="7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>
      <c r="A129" s="11" t="s">
        <v>48</v>
      </c>
      <c r="B129" s="17" t="s">
        <v>61</v>
      </c>
      <c r="C129" s="72" t="s">
        <v>62</v>
      </c>
      <c r="D129" s="73"/>
      <c r="E129" s="6">
        <v>1</v>
      </c>
      <c r="F129" s="6">
        <v>1</v>
      </c>
      <c r="G129" s="6">
        <v>0</v>
      </c>
      <c r="H129" s="6">
        <v>3</v>
      </c>
      <c r="I129" s="6">
        <v>7</v>
      </c>
      <c r="J129" s="6">
        <v>4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>
        <v>3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5">
        <f t="shared" ref="AB129:AB138" si="48">SUM(E129:AA129)</f>
        <v>22</v>
      </c>
    </row>
    <row r="130" spans="1:28" ht="13.15" customHeight="1">
      <c r="A130" s="11" t="s">
        <v>50</v>
      </c>
      <c r="B130" s="50"/>
      <c r="C130" s="24" t="s">
        <v>142</v>
      </c>
      <c r="D130" s="51"/>
      <c r="E130" s="6">
        <v>1</v>
      </c>
      <c r="F130" s="6">
        <v>0</v>
      </c>
      <c r="G130" s="6">
        <v>0</v>
      </c>
      <c r="H130" s="6">
        <v>0</v>
      </c>
      <c r="I130" s="6">
        <v>2</v>
      </c>
      <c r="J130" s="6">
        <v>3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2</v>
      </c>
      <c r="Q130" s="6">
        <v>0</v>
      </c>
      <c r="R130" s="6">
        <v>0</v>
      </c>
      <c r="S130" s="6">
        <v>2</v>
      </c>
      <c r="T130" s="6">
        <v>0</v>
      </c>
      <c r="U130" s="6">
        <v>0</v>
      </c>
      <c r="V130" s="6">
        <v>0</v>
      </c>
      <c r="W130" s="6">
        <v>2</v>
      </c>
      <c r="X130" s="6">
        <v>0</v>
      </c>
      <c r="Y130" s="6">
        <v>0</v>
      </c>
      <c r="Z130" s="6">
        <v>0</v>
      </c>
      <c r="AA130" s="6">
        <v>0</v>
      </c>
      <c r="AB130" s="5">
        <f t="shared" si="48"/>
        <v>12</v>
      </c>
    </row>
    <row r="131" spans="1:28">
      <c r="A131" s="7"/>
      <c r="B131" s="50"/>
      <c r="C131" s="24" t="s">
        <v>143</v>
      </c>
      <c r="D131" s="51"/>
      <c r="E131" s="6">
        <v>1</v>
      </c>
      <c r="F131" s="6">
        <v>2</v>
      </c>
      <c r="G131" s="6">
        <v>0</v>
      </c>
      <c r="H131" s="6">
        <v>0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2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48"/>
        <v>8</v>
      </c>
    </row>
    <row r="132" spans="1:28">
      <c r="A132" s="7"/>
      <c r="B132" s="50"/>
      <c r="C132" s="24" t="s">
        <v>144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3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5">
        <f t="shared" si="48"/>
        <v>5</v>
      </c>
    </row>
    <row r="133" spans="1:28">
      <c r="A133" s="7"/>
      <c r="B133" s="50"/>
      <c r="C133" s="24" t="s">
        <v>145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48"/>
        <v>0</v>
      </c>
    </row>
    <row r="134" spans="1:28">
      <c r="A134" s="7"/>
      <c r="B134" s="50"/>
      <c r="C134" s="24" t="s">
        <v>146</v>
      </c>
      <c r="D134" s="51"/>
      <c r="E134" s="6">
        <v>3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>
        <f t="shared" si="48"/>
        <v>3</v>
      </c>
    </row>
    <row r="135" spans="1:28">
      <c r="A135" s="7"/>
      <c r="B135" s="50"/>
      <c r="C135" s="24" t="s">
        <v>147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5">
        <f t="shared" si="48"/>
        <v>0</v>
      </c>
    </row>
    <row r="136" spans="1:28">
      <c r="A136" s="7"/>
      <c r="B136" s="50"/>
      <c r="C136" s="24" t="s">
        <v>148</v>
      </c>
      <c r="D136" s="51"/>
      <c r="E136" s="6">
        <v>1</v>
      </c>
      <c r="F136" s="6">
        <v>16</v>
      </c>
      <c r="G136" s="6">
        <v>2</v>
      </c>
      <c r="H136" s="6">
        <v>0</v>
      </c>
      <c r="I136" s="6">
        <v>0</v>
      </c>
      <c r="J136" s="6">
        <v>0</v>
      </c>
      <c r="K136" s="6">
        <v>1</v>
      </c>
      <c r="L136" s="6">
        <v>2</v>
      </c>
      <c r="M136" s="6">
        <v>0</v>
      </c>
      <c r="N136" s="6">
        <v>2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</v>
      </c>
      <c r="W136" s="6">
        <v>0</v>
      </c>
      <c r="X136" s="6">
        <v>0</v>
      </c>
      <c r="Y136" s="6">
        <v>0</v>
      </c>
      <c r="Z136" s="6">
        <v>1</v>
      </c>
      <c r="AA136" s="6">
        <v>0</v>
      </c>
      <c r="AB136" s="5">
        <f t="shared" si="48"/>
        <v>26</v>
      </c>
    </row>
    <row r="137" spans="1:28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5">
        <f t="shared" si="48"/>
        <v>0</v>
      </c>
    </row>
    <row r="138" spans="1:28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>
        <f t="shared" si="48"/>
        <v>0</v>
      </c>
    </row>
    <row r="139" spans="1:28">
      <c r="A139" s="6" t="s">
        <v>26</v>
      </c>
      <c r="B139" s="66" t="s">
        <v>51</v>
      </c>
      <c r="C139" s="67"/>
      <c r="D139" s="68"/>
      <c r="E139" s="5">
        <f t="shared" ref="E139:AB139" si="49">SUM(E129:E138)</f>
        <v>7</v>
      </c>
      <c r="F139" s="5">
        <f t="shared" ref="F139:Q139" si="50">SUM(F129:F138)</f>
        <v>19</v>
      </c>
      <c r="G139" s="5">
        <f t="shared" si="50"/>
        <v>2</v>
      </c>
      <c r="H139" s="5">
        <f t="shared" si="50"/>
        <v>3</v>
      </c>
      <c r="I139" s="5">
        <f t="shared" si="50"/>
        <v>11</v>
      </c>
      <c r="J139" s="5">
        <f t="shared" si="50"/>
        <v>8</v>
      </c>
      <c r="K139" s="5">
        <f t="shared" si="50"/>
        <v>1</v>
      </c>
      <c r="L139" s="5">
        <f t="shared" si="50"/>
        <v>2</v>
      </c>
      <c r="M139" s="5">
        <f t="shared" si="50"/>
        <v>0</v>
      </c>
      <c r="N139" s="5">
        <f t="shared" si="50"/>
        <v>4</v>
      </c>
      <c r="O139" s="5">
        <f t="shared" si="50"/>
        <v>3</v>
      </c>
      <c r="P139" s="5">
        <f t="shared" si="50"/>
        <v>5</v>
      </c>
      <c r="Q139" s="5">
        <f t="shared" si="50"/>
        <v>0</v>
      </c>
      <c r="R139" s="5">
        <f t="shared" si="49"/>
        <v>0</v>
      </c>
      <c r="S139" s="5">
        <f t="shared" si="49"/>
        <v>4</v>
      </c>
      <c r="T139" s="5">
        <f t="shared" si="49"/>
        <v>0</v>
      </c>
      <c r="U139" s="5">
        <f t="shared" si="49"/>
        <v>1</v>
      </c>
      <c r="V139" s="5">
        <f t="shared" si="49"/>
        <v>3</v>
      </c>
      <c r="W139" s="5">
        <f t="shared" si="49"/>
        <v>2</v>
      </c>
      <c r="X139" s="5">
        <f t="shared" si="49"/>
        <v>0</v>
      </c>
      <c r="Y139" s="5">
        <f t="shared" si="49"/>
        <v>0</v>
      </c>
      <c r="Z139" s="5">
        <f t="shared" si="49"/>
        <v>1</v>
      </c>
      <c r="AA139" s="5">
        <f t="shared" si="49"/>
        <v>0</v>
      </c>
      <c r="AB139" s="5">
        <f t="shared" si="49"/>
        <v>76</v>
      </c>
    </row>
    <row r="140" spans="1:28">
      <c r="A140" s="74"/>
      <c r="B140" s="75"/>
      <c r="C140" s="75"/>
      <c r="D140" s="75"/>
      <c r="E140" s="7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3.15" customHeight="1">
      <c r="A141" s="11" t="s">
        <v>48</v>
      </c>
      <c r="B141" s="17" t="s">
        <v>63</v>
      </c>
      <c r="C141" s="72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/>
      <c r="O141" s="6">
        <v>3</v>
      </c>
      <c r="P141" s="6">
        <v>0</v>
      </c>
      <c r="Q141" s="6"/>
      <c r="R141" s="6">
        <v>1</v>
      </c>
      <c r="S141" s="6">
        <v>1</v>
      </c>
      <c r="T141" s="6"/>
      <c r="U141" s="6"/>
      <c r="V141" s="6"/>
      <c r="W141" s="6"/>
      <c r="X141" s="6"/>
      <c r="Y141" s="6"/>
      <c r="Z141" s="6"/>
      <c r="AA141" s="6">
        <v>1</v>
      </c>
      <c r="AB141" s="5">
        <f t="shared" ref="AB141:AB150" si="51">SUM(E141:AA141)</f>
        <v>6</v>
      </c>
    </row>
    <row r="142" spans="1:28">
      <c r="A142" s="11" t="s">
        <v>50</v>
      </c>
      <c r="B142" s="17"/>
      <c r="C142" s="24" t="s">
        <v>149</v>
      </c>
      <c r="D142" s="49"/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2</v>
      </c>
      <c r="K142" s="6">
        <v>0</v>
      </c>
      <c r="L142" s="6">
        <v>0</v>
      </c>
      <c r="M142" s="6">
        <v>0</v>
      </c>
      <c r="N142" s="6"/>
      <c r="O142" s="6">
        <v>2</v>
      </c>
      <c r="P142" s="6">
        <v>0</v>
      </c>
      <c r="Q142" s="6">
        <v>0</v>
      </c>
      <c r="R142" s="6"/>
      <c r="S142" s="6">
        <v>3</v>
      </c>
      <c r="T142" s="6"/>
      <c r="U142" s="6"/>
      <c r="V142" s="6">
        <v>1</v>
      </c>
      <c r="W142" s="6"/>
      <c r="X142" s="6"/>
      <c r="Y142" s="6"/>
      <c r="Z142" s="6"/>
      <c r="AA142" s="6"/>
      <c r="AB142" s="5">
        <f t="shared" si="51"/>
        <v>9</v>
      </c>
    </row>
    <row r="143" spans="1:28">
      <c r="A143" s="7"/>
      <c r="B143" s="45"/>
      <c r="C143" s="46"/>
      <c r="D143" s="4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f t="shared" si="51"/>
        <v>0</v>
      </c>
    </row>
    <row r="144" spans="1:28">
      <c r="A144" s="7"/>
      <c r="B144" s="45"/>
      <c r="C144" s="46"/>
      <c r="D144" s="4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>
        <f t="shared" si="51"/>
        <v>0</v>
      </c>
    </row>
    <row r="145" spans="1:28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>
        <f t="shared" si="51"/>
        <v>0</v>
      </c>
    </row>
    <row r="146" spans="1:28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>
        <f t="shared" si="51"/>
        <v>0</v>
      </c>
    </row>
    <row r="147" spans="1:28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>
        <f t="shared" si="51"/>
        <v>0</v>
      </c>
    </row>
    <row r="148" spans="1:28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>
        <f t="shared" si="51"/>
        <v>0</v>
      </c>
    </row>
    <row r="149" spans="1:28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f t="shared" si="51"/>
        <v>0</v>
      </c>
    </row>
    <row r="150" spans="1:28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f t="shared" si="51"/>
        <v>0</v>
      </c>
    </row>
    <row r="151" spans="1:28" ht="13.15" customHeight="1">
      <c r="A151" s="6" t="s">
        <v>26</v>
      </c>
      <c r="B151" s="66" t="s">
        <v>51</v>
      </c>
      <c r="C151" s="67"/>
      <c r="D151" s="68"/>
      <c r="E151" s="5">
        <f t="shared" ref="E151:AB151" si="52">SUM(E141:E150)</f>
        <v>0</v>
      </c>
      <c r="F151" s="5">
        <f t="shared" ref="F151:Q151" si="53">SUM(F141:F150)</f>
        <v>0</v>
      </c>
      <c r="G151" s="5">
        <f t="shared" si="53"/>
        <v>1</v>
      </c>
      <c r="H151" s="5">
        <f t="shared" si="53"/>
        <v>0</v>
      </c>
      <c r="I151" s="5">
        <f t="shared" si="53"/>
        <v>0</v>
      </c>
      <c r="J151" s="5">
        <f t="shared" si="53"/>
        <v>2</v>
      </c>
      <c r="K151" s="5">
        <f t="shared" si="53"/>
        <v>0</v>
      </c>
      <c r="L151" s="5">
        <f t="shared" si="53"/>
        <v>0</v>
      </c>
      <c r="M151" s="5">
        <f t="shared" si="53"/>
        <v>0</v>
      </c>
      <c r="N151" s="5">
        <f t="shared" si="53"/>
        <v>0</v>
      </c>
      <c r="O151" s="5">
        <f t="shared" si="53"/>
        <v>5</v>
      </c>
      <c r="P151" s="5">
        <f t="shared" si="53"/>
        <v>0</v>
      </c>
      <c r="Q151" s="5">
        <f t="shared" si="53"/>
        <v>0</v>
      </c>
      <c r="R151" s="5">
        <f t="shared" si="52"/>
        <v>1</v>
      </c>
      <c r="S151" s="5">
        <f t="shared" si="52"/>
        <v>4</v>
      </c>
      <c r="T151" s="5">
        <f t="shared" si="52"/>
        <v>0</v>
      </c>
      <c r="U151" s="5">
        <f t="shared" si="52"/>
        <v>0</v>
      </c>
      <c r="V151" s="5">
        <f t="shared" si="52"/>
        <v>1</v>
      </c>
      <c r="W151" s="5">
        <f t="shared" si="52"/>
        <v>0</v>
      </c>
      <c r="X151" s="5">
        <f t="shared" si="52"/>
        <v>0</v>
      </c>
      <c r="Y151" s="5">
        <f t="shared" si="52"/>
        <v>0</v>
      </c>
      <c r="Z151" s="5">
        <f t="shared" si="52"/>
        <v>0</v>
      </c>
      <c r="AA151" s="5">
        <f t="shared" si="52"/>
        <v>1</v>
      </c>
      <c r="AB151" s="5">
        <f t="shared" si="52"/>
        <v>15</v>
      </c>
    </row>
    <row r="152" spans="1:28">
      <c r="A152" s="74"/>
      <c r="B152" s="75"/>
      <c r="C152" s="75"/>
      <c r="D152" s="75"/>
      <c r="E152" s="7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</row>
    <row r="153" spans="1:28">
      <c r="A153" s="11" t="s">
        <v>48</v>
      </c>
      <c r="B153" s="44" t="s">
        <v>65</v>
      </c>
      <c r="C153" s="80" t="s">
        <v>66</v>
      </c>
      <c r="D153" s="8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5">
        <f>SUM(E153:AA153)</f>
        <v>0</v>
      </c>
    </row>
    <row r="154" spans="1:28">
      <c r="A154" s="52" t="s">
        <v>50</v>
      </c>
      <c r="B154" s="50"/>
      <c r="C154" s="24" t="s">
        <v>150</v>
      </c>
      <c r="D154" s="51"/>
      <c r="E154" s="5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5">
        <f t="shared" ref="AB154:AB162" si="54">SUM(E154:AA154)</f>
        <v>0</v>
      </c>
    </row>
    <row r="155" spans="1:28">
      <c r="A155" s="7"/>
      <c r="B155" s="50"/>
      <c r="C155" s="24" t="s">
        <v>151</v>
      </c>
      <c r="D155" s="51"/>
      <c r="E155" s="53">
        <v>1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5">
        <f t="shared" si="54"/>
        <v>1</v>
      </c>
    </row>
    <row r="156" spans="1:28">
      <c r="A156" s="7"/>
      <c r="B156" s="50"/>
      <c r="C156" s="24" t="s">
        <v>152</v>
      </c>
      <c r="D156" s="51"/>
      <c r="E156" s="5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5">
        <f t="shared" si="54"/>
        <v>0</v>
      </c>
    </row>
    <row r="157" spans="1:28">
      <c r="A157" s="7"/>
      <c r="B157" s="50"/>
      <c r="C157" s="24" t="s">
        <v>153</v>
      </c>
      <c r="D157" s="51"/>
      <c r="E157" s="53"/>
      <c r="F157" s="6"/>
      <c r="G157" s="6"/>
      <c r="H157" s="6"/>
      <c r="I157" s="6"/>
      <c r="J157" s="6"/>
      <c r="K157" s="6"/>
      <c r="L157" s="6"/>
      <c r="M157" s="6"/>
      <c r="N157" s="6"/>
      <c r="O157" s="6">
        <v>1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5">
        <f t="shared" si="54"/>
        <v>1</v>
      </c>
    </row>
    <row r="158" spans="1:28">
      <c r="A158" s="7"/>
      <c r="B158" s="50"/>
      <c r="C158" s="24" t="s">
        <v>154</v>
      </c>
      <c r="D158" s="51"/>
      <c r="E158" s="5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>
        <v>4</v>
      </c>
      <c r="U158" s="6"/>
      <c r="V158" s="6"/>
      <c r="W158" s="6"/>
      <c r="X158" s="6"/>
      <c r="Y158" s="6"/>
      <c r="Z158" s="6"/>
      <c r="AA158" s="6"/>
      <c r="AB158" s="5">
        <f t="shared" si="54"/>
        <v>4</v>
      </c>
    </row>
    <row r="159" spans="1:28">
      <c r="A159" s="7"/>
      <c r="B159" s="50"/>
      <c r="C159" s="24" t="s">
        <v>155</v>
      </c>
      <c r="D159" s="51"/>
      <c r="E159" s="5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5">
        <f t="shared" si="54"/>
        <v>0</v>
      </c>
    </row>
    <row r="160" spans="1:28">
      <c r="A160" s="7"/>
      <c r="B160" s="50"/>
      <c r="C160" s="24" t="s">
        <v>156</v>
      </c>
      <c r="D160" s="51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5">
        <f t="shared" si="54"/>
        <v>0</v>
      </c>
    </row>
    <row r="161" spans="1:28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54"/>
        <v>0</v>
      </c>
    </row>
    <row r="162" spans="1:28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54"/>
        <v>0</v>
      </c>
    </row>
    <row r="163" spans="1:28">
      <c r="A163" s="6" t="s">
        <v>26</v>
      </c>
      <c r="B163" s="77" t="s">
        <v>51</v>
      </c>
      <c r="C163" s="78"/>
      <c r="D163" s="79"/>
      <c r="E163" s="5">
        <f t="shared" ref="E163:AB163" si="55">SUM(E153:E162)</f>
        <v>1</v>
      </c>
      <c r="F163" s="5">
        <f t="shared" ref="F163:Q163" si="56">SUM(F153:F162)</f>
        <v>0</v>
      </c>
      <c r="G163" s="5">
        <f t="shared" si="56"/>
        <v>0</v>
      </c>
      <c r="H163" s="5">
        <f t="shared" si="56"/>
        <v>0</v>
      </c>
      <c r="I163" s="5">
        <f t="shared" si="56"/>
        <v>0</v>
      </c>
      <c r="J163" s="5">
        <f t="shared" si="56"/>
        <v>0</v>
      </c>
      <c r="K163" s="5">
        <f t="shared" si="56"/>
        <v>0</v>
      </c>
      <c r="L163" s="5">
        <f t="shared" si="56"/>
        <v>0</v>
      </c>
      <c r="M163" s="5">
        <f t="shared" si="56"/>
        <v>0</v>
      </c>
      <c r="N163" s="5">
        <f t="shared" si="56"/>
        <v>0</v>
      </c>
      <c r="O163" s="5">
        <f t="shared" si="56"/>
        <v>1</v>
      </c>
      <c r="P163" s="5">
        <f t="shared" si="56"/>
        <v>0</v>
      </c>
      <c r="Q163" s="5">
        <f t="shared" si="56"/>
        <v>0</v>
      </c>
      <c r="R163" s="5">
        <f t="shared" si="55"/>
        <v>0</v>
      </c>
      <c r="S163" s="5">
        <f t="shared" si="55"/>
        <v>0</v>
      </c>
      <c r="T163" s="5">
        <f t="shared" si="55"/>
        <v>4</v>
      </c>
      <c r="U163" s="5">
        <f t="shared" si="55"/>
        <v>0</v>
      </c>
      <c r="V163" s="5">
        <f t="shared" si="55"/>
        <v>0</v>
      </c>
      <c r="W163" s="5">
        <f t="shared" si="55"/>
        <v>0</v>
      </c>
      <c r="X163" s="5">
        <f t="shared" si="55"/>
        <v>0</v>
      </c>
      <c r="Y163" s="5">
        <f t="shared" si="55"/>
        <v>0</v>
      </c>
      <c r="Z163" s="5">
        <f t="shared" si="55"/>
        <v>0</v>
      </c>
      <c r="AA163" s="5">
        <f t="shared" si="55"/>
        <v>0</v>
      </c>
      <c r="AB163" s="5">
        <f t="shared" si="55"/>
        <v>6</v>
      </c>
    </row>
    <row r="164" spans="1:28">
      <c r="A164" s="74"/>
      <c r="B164" s="75"/>
      <c r="C164" s="75"/>
      <c r="D164" s="75"/>
      <c r="E164" s="7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3.15" customHeight="1">
      <c r="A165" s="11" t="s">
        <v>48</v>
      </c>
      <c r="B165" s="17" t="s">
        <v>67</v>
      </c>
      <c r="C165" s="72" t="s">
        <v>68</v>
      </c>
      <c r="D165" s="73"/>
      <c r="E165" s="6"/>
      <c r="F165" s="6"/>
      <c r="G165" s="6"/>
      <c r="H165" s="6"/>
      <c r="I165" s="6"/>
      <c r="J165" s="6"/>
      <c r="K165" s="6"/>
      <c r="L165" s="6"/>
      <c r="M165" s="6"/>
      <c r="N165" s="6">
        <v>1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5">
        <f t="shared" ref="AB165:AB174" si="57">SUM(E165:AA165)</f>
        <v>1</v>
      </c>
    </row>
    <row r="166" spans="1:28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5">
        <f t="shared" si="57"/>
        <v>0</v>
      </c>
    </row>
    <row r="167" spans="1:28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>
        <f t="shared" si="57"/>
        <v>0</v>
      </c>
    </row>
    <row r="168" spans="1:28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>
        <f t="shared" si="57"/>
        <v>0</v>
      </c>
    </row>
    <row r="169" spans="1:28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>
        <f t="shared" si="57"/>
        <v>0</v>
      </c>
    </row>
    <row r="170" spans="1:28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>
        <f t="shared" si="57"/>
        <v>0</v>
      </c>
    </row>
    <row r="171" spans="1:28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>
        <f t="shared" si="57"/>
        <v>0</v>
      </c>
    </row>
    <row r="172" spans="1:28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>
        <f t="shared" si="57"/>
        <v>0</v>
      </c>
    </row>
    <row r="173" spans="1:28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>
        <f t="shared" si="57"/>
        <v>0</v>
      </c>
    </row>
    <row r="174" spans="1:28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>
        <f t="shared" si="57"/>
        <v>0</v>
      </c>
    </row>
    <row r="175" spans="1:28">
      <c r="A175" s="6" t="s">
        <v>26</v>
      </c>
      <c r="B175" s="66" t="s">
        <v>51</v>
      </c>
      <c r="C175" s="67"/>
      <c r="D175" s="68"/>
      <c r="E175" s="5">
        <f t="shared" ref="E175:AB175" si="58">SUM(E165:E174)</f>
        <v>0</v>
      </c>
      <c r="F175" s="5">
        <f t="shared" ref="F175:Q175" si="59">SUM(F165:F174)</f>
        <v>0</v>
      </c>
      <c r="G175" s="5">
        <f t="shared" si="59"/>
        <v>0</v>
      </c>
      <c r="H175" s="5">
        <f t="shared" si="59"/>
        <v>0</v>
      </c>
      <c r="I175" s="5">
        <f t="shared" si="59"/>
        <v>0</v>
      </c>
      <c r="J175" s="5">
        <f t="shared" si="59"/>
        <v>0</v>
      </c>
      <c r="K175" s="5">
        <f t="shared" si="59"/>
        <v>0</v>
      </c>
      <c r="L175" s="5">
        <f t="shared" si="59"/>
        <v>0</v>
      </c>
      <c r="M175" s="5">
        <f t="shared" si="59"/>
        <v>0</v>
      </c>
      <c r="N175" s="5">
        <f t="shared" si="59"/>
        <v>1</v>
      </c>
      <c r="O175" s="5">
        <f t="shared" si="59"/>
        <v>0</v>
      </c>
      <c r="P175" s="5">
        <f t="shared" si="59"/>
        <v>0</v>
      </c>
      <c r="Q175" s="5">
        <f t="shared" si="59"/>
        <v>0</v>
      </c>
      <c r="R175" s="5">
        <f t="shared" si="58"/>
        <v>0</v>
      </c>
      <c r="S175" s="5">
        <f t="shared" si="58"/>
        <v>0</v>
      </c>
      <c r="T175" s="5">
        <f t="shared" si="58"/>
        <v>0</v>
      </c>
      <c r="U175" s="5">
        <f t="shared" si="58"/>
        <v>0</v>
      </c>
      <c r="V175" s="5">
        <f t="shared" si="58"/>
        <v>0</v>
      </c>
      <c r="W175" s="5">
        <f t="shared" si="58"/>
        <v>0</v>
      </c>
      <c r="X175" s="5">
        <f t="shared" si="58"/>
        <v>0</v>
      </c>
      <c r="Y175" s="5">
        <f t="shared" si="58"/>
        <v>0</v>
      </c>
      <c r="Z175" s="5">
        <f t="shared" si="58"/>
        <v>0</v>
      </c>
      <c r="AA175" s="5">
        <f t="shared" si="58"/>
        <v>0</v>
      </c>
      <c r="AB175" s="5">
        <f t="shared" si="58"/>
        <v>1</v>
      </c>
    </row>
    <row r="176" spans="1:28" ht="13.15" customHeight="1">
      <c r="A176" s="74"/>
      <c r="B176" s="75"/>
      <c r="C176" s="75"/>
      <c r="D176" s="75"/>
      <c r="E176" s="7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>
      <c r="A177" s="11" t="s">
        <v>48</v>
      </c>
      <c r="B177" s="17" t="s">
        <v>69</v>
      </c>
      <c r="C177" s="72" t="s">
        <v>70</v>
      </c>
      <c r="D177" s="73"/>
      <c r="E177" s="6">
        <v>2</v>
      </c>
      <c r="F177" s="6">
        <v>1</v>
      </c>
      <c r="G177" s="6">
        <v>2</v>
      </c>
      <c r="H177" s="6">
        <v>0</v>
      </c>
      <c r="I177" s="6">
        <v>1</v>
      </c>
      <c r="J177" s="6">
        <v>0</v>
      </c>
      <c r="K177" s="6">
        <v>1</v>
      </c>
      <c r="L177" s="6">
        <v>0</v>
      </c>
      <c r="M177" s="6">
        <v>1</v>
      </c>
      <c r="N177" s="6">
        <v>1</v>
      </c>
      <c r="O177" s="6">
        <v>0</v>
      </c>
      <c r="P177" s="6">
        <v>1</v>
      </c>
      <c r="Q177" s="6">
        <v>0</v>
      </c>
      <c r="R177" s="6">
        <v>0</v>
      </c>
      <c r="S177" s="6">
        <v>3</v>
      </c>
      <c r="T177" s="6">
        <v>0</v>
      </c>
      <c r="U177" s="6">
        <v>1</v>
      </c>
      <c r="V177" s="6">
        <v>0</v>
      </c>
      <c r="W177" s="6">
        <v>1</v>
      </c>
      <c r="X177" s="6">
        <v>0</v>
      </c>
      <c r="Y177" s="6">
        <v>0</v>
      </c>
      <c r="Z177" s="6">
        <v>2</v>
      </c>
      <c r="AA177" s="6">
        <v>0</v>
      </c>
      <c r="AB177" s="5">
        <f t="shared" ref="AB177:AB186" si="60">SUM(E177:AA177)</f>
        <v>17</v>
      </c>
    </row>
    <row r="178" spans="1:28">
      <c r="A178" s="11" t="s">
        <v>50</v>
      </c>
      <c r="B178" s="50"/>
      <c r="C178" s="24" t="s">
        <v>157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2</v>
      </c>
      <c r="J178" s="6">
        <v>0</v>
      </c>
      <c r="K178" s="6">
        <v>0</v>
      </c>
      <c r="L178" s="6">
        <v>1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2</v>
      </c>
      <c r="W178" s="6">
        <v>0</v>
      </c>
      <c r="X178" s="6">
        <v>0</v>
      </c>
      <c r="Y178" s="6">
        <v>1</v>
      </c>
      <c r="Z178" s="6">
        <v>0</v>
      </c>
      <c r="AA178" s="6">
        <v>0</v>
      </c>
      <c r="AB178" s="5">
        <f t="shared" si="60"/>
        <v>6</v>
      </c>
    </row>
    <row r="179" spans="1:28">
      <c r="A179" s="7"/>
      <c r="B179" s="50"/>
      <c r="C179" s="24" t="s">
        <v>158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2</v>
      </c>
      <c r="Y179" s="6">
        <v>0</v>
      </c>
      <c r="Z179" s="6">
        <v>0</v>
      </c>
      <c r="AA179" s="6">
        <v>0</v>
      </c>
      <c r="AB179" s="5">
        <f t="shared" si="60"/>
        <v>5</v>
      </c>
    </row>
    <row r="180" spans="1:28">
      <c r="A180" s="7"/>
      <c r="B180" s="50"/>
      <c r="C180" s="24" t="s">
        <v>159</v>
      </c>
      <c r="D180" s="51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5">
        <f t="shared" si="60"/>
        <v>3</v>
      </c>
    </row>
    <row r="181" spans="1:28">
      <c r="A181" s="7"/>
      <c r="B181" s="50"/>
      <c r="C181" s="24" t="s">
        <v>160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5">
        <f t="shared" si="60"/>
        <v>0</v>
      </c>
    </row>
    <row r="182" spans="1:28">
      <c r="A182" s="7"/>
      <c r="B182" s="45"/>
      <c r="C182" s="46"/>
      <c r="D182" s="4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5">
        <f t="shared" si="60"/>
        <v>0</v>
      </c>
    </row>
    <row r="183" spans="1:28">
      <c r="A183" s="7"/>
      <c r="B183" s="45"/>
      <c r="C183" s="46"/>
      <c r="D183" s="4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>
        <f t="shared" si="60"/>
        <v>0</v>
      </c>
    </row>
    <row r="184" spans="1:28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5">
        <f t="shared" si="60"/>
        <v>0</v>
      </c>
    </row>
    <row r="185" spans="1:28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5">
        <f t="shared" si="60"/>
        <v>0</v>
      </c>
    </row>
    <row r="186" spans="1:28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>
        <f t="shared" si="60"/>
        <v>0</v>
      </c>
    </row>
    <row r="187" spans="1:28" ht="13.15" customHeight="1">
      <c r="A187" s="6" t="s">
        <v>26</v>
      </c>
      <c r="B187" s="66" t="s">
        <v>51</v>
      </c>
      <c r="C187" s="67"/>
      <c r="D187" s="68"/>
      <c r="E187" s="5">
        <f t="shared" ref="E187:AB187" si="61">SUM(E177:E186)</f>
        <v>2</v>
      </c>
      <c r="F187" s="5">
        <f t="shared" ref="F187:Q187" si="62">SUM(F177:F186)</f>
        <v>1</v>
      </c>
      <c r="G187" s="5">
        <f t="shared" si="62"/>
        <v>3</v>
      </c>
      <c r="H187" s="5">
        <f t="shared" si="62"/>
        <v>0</v>
      </c>
      <c r="I187" s="5">
        <f t="shared" si="62"/>
        <v>3</v>
      </c>
      <c r="J187" s="5">
        <f t="shared" si="62"/>
        <v>1</v>
      </c>
      <c r="K187" s="5">
        <f t="shared" si="62"/>
        <v>1</v>
      </c>
      <c r="L187" s="5">
        <f t="shared" si="62"/>
        <v>1</v>
      </c>
      <c r="M187" s="5">
        <f t="shared" si="62"/>
        <v>2</v>
      </c>
      <c r="N187" s="5">
        <f t="shared" si="62"/>
        <v>2</v>
      </c>
      <c r="O187" s="5">
        <f t="shared" si="62"/>
        <v>1</v>
      </c>
      <c r="P187" s="5">
        <f t="shared" si="62"/>
        <v>1</v>
      </c>
      <c r="Q187" s="5">
        <f t="shared" si="62"/>
        <v>0</v>
      </c>
      <c r="R187" s="5">
        <f t="shared" si="61"/>
        <v>0</v>
      </c>
      <c r="S187" s="5">
        <f t="shared" si="61"/>
        <v>4</v>
      </c>
      <c r="T187" s="5">
        <f t="shared" si="61"/>
        <v>0</v>
      </c>
      <c r="U187" s="5">
        <f t="shared" si="61"/>
        <v>1</v>
      </c>
      <c r="V187" s="5">
        <f t="shared" si="61"/>
        <v>2</v>
      </c>
      <c r="W187" s="5">
        <f t="shared" si="61"/>
        <v>1</v>
      </c>
      <c r="X187" s="5">
        <f t="shared" si="61"/>
        <v>2</v>
      </c>
      <c r="Y187" s="5">
        <f t="shared" si="61"/>
        <v>1</v>
      </c>
      <c r="Z187" s="5">
        <f t="shared" si="61"/>
        <v>2</v>
      </c>
      <c r="AA187" s="5">
        <f t="shared" si="61"/>
        <v>0</v>
      </c>
      <c r="AB187" s="5">
        <f t="shared" si="61"/>
        <v>31</v>
      </c>
    </row>
    <row r="188" spans="1:28">
      <c r="A188" s="74"/>
      <c r="B188" s="75"/>
      <c r="C188" s="75"/>
      <c r="D188" s="75"/>
      <c r="E188" s="76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U188" s="18"/>
      <c r="V188" s="18"/>
      <c r="W188" s="18"/>
      <c r="X188" s="18"/>
      <c r="Y188" s="18"/>
      <c r="Z188" s="18"/>
      <c r="AB188" s="5"/>
    </row>
    <row r="189" spans="1:28">
      <c r="A189" s="11" t="s">
        <v>48</v>
      </c>
      <c r="B189" s="17" t="s">
        <v>71</v>
      </c>
      <c r="C189" s="72" t="s">
        <v>72</v>
      </c>
      <c r="D189" s="73"/>
      <c r="E189" s="6">
        <v>0</v>
      </c>
      <c r="F189" s="6">
        <v>0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5">
        <f t="shared" ref="AB189:AB198" si="63">SUM(E189:AA189)</f>
        <v>4</v>
      </c>
    </row>
    <row r="190" spans="1:28">
      <c r="A190" s="11" t="s">
        <v>50</v>
      </c>
      <c r="B190" s="50"/>
      <c r="C190" s="24" t="s">
        <v>161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5">
        <f t="shared" si="63"/>
        <v>2</v>
      </c>
    </row>
    <row r="191" spans="1:28">
      <c r="A191" s="7"/>
      <c r="B191" s="50"/>
      <c r="C191" s="24" t="s">
        <v>162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5">
        <f t="shared" si="63"/>
        <v>0</v>
      </c>
    </row>
    <row r="192" spans="1:28">
      <c r="A192" s="7"/>
      <c r="B192" s="50"/>
      <c r="C192" s="24" t="s">
        <v>163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2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5">
        <f t="shared" si="63"/>
        <v>2</v>
      </c>
    </row>
    <row r="193" spans="1:28">
      <c r="A193" s="7"/>
      <c r="B193" s="50"/>
      <c r="C193" s="24" t="s">
        <v>164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5">
        <f t="shared" si="63"/>
        <v>0</v>
      </c>
    </row>
    <row r="194" spans="1:28">
      <c r="A194" s="7"/>
      <c r="B194" s="50"/>
      <c r="C194" s="24" t="s">
        <v>165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5">
        <f t="shared" si="63"/>
        <v>0</v>
      </c>
    </row>
    <row r="195" spans="1:28">
      <c r="A195" s="7"/>
      <c r="B195" s="50"/>
      <c r="C195" s="24" t="s">
        <v>166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5">
        <f t="shared" si="63"/>
        <v>0</v>
      </c>
    </row>
    <row r="196" spans="1:28" ht="13.15" customHeight="1">
      <c r="A196" s="7"/>
      <c r="B196" s="50"/>
      <c r="C196" s="24" t="s">
        <v>167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5">
        <f t="shared" si="63"/>
        <v>0</v>
      </c>
    </row>
    <row r="197" spans="1:28" ht="13.15" customHeight="1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5">
        <f t="shared" si="63"/>
        <v>0</v>
      </c>
    </row>
    <row r="198" spans="1:28" ht="13.15" customHeight="1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>
        <f t="shared" si="63"/>
        <v>0</v>
      </c>
    </row>
    <row r="199" spans="1:28">
      <c r="A199" s="6" t="s">
        <v>26</v>
      </c>
      <c r="B199" s="66" t="s">
        <v>51</v>
      </c>
      <c r="C199" s="67"/>
      <c r="D199" s="68"/>
      <c r="E199" s="5">
        <f t="shared" ref="E199:AB199" si="64">SUM(E189:E198)</f>
        <v>0</v>
      </c>
      <c r="F199" s="5">
        <f t="shared" ref="F199:Q199" si="65">SUM(F189:F198)</f>
        <v>0</v>
      </c>
      <c r="G199" s="5">
        <f t="shared" si="65"/>
        <v>0</v>
      </c>
      <c r="H199" s="5">
        <f t="shared" si="65"/>
        <v>1</v>
      </c>
      <c r="I199" s="5">
        <f t="shared" si="65"/>
        <v>0</v>
      </c>
      <c r="J199" s="5">
        <f t="shared" si="65"/>
        <v>0</v>
      </c>
      <c r="K199" s="5">
        <f t="shared" si="65"/>
        <v>0</v>
      </c>
      <c r="L199" s="5">
        <f t="shared" si="65"/>
        <v>0</v>
      </c>
      <c r="M199" s="5">
        <f t="shared" si="65"/>
        <v>1</v>
      </c>
      <c r="N199" s="5">
        <f t="shared" si="65"/>
        <v>1</v>
      </c>
      <c r="O199" s="5">
        <f t="shared" si="65"/>
        <v>1</v>
      </c>
      <c r="P199" s="5">
        <f t="shared" si="65"/>
        <v>0</v>
      </c>
      <c r="Q199" s="5">
        <f t="shared" si="65"/>
        <v>0</v>
      </c>
      <c r="R199" s="5">
        <f t="shared" si="64"/>
        <v>2</v>
      </c>
      <c r="S199" s="5">
        <f t="shared" si="64"/>
        <v>1</v>
      </c>
      <c r="T199" s="5">
        <f t="shared" si="64"/>
        <v>0</v>
      </c>
      <c r="U199" s="5">
        <f t="shared" si="64"/>
        <v>1</v>
      </c>
      <c r="V199" s="5">
        <f t="shared" si="64"/>
        <v>0</v>
      </c>
      <c r="W199" s="5">
        <f t="shared" si="64"/>
        <v>0</v>
      </c>
      <c r="X199" s="5">
        <f t="shared" si="64"/>
        <v>0</v>
      </c>
      <c r="Y199" s="5">
        <f t="shared" si="64"/>
        <v>0</v>
      </c>
      <c r="Z199" s="5">
        <f t="shared" si="64"/>
        <v>0</v>
      </c>
      <c r="AA199" s="5">
        <f t="shared" si="64"/>
        <v>0</v>
      </c>
      <c r="AB199" s="5">
        <f t="shared" si="64"/>
        <v>8</v>
      </c>
    </row>
    <row r="200" spans="1:28">
      <c r="A200" s="74"/>
      <c r="B200" s="75"/>
      <c r="C200" s="75"/>
      <c r="D200" s="75"/>
      <c r="E200" s="7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>
      <c r="A201" s="11" t="s">
        <v>48</v>
      </c>
      <c r="B201" s="17" t="s">
        <v>73</v>
      </c>
      <c r="C201" s="72" t="s">
        <v>74</v>
      </c>
      <c r="D201" s="73"/>
      <c r="E201" s="6">
        <v>4</v>
      </c>
      <c r="F201" s="6">
        <v>9</v>
      </c>
      <c r="G201" s="6">
        <v>4</v>
      </c>
      <c r="H201" s="6">
        <v>4</v>
      </c>
      <c r="I201" s="6">
        <v>1</v>
      </c>
      <c r="J201" s="6">
        <v>2</v>
      </c>
      <c r="K201" s="6">
        <v>4</v>
      </c>
      <c r="L201" s="6">
        <v>5</v>
      </c>
      <c r="M201" s="6">
        <v>1</v>
      </c>
      <c r="N201" s="6">
        <v>0</v>
      </c>
      <c r="O201" s="6">
        <v>2</v>
      </c>
      <c r="P201" s="6">
        <v>1</v>
      </c>
      <c r="Q201" s="6">
        <v>3</v>
      </c>
      <c r="R201" s="6">
        <v>2</v>
      </c>
      <c r="S201" s="6">
        <v>5</v>
      </c>
      <c r="T201" s="6">
        <v>7</v>
      </c>
      <c r="U201" s="6">
        <v>6</v>
      </c>
      <c r="V201" s="6">
        <v>3</v>
      </c>
      <c r="W201" s="6">
        <v>6</v>
      </c>
      <c r="X201" s="6">
        <v>6</v>
      </c>
      <c r="Y201" s="6">
        <v>5</v>
      </c>
      <c r="Z201" s="6">
        <v>2</v>
      </c>
      <c r="AA201" s="6">
        <v>0</v>
      </c>
      <c r="AB201" s="5">
        <f t="shared" ref="AB201:AB210" si="66">SUM(E201:AA201)</f>
        <v>82</v>
      </c>
    </row>
    <row r="202" spans="1:28">
      <c r="A202" s="11" t="s">
        <v>50</v>
      </c>
      <c r="B202" s="50"/>
      <c r="C202" s="24" t="s">
        <v>168</v>
      </c>
      <c r="D202" s="51"/>
      <c r="E202" s="6">
        <v>39</v>
      </c>
      <c r="F202" s="6">
        <v>30</v>
      </c>
      <c r="G202" s="6">
        <v>36</v>
      </c>
      <c r="H202" s="6">
        <v>18</v>
      </c>
      <c r="I202" s="6">
        <v>10</v>
      </c>
      <c r="J202" s="6">
        <v>0</v>
      </c>
      <c r="K202" s="6">
        <v>4</v>
      </c>
      <c r="L202" s="6">
        <v>26</v>
      </c>
      <c r="M202" s="6">
        <v>33</v>
      </c>
      <c r="N202" s="6">
        <v>12</v>
      </c>
      <c r="O202" s="6">
        <v>12</v>
      </c>
      <c r="P202" s="6">
        <v>4</v>
      </c>
      <c r="Q202" s="6">
        <v>15</v>
      </c>
      <c r="R202" s="6">
        <v>38</v>
      </c>
      <c r="S202" s="6">
        <v>17</v>
      </c>
      <c r="T202" s="6">
        <v>39</v>
      </c>
      <c r="U202" s="6">
        <v>48</v>
      </c>
      <c r="V202" s="6">
        <v>15</v>
      </c>
      <c r="W202" s="6">
        <v>33</v>
      </c>
      <c r="X202" s="6">
        <v>34</v>
      </c>
      <c r="Y202" s="6">
        <v>10</v>
      </c>
      <c r="Z202" s="6">
        <v>6</v>
      </c>
      <c r="AA202" s="6">
        <v>5</v>
      </c>
      <c r="AB202" s="5">
        <f t="shared" si="66"/>
        <v>484</v>
      </c>
    </row>
    <row r="203" spans="1:28">
      <c r="A203" s="7"/>
      <c r="B203" s="50"/>
      <c r="C203" s="24" t="s">
        <v>169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1</v>
      </c>
      <c r="K203" s="6">
        <v>2</v>
      </c>
      <c r="L203" s="6">
        <v>0</v>
      </c>
      <c r="M203" s="6">
        <v>2</v>
      </c>
      <c r="N203" s="6">
        <v>0</v>
      </c>
      <c r="O203" s="6">
        <v>1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6">
        <v>1</v>
      </c>
      <c r="V203" s="6">
        <v>0</v>
      </c>
      <c r="W203" s="6">
        <v>0</v>
      </c>
      <c r="X203" s="6">
        <v>1</v>
      </c>
      <c r="Y203" s="6">
        <v>0</v>
      </c>
      <c r="Z203" s="6">
        <v>0</v>
      </c>
      <c r="AA203" s="6">
        <v>0</v>
      </c>
      <c r="AB203" s="5">
        <f t="shared" si="66"/>
        <v>9</v>
      </c>
    </row>
    <row r="204" spans="1:28">
      <c r="A204" s="7"/>
      <c r="B204" s="50"/>
      <c r="C204" s="24" t="s">
        <v>170</v>
      </c>
      <c r="D204" s="51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1</v>
      </c>
      <c r="Y204" s="6">
        <v>0</v>
      </c>
      <c r="Z204" s="6">
        <v>0</v>
      </c>
      <c r="AA204" s="6">
        <v>0</v>
      </c>
      <c r="AB204" s="5">
        <f t="shared" si="66"/>
        <v>5</v>
      </c>
    </row>
    <row r="205" spans="1:28">
      <c r="A205" s="7"/>
      <c r="B205" s="50"/>
      <c r="C205" s="24" t="s">
        <v>171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2</v>
      </c>
      <c r="J205" s="6">
        <v>3</v>
      </c>
      <c r="K205" s="6">
        <v>0</v>
      </c>
      <c r="L205" s="6">
        <v>0</v>
      </c>
      <c r="M205" s="6">
        <v>0</v>
      </c>
      <c r="N205" s="6">
        <v>2</v>
      </c>
      <c r="O205" s="6">
        <v>1</v>
      </c>
      <c r="P205" s="6">
        <v>7</v>
      </c>
      <c r="Q205" s="6">
        <v>1</v>
      </c>
      <c r="R205" s="6">
        <v>0</v>
      </c>
      <c r="S205" s="6">
        <v>5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5">
        <f t="shared" si="66"/>
        <v>22</v>
      </c>
    </row>
    <row r="206" spans="1:28">
      <c r="A206" s="7"/>
      <c r="B206" s="50"/>
      <c r="C206" s="24" t="s">
        <v>172</v>
      </c>
      <c r="D206" s="51"/>
      <c r="E206" s="6">
        <v>0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66"/>
        <v>1</v>
      </c>
    </row>
    <row r="207" spans="1:28" ht="13.15" customHeight="1">
      <c r="A207" s="7"/>
      <c r="B207" s="50"/>
      <c r="C207" s="24" t="s">
        <v>173</v>
      </c>
      <c r="D207" s="51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2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5">
        <f t="shared" si="66"/>
        <v>3</v>
      </c>
    </row>
    <row r="208" spans="1:28">
      <c r="A208" s="7"/>
      <c r="B208" s="50"/>
      <c r="C208" s="24" t="s">
        <v>174</v>
      </c>
      <c r="D208" s="51"/>
      <c r="E208" s="6">
        <v>3</v>
      </c>
      <c r="F208" s="6">
        <v>0</v>
      </c>
      <c r="G208" s="6">
        <v>0</v>
      </c>
      <c r="H208" s="6">
        <v>2</v>
      </c>
      <c r="I208" s="6">
        <v>0</v>
      </c>
      <c r="J208" s="6">
        <v>2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4</v>
      </c>
      <c r="W208" s="6">
        <v>0</v>
      </c>
      <c r="X208" s="6">
        <v>0</v>
      </c>
      <c r="Y208" s="6">
        <v>0</v>
      </c>
      <c r="Z208" s="6">
        <v>0</v>
      </c>
      <c r="AA208" s="6">
        <v>1</v>
      </c>
      <c r="AB208" s="5">
        <f t="shared" si="66"/>
        <v>12</v>
      </c>
    </row>
    <row r="209" spans="1:28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5">
        <f t="shared" si="66"/>
        <v>0</v>
      </c>
    </row>
    <row r="210" spans="1:28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5">
        <f t="shared" si="66"/>
        <v>0</v>
      </c>
    </row>
    <row r="211" spans="1:28">
      <c r="A211" s="6" t="s">
        <v>26</v>
      </c>
      <c r="B211" s="66" t="s">
        <v>51</v>
      </c>
      <c r="C211" s="67"/>
      <c r="D211" s="68"/>
      <c r="E211" s="5">
        <f t="shared" ref="E211:AB211" si="67">SUM(E201:E210)</f>
        <v>47</v>
      </c>
      <c r="F211" s="5">
        <f t="shared" ref="F211:Q211" si="68">SUM(F201:F210)</f>
        <v>40</v>
      </c>
      <c r="G211" s="5">
        <f t="shared" si="68"/>
        <v>40</v>
      </c>
      <c r="H211" s="5">
        <f t="shared" si="68"/>
        <v>25</v>
      </c>
      <c r="I211" s="5">
        <f t="shared" si="68"/>
        <v>13</v>
      </c>
      <c r="J211" s="5">
        <f t="shared" si="68"/>
        <v>11</v>
      </c>
      <c r="K211" s="5">
        <f t="shared" si="68"/>
        <v>10</v>
      </c>
      <c r="L211" s="5">
        <f t="shared" si="68"/>
        <v>32</v>
      </c>
      <c r="M211" s="5">
        <f t="shared" si="68"/>
        <v>36</v>
      </c>
      <c r="N211" s="5">
        <f t="shared" si="68"/>
        <v>14</v>
      </c>
      <c r="O211" s="5">
        <f t="shared" si="68"/>
        <v>16</v>
      </c>
      <c r="P211" s="5">
        <f t="shared" si="68"/>
        <v>12</v>
      </c>
      <c r="Q211" s="5">
        <f t="shared" si="68"/>
        <v>20</v>
      </c>
      <c r="R211" s="5">
        <f t="shared" si="67"/>
        <v>41</v>
      </c>
      <c r="S211" s="5">
        <f t="shared" si="67"/>
        <v>27</v>
      </c>
      <c r="T211" s="5">
        <f t="shared" si="67"/>
        <v>46</v>
      </c>
      <c r="U211" s="5">
        <f t="shared" si="67"/>
        <v>55</v>
      </c>
      <c r="V211" s="5">
        <f t="shared" si="67"/>
        <v>22</v>
      </c>
      <c r="W211" s="5">
        <f t="shared" si="67"/>
        <v>39</v>
      </c>
      <c r="X211" s="5">
        <f t="shared" si="67"/>
        <v>42</v>
      </c>
      <c r="Y211" s="5">
        <f t="shared" si="67"/>
        <v>15</v>
      </c>
      <c r="Z211" s="5">
        <f t="shared" si="67"/>
        <v>9</v>
      </c>
      <c r="AA211" s="5">
        <f t="shared" si="67"/>
        <v>6</v>
      </c>
      <c r="AB211" s="5">
        <f t="shared" si="67"/>
        <v>618</v>
      </c>
    </row>
    <row r="212" spans="1:28">
      <c r="A212" s="74"/>
      <c r="B212" s="75"/>
      <c r="C212" s="75"/>
      <c r="D212" s="75"/>
      <c r="E212" s="7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>
      <c r="A213" s="11" t="s">
        <v>48</v>
      </c>
      <c r="B213" s="17" t="s">
        <v>75</v>
      </c>
      <c r="C213" s="72" t="s">
        <v>76</v>
      </c>
      <c r="D213" s="73"/>
      <c r="E213" s="6">
        <v>1</v>
      </c>
      <c r="F213" s="6">
        <v>0</v>
      </c>
      <c r="G213" s="6">
        <v>0</v>
      </c>
      <c r="H213" s="6">
        <v>2</v>
      </c>
      <c r="I213" s="6">
        <v>1</v>
      </c>
      <c r="J213" s="6">
        <v>1</v>
      </c>
      <c r="K213" s="6">
        <v>2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2</v>
      </c>
      <c r="R213" s="6">
        <v>3</v>
      </c>
      <c r="S213" s="6">
        <v>1</v>
      </c>
      <c r="T213" s="6">
        <v>1</v>
      </c>
      <c r="U213" s="6">
        <v>0</v>
      </c>
      <c r="V213" s="6">
        <v>0</v>
      </c>
      <c r="W213" s="6">
        <v>1</v>
      </c>
      <c r="X213" s="6">
        <v>0</v>
      </c>
      <c r="Y213" s="6">
        <v>0</v>
      </c>
      <c r="Z213" s="6">
        <v>0</v>
      </c>
      <c r="AA213" s="6">
        <v>0</v>
      </c>
      <c r="AB213" s="5">
        <f t="shared" ref="AB213:AB222" si="69">SUM(E213:AA213)</f>
        <v>16</v>
      </c>
    </row>
    <row r="214" spans="1:28">
      <c r="A214" s="11" t="s">
        <v>50</v>
      </c>
      <c r="B214" s="50"/>
      <c r="C214" s="24" t="s">
        <v>175</v>
      </c>
      <c r="D214" s="51"/>
      <c r="E214" s="6">
        <v>0</v>
      </c>
      <c r="F214" s="6">
        <v>2</v>
      </c>
      <c r="G214" s="6">
        <v>2</v>
      </c>
      <c r="H214" s="6">
        <v>3</v>
      </c>
      <c r="I214" s="6">
        <v>0</v>
      </c>
      <c r="J214" s="6">
        <v>2</v>
      </c>
      <c r="K214" s="6">
        <v>1</v>
      </c>
      <c r="L214" s="6">
        <v>0</v>
      </c>
      <c r="M214" s="6">
        <v>0</v>
      </c>
      <c r="N214" s="6">
        <v>0</v>
      </c>
      <c r="O214" s="6">
        <v>1</v>
      </c>
      <c r="P214" s="6">
        <v>2</v>
      </c>
      <c r="Q214" s="6">
        <v>3</v>
      </c>
      <c r="R214" s="6">
        <v>1</v>
      </c>
      <c r="S214" s="6">
        <v>2</v>
      </c>
      <c r="T214" s="6">
        <v>1</v>
      </c>
      <c r="U214" s="6">
        <v>0</v>
      </c>
      <c r="V214" s="6">
        <v>0</v>
      </c>
      <c r="W214" s="6">
        <v>2</v>
      </c>
      <c r="X214" s="6">
        <v>0</v>
      </c>
      <c r="Y214" s="6">
        <v>0</v>
      </c>
      <c r="Z214" s="6">
        <v>0</v>
      </c>
      <c r="AA214" s="6">
        <v>0</v>
      </c>
      <c r="AB214" s="5">
        <f t="shared" si="69"/>
        <v>22</v>
      </c>
    </row>
    <row r="215" spans="1:28">
      <c r="A215" s="7"/>
      <c r="B215" s="50"/>
      <c r="C215" s="24" t="s">
        <v>176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</v>
      </c>
      <c r="O215" s="6">
        <v>0</v>
      </c>
      <c r="P215" s="6">
        <v>0</v>
      </c>
      <c r="Q215" s="6">
        <v>1</v>
      </c>
      <c r="R215" s="6">
        <v>0</v>
      </c>
      <c r="S215" s="6">
        <v>1</v>
      </c>
      <c r="T215" s="6">
        <v>1</v>
      </c>
      <c r="U215" s="6">
        <v>0</v>
      </c>
      <c r="V215" s="6">
        <v>1</v>
      </c>
      <c r="W215" s="6">
        <v>0</v>
      </c>
      <c r="X215" s="6">
        <v>0</v>
      </c>
      <c r="Y215" s="6">
        <v>0</v>
      </c>
      <c r="Z215" s="6">
        <v>0</v>
      </c>
      <c r="AA215" s="6">
        <v>1</v>
      </c>
      <c r="AB215" s="5">
        <f t="shared" si="69"/>
        <v>6</v>
      </c>
    </row>
    <row r="216" spans="1:28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5">
        <f t="shared" si="69"/>
        <v>0</v>
      </c>
    </row>
    <row r="217" spans="1:28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>
        <f t="shared" si="69"/>
        <v>0</v>
      </c>
    </row>
    <row r="218" spans="1:28" ht="13.15" customHeight="1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>
        <f t="shared" si="69"/>
        <v>0</v>
      </c>
    </row>
    <row r="219" spans="1:28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>
        <f t="shared" si="69"/>
        <v>0</v>
      </c>
    </row>
    <row r="220" spans="1:28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>
        <f t="shared" si="69"/>
        <v>0</v>
      </c>
    </row>
    <row r="221" spans="1:28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>
        <f t="shared" si="69"/>
        <v>0</v>
      </c>
    </row>
    <row r="222" spans="1:28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>
        <f t="shared" si="69"/>
        <v>0</v>
      </c>
    </row>
    <row r="223" spans="1:28">
      <c r="A223" s="6" t="s">
        <v>26</v>
      </c>
      <c r="B223" s="66" t="s">
        <v>51</v>
      </c>
      <c r="C223" s="67"/>
      <c r="D223" s="68"/>
      <c r="E223" s="5">
        <f t="shared" ref="E223:AB223" si="70">SUM(E213:E222)</f>
        <v>1</v>
      </c>
      <c r="F223" s="5">
        <f t="shared" ref="F223:Q223" si="71">SUM(F213:F222)</f>
        <v>2</v>
      </c>
      <c r="G223" s="5">
        <f t="shared" si="71"/>
        <v>2</v>
      </c>
      <c r="H223" s="5">
        <f t="shared" si="71"/>
        <v>5</v>
      </c>
      <c r="I223" s="5">
        <f t="shared" si="71"/>
        <v>1</v>
      </c>
      <c r="J223" s="5">
        <f t="shared" si="71"/>
        <v>3</v>
      </c>
      <c r="K223" s="5">
        <f t="shared" si="71"/>
        <v>3</v>
      </c>
      <c r="L223" s="5">
        <f t="shared" si="71"/>
        <v>0</v>
      </c>
      <c r="M223" s="5">
        <f t="shared" si="71"/>
        <v>0</v>
      </c>
      <c r="N223" s="5">
        <f t="shared" si="71"/>
        <v>2</v>
      </c>
      <c r="O223" s="5">
        <f t="shared" si="71"/>
        <v>1</v>
      </c>
      <c r="P223" s="5">
        <f t="shared" si="71"/>
        <v>2</v>
      </c>
      <c r="Q223" s="5">
        <f t="shared" si="71"/>
        <v>6</v>
      </c>
      <c r="R223" s="5">
        <f t="shared" si="70"/>
        <v>4</v>
      </c>
      <c r="S223" s="5">
        <f t="shared" si="70"/>
        <v>4</v>
      </c>
      <c r="T223" s="5">
        <f t="shared" si="70"/>
        <v>3</v>
      </c>
      <c r="U223" s="5">
        <f t="shared" si="70"/>
        <v>0</v>
      </c>
      <c r="V223" s="5">
        <f t="shared" si="70"/>
        <v>1</v>
      </c>
      <c r="W223" s="5">
        <f t="shared" si="70"/>
        <v>3</v>
      </c>
      <c r="X223" s="5">
        <f t="shared" si="70"/>
        <v>0</v>
      </c>
      <c r="Y223" s="5">
        <f t="shared" si="70"/>
        <v>0</v>
      </c>
      <c r="Z223" s="5">
        <f t="shared" si="70"/>
        <v>0</v>
      </c>
      <c r="AA223" s="5">
        <f t="shared" si="70"/>
        <v>1</v>
      </c>
      <c r="AB223" s="5">
        <f t="shared" si="70"/>
        <v>44</v>
      </c>
    </row>
    <row r="224" spans="1:28">
      <c r="A224" s="74"/>
      <c r="B224" s="75"/>
      <c r="C224" s="75"/>
      <c r="D224" s="75"/>
      <c r="E224" s="7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>
      <c r="A225" s="11" t="s">
        <v>48</v>
      </c>
      <c r="B225" s="17" t="s">
        <v>77</v>
      </c>
      <c r="C225" s="72" t="s">
        <v>78</v>
      </c>
      <c r="D225" s="73"/>
      <c r="E225" s="6">
        <v>0</v>
      </c>
      <c r="F225" s="6">
        <v>1</v>
      </c>
      <c r="G225" s="6">
        <v>0</v>
      </c>
      <c r="H225" s="6">
        <v>0</v>
      </c>
      <c r="I225" s="6">
        <v>1</v>
      </c>
      <c r="J225" s="6">
        <v>0</v>
      </c>
      <c r="K225" s="6">
        <v>1</v>
      </c>
      <c r="L225" s="6">
        <v>1</v>
      </c>
      <c r="M225" s="6">
        <v>1</v>
      </c>
      <c r="N225" s="6">
        <v>0</v>
      </c>
      <c r="O225" s="6">
        <v>0</v>
      </c>
      <c r="P225" s="6">
        <v>1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1</v>
      </c>
      <c r="W225" s="6">
        <v>0</v>
      </c>
      <c r="X225" s="6">
        <v>1</v>
      </c>
      <c r="Y225" s="6">
        <v>0</v>
      </c>
      <c r="Z225" s="6">
        <v>0</v>
      </c>
      <c r="AA225" s="6">
        <v>0</v>
      </c>
      <c r="AB225" s="5">
        <f t="shared" ref="AB225:AB234" si="72">SUM(E225:AA225)</f>
        <v>8</v>
      </c>
    </row>
    <row r="226" spans="1:28">
      <c r="A226" s="11" t="s">
        <v>50</v>
      </c>
      <c r="B226" s="17"/>
      <c r="C226" s="24" t="s">
        <v>177</v>
      </c>
      <c r="D226" s="49"/>
      <c r="E226" s="6">
        <v>7</v>
      </c>
      <c r="F226" s="6">
        <v>0</v>
      </c>
      <c r="G226" s="6">
        <v>1</v>
      </c>
      <c r="H226" s="6">
        <v>0</v>
      </c>
      <c r="I226" s="6">
        <v>2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2</v>
      </c>
      <c r="S226" s="6">
        <v>1</v>
      </c>
      <c r="T226" s="6">
        <v>1</v>
      </c>
      <c r="U226" s="6">
        <v>5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5">
        <f t="shared" si="72"/>
        <v>21</v>
      </c>
    </row>
    <row r="227" spans="1:28">
      <c r="A227" s="7"/>
      <c r="B227" s="63"/>
      <c r="C227" s="46"/>
      <c r="D227" s="4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5">
        <f t="shared" si="72"/>
        <v>0</v>
      </c>
    </row>
    <row r="228" spans="1:28">
      <c r="A228" s="7"/>
      <c r="B228" s="63"/>
      <c r="C228" s="46"/>
      <c r="D228" s="4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5">
        <f t="shared" si="72"/>
        <v>0</v>
      </c>
    </row>
    <row r="229" spans="1:28" ht="13.15" customHeight="1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5">
        <f t="shared" si="72"/>
        <v>0</v>
      </c>
    </row>
    <row r="230" spans="1:28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>
        <f t="shared" si="72"/>
        <v>0</v>
      </c>
    </row>
    <row r="231" spans="1:28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>
        <f t="shared" si="72"/>
        <v>0</v>
      </c>
    </row>
    <row r="232" spans="1:28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>
        <f t="shared" si="72"/>
        <v>0</v>
      </c>
    </row>
    <row r="233" spans="1:28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>
        <f t="shared" si="72"/>
        <v>0</v>
      </c>
    </row>
    <row r="234" spans="1:28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>
        <f t="shared" si="72"/>
        <v>0</v>
      </c>
    </row>
    <row r="235" spans="1:28">
      <c r="A235" s="6" t="s">
        <v>26</v>
      </c>
      <c r="B235" s="66" t="s">
        <v>51</v>
      </c>
      <c r="C235" s="67"/>
      <c r="D235" s="68"/>
      <c r="E235" s="5">
        <f t="shared" ref="E235:AB235" si="73">SUM(E225:E234)</f>
        <v>7</v>
      </c>
      <c r="F235" s="5">
        <f t="shared" ref="F235:Q235" si="74">SUM(F225:F234)</f>
        <v>1</v>
      </c>
      <c r="G235" s="5">
        <f t="shared" si="74"/>
        <v>1</v>
      </c>
      <c r="H235" s="5">
        <f t="shared" si="74"/>
        <v>0</v>
      </c>
      <c r="I235" s="5">
        <f t="shared" si="74"/>
        <v>3</v>
      </c>
      <c r="J235" s="5">
        <f t="shared" si="74"/>
        <v>0</v>
      </c>
      <c r="K235" s="5">
        <f t="shared" si="74"/>
        <v>1</v>
      </c>
      <c r="L235" s="5">
        <f t="shared" si="74"/>
        <v>1</v>
      </c>
      <c r="M235" s="5">
        <f t="shared" si="74"/>
        <v>1</v>
      </c>
      <c r="N235" s="5">
        <f t="shared" si="74"/>
        <v>0</v>
      </c>
      <c r="O235" s="5">
        <f t="shared" si="74"/>
        <v>1</v>
      </c>
      <c r="P235" s="5">
        <f t="shared" si="74"/>
        <v>1</v>
      </c>
      <c r="Q235" s="5">
        <f t="shared" si="74"/>
        <v>0</v>
      </c>
      <c r="R235" s="5">
        <f t="shared" si="73"/>
        <v>2</v>
      </c>
      <c r="S235" s="5">
        <f t="shared" si="73"/>
        <v>1</v>
      </c>
      <c r="T235" s="5">
        <f t="shared" si="73"/>
        <v>1</v>
      </c>
      <c r="U235" s="5">
        <f t="shared" si="73"/>
        <v>5</v>
      </c>
      <c r="V235" s="5">
        <f t="shared" si="73"/>
        <v>2</v>
      </c>
      <c r="W235" s="5">
        <f t="shared" si="73"/>
        <v>0</v>
      </c>
      <c r="X235" s="5">
        <f t="shared" si="73"/>
        <v>1</v>
      </c>
      <c r="Y235" s="5">
        <f t="shared" si="73"/>
        <v>0</v>
      </c>
      <c r="Z235" s="5">
        <f t="shared" si="73"/>
        <v>0</v>
      </c>
      <c r="AA235" s="5">
        <f t="shared" si="73"/>
        <v>0</v>
      </c>
      <c r="AB235" s="5">
        <f t="shared" si="73"/>
        <v>29</v>
      </c>
    </row>
    <row r="236" spans="1:28">
      <c r="A236" s="74"/>
      <c r="B236" s="75"/>
      <c r="C236" s="75"/>
      <c r="D236" s="75"/>
      <c r="E236" s="7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>
      <c r="A237" s="11" t="s">
        <v>48</v>
      </c>
      <c r="B237" s="17" t="s">
        <v>79</v>
      </c>
      <c r="C237" s="72" t="s">
        <v>80</v>
      </c>
      <c r="D237" s="73"/>
      <c r="E237" s="6">
        <v>0</v>
      </c>
      <c r="F237" s="6">
        <v>0</v>
      </c>
      <c r="G237" s="6">
        <v>0</v>
      </c>
      <c r="H237" s="6">
        <v>1</v>
      </c>
      <c r="I237" s="6">
        <v>0</v>
      </c>
      <c r="J237" s="6">
        <v>0</v>
      </c>
      <c r="K237" s="6">
        <v>1</v>
      </c>
      <c r="L237" s="6">
        <v>2</v>
      </c>
      <c r="M237" s="6">
        <v>0</v>
      </c>
      <c r="N237" s="6">
        <v>1</v>
      </c>
      <c r="O237" s="6">
        <v>0</v>
      </c>
      <c r="P237" s="6">
        <v>3</v>
      </c>
      <c r="Q237" s="6">
        <v>1</v>
      </c>
      <c r="R237" s="6">
        <v>1</v>
      </c>
      <c r="S237" s="6">
        <v>0</v>
      </c>
      <c r="T237" s="6">
        <v>0</v>
      </c>
      <c r="U237" s="6">
        <v>5</v>
      </c>
      <c r="V237" s="6">
        <v>1</v>
      </c>
      <c r="W237" s="6">
        <v>0</v>
      </c>
      <c r="X237" s="6">
        <v>2</v>
      </c>
      <c r="Y237" s="6">
        <v>3</v>
      </c>
      <c r="Z237" s="6">
        <v>0</v>
      </c>
      <c r="AA237" s="6">
        <v>0</v>
      </c>
      <c r="AB237" s="5">
        <f t="shared" ref="AB237:AB246" si="75">SUM(E237:AA237)</f>
        <v>21</v>
      </c>
    </row>
    <row r="238" spans="1:28">
      <c r="A238" s="11" t="s">
        <v>50</v>
      </c>
      <c r="B238" s="50"/>
      <c r="C238" s="24" t="s">
        <v>178</v>
      </c>
      <c r="D238" s="51"/>
      <c r="E238" s="6">
        <v>1</v>
      </c>
      <c r="F238" s="6">
        <v>2</v>
      </c>
      <c r="G238" s="6">
        <v>16</v>
      </c>
      <c r="H238" s="6">
        <v>4</v>
      </c>
      <c r="I238" s="6">
        <v>4</v>
      </c>
      <c r="J238" s="6">
        <v>4</v>
      </c>
      <c r="K238" s="6">
        <v>1</v>
      </c>
      <c r="L238" s="6">
        <v>0</v>
      </c>
      <c r="M238" s="6">
        <v>0</v>
      </c>
      <c r="N238" s="6">
        <v>1</v>
      </c>
      <c r="O238" s="6">
        <v>4</v>
      </c>
      <c r="P238" s="6">
        <v>9</v>
      </c>
      <c r="Q238" s="6">
        <v>5</v>
      </c>
      <c r="R238" s="6">
        <v>0</v>
      </c>
      <c r="S238" s="6">
        <v>0</v>
      </c>
      <c r="T238" s="6">
        <v>5</v>
      </c>
      <c r="U238" s="6">
        <v>14</v>
      </c>
      <c r="V238" s="6">
        <v>0</v>
      </c>
      <c r="W238" s="6">
        <v>0</v>
      </c>
      <c r="X238" s="6">
        <v>19</v>
      </c>
      <c r="Y238" s="6">
        <v>21</v>
      </c>
      <c r="Z238" s="6">
        <v>0</v>
      </c>
      <c r="AA238" s="6">
        <v>1</v>
      </c>
      <c r="AB238" s="5">
        <f t="shared" si="75"/>
        <v>111</v>
      </c>
    </row>
    <row r="239" spans="1:28">
      <c r="A239" s="7"/>
      <c r="B239" s="50"/>
      <c r="C239" s="24" t="s">
        <v>179</v>
      </c>
      <c r="D239" s="51"/>
      <c r="E239" s="6">
        <v>0</v>
      </c>
      <c r="F239" s="6">
        <v>1</v>
      </c>
      <c r="G239" s="6">
        <v>0</v>
      </c>
      <c r="H239" s="6">
        <v>3</v>
      </c>
      <c r="I239" s="6">
        <v>0</v>
      </c>
      <c r="J239" s="6">
        <v>0</v>
      </c>
      <c r="K239" s="6">
        <v>3</v>
      </c>
      <c r="L239" s="6">
        <v>2</v>
      </c>
      <c r="M239" s="6">
        <v>1</v>
      </c>
      <c r="N239" s="6">
        <v>2</v>
      </c>
      <c r="O239" s="6">
        <v>0</v>
      </c>
      <c r="P239" s="6">
        <v>3</v>
      </c>
      <c r="Q239" s="6">
        <v>5</v>
      </c>
      <c r="R239" s="6">
        <v>10</v>
      </c>
      <c r="S239" s="6">
        <v>3</v>
      </c>
      <c r="T239" s="6">
        <v>8</v>
      </c>
      <c r="U239" s="6">
        <v>4</v>
      </c>
      <c r="V239" s="6">
        <v>2</v>
      </c>
      <c r="W239" s="6">
        <v>1</v>
      </c>
      <c r="X239" s="6">
        <v>1</v>
      </c>
      <c r="Y239" s="6">
        <v>0</v>
      </c>
      <c r="Z239" s="6">
        <v>1</v>
      </c>
      <c r="AA239" s="6">
        <v>0</v>
      </c>
      <c r="AB239" s="5">
        <f t="shared" si="75"/>
        <v>50</v>
      </c>
    </row>
    <row r="240" spans="1:28" ht="13.15" customHeight="1">
      <c r="A240" s="7"/>
      <c r="B240" s="50"/>
      <c r="C240" s="24" t="s">
        <v>180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1</v>
      </c>
      <c r="Y240" s="6">
        <v>0</v>
      </c>
      <c r="Z240" s="6">
        <v>0</v>
      </c>
      <c r="AA240" s="6">
        <v>0</v>
      </c>
      <c r="AB240" s="5">
        <f t="shared" si="75"/>
        <v>1</v>
      </c>
    </row>
    <row r="241" spans="1:28">
      <c r="A241" s="7"/>
      <c r="B241" s="50"/>
      <c r="C241" s="24" t="s">
        <v>181</v>
      </c>
      <c r="D241" s="51"/>
      <c r="E241" s="6">
        <v>0</v>
      </c>
      <c r="F241" s="6">
        <v>0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3</v>
      </c>
      <c r="S241" s="6">
        <v>0</v>
      </c>
      <c r="T241" s="6">
        <v>0</v>
      </c>
      <c r="U241" s="6">
        <v>1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75"/>
        <v>6</v>
      </c>
    </row>
    <row r="242" spans="1:28" ht="12.75" customHeight="1">
      <c r="A242" s="7"/>
      <c r="B242" s="50"/>
      <c r="C242" s="24" t="s">
        <v>182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1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5">
        <f t="shared" si="75"/>
        <v>2</v>
      </c>
    </row>
    <row r="243" spans="1:28">
      <c r="A243" s="7"/>
      <c r="B243" s="50"/>
      <c r="C243" s="24" t="s">
        <v>183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1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75"/>
        <v>2</v>
      </c>
    </row>
    <row r="244" spans="1:28">
      <c r="A244" s="7"/>
      <c r="B244" s="50"/>
      <c r="C244" s="24" t="s">
        <v>184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6">
        <v>0</v>
      </c>
      <c r="W244" s="6">
        <v>1</v>
      </c>
      <c r="X244" s="6">
        <v>0</v>
      </c>
      <c r="Y244" s="6">
        <v>0</v>
      </c>
      <c r="Z244" s="6">
        <v>0</v>
      </c>
      <c r="AA244" s="6">
        <v>1</v>
      </c>
      <c r="AB244" s="5">
        <f t="shared" si="75"/>
        <v>4</v>
      </c>
    </row>
    <row r="245" spans="1:28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5">
        <f t="shared" si="75"/>
        <v>0</v>
      </c>
    </row>
    <row r="246" spans="1:28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5">
        <f t="shared" si="75"/>
        <v>0</v>
      </c>
    </row>
    <row r="247" spans="1:28" ht="12.75" customHeight="1">
      <c r="A247" s="6" t="s">
        <v>26</v>
      </c>
      <c r="B247" s="66" t="s">
        <v>51</v>
      </c>
      <c r="C247" s="67"/>
      <c r="D247" s="68"/>
      <c r="E247" s="5">
        <f t="shared" ref="E247:AB247" si="76">SUM(E237:E246)</f>
        <v>1</v>
      </c>
      <c r="F247" s="5">
        <f t="shared" ref="F247:Q247" si="77">SUM(F237:F246)</f>
        <v>3</v>
      </c>
      <c r="G247" s="5">
        <f t="shared" si="77"/>
        <v>17</v>
      </c>
      <c r="H247" s="5">
        <f t="shared" si="77"/>
        <v>8</v>
      </c>
      <c r="I247" s="5">
        <f t="shared" si="77"/>
        <v>5</v>
      </c>
      <c r="J247" s="5">
        <f t="shared" si="77"/>
        <v>4</v>
      </c>
      <c r="K247" s="5">
        <f t="shared" si="77"/>
        <v>5</v>
      </c>
      <c r="L247" s="5">
        <f t="shared" si="77"/>
        <v>4</v>
      </c>
      <c r="M247" s="5">
        <f t="shared" si="77"/>
        <v>1</v>
      </c>
      <c r="N247" s="5">
        <f t="shared" si="77"/>
        <v>6</v>
      </c>
      <c r="O247" s="5">
        <f t="shared" si="77"/>
        <v>4</v>
      </c>
      <c r="P247" s="5">
        <f t="shared" si="77"/>
        <v>15</v>
      </c>
      <c r="Q247" s="5">
        <f t="shared" si="77"/>
        <v>11</v>
      </c>
      <c r="R247" s="5">
        <f t="shared" si="76"/>
        <v>14</v>
      </c>
      <c r="S247" s="5">
        <f t="shared" si="76"/>
        <v>4</v>
      </c>
      <c r="T247" s="5">
        <f t="shared" si="76"/>
        <v>14</v>
      </c>
      <c r="U247" s="5">
        <f t="shared" si="76"/>
        <v>25</v>
      </c>
      <c r="V247" s="5">
        <f t="shared" si="76"/>
        <v>3</v>
      </c>
      <c r="W247" s="5">
        <f t="shared" si="76"/>
        <v>3</v>
      </c>
      <c r="X247" s="5">
        <f t="shared" si="76"/>
        <v>23</v>
      </c>
      <c r="Y247" s="5">
        <f t="shared" si="76"/>
        <v>24</v>
      </c>
      <c r="Z247" s="5">
        <f t="shared" si="76"/>
        <v>1</v>
      </c>
      <c r="AA247" s="5">
        <f t="shared" si="76"/>
        <v>2</v>
      </c>
      <c r="AB247" s="5">
        <f t="shared" si="76"/>
        <v>197</v>
      </c>
    </row>
    <row r="248" spans="1:28">
      <c r="A248" s="74"/>
      <c r="B248" s="75"/>
      <c r="C248" s="75"/>
      <c r="D248" s="75"/>
      <c r="E248" s="76"/>
    </row>
    <row r="249" spans="1:28">
      <c r="A249" s="11" t="s">
        <v>48</v>
      </c>
      <c r="B249" s="17" t="s">
        <v>81</v>
      </c>
      <c r="C249" s="72" t="s">
        <v>82</v>
      </c>
      <c r="D249" s="73"/>
      <c r="E249" s="6">
        <v>1</v>
      </c>
      <c r="F249" s="6">
        <v>1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5">
        <f t="shared" ref="AB249:AB258" si="78">SUM(E249:AA249)</f>
        <v>4</v>
      </c>
    </row>
    <row r="250" spans="1:28">
      <c r="A250" s="11" t="s">
        <v>50</v>
      </c>
      <c r="B250" s="17"/>
      <c r="C250" s="24" t="s">
        <v>185</v>
      </c>
      <c r="D250" s="49"/>
      <c r="E250" s="6">
        <v>5</v>
      </c>
      <c r="F250" s="6">
        <v>7</v>
      </c>
      <c r="G250" s="6">
        <v>2</v>
      </c>
      <c r="H250" s="6">
        <v>5</v>
      </c>
      <c r="I250" s="6">
        <v>5</v>
      </c>
      <c r="J250" s="6">
        <v>12</v>
      </c>
      <c r="K250" s="6">
        <v>2</v>
      </c>
      <c r="L250" s="6">
        <v>1</v>
      </c>
      <c r="M250" s="6">
        <v>0</v>
      </c>
      <c r="N250" s="6">
        <v>0</v>
      </c>
      <c r="O250" s="6">
        <v>0</v>
      </c>
      <c r="P250" s="6">
        <v>0</v>
      </c>
      <c r="Q250" s="6">
        <v>1</v>
      </c>
      <c r="R250" s="6">
        <v>0</v>
      </c>
      <c r="S250" s="6">
        <v>2</v>
      </c>
      <c r="T250" s="6">
        <v>0</v>
      </c>
      <c r="U250" s="6">
        <v>0</v>
      </c>
      <c r="V250" s="6">
        <v>0</v>
      </c>
      <c r="W250" s="6">
        <v>1</v>
      </c>
      <c r="X250" s="6">
        <v>2</v>
      </c>
      <c r="Y250" s="6">
        <v>0</v>
      </c>
      <c r="Z250" s="6">
        <v>0</v>
      </c>
      <c r="AA250" s="6">
        <v>1</v>
      </c>
      <c r="AB250" s="5">
        <f t="shared" si="78"/>
        <v>46</v>
      </c>
    </row>
    <row r="251" spans="1:28">
      <c r="A251" s="7"/>
      <c r="B251" s="17"/>
      <c r="C251" s="24" t="s">
        <v>186</v>
      </c>
      <c r="D251" s="49"/>
      <c r="E251" s="6">
        <v>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 t="shared" si="78"/>
        <v>1</v>
      </c>
    </row>
    <row r="252" spans="1:28">
      <c r="A252" s="7"/>
      <c r="B252" s="50"/>
      <c r="C252" s="24" t="s">
        <v>187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1</v>
      </c>
      <c r="K252" s="6">
        <v>0</v>
      </c>
      <c r="L252" s="6">
        <v>0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5">
        <f t="shared" si="78"/>
        <v>2</v>
      </c>
    </row>
    <row r="253" spans="1:28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>
        <f t="shared" si="78"/>
        <v>0</v>
      </c>
    </row>
    <row r="254" spans="1:28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>
        <f t="shared" si="78"/>
        <v>0</v>
      </c>
    </row>
    <row r="255" spans="1:28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>
        <f t="shared" si="78"/>
        <v>0</v>
      </c>
    </row>
    <row r="256" spans="1:28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>
        <f t="shared" si="78"/>
        <v>0</v>
      </c>
    </row>
    <row r="257" spans="1:28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>
        <f t="shared" si="78"/>
        <v>0</v>
      </c>
    </row>
    <row r="258" spans="1:28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>
        <f t="shared" si="78"/>
        <v>0</v>
      </c>
    </row>
    <row r="259" spans="1:28">
      <c r="A259" s="6" t="s">
        <v>26</v>
      </c>
      <c r="B259" s="66" t="s">
        <v>51</v>
      </c>
      <c r="C259" s="67"/>
      <c r="D259" s="68"/>
      <c r="E259" s="5">
        <f t="shared" ref="E259:AB259" si="79">SUM(E249:E258)</f>
        <v>7</v>
      </c>
      <c r="F259" s="5">
        <f t="shared" ref="F259:Q259" si="80">SUM(F249:F258)</f>
        <v>8</v>
      </c>
      <c r="G259" s="5">
        <f t="shared" si="80"/>
        <v>2</v>
      </c>
      <c r="H259" s="5">
        <f t="shared" si="80"/>
        <v>5</v>
      </c>
      <c r="I259" s="5">
        <f t="shared" si="80"/>
        <v>5</v>
      </c>
      <c r="J259" s="5">
        <f t="shared" si="80"/>
        <v>14</v>
      </c>
      <c r="K259" s="5">
        <f t="shared" si="80"/>
        <v>2</v>
      </c>
      <c r="L259" s="5">
        <f t="shared" si="80"/>
        <v>1</v>
      </c>
      <c r="M259" s="5">
        <f t="shared" si="80"/>
        <v>0</v>
      </c>
      <c r="N259" s="5">
        <f t="shared" si="80"/>
        <v>1</v>
      </c>
      <c r="O259" s="5">
        <f t="shared" si="80"/>
        <v>0</v>
      </c>
      <c r="P259" s="5">
        <f t="shared" si="80"/>
        <v>0</v>
      </c>
      <c r="Q259" s="5">
        <f t="shared" si="80"/>
        <v>1</v>
      </c>
      <c r="R259" s="5">
        <f t="shared" si="79"/>
        <v>0</v>
      </c>
      <c r="S259" s="5">
        <f t="shared" si="79"/>
        <v>2</v>
      </c>
      <c r="T259" s="5">
        <f t="shared" si="79"/>
        <v>0</v>
      </c>
      <c r="U259" s="5">
        <f t="shared" si="79"/>
        <v>0</v>
      </c>
      <c r="V259" s="5">
        <f t="shared" si="79"/>
        <v>0</v>
      </c>
      <c r="W259" s="5">
        <f t="shared" si="79"/>
        <v>1</v>
      </c>
      <c r="X259" s="5">
        <f t="shared" si="79"/>
        <v>3</v>
      </c>
      <c r="Y259" s="5">
        <f t="shared" si="79"/>
        <v>0</v>
      </c>
      <c r="Z259" s="5">
        <f t="shared" si="79"/>
        <v>0</v>
      </c>
      <c r="AA259" s="5">
        <f t="shared" si="79"/>
        <v>1</v>
      </c>
      <c r="AB259" s="5">
        <f t="shared" si="79"/>
        <v>53</v>
      </c>
    </row>
    <row r="261" spans="1:28">
      <c r="A261" s="16" t="s">
        <v>83</v>
      </c>
      <c r="B261" s="69" t="s">
        <v>84</v>
      </c>
      <c r="C261" s="70"/>
      <c r="D261" s="7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5"/>
      <c r="U261" s="5"/>
      <c r="V261" s="5"/>
      <c r="W261" s="5"/>
      <c r="X261" s="5"/>
      <c r="Y261" s="5"/>
      <c r="Z261" s="15"/>
      <c r="AA261" s="15"/>
      <c r="AB261" s="5"/>
    </row>
    <row r="262" spans="1:28">
      <c r="A262" s="16"/>
      <c r="B262" s="19" t="s">
        <v>85</v>
      </c>
      <c r="C262" s="64" t="s">
        <v>86</v>
      </c>
      <c r="D262" s="65"/>
      <c r="E262" s="6">
        <f>E55+E67+E79+E91+E103+E115+E127+E139+E151+E163+E175+E187+E199+E211+E223+E235+E247+E259</f>
        <v>204</v>
      </c>
      <c r="F262" s="6">
        <f t="shared" ref="F262:Q262" si="81">F55+F67+F79+F91+F103+F115+F127+F139+F151+F163+F175+F187+F199+F211+F223+F235+F247+F259</f>
        <v>200</v>
      </c>
      <c r="G262" s="6">
        <f t="shared" si="81"/>
        <v>211</v>
      </c>
      <c r="H262" s="6">
        <f t="shared" si="81"/>
        <v>172</v>
      </c>
      <c r="I262" s="6">
        <f t="shared" si="81"/>
        <v>188</v>
      </c>
      <c r="J262" s="6">
        <f t="shared" si="81"/>
        <v>185</v>
      </c>
      <c r="K262" s="6">
        <f t="shared" si="81"/>
        <v>182</v>
      </c>
      <c r="L262" s="6">
        <f t="shared" si="81"/>
        <v>194</v>
      </c>
      <c r="M262" s="6">
        <f t="shared" si="81"/>
        <v>206</v>
      </c>
      <c r="N262" s="6">
        <f t="shared" si="81"/>
        <v>200</v>
      </c>
      <c r="O262" s="6">
        <f t="shared" si="81"/>
        <v>176</v>
      </c>
      <c r="P262" s="6">
        <f t="shared" si="81"/>
        <v>172</v>
      </c>
      <c r="Q262" s="6">
        <f t="shared" si="81"/>
        <v>178</v>
      </c>
      <c r="R262" s="6">
        <f t="shared" ref="R262:W262" si="82">R55+R67+R79+R91+R103+R115+R127+R139+R151+R163+R175+R187+R199+R211+R223+R235+R247+R259</f>
        <v>195</v>
      </c>
      <c r="S262" s="6">
        <f t="shared" si="82"/>
        <v>171</v>
      </c>
      <c r="T262" s="6">
        <f t="shared" si="82"/>
        <v>203</v>
      </c>
      <c r="U262" s="6">
        <f t="shared" si="82"/>
        <v>219</v>
      </c>
      <c r="V262" s="6">
        <f t="shared" si="82"/>
        <v>170</v>
      </c>
      <c r="W262" s="6">
        <f t="shared" si="82"/>
        <v>218</v>
      </c>
      <c r="X262" s="6">
        <f t="shared" ref="X262:AA262" si="83">X55+X67+X79+X91+X103+X115+X127+X139+X151+X163+X175+X187+X199+X211+X223+X235+X247+X259</f>
        <v>226</v>
      </c>
      <c r="Y262" s="6">
        <f t="shared" si="83"/>
        <v>206</v>
      </c>
      <c r="Z262" s="6">
        <f t="shared" si="83"/>
        <v>190</v>
      </c>
      <c r="AA262" s="6">
        <f t="shared" si="83"/>
        <v>192</v>
      </c>
      <c r="AB262" s="5">
        <f>SUM(E262:AA262)</f>
        <v>4458</v>
      </c>
    </row>
    <row r="263" spans="1:28">
      <c r="A263" s="13"/>
      <c r="B263" s="19" t="s">
        <v>87</v>
      </c>
      <c r="C263" s="64" t="s">
        <v>88</v>
      </c>
      <c r="D263" s="65"/>
      <c r="E263" s="6">
        <v>8</v>
      </c>
      <c r="F263" s="6">
        <v>9</v>
      </c>
      <c r="G263" s="6">
        <v>10</v>
      </c>
      <c r="H263" s="6">
        <v>16</v>
      </c>
      <c r="I263" s="6">
        <v>12</v>
      </c>
      <c r="J263" s="6">
        <v>15</v>
      </c>
      <c r="K263" s="6">
        <v>17</v>
      </c>
      <c r="L263" s="6">
        <v>14</v>
      </c>
      <c r="M263" s="6">
        <v>10</v>
      </c>
      <c r="N263" s="6">
        <v>12</v>
      </c>
      <c r="O263" s="6">
        <v>16</v>
      </c>
      <c r="P263" s="6">
        <v>23</v>
      </c>
      <c r="Q263" s="6">
        <v>18</v>
      </c>
      <c r="R263" s="6">
        <v>16</v>
      </c>
      <c r="S263" s="6">
        <v>15</v>
      </c>
      <c r="T263" s="6">
        <v>15</v>
      </c>
      <c r="U263" s="6">
        <v>17</v>
      </c>
      <c r="V263" s="6">
        <v>18</v>
      </c>
      <c r="W263" s="6">
        <v>12</v>
      </c>
      <c r="X263" s="6">
        <v>8</v>
      </c>
      <c r="Y263" s="6">
        <v>12</v>
      </c>
      <c r="Z263" s="6">
        <v>7</v>
      </c>
      <c r="AA263" s="6">
        <v>10</v>
      </c>
      <c r="AB263" s="5">
        <f>SUM(E263:AA263)</f>
        <v>310</v>
      </c>
    </row>
    <row r="264" spans="1:28">
      <c r="A264" s="14"/>
      <c r="B264" s="19" t="s">
        <v>89</v>
      </c>
      <c r="C264" s="64" t="s">
        <v>90</v>
      </c>
      <c r="D264" s="65"/>
      <c r="E264" s="5">
        <f>SUM(E262:E263)</f>
        <v>212</v>
      </c>
      <c r="F264" s="5">
        <f t="shared" ref="F264:Q264" si="84">SUM(F262:F263)</f>
        <v>209</v>
      </c>
      <c r="G264" s="5">
        <f t="shared" si="84"/>
        <v>221</v>
      </c>
      <c r="H264" s="5">
        <f t="shared" si="84"/>
        <v>188</v>
      </c>
      <c r="I264" s="5">
        <f t="shared" si="84"/>
        <v>200</v>
      </c>
      <c r="J264" s="5">
        <f t="shared" si="84"/>
        <v>200</v>
      </c>
      <c r="K264" s="5">
        <f t="shared" si="84"/>
        <v>199</v>
      </c>
      <c r="L264" s="5">
        <f t="shared" si="84"/>
        <v>208</v>
      </c>
      <c r="M264" s="5">
        <f t="shared" si="84"/>
        <v>216</v>
      </c>
      <c r="N264" s="5">
        <f t="shared" si="84"/>
        <v>212</v>
      </c>
      <c r="O264" s="5">
        <f t="shared" si="84"/>
        <v>192</v>
      </c>
      <c r="P264" s="5">
        <f t="shared" si="84"/>
        <v>195</v>
      </c>
      <c r="Q264" s="5">
        <f t="shared" si="84"/>
        <v>196</v>
      </c>
      <c r="R264" s="5">
        <f t="shared" ref="R264:W264" si="85">SUM(R262:R263)</f>
        <v>211</v>
      </c>
      <c r="S264" s="5">
        <f t="shared" si="85"/>
        <v>186</v>
      </c>
      <c r="T264" s="5">
        <f t="shared" si="85"/>
        <v>218</v>
      </c>
      <c r="U264" s="5">
        <f t="shared" si="85"/>
        <v>236</v>
      </c>
      <c r="V264" s="5">
        <f t="shared" si="85"/>
        <v>188</v>
      </c>
      <c r="W264" s="5">
        <f t="shared" si="85"/>
        <v>230</v>
      </c>
      <c r="X264" s="5">
        <f t="shared" ref="X264:AA264" si="86">SUM(X262:X263)</f>
        <v>234</v>
      </c>
      <c r="Y264" s="5">
        <f t="shared" si="86"/>
        <v>218</v>
      </c>
      <c r="Z264" s="5">
        <f t="shared" si="86"/>
        <v>197</v>
      </c>
      <c r="AA264" s="5">
        <f t="shared" si="86"/>
        <v>202</v>
      </c>
      <c r="AB264" s="5">
        <f>SUM(E264:AA264)</f>
        <v>4768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U37"/>
    <mergeCell ref="B38:D38"/>
    <mergeCell ref="B39:C41"/>
    <mergeCell ref="A42:D42"/>
    <mergeCell ref="E42:U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AA12"/>
    <mergeCell ref="AB12:AB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9" type="noConversion"/>
  <conditionalFormatting sqref="E14:AA15">
    <cfRule type="containsBlanks" dxfId="27" priority="20">
      <formula>LEN(TRIM(E14))=0</formula>
    </cfRule>
  </conditionalFormatting>
  <conditionalFormatting sqref="E19:AA20">
    <cfRule type="containsBlanks" dxfId="26" priority="23">
      <formula>LEN(TRIM(E19))=0</formula>
    </cfRule>
  </conditionalFormatting>
  <conditionalFormatting sqref="E22:AA23 E25:AA26 E33:AA33 E35:AA35 E39:AA40">
    <cfRule type="containsBlanks" dxfId="25" priority="24">
      <formula>LEN(TRIM(E22))=0</formula>
    </cfRule>
  </conditionalFormatting>
  <conditionalFormatting sqref="E30:AA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AA34">
    <cfRule type="expression" dxfId="22" priority="21">
      <formula>E30&lt;&gt;E34</formula>
    </cfRule>
    <cfRule type="expression" dxfId="21" priority="22">
      <formula>E30=E34</formula>
    </cfRule>
    <cfRule type="expression" dxfId="20" priority="27">
      <formula>E34&lt;&gt;E30</formula>
    </cfRule>
    <cfRule type="expression" dxfId="19" priority="29">
      <formula>E34&lt;&gt;E64</formula>
    </cfRule>
  </conditionalFormatting>
  <conditionalFormatting sqref="E45:AA54">
    <cfRule type="containsBlanks" dxfId="18" priority="19">
      <formula>LEN(TRIM(E45))=0</formula>
    </cfRule>
  </conditionalFormatting>
  <conditionalFormatting sqref="E57:AA66">
    <cfRule type="containsBlanks" dxfId="17" priority="18">
      <formula>LEN(TRIM(E57))=0</formula>
    </cfRule>
  </conditionalFormatting>
  <conditionalFormatting sqref="E69:AA78">
    <cfRule type="containsBlanks" dxfId="16" priority="17">
      <formula>LEN(TRIM(E69))=0</formula>
    </cfRule>
  </conditionalFormatting>
  <conditionalFormatting sqref="E81:AA90">
    <cfRule type="containsBlanks" dxfId="15" priority="16">
      <formula>LEN(TRIM(E81))=0</formula>
    </cfRule>
  </conditionalFormatting>
  <conditionalFormatting sqref="E93:AA102">
    <cfRule type="containsBlanks" dxfId="14" priority="15">
      <formula>LEN(TRIM(E93))=0</formula>
    </cfRule>
  </conditionalFormatting>
  <conditionalFormatting sqref="E105:AA114">
    <cfRule type="containsBlanks" dxfId="13" priority="14">
      <formula>LEN(TRIM(E105))=0</formula>
    </cfRule>
  </conditionalFormatting>
  <conditionalFormatting sqref="E117:AA126">
    <cfRule type="containsBlanks" dxfId="12" priority="1">
      <formula>LEN(TRIM(E117))=0</formula>
    </cfRule>
  </conditionalFormatting>
  <conditionalFormatting sqref="E129:AA138">
    <cfRule type="containsBlanks" dxfId="11" priority="13">
      <formula>LEN(TRIM(E129))=0</formula>
    </cfRule>
  </conditionalFormatting>
  <conditionalFormatting sqref="E141:AA150">
    <cfRule type="containsBlanks" dxfId="10" priority="12">
      <formula>LEN(TRIM(E141))=0</formula>
    </cfRule>
  </conditionalFormatting>
  <conditionalFormatting sqref="E153:AA162">
    <cfRule type="containsBlanks" dxfId="9" priority="3">
      <formula>LEN(TRIM(E153))=0</formula>
    </cfRule>
  </conditionalFormatting>
  <conditionalFormatting sqref="E165:AA174">
    <cfRule type="containsBlanks" dxfId="8" priority="11">
      <formula>LEN(TRIM(E165))=0</formula>
    </cfRule>
  </conditionalFormatting>
  <conditionalFormatting sqref="E177:AA186">
    <cfRule type="containsBlanks" dxfId="7" priority="10">
      <formula>LEN(TRIM(E177))=0</formula>
    </cfRule>
  </conditionalFormatting>
  <conditionalFormatting sqref="E189:AA198">
    <cfRule type="containsBlanks" dxfId="6" priority="9">
      <formula>LEN(TRIM(E189))=0</formula>
    </cfRule>
  </conditionalFormatting>
  <conditionalFormatting sqref="E201:AA210">
    <cfRule type="containsBlanks" dxfId="5" priority="8">
      <formula>LEN(TRIM(E201))=0</formula>
    </cfRule>
  </conditionalFormatting>
  <conditionalFormatting sqref="E213:AA222">
    <cfRule type="containsBlanks" dxfId="4" priority="7">
      <formula>LEN(TRIM(E213))=0</formula>
    </cfRule>
  </conditionalFormatting>
  <conditionalFormatting sqref="E225:AA234">
    <cfRule type="containsBlanks" dxfId="3" priority="6">
      <formula>LEN(TRIM(E225))=0</formula>
    </cfRule>
  </conditionalFormatting>
  <conditionalFormatting sqref="E237:AA246">
    <cfRule type="containsBlanks" dxfId="2" priority="5">
      <formula>LEN(TRIM(E237))=0</formula>
    </cfRule>
  </conditionalFormatting>
  <conditionalFormatting sqref="E249:AA258">
    <cfRule type="containsBlanks" dxfId="1" priority="4">
      <formula>LEN(TRIM(E249))=0</formula>
    </cfRule>
  </conditionalFormatting>
  <conditionalFormatting sqref="E262:AA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DPRD KABUPATEN</vt:lpstr>
      <vt:lpstr>BARUREJO</vt:lpstr>
      <vt:lpstr>BULUAGUNG</vt:lpstr>
      <vt:lpstr>KESILIR</vt:lpstr>
      <vt:lpstr>SENEPOREJO</vt:lpstr>
      <vt:lpstr>SILIRAGUNG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Subbag Hukum SDM</cp:lastModifiedBy>
  <dcterms:created xsi:type="dcterms:W3CDTF">2026-01-14T02:26:01Z</dcterms:created>
  <dcterms:modified xsi:type="dcterms:W3CDTF">2026-02-05T07:25:16Z</dcterms:modified>
</cp:coreProperties>
</file>