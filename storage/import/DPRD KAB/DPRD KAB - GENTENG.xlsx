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ko\Downloads\"/>
    </mc:Choice>
  </mc:AlternateContent>
  <xr:revisionPtr revIDLastSave="0" documentId="13_ncr:1_{E756CDBE-81C0-4D94-8322-7F24B24E3661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PRD KAB" sheetId="1" r:id="rId1"/>
    <sheet name="GENTENG KULON" sheetId="2" r:id="rId2"/>
    <sheet name="GENTENG WETAN" sheetId="3" r:id="rId3"/>
    <sheet name="KALIGONDO" sheetId="4" r:id="rId4"/>
    <sheet name="KEMBIRITAN" sheetId="5" r:id="rId5"/>
    <sheet name="SETAI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sKgaOJV9cn7nHg5LhPRNS89PpCD32e7eaXRG+MR6BXY="/>
    </ext>
  </extLst>
</workbook>
</file>

<file path=xl/calcChain.xml><?xml version="1.0" encoding="utf-8"?>
<calcChain xmlns="http://schemas.openxmlformats.org/spreadsheetml/2006/main">
  <c r="E97" i="6" l="1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O97" i="6"/>
  <c r="AP97" i="6"/>
  <c r="AQ97" i="6"/>
  <c r="AR97" i="6"/>
  <c r="AS97" i="6"/>
  <c r="AT97" i="6"/>
  <c r="AU97" i="6"/>
  <c r="AV97" i="6"/>
  <c r="AW97" i="6"/>
  <c r="AX97" i="6"/>
  <c r="AY97" i="6"/>
  <c r="AZ97" i="6"/>
  <c r="BA97" i="6"/>
  <c r="BB97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AR101" i="6"/>
  <c r="AS101" i="6"/>
  <c r="AT101" i="6"/>
  <c r="AU101" i="6"/>
  <c r="AV101" i="6"/>
  <c r="AW101" i="6"/>
  <c r="AX101" i="6"/>
  <c r="AY101" i="6"/>
  <c r="AZ101" i="6"/>
  <c r="BA101" i="6"/>
  <c r="BB101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AY73" i="6"/>
  <c r="AZ73" i="6"/>
  <c r="BA73" i="6"/>
  <c r="BB73" i="6"/>
  <c r="F192" i="2" l="1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BF192" i="2"/>
  <c r="BG192" i="2"/>
  <c r="BH192" i="2"/>
  <c r="BI192" i="2"/>
  <c r="BJ192" i="2"/>
  <c r="BK192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BG190" i="2"/>
  <c r="BH190" i="2"/>
  <c r="BI190" i="2"/>
  <c r="BJ190" i="2"/>
  <c r="BK190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E160" i="5"/>
  <c r="E150" i="5"/>
  <c r="E126" i="5"/>
  <c r="E116" i="5"/>
  <c r="BQ95" i="5"/>
  <c r="BQ85" i="5"/>
  <c r="E83" i="5"/>
  <c r="E73" i="5"/>
  <c r="BQ55" i="5" l="1"/>
  <c r="BQ45" i="5"/>
  <c r="E63" i="5"/>
  <c r="E53" i="5"/>
  <c r="H21" i="5"/>
  <c r="BQ14" i="5"/>
  <c r="BC191" i="6"/>
  <c r="BC189" i="6"/>
  <c r="BC188" i="6"/>
  <c r="BB187" i="6"/>
  <c r="BA187" i="6"/>
  <c r="AZ187" i="6"/>
  <c r="AY187" i="6"/>
  <c r="AX187" i="6"/>
  <c r="AW187" i="6"/>
  <c r="AV187" i="6"/>
  <c r="AU187" i="6"/>
  <c r="AT187" i="6"/>
  <c r="AS187" i="6"/>
  <c r="AR187" i="6"/>
  <c r="AQ187" i="6"/>
  <c r="AP187" i="6"/>
  <c r="AO187" i="6"/>
  <c r="AN187" i="6"/>
  <c r="AM187" i="6"/>
  <c r="AL187" i="6"/>
  <c r="AK187" i="6"/>
  <c r="AJ187" i="6"/>
  <c r="AI187" i="6"/>
  <c r="AH187" i="6"/>
  <c r="AG187" i="6"/>
  <c r="AF187" i="6"/>
  <c r="AE187" i="6"/>
  <c r="AD187" i="6"/>
  <c r="AC187" i="6"/>
  <c r="AB187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BC186" i="6"/>
  <c r="BC185" i="6"/>
  <c r="BC184" i="6"/>
  <c r="BC183" i="6"/>
  <c r="BC182" i="6"/>
  <c r="BB181" i="6"/>
  <c r="BA181" i="6"/>
  <c r="AZ181" i="6"/>
  <c r="AY181" i="6"/>
  <c r="AX181" i="6"/>
  <c r="AW181" i="6"/>
  <c r="AV181" i="6"/>
  <c r="AU181" i="6"/>
  <c r="AT181" i="6"/>
  <c r="AS181" i="6"/>
  <c r="AR181" i="6"/>
  <c r="AQ181" i="6"/>
  <c r="AP181" i="6"/>
  <c r="AO181" i="6"/>
  <c r="AN181" i="6"/>
  <c r="AM181" i="6"/>
  <c r="AL181" i="6"/>
  <c r="AK181" i="6"/>
  <c r="AJ181" i="6"/>
  <c r="AI181" i="6"/>
  <c r="AH181" i="6"/>
  <c r="AG181" i="6"/>
  <c r="AF181" i="6"/>
  <c r="AE181" i="6"/>
  <c r="AD181" i="6"/>
  <c r="AC181" i="6"/>
  <c r="AB181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BC180" i="6"/>
  <c r="BC179" i="6"/>
  <c r="BC178" i="6"/>
  <c r="BC177" i="6"/>
  <c r="BC176" i="6"/>
  <c r="E176" i="1" s="1"/>
  <c r="BC175" i="6"/>
  <c r="BC174" i="6"/>
  <c r="BC173" i="6"/>
  <c r="BB172" i="6"/>
  <c r="BA172" i="6"/>
  <c r="AZ172" i="6"/>
  <c r="AY172" i="6"/>
  <c r="AX172" i="6"/>
  <c r="AW172" i="6"/>
  <c r="AV172" i="6"/>
  <c r="AU172" i="6"/>
  <c r="AT172" i="6"/>
  <c r="AS172" i="6"/>
  <c r="AR172" i="6"/>
  <c r="AQ172" i="6"/>
  <c r="AP172" i="6"/>
  <c r="AO172" i="6"/>
  <c r="AN172" i="6"/>
  <c r="AM172" i="6"/>
  <c r="AL172" i="6"/>
  <c r="AK172" i="6"/>
  <c r="AJ172" i="6"/>
  <c r="AI172" i="6"/>
  <c r="AH172" i="6"/>
  <c r="AG172" i="6"/>
  <c r="AF172" i="6"/>
  <c r="AE172" i="6"/>
  <c r="AD172" i="6"/>
  <c r="AC172" i="6"/>
  <c r="AB172" i="6"/>
  <c r="AA172" i="6"/>
  <c r="Z172" i="6"/>
  <c r="Y172" i="6"/>
  <c r="X172" i="6"/>
  <c r="W172" i="6"/>
  <c r="V172" i="6"/>
  <c r="U172" i="6"/>
  <c r="T172" i="6"/>
  <c r="S172" i="6"/>
  <c r="R172" i="6"/>
  <c r="Q172" i="6"/>
  <c r="P172" i="6"/>
  <c r="O172" i="6"/>
  <c r="N172" i="6"/>
  <c r="M172" i="6"/>
  <c r="L172" i="6"/>
  <c r="K172" i="6"/>
  <c r="J172" i="6"/>
  <c r="I172" i="6"/>
  <c r="H172" i="6"/>
  <c r="G172" i="6"/>
  <c r="F172" i="6"/>
  <c r="E172" i="6"/>
  <c r="BC171" i="6"/>
  <c r="BC170" i="6"/>
  <c r="BC169" i="6"/>
  <c r="BC168" i="6"/>
  <c r="BC167" i="6"/>
  <c r="BC166" i="6"/>
  <c r="BB165" i="6"/>
  <c r="BA165" i="6"/>
  <c r="AZ165" i="6"/>
  <c r="AY165" i="6"/>
  <c r="AX165" i="6"/>
  <c r="AW165" i="6"/>
  <c r="AV165" i="6"/>
  <c r="AU165" i="6"/>
  <c r="AT165" i="6"/>
  <c r="AS165" i="6"/>
  <c r="AR165" i="6"/>
  <c r="AQ165" i="6"/>
  <c r="AP165" i="6"/>
  <c r="AO165" i="6"/>
  <c r="AN165" i="6"/>
  <c r="AM165" i="6"/>
  <c r="AL165" i="6"/>
  <c r="AK165" i="6"/>
  <c r="AJ165" i="6"/>
  <c r="AI165" i="6"/>
  <c r="AH165" i="6"/>
  <c r="AG165" i="6"/>
  <c r="AF165" i="6"/>
  <c r="AE165" i="6"/>
  <c r="AD165" i="6"/>
  <c r="AC165" i="6"/>
  <c r="AB165" i="6"/>
  <c r="AA165" i="6"/>
  <c r="Z165" i="6"/>
  <c r="Y165" i="6"/>
  <c r="X165" i="6"/>
  <c r="W165" i="6"/>
  <c r="V165" i="6"/>
  <c r="U165" i="6"/>
  <c r="T165" i="6"/>
  <c r="S165" i="6"/>
  <c r="R165" i="6"/>
  <c r="Q165" i="6"/>
  <c r="P165" i="6"/>
  <c r="O165" i="6"/>
  <c r="N165" i="6"/>
  <c r="M165" i="6"/>
  <c r="L165" i="6"/>
  <c r="K165" i="6"/>
  <c r="J165" i="6"/>
  <c r="I165" i="6"/>
  <c r="H165" i="6"/>
  <c r="G165" i="6"/>
  <c r="F165" i="6"/>
  <c r="E165" i="6"/>
  <c r="BC164" i="6"/>
  <c r="BC163" i="6"/>
  <c r="BC162" i="6"/>
  <c r="BC161" i="6"/>
  <c r="BB160" i="6"/>
  <c r="BA160" i="6"/>
  <c r="AZ160" i="6"/>
  <c r="AY160" i="6"/>
  <c r="AX160" i="6"/>
  <c r="AW160" i="6"/>
  <c r="AV160" i="6"/>
  <c r="AU160" i="6"/>
  <c r="AT160" i="6"/>
  <c r="AS160" i="6"/>
  <c r="AR160" i="6"/>
  <c r="AQ160" i="6"/>
  <c r="AP160" i="6"/>
  <c r="AO160" i="6"/>
  <c r="AN160" i="6"/>
  <c r="AM160" i="6"/>
  <c r="AL160" i="6"/>
  <c r="AK160" i="6"/>
  <c r="AJ160" i="6"/>
  <c r="AI160" i="6"/>
  <c r="AH160" i="6"/>
  <c r="AG160" i="6"/>
  <c r="AF160" i="6"/>
  <c r="AE160" i="6"/>
  <c r="AD160" i="6"/>
  <c r="AC160" i="6"/>
  <c r="AB160" i="6"/>
  <c r="AA160" i="6"/>
  <c r="Z160" i="6"/>
  <c r="Y160" i="6"/>
  <c r="X160" i="6"/>
  <c r="W160" i="6"/>
  <c r="V160" i="6"/>
  <c r="U160" i="6"/>
  <c r="T160" i="6"/>
  <c r="S160" i="6"/>
  <c r="R160" i="6"/>
  <c r="Q160" i="6"/>
  <c r="P160" i="6"/>
  <c r="O160" i="6"/>
  <c r="N160" i="6"/>
  <c r="M160" i="6"/>
  <c r="L160" i="6"/>
  <c r="K160" i="6"/>
  <c r="J160" i="6"/>
  <c r="I160" i="6"/>
  <c r="H160" i="6"/>
  <c r="G160" i="6"/>
  <c r="F160" i="6"/>
  <c r="E160" i="6"/>
  <c r="BC159" i="6"/>
  <c r="BC158" i="6"/>
  <c r="BC157" i="6"/>
  <c r="BC156" i="6"/>
  <c r="BC155" i="6"/>
  <c r="BC154" i="6"/>
  <c r="BC153" i="6"/>
  <c r="BC152" i="6"/>
  <c r="BC151" i="6"/>
  <c r="BB150" i="6"/>
  <c r="BA150" i="6"/>
  <c r="AZ150" i="6"/>
  <c r="AY150" i="6"/>
  <c r="AX150" i="6"/>
  <c r="AW150" i="6"/>
  <c r="AV150" i="6"/>
  <c r="AU150" i="6"/>
  <c r="AT150" i="6"/>
  <c r="AS150" i="6"/>
  <c r="AR150" i="6"/>
  <c r="AQ150" i="6"/>
  <c r="AP150" i="6"/>
  <c r="AO150" i="6"/>
  <c r="AN150" i="6"/>
  <c r="AM150" i="6"/>
  <c r="AL150" i="6"/>
  <c r="AK150" i="6"/>
  <c r="AJ150" i="6"/>
  <c r="AI150" i="6"/>
  <c r="AH150" i="6"/>
  <c r="AG150" i="6"/>
  <c r="AF150" i="6"/>
  <c r="AE150" i="6"/>
  <c r="AD150" i="6"/>
  <c r="AC150" i="6"/>
  <c r="AB150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BC149" i="6"/>
  <c r="BC148" i="6"/>
  <c r="BC147" i="6"/>
  <c r="BC146" i="6"/>
  <c r="BC145" i="6"/>
  <c r="BC144" i="6"/>
  <c r="BC143" i="6"/>
  <c r="BC142" i="6"/>
  <c r="BC141" i="6"/>
  <c r="BB140" i="6"/>
  <c r="BA140" i="6"/>
  <c r="AZ140" i="6"/>
  <c r="AY140" i="6"/>
  <c r="AX140" i="6"/>
  <c r="AW140" i="6"/>
  <c r="AV140" i="6"/>
  <c r="AU140" i="6"/>
  <c r="AT140" i="6"/>
  <c r="AS140" i="6"/>
  <c r="AR140" i="6"/>
  <c r="AQ140" i="6"/>
  <c r="AP140" i="6"/>
  <c r="AO140" i="6"/>
  <c r="AN140" i="6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X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BC139" i="6"/>
  <c r="BC138" i="6"/>
  <c r="BC137" i="6"/>
  <c r="BC136" i="6"/>
  <c r="BC135" i="6"/>
  <c r="BC134" i="6"/>
  <c r="BC133" i="6"/>
  <c r="BC132" i="6"/>
  <c r="BC131" i="6"/>
  <c r="BB130" i="6"/>
  <c r="BA130" i="6"/>
  <c r="AZ130" i="6"/>
  <c r="AY130" i="6"/>
  <c r="AX130" i="6"/>
  <c r="AW130" i="6"/>
  <c r="AV130" i="6"/>
  <c r="AU130" i="6"/>
  <c r="AT130" i="6"/>
  <c r="AS130" i="6"/>
  <c r="AR130" i="6"/>
  <c r="AQ130" i="6"/>
  <c r="AP130" i="6"/>
  <c r="AO130" i="6"/>
  <c r="AN130" i="6"/>
  <c r="AM130" i="6"/>
  <c r="AL130" i="6"/>
  <c r="AK130" i="6"/>
  <c r="AJ130" i="6"/>
  <c r="AI130" i="6"/>
  <c r="AH130" i="6"/>
  <c r="AG130" i="6"/>
  <c r="AF130" i="6"/>
  <c r="AE130" i="6"/>
  <c r="AD130" i="6"/>
  <c r="AC130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BC129" i="6"/>
  <c r="BC128" i="6"/>
  <c r="BC127" i="6"/>
  <c r="BB126" i="6"/>
  <c r="BA126" i="6"/>
  <c r="AZ126" i="6"/>
  <c r="AY126" i="6"/>
  <c r="AX126" i="6"/>
  <c r="AW126" i="6"/>
  <c r="AV126" i="6"/>
  <c r="AU126" i="6"/>
  <c r="AT126" i="6"/>
  <c r="AS126" i="6"/>
  <c r="AR126" i="6"/>
  <c r="AQ126" i="6"/>
  <c r="AP126" i="6"/>
  <c r="AO126" i="6"/>
  <c r="AN126" i="6"/>
  <c r="AM126" i="6"/>
  <c r="AL126" i="6"/>
  <c r="AK126" i="6"/>
  <c r="AJ126" i="6"/>
  <c r="AI126" i="6"/>
  <c r="AH126" i="6"/>
  <c r="AG126" i="6"/>
  <c r="AF126" i="6"/>
  <c r="AE126" i="6"/>
  <c r="AD126" i="6"/>
  <c r="AC126" i="6"/>
  <c r="AB126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BC125" i="6"/>
  <c r="BC124" i="6"/>
  <c r="BC123" i="6"/>
  <c r="BC122" i="6"/>
  <c r="BC121" i="6"/>
  <c r="BC120" i="6"/>
  <c r="BC119" i="6"/>
  <c r="BC118" i="6"/>
  <c r="BC117" i="6"/>
  <c r="BB116" i="6"/>
  <c r="BA116" i="6"/>
  <c r="AZ116" i="6"/>
  <c r="AY116" i="6"/>
  <c r="AX116" i="6"/>
  <c r="AW116" i="6"/>
  <c r="AV116" i="6"/>
  <c r="AU116" i="6"/>
  <c r="AT116" i="6"/>
  <c r="AS116" i="6"/>
  <c r="AR116" i="6"/>
  <c r="AQ116" i="6"/>
  <c r="AP116" i="6"/>
  <c r="AO116" i="6"/>
  <c r="AN116" i="6"/>
  <c r="AM116" i="6"/>
  <c r="AL116" i="6"/>
  <c r="AK116" i="6"/>
  <c r="AJ116" i="6"/>
  <c r="AI116" i="6"/>
  <c r="AH116" i="6"/>
  <c r="AG116" i="6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BC115" i="6"/>
  <c r="BC114" i="6"/>
  <c r="BC113" i="6"/>
  <c r="BC112" i="6"/>
  <c r="BB111" i="6"/>
  <c r="BA111" i="6"/>
  <c r="AZ111" i="6"/>
  <c r="AY111" i="6"/>
  <c r="AX111" i="6"/>
  <c r="AW111" i="6"/>
  <c r="AV111" i="6"/>
  <c r="AU111" i="6"/>
  <c r="AT111" i="6"/>
  <c r="AS111" i="6"/>
  <c r="AR111" i="6"/>
  <c r="AQ111" i="6"/>
  <c r="AP111" i="6"/>
  <c r="AO111" i="6"/>
  <c r="AN111" i="6"/>
  <c r="AM111" i="6"/>
  <c r="AL111" i="6"/>
  <c r="AK111" i="6"/>
  <c r="AJ111" i="6"/>
  <c r="AI111" i="6"/>
  <c r="AH111" i="6"/>
  <c r="AG111" i="6"/>
  <c r="AF111" i="6"/>
  <c r="AE111" i="6"/>
  <c r="AD111" i="6"/>
  <c r="AC111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BC110" i="6"/>
  <c r="BC109" i="6"/>
  <c r="BC108" i="6"/>
  <c r="BC107" i="6"/>
  <c r="BC106" i="6"/>
  <c r="BC105" i="6"/>
  <c r="BC104" i="6"/>
  <c r="BC103" i="6"/>
  <c r="BC102" i="6"/>
  <c r="BC100" i="6"/>
  <c r="BC99" i="6"/>
  <c r="BC98" i="6"/>
  <c r="BC97" i="6"/>
  <c r="BC96" i="6"/>
  <c r="BC95" i="6"/>
  <c r="BC94" i="6"/>
  <c r="BB93" i="6"/>
  <c r="BA93" i="6"/>
  <c r="AZ93" i="6"/>
  <c r="AY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BC92" i="6"/>
  <c r="BC91" i="6"/>
  <c r="BC90" i="6"/>
  <c r="BC89" i="6"/>
  <c r="BC88" i="6"/>
  <c r="BC87" i="6"/>
  <c r="BC86" i="6"/>
  <c r="BC85" i="6"/>
  <c r="BC84" i="6"/>
  <c r="BB83" i="6"/>
  <c r="BA83" i="6"/>
  <c r="AZ83" i="6"/>
  <c r="AY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BC82" i="6"/>
  <c r="BC81" i="6"/>
  <c r="BC80" i="6"/>
  <c r="BC79" i="6"/>
  <c r="BC78" i="6"/>
  <c r="BC77" i="6"/>
  <c r="BC76" i="6"/>
  <c r="BC75" i="6"/>
  <c r="BC74" i="6"/>
  <c r="BC72" i="6"/>
  <c r="BC71" i="6"/>
  <c r="BC70" i="6"/>
  <c r="BC69" i="6"/>
  <c r="BC68" i="6"/>
  <c r="BC67" i="6"/>
  <c r="BC66" i="6"/>
  <c r="BC65" i="6"/>
  <c r="BC64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BC62" i="6"/>
  <c r="BC61" i="6"/>
  <c r="BC60" i="6"/>
  <c r="BC59" i="6"/>
  <c r="BC58" i="6"/>
  <c r="BC57" i="6"/>
  <c r="BC56" i="6"/>
  <c r="BC55" i="6"/>
  <c r="BC54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BC52" i="6"/>
  <c r="BC51" i="6"/>
  <c r="BC50" i="6"/>
  <c r="BC49" i="6"/>
  <c r="BC48" i="6"/>
  <c r="BC47" i="6"/>
  <c r="BC46" i="6"/>
  <c r="BC45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BC40" i="6"/>
  <c r="BC39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BC35" i="6"/>
  <c r="BC34" i="6"/>
  <c r="BC33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E30" i="6" s="1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BB28" i="6"/>
  <c r="BB30" i="6" s="1"/>
  <c r="BA28" i="6"/>
  <c r="BA30" i="6" s="1"/>
  <c r="AZ28" i="6"/>
  <c r="AY28" i="6"/>
  <c r="AX28" i="6"/>
  <c r="AW28" i="6"/>
  <c r="AV28" i="6"/>
  <c r="AV30" i="6" s="1"/>
  <c r="AU28" i="6"/>
  <c r="AU30" i="6" s="1"/>
  <c r="AT28" i="6"/>
  <c r="AS28" i="6"/>
  <c r="AR28" i="6"/>
  <c r="AR30" i="6" s="1"/>
  <c r="AQ28" i="6"/>
  <c r="AP28" i="6"/>
  <c r="AP30" i="6" s="1"/>
  <c r="AO28" i="6"/>
  <c r="AO30" i="6" s="1"/>
  <c r="AN28" i="6"/>
  <c r="AM28" i="6"/>
  <c r="AL28" i="6"/>
  <c r="AK28" i="6"/>
  <c r="AJ28" i="6"/>
  <c r="AJ30" i="6" s="1"/>
  <c r="AI28" i="6"/>
  <c r="AI30" i="6" s="1"/>
  <c r="AH28" i="6"/>
  <c r="AG28" i="6"/>
  <c r="AF28" i="6"/>
  <c r="AE28" i="6"/>
  <c r="AD28" i="6"/>
  <c r="AD30" i="6" s="1"/>
  <c r="AC28" i="6"/>
  <c r="AC30" i="6" s="1"/>
  <c r="AB28" i="6"/>
  <c r="AA28" i="6"/>
  <c r="AA30" i="6" s="1"/>
  <c r="Z28" i="6"/>
  <c r="Y28" i="6"/>
  <c r="Y30" i="6" s="1"/>
  <c r="X28" i="6"/>
  <c r="W28" i="6"/>
  <c r="W30" i="6" s="1"/>
  <c r="V28" i="6"/>
  <c r="U28" i="6"/>
  <c r="T28" i="6"/>
  <c r="S28" i="6"/>
  <c r="R28" i="6"/>
  <c r="R30" i="6" s="1"/>
  <c r="Q28" i="6"/>
  <c r="Q30" i="6" s="1"/>
  <c r="P28" i="6"/>
  <c r="O28" i="6"/>
  <c r="N28" i="6"/>
  <c r="M28" i="6"/>
  <c r="L28" i="6"/>
  <c r="L30" i="6" s="1"/>
  <c r="K28" i="6"/>
  <c r="J28" i="6"/>
  <c r="I28" i="6"/>
  <c r="H28" i="6"/>
  <c r="H30" i="6" s="1"/>
  <c r="G28" i="6"/>
  <c r="F28" i="6"/>
  <c r="F30" i="6" s="1"/>
  <c r="E28" i="6"/>
  <c r="E30" i="6" s="1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BC26" i="6"/>
  <c r="BC25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BC23" i="6"/>
  <c r="BC22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BC20" i="6"/>
  <c r="BC19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BC15" i="6"/>
  <c r="BC14" i="6"/>
  <c r="BQ191" i="5"/>
  <c r="BQ189" i="5"/>
  <c r="BQ188" i="5"/>
  <c r="BP187" i="5"/>
  <c r="BO187" i="5"/>
  <c r="BN187" i="5"/>
  <c r="BM187" i="5"/>
  <c r="BL187" i="5"/>
  <c r="BK187" i="5"/>
  <c r="BJ187" i="5"/>
  <c r="BI187" i="5"/>
  <c r="BH187" i="5"/>
  <c r="BG187" i="5"/>
  <c r="BF187" i="5"/>
  <c r="BE187" i="5"/>
  <c r="BD187" i="5"/>
  <c r="BC187" i="5"/>
  <c r="BB187" i="5"/>
  <c r="BA187" i="5"/>
  <c r="AZ187" i="5"/>
  <c r="AY187" i="5"/>
  <c r="AX187" i="5"/>
  <c r="AW187" i="5"/>
  <c r="AV187" i="5"/>
  <c r="AU187" i="5"/>
  <c r="AT187" i="5"/>
  <c r="AS187" i="5"/>
  <c r="AR187" i="5"/>
  <c r="AQ187" i="5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BQ186" i="5"/>
  <c r="BQ185" i="5"/>
  <c r="BQ184" i="5"/>
  <c r="BQ183" i="5"/>
  <c r="BQ182" i="5"/>
  <c r="BP181" i="5"/>
  <c r="BO181" i="5"/>
  <c r="BN181" i="5"/>
  <c r="BM181" i="5"/>
  <c r="BL181" i="5"/>
  <c r="BK181" i="5"/>
  <c r="BJ181" i="5"/>
  <c r="BI181" i="5"/>
  <c r="BH181" i="5"/>
  <c r="BG181" i="5"/>
  <c r="BF181" i="5"/>
  <c r="BE181" i="5"/>
  <c r="BD181" i="5"/>
  <c r="BC181" i="5"/>
  <c r="BB181" i="5"/>
  <c r="BA181" i="5"/>
  <c r="AZ181" i="5"/>
  <c r="AY181" i="5"/>
  <c r="AX181" i="5"/>
  <c r="AW181" i="5"/>
  <c r="AV181" i="5"/>
  <c r="AU181" i="5"/>
  <c r="AT181" i="5"/>
  <c r="AS181" i="5"/>
  <c r="AR181" i="5"/>
  <c r="AQ181" i="5"/>
  <c r="AP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BQ180" i="5"/>
  <c r="BQ179" i="5"/>
  <c r="BQ178" i="5"/>
  <c r="BQ177" i="5"/>
  <c r="BQ176" i="5"/>
  <c r="BQ175" i="5"/>
  <c r="BQ174" i="5"/>
  <c r="BQ173" i="5"/>
  <c r="BP172" i="5"/>
  <c r="BO172" i="5"/>
  <c r="BN172" i="5"/>
  <c r="BM172" i="5"/>
  <c r="BL172" i="5"/>
  <c r="BK172" i="5"/>
  <c r="BJ172" i="5"/>
  <c r="BI172" i="5"/>
  <c r="BH172" i="5"/>
  <c r="BG172" i="5"/>
  <c r="BF172" i="5"/>
  <c r="BE172" i="5"/>
  <c r="BD172" i="5"/>
  <c r="BC172" i="5"/>
  <c r="BB172" i="5"/>
  <c r="BA172" i="5"/>
  <c r="AZ172" i="5"/>
  <c r="AY172" i="5"/>
  <c r="AX172" i="5"/>
  <c r="AW172" i="5"/>
  <c r="AV172" i="5"/>
  <c r="AU172" i="5"/>
  <c r="AT172" i="5"/>
  <c r="AS172" i="5"/>
  <c r="AR172" i="5"/>
  <c r="AQ172" i="5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BQ171" i="5"/>
  <c r="BQ170" i="5"/>
  <c r="BQ169" i="5"/>
  <c r="BQ168" i="5"/>
  <c r="BQ167" i="5"/>
  <c r="BQ166" i="5"/>
  <c r="BP165" i="5"/>
  <c r="BO165" i="5"/>
  <c r="BN165" i="5"/>
  <c r="BM165" i="5"/>
  <c r="BL165" i="5"/>
  <c r="BK165" i="5"/>
  <c r="BJ165" i="5"/>
  <c r="BI165" i="5"/>
  <c r="BH165" i="5"/>
  <c r="BG165" i="5"/>
  <c r="BF165" i="5"/>
  <c r="BE165" i="5"/>
  <c r="BD165" i="5"/>
  <c r="BC165" i="5"/>
  <c r="BB165" i="5"/>
  <c r="BA165" i="5"/>
  <c r="AZ165" i="5"/>
  <c r="AY165" i="5"/>
  <c r="AX165" i="5"/>
  <c r="AW165" i="5"/>
  <c r="AV165" i="5"/>
  <c r="AU165" i="5"/>
  <c r="AT165" i="5"/>
  <c r="AS165" i="5"/>
  <c r="AR165" i="5"/>
  <c r="AQ165" i="5"/>
  <c r="AP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AC165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BQ164" i="5"/>
  <c r="BQ163" i="5"/>
  <c r="BQ162" i="5"/>
  <c r="BQ161" i="5"/>
  <c r="BP160" i="5"/>
  <c r="BO160" i="5"/>
  <c r="BN160" i="5"/>
  <c r="BM160" i="5"/>
  <c r="BL160" i="5"/>
  <c r="BK160" i="5"/>
  <c r="BJ160" i="5"/>
  <c r="BI160" i="5"/>
  <c r="BH160" i="5"/>
  <c r="BG160" i="5"/>
  <c r="BF160" i="5"/>
  <c r="BE160" i="5"/>
  <c r="BD160" i="5"/>
  <c r="BC160" i="5"/>
  <c r="BB160" i="5"/>
  <c r="BA160" i="5"/>
  <c r="AZ160" i="5"/>
  <c r="AY160" i="5"/>
  <c r="AX160" i="5"/>
  <c r="AW160" i="5"/>
  <c r="AV160" i="5"/>
  <c r="AU160" i="5"/>
  <c r="AT160" i="5"/>
  <c r="AS160" i="5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BQ159" i="5"/>
  <c r="BQ158" i="5"/>
  <c r="BQ157" i="5"/>
  <c r="BQ156" i="5"/>
  <c r="BQ155" i="5"/>
  <c r="BQ154" i="5"/>
  <c r="BQ153" i="5"/>
  <c r="BQ152" i="5"/>
  <c r="BQ151" i="5"/>
  <c r="BP150" i="5"/>
  <c r="BO150" i="5"/>
  <c r="BN150" i="5"/>
  <c r="BM150" i="5"/>
  <c r="BL150" i="5"/>
  <c r="BK150" i="5"/>
  <c r="BJ150" i="5"/>
  <c r="BI150" i="5"/>
  <c r="BH150" i="5"/>
  <c r="BG150" i="5"/>
  <c r="BF150" i="5"/>
  <c r="BE150" i="5"/>
  <c r="BD150" i="5"/>
  <c r="BC150" i="5"/>
  <c r="BB150" i="5"/>
  <c r="BA150" i="5"/>
  <c r="AZ150" i="5"/>
  <c r="AY150" i="5"/>
  <c r="AX150" i="5"/>
  <c r="AW150" i="5"/>
  <c r="AV150" i="5"/>
  <c r="AU150" i="5"/>
  <c r="AT150" i="5"/>
  <c r="AS150" i="5"/>
  <c r="AR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BQ149" i="5"/>
  <c r="BQ148" i="5"/>
  <c r="BQ147" i="5"/>
  <c r="BQ146" i="5"/>
  <c r="BQ145" i="5"/>
  <c r="BQ144" i="5"/>
  <c r="BQ143" i="5"/>
  <c r="BQ142" i="5"/>
  <c r="BQ141" i="5"/>
  <c r="BP140" i="5"/>
  <c r="BO140" i="5"/>
  <c r="BN140" i="5"/>
  <c r="BM140" i="5"/>
  <c r="BL140" i="5"/>
  <c r="BK140" i="5"/>
  <c r="BJ140" i="5"/>
  <c r="BI140" i="5"/>
  <c r="BH140" i="5"/>
  <c r="BG140" i="5"/>
  <c r="BF140" i="5"/>
  <c r="BE140" i="5"/>
  <c r="BD140" i="5"/>
  <c r="BC140" i="5"/>
  <c r="BB140" i="5"/>
  <c r="BA140" i="5"/>
  <c r="AZ140" i="5"/>
  <c r="AY140" i="5"/>
  <c r="AX140" i="5"/>
  <c r="AW140" i="5"/>
  <c r="AV140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BQ139" i="5"/>
  <c r="BQ138" i="5"/>
  <c r="BQ137" i="5"/>
  <c r="BQ136" i="5"/>
  <c r="BQ135" i="5"/>
  <c r="BQ134" i="5"/>
  <c r="BQ133" i="5"/>
  <c r="BQ132" i="5"/>
  <c r="BQ131" i="5"/>
  <c r="BP130" i="5"/>
  <c r="BO130" i="5"/>
  <c r="BN130" i="5"/>
  <c r="BM130" i="5"/>
  <c r="BL130" i="5"/>
  <c r="BK130" i="5"/>
  <c r="BJ130" i="5"/>
  <c r="BI130" i="5"/>
  <c r="BH130" i="5"/>
  <c r="BG130" i="5"/>
  <c r="BF130" i="5"/>
  <c r="BE130" i="5"/>
  <c r="BD130" i="5"/>
  <c r="BC130" i="5"/>
  <c r="BB130" i="5"/>
  <c r="BA130" i="5"/>
  <c r="AZ130" i="5"/>
  <c r="AY130" i="5"/>
  <c r="AX130" i="5"/>
  <c r="AW130" i="5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BQ129" i="5"/>
  <c r="BQ128" i="5"/>
  <c r="BQ127" i="5"/>
  <c r="BP126" i="5"/>
  <c r="BO126" i="5"/>
  <c r="BN126" i="5"/>
  <c r="BM126" i="5"/>
  <c r="BL126" i="5"/>
  <c r="BK126" i="5"/>
  <c r="BJ126" i="5"/>
  <c r="BI126" i="5"/>
  <c r="BH126" i="5"/>
  <c r="BG126" i="5"/>
  <c r="BF126" i="5"/>
  <c r="BE126" i="5"/>
  <c r="BD126" i="5"/>
  <c r="BC126" i="5"/>
  <c r="BB126" i="5"/>
  <c r="BA126" i="5"/>
  <c r="AZ126" i="5"/>
  <c r="AY126" i="5"/>
  <c r="AX126" i="5"/>
  <c r="AW126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BQ125" i="5"/>
  <c r="BQ124" i="5"/>
  <c r="BQ123" i="5"/>
  <c r="BQ122" i="5"/>
  <c r="BQ121" i="5"/>
  <c r="BQ120" i="5"/>
  <c r="BQ119" i="5"/>
  <c r="BQ118" i="5"/>
  <c r="BQ117" i="5"/>
  <c r="BP116" i="5"/>
  <c r="BO116" i="5"/>
  <c r="BN116" i="5"/>
  <c r="BM116" i="5"/>
  <c r="BL116" i="5"/>
  <c r="BK116" i="5"/>
  <c r="BJ116" i="5"/>
  <c r="BI116" i="5"/>
  <c r="BH116" i="5"/>
  <c r="BG116" i="5"/>
  <c r="BF116" i="5"/>
  <c r="BE116" i="5"/>
  <c r="BD116" i="5"/>
  <c r="BC116" i="5"/>
  <c r="BB116" i="5"/>
  <c r="BA116" i="5"/>
  <c r="AZ116" i="5"/>
  <c r="AY116" i="5"/>
  <c r="AX116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BQ115" i="5"/>
  <c r="BQ114" i="5"/>
  <c r="BQ113" i="5"/>
  <c r="BQ112" i="5"/>
  <c r="BP111" i="5"/>
  <c r="BO111" i="5"/>
  <c r="BN111" i="5"/>
  <c r="BM111" i="5"/>
  <c r="BL111" i="5"/>
  <c r="BK111" i="5"/>
  <c r="BJ111" i="5"/>
  <c r="BI111" i="5"/>
  <c r="BH111" i="5"/>
  <c r="BG111" i="5"/>
  <c r="BF111" i="5"/>
  <c r="BE111" i="5"/>
  <c r="BD111" i="5"/>
  <c r="BC111" i="5"/>
  <c r="BB111" i="5"/>
  <c r="BA111" i="5"/>
  <c r="AZ111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BQ110" i="5"/>
  <c r="BQ109" i="5"/>
  <c r="BQ108" i="5"/>
  <c r="BQ107" i="5"/>
  <c r="BQ106" i="5"/>
  <c r="BQ105" i="5"/>
  <c r="BQ104" i="5"/>
  <c r="BQ103" i="5"/>
  <c r="BQ102" i="5"/>
  <c r="BP101" i="5"/>
  <c r="BO101" i="5"/>
  <c r="BN101" i="5"/>
  <c r="BM101" i="5"/>
  <c r="BL101" i="5"/>
  <c r="BK101" i="5"/>
  <c r="BJ101" i="5"/>
  <c r="BI101" i="5"/>
  <c r="BH101" i="5"/>
  <c r="BG101" i="5"/>
  <c r="BF101" i="5"/>
  <c r="BE101" i="5"/>
  <c r="BD101" i="5"/>
  <c r="BC101" i="5"/>
  <c r="BB101" i="5"/>
  <c r="BA101" i="5"/>
  <c r="AZ101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BQ100" i="5"/>
  <c r="BQ99" i="5"/>
  <c r="BQ98" i="5"/>
  <c r="BP97" i="5"/>
  <c r="BO97" i="5"/>
  <c r="BN97" i="5"/>
  <c r="BM97" i="5"/>
  <c r="BL97" i="5"/>
  <c r="BK97" i="5"/>
  <c r="BJ97" i="5"/>
  <c r="BI97" i="5"/>
  <c r="BH97" i="5"/>
  <c r="BG97" i="5"/>
  <c r="BF97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BQ96" i="5"/>
  <c r="BQ94" i="5"/>
  <c r="BP93" i="5"/>
  <c r="BO93" i="5"/>
  <c r="BN93" i="5"/>
  <c r="BM93" i="5"/>
  <c r="BL93" i="5"/>
  <c r="BK93" i="5"/>
  <c r="BJ93" i="5"/>
  <c r="BI93" i="5"/>
  <c r="BH93" i="5"/>
  <c r="BG93" i="5"/>
  <c r="BF93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BQ92" i="5"/>
  <c r="BQ91" i="5"/>
  <c r="BQ90" i="5"/>
  <c r="BQ89" i="5"/>
  <c r="BQ88" i="5"/>
  <c r="BQ87" i="5"/>
  <c r="BQ86" i="5"/>
  <c r="BQ84" i="5"/>
  <c r="BP83" i="5"/>
  <c r="BO83" i="5"/>
  <c r="BN83" i="5"/>
  <c r="BM83" i="5"/>
  <c r="BL83" i="5"/>
  <c r="BK83" i="5"/>
  <c r="BJ83" i="5"/>
  <c r="BI83" i="5"/>
  <c r="BH83" i="5"/>
  <c r="BG83" i="5"/>
  <c r="BF83" i="5"/>
  <c r="BE83" i="5"/>
  <c r="BD83" i="5"/>
  <c r="BC83" i="5"/>
  <c r="BB83" i="5"/>
  <c r="BA83" i="5"/>
  <c r="AZ83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BQ82" i="5"/>
  <c r="BQ81" i="5"/>
  <c r="BQ80" i="5"/>
  <c r="BQ79" i="5"/>
  <c r="BQ78" i="5"/>
  <c r="BQ77" i="5"/>
  <c r="BQ76" i="5"/>
  <c r="BQ75" i="5"/>
  <c r="BQ74" i="5"/>
  <c r="BP73" i="5"/>
  <c r="BO73" i="5"/>
  <c r="BN73" i="5"/>
  <c r="BM73" i="5"/>
  <c r="BL73" i="5"/>
  <c r="BK73" i="5"/>
  <c r="BJ73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BQ72" i="5"/>
  <c r="BQ71" i="5"/>
  <c r="BQ70" i="5"/>
  <c r="BQ69" i="5"/>
  <c r="BQ68" i="5"/>
  <c r="BQ67" i="5"/>
  <c r="BQ66" i="5"/>
  <c r="BQ65" i="5"/>
  <c r="BQ64" i="5"/>
  <c r="BP63" i="5"/>
  <c r="BO63" i="5"/>
  <c r="BN63" i="5"/>
  <c r="BM63" i="5"/>
  <c r="BL63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BQ62" i="5"/>
  <c r="BQ61" i="5"/>
  <c r="BQ60" i="5"/>
  <c r="BQ59" i="5"/>
  <c r="BQ58" i="5"/>
  <c r="BQ57" i="5"/>
  <c r="BQ56" i="5"/>
  <c r="BQ54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BQ52" i="5"/>
  <c r="BQ51" i="5"/>
  <c r="BQ50" i="5"/>
  <c r="BQ49" i="5"/>
  <c r="BQ48" i="5"/>
  <c r="BQ47" i="5"/>
  <c r="BQ46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BQ40" i="5"/>
  <c r="BQ39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BQ35" i="5"/>
  <c r="BQ34" i="5"/>
  <c r="BQ33" i="5"/>
  <c r="BO30" i="5"/>
  <c r="BL30" i="5"/>
  <c r="E30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C30" i="5" s="1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G29" i="5"/>
  <c r="G30" i="5" s="1"/>
  <c r="F29" i="5"/>
  <c r="E29" i="5"/>
  <c r="BP28" i="5"/>
  <c r="BP30" i="5" s="1"/>
  <c r="BO28" i="5"/>
  <c r="BN28" i="5"/>
  <c r="BN30" i="5" s="1"/>
  <c r="BM28" i="5"/>
  <c r="BM30" i="5" s="1"/>
  <c r="BL28" i="5"/>
  <c r="BK28" i="5"/>
  <c r="BJ28" i="5"/>
  <c r="BI28" i="5"/>
  <c r="BI30" i="5" s="1"/>
  <c r="BH28" i="5"/>
  <c r="BG28" i="5"/>
  <c r="BF28" i="5"/>
  <c r="BE28" i="5"/>
  <c r="BE30" i="5" s="1"/>
  <c r="BD28" i="5"/>
  <c r="BD30" i="5" s="1"/>
  <c r="BC28" i="5"/>
  <c r="BC30" i="5" s="1"/>
  <c r="BB28" i="5"/>
  <c r="BA28" i="5"/>
  <c r="BA30" i="5" s="1"/>
  <c r="AZ28" i="5"/>
  <c r="AY28" i="5"/>
  <c r="AX28" i="5"/>
  <c r="AW28" i="5"/>
  <c r="AV28" i="5"/>
  <c r="AU28" i="5"/>
  <c r="AU30" i="5" s="1"/>
  <c r="AT28" i="5"/>
  <c r="AS28" i="5"/>
  <c r="AR28" i="5"/>
  <c r="AQ28" i="5"/>
  <c r="AQ30" i="5" s="1"/>
  <c r="AP28" i="5"/>
  <c r="AO28" i="5"/>
  <c r="AN28" i="5"/>
  <c r="AM28" i="5"/>
  <c r="AL28" i="5"/>
  <c r="AK28" i="5"/>
  <c r="AJ28" i="5"/>
  <c r="AI28" i="5"/>
  <c r="AI30" i="5" s="1"/>
  <c r="AH28" i="5"/>
  <c r="AG28" i="5"/>
  <c r="AF28" i="5"/>
  <c r="AE28" i="5"/>
  <c r="AE30" i="5" s="1"/>
  <c r="AD28" i="5"/>
  <c r="AC28" i="5"/>
  <c r="AB28" i="5"/>
  <c r="AA28" i="5"/>
  <c r="AA30" i="5" s="1"/>
  <c r="Z28" i="5"/>
  <c r="Z30" i="5" s="1"/>
  <c r="Y28" i="5"/>
  <c r="X28" i="5"/>
  <c r="W28" i="5"/>
  <c r="W30" i="5" s="1"/>
  <c r="V28" i="5"/>
  <c r="U28" i="5"/>
  <c r="T28" i="5"/>
  <c r="S28" i="5"/>
  <c r="R28" i="5"/>
  <c r="Q28" i="5"/>
  <c r="P28" i="5"/>
  <c r="O28" i="5"/>
  <c r="O30" i="5" s="1"/>
  <c r="N28" i="5"/>
  <c r="N30" i="5" s="1"/>
  <c r="M28" i="5"/>
  <c r="M30" i="5" s="1"/>
  <c r="L28" i="5"/>
  <c r="K28" i="5"/>
  <c r="K30" i="5" s="1"/>
  <c r="J28" i="5"/>
  <c r="I28" i="5"/>
  <c r="G28" i="5"/>
  <c r="F28" i="5"/>
  <c r="E28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BQ26" i="5"/>
  <c r="BQ25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BQ23" i="5"/>
  <c r="BQ22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G21" i="5"/>
  <c r="F21" i="5"/>
  <c r="E21" i="5"/>
  <c r="BQ20" i="5"/>
  <c r="BQ19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BQ15" i="5"/>
  <c r="BB191" i="4"/>
  <c r="BB189" i="4"/>
  <c r="BB188" i="4"/>
  <c r="BA187" i="4"/>
  <c r="AZ187" i="4"/>
  <c r="AY187" i="4"/>
  <c r="AX187" i="4"/>
  <c r="AW187" i="4"/>
  <c r="AV187" i="4"/>
  <c r="AU187" i="4"/>
  <c r="AT187" i="4"/>
  <c r="AS187" i="4"/>
  <c r="AR187" i="4"/>
  <c r="AQ187" i="4"/>
  <c r="AP187" i="4"/>
  <c r="AO187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BB186" i="4"/>
  <c r="BB185" i="4"/>
  <c r="BB184" i="4"/>
  <c r="BB183" i="4"/>
  <c r="BB182" i="4"/>
  <c r="BA181" i="4"/>
  <c r="AZ181" i="4"/>
  <c r="AY181" i="4"/>
  <c r="AX181" i="4"/>
  <c r="AW181" i="4"/>
  <c r="AV181" i="4"/>
  <c r="AU181" i="4"/>
  <c r="AT181" i="4"/>
  <c r="AS181" i="4"/>
  <c r="AR181" i="4"/>
  <c r="AQ181" i="4"/>
  <c r="AP181" i="4"/>
  <c r="AO181" i="4"/>
  <c r="AN181" i="4"/>
  <c r="AM181" i="4"/>
  <c r="AL181" i="4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BB180" i="4"/>
  <c r="BB179" i="4"/>
  <c r="BB178" i="4"/>
  <c r="BB177" i="4"/>
  <c r="BB176" i="4"/>
  <c r="BB175" i="4"/>
  <c r="BB174" i="4"/>
  <c r="BB173" i="4"/>
  <c r="BA172" i="4"/>
  <c r="AZ172" i="4"/>
  <c r="AY172" i="4"/>
  <c r="AX172" i="4"/>
  <c r="AW172" i="4"/>
  <c r="AV172" i="4"/>
  <c r="AU172" i="4"/>
  <c r="AT172" i="4"/>
  <c r="AS172" i="4"/>
  <c r="AR172" i="4"/>
  <c r="AQ172" i="4"/>
  <c r="AP172" i="4"/>
  <c r="AO172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BB171" i="4"/>
  <c r="BB170" i="4"/>
  <c r="BB169" i="4"/>
  <c r="BB168" i="4"/>
  <c r="BB167" i="4"/>
  <c r="BB166" i="4"/>
  <c r="BA165" i="4"/>
  <c r="AZ165" i="4"/>
  <c r="AY165" i="4"/>
  <c r="AX165" i="4"/>
  <c r="AW165" i="4"/>
  <c r="AV165" i="4"/>
  <c r="AU165" i="4"/>
  <c r="AT165" i="4"/>
  <c r="AS165" i="4"/>
  <c r="AR165" i="4"/>
  <c r="AQ165" i="4"/>
  <c r="AP165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BB164" i="4"/>
  <c r="BB163" i="4"/>
  <c r="BB162" i="4"/>
  <c r="BB161" i="4"/>
  <c r="BA160" i="4"/>
  <c r="AZ160" i="4"/>
  <c r="AY160" i="4"/>
  <c r="AX160" i="4"/>
  <c r="AW160" i="4"/>
  <c r="AV160" i="4"/>
  <c r="AU160" i="4"/>
  <c r="AT160" i="4"/>
  <c r="AS160" i="4"/>
  <c r="AR160" i="4"/>
  <c r="AQ160" i="4"/>
  <c r="AP160" i="4"/>
  <c r="AO160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BB159" i="4"/>
  <c r="BB158" i="4"/>
  <c r="BB157" i="4"/>
  <c r="BB156" i="4"/>
  <c r="BB155" i="4"/>
  <c r="BB154" i="4"/>
  <c r="BB153" i="4"/>
  <c r="BB152" i="4"/>
  <c r="BB151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BB149" i="4"/>
  <c r="BB148" i="4"/>
  <c r="BB147" i="4"/>
  <c r="BB146" i="4"/>
  <c r="BB145" i="4"/>
  <c r="BB144" i="4"/>
  <c r="BB143" i="4"/>
  <c r="BB142" i="4"/>
  <c r="E142" i="1" s="1"/>
  <c r="BB141" i="4"/>
  <c r="BA140" i="4"/>
  <c r="AZ140" i="4"/>
  <c r="AY140" i="4"/>
  <c r="AX140" i="4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BB139" i="4"/>
  <c r="BB138" i="4"/>
  <c r="BB137" i="4"/>
  <c r="BB136" i="4"/>
  <c r="BB135" i="4"/>
  <c r="BB134" i="4"/>
  <c r="BB133" i="4"/>
  <c r="BB132" i="4"/>
  <c r="BB131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BB129" i="4"/>
  <c r="BB128" i="4"/>
  <c r="BB127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BB125" i="4"/>
  <c r="BB124" i="4"/>
  <c r="BB123" i="4"/>
  <c r="BB122" i="4"/>
  <c r="BB121" i="4"/>
  <c r="BB120" i="4"/>
  <c r="BB119" i="4"/>
  <c r="BB118" i="4"/>
  <c r="BB117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BB115" i="4"/>
  <c r="BB114" i="4"/>
  <c r="BB113" i="4"/>
  <c r="BB112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BB110" i="4"/>
  <c r="BB109" i="4"/>
  <c r="BB108" i="4"/>
  <c r="BB107" i="4"/>
  <c r="BB106" i="4"/>
  <c r="BB105" i="4"/>
  <c r="BB104" i="4"/>
  <c r="BB103" i="4"/>
  <c r="BB102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BB100" i="4"/>
  <c r="BB99" i="4"/>
  <c r="BB98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BB96" i="4"/>
  <c r="BB95" i="4"/>
  <c r="BB94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BB92" i="4"/>
  <c r="BB91" i="4"/>
  <c r="BB90" i="4"/>
  <c r="BB89" i="4"/>
  <c r="BB88" i="4"/>
  <c r="BB87" i="4"/>
  <c r="BB86" i="4"/>
  <c r="BB85" i="4"/>
  <c r="BB84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BB82" i="4"/>
  <c r="BB81" i="4"/>
  <c r="BB80" i="4"/>
  <c r="BB79" i="4"/>
  <c r="BB78" i="4"/>
  <c r="BB77" i="4"/>
  <c r="BB76" i="4"/>
  <c r="BB75" i="4"/>
  <c r="BB74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BB72" i="4"/>
  <c r="BB71" i="4"/>
  <c r="BB70" i="4"/>
  <c r="BB69" i="4"/>
  <c r="BB68" i="4"/>
  <c r="BB67" i="4"/>
  <c r="BB66" i="4"/>
  <c r="BB65" i="4"/>
  <c r="BB64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BB62" i="4"/>
  <c r="BB61" i="4"/>
  <c r="BB60" i="4"/>
  <c r="BB59" i="4"/>
  <c r="BB58" i="4"/>
  <c r="BB57" i="4"/>
  <c r="BB56" i="4"/>
  <c r="BB55" i="4"/>
  <c r="BB54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BB52" i="4"/>
  <c r="BB51" i="4"/>
  <c r="BB50" i="4"/>
  <c r="BB49" i="4"/>
  <c r="BB48" i="4"/>
  <c r="BB47" i="4"/>
  <c r="BB46" i="4"/>
  <c r="BB45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BB40" i="4"/>
  <c r="BB39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BB35" i="4"/>
  <c r="BB34" i="4"/>
  <c r="BB33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BA28" i="4"/>
  <c r="AZ28" i="4"/>
  <c r="AY28" i="4"/>
  <c r="AX28" i="4"/>
  <c r="AW28" i="4"/>
  <c r="AV28" i="4"/>
  <c r="AV30" i="4" s="1"/>
  <c r="AU28" i="4"/>
  <c r="AT28" i="4"/>
  <c r="AS28" i="4"/>
  <c r="AS30" i="4" s="1"/>
  <c r="AR28" i="4"/>
  <c r="AQ28" i="4"/>
  <c r="AP28" i="4"/>
  <c r="AP30" i="4" s="1"/>
  <c r="AO28" i="4"/>
  <c r="AN28" i="4"/>
  <c r="AM28" i="4"/>
  <c r="AL28" i="4"/>
  <c r="AK28" i="4"/>
  <c r="AJ28" i="4"/>
  <c r="AJ30" i="4" s="1"/>
  <c r="AI28" i="4"/>
  <c r="AH28" i="4"/>
  <c r="AG28" i="4"/>
  <c r="AG30" i="4" s="1"/>
  <c r="AF28" i="4"/>
  <c r="AE28" i="4"/>
  <c r="AD28" i="4"/>
  <c r="AD30" i="4" s="1"/>
  <c r="AC28" i="4"/>
  <c r="AB28" i="4"/>
  <c r="AA28" i="4"/>
  <c r="Z28" i="4"/>
  <c r="Y28" i="4"/>
  <c r="X28" i="4"/>
  <c r="X30" i="4" s="1"/>
  <c r="W28" i="4"/>
  <c r="V28" i="4"/>
  <c r="U28" i="4"/>
  <c r="U30" i="4" s="1"/>
  <c r="T28" i="4"/>
  <c r="S28" i="4"/>
  <c r="R28" i="4"/>
  <c r="R30" i="4" s="1"/>
  <c r="Q28" i="4"/>
  <c r="P28" i="4"/>
  <c r="O28" i="4"/>
  <c r="N28" i="4"/>
  <c r="M28" i="4"/>
  <c r="L28" i="4"/>
  <c r="L30" i="4" s="1"/>
  <c r="K28" i="4"/>
  <c r="J28" i="4"/>
  <c r="I28" i="4"/>
  <c r="I30" i="4" s="1"/>
  <c r="H28" i="4"/>
  <c r="G28" i="4"/>
  <c r="F28" i="4"/>
  <c r="F30" i="4" s="1"/>
  <c r="E28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BB26" i="4"/>
  <c r="BB25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BB23" i="4"/>
  <c r="BB22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BB20" i="4"/>
  <c r="BB19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BB15" i="4"/>
  <c r="BB14" i="4"/>
  <c r="BL191" i="3"/>
  <c r="BL189" i="3"/>
  <c r="BL188" i="3"/>
  <c r="BK187" i="3"/>
  <c r="BJ187" i="3"/>
  <c r="BI187" i="3"/>
  <c r="BH187" i="3"/>
  <c r="BG187" i="3"/>
  <c r="BF187" i="3"/>
  <c r="BE187" i="3"/>
  <c r="BD187" i="3"/>
  <c r="BC187" i="3"/>
  <c r="BB187" i="3"/>
  <c r="BA187" i="3"/>
  <c r="AZ187" i="3"/>
  <c r="AY187" i="3"/>
  <c r="AX187" i="3"/>
  <c r="AW187" i="3"/>
  <c r="AV187" i="3"/>
  <c r="AU187" i="3"/>
  <c r="AT187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BL186" i="3"/>
  <c r="BL185" i="3"/>
  <c r="BL184" i="3"/>
  <c r="BL183" i="3"/>
  <c r="BL182" i="3"/>
  <c r="BK181" i="3"/>
  <c r="BJ181" i="3"/>
  <c r="BI181" i="3"/>
  <c r="BH181" i="3"/>
  <c r="BG181" i="3"/>
  <c r="BF181" i="3"/>
  <c r="BE181" i="3"/>
  <c r="BD181" i="3"/>
  <c r="BC181" i="3"/>
  <c r="BB181" i="3"/>
  <c r="BA181" i="3"/>
  <c r="AZ181" i="3"/>
  <c r="AY181" i="3"/>
  <c r="AX181" i="3"/>
  <c r="AW181" i="3"/>
  <c r="AV181" i="3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BL180" i="3"/>
  <c r="BL179" i="3"/>
  <c r="BL178" i="3"/>
  <c r="E178" i="1" s="1"/>
  <c r="BL177" i="3"/>
  <c r="BL176" i="3"/>
  <c r="BL175" i="3"/>
  <c r="BL174" i="3"/>
  <c r="BL173" i="3"/>
  <c r="BK172" i="3"/>
  <c r="BJ172" i="3"/>
  <c r="BI172" i="3"/>
  <c r="BH172" i="3"/>
  <c r="BG172" i="3"/>
  <c r="BF172" i="3"/>
  <c r="BE172" i="3"/>
  <c r="BD172" i="3"/>
  <c r="BC172" i="3"/>
  <c r="BB172" i="3"/>
  <c r="BA172" i="3"/>
  <c r="AZ172" i="3"/>
  <c r="AY172" i="3"/>
  <c r="AX172" i="3"/>
  <c r="AW172" i="3"/>
  <c r="AV172" i="3"/>
  <c r="AU172" i="3"/>
  <c r="AT172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BL171" i="3"/>
  <c r="BL170" i="3"/>
  <c r="BL169" i="3"/>
  <c r="BL168" i="3"/>
  <c r="BL167" i="3"/>
  <c r="BL166" i="3"/>
  <c r="BK165" i="3"/>
  <c r="BJ165" i="3"/>
  <c r="BI165" i="3"/>
  <c r="BH165" i="3"/>
  <c r="BG165" i="3"/>
  <c r="BF165" i="3"/>
  <c r="BE165" i="3"/>
  <c r="BD165" i="3"/>
  <c r="BC165" i="3"/>
  <c r="BB165" i="3"/>
  <c r="BA165" i="3"/>
  <c r="AZ165" i="3"/>
  <c r="AY165" i="3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BL164" i="3"/>
  <c r="E164" i="1" s="1"/>
  <c r="BL163" i="3"/>
  <c r="BL162" i="3"/>
  <c r="BL161" i="3"/>
  <c r="BK160" i="3"/>
  <c r="BJ160" i="3"/>
  <c r="BI160" i="3"/>
  <c r="BH160" i="3"/>
  <c r="BG160" i="3"/>
  <c r="BF160" i="3"/>
  <c r="BE160" i="3"/>
  <c r="BD160" i="3"/>
  <c r="BC160" i="3"/>
  <c r="BB160" i="3"/>
  <c r="BA160" i="3"/>
  <c r="AZ160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BL159" i="3"/>
  <c r="BL158" i="3"/>
  <c r="BL157" i="3"/>
  <c r="BL156" i="3"/>
  <c r="BL155" i="3"/>
  <c r="BL154" i="3"/>
  <c r="BL153" i="3"/>
  <c r="BL152" i="3"/>
  <c r="BL151" i="3"/>
  <c r="BK150" i="3"/>
  <c r="BJ150" i="3"/>
  <c r="BI150" i="3"/>
  <c r="BH150" i="3"/>
  <c r="BG150" i="3"/>
  <c r="BF150" i="3"/>
  <c r="BE150" i="3"/>
  <c r="BD150" i="3"/>
  <c r="BC150" i="3"/>
  <c r="BB150" i="3"/>
  <c r="BA150" i="3"/>
  <c r="AZ150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BL149" i="3"/>
  <c r="BL148" i="3"/>
  <c r="BL147" i="3"/>
  <c r="BL146" i="3"/>
  <c r="BL145" i="3"/>
  <c r="BL144" i="3"/>
  <c r="BL143" i="3"/>
  <c r="BL142" i="3"/>
  <c r="BL141" i="3"/>
  <c r="BK140" i="3"/>
  <c r="BJ140" i="3"/>
  <c r="BI140" i="3"/>
  <c r="BH140" i="3"/>
  <c r="BG140" i="3"/>
  <c r="BF140" i="3"/>
  <c r="BE140" i="3"/>
  <c r="BD140" i="3"/>
  <c r="BC140" i="3"/>
  <c r="BB140" i="3"/>
  <c r="BA140" i="3"/>
  <c r="AZ140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BL139" i="3"/>
  <c r="BL138" i="3"/>
  <c r="BL137" i="3"/>
  <c r="BL136" i="3"/>
  <c r="BL135" i="3"/>
  <c r="BL134" i="3"/>
  <c r="BL133" i="3"/>
  <c r="BL132" i="3"/>
  <c r="BL131" i="3"/>
  <c r="BK130" i="3"/>
  <c r="BJ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BL129" i="3"/>
  <c r="BL128" i="3"/>
  <c r="BL127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BL125" i="3"/>
  <c r="BL124" i="3"/>
  <c r="BL123" i="3"/>
  <c r="BL122" i="3"/>
  <c r="BL121" i="3"/>
  <c r="BL120" i="3"/>
  <c r="BL119" i="3"/>
  <c r="BL118" i="3"/>
  <c r="BL117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BL115" i="3"/>
  <c r="BL114" i="3"/>
  <c r="BL113" i="3"/>
  <c r="BL112" i="3"/>
  <c r="BK111" i="3"/>
  <c r="BJ111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BL110" i="3"/>
  <c r="BL109" i="3"/>
  <c r="BL108" i="3"/>
  <c r="BL107" i="3"/>
  <c r="BL106" i="3"/>
  <c r="BL105" i="3"/>
  <c r="BL104" i="3"/>
  <c r="BL103" i="3"/>
  <c r="BL102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BL100" i="3"/>
  <c r="BL99" i="3"/>
  <c r="BL98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BL96" i="3"/>
  <c r="BL95" i="3"/>
  <c r="BL94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BL92" i="3"/>
  <c r="BL91" i="3"/>
  <c r="BL90" i="3"/>
  <c r="BL89" i="3"/>
  <c r="BL88" i="3"/>
  <c r="BL87" i="3"/>
  <c r="BL86" i="3"/>
  <c r="BL85" i="3"/>
  <c r="BL84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BL82" i="3"/>
  <c r="BL81" i="3"/>
  <c r="BL80" i="3"/>
  <c r="BL79" i="3"/>
  <c r="BL78" i="3"/>
  <c r="BL77" i="3"/>
  <c r="BL76" i="3"/>
  <c r="BL75" i="3"/>
  <c r="BL74" i="3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BL72" i="3"/>
  <c r="BL71" i="3"/>
  <c r="BL70" i="3"/>
  <c r="BL69" i="3"/>
  <c r="BL68" i="3"/>
  <c r="BL67" i="3"/>
  <c r="BL66" i="3"/>
  <c r="BL65" i="3"/>
  <c r="BL64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BL62" i="3"/>
  <c r="BL61" i="3"/>
  <c r="BL60" i="3"/>
  <c r="BL59" i="3"/>
  <c r="BL58" i="3"/>
  <c r="BL57" i="3"/>
  <c r="BL56" i="3"/>
  <c r="BL55" i="3"/>
  <c r="BL54" i="3"/>
  <c r="BK53" i="3"/>
  <c r="BJ53" i="3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BL52" i="3"/>
  <c r="BL51" i="3"/>
  <c r="BL50" i="3"/>
  <c r="BL49" i="3"/>
  <c r="BL48" i="3"/>
  <c r="BL47" i="3"/>
  <c r="BL46" i="3"/>
  <c r="BL45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BL40" i="3"/>
  <c r="BL39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BL35" i="3"/>
  <c r="BL34" i="3"/>
  <c r="BL33" i="3"/>
  <c r="BK29" i="3"/>
  <c r="BJ29" i="3"/>
  <c r="BI29" i="3"/>
  <c r="BH29" i="3"/>
  <c r="BG29" i="3"/>
  <c r="BF29" i="3"/>
  <c r="BE29" i="3"/>
  <c r="BD29" i="3"/>
  <c r="BC29" i="3"/>
  <c r="BB29" i="3"/>
  <c r="BA29" i="3"/>
  <c r="BA30" i="3" s="1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BK28" i="3"/>
  <c r="BJ28" i="3"/>
  <c r="BJ30" i="3" s="1"/>
  <c r="BI28" i="3"/>
  <c r="BI30" i="3" s="1"/>
  <c r="BH28" i="3"/>
  <c r="BG28" i="3"/>
  <c r="BF28" i="3"/>
  <c r="BF30" i="3" s="1"/>
  <c r="BE28" i="3"/>
  <c r="BD28" i="3"/>
  <c r="BD30" i="3" s="1"/>
  <c r="BC28" i="3"/>
  <c r="BB28" i="3"/>
  <c r="BA28" i="3"/>
  <c r="AZ28" i="3"/>
  <c r="AY28" i="3"/>
  <c r="AX28" i="3"/>
  <c r="AX30" i="3" s="1"/>
  <c r="AW28" i="3"/>
  <c r="AW30" i="3" s="1"/>
  <c r="AV28" i="3"/>
  <c r="AU28" i="3"/>
  <c r="AU30" i="3" s="1"/>
  <c r="AT28" i="3"/>
  <c r="AS28" i="3"/>
  <c r="AR28" i="3"/>
  <c r="AR30" i="3" s="1"/>
  <c r="AQ28" i="3"/>
  <c r="AP28" i="3"/>
  <c r="AO28" i="3"/>
  <c r="AN28" i="3"/>
  <c r="AN30" i="3" s="1"/>
  <c r="AM28" i="3"/>
  <c r="AM30" i="3" s="1"/>
  <c r="AL28" i="3"/>
  <c r="AL30" i="3" s="1"/>
  <c r="AK28" i="3"/>
  <c r="AK30" i="3" s="1"/>
  <c r="AJ28" i="3"/>
  <c r="AI28" i="3"/>
  <c r="AI30" i="3" s="1"/>
  <c r="AH28" i="3"/>
  <c r="AG28" i="3"/>
  <c r="AF28" i="3"/>
  <c r="AE28" i="3"/>
  <c r="AE30" i="3" s="1"/>
  <c r="AD28" i="3"/>
  <c r="AD30" i="3" s="1"/>
  <c r="AC28" i="3"/>
  <c r="AC30" i="3" s="1"/>
  <c r="AB28" i="3"/>
  <c r="AB30" i="3" s="1"/>
  <c r="AA28" i="3"/>
  <c r="Z28" i="3"/>
  <c r="Y28" i="3"/>
  <c r="X28" i="3"/>
  <c r="X30" i="3" s="1"/>
  <c r="W28" i="3"/>
  <c r="V28" i="3"/>
  <c r="U28" i="3"/>
  <c r="T28" i="3"/>
  <c r="S28" i="3"/>
  <c r="R28" i="3"/>
  <c r="Q28" i="3"/>
  <c r="Q30" i="3" s="1"/>
  <c r="P28" i="3"/>
  <c r="O28" i="3"/>
  <c r="O30" i="3" s="1"/>
  <c r="N28" i="3"/>
  <c r="M28" i="3"/>
  <c r="L28" i="3"/>
  <c r="K28" i="3"/>
  <c r="J28" i="3"/>
  <c r="J30" i="3" s="1"/>
  <c r="I28" i="3"/>
  <c r="I30" i="3" s="1"/>
  <c r="H28" i="3"/>
  <c r="G28" i="3"/>
  <c r="F28" i="3"/>
  <c r="E28" i="3"/>
  <c r="E30" i="3" s="1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BL26" i="3"/>
  <c r="BL25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BL23" i="3"/>
  <c r="BL22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BL20" i="3"/>
  <c r="BL19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BL15" i="3"/>
  <c r="BL14" i="3"/>
  <c r="BK191" i="2"/>
  <c r="BK189" i="2"/>
  <c r="BK188" i="2"/>
  <c r="BJ187" i="2"/>
  <c r="BI187" i="2"/>
  <c r="BH187" i="2"/>
  <c r="BG187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AT187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BK186" i="2"/>
  <c r="BK185" i="2"/>
  <c r="BK184" i="2"/>
  <c r="BK183" i="2"/>
  <c r="BK182" i="2"/>
  <c r="BJ181" i="2"/>
  <c r="BI181" i="2"/>
  <c r="BH181" i="2"/>
  <c r="BG181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BK180" i="2"/>
  <c r="BK179" i="2"/>
  <c r="BK178" i="2"/>
  <c r="BK177" i="2"/>
  <c r="BK176" i="2"/>
  <c r="BK175" i="2"/>
  <c r="BK174" i="2"/>
  <c r="BK173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BK171" i="2"/>
  <c r="BK170" i="2"/>
  <c r="BK169" i="2"/>
  <c r="BK168" i="2"/>
  <c r="BK167" i="2"/>
  <c r="BK166" i="2"/>
  <c r="BJ165" i="2"/>
  <c r="BI165" i="2"/>
  <c r="BH165" i="2"/>
  <c r="BG165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BK164" i="2"/>
  <c r="BK163" i="2"/>
  <c r="BK162" i="2"/>
  <c r="BK161" i="2"/>
  <c r="BJ160" i="2"/>
  <c r="BI160" i="2"/>
  <c r="BH160" i="2"/>
  <c r="BG160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BK159" i="2"/>
  <c r="BK158" i="2"/>
  <c r="BK157" i="2"/>
  <c r="BK156" i="2"/>
  <c r="BK155" i="2"/>
  <c r="BK154" i="2"/>
  <c r="BK153" i="2"/>
  <c r="BK152" i="2"/>
  <c r="BK151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BK149" i="2"/>
  <c r="BK148" i="2"/>
  <c r="BK147" i="2"/>
  <c r="E147" i="1" s="1"/>
  <c r="BK146" i="2"/>
  <c r="BK145" i="2"/>
  <c r="BK144" i="2"/>
  <c r="BK143" i="2"/>
  <c r="BK142" i="2"/>
  <c r="BK141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BK139" i="2"/>
  <c r="BK138" i="2"/>
  <c r="BK137" i="2"/>
  <c r="BK136" i="2"/>
  <c r="BK135" i="2"/>
  <c r="BK134" i="2"/>
  <c r="BK133" i="2"/>
  <c r="BK132" i="2"/>
  <c r="BK131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BK129" i="2"/>
  <c r="E129" i="1" s="1"/>
  <c r="BK128" i="2"/>
  <c r="E128" i="1" s="1"/>
  <c r="E130" i="1" s="1"/>
  <c r="BK127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BK125" i="2"/>
  <c r="BK124" i="2"/>
  <c r="BK123" i="2"/>
  <c r="BK122" i="2"/>
  <c r="BK121" i="2"/>
  <c r="BK120" i="2"/>
  <c r="BK119" i="2"/>
  <c r="BK118" i="2"/>
  <c r="BK117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BK115" i="2"/>
  <c r="BK114" i="2"/>
  <c r="BK113" i="2"/>
  <c r="BK112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BK110" i="2"/>
  <c r="E110" i="1" s="1"/>
  <c r="BK109" i="2"/>
  <c r="BK108" i="2"/>
  <c r="BK107" i="2"/>
  <c r="BK106" i="2"/>
  <c r="BK105" i="2"/>
  <c r="BK104" i="2"/>
  <c r="BK103" i="2"/>
  <c r="BK102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BK100" i="2"/>
  <c r="BK99" i="2"/>
  <c r="BK98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BK96" i="2"/>
  <c r="BK95" i="2"/>
  <c r="BK94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BK92" i="2"/>
  <c r="BK91" i="2"/>
  <c r="BK90" i="2"/>
  <c r="BK89" i="2"/>
  <c r="BK88" i="2"/>
  <c r="E88" i="1" s="1"/>
  <c r="BK87" i="2"/>
  <c r="BK86" i="2"/>
  <c r="BK85" i="2"/>
  <c r="BK84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BK82" i="2"/>
  <c r="BK81" i="2"/>
  <c r="BK80" i="2"/>
  <c r="BK79" i="2"/>
  <c r="BK78" i="2"/>
  <c r="BK77" i="2"/>
  <c r="BK76" i="2"/>
  <c r="BK75" i="2"/>
  <c r="E75" i="1" s="1"/>
  <c r="BK74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BK72" i="2"/>
  <c r="BK71" i="2"/>
  <c r="BK70" i="2"/>
  <c r="BK69" i="2"/>
  <c r="BK68" i="2"/>
  <c r="BK67" i="2"/>
  <c r="BK66" i="2"/>
  <c r="BK65" i="2"/>
  <c r="BK64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BK62" i="2"/>
  <c r="BK61" i="2"/>
  <c r="BK60" i="2"/>
  <c r="BK59" i="2"/>
  <c r="BK58" i="2"/>
  <c r="BK57" i="2"/>
  <c r="BK56" i="2"/>
  <c r="BK55" i="2"/>
  <c r="BK54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BK52" i="2"/>
  <c r="BK51" i="2"/>
  <c r="BK50" i="2"/>
  <c r="BK49" i="2"/>
  <c r="BK48" i="2"/>
  <c r="BK47" i="2"/>
  <c r="BK46" i="2"/>
  <c r="BK45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BK40" i="2"/>
  <c r="BK39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BK35" i="2"/>
  <c r="BK34" i="2"/>
  <c r="BK33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BJ28" i="2"/>
  <c r="BI28" i="2"/>
  <c r="BH28" i="2"/>
  <c r="BG28" i="2"/>
  <c r="BF28" i="2"/>
  <c r="BE28" i="2"/>
  <c r="BE30" i="2" s="1"/>
  <c r="BD28" i="2"/>
  <c r="BC28" i="2"/>
  <c r="BC30" i="2" s="1"/>
  <c r="BB28" i="2"/>
  <c r="BA28" i="2"/>
  <c r="AZ28" i="2"/>
  <c r="AY28" i="2"/>
  <c r="AX28" i="2"/>
  <c r="AW28" i="2"/>
  <c r="AV28" i="2"/>
  <c r="AV30" i="2" s="1"/>
  <c r="AU28" i="2"/>
  <c r="AT28" i="2"/>
  <c r="AS28" i="2"/>
  <c r="AR28" i="2"/>
  <c r="AQ28" i="2"/>
  <c r="AP28" i="2"/>
  <c r="AO28" i="2"/>
  <c r="AN28" i="2"/>
  <c r="AM28" i="2"/>
  <c r="AL28" i="2"/>
  <c r="AL30" i="2" s="1"/>
  <c r="AK28" i="2"/>
  <c r="AJ28" i="2"/>
  <c r="AJ30" i="2" s="1"/>
  <c r="AI28" i="2"/>
  <c r="AH28" i="2"/>
  <c r="AG28" i="2"/>
  <c r="AG30" i="2" s="1"/>
  <c r="AF28" i="2"/>
  <c r="AE28" i="2"/>
  <c r="AD28" i="2"/>
  <c r="AC28" i="2"/>
  <c r="AB28" i="2"/>
  <c r="AA28" i="2"/>
  <c r="AA30" i="2" s="1"/>
  <c r="Z28" i="2"/>
  <c r="Z30" i="2" s="1"/>
  <c r="Y28" i="2"/>
  <c r="Y30" i="2" s="1"/>
  <c r="X28" i="2"/>
  <c r="W28" i="2"/>
  <c r="V28" i="2"/>
  <c r="U28" i="2"/>
  <c r="U30" i="2" s="1"/>
  <c r="T28" i="2"/>
  <c r="S28" i="2"/>
  <c r="S30" i="2" s="1"/>
  <c r="R28" i="2"/>
  <c r="Q28" i="2"/>
  <c r="P28" i="2"/>
  <c r="O28" i="2"/>
  <c r="N28" i="2"/>
  <c r="M28" i="2"/>
  <c r="L28" i="2"/>
  <c r="L30" i="2" s="1"/>
  <c r="K28" i="2"/>
  <c r="K30" i="2" s="1"/>
  <c r="J28" i="2"/>
  <c r="I28" i="2"/>
  <c r="I30" i="2" s="1"/>
  <c r="H28" i="2"/>
  <c r="G28" i="2"/>
  <c r="G30" i="2" s="1"/>
  <c r="F28" i="2"/>
  <c r="E28" i="2"/>
  <c r="E30" i="2" s="1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BK26" i="2"/>
  <c r="BK25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BK23" i="2"/>
  <c r="BK22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BK20" i="2"/>
  <c r="BK19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BK15" i="2"/>
  <c r="BK14" i="2"/>
  <c r="E155" i="1"/>
  <c r="E162" i="1" l="1"/>
  <c r="BB126" i="4"/>
  <c r="E120" i="1"/>
  <c r="X190" i="4"/>
  <c r="X192" i="4" s="1"/>
  <c r="AV190" i="4"/>
  <c r="AV192" i="4" s="1"/>
  <c r="E95" i="1"/>
  <c r="E96" i="1"/>
  <c r="AL190" i="4"/>
  <c r="AL192" i="4" s="1"/>
  <c r="Z190" i="4"/>
  <c r="Z192" i="4" s="1"/>
  <c r="O190" i="4"/>
  <c r="O192" i="4" s="1"/>
  <c r="AA190" i="4"/>
  <c r="AA192" i="4" s="1"/>
  <c r="AM190" i="4"/>
  <c r="AM192" i="4" s="1"/>
  <c r="AY190" i="4"/>
  <c r="AY192" i="4" s="1"/>
  <c r="AB190" i="4"/>
  <c r="AB192" i="4" s="1"/>
  <c r="I190" i="4"/>
  <c r="I192" i="4" s="1"/>
  <c r="AG190" i="4"/>
  <c r="AG192" i="4" s="1"/>
  <c r="K190" i="4"/>
  <c r="K192" i="4" s="1"/>
  <c r="W190" i="4"/>
  <c r="W192" i="4" s="1"/>
  <c r="AU190" i="4"/>
  <c r="AU192" i="4" s="1"/>
  <c r="AS190" i="4"/>
  <c r="AS192" i="4" s="1"/>
  <c r="U190" i="4"/>
  <c r="U192" i="4" s="1"/>
  <c r="R190" i="4"/>
  <c r="R192" i="4" s="1"/>
  <c r="E45" i="1"/>
  <c r="AP190" i="4"/>
  <c r="AP192" i="4" s="1"/>
  <c r="BB41" i="4"/>
  <c r="P30" i="4"/>
  <c r="AB30" i="4"/>
  <c r="AN30" i="4"/>
  <c r="AZ30" i="4"/>
  <c r="AO30" i="4"/>
  <c r="Q30" i="4"/>
  <c r="BA30" i="4"/>
  <c r="E30" i="4"/>
  <c r="AC30" i="4"/>
  <c r="J30" i="4"/>
  <c r="V30" i="4"/>
  <c r="AH30" i="4"/>
  <c r="AT30" i="4"/>
  <c r="O30" i="4"/>
  <c r="AA30" i="4"/>
  <c r="AM30" i="4"/>
  <c r="AY30" i="4"/>
  <c r="K30" i="4"/>
  <c r="W30" i="4"/>
  <c r="AI30" i="4"/>
  <c r="AU30" i="4"/>
  <c r="H30" i="4"/>
  <c r="T30" i="4"/>
  <c r="AF30" i="4"/>
  <c r="AR30" i="4"/>
  <c r="M30" i="4"/>
  <c r="Y30" i="4"/>
  <c r="AK30" i="4"/>
  <c r="AW30" i="4"/>
  <c r="G30" i="4"/>
  <c r="S30" i="4"/>
  <c r="AE30" i="4"/>
  <c r="AQ30" i="4"/>
  <c r="E180" i="1"/>
  <c r="BC181" i="6"/>
  <c r="BC165" i="6"/>
  <c r="BC160" i="6"/>
  <c r="BC150" i="6"/>
  <c r="BC140" i="6"/>
  <c r="BC130" i="6"/>
  <c r="E122" i="1"/>
  <c r="E123" i="1"/>
  <c r="AF190" i="6"/>
  <c r="AF192" i="6" s="1"/>
  <c r="AN190" i="6"/>
  <c r="AN192" i="6" s="1"/>
  <c r="AP190" i="6"/>
  <c r="AP192" i="6" s="1"/>
  <c r="AH190" i="6"/>
  <c r="AH192" i="6" s="1"/>
  <c r="AD190" i="6"/>
  <c r="AD192" i="6" s="1"/>
  <c r="F190" i="6"/>
  <c r="F192" i="6" s="1"/>
  <c r="P190" i="6"/>
  <c r="P192" i="6" s="1"/>
  <c r="AZ190" i="6"/>
  <c r="AZ192" i="6" s="1"/>
  <c r="BB190" i="6"/>
  <c r="BB192" i="6" s="1"/>
  <c r="AX190" i="6"/>
  <c r="AX192" i="6" s="1"/>
  <c r="E59" i="1"/>
  <c r="AL190" i="6"/>
  <c r="AL192" i="6" s="1"/>
  <c r="AR190" i="6"/>
  <c r="AR192" i="6" s="1"/>
  <c r="E50" i="1"/>
  <c r="AT190" i="6"/>
  <c r="AT192" i="6" s="1"/>
  <c r="E62" i="1"/>
  <c r="AB190" i="6"/>
  <c r="AB192" i="6" s="1"/>
  <c r="V190" i="6"/>
  <c r="V192" i="6" s="1"/>
  <c r="Z190" i="6"/>
  <c r="Z192" i="6" s="1"/>
  <c r="O190" i="6"/>
  <c r="O192" i="6" s="1"/>
  <c r="R190" i="6"/>
  <c r="R192" i="6" s="1"/>
  <c r="J190" i="6"/>
  <c r="J192" i="6" s="1"/>
  <c r="N190" i="6"/>
  <c r="N192" i="6" s="1"/>
  <c r="S190" i="6"/>
  <c r="S192" i="6" s="1"/>
  <c r="H190" i="6"/>
  <c r="H192" i="6" s="1"/>
  <c r="AY30" i="6"/>
  <c r="AX30" i="6"/>
  <c r="AK30" i="6"/>
  <c r="AW30" i="6"/>
  <c r="AQ30" i="6"/>
  <c r="AT30" i="6"/>
  <c r="AS30" i="6"/>
  <c r="AM30" i="6"/>
  <c r="U30" i="6"/>
  <c r="AG30" i="6"/>
  <c r="T30" i="6"/>
  <c r="AF30" i="6"/>
  <c r="X30" i="6"/>
  <c r="V30" i="6"/>
  <c r="AH30" i="6"/>
  <c r="BC41" i="6"/>
  <c r="K30" i="6"/>
  <c r="O30" i="6"/>
  <c r="BC28" i="6"/>
  <c r="S30" i="6"/>
  <c r="BC29" i="6"/>
  <c r="J30" i="6"/>
  <c r="G30" i="6"/>
  <c r="I30" i="6"/>
  <c r="M30" i="6"/>
  <c r="E191" i="1"/>
  <c r="E177" i="1"/>
  <c r="BK165" i="2"/>
  <c r="E154" i="1"/>
  <c r="E153" i="1"/>
  <c r="BK160" i="2"/>
  <c r="E148" i="1"/>
  <c r="E139" i="1"/>
  <c r="E119" i="1"/>
  <c r="BK116" i="2"/>
  <c r="E121" i="1"/>
  <c r="E135" i="1"/>
  <c r="E136" i="1"/>
  <c r="BK111" i="2"/>
  <c r="E105" i="1"/>
  <c r="E107" i="1"/>
  <c r="E100" i="1"/>
  <c r="E85" i="1"/>
  <c r="E86" i="1"/>
  <c r="BK93" i="2"/>
  <c r="E81" i="1"/>
  <c r="BK83" i="2"/>
  <c r="E76" i="1"/>
  <c r="E78" i="1"/>
  <c r="BK73" i="2"/>
  <c r="E55" i="1"/>
  <c r="BK63" i="2"/>
  <c r="E52" i="1"/>
  <c r="BK53" i="2"/>
  <c r="BH30" i="2"/>
  <c r="AX30" i="2"/>
  <c r="BJ30" i="2"/>
  <c r="BI30" i="2"/>
  <c r="AY30" i="2"/>
  <c r="BF30" i="2"/>
  <c r="AK30" i="2"/>
  <c r="AW30" i="2"/>
  <c r="AS30" i="2"/>
  <c r="AM30" i="2"/>
  <c r="AT30" i="2"/>
  <c r="AQ30" i="2"/>
  <c r="W30" i="2"/>
  <c r="AE30" i="2"/>
  <c r="X30" i="2"/>
  <c r="V30" i="2"/>
  <c r="AH30" i="2"/>
  <c r="E35" i="1"/>
  <c r="N30" i="2"/>
  <c r="BK27" i="2"/>
  <c r="O30" i="2"/>
  <c r="BK24" i="2"/>
  <c r="J30" i="2"/>
  <c r="M30" i="2"/>
  <c r="BK16" i="2"/>
  <c r="E183" i="1"/>
  <c r="E184" i="1"/>
  <c r="E174" i="1"/>
  <c r="E179" i="1"/>
  <c r="E163" i="1"/>
  <c r="E165" i="1" s="1"/>
  <c r="E168" i="1"/>
  <c r="E169" i="1"/>
  <c r="BL165" i="3"/>
  <c r="E152" i="1"/>
  <c r="E159" i="1"/>
  <c r="BL160" i="3"/>
  <c r="E144" i="1"/>
  <c r="E146" i="1"/>
  <c r="E138" i="1"/>
  <c r="E133" i="1"/>
  <c r="E134" i="1"/>
  <c r="BL126" i="3"/>
  <c r="BL116" i="3"/>
  <c r="E113" i="1"/>
  <c r="E124" i="1"/>
  <c r="E114" i="1"/>
  <c r="E103" i="1"/>
  <c r="E106" i="1"/>
  <c r="E108" i="1"/>
  <c r="E99" i="1"/>
  <c r="BL101" i="3"/>
  <c r="BG190" i="3"/>
  <c r="BG192" i="3" s="1"/>
  <c r="AI190" i="3"/>
  <c r="AI192" i="3" s="1"/>
  <c r="AU190" i="3"/>
  <c r="AU192" i="3" s="1"/>
  <c r="E97" i="1"/>
  <c r="E90" i="1"/>
  <c r="E92" i="1"/>
  <c r="E80" i="1"/>
  <c r="E66" i="1"/>
  <c r="E72" i="1"/>
  <c r="E77" i="1"/>
  <c r="BL83" i="3"/>
  <c r="E69" i="1"/>
  <c r="E71" i="1"/>
  <c r="E65" i="1"/>
  <c r="E56" i="1"/>
  <c r="BK190" i="3"/>
  <c r="BK192" i="3" s="1"/>
  <c r="BE190" i="3"/>
  <c r="BE192" i="3" s="1"/>
  <c r="AX190" i="3"/>
  <c r="AX192" i="3" s="1"/>
  <c r="BJ190" i="3"/>
  <c r="BJ192" i="3" s="1"/>
  <c r="AM190" i="3"/>
  <c r="AM192" i="3" s="1"/>
  <c r="AQ190" i="3"/>
  <c r="AQ192" i="3" s="1"/>
  <c r="AS190" i="3"/>
  <c r="AS192" i="3" s="1"/>
  <c r="AL190" i="3"/>
  <c r="AL192" i="3" s="1"/>
  <c r="AE190" i="3"/>
  <c r="AE192" i="3" s="1"/>
  <c r="U190" i="3"/>
  <c r="U192" i="3" s="1"/>
  <c r="Z190" i="3"/>
  <c r="Z192" i="3" s="1"/>
  <c r="AG190" i="3"/>
  <c r="AG192" i="3" s="1"/>
  <c r="V190" i="3"/>
  <c r="V192" i="3" s="1"/>
  <c r="W190" i="3"/>
  <c r="W192" i="3" s="1"/>
  <c r="E58" i="1"/>
  <c r="O190" i="3"/>
  <c r="O192" i="3" s="1"/>
  <c r="BL53" i="3"/>
  <c r="E48" i="1"/>
  <c r="E49" i="1"/>
  <c r="G190" i="3"/>
  <c r="G192" i="3" s="1"/>
  <c r="I190" i="3"/>
  <c r="I192" i="3" s="1"/>
  <c r="N190" i="3"/>
  <c r="N192" i="3" s="1"/>
  <c r="K190" i="3"/>
  <c r="K192" i="3" s="1"/>
  <c r="AZ30" i="3"/>
  <c r="AY30" i="3"/>
  <c r="BK30" i="3"/>
  <c r="BE30" i="3"/>
  <c r="BC30" i="3"/>
  <c r="BB30" i="3"/>
  <c r="BG30" i="3"/>
  <c r="BH30" i="3"/>
  <c r="E39" i="1"/>
  <c r="E33" i="1"/>
  <c r="AS30" i="3"/>
  <c r="AJ30" i="3"/>
  <c r="AV30" i="3"/>
  <c r="AO30" i="3"/>
  <c r="AQ30" i="3"/>
  <c r="AT30" i="3"/>
  <c r="AP30" i="3"/>
  <c r="BL41" i="3"/>
  <c r="U30" i="3"/>
  <c r="AG30" i="3"/>
  <c r="Z30" i="3"/>
  <c r="T30" i="3"/>
  <c r="AF30" i="3"/>
  <c r="BL24" i="3"/>
  <c r="AH30" i="3"/>
  <c r="V30" i="3"/>
  <c r="AA30" i="3"/>
  <c r="W30" i="3"/>
  <c r="Y30" i="3"/>
  <c r="BL36" i="3"/>
  <c r="E34" i="1"/>
  <c r="K30" i="3"/>
  <c r="F30" i="3"/>
  <c r="R30" i="3"/>
  <c r="N30" i="3"/>
  <c r="M30" i="3"/>
  <c r="G30" i="3"/>
  <c r="L30" i="3"/>
  <c r="P30" i="3"/>
  <c r="S30" i="3"/>
  <c r="H30" i="3"/>
  <c r="E19" i="1"/>
  <c r="E14" i="1"/>
  <c r="E186" i="1"/>
  <c r="E175" i="1"/>
  <c r="E167" i="1"/>
  <c r="E156" i="1"/>
  <c r="BQ160" i="5"/>
  <c r="E157" i="1"/>
  <c r="E143" i="1"/>
  <c r="E137" i="1"/>
  <c r="E132" i="1"/>
  <c r="P190" i="5"/>
  <c r="P192" i="5" s="1"/>
  <c r="AZ190" i="5"/>
  <c r="AZ192" i="5" s="1"/>
  <c r="BL190" i="5"/>
  <c r="BL192" i="5" s="1"/>
  <c r="E118" i="1"/>
  <c r="E125" i="1"/>
  <c r="AN190" i="5"/>
  <c r="AN192" i="5" s="1"/>
  <c r="BQ101" i="5"/>
  <c r="AX190" i="5"/>
  <c r="AX192" i="5" s="1"/>
  <c r="AB190" i="5"/>
  <c r="AB192" i="5" s="1"/>
  <c r="BQ93" i="5"/>
  <c r="E89" i="1"/>
  <c r="BQ97" i="5"/>
  <c r="E79" i="1"/>
  <c r="AJ190" i="5"/>
  <c r="AJ192" i="5" s="1"/>
  <c r="AV190" i="5"/>
  <c r="AV192" i="5" s="1"/>
  <c r="AL190" i="5"/>
  <c r="AL192" i="5" s="1"/>
  <c r="E67" i="1"/>
  <c r="E82" i="1"/>
  <c r="BQ83" i="5"/>
  <c r="E68" i="1"/>
  <c r="BQ73" i="5"/>
  <c r="L190" i="5"/>
  <c r="L192" i="5" s="1"/>
  <c r="E70" i="1"/>
  <c r="BP190" i="5"/>
  <c r="BP192" i="5" s="1"/>
  <c r="E60" i="1"/>
  <c r="BO190" i="5"/>
  <c r="BO192" i="5" s="1"/>
  <c r="BF190" i="5"/>
  <c r="BF192" i="5" s="1"/>
  <c r="AR190" i="5"/>
  <c r="AR192" i="5" s="1"/>
  <c r="AT190" i="5"/>
  <c r="AT192" i="5" s="1"/>
  <c r="AQ190" i="5"/>
  <c r="AQ192" i="5" s="1"/>
  <c r="V190" i="5"/>
  <c r="V192" i="5" s="1"/>
  <c r="AH190" i="5"/>
  <c r="AH192" i="5" s="1"/>
  <c r="T190" i="5"/>
  <c r="T192" i="5" s="1"/>
  <c r="E47" i="1"/>
  <c r="E46" i="1"/>
  <c r="E57" i="1"/>
  <c r="J190" i="5"/>
  <c r="J192" i="5" s="1"/>
  <c r="S190" i="5"/>
  <c r="S192" i="5" s="1"/>
  <c r="N190" i="5"/>
  <c r="N192" i="5" s="1"/>
  <c r="BB30" i="5"/>
  <c r="AZ30" i="5"/>
  <c r="BG30" i="5"/>
  <c r="BH30" i="5"/>
  <c r="AX30" i="5"/>
  <c r="BJ30" i="5"/>
  <c r="AY30" i="5"/>
  <c r="BK30" i="5"/>
  <c r="AR30" i="5"/>
  <c r="AN30" i="5"/>
  <c r="AK30" i="5"/>
  <c r="AW30" i="5"/>
  <c r="AL30" i="5"/>
  <c r="AS30" i="5"/>
  <c r="AM30" i="5"/>
  <c r="AJ30" i="5"/>
  <c r="AV30" i="5"/>
  <c r="AO30" i="5"/>
  <c r="AP30" i="5"/>
  <c r="E15" i="1"/>
  <c r="E23" i="1"/>
  <c r="X30" i="5"/>
  <c r="Y30" i="5"/>
  <c r="AD30" i="5"/>
  <c r="AB30" i="5"/>
  <c r="T30" i="5"/>
  <c r="AF30" i="5"/>
  <c r="U30" i="5"/>
  <c r="AG30" i="5"/>
  <c r="E40" i="1"/>
  <c r="BQ36" i="5"/>
  <c r="E25" i="1"/>
  <c r="E26" i="1"/>
  <c r="F30" i="5"/>
  <c r="R30" i="5"/>
  <c r="BQ24" i="5"/>
  <c r="S30" i="5"/>
  <c r="H30" i="5"/>
  <c r="BQ29" i="5"/>
  <c r="E20" i="1"/>
  <c r="BQ21" i="5"/>
  <c r="Q30" i="5"/>
  <c r="P30" i="5"/>
  <c r="I30" i="5"/>
  <c r="L30" i="5"/>
  <c r="BK187" i="2"/>
  <c r="P190" i="4"/>
  <c r="P192" i="4" s="1"/>
  <c r="BK28" i="2"/>
  <c r="AN30" i="2"/>
  <c r="BF190" i="3"/>
  <c r="BF192" i="3" s="1"/>
  <c r="Q190" i="5"/>
  <c r="Q192" i="5" s="1"/>
  <c r="BM190" i="5"/>
  <c r="BM192" i="5" s="1"/>
  <c r="AO30" i="2"/>
  <c r="E149" i="1"/>
  <c r="E104" i="1"/>
  <c r="BL150" i="3"/>
  <c r="E190" i="3"/>
  <c r="AC190" i="3"/>
  <c r="AC192" i="3" s="1"/>
  <c r="BA190" i="3"/>
  <c r="BA192" i="3" s="1"/>
  <c r="BB24" i="4"/>
  <c r="AN190" i="4"/>
  <c r="AN192" i="4" s="1"/>
  <c r="BK181" i="2"/>
  <c r="AZ30" i="2"/>
  <c r="E109" i="1"/>
  <c r="J190" i="3"/>
  <c r="J192" i="3" s="1"/>
  <c r="AH190" i="3"/>
  <c r="AH192" i="3" s="1"/>
  <c r="E190" i="5"/>
  <c r="BQ187" i="5"/>
  <c r="AO190" i="5"/>
  <c r="AO192" i="5" s="1"/>
  <c r="BK29" i="2"/>
  <c r="AT190" i="3"/>
  <c r="AT192" i="3" s="1"/>
  <c r="BA190" i="5"/>
  <c r="BA192" i="5" s="1"/>
  <c r="BL181" i="3"/>
  <c r="AZ190" i="4"/>
  <c r="AZ192" i="4" s="1"/>
  <c r="E22" i="1"/>
  <c r="P30" i="2"/>
  <c r="AC190" i="5"/>
  <c r="AC192" i="5" s="1"/>
  <c r="AC30" i="2"/>
  <c r="H190" i="5"/>
  <c r="H192" i="5" s="1"/>
  <c r="BQ16" i="5"/>
  <c r="AB30" i="2"/>
  <c r="BA30" i="2"/>
  <c r="BK101" i="2"/>
  <c r="AO190" i="3"/>
  <c r="AO192" i="3" s="1"/>
  <c r="N190" i="4"/>
  <c r="N192" i="4" s="1"/>
  <c r="AX190" i="4"/>
  <c r="AX192" i="4" s="1"/>
  <c r="BB116" i="4"/>
  <c r="BB63" i="4"/>
  <c r="BB111" i="4"/>
  <c r="BB93" i="4"/>
  <c r="AI190" i="4"/>
  <c r="AI192" i="4" s="1"/>
  <c r="Q190" i="4"/>
  <c r="Q192" i="4" s="1"/>
  <c r="AG190" i="6"/>
  <c r="AG192" i="6" s="1"/>
  <c r="E115" i="1"/>
  <c r="BK150" i="2"/>
  <c r="BL21" i="3"/>
  <c r="N30" i="4"/>
  <c r="Z30" i="4"/>
  <c r="AL30" i="4"/>
  <c r="AX30" i="4"/>
  <c r="BC111" i="6"/>
  <c r="BQ111" i="5"/>
  <c r="F190" i="5"/>
  <c r="F192" i="5" s="1"/>
  <c r="E91" i="1"/>
  <c r="AS190" i="6"/>
  <c r="AS192" i="6" s="1"/>
  <c r="BB97" i="4"/>
  <c r="J190" i="4"/>
  <c r="J192" i="4" s="1"/>
  <c r="V190" i="4"/>
  <c r="V192" i="4" s="1"/>
  <c r="AH190" i="4"/>
  <c r="AH192" i="4" s="1"/>
  <c r="AT190" i="4"/>
  <c r="AT192" i="4" s="1"/>
  <c r="BQ27" i="5"/>
  <c r="BQ140" i="5"/>
  <c r="AF190" i="5"/>
  <c r="AF192" i="5" s="1"/>
  <c r="BD190" i="5"/>
  <c r="BD192" i="5" s="1"/>
  <c r="K190" i="5"/>
  <c r="K192" i="5" s="1"/>
  <c r="W190" i="5"/>
  <c r="W192" i="5" s="1"/>
  <c r="AI190" i="5"/>
  <c r="AI192" i="5" s="1"/>
  <c r="AU190" i="5"/>
  <c r="AU192" i="5" s="1"/>
  <c r="BG190" i="5"/>
  <c r="BG192" i="5" s="1"/>
  <c r="BC101" i="6"/>
  <c r="BC172" i="6"/>
  <c r="K190" i="6"/>
  <c r="K192" i="6" s="1"/>
  <c r="W190" i="6"/>
  <c r="W192" i="6" s="1"/>
  <c r="AI190" i="6"/>
  <c r="AI192" i="6" s="1"/>
  <c r="AU190" i="6"/>
  <c r="AU192" i="6" s="1"/>
  <c r="BN190" i="5"/>
  <c r="BN192" i="5" s="1"/>
  <c r="AD190" i="4"/>
  <c r="AD192" i="4" s="1"/>
  <c r="BQ53" i="5"/>
  <c r="G190" i="6"/>
  <c r="G192" i="6" s="1"/>
  <c r="R30" i="2"/>
  <c r="E190" i="2"/>
  <c r="BB83" i="4"/>
  <c r="I190" i="6"/>
  <c r="I192" i="6" s="1"/>
  <c r="U190" i="6"/>
  <c r="U192" i="6" s="1"/>
  <c r="BK97" i="2"/>
  <c r="BL28" i="3"/>
  <c r="E158" i="1"/>
  <c r="AA190" i="3"/>
  <c r="AA192" i="3" s="1"/>
  <c r="AY190" i="3"/>
  <c r="AY192" i="3" s="1"/>
  <c r="BL172" i="3"/>
  <c r="BL187" i="3"/>
  <c r="Q190" i="3"/>
  <c r="Q192" i="3" s="1"/>
  <c r="L190" i="4"/>
  <c r="L192" i="4" s="1"/>
  <c r="AJ190" i="4"/>
  <c r="AJ192" i="4" s="1"/>
  <c r="BC93" i="6"/>
  <c r="L190" i="6"/>
  <c r="L192" i="6" s="1"/>
  <c r="X190" i="6"/>
  <c r="X192" i="6" s="1"/>
  <c r="AJ190" i="6"/>
  <c r="AJ192" i="6" s="1"/>
  <c r="AV190" i="6"/>
  <c r="AV192" i="6" s="1"/>
  <c r="E190" i="4"/>
  <c r="BA190" i="4"/>
  <c r="BA192" i="4" s="1"/>
  <c r="R190" i="5"/>
  <c r="R192" i="5" s="1"/>
  <c r="AD190" i="5"/>
  <c r="AD192" i="5" s="1"/>
  <c r="Q30" i="2"/>
  <c r="BK36" i="2"/>
  <c r="BK41" i="2"/>
  <c r="BK126" i="2"/>
  <c r="G190" i="5"/>
  <c r="G192" i="5" s="1"/>
  <c r="BC190" i="5"/>
  <c r="BC192" i="5" s="1"/>
  <c r="AQ190" i="6"/>
  <c r="AQ192" i="6" s="1"/>
  <c r="F30" i="2"/>
  <c r="AP30" i="2"/>
  <c r="E51" i="1"/>
  <c r="E171" i="1"/>
  <c r="BL27" i="3"/>
  <c r="BL63" i="3"/>
  <c r="E145" i="1"/>
  <c r="F190" i="3"/>
  <c r="F192" i="3" s="1"/>
  <c r="R190" i="3"/>
  <c r="R192" i="3" s="1"/>
  <c r="AD190" i="3"/>
  <c r="AD192" i="3" s="1"/>
  <c r="AP190" i="3"/>
  <c r="AP192" i="3" s="1"/>
  <c r="BB190" i="3"/>
  <c r="BB192" i="3" s="1"/>
  <c r="BB27" i="4"/>
  <c r="E170" i="1"/>
  <c r="M190" i="5"/>
  <c r="M192" i="5" s="1"/>
  <c r="Y190" i="5"/>
  <c r="Y192" i="5" s="1"/>
  <c r="AK190" i="5"/>
  <c r="AK192" i="5" s="1"/>
  <c r="AW190" i="5"/>
  <c r="AW192" i="5" s="1"/>
  <c r="BI190" i="5"/>
  <c r="BI192" i="5" s="1"/>
  <c r="BC16" i="6"/>
  <c r="BC36" i="6"/>
  <c r="BC83" i="6"/>
  <c r="AO190" i="4"/>
  <c r="AO192" i="4" s="1"/>
  <c r="AP190" i="5"/>
  <c r="AP192" i="5" s="1"/>
  <c r="BK21" i="2"/>
  <c r="BB140" i="4"/>
  <c r="BB30" i="2"/>
  <c r="BL73" i="3"/>
  <c r="BL93" i="3"/>
  <c r="BL130" i="3"/>
  <c r="BL140" i="3"/>
  <c r="S190" i="3"/>
  <c r="S192" i="3" s="1"/>
  <c r="BC190" i="3"/>
  <c r="BC192" i="3" s="1"/>
  <c r="BB101" i="4"/>
  <c r="M190" i="4"/>
  <c r="M192" i="4" s="1"/>
  <c r="Y190" i="4"/>
  <c r="Y192" i="4" s="1"/>
  <c r="AK190" i="4"/>
  <c r="AK192" i="4" s="1"/>
  <c r="AW190" i="4"/>
  <c r="AW192" i="4" s="1"/>
  <c r="BQ116" i="5"/>
  <c r="Z190" i="5"/>
  <c r="Z192" i="5" s="1"/>
  <c r="BJ190" i="5"/>
  <c r="BJ192" i="5" s="1"/>
  <c r="BB150" i="4"/>
  <c r="AC190" i="4"/>
  <c r="AC192" i="4" s="1"/>
  <c r="BB190" i="5"/>
  <c r="BB192" i="5" s="1"/>
  <c r="E61" i="1"/>
  <c r="E185" i="1"/>
  <c r="F190" i="4"/>
  <c r="F192" i="4" s="1"/>
  <c r="BB187" i="4"/>
  <c r="BQ28" i="5"/>
  <c r="BQ41" i="5"/>
  <c r="AE190" i="5"/>
  <c r="AE192" i="5" s="1"/>
  <c r="BC24" i="6"/>
  <c r="AE190" i="6"/>
  <c r="AE192" i="6" s="1"/>
  <c r="AD30" i="2"/>
  <c r="BK130" i="2"/>
  <c r="T190" i="6"/>
  <c r="T192" i="6" s="1"/>
  <c r="E87" i="1"/>
  <c r="BK140" i="2"/>
  <c r="BL97" i="3"/>
  <c r="H190" i="3"/>
  <c r="H192" i="3" s="1"/>
  <c r="T190" i="3"/>
  <c r="T192" i="3" s="1"/>
  <c r="AF190" i="3"/>
  <c r="AF192" i="3" s="1"/>
  <c r="AR190" i="3"/>
  <c r="AR192" i="3" s="1"/>
  <c r="BD190" i="3"/>
  <c r="BD192" i="3" s="1"/>
  <c r="BB16" i="4"/>
  <c r="BB160" i="4"/>
  <c r="BB172" i="4"/>
  <c r="BQ126" i="5"/>
  <c r="X190" i="5"/>
  <c r="X192" i="5" s="1"/>
  <c r="BH190" i="5"/>
  <c r="BH192" i="5" s="1"/>
  <c r="O190" i="5"/>
  <c r="O192" i="5" s="1"/>
  <c r="AA190" i="5"/>
  <c r="AA192" i="5" s="1"/>
  <c r="AM190" i="5"/>
  <c r="AM192" i="5" s="1"/>
  <c r="AY190" i="5"/>
  <c r="AY192" i="5" s="1"/>
  <c r="BK190" i="5"/>
  <c r="BK192" i="5" s="1"/>
  <c r="BC21" i="6"/>
  <c r="AA190" i="6"/>
  <c r="AA192" i="6" s="1"/>
  <c r="L190" i="3"/>
  <c r="L192" i="3" s="1"/>
  <c r="X190" i="3"/>
  <c r="X192" i="3" s="1"/>
  <c r="AJ190" i="3"/>
  <c r="AJ192" i="3" s="1"/>
  <c r="AV190" i="3"/>
  <c r="AV192" i="3" s="1"/>
  <c r="BH190" i="3"/>
  <c r="BH192" i="3" s="1"/>
  <c r="BB165" i="4"/>
  <c r="G190" i="4"/>
  <c r="G192" i="4" s="1"/>
  <c r="S190" i="4"/>
  <c r="S192" i="4" s="1"/>
  <c r="AE190" i="4"/>
  <c r="AE192" i="4" s="1"/>
  <c r="AQ190" i="4"/>
  <c r="AQ192" i="4" s="1"/>
  <c r="BQ63" i="5"/>
  <c r="BQ172" i="5"/>
  <c r="BQ181" i="5"/>
  <c r="BC73" i="6"/>
  <c r="M190" i="6"/>
  <c r="M192" i="6" s="1"/>
  <c r="Y190" i="6"/>
  <c r="Y192" i="6" s="1"/>
  <c r="AK190" i="6"/>
  <c r="AK192" i="6" s="1"/>
  <c r="AW190" i="6"/>
  <c r="AW192" i="6" s="1"/>
  <c r="H30" i="2"/>
  <c r="T30" i="2"/>
  <c r="AF30" i="2"/>
  <c r="AR30" i="2"/>
  <c r="BD30" i="2"/>
  <c r="M190" i="3"/>
  <c r="M192" i="3" s="1"/>
  <c r="Y190" i="3"/>
  <c r="Y192" i="3" s="1"/>
  <c r="AK190" i="3"/>
  <c r="AK192" i="3" s="1"/>
  <c r="AW190" i="3"/>
  <c r="AW192" i="3" s="1"/>
  <c r="BI190" i="3"/>
  <c r="BI192" i="3" s="1"/>
  <c r="BB28" i="4"/>
  <c r="BB73" i="4"/>
  <c r="BB130" i="4"/>
  <c r="H190" i="4"/>
  <c r="H192" i="4" s="1"/>
  <c r="T190" i="4"/>
  <c r="T192" i="4" s="1"/>
  <c r="AF190" i="4"/>
  <c r="AF192" i="4" s="1"/>
  <c r="AR190" i="4"/>
  <c r="AR192" i="4" s="1"/>
  <c r="I190" i="5"/>
  <c r="I192" i="5" s="1"/>
  <c r="U190" i="5"/>
  <c r="U192" i="5" s="1"/>
  <c r="AG190" i="5"/>
  <c r="AG192" i="5" s="1"/>
  <c r="AS190" i="5"/>
  <c r="AS192" i="5" s="1"/>
  <c r="BE190" i="5"/>
  <c r="BE192" i="5" s="1"/>
  <c r="N30" i="6"/>
  <c r="Z30" i="6"/>
  <c r="AL30" i="6"/>
  <c r="BC63" i="6"/>
  <c r="BC126" i="6"/>
  <c r="BK172" i="2"/>
  <c r="BL16" i="3"/>
  <c r="BB29" i="4"/>
  <c r="BQ130" i="5"/>
  <c r="BQ165" i="5"/>
  <c r="BC27" i="6"/>
  <c r="BC53" i="6"/>
  <c r="BC116" i="6"/>
  <c r="AM190" i="6"/>
  <c r="AM192" i="6" s="1"/>
  <c r="AY190" i="6"/>
  <c r="AY192" i="6" s="1"/>
  <c r="P30" i="6"/>
  <c r="AB30" i="6"/>
  <c r="AN30" i="6"/>
  <c r="AZ30" i="6"/>
  <c r="AI30" i="2"/>
  <c r="AU30" i="2"/>
  <c r="BG30" i="2"/>
  <c r="BL29" i="3"/>
  <c r="BL111" i="3"/>
  <c r="P190" i="3"/>
  <c r="P192" i="3" s="1"/>
  <c r="AB190" i="3"/>
  <c r="AB192" i="3" s="1"/>
  <c r="AN190" i="3"/>
  <c r="AN192" i="3" s="1"/>
  <c r="AZ190" i="3"/>
  <c r="AZ192" i="3" s="1"/>
  <c r="BB21" i="4"/>
  <c r="BB36" i="4"/>
  <c r="BB53" i="4"/>
  <c r="BB181" i="4"/>
  <c r="J30" i="5"/>
  <c r="V30" i="5"/>
  <c r="AH30" i="5"/>
  <c r="AT30" i="5"/>
  <c r="BF30" i="5"/>
  <c r="BQ150" i="5"/>
  <c r="E190" i="6"/>
  <c r="Q190" i="6"/>
  <c r="Q192" i="6" s="1"/>
  <c r="AC190" i="6"/>
  <c r="AC192" i="6" s="1"/>
  <c r="AO190" i="6"/>
  <c r="AO192" i="6" s="1"/>
  <c r="BA190" i="6"/>
  <c r="BA192" i="6" s="1"/>
  <c r="BC187" i="6"/>
  <c r="BB30" i="4" l="1"/>
  <c r="E101" i="1"/>
  <c r="BC30" i="6"/>
  <c r="E181" i="1"/>
  <c r="E140" i="1"/>
  <c r="E116" i="1"/>
  <c r="BK30" i="2"/>
  <c r="E187" i="1"/>
  <c r="E172" i="1"/>
  <c r="E160" i="1"/>
  <c r="E126" i="1"/>
  <c r="E73" i="1"/>
  <c r="E83" i="1"/>
  <c r="E41" i="1"/>
  <c r="E36" i="1"/>
  <c r="E16" i="1"/>
  <c r="BL30" i="3"/>
  <c r="E150" i="1"/>
  <c r="E111" i="1"/>
  <c r="E93" i="1"/>
  <c r="E63" i="1"/>
  <c r="E53" i="1"/>
  <c r="E24" i="1"/>
  <c r="E29" i="1"/>
  <c r="E21" i="1"/>
  <c r="E27" i="1"/>
  <c r="E28" i="1"/>
  <c r="BQ30" i="5"/>
  <c r="E192" i="4"/>
  <c r="BB192" i="4" s="1"/>
  <c r="BB190" i="4"/>
  <c r="E192" i="2"/>
  <c r="E192" i="3"/>
  <c r="BL192" i="3" s="1"/>
  <c r="BL190" i="3"/>
  <c r="E192" i="5"/>
  <c r="BQ192" i="5" s="1"/>
  <c r="BQ190" i="5"/>
  <c r="E192" i="6"/>
  <c r="BC192" i="6" s="1"/>
  <c r="BC190" i="6"/>
  <c r="E30" i="1" l="1"/>
  <c r="E190" i="1"/>
  <c r="E192" i="1" s="1"/>
</calcChain>
</file>

<file path=xl/sharedStrings.xml><?xml version="1.0" encoding="utf-8"?>
<sst xmlns="http://schemas.openxmlformats.org/spreadsheetml/2006/main" count="1832" uniqueCount="239">
  <si>
    <t>Kecamatan</t>
  </si>
  <si>
    <t>GENTENG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</si>
  <si>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</si>
  <si>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</si>
  <si>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</si>
  <si>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</si>
  <si>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</si>
  <si>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</si>
  <si>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</si>
  <si>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</si>
  <si>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</si>
  <si>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</si>
  <si>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</si>
  <si>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</si>
  <si>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</si>
  <si>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</si>
  <si>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</si>
  <si>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</si>
  <si>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</si>
  <si>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</si>
  <si>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</si>
  <si>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</si>
  <si>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</si>
  <si>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</si>
  <si>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</si>
  <si>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</si>
  <si>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</si>
  <si>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</si>
  <si>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</si>
  <si>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</si>
  <si>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</si>
  <si>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</si>
  <si>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</si>
  <si>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</si>
  <si>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</si>
  <si>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</si>
  <si>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</si>
  <si>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</si>
  <si>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</si>
  <si>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</si>
  <si>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H. KHUSNAN, S.Ag., M.Pd.I.</t>
  </si>
  <si>
    <t>2. MARA QONITHA LAYLIA</t>
  </si>
  <si>
    <t>3. ZAKI AL MUBAROK, M.Si.</t>
  </si>
  <si>
    <t>4. INAYATUL MAHMUDAH, S.Pd.</t>
  </si>
  <si>
    <t>5. HABIBURRAHMAN AL KHOLILI</t>
  </si>
  <si>
    <t>6. INDIARTI NOVIDA, A.Md.</t>
  </si>
  <si>
    <t>7. RUDI DARMAWAN, S.Pd.I.</t>
  </si>
  <si>
    <t>JUMLAH SUARA SAH PARTAI POLITIK DAN CALON (A1 + A2)</t>
  </si>
  <si>
    <t>Partai Gerakan Indonesia Raya</t>
  </si>
  <si>
    <t>1. ABDUL GHOFUR</t>
  </si>
  <si>
    <t>2. Drs. MOCHAMMAD RIFA'I, M.Pd.</t>
  </si>
  <si>
    <t>3. SITI BADRIYAH</t>
  </si>
  <si>
    <t>4. FARUQ</t>
  </si>
  <si>
    <t>5. H. HARIYANTO HARI WIJAYA, S.T.</t>
  </si>
  <si>
    <t>6. SRI ASTUTIK</t>
  </si>
  <si>
    <t>7. MUSTOLIH</t>
  </si>
  <si>
    <t>Partai Demokrasi Indonesia Perjuangan</t>
  </si>
  <si>
    <t>1. FICKY SEPTALINDA, S.E.</t>
  </si>
  <si>
    <t>2. TATANG SUROYO</t>
  </si>
  <si>
    <t>3. SITI JAMI`AH</t>
  </si>
  <si>
    <t>4. ADNAN</t>
  </si>
  <si>
    <t>5. RINA WIJAYANTI</t>
  </si>
  <si>
    <t>6. RIAS DEMILYA</t>
  </si>
  <si>
    <t>7. EKO PRIYONO, S.E.</t>
  </si>
  <si>
    <t>Partai Golongan Karya</t>
  </si>
  <si>
    <t>1. RULIYONO, S.H.</t>
  </si>
  <si>
    <t>2. FAHIRA HUMAIROH</t>
  </si>
  <si>
    <t>3. T. AFNANY AKBAR, S.E.</t>
  </si>
  <si>
    <t>4. MUHAMAD SUBUR</t>
  </si>
  <si>
    <t>5. NYOTO PRAYITNO, S.E.</t>
  </si>
  <si>
    <t>6. UMI LIANA EKAYANTI</t>
  </si>
  <si>
    <t>7. TARMUJI</t>
  </si>
  <si>
    <t>5.</t>
  </si>
  <si>
    <t>Partai NasDem</t>
  </si>
  <si>
    <t>1. SUNGKOWO SARWO EDY, S.H.</t>
  </si>
  <si>
    <t>2. GUNAWAN SATRIA PRATAMA</t>
  </si>
  <si>
    <t>3. Hj. ULFA LAILA, S.E.</t>
  </si>
  <si>
    <t>4. H. KURDI ISMAIL, S.H.</t>
  </si>
  <si>
    <t>5. FEBRY PRIMA SANJAYA</t>
  </si>
  <si>
    <t>6. TRI SETYANINGSIH</t>
  </si>
  <si>
    <t>7. ABDUL MUKSIN, S.Sos</t>
  </si>
  <si>
    <t>6.</t>
  </si>
  <si>
    <t>Partai Buruh</t>
  </si>
  <si>
    <t>1. KHOIRUL ANWARI ARIF</t>
  </si>
  <si>
    <t>7.</t>
  </si>
  <si>
    <t>Partai Gelombang Rakyat Indonesia</t>
  </si>
  <si>
    <t>1. WASIS</t>
  </si>
  <si>
    <t>8.</t>
  </si>
  <si>
    <t>Partai Keadilan Sejahtera</t>
  </si>
  <si>
    <t>1. SRI WAHYUNI, S.Si.</t>
  </si>
  <si>
    <t>2. AHMAD FAISAL RIZAL</t>
  </si>
  <si>
    <t>3. SYAIFUL LATIF, S.P.</t>
  </si>
  <si>
    <t>4. WAWAN PRISTIAWAN, S.Pd.</t>
  </si>
  <si>
    <t>5. FONI AGUSTIN, S.E.</t>
  </si>
  <si>
    <t>6. ST. ROFIAH</t>
  </si>
  <si>
    <t>7. SAPTO LASONGKO, S.S.</t>
  </si>
  <si>
    <t>9.</t>
  </si>
  <si>
    <t>Partai Kebangkitan Nusantara</t>
  </si>
  <si>
    <t>1. Drs. SUGENG HARIYADI, M.M.</t>
  </si>
  <si>
    <t>2. DENI SEPTI RAHAYU</t>
  </si>
  <si>
    <t>10.</t>
  </si>
  <si>
    <t>Partai Hati Nurani Rakyat</t>
  </si>
  <si>
    <t>1. H. ABDUL ARIFIN, S.E.</t>
  </si>
  <si>
    <t>2. H. HELMI SUHARTONO, S.E.</t>
  </si>
  <si>
    <t>3. SILVI MAULIDA, S.H.</t>
  </si>
  <si>
    <t>4. RIFQI HISYAM</t>
  </si>
  <si>
    <t>5. ISMI LATIFAH</t>
  </si>
  <si>
    <t>6. H. BAYU BIMANTARA</t>
  </si>
  <si>
    <t>7. PUTRI STEVIA GESTIANAN, S.Sos.</t>
  </si>
  <si>
    <t>11.</t>
  </si>
  <si>
    <t>Partai Garda Republik Indonesia</t>
  </si>
  <si>
    <t>12.</t>
  </si>
  <si>
    <t>Partai Amanat Nasional</t>
  </si>
  <si>
    <t>1. MUKSON FADILAH, S.E.</t>
  </si>
  <si>
    <t>2. ASIB, S.H., M.H.</t>
  </si>
  <si>
    <t>3. KARAMISAPAN PRAMITHA HIDAYAT</t>
  </si>
  <si>
    <t>4. YANU KARYADI, S.Pd.</t>
  </si>
  <si>
    <t>5. IDA WAHYUNI NURLATIFA</t>
  </si>
  <si>
    <t>6. ARIS UMAMI</t>
  </si>
  <si>
    <t>7. DIAN KUMBARA JAYA</t>
  </si>
  <si>
    <t>13.</t>
  </si>
  <si>
    <t>Partai Bulan Bintang</t>
  </si>
  <si>
    <t>1. MAULIDIL AKBAR</t>
  </si>
  <si>
    <t>2. MUHAMMAD FURQON</t>
  </si>
  <si>
    <t>3. RISQA AULIA SEPTIANA</t>
  </si>
  <si>
    <t>4. BUDI PURNOMO</t>
  </si>
  <si>
    <t>5. VITA ARIESTINA PUSPARINI</t>
  </si>
  <si>
    <t>6. DEA EVIONES PUSPITA LESTARI</t>
  </si>
  <si>
    <t>7. QURROTA A'YUNIN</t>
  </si>
  <si>
    <t>14.</t>
  </si>
  <si>
    <t>Partai Demokrat</t>
  </si>
  <si>
    <t>1. FADHAN NUR ARIFIN, S.M.</t>
  </si>
  <si>
    <t>2. MOHAMMAD TAUFAN</t>
  </si>
  <si>
    <t>3. KANZA FITRIA</t>
  </si>
  <si>
    <t>4. ENGGAR AYUNI</t>
  </si>
  <si>
    <t>5. MOH. MIQDAD BARLAMAN</t>
  </si>
  <si>
    <t>6. NIAROTUL MUHAROMAH</t>
  </si>
  <si>
    <t>7. NUFAN CHARIS BAHARUDDIN</t>
  </si>
  <si>
    <t>15.</t>
  </si>
  <si>
    <t>Partai Solidaritas Indonesia</t>
  </si>
  <si>
    <t>1. FIRMAN ABADI</t>
  </si>
  <si>
    <t>2. INDASYAH</t>
  </si>
  <si>
    <t>16.</t>
  </si>
  <si>
    <t>PARTAI PERINDO</t>
  </si>
  <si>
    <t>1. AULIA FANISHA</t>
  </si>
  <si>
    <t>2. ABDUL AZIS</t>
  </si>
  <si>
    <t>3. ALDIYAN GISTORO</t>
  </si>
  <si>
    <t>4. ULIL ABSHAR, S.Pd.I., M.Pd.I.</t>
  </si>
  <si>
    <t>17.</t>
  </si>
  <si>
    <t>Partai Persatuan Pembangunan</t>
  </si>
  <si>
    <t>1. MOHAMMAD TANZILUL FURQAN</t>
  </si>
  <si>
    <t>2. SULISTYANI</t>
  </si>
  <si>
    <t>3. MUSLIH</t>
  </si>
  <si>
    <t>4. HASAN BISRI</t>
  </si>
  <si>
    <t>5. SHINTA MARLIANA PASULU</t>
  </si>
  <si>
    <t>6. HARYONO</t>
  </si>
  <si>
    <t>18.</t>
  </si>
  <si>
    <t>Partai Ummat</t>
  </si>
  <si>
    <t>1. IKHSAN WAHYUDI</t>
  </si>
  <si>
    <t>2. SAYEM</t>
  </si>
  <si>
    <t>3. SYAIROFI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</si>
  <si>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</si>
  <si>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</si>
  <si>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</si>
  <si>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</si>
  <si>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</si>
  <si>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</si>
  <si>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</si>
  <si>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</si>
  <si>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</si>
  <si>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GENTENG KULON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</si>
  <si>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</si>
  <si>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</si>
  <si>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</si>
  <si>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</si>
  <si>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</si>
  <si>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</si>
  <si>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</si>
  <si>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</si>
  <si>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</si>
  <si>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</si>
  <si>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</si>
  <si>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</si>
  <si>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</si>
  <si>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</si>
  <si>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</si>
  <si>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</si>
  <si>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</si>
  <si>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</si>
  <si>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</si>
  <si>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</si>
  <si>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</si>
  <si>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</si>
  <si>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</si>
  <si>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</si>
  <si>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</si>
  <si>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</si>
  <si>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</si>
  <si>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</si>
  <si>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</si>
  <si>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</si>
  <si>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</si>
  <si>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</si>
  <si>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</si>
  <si>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</si>
  <si>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</si>
  <si>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</si>
  <si>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</si>
  <si>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</si>
  <si>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</si>
  <si>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</si>
  <si>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</si>
  <si>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</si>
  <si>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</si>
  <si>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</si>
  <si>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</si>
  <si>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</si>
  <si>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</si>
  <si>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</si>
  <si>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</si>
  <si>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</si>
  <si>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</si>
  <si>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</si>
  <si>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</si>
  <si>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</si>
  <si>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</si>
  <si>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</si>
  <si>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</si>
  <si>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</si>
  <si>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GENTENG WETAN</t>
  </si>
  <si>
    <t>TPS 059</t>
  </si>
  <si>
    <t>KALIGONDO</t>
  </si>
  <si>
    <t>KEMBIRITAN</t>
  </si>
  <si>
    <t>TPS 060</t>
  </si>
  <si>
    <t>TPS 061</t>
  </si>
  <si>
    <t>TPS 062</t>
  </si>
  <si>
    <t>TPS 063</t>
  </si>
  <si>
    <t>TPS 064</t>
  </si>
  <si>
    <t>SETAIL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</si>
</sst>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Calibri"/>
      <scheme val="minor"/>
    </font>
    <font>
      <b/>
      <sz val="10"/>
      <color theme="1"/>
      <name val="Bookman Old Style"/>
    </font>
    <font>
      <sz val="10"/>
      <color theme="1"/>
      <name val="Arial"/>
    </font>
    <font>
      <sz val="10"/>
      <color theme="1"/>
      <name val="Bookman Old Style"/>
    </font>
    <font>
      <sz val="10"/>
      <color rgb="FF000000"/>
      <name val="Bookman Old Style"/>
    </font>
    <font>
      <sz val="10"/>
      <name val="Calibri"/>
    </font>
    <font>
      <b/>
      <sz val="10"/>
      <color rgb="FF000000"/>
      <name val="Bookman Old Style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3" fontId="1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3" fontId="2" fillId="0" borderId="0" xfId="0" applyNumberFormat="1" applyFont="1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3" fontId="2" fillId="2" borderId="17" xfId="0" applyNumberFormat="1" applyFont="1" applyFill="1" applyBorder="1"/>
    <xf numFmtId="0" fontId="2" fillId="2" borderId="17" xfId="0" applyFont="1" applyFill="1" applyBorder="1"/>
    <xf numFmtId="0" fontId="1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2" fillId="0" borderId="15" xfId="0" applyFont="1" applyBorder="1"/>
    <xf numFmtId="0" fontId="2" fillId="0" borderId="4" xfId="0" applyFont="1" applyBorder="1"/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/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5" fillId="0" borderId="15" xfId="0" applyFont="1" applyBorder="1"/>
    <xf numFmtId="0" fontId="5" fillId="0" borderId="10" xfId="0" applyFont="1" applyBorder="1"/>
    <xf numFmtId="0" fontId="1" fillId="0" borderId="5" xfId="0" applyFont="1" applyBorder="1" applyAlignment="1">
      <alignment horizontal="center" vertical="center" wrapText="1"/>
    </xf>
    <xf numFmtId="0" fontId="5" fillId="0" borderId="7" xfId="0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8" xfId="0" applyFont="1" applyBorder="1"/>
    <xf numFmtId="0" fontId="5" fillId="0" borderId="6" xfId="0" applyFont="1" applyBorder="1"/>
    <xf numFmtId="0" fontId="5" fillId="0" borderId="9" xfId="0" applyFont="1" applyBorder="1"/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5" fillId="0" borderId="12" xfId="0" applyFont="1" applyBorder="1"/>
    <xf numFmtId="0" fontId="5" fillId="0" borderId="13" xfId="0" applyFont="1" applyBorder="1"/>
    <xf numFmtId="0" fontId="3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center" wrapText="1"/>
    </xf>
    <xf numFmtId="0" fontId="0" fillId="0" borderId="0" xfId="0"/>
    <xf numFmtId="0" fontId="5" fillId="0" borderId="14" xfId="0" applyFont="1" applyBorder="1"/>
    <xf numFmtId="0" fontId="1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wrapText="1"/>
    </xf>
  </cellXfs>
  <cellStyles count="1">
    <cellStyle name="Normal" xfId="0" builtinId="0"/>
  </cellStyles>
  <dxfs count="15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5:Z1000"/>
  <sheetViews>
    <sheetView workbookViewId="0"/>
  </sheetViews>
  <sheetFormatPr defaultColWidth="14.3984375" defaultRowHeight="15" customHeight="1" x14ac:dyDescent="0.3"/>
  <cols>
    <col min="1" max="1" width="3.59765625" customWidth="1"/>
    <col min="2" max="2" width="4" customWidth="1"/>
    <col min="3" max="3" width="64.59765625" customWidth="1"/>
    <col min="4" max="4" width="6.59765625" customWidth="1"/>
    <col min="5" max="5" width="18.8984375" customWidth="1"/>
    <col min="6" max="7" width="10.09765625" customWidth="1"/>
    <col min="8" max="16" width="10.09765625" hidden="1" customWidth="1"/>
    <col min="17" max="25" width="8.69921875" hidden="1" customWidth="1"/>
    <col min="26" max="26" width="8.69921875" customWidth="1"/>
  </cols>
  <sheetData>
    <row r="5" spans="1:26" ht="15.75" customHeight="1" x14ac:dyDescent="0.3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3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3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3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13" t="s">
        <v>6</v>
      </c>
      <c r="B12" s="49" t="s">
        <v>7</v>
      </c>
      <c r="C12" s="46"/>
      <c r="D12" s="47"/>
      <c r="E12" s="54" t="s">
        <v>8</v>
      </c>
      <c r="F12" s="14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">
      <c r="A13" s="15" t="s">
        <v>9</v>
      </c>
      <c r="B13" s="56" t="s">
        <v>10</v>
      </c>
      <c r="C13" s="46"/>
      <c r="D13" s="47"/>
      <c r="E13" s="55"/>
      <c r="F13" s="14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">
      <c r="A14" s="14"/>
      <c r="B14" s="57" t="s">
        <v>11</v>
      </c>
      <c r="C14" s="58"/>
      <c r="D14" s="15" t="s">
        <v>12</v>
      </c>
      <c r="E14" s="16">
        <f>'GENTENG KULON'!BK14+'GENTENG WETAN'!BL14+KALIGONDO!BB14+KEMBIRITAN!BQ14+SETAIL!BC14</f>
        <v>36085</v>
      </c>
      <c r="F14" s="17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3">
      <c r="A15" s="14"/>
      <c r="B15" s="59"/>
      <c r="C15" s="60"/>
      <c r="D15" s="15" t="s">
        <v>13</v>
      </c>
      <c r="E15" s="16">
        <f>'GENTENG KULON'!BK15+'GENTENG WETAN'!BL15+KALIGONDO!BB15+KEMBIRITAN!BQ15+SETAIL!BC15</f>
        <v>36168</v>
      </c>
      <c r="F15" s="14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">
      <c r="A16" s="17"/>
      <c r="B16" s="55"/>
      <c r="C16" s="53"/>
      <c r="D16" s="13" t="s">
        <v>14</v>
      </c>
      <c r="E16" s="18">
        <f>SUM(E14:E15)</f>
        <v>72253</v>
      </c>
      <c r="F16" s="14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">
      <c r="A17" s="61"/>
      <c r="B17" s="46"/>
      <c r="C17" s="46"/>
      <c r="D17" s="47"/>
      <c r="E17" s="16"/>
      <c r="F17" s="17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3">
      <c r="A18" s="19" t="s">
        <v>15</v>
      </c>
      <c r="B18" s="56" t="s">
        <v>16</v>
      </c>
      <c r="C18" s="46"/>
      <c r="D18" s="47"/>
      <c r="E18" s="16"/>
      <c r="F18" s="14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">
      <c r="A19" s="19"/>
      <c r="B19" s="65" t="s">
        <v>17</v>
      </c>
      <c r="C19" s="62" t="s">
        <v>18</v>
      </c>
      <c r="D19" s="15" t="s">
        <v>12</v>
      </c>
      <c r="E19" s="16">
        <f>'GENTENG KULON'!BK19+'GENTENG WETAN'!BL19+KALIGONDO!BB19+KEMBIRITAN!BQ19+SETAIL!BC19</f>
        <v>26160</v>
      </c>
      <c r="F19" s="14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">
      <c r="A20" s="20"/>
      <c r="B20" s="60"/>
      <c r="C20" s="63"/>
      <c r="D20" s="15" t="s">
        <v>13</v>
      </c>
      <c r="E20" s="16">
        <f>'GENTENG KULON'!BK20+'GENTENG WETAN'!BL20+KALIGONDO!BB20+KEMBIRITAN!BQ20+SETAIL!BC20</f>
        <v>28216</v>
      </c>
      <c r="F20" s="17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21"/>
      <c r="B21" s="53"/>
      <c r="C21" s="64"/>
      <c r="D21" s="13" t="s">
        <v>14</v>
      </c>
      <c r="E21" s="18">
        <f>SUM(E19:E20)</f>
        <v>54376</v>
      </c>
      <c r="F21" s="17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20"/>
      <c r="B22" s="65" t="s">
        <v>19</v>
      </c>
      <c r="C22" s="62" t="s">
        <v>20</v>
      </c>
      <c r="D22" s="15" t="s">
        <v>12</v>
      </c>
      <c r="E22" s="16">
        <f>'GENTENG KULON'!BK22+'GENTENG WETAN'!BL22+KALIGONDO!BB22+KEMBIRITAN!BQ22+SETAIL!BC22</f>
        <v>68</v>
      </c>
      <c r="F22" s="17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20"/>
      <c r="B23" s="60"/>
      <c r="C23" s="63"/>
      <c r="D23" s="15" t="s">
        <v>13</v>
      </c>
      <c r="E23" s="16">
        <f>'GENTENG KULON'!BK23+'GENTENG WETAN'!BL23+KALIGONDO!BB23+KEMBIRITAN!BQ23+SETAIL!BC23</f>
        <v>68</v>
      </c>
      <c r="F23" s="17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21"/>
      <c r="B24" s="53"/>
      <c r="C24" s="64"/>
      <c r="D24" s="13" t="s">
        <v>14</v>
      </c>
      <c r="E24" s="18">
        <f>SUM(E22:E23)</f>
        <v>136</v>
      </c>
      <c r="F24" s="14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20"/>
      <c r="B25" s="65" t="s">
        <v>21</v>
      </c>
      <c r="C25" s="62" t="s">
        <v>22</v>
      </c>
      <c r="D25" s="15" t="s">
        <v>12</v>
      </c>
      <c r="E25" s="16">
        <f>'GENTENG KULON'!BK25+'GENTENG WETAN'!BL25+KALIGONDO!BB25+KEMBIRITAN!BQ25+SETAIL!BC25</f>
        <v>281</v>
      </c>
      <c r="F25" s="17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20"/>
      <c r="B26" s="60"/>
      <c r="C26" s="63"/>
      <c r="D26" s="15" t="s">
        <v>13</v>
      </c>
      <c r="E26" s="16">
        <f>'GENTENG KULON'!BK26+'GENTENG WETAN'!BL26+KALIGONDO!BB26+KEMBIRITAN!BQ26+SETAIL!BC26</f>
        <v>393</v>
      </c>
      <c r="F26" s="14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21"/>
      <c r="B27" s="53"/>
      <c r="C27" s="64"/>
      <c r="D27" s="13" t="s">
        <v>14</v>
      </c>
      <c r="E27" s="18">
        <f>SUM(E25:E26)</f>
        <v>674</v>
      </c>
      <c r="F27" s="17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21"/>
      <c r="B28" s="66" t="s">
        <v>23</v>
      </c>
      <c r="C28" s="67" t="s">
        <v>24</v>
      </c>
      <c r="D28" s="13" t="s">
        <v>12</v>
      </c>
      <c r="E28" s="18">
        <f t="shared" ref="E28:E29" si="0">E19+E22+E25</f>
        <v>26509</v>
      </c>
      <c r="F28" s="14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21"/>
      <c r="B29" s="60"/>
      <c r="C29" s="63"/>
      <c r="D29" s="13" t="s">
        <v>13</v>
      </c>
      <c r="E29" s="18">
        <f t="shared" si="0"/>
        <v>28677</v>
      </c>
      <c r="F29" s="17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21"/>
      <c r="B30" s="53"/>
      <c r="C30" s="64"/>
      <c r="D30" s="13" t="s">
        <v>14</v>
      </c>
      <c r="E30" s="18">
        <f>SUM(E28:E29)</f>
        <v>55186</v>
      </c>
      <c r="F30" s="22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61"/>
      <c r="B31" s="46"/>
      <c r="C31" s="46"/>
      <c r="D31" s="47"/>
      <c r="E31" s="23"/>
      <c r="F31" s="17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24" t="s">
        <v>25</v>
      </c>
      <c r="B32" s="49" t="s">
        <v>26</v>
      </c>
      <c r="C32" s="46"/>
      <c r="D32" s="47"/>
      <c r="E32" s="18"/>
      <c r="F32" s="14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15">
        <v>1</v>
      </c>
      <c r="B33" s="56" t="s">
        <v>27</v>
      </c>
      <c r="C33" s="46"/>
      <c r="D33" s="47"/>
      <c r="E33" s="16">
        <f>'GENTENG KULON'!BK33+'GENTENG WETAN'!BL33+KALIGONDO!BB33+KEMBIRITAN!BQ33+SETAIL!BC33</f>
        <v>73795</v>
      </c>
      <c r="F33" s="14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15">
        <v>2</v>
      </c>
      <c r="B34" s="56" t="s">
        <v>28</v>
      </c>
      <c r="C34" s="46"/>
      <c r="D34" s="47"/>
      <c r="E34" s="16">
        <f>'GENTENG KULON'!BK34+'GENTENG WETAN'!BL34+KALIGONDO!BB34+KEMBIRITAN!BQ34+SETAIL!BC34</f>
        <v>55188</v>
      </c>
      <c r="F34" s="17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15">
        <v>3</v>
      </c>
      <c r="B35" s="56" t="s">
        <v>29</v>
      </c>
      <c r="C35" s="46"/>
      <c r="D35" s="47"/>
      <c r="E35" s="16">
        <f>'GENTENG KULON'!BK35+'GENTENG WETAN'!BL35+KALIGONDO!BB35+KEMBIRITAN!BQ35+SETAIL!BC35</f>
        <v>91</v>
      </c>
      <c r="F35" s="22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15">
        <v>4</v>
      </c>
      <c r="B36" s="56" t="s">
        <v>30</v>
      </c>
      <c r="C36" s="46"/>
      <c r="D36" s="47"/>
      <c r="E36" s="18">
        <f>E33-(E34+E35)</f>
        <v>18516</v>
      </c>
      <c r="F36" s="17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61"/>
      <c r="B37" s="46"/>
      <c r="C37" s="46"/>
      <c r="D37" s="46"/>
      <c r="E37" s="46"/>
      <c r="F37" s="14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25" t="s">
        <v>31</v>
      </c>
      <c r="B38" s="49" t="s">
        <v>32</v>
      </c>
      <c r="C38" s="46"/>
      <c r="D38" s="47"/>
      <c r="E38" s="18"/>
      <c r="F38" s="14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19"/>
      <c r="B39" s="68" t="s">
        <v>33</v>
      </c>
      <c r="C39" s="58"/>
      <c r="D39" s="15" t="s">
        <v>12</v>
      </c>
      <c r="E39" s="16">
        <f>'GENTENG KULON'!BK39+'GENTENG WETAN'!BL39+KALIGONDO!BB39+KEMBIRITAN!BQ39+SETAIL!BC39</f>
        <v>44</v>
      </c>
      <c r="F39" s="14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20"/>
      <c r="B40" s="69"/>
      <c r="C40" s="60"/>
      <c r="D40" s="15" t="s">
        <v>13</v>
      </c>
      <c r="E40" s="16">
        <f>'GENTENG KULON'!BK40+'GENTENG WETAN'!BL40+KALIGONDO!BB40+KEMBIRITAN!BQ40+SETAIL!BC40</f>
        <v>48</v>
      </c>
      <c r="F40" s="14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24"/>
      <c r="B41" s="52"/>
      <c r="C41" s="53"/>
      <c r="D41" s="13" t="s">
        <v>14</v>
      </c>
      <c r="E41" s="18">
        <f>SUM(E39:E40)</f>
        <v>92</v>
      </c>
      <c r="F41" s="14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51"/>
      <c r="B42" s="52"/>
      <c r="C42" s="52"/>
      <c r="D42" s="53"/>
      <c r="E42" s="16"/>
      <c r="F42" s="14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25" t="s">
        <v>34</v>
      </c>
      <c r="B43" s="49" t="s">
        <v>35</v>
      </c>
      <c r="C43" s="46"/>
      <c r="D43" s="47"/>
      <c r="E43" s="18"/>
      <c r="F43" s="14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68" t="s">
        <v>36</v>
      </c>
      <c r="B44" s="70"/>
      <c r="C44" s="70"/>
      <c r="D44" s="58"/>
      <c r="E44" s="16"/>
      <c r="F44" s="14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19" t="s">
        <v>37</v>
      </c>
      <c r="B45" s="26" t="s">
        <v>17</v>
      </c>
      <c r="C45" s="48" t="s">
        <v>38</v>
      </c>
      <c r="D45" s="47"/>
      <c r="E45" s="16">
        <f>'GENTENG KULON'!BK45+'GENTENG WETAN'!BL45+KALIGONDO!BB45+KEMBIRITAN!BQ45+SETAIL!BC45</f>
        <v>1409</v>
      </c>
      <c r="F45" s="17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19" t="s">
        <v>39</v>
      </c>
      <c r="B46" s="27"/>
      <c r="C46" s="28" t="s">
        <v>40</v>
      </c>
      <c r="D46" s="29"/>
      <c r="E46" s="16">
        <f>'GENTENG KULON'!BK46+'GENTENG WETAN'!BL46+KALIGONDO!BB46+KEMBIRITAN!BQ46+SETAIL!BC46</f>
        <v>2228</v>
      </c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2"/>
      <c r="Q46" s="3"/>
      <c r="R46" s="3"/>
      <c r="S46" s="3"/>
      <c r="T46" s="3"/>
      <c r="U46" s="3"/>
      <c r="V46" s="3"/>
      <c r="W46" s="33"/>
      <c r="X46" s="3"/>
      <c r="Y46" s="3"/>
      <c r="Z46" s="3"/>
    </row>
    <row r="47" spans="1:26" ht="15.75" customHeight="1" x14ac:dyDescent="0.3">
      <c r="A47" s="14"/>
      <c r="B47" s="27"/>
      <c r="C47" s="28" t="s">
        <v>41</v>
      </c>
      <c r="D47" s="29"/>
      <c r="E47" s="16">
        <f>'GENTENG KULON'!BK47+'GENTENG WETAN'!BL47+KALIGONDO!BB47+KEMBIRITAN!BQ47+SETAIL!BC47</f>
        <v>678</v>
      </c>
      <c r="F47" s="14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14"/>
      <c r="B48" s="27"/>
      <c r="C48" s="28" t="s">
        <v>42</v>
      </c>
      <c r="D48" s="29"/>
      <c r="E48" s="16">
        <f>'GENTENG KULON'!BK48+'GENTENG WETAN'!BL48+KALIGONDO!BB48+KEMBIRITAN!BQ48+SETAIL!BC48</f>
        <v>3924</v>
      </c>
      <c r="F48" s="14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14"/>
      <c r="B49" s="27"/>
      <c r="C49" s="28" t="s">
        <v>43</v>
      </c>
      <c r="D49" s="29"/>
      <c r="E49" s="16">
        <f>'GENTENG KULON'!BK49+'GENTENG WETAN'!BL49+KALIGONDO!BB49+KEMBIRITAN!BQ49+SETAIL!BC49</f>
        <v>228</v>
      </c>
      <c r="F49" s="14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14"/>
      <c r="B50" s="27"/>
      <c r="C50" s="28" t="s">
        <v>44</v>
      </c>
      <c r="D50" s="29"/>
      <c r="E50" s="16">
        <f>'GENTENG KULON'!BK50+'GENTENG WETAN'!BL50+KALIGONDO!BB50+KEMBIRITAN!BQ50+SETAIL!BC50</f>
        <v>75</v>
      </c>
      <c r="F50" s="14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14"/>
      <c r="B51" s="27"/>
      <c r="C51" s="28" t="s">
        <v>45</v>
      </c>
      <c r="D51" s="29"/>
      <c r="E51" s="16">
        <f>'GENTENG KULON'!BK51+'GENTENG WETAN'!BL51+KALIGONDO!BB51+KEMBIRITAN!BQ51+SETAIL!BC51</f>
        <v>25</v>
      </c>
      <c r="F51" s="14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14"/>
      <c r="B52" s="27"/>
      <c r="C52" s="28" t="s">
        <v>46</v>
      </c>
      <c r="D52" s="29"/>
      <c r="E52" s="16">
        <f>'GENTENG KULON'!BK52+'GENTENG WETAN'!BL52+KALIGONDO!BB52+KEMBIRITAN!BQ52+SETAIL!BC52</f>
        <v>45</v>
      </c>
      <c r="F52" s="14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15" t="s">
        <v>15</v>
      </c>
      <c r="B53" s="45" t="s">
        <v>47</v>
      </c>
      <c r="C53" s="46"/>
      <c r="D53" s="47"/>
      <c r="E53" s="34">
        <f>SUM(E45:E52)</f>
        <v>8612</v>
      </c>
      <c r="F53" s="14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35"/>
      <c r="B54" s="36"/>
      <c r="C54" s="36"/>
      <c r="D54" s="36"/>
      <c r="E54" s="36"/>
      <c r="F54" s="14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19" t="s">
        <v>37</v>
      </c>
      <c r="B55" s="26" t="s">
        <v>19</v>
      </c>
      <c r="C55" s="48" t="s">
        <v>48</v>
      </c>
      <c r="D55" s="47"/>
      <c r="E55" s="16">
        <f>'GENTENG KULON'!BK55+'GENTENG WETAN'!BL55+KALIGONDO!BB55+KEMBIRITAN!BQ55+SETAIL!BC55</f>
        <v>1667</v>
      </c>
      <c r="F55" s="14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19" t="s">
        <v>39</v>
      </c>
      <c r="B56" s="27"/>
      <c r="C56" s="28" t="s">
        <v>49</v>
      </c>
      <c r="D56" s="29"/>
      <c r="E56" s="16">
        <f>'GENTENG KULON'!BK56+'GENTENG WETAN'!BL56+KALIGONDO!BB56+KEMBIRITAN!BQ56+SETAIL!BC56</f>
        <v>981</v>
      </c>
      <c r="F56" s="14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14"/>
      <c r="B57" s="27"/>
      <c r="C57" s="28" t="s">
        <v>50</v>
      </c>
      <c r="D57" s="29"/>
      <c r="E57" s="16">
        <f>'GENTENG KULON'!BK57+'GENTENG WETAN'!BL57+KALIGONDO!BB57+KEMBIRITAN!BQ57+SETAIL!BC57</f>
        <v>1425</v>
      </c>
      <c r="F57" s="17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14"/>
      <c r="B58" s="27"/>
      <c r="C58" s="28" t="s">
        <v>51</v>
      </c>
      <c r="D58" s="29"/>
      <c r="E58" s="16">
        <f>'GENTENG KULON'!BK58+'GENTENG WETAN'!BL58+KALIGONDO!BB58+KEMBIRITAN!BQ58+SETAIL!BC58</f>
        <v>214</v>
      </c>
      <c r="F58" s="30"/>
      <c r="G58" s="31"/>
      <c r="H58" s="31"/>
      <c r="I58" s="31"/>
      <c r="J58" s="31"/>
      <c r="K58" s="31"/>
      <c r="L58" s="31"/>
      <c r="M58" s="31"/>
      <c r="N58" s="31"/>
      <c r="O58" s="31"/>
      <c r="P58" s="32"/>
      <c r="Q58" s="3"/>
      <c r="R58" s="3"/>
      <c r="S58" s="3"/>
      <c r="T58" s="3"/>
      <c r="U58" s="3"/>
      <c r="V58" s="3"/>
      <c r="W58" s="33"/>
      <c r="X58" s="3"/>
      <c r="Y58" s="3"/>
      <c r="Z58" s="3"/>
    </row>
    <row r="59" spans="1:26" ht="15.75" customHeight="1" x14ac:dyDescent="0.3">
      <c r="A59" s="14"/>
      <c r="B59" s="27"/>
      <c r="C59" s="28" t="s">
        <v>52</v>
      </c>
      <c r="D59" s="29"/>
      <c r="E59" s="16">
        <f>'GENTENG KULON'!BK59+'GENTENG WETAN'!BL59+KALIGONDO!BB59+KEMBIRITAN!BQ59+SETAIL!BC59</f>
        <v>1562</v>
      </c>
      <c r="F59" s="14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14"/>
      <c r="B60" s="27"/>
      <c r="C60" s="28" t="s">
        <v>53</v>
      </c>
      <c r="D60" s="29"/>
      <c r="E60" s="16">
        <f>'GENTENG KULON'!BK60+'GENTENG WETAN'!BL60+KALIGONDO!BB60+KEMBIRITAN!BQ60+SETAIL!BC60</f>
        <v>998</v>
      </c>
      <c r="F60" s="14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14"/>
      <c r="B61" s="27"/>
      <c r="C61" s="28" t="s">
        <v>54</v>
      </c>
      <c r="D61" s="29"/>
      <c r="E61" s="16">
        <f>'GENTENG KULON'!BK61+'GENTENG WETAN'!BL61+KALIGONDO!BB61+KEMBIRITAN!BQ61+SETAIL!BC61</f>
        <v>74</v>
      </c>
      <c r="F61" s="14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14"/>
      <c r="B62" s="27"/>
      <c r="C62" s="28" t="s">
        <v>55</v>
      </c>
      <c r="D62" s="29"/>
      <c r="E62" s="16">
        <f>'GENTENG KULON'!BK62+'GENTENG WETAN'!BL62+KALIGONDO!BB62+KEMBIRITAN!BQ62+SETAIL!BC62</f>
        <v>1509</v>
      </c>
      <c r="F62" s="14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15" t="s">
        <v>15</v>
      </c>
      <c r="B63" s="45" t="s">
        <v>47</v>
      </c>
      <c r="C63" s="46"/>
      <c r="D63" s="47"/>
      <c r="E63" s="34">
        <f>SUM(E55:E62)</f>
        <v>8430</v>
      </c>
      <c r="F63" s="14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35"/>
      <c r="B64" s="36"/>
      <c r="C64" s="36"/>
      <c r="D64" s="36"/>
      <c r="E64" s="36"/>
      <c r="F64" s="14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19" t="s">
        <v>37</v>
      </c>
      <c r="B65" s="26" t="s">
        <v>21</v>
      </c>
      <c r="C65" s="48" t="s">
        <v>56</v>
      </c>
      <c r="D65" s="47"/>
      <c r="E65" s="16">
        <f>'GENTENG KULON'!BK65+'GENTENG WETAN'!BL65+KALIGONDO!BB65+KEMBIRITAN!BQ65+SETAIL!BC65</f>
        <v>1830</v>
      </c>
      <c r="F65" s="14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19" t="s">
        <v>39</v>
      </c>
      <c r="B66" s="27"/>
      <c r="C66" s="28" t="s">
        <v>57</v>
      </c>
      <c r="D66" s="29"/>
      <c r="E66" s="16">
        <f>'GENTENG KULON'!BK66+'GENTENG WETAN'!BL66+KALIGONDO!BB66+KEMBIRITAN!BQ66+SETAIL!BC66</f>
        <v>4016</v>
      </c>
      <c r="F66" s="14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14"/>
      <c r="B67" s="27"/>
      <c r="C67" s="28" t="s">
        <v>58</v>
      </c>
      <c r="D67" s="29"/>
      <c r="E67" s="16">
        <f>'GENTENG KULON'!BK67+'GENTENG WETAN'!BL67+KALIGONDO!BB67+KEMBIRITAN!BQ67+SETAIL!BC67</f>
        <v>140</v>
      </c>
      <c r="F67" s="14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14"/>
      <c r="B68" s="27"/>
      <c r="C68" s="28" t="s">
        <v>59</v>
      </c>
      <c r="D68" s="29"/>
      <c r="E68" s="16">
        <f>'GENTENG KULON'!BK68+'GENTENG WETAN'!BL68+KALIGONDO!BB68+KEMBIRITAN!BQ68+SETAIL!BC68</f>
        <v>742</v>
      </c>
      <c r="F68" s="14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14"/>
      <c r="B69" s="27"/>
      <c r="C69" s="28" t="s">
        <v>60</v>
      </c>
      <c r="D69" s="29"/>
      <c r="E69" s="16">
        <f>'GENTENG KULON'!BK69+'GENTENG WETAN'!BL69+KALIGONDO!BB69+KEMBIRITAN!BQ69+SETAIL!BC69</f>
        <v>796</v>
      </c>
      <c r="F69" s="17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14"/>
      <c r="B70" s="27"/>
      <c r="C70" s="28" t="s">
        <v>61</v>
      </c>
      <c r="D70" s="29"/>
      <c r="E70" s="16">
        <f>'GENTENG KULON'!BK70+'GENTENG WETAN'!BL70+KALIGONDO!BB70+KEMBIRITAN!BQ70+SETAIL!BC70</f>
        <v>137</v>
      </c>
      <c r="F70" s="30"/>
      <c r="G70" s="31"/>
      <c r="H70" s="31"/>
      <c r="I70" s="31"/>
      <c r="J70" s="31"/>
      <c r="K70" s="31"/>
      <c r="L70" s="31"/>
      <c r="M70" s="31"/>
      <c r="N70" s="31"/>
      <c r="O70" s="31"/>
      <c r="P70" s="32"/>
      <c r="Q70" s="3"/>
      <c r="R70" s="3"/>
      <c r="S70" s="3"/>
      <c r="T70" s="3"/>
      <c r="U70" s="3"/>
      <c r="V70" s="3"/>
      <c r="W70" s="33"/>
      <c r="X70" s="3"/>
      <c r="Y70" s="3"/>
      <c r="Z70" s="3"/>
    </row>
    <row r="71" spans="1:26" ht="15.75" customHeight="1" x14ac:dyDescent="0.3">
      <c r="A71" s="14"/>
      <c r="B71" s="27"/>
      <c r="C71" s="28" t="s">
        <v>62</v>
      </c>
      <c r="D71" s="29"/>
      <c r="E71" s="16">
        <f>'GENTENG KULON'!BK71+'GENTENG WETAN'!BL71+KALIGONDO!BB71+KEMBIRITAN!BQ71+SETAIL!BC71</f>
        <v>32</v>
      </c>
      <c r="F71" s="14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14"/>
      <c r="B72" s="27"/>
      <c r="C72" s="28" t="s">
        <v>63</v>
      </c>
      <c r="D72" s="29"/>
      <c r="E72" s="16">
        <f>'GENTENG KULON'!BK72+'GENTENG WETAN'!BL72+KALIGONDO!BB72+KEMBIRITAN!BQ72+SETAIL!BC72</f>
        <v>299</v>
      </c>
      <c r="F72" s="14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15" t="s">
        <v>15</v>
      </c>
      <c r="B73" s="45" t="s">
        <v>47</v>
      </c>
      <c r="C73" s="46"/>
      <c r="D73" s="47"/>
      <c r="E73" s="34">
        <f>SUM(E65:E72)</f>
        <v>7992</v>
      </c>
      <c r="F73" s="14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35"/>
      <c r="B74" s="36"/>
      <c r="C74" s="36"/>
      <c r="D74" s="36"/>
      <c r="E74" s="36"/>
      <c r="F74" s="14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19" t="s">
        <v>37</v>
      </c>
      <c r="B75" s="26" t="s">
        <v>23</v>
      </c>
      <c r="C75" s="48" t="s">
        <v>64</v>
      </c>
      <c r="D75" s="47"/>
      <c r="E75" s="16">
        <f>'GENTENG KULON'!BK75+'GENTENG WETAN'!BL75+KALIGONDO!BB75+KEMBIRITAN!BQ75+SETAIL!BC75</f>
        <v>1242</v>
      </c>
      <c r="F75" s="14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19" t="s">
        <v>39</v>
      </c>
      <c r="B76" s="27"/>
      <c r="C76" s="28" t="s">
        <v>65</v>
      </c>
      <c r="D76" s="29"/>
      <c r="E76" s="16">
        <f>'GENTENG KULON'!BK76+'GENTENG WETAN'!BL76+KALIGONDO!BB76+KEMBIRITAN!BQ76+SETAIL!BC76</f>
        <v>4412</v>
      </c>
      <c r="F76" s="14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14"/>
      <c r="B77" s="27"/>
      <c r="C77" s="28" t="s">
        <v>66</v>
      </c>
      <c r="D77" s="29"/>
      <c r="E77" s="16">
        <f>'GENTENG KULON'!BK77+'GENTENG WETAN'!BL77+KALIGONDO!BB77+KEMBIRITAN!BQ77+SETAIL!BC77</f>
        <v>2994</v>
      </c>
      <c r="F77" s="14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14"/>
      <c r="B78" s="27"/>
      <c r="C78" s="28" t="s">
        <v>67</v>
      </c>
      <c r="D78" s="29"/>
      <c r="E78" s="16">
        <f>'GENTENG KULON'!BK78+'GENTENG WETAN'!BL78+KALIGONDO!BB78+KEMBIRITAN!BQ78+SETAIL!BC78</f>
        <v>126</v>
      </c>
      <c r="F78" s="14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14"/>
      <c r="B79" s="27"/>
      <c r="C79" s="28" t="s">
        <v>68</v>
      </c>
      <c r="D79" s="29"/>
      <c r="E79" s="16">
        <f>'GENTENG KULON'!BK79+'GENTENG WETAN'!BL79+KALIGONDO!BB79+KEMBIRITAN!BQ79+SETAIL!BC79</f>
        <v>1281</v>
      </c>
      <c r="F79" s="14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14"/>
      <c r="B80" s="27"/>
      <c r="C80" s="28" t="s">
        <v>69</v>
      </c>
      <c r="D80" s="29"/>
      <c r="E80" s="16">
        <f>'GENTENG KULON'!BK80+'GENTENG WETAN'!BL80+KALIGONDO!BB80+KEMBIRITAN!BQ80+SETAIL!BC80</f>
        <v>277</v>
      </c>
      <c r="F80" s="14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14"/>
      <c r="B81" s="27"/>
      <c r="C81" s="28" t="s">
        <v>70</v>
      </c>
      <c r="D81" s="29"/>
      <c r="E81" s="16">
        <f>'GENTENG KULON'!BK81+'GENTENG WETAN'!BL81+KALIGONDO!BB81+KEMBIRITAN!BQ81+SETAIL!BC81</f>
        <v>35</v>
      </c>
      <c r="F81" s="17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14"/>
      <c r="B82" s="27"/>
      <c r="C82" s="28" t="s">
        <v>71</v>
      </c>
      <c r="D82" s="29"/>
      <c r="E82" s="16">
        <f>'GENTENG KULON'!BK82+'GENTENG WETAN'!BL82+KALIGONDO!BB82+KEMBIRITAN!BQ82+SETAIL!BC82</f>
        <v>18</v>
      </c>
      <c r="F82" s="30"/>
      <c r="G82" s="31"/>
      <c r="H82" s="31"/>
      <c r="I82" s="31"/>
      <c r="J82" s="31"/>
      <c r="K82" s="31"/>
      <c r="L82" s="31"/>
      <c r="M82" s="31"/>
      <c r="N82" s="31"/>
      <c r="O82" s="31"/>
      <c r="P82" s="32"/>
      <c r="Q82" s="3"/>
      <c r="R82" s="3"/>
      <c r="S82" s="3"/>
      <c r="T82" s="3"/>
      <c r="U82" s="3"/>
      <c r="V82" s="3"/>
      <c r="W82" s="33"/>
      <c r="X82" s="3"/>
      <c r="Y82" s="3"/>
      <c r="Z82" s="3"/>
    </row>
    <row r="83" spans="1:26" ht="15.75" customHeight="1" x14ac:dyDescent="0.3">
      <c r="A83" s="15" t="s">
        <v>15</v>
      </c>
      <c r="B83" s="45" t="s">
        <v>47</v>
      </c>
      <c r="C83" s="46"/>
      <c r="D83" s="47"/>
      <c r="E83" s="34">
        <f>SUM(E75:E82)</f>
        <v>10385</v>
      </c>
      <c r="F83" s="14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35"/>
      <c r="B84" s="36"/>
      <c r="C84" s="36"/>
      <c r="D84" s="36"/>
      <c r="E84" s="36"/>
      <c r="F84" s="14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19" t="s">
        <v>37</v>
      </c>
      <c r="B85" s="26" t="s">
        <v>72</v>
      </c>
      <c r="C85" s="48" t="s">
        <v>73</v>
      </c>
      <c r="D85" s="47"/>
      <c r="E85" s="16">
        <f>'GENTENG KULON'!BK85+'GENTENG WETAN'!BL85+KALIGONDO!BB85+KEMBIRITAN!BQ85+SETAIL!BC85</f>
        <v>244</v>
      </c>
      <c r="F85" s="14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19" t="s">
        <v>39</v>
      </c>
      <c r="B86" s="27"/>
      <c r="C86" s="28" t="s">
        <v>74</v>
      </c>
      <c r="D86" s="29"/>
      <c r="E86" s="16">
        <f>'GENTENG KULON'!BK86+'GENTENG WETAN'!BL86+KALIGONDO!BB86+KEMBIRITAN!BQ86+SETAIL!BC86</f>
        <v>92</v>
      </c>
      <c r="F86" s="14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14"/>
      <c r="B87" s="27"/>
      <c r="C87" s="28" t="s">
        <v>75</v>
      </c>
      <c r="D87" s="29"/>
      <c r="E87" s="16">
        <f>'GENTENG KULON'!BK87+'GENTENG WETAN'!BL87+KALIGONDO!BB87+KEMBIRITAN!BQ87+SETAIL!BC87</f>
        <v>878</v>
      </c>
      <c r="F87" s="14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14"/>
      <c r="B88" s="27"/>
      <c r="C88" s="28" t="s">
        <v>76</v>
      </c>
      <c r="D88" s="29"/>
      <c r="E88" s="16">
        <f>'GENTENG KULON'!BK88+'GENTENG WETAN'!BL88+KALIGONDO!BB88+KEMBIRITAN!BQ88+SETAIL!BC88</f>
        <v>43</v>
      </c>
      <c r="F88" s="14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14"/>
      <c r="B89" s="27"/>
      <c r="C89" s="28" t="s">
        <v>77</v>
      </c>
      <c r="D89" s="29"/>
      <c r="E89" s="16">
        <f>'GENTENG KULON'!BK89+'GENTENG WETAN'!BL89+KALIGONDO!BB89+KEMBIRITAN!BQ89+SETAIL!BC89</f>
        <v>43</v>
      </c>
      <c r="F89" s="14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14"/>
      <c r="B90" s="27"/>
      <c r="C90" s="28" t="s">
        <v>78</v>
      </c>
      <c r="D90" s="29"/>
      <c r="E90" s="16">
        <f>'GENTENG KULON'!BK90+'GENTENG WETAN'!BL90+KALIGONDO!BB90+KEMBIRITAN!BQ90+SETAIL!BC90</f>
        <v>51</v>
      </c>
      <c r="F90" s="14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14"/>
      <c r="B91" s="27"/>
      <c r="C91" s="28" t="s">
        <v>79</v>
      </c>
      <c r="D91" s="29"/>
      <c r="E91" s="16">
        <f>'GENTENG KULON'!BK91+'GENTENG WETAN'!BL91+KALIGONDO!BB91+KEMBIRITAN!BQ91+SETAIL!BC91</f>
        <v>27</v>
      </c>
      <c r="F91" s="14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14"/>
      <c r="B92" s="27"/>
      <c r="C92" s="28" t="s">
        <v>80</v>
      </c>
      <c r="D92" s="29"/>
      <c r="E92" s="16">
        <f>'GENTENG KULON'!BK92+'GENTENG WETAN'!BL92+KALIGONDO!BB92+KEMBIRITAN!BQ92+SETAIL!BC92</f>
        <v>77</v>
      </c>
      <c r="F92" s="14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15" t="s">
        <v>15</v>
      </c>
      <c r="B93" s="45" t="s">
        <v>47</v>
      </c>
      <c r="C93" s="46"/>
      <c r="D93" s="47"/>
      <c r="E93" s="34">
        <f>SUM(E85:E92)</f>
        <v>1455</v>
      </c>
      <c r="F93" s="17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35"/>
      <c r="B94" s="36"/>
      <c r="C94" s="36"/>
      <c r="D94" s="36"/>
      <c r="E94" s="36"/>
      <c r="F94" s="30"/>
      <c r="G94" s="31"/>
      <c r="H94" s="31"/>
      <c r="I94" s="31"/>
      <c r="J94" s="31"/>
      <c r="K94" s="31"/>
      <c r="L94" s="31"/>
      <c r="M94" s="31"/>
      <c r="N94" s="31"/>
      <c r="O94" s="31"/>
      <c r="P94" s="32"/>
      <c r="Q94" s="3"/>
      <c r="R94" s="3"/>
      <c r="S94" s="3"/>
      <c r="T94" s="3"/>
      <c r="U94" s="3"/>
      <c r="V94" s="3"/>
      <c r="W94" s="33"/>
      <c r="X94" s="3"/>
      <c r="Y94" s="3"/>
      <c r="Z94" s="3"/>
    </row>
    <row r="95" spans="1:26" ht="15.75" customHeight="1" x14ac:dyDescent="0.3">
      <c r="A95" s="19" t="s">
        <v>37</v>
      </c>
      <c r="B95" s="26" t="s">
        <v>81</v>
      </c>
      <c r="C95" s="48" t="s">
        <v>82</v>
      </c>
      <c r="D95" s="47"/>
      <c r="E95" s="16">
        <f>'GENTENG KULON'!BK95+'GENTENG WETAN'!BL95+KALIGONDO!BB95+KEMBIRITAN!BQ95+SETAIL!BC95</f>
        <v>54</v>
      </c>
      <c r="F95" s="14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19" t="s">
        <v>39</v>
      </c>
      <c r="B96" s="27"/>
      <c r="C96" s="28" t="s">
        <v>83</v>
      </c>
      <c r="D96" s="37"/>
      <c r="E96" s="16">
        <f>'GENTENG KULON'!BK96+'GENTENG WETAN'!BL96+KALIGONDO!BB96+KEMBIRITAN!BQ96+SETAIL!BC96</f>
        <v>48</v>
      </c>
      <c r="F96" s="14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15" t="s">
        <v>15</v>
      </c>
      <c r="B97" s="45" t="s">
        <v>47</v>
      </c>
      <c r="C97" s="46"/>
      <c r="D97" s="47"/>
      <c r="E97" s="34">
        <f>SUM(E95:E96)</f>
        <v>102</v>
      </c>
      <c r="F97" s="14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35"/>
      <c r="B98" s="36"/>
      <c r="C98" s="36"/>
      <c r="D98" s="36"/>
      <c r="E98" s="36"/>
      <c r="F98" s="14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19" t="s">
        <v>37</v>
      </c>
      <c r="B99" s="26" t="s">
        <v>84</v>
      </c>
      <c r="C99" s="48" t="s">
        <v>85</v>
      </c>
      <c r="D99" s="47"/>
      <c r="E99" s="16">
        <f>'GENTENG KULON'!BK99+'GENTENG WETAN'!BL99+KALIGONDO!BB99+KEMBIRITAN!BQ99+SETAIL!BC99</f>
        <v>206</v>
      </c>
      <c r="F99" s="14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19" t="s">
        <v>39</v>
      </c>
      <c r="B100" s="27"/>
      <c r="C100" s="28" t="s">
        <v>86</v>
      </c>
      <c r="D100" s="29"/>
      <c r="E100" s="16">
        <f>'GENTENG KULON'!BK100+'GENTENG WETAN'!BL100+KALIGONDO!BB100+KEMBIRITAN!BQ100+SETAIL!BC100</f>
        <v>63</v>
      </c>
      <c r="F100" s="14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15" t="s">
        <v>15</v>
      </c>
      <c r="B101" s="45" t="s">
        <v>47</v>
      </c>
      <c r="C101" s="46"/>
      <c r="D101" s="47"/>
      <c r="E101" s="34">
        <f>SUM(E99:E100)</f>
        <v>269</v>
      </c>
      <c r="F101" s="14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35"/>
      <c r="B102" s="36"/>
      <c r="C102" s="36"/>
      <c r="D102" s="36"/>
      <c r="E102" s="36"/>
      <c r="F102" s="14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19" t="s">
        <v>37</v>
      </c>
      <c r="B103" s="26" t="s">
        <v>87</v>
      </c>
      <c r="C103" s="48" t="s">
        <v>88</v>
      </c>
      <c r="D103" s="47"/>
      <c r="E103" s="16">
        <f>'GENTENG KULON'!BK103+'GENTENG WETAN'!BL103+KALIGONDO!BB103+KEMBIRITAN!BQ103+SETAIL!BC103</f>
        <v>436</v>
      </c>
      <c r="F103" s="14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19" t="s">
        <v>39</v>
      </c>
      <c r="B104" s="27"/>
      <c r="C104" s="28" t="s">
        <v>89</v>
      </c>
      <c r="D104" s="29"/>
      <c r="E104" s="16">
        <f>'GENTENG KULON'!BK104+'GENTENG WETAN'!BL104+KALIGONDO!BB104+KEMBIRITAN!BQ104+SETAIL!BC104</f>
        <v>2839</v>
      </c>
      <c r="F104" s="14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14"/>
      <c r="B105" s="27"/>
      <c r="C105" s="28" t="s">
        <v>90</v>
      </c>
      <c r="D105" s="29"/>
      <c r="E105" s="16">
        <f>'GENTENG KULON'!BK105+'GENTENG WETAN'!BL105+KALIGONDO!BB105+KEMBIRITAN!BQ105+SETAIL!BC105</f>
        <v>104</v>
      </c>
      <c r="F105" s="17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14"/>
      <c r="B106" s="27"/>
      <c r="C106" s="28" t="s">
        <v>91</v>
      </c>
      <c r="D106" s="29"/>
      <c r="E106" s="16">
        <f>'GENTENG KULON'!BK106+'GENTENG WETAN'!BL106+KALIGONDO!BB106+KEMBIRITAN!BQ106+SETAIL!BC106</f>
        <v>53</v>
      </c>
      <c r="F106" s="30"/>
      <c r="G106" s="31"/>
      <c r="H106" s="31"/>
      <c r="I106" s="31"/>
      <c r="J106" s="31"/>
      <c r="K106" s="31"/>
      <c r="L106" s="31"/>
      <c r="M106" s="31"/>
      <c r="N106" s="31"/>
      <c r="O106" s="31"/>
      <c r="P106" s="32"/>
      <c r="Q106" s="3"/>
      <c r="R106" s="3"/>
      <c r="S106" s="3"/>
      <c r="T106" s="3"/>
      <c r="U106" s="3"/>
      <c r="V106" s="3"/>
      <c r="W106" s="33"/>
      <c r="X106" s="3"/>
      <c r="Y106" s="3"/>
      <c r="Z106" s="3"/>
    </row>
    <row r="107" spans="1:26" ht="15.75" customHeight="1" x14ac:dyDescent="0.3">
      <c r="A107" s="14"/>
      <c r="B107" s="27"/>
      <c r="C107" s="28" t="s">
        <v>92</v>
      </c>
      <c r="D107" s="29"/>
      <c r="E107" s="16">
        <f>'GENTENG KULON'!BK107+'GENTENG WETAN'!BL107+KALIGONDO!BB107+KEMBIRITAN!BQ107+SETAIL!BC107</f>
        <v>22</v>
      </c>
      <c r="F107" s="14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14"/>
      <c r="B108" s="27"/>
      <c r="C108" s="28" t="s">
        <v>93</v>
      </c>
      <c r="D108" s="29"/>
      <c r="E108" s="16">
        <f>'GENTENG KULON'!BK108+'GENTENG WETAN'!BL108+KALIGONDO!BB108+KEMBIRITAN!BQ108+SETAIL!BC108</f>
        <v>129</v>
      </c>
      <c r="F108" s="14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14"/>
      <c r="B109" s="27"/>
      <c r="C109" s="28" t="s">
        <v>94</v>
      </c>
      <c r="D109" s="29"/>
      <c r="E109" s="16">
        <f>'GENTENG KULON'!BK109+'GENTENG WETAN'!BL109+KALIGONDO!BB109+KEMBIRITAN!BQ109+SETAIL!BC109</f>
        <v>240</v>
      </c>
      <c r="F109" s="14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14"/>
      <c r="B110" s="27"/>
      <c r="C110" s="28" t="s">
        <v>95</v>
      </c>
      <c r="D110" s="29"/>
      <c r="E110" s="16">
        <f>'GENTENG KULON'!BK110+'GENTENG WETAN'!BL110+KALIGONDO!BB110+KEMBIRITAN!BQ110+SETAIL!BC110</f>
        <v>11</v>
      </c>
      <c r="F110" s="14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15" t="s">
        <v>15</v>
      </c>
      <c r="B111" s="45" t="s">
        <v>47</v>
      </c>
      <c r="C111" s="46"/>
      <c r="D111" s="47"/>
      <c r="E111" s="34">
        <f>SUM(E103:E110)</f>
        <v>3834</v>
      </c>
      <c r="F111" s="14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35"/>
      <c r="B112" s="36"/>
      <c r="C112" s="36"/>
      <c r="D112" s="36"/>
      <c r="E112" s="36"/>
      <c r="F112" s="17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19" t="s">
        <v>37</v>
      </c>
      <c r="B113" s="26" t="s">
        <v>96</v>
      </c>
      <c r="C113" s="48" t="s">
        <v>97</v>
      </c>
      <c r="D113" s="47"/>
      <c r="E113" s="16">
        <f>'GENTENG KULON'!BK113+'GENTENG WETAN'!BL113+KALIGONDO!BB113+KEMBIRITAN!BQ113+SETAIL!BC113</f>
        <v>43</v>
      </c>
      <c r="F113" s="17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19" t="s">
        <v>39</v>
      </c>
      <c r="B114" s="26"/>
      <c r="C114" s="28" t="s">
        <v>98</v>
      </c>
      <c r="D114" s="37"/>
      <c r="E114" s="16">
        <f>'GENTENG KULON'!BK114+'GENTENG WETAN'!BL114+KALIGONDO!BB114+KEMBIRITAN!BQ114+SETAIL!BC114</f>
        <v>407</v>
      </c>
      <c r="F114" s="17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19"/>
      <c r="B115" s="26"/>
      <c r="C115" s="28" t="s">
        <v>99</v>
      </c>
      <c r="D115" s="37"/>
      <c r="E115" s="16">
        <f>'GENTENG KULON'!BK115+'GENTENG WETAN'!BL115+KALIGONDO!BB115+KEMBIRITAN!BQ115+SETAIL!BC115</f>
        <v>7</v>
      </c>
      <c r="F115" s="30"/>
      <c r="G115" s="31"/>
      <c r="H115" s="31"/>
      <c r="I115" s="31"/>
      <c r="J115" s="31"/>
      <c r="K115" s="31"/>
      <c r="L115" s="31"/>
      <c r="M115" s="31"/>
      <c r="N115" s="31"/>
      <c r="O115" s="31"/>
      <c r="P115" s="32"/>
      <c r="Q115" s="3"/>
      <c r="R115" s="3"/>
      <c r="S115" s="3"/>
      <c r="T115" s="3"/>
      <c r="U115" s="3"/>
      <c r="V115" s="3"/>
      <c r="W115" s="33"/>
      <c r="X115" s="3"/>
      <c r="Y115" s="3"/>
      <c r="Z115" s="3"/>
    </row>
    <row r="116" spans="1:26" ht="15.75" customHeight="1" x14ac:dyDescent="0.3">
      <c r="A116" s="15" t="s">
        <v>15</v>
      </c>
      <c r="B116" s="45" t="s">
        <v>47</v>
      </c>
      <c r="C116" s="46"/>
      <c r="D116" s="47"/>
      <c r="E116" s="34">
        <f>SUM(E113:E115)</f>
        <v>457</v>
      </c>
      <c r="F116" s="14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35"/>
      <c r="B117" s="36"/>
      <c r="C117" s="36"/>
      <c r="D117" s="36"/>
      <c r="E117" s="36"/>
      <c r="F117" s="14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19" t="s">
        <v>37</v>
      </c>
      <c r="B118" s="26" t="s">
        <v>100</v>
      </c>
      <c r="C118" s="48" t="s">
        <v>101</v>
      </c>
      <c r="D118" s="47"/>
      <c r="E118" s="16">
        <f>'GENTENG KULON'!BK118+'GENTENG WETAN'!BL118+KALIGONDO!BB118+KEMBIRITAN!BQ118+SETAIL!BC118</f>
        <v>32</v>
      </c>
      <c r="F118" s="14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19" t="s">
        <v>39</v>
      </c>
      <c r="B119" s="27"/>
      <c r="C119" s="28" t="s">
        <v>102</v>
      </c>
      <c r="D119" s="29"/>
      <c r="E119" s="16">
        <f>'GENTENG KULON'!BK119+'GENTENG WETAN'!BL119+KALIGONDO!BB119+KEMBIRITAN!BQ119+SETAIL!BC119</f>
        <v>13</v>
      </c>
      <c r="F119" s="14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14"/>
      <c r="B120" s="27"/>
      <c r="C120" s="28" t="s">
        <v>103</v>
      </c>
      <c r="D120" s="29"/>
      <c r="E120" s="16">
        <f>'GENTENG KULON'!BK120+'GENTENG WETAN'!BL120+KALIGONDO!BB120+KEMBIRITAN!BQ120+SETAIL!BC120</f>
        <v>41</v>
      </c>
      <c r="F120" s="14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14"/>
      <c r="B121" s="27"/>
      <c r="C121" s="28" t="s">
        <v>104</v>
      </c>
      <c r="D121" s="29"/>
      <c r="E121" s="16">
        <f>'GENTENG KULON'!BK121+'GENTENG WETAN'!BL121+KALIGONDO!BB121+KEMBIRITAN!BQ121+SETAIL!BC121</f>
        <v>14</v>
      </c>
      <c r="F121" s="14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14"/>
      <c r="B122" s="27"/>
      <c r="C122" s="28" t="s">
        <v>105</v>
      </c>
      <c r="D122" s="29"/>
      <c r="E122" s="16">
        <f>'GENTENG KULON'!BK122+'GENTENG WETAN'!BL122+KALIGONDO!BB122+KEMBIRITAN!BQ122+SETAIL!BC122</f>
        <v>6</v>
      </c>
      <c r="F122" s="14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14"/>
      <c r="B123" s="27"/>
      <c r="C123" s="28" t="s">
        <v>106</v>
      </c>
      <c r="D123" s="29"/>
      <c r="E123" s="16">
        <f>'GENTENG KULON'!BK123+'GENTENG WETAN'!BL123+KALIGONDO!BB123+KEMBIRITAN!BQ123+SETAIL!BC123</f>
        <v>20</v>
      </c>
      <c r="F123" s="14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14"/>
      <c r="B124" s="27"/>
      <c r="C124" s="28" t="s">
        <v>107</v>
      </c>
      <c r="D124" s="29"/>
      <c r="E124" s="16">
        <f>'GENTENG KULON'!BK124+'GENTENG WETAN'!BL124+KALIGONDO!BB124+KEMBIRITAN!BQ124+SETAIL!BC124</f>
        <v>9</v>
      </c>
      <c r="F124" s="14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14"/>
      <c r="B125" s="27"/>
      <c r="C125" s="28" t="s">
        <v>108</v>
      </c>
      <c r="D125" s="29"/>
      <c r="E125" s="16">
        <f>'GENTENG KULON'!BK125+'GENTENG WETAN'!BL125+KALIGONDO!BB125+KEMBIRITAN!BQ125+SETAIL!BC125</f>
        <v>167</v>
      </c>
      <c r="F125" s="14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15" t="s">
        <v>15</v>
      </c>
      <c r="B126" s="45" t="s">
        <v>47</v>
      </c>
      <c r="C126" s="46"/>
      <c r="D126" s="47"/>
      <c r="E126" s="34">
        <f>SUM(E118:E125)</f>
        <v>302</v>
      </c>
      <c r="F126" s="14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35"/>
      <c r="B127" s="36"/>
      <c r="C127" s="36"/>
      <c r="D127" s="36"/>
      <c r="E127" s="36"/>
      <c r="F127" s="14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19" t="s">
        <v>37</v>
      </c>
      <c r="B128" s="26" t="s">
        <v>109</v>
      </c>
      <c r="C128" s="48" t="s">
        <v>110</v>
      </c>
      <c r="D128" s="47"/>
      <c r="E128" s="16">
        <f>'GENTENG KULON'!BK128+'GENTENG WETAN'!BL128+KALIGONDO!BB128+KEMBIRITAN!BQ128+SETAIL!BC128</f>
        <v>47</v>
      </c>
      <c r="F128" s="14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19" t="s">
        <v>39</v>
      </c>
      <c r="B129" s="27"/>
      <c r="C129" s="28"/>
      <c r="D129" s="29"/>
      <c r="E129" s="16">
        <f>'GENTENG KULON'!BK129+'GENTENG WETAN'!BL129+KALIGONDO!BB129+KEMBIRITAN!BQ129+SETAIL!BC129</f>
        <v>0</v>
      </c>
      <c r="F129" s="17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15" t="s">
        <v>15</v>
      </c>
      <c r="B130" s="45" t="s">
        <v>47</v>
      </c>
      <c r="C130" s="46"/>
      <c r="D130" s="47"/>
      <c r="E130" s="34">
        <f>SUM(E128:E129)</f>
        <v>47</v>
      </c>
      <c r="F130" s="30"/>
      <c r="G130" s="31"/>
      <c r="H130" s="31"/>
      <c r="I130" s="31"/>
      <c r="J130" s="31"/>
      <c r="K130" s="31"/>
      <c r="L130" s="31"/>
      <c r="M130" s="31"/>
      <c r="N130" s="31"/>
      <c r="O130" s="31"/>
      <c r="P130" s="32"/>
      <c r="Q130" s="3"/>
      <c r="R130" s="3"/>
      <c r="S130" s="3"/>
      <c r="T130" s="3"/>
      <c r="U130" s="3"/>
      <c r="V130" s="3"/>
      <c r="W130" s="33"/>
      <c r="X130" s="3"/>
      <c r="Y130" s="3"/>
      <c r="Z130" s="3"/>
    </row>
    <row r="131" spans="1:26" ht="15.75" customHeight="1" x14ac:dyDescent="0.3">
      <c r="A131" s="35"/>
      <c r="B131" s="36"/>
      <c r="C131" s="36"/>
      <c r="D131" s="36"/>
      <c r="E131" s="36"/>
      <c r="F131" s="14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19" t="s">
        <v>37</v>
      </c>
      <c r="B132" s="26" t="s">
        <v>111</v>
      </c>
      <c r="C132" s="48" t="s">
        <v>112</v>
      </c>
      <c r="D132" s="47"/>
      <c r="E132" s="16">
        <f>'GENTENG KULON'!BK132+'GENTENG WETAN'!BL132+KALIGONDO!BB132+KEMBIRITAN!BQ132+SETAIL!BC132</f>
        <v>172</v>
      </c>
      <c r="F132" s="14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19" t="s">
        <v>39</v>
      </c>
      <c r="B133" s="27"/>
      <c r="C133" s="28" t="s">
        <v>113</v>
      </c>
      <c r="D133" s="29"/>
      <c r="E133" s="16">
        <f>'GENTENG KULON'!BK133+'GENTENG WETAN'!BL133+KALIGONDO!BB133+KEMBIRITAN!BQ133+SETAIL!BC133</f>
        <v>347</v>
      </c>
      <c r="F133" s="14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14"/>
      <c r="B134" s="27"/>
      <c r="C134" s="28" t="s">
        <v>114</v>
      </c>
      <c r="D134" s="29"/>
      <c r="E134" s="16">
        <f>'GENTENG KULON'!BK134+'GENTENG WETAN'!BL134+KALIGONDO!BB134+KEMBIRITAN!BQ134+SETAIL!BC134</f>
        <v>63</v>
      </c>
      <c r="F134" s="14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14"/>
      <c r="B135" s="27"/>
      <c r="C135" s="28" t="s">
        <v>115</v>
      </c>
      <c r="D135" s="29"/>
      <c r="E135" s="16">
        <f>'GENTENG KULON'!BK135+'GENTENG WETAN'!BL135+KALIGONDO!BB135+KEMBIRITAN!BQ135+SETAIL!BC135</f>
        <v>38</v>
      </c>
      <c r="F135" s="14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14"/>
      <c r="B136" s="27"/>
      <c r="C136" s="28" t="s">
        <v>116</v>
      </c>
      <c r="D136" s="29"/>
      <c r="E136" s="16">
        <f>'GENTENG KULON'!BK136+'GENTENG WETAN'!BL136+KALIGONDO!BB136+KEMBIRITAN!BQ136+SETAIL!BC136</f>
        <v>265</v>
      </c>
      <c r="F136" s="14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14"/>
      <c r="B137" s="27"/>
      <c r="C137" s="28" t="s">
        <v>117</v>
      </c>
      <c r="D137" s="29"/>
      <c r="E137" s="16">
        <f>'GENTENG KULON'!BK137+'GENTENG WETAN'!BL137+KALIGONDO!BB137+KEMBIRITAN!BQ137+SETAIL!BC137</f>
        <v>21</v>
      </c>
      <c r="F137" s="14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14"/>
      <c r="B138" s="27"/>
      <c r="C138" s="28" t="s">
        <v>118</v>
      </c>
      <c r="D138" s="29"/>
      <c r="E138" s="16">
        <f>'GENTENG KULON'!BK138+'GENTENG WETAN'!BL138+KALIGONDO!BB138+KEMBIRITAN!BQ138+SETAIL!BC138</f>
        <v>6</v>
      </c>
      <c r="F138" s="14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14"/>
      <c r="B139" s="27"/>
      <c r="C139" s="28" t="s">
        <v>119</v>
      </c>
      <c r="D139" s="29"/>
      <c r="E139" s="16">
        <f>'GENTENG KULON'!BK139+'GENTENG WETAN'!BL139+KALIGONDO!BB139+KEMBIRITAN!BQ139+SETAIL!BC139</f>
        <v>27</v>
      </c>
      <c r="F139" s="14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15" t="s">
        <v>15</v>
      </c>
      <c r="B140" s="45" t="s">
        <v>47</v>
      </c>
      <c r="C140" s="46"/>
      <c r="D140" s="47"/>
      <c r="E140" s="34">
        <f>SUM(E132:E139)</f>
        <v>939</v>
      </c>
      <c r="F140" s="14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35"/>
      <c r="B141" s="36"/>
      <c r="C141" s="36"/>
      <c r="D141" s="36"/>
      <c r="E141" s="36"/>
      <c r="F141" s="17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19" t="s">
        <v>37</v>
      </c>
      <c r="B142" s="26" t="s">
        <v>120</v>
      </c>
      <c r="C142" s="48" t="s">
        <v>121</v>
      </c>
      <c r="D142" s="47"/>
      <c r="E142" s="16">
        <f>'GENTENG KULON'!BK142+'GENTENG WETAN'!BL142+KALIGONDO!BB142+KEMBIRITAN!BQ142+SETAIL!BC142</f>
        <v>28</v>
      </c>
      <c r="F142" s="30"/>
      <c r="G142" s="31"/>
      <c r="H142" s="31"/>
      <c r="I142" s="31"/>
      <c r="J142" s="31"/>
      <c r="K142" s="31"/>
      <c r="L142" s="31"/>
      <c r="M142" s="31"/>
      <c r="N142" s="31"/>
      <c r="O142" s="31"/>
      <c r="P142" s="32"/>
      <c r="Q142" s="3"/>
      <c r="R142" s="3"/>
      <c r="S142" s="3"/>
      <c r="T142" s="3"/>
      <c r="U142" s="3"/>
      <c r="V142" s="3"/>
      <c r="W142" s="33"/>
      <c r="X142" s="3"/>
      <c r="Y142" s="3"/>
      <c r="Z142" s="3"/>
    </row>
    <row r="143" spans="1:26" ht="15.75" customHeight="1" x14ac:dyDescent="0.3">
      <c r="A143" s="19" t="s">
        <v>39</v>
      </c>
      <c r="B143" s="27"/>
      <c r="C143" s="28" t="s">
        <v>122</v>
      </c>
      <c r="D143" s="29"/>
      <c r="E143" s="16">
        <f>'GENTENG KULON'!BK143+'GENTENG WETAN'!BL143+KALIGONDO!BB143+KEMBIRITAN!BQ143+SETAIL!BC143</f>
        <v>6</v>
      </c>
      <c r="F143" s="14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14"/>
      <c r="B144" s="27"/>
      <c r="C144" s="28" t="s">
        <v>123</v>
      </c>
      <c r="D144" s="29"/>
      <c r="E144" s="16">
        <f>'GENTENG KULON'!BK144+'GENTENG WETAN'!BL144+KALIGONDO!BB144+KEMBIRITAN!BQ144+SETAIL!BC144</f>
        <v>83</v>
      </c>
      <c r="F144" s="14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14"/>
      <c r="B145" s="27"/>
      <c r="C145" s="28" t="s">
        <v>124</v>
      </c>
      <c r="D145" s="29"/>
      <c r="E145" s="16">
        <f>'GENTENG KULON'!BK145+'GENTENG WETAN'!BL145+KALIGONDO!BB145+KEMBIRITAN!BQ145+SETAIL!BC145</f>
        <v>9</v>
      </c>
      <c r="F145" s="14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14"/>
      <c r="B146" s="27"/>
      <c r="C146" s="28" t="s">
        <v>125</v>
      </c>
      <c r="D146" s="29"/>
      <c r="E146" s="16">
        <f>'GENTENG KULON'!BK146+'GENTENG WETAN'!BL146+KALIGONDO!BB146+KEMBIRITAN!BQ146+SETAIL!BC146</f>
        <v>3</v>
      </c>
      <c r="F146" s="14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14"/>
      <c r="B147" s="27"/>
      <c r="C147" s="28" t="s">
        <v>126</v>
      </c>
      <c r="D147" s="29"/>
      <c r="E147" s="16">
        <f>'GENTENG KULON'!BK147+'GENTENG WETAN'!BL147+KALIGONDO!BB147+KEMBIRITAN!BQ147+SETAIL!BC147</f>
        <v>4</v>
      </c>
      <c r="F147" s="14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14"/>
      <c r="B148" s="27"/>
      <c r="C148" s="28" t="s">
        <v>127</v>
      </c>
      <c r="D148" s="29"/>
      <c r="E148" s="16">
        <f>'GENTENG KULON'!BK148+'GENTENG WETAN'!BL148+KALIGONDO!BB148+KEMBIRITAN!BQ148+SETAIL!BC148</f>
        <v>6</v>
      </c>
      <c r="F148" s="14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14"/>
      <c r="B149" s="27"/>
      <c r="C149" s="28" t="s">
        <v>128</v>
      </c>
      <c r="D149" s="29"/>
      <c r="E149" s="16">
        <f>'GENTENG KULON'!BK149+'GENTENG WETAN'!BL149+KALIGONDO!BB149+KEMBIRITAN!BQ149+SETAIL!BC149</f>
        <v>4</v>
      </c>
      <c r="F149" s="14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15" t="s">
        <v>15</v>
      </c>
      <c r="B150" s="45" t="s">
        <v>47</v>
      </c>
      <c r="C150" s="46"/>
      <c r="D150" s="47"/>
      <c r="E150" s="34">
        <f>SUM(E142:E149)</f>
        <v>143</v>
      </c>
      <c r="F150" s="14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35"/>
      <c r="B151" s="36"/>
      <c r="C151" s="36"/>
      <c r="D151" s="36"/>
      <c r="E151" s="36"/>
      <c r="F151" s="14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19" t="s">
        <v>37</v>
      </c>
      <c r="B152" s="26" t="s">
        <v>129</v>
      </c>
      <c r="C152" s="48" t="s">
        <v>130</v>
      </c>
      <c r="D152" s="47"/>
      <c r="E152" s="16">
        <f>'GENTENG KULON'!BK152+'GENTENG WETAN'!BL152+KALIGONDO!BB152+KEMBIRITAN!BQ152+SETAIL!BC152</f>
        <v>639</v>
      </c>
      <c r="F152" s="17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19" t="s">
        <v>39</v>
      </c>
      <c r="B153" s="27"/>
      <c r="C153" s="28" t="s">
        <v>131</v>
      </c>
      <c r="D153" s="29"/>
      <c r="E153" s="16">
        <f>'GENTENG KULON'!BK153+'GENTENG WETAN'!BL153+KALIGONDO!BB153+KEMBIRITAN!BQ153+SETAIL!BC153</f>
        <v>534</v>
      </c>
      <c r="F153" s="30"/>
      <c r="G153" s="31"/>
      <c r="H153" s="31"/>
      <c r="I153" s="31"/>
      <c r="J153" s="31"/>
      <c r="K153" s="31"/>
      <c r="L153" s="31"/>
      <c r="M153" s="31"/>
      <c r="N153" s="31"/>
      <c r="O153" s="31"/>
      <c r="P153" s="32"/>
      <c r="Q153" s="3"/>
      <c r="R153" s="3"/>
      <c r="S153" s="3"/>
      <c r="T153" s="3"/>
      <c r="U153" s="3"/>
      <c r="V153" s="3"/>
      <c r="W153" s="33"/>
      <c r="X153" s="3"/>
      <c r="Y153" s="3"/>
      <c r="Z153" s="3"/>
    </row>
    <row r="154" spans="1:26" ht="15.75" customHeight="1" x14ac:dyDescent="0.3">
      <c r="A154" s="14"/>
      <c r="B154" s="27"/>
      <c r="C154" s="28" t="s">
        <v>132</v>
      </c>
      <c r="D154" s="29"/>
      <c r="E154" s="16">
        <f>'GENTENG KULON'!BK154+'GENTENG WETAN'!BL154+KALIGONDO!BB154+KEMBIRITAN!BQ154+SETAIL!BC154</f>
        <v>210</v>
      </c>
      <c r="F154" s="14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14"/>
      <c r="B155" s="27"/>
      <c r="C155" s="28" t="s">
        <v>133</v>
      </c>
      <c r="D155" s="29"/>
      <c r="E155" s="16">
        <f>'GENTENG KULON'!BK155+'GENTENG WETAN'!BL155+KALIGONDO!BB155+KEMBIRITAN!BQ155+SETAIL!BC155</f>
        <v>85</v>
      </c>
      <c r="F155" s="14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14"/>
      <c r="B156" s="27"/>
      <c r="C156" s="28" t="s">
        <v>134</v>
      </c>
      <c r="D156" s="29"/>
      <c r="E156" s="16">
        <f>'GENTENG KULON'!BK156+'GENTENG WETAN'!BL156+KALIGONDO!BB156+KEMBIRITAN!BQ156+SETAIL!BC156</f>
        <v>90</v>
      </c>
      <c r="F156" s="14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14"/>
      <c r="B157" s="27"/>
      <c r="C157" s="28" t="s">
        <v>135</v>
      </c>
      <c r="D157" s="29"/>
      <c r="E157" s="16">
        <f>'GENTENG KULON'!BK157+'GENTENG WETAN'!BL157+KALIGONDO!BB157+KEMBIRITAN!BQ157+SETAIL!BC157</f>
        <v>1750</v>
      </c>
      <c r="F157" s="14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14"/>
      <c r="B158" s="27"/>
      <c r="C158" s="28" t="s">
        <v>136</v>
      </c>
      <c r="D158" s="29"/>
      <c r="E158" s="16">
        <f>'GENTENG KULON'!BK158+'GENTENG WETAN'!BL158+KALIGONDO!BB158+KEMBIRITAN!BQ158+SETAIL!BC158</f>
        <v>26</v>
      </c>
      <c r="F158" s="14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14"/>
      <c r="B159" s="27"/>
      <c r="C159" s="28" t="s">
        <v>137</v>
      </c>
      <c r="D159" s="29"/>
      <c r="E159" s="16">
        <f>'GENTENG KULON'!BK159+'GENTENG WETAN'!BL159+KALIGONDO!BB159+KEMBIRITAN!BQ159+SETAIL!BC159</f>
        <v>2223</v>
      </c>
      <c r="F159" s="14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15" t="s">
        <v>15</v>
      </c>
      <c r="B160" s="45" t="s">
        <v>47</v>
      </c>
      <c r="C160" s="46"/>
      <c r="D160" s="47"/>
      <c r="E160" s="34">
        <f>SUM(E152:E159)</f>
        <v>5557</v>
      </c>
      <c r="F160" s="14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35"/>
      <c r="B161" s="36"/>
      <c r="C161" s="36"/>
      <c r="D161" s="36"/>
      <c r="E161" s="36"/>
      <c r="F161" s="14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19" t="s">
        <v>37</v>
      </c>
      <c r="B162" s="26" t="s">
        <v>138</v>
      </c>
      <c r="C162" s="48" t="s">
        <v>139</v>
      </c>
      <c r="D162" s="47"/>
      <c r="E162" s="16">
        <f>'GENTENG KULON'!BK162+'GENTENG WETAN'!BL162+KALIGONDO!BB162+KEMBIRITAN!BQ162+SETAIL!BC162</f>
        <v>292</v>
      </c>
      <c r="F162" s="14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19" t="s">
        <v>39</v>
      </c>
      <c r="B163" s="27"/>
      <c r="C163" s="28" t="s">
        <v>140</v>
      </c>
      <c r="D163" s="29"/>
      <c r="E163" s="16">
        <f>'GENTENG KULON'!BK163+'GENTENG WETAN'!BL163+KALIGONDO!BB163+KEMBIRITAN!BQ163+SETAIL!BC163</f>
        <v>473</v>
      </c>
      <c r="F163" s="14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19"/>
      <c r="B164" s="27"/>
      <c r="C164" s="28" t="s">
        <v>141</v>
      </c>
      <c r="D164" s="29"/>
      <c r="E164" s="16">
        <f>'GENTENG KULON'!BK164+'GENTENG WETAN'!BL164+KALIGONDO!BB164+KEMBIRITAN!BQ164+SETAIL!BC164</f>
        <v>94</v>
      </c>
      <c r="F164" s="14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15" t="s">
        <v>15</v>
      </c>
      <c r="B165" s="45" t="s">
        <v>47</v>
      </c>
      <c r="C165" s="46"/>
      <c r="D165" s="47"/>
      <c r="E165" s="34">
        <f>SUM(E162:E164)</f>
        <v>859</v>
      </c>
      <c r="F165" s="17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35"/>
      <c r="B166" s="36"/>
      <c r="C166" s="36"/>
      <c r="D166" s="36"/>
      <c r="E166" s="36"/>
      <c r="F166" s="30"/>
      <c r="G166" s="31"/>
      <c r="H166" s="31"/>
      <c r="I166" s="31"/>
      <c r="J166" s="31"/>
      <c r="K166" s="31"/>
      <c r="L166" s="31"/>
      <c r="M166" s="31"/>
      <c r="N166" s="31"/>
      <c r="O166" s="31"/>
      <c r="P166" s="32"/>
      <c r="Q166" s="3"/>
      <c r="R166" s="3"/>
      <c r="S166" s="3"/>
      <c r="T166" s="3"/>
      <c r="U166" s="3"/>
      <c r="V166" s="3"/>
      <c r="W166" s="33"/>
      <c r="X166" s="3"/>
      <c r="Y166" s="3"/>
      <c r="Z166" s="3"/>
    </row>
    <row r="167" spans="1:26" ht="15.75" customHeight="1" x14ac:dyDescent="0.3">
      <c r="A167" s="19" t="s">
        <v>37</v>
      </c>
      <c r="B167" s="26" t="s">
        <v>142</v>
      </c>
      <c r="C167" s="48" t="s">
        <v>143</v>
      </c>
      <c r="D167" s="47"/>
      <c r="E167" s="16">
        <f>'GENTENG KULON'!BK167+'GENTENG WETAN'!BL167+KALIGONDO!BB167+KEMBIRITAN!BQ167+SETAIL!BC167</f>
        <v>69</v>
      </c>
      <c r="F167" s="14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19"/>
      <c r="B168" s="26"/>
      <c r="C168" s="28" t="s">
        <v>144</v>
      </c>
      <c r="D168" s="37"/>
      <c r="E168" s="16">
        <f>'GENTENG KULON'!BK168+'GENTENG WETAN'!BL168+KALIGONDO!BB168+KEMBIRITAN!BQ168+SETAIL!BC168</f>
        <v>207</v>
      </c>
      <c r="F168" s="14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19"/>
      <c r="B169" s="26"/>
      <c r="C169" s="28" t="s">
        <v>145</v>
      </c>
      <c r="D169" s="37"/>
      <c r="E169" s="16">
        <f>'GENTENG KULON'!BK169+'GENTENG WETAN'!BL169+KALIGONDO!BB169+KEMBIRITAN!BQ169+SETAIL!BC169</f>
        <v>18</v>
      </c>
      <c r="F169" s="14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19"/>
      <c r="B170" s="26"/>
      <c r="C170" s="28" t="s">
        <v>146</v>
      </c>
      <c r="D170" s="37"/>
      <c r="E170" s="16">
        <f>'GENTENG KULON'!BK170+'GENTENG WETAN'!BL170+KALIGONDO!BB170+KEMBIRITAN!BQ170+SETAIL!BC170</f>
        <v>13</v>
      </c>
      <c r="F170" s="14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19" t="s">
        <v>39</v>
      </c>
      <c r="B171" s="27"/>
      <c r="C171" s="28" t="s">
        <v>147</v>
      </c>
      <c r="D171" s="29"/>
      <c r="E171" s="16">
        <f>'GENTENG KULON'!BK171+'GENTENG WETAN'!BL171+KALIGONDO!BB171+KEMBIRITAN!BQ171+SETAIL!BC171</f>
        <v>57</v>
      </c>
      <c r="F171" s="14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15" t="s">
        <v>15</v>
      </c>
      <c r="B172" s="45" t="s">
        <v>47</v>
      </c>
      <c r="C172" s="46"/>
      <c r="D172" s="47"/>
      <c r="E172" s="34">
        <f>SUM(E167:E171)</f>
        <v>364</v>
      </c>
      <c r="F172" s="14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35"/>
      <c r="B173" s="36"/>
      <c r="C173" s="36"/>
      <c r="D173" s="36"/>
      <c r="E173" s="36"/>
      <c r="F173" s="14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19" t="s">
        <v>37</v>
      </c>
      <c r="B174" s="26" t="s">
        <v>148</v>
      </c>
      <c r="C174" s="48" t="s">
        <v>149</v>
      </c>
      <c r="D174" s="47"/>
      <c r="E174" s="16">
        <f>'GENTENG KULON'!BK174+'GENTENG WETAN'!BL174+KALIGONDO!BB174+KEMBIRITAN!BQ174+SETAIL!BC174</f>
        <v>171</v>
      </c>
      <c r="F174" s="14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19" t="s">
        <v>39</v>
      </c>
      <c r="B175" s="27"/>
      <c r="C175" s="28" t="s">
        <v>150</v>
      </c>
      <c r="D175" s="29"/>
      <c r="E175" s="16">
        <f>'GENTENG KULON'!BK175+'GENTENG WETAN'!BL175+KALIGONDO!BB175+KEMBIRITAN!BQ175+SETAIL!BC175</f>
        <v>86</v>
      </c>
      <c r="F175" s="14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14"/>
      <c r="B176" s="27"/>
      <c r="C176" s="28" t="s">
        <v>151</v>
      </c>
      <c r="D176" s="29"/>
      <c r="E176" s="16">
        <f>'GENTENG KULON'!BK176+'GENTENG WETAN'!BL176+KALIGONDO!BB176+KEMBIRITAN!BQ176+SETAIL!BC176</f>
        <v>1227</v>
      </c>
      <c r="F176" s="14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14"/>
      <c r="B177" s="27"/>
      <c r="C177" s="28" t="s">
        <v>152</v>
      </c>
      <c r="D177" s="29"/>
      <c r="E177" s="16">
        <f>'GENTENG KULON'!BK177+'GENTENG WETAN'!BL177+KALIGONDO!BB177+KEMBIRITAN!BQ177+SETAIL!BC177</f>
        <v>176</v>
      </c>
      <c r="F177" s="17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14"/>
      <c r="B178" s="27"/>
      <c r="C178" s="28" t="s">
        <v>153</v>
      </c>
      <c r="D178" s="29"/>
      <c r="E178" s="16">
        <f>'GENTENG KULON'!BK178+'GENTENG WETAN'!BL178+KALIGONDO!BB178+KEMBIRITAN!BQ178+SETAIL!BC178</f>
        <v>15</v>
      </c>
      <c r="F178" s="30"/>
      <c r="G178" s="31"/>
      <c r="H178" s="31"/>
      <c r="I178" s="31"/>
      <c r="J178" s="31"/>
      <c r="K178" s="31"/>
      <c r="L178" s="31"/>
      <c r="M178" s="31"/>
      <c r="N178" s="31"/>
      <c r="O178" s="31"/>
      <c r="P178" s="32"/>
      <c r="Q178" s="3"/>
      <c r="R178" s="3"/>
      <c r="S178" s="3"/>
      <c r="T178" s="3"/>
      <c r="U178" s="3"/>
      <c r="V178" s="3"/>
      <c r="W178" s="33"/>
      <c r="X178" s="3"/>
      <c r="Y178" s="3"/>
      <c r="Z178" s="3"/>
    </row>
    <row r="179" spans="1:26" ht="15.75" customHeight="1" x14ac:dyDescent="0.3">
      <c r="A179" s="14"/>
      <c r="B179" s="27"/>
      <c r="C179" s="28" t="s">
        <v>154</v>
      </c>
      <c r="D179" s="29"/>
      <c r="E179" s="16">
        <f>'GENTENG KULON'!BK179+'GENTENG WETAN'!BL179+KALIGONDO!BB179+KEMBIRITAN!BQ179+SETAIL!BC179</f>
        <v>8</v>
      </c>
      <c r="F179" s="14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14"/>
      <c r="B180" s="27"/>
      <c r="C180" s="28" t="s">
        <v>155</v>
      </c>
      <c r="D180" s="29"/>
      <c r="E180" s="16">
        <f>'GENTENG KULON'!BK180+'GENTENG WETAN'!BL180+KALIGONDO!BB180+KEMBIRITAN!BQ180+SETAIL!BC180</f>
        <v>13</v>
      </c>
      <c r="F180" s="14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15" t="s">
        <v>15</v>
      </c>
      <c r="B181" s="45" t="s">
        <v>47</v>
      </c>
      <c r="C181" s="46"/>
      <c r="D181" s="47"/>
      <c r="E181" s="34">
        <f>SUM(E174:E180)</f>
        <v>1696</v>
      </c>
      <c r="F181" s="14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35"/>
      <c r="B182" s="36"/>
      <c r="C182" s="36"/>
      <c r="D182" s="36"/>
      <c r="E182" s="36"/>
      <c r="F182" s="14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19" t="s">
        <v>37</v>
      </c>
      <c r="B183" s="26" t="s">
        <v>156</v>
      </c>
      <c r="C183" s="48" t="s">
        <v>157</v>
      </c>
      <c r="D183" s="47"/>
      <c r="E183" s="16">
        <f>'GENTENG KULON'!BK183+'GENTENG WETAN'!BL183+KALIGONDO!BB183+KEMBIRITAN!BQ183+SETAIL!BC183</f>
        <v>72</v>
      </c>
      <c r="F183" s="14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19"/>
      <c r="B184" s="26"/>
      <c r="C184" s="28" t="s">
        <v>158</v>
      </c>
      <c r="D184" s="37"/>
      <c r="E184" s="16">
        <f>'GENTENG KULON'!BK184+'GENTENG WETAN'!BL184+KALIGONDO!BB184+KEMBIRITAN!BQ184+SETAIL!BC184</f>
        <v>38</v>
      </c>
      <c r="F184" s="14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19"/>
      <c r="B185" s="26"/>
      <c r="C185" s="28" t="s">
        <v>159</v>
      </c>
      <c r="D185" s="37"/>
      <c r="E185" s="16">
        <f>'GENTENG KULON'!BK185+'GENTENG WETAN'!BL185+KALIGONDO!BB185+KEMBIRITAN!BQ185+SETAIL!BC185</f>
        <v>226</v>
      </c>
      <c r="F185" s="14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19" t="s">
        <v>39</v>
      </c>
      <c r="B186" s="27"/>
      <c r="C186" s="28" t="s">
        <v>160</v>
      </c>
      <c r="D186" s="29"/>
      <c r="E186" s="16">
        <f>'GENTENG KULON'!BK186+'GENTENG WETAN'!BL186+KALIGONDO!BB186+KEMBIRITAN!BQ186+SETAIL!BC186</f>
        <v>60</v>
      </c>
      <c r="F186" s="14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15" t="s">
        <v>15</v>
      </c>
      <c r="B187" s="45" t="s">
        <v>47</v>
      </c>
      <c r="C187" s="46"/>
      <c r="D187" s="47"/>
      <c r="E187" s="34">
        <f>SUM(E183:E186)</f>
        <v>396</v>
      </c>
      <c r="F187" s="14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51"/>
      <c r="B188" s="52"/>
      <c r="C188" s="52"/>
      <c r="D188" s="53"/>
      <c r="E188" s="16"/>
      <c r="F188" s="14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25" t="s">
        <v>161</v>
      </c>
      <c r="B189" s="49" t="s">
        <v>162</v>
      </c>
      <c r="C189" s="46"/>
      <c r="D189" s="47"/>
      <c r="E189" s="18"/>
      <c r="F189" s="17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25"/>
      <c r="B190" s="38" t="s">
        <v>163</v>
      </c>
      <c r="C190" s="50" t="s">
        <v>164</v>
      </c>
      <c r="D190" s="47"/>
      <c r="E190" s="16">
        <f>'GENTENG KULON'!BK190+'GENTENG WETAN'!BL190+KALIGONDO!BB190+KEMBIRITAN!BQ190+SETAIL!BC190</f>
        <v>51839</v>
      </c>
      <c r="F190" s="30"/>
      <c r="G190" s="31"/>
      <c r="H190" s="31"/>
      <c r="I190" s="31"/>
      <c r="J190" s="31"/>
      <c r="K190" s="31"/>
      <c r="L190" s="31"/>
      <c r="M190" s="31"/>
      <c r="N190" s="31"/>
      <c r="O190" s="31"/>
      <c r="P190" s="32"/>
      <c r="Q190" s="3"/>
      <c r="R190" s="3"/>
      <c r="S190" s="3"/>
      <c r="T190" s="3"/>
      <c r="U190" s="3"/>
      <c r="V190" s="3"/>
      <c r="W190" s="33"/>
      <c r="X190" s="3"/>
      <c r="Y190" s="3"/>
      <c r="Z190" s="3"/>
    </row>
    <row r="191" spans="1:26" ht="15.75" customHeight="1" x14ac:dyDescent="0.3">
      <c r="A191" s="21"/>
      <c r="B191" s="38" t="s">
        <v>165</v>
      </c>
      <c r="C191" s="50" t="s">
        <v>166</v>
      </c>
      <c r="D191" s="47"/>
      <c r="E191" s="16">
        <f>'GENTENG KULON'!BK191+'GENTENG WETAN'!BL191+KALIGONDO!BB191+KEMBIRITAN!BQ191+SETAIL!BC191</f>
        <v>3349</v>
      </c>
      <c r="F191" s="14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24"/>
      <c r="B192" s="38" t="s">
        <v>167</v>
      </c>
      <c r="C192" s="50" t="s">
        <v>168</v>
      </c>
      <c r="D192" s="47"/>
      <c r="E192" s="18">
        <f>SUM(E190:E191)</f>
        <v>55188</v>
      </c>
      <c r="F192" s="14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5"/>
      <c r="B193" s="39"/>
      <c r="C193" s="40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5"/>
      <c r="B194" s="39"/>
      <c r="C194" s="40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5"/>
      <c r="B195" s="39"/>
      <c r="C195" s="40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hidden="1" customHeight="1" x14ac:dyDescent="0.3">
      <c r="A196" s="5"/>
      <c r="B196" s="39"/>
      <c r="C196" s="4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hidden="1" customHeight="1" x14ac:dyDescent="0.3">
      <c r="A197" s="5"/>
      <c r="B197" s="39"/>
      <c r="C197" s="4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hidden="1" customHeight="1" x14ac:dyDescent="0.3">
      <c r="A198" s="5"/>
      <c r="B198" s="39"/>
      <c r="C198" s="40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hidden="1" customHeight="1" x14ac:dyDescent="0.3">
      <c r="A199" s="5"/>
      <c r="B199" s="39"/>
      <c r="C199" s="40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hidden="1" customHeight="1" x14ac:dyDescent="0.3">
      <c r="A200" s="5"/>
      <c r="B200" s="39"/>
      <c r="C200" s="40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hidden="1" customHeight="1" x14ac:dyDescent="0.3">
      <c r="A201" s="5"/>
      <c r="B201" s="39"/>
      <c r="C201" s="40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hidden="1" customHeight="1" x14ac:dyDescent="0.3">
      <c r="A202" s="5"/>
      <c r="B202" s="39"/>
      <c r="C202" s="40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hidden="1" customHeight="1" x14ac:dyDescent="0.3">
      <c r="A203" s="5"/>
      <c r="B203" s="39"/>
      <c r="C203" s="40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hidden="1" customHeight="1" x14ac:dyDescent="0.3">
      <c r="A204" s="5"/>
      <c r="B204" s="39"/>
      <c r="C204" s="40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hidden="1" customHeight="1" x14ac:dyDescent="0.3">
      <c r="A205" s="5"/>
      <c r="B205" s="39"/>
      <c r="C205" s="40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hidden="1" customHeight="1" x14ac:dyDescent="0.3">
      <c r="A206" s="5"/>
      <c r="B206" s="39"/>
      <c r="C206" s="4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hidden="1" customHeight="1" x14ac:dyDescent="0.3">
      <c r="A207" s="5"/>
      <c r="B207" s="39"/>
      <c r="C207" s="4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hidden="1" customHeight="1" x14ac:dyDescent="0.3">
      <c r="A208" s="5"/>
      <c r="B208" s="39"/>
      <c r="C208" s="40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hidden="1" customHeight="1" x14ac:dyDescent="0.3">
      <c r="A209" s="5"/>
      <c r="B209" s="39"/>
      <c r="C209" s="4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hidden="1" customHeight="1" x14ac:dyDescent="0.3">
      <c r="A210" s="5"/>
      <c r="B210" s="39"/>
      <c r="C210" s="40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hidden="1" customHeight="1" x14ac:dyDescent="0.3">
      <c r="A211" s="5"/>
      <c r="B211" s="39"/>
      <c r="C211" s="40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hidden="1" customHeight="1" x14ac:dyDescent="0.3">
      <c r="A212" s="5"/>
      <c r="B212" s="39"/>
      <c r="C212" s="40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hidden="1" customHeight="1" x14ac:dyDescent="0.3">
      <c r="A213" s="5"/>
      <c r="B213" s="39"/>
      <c r="C213" s="40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hidden="1" customHeight="1" x14ac:dyDescent="0.3">
      <c r="A214" s="5"/>
      <c r="B214" s="39"/>
      <c r="C214" s="40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hidden="1" customHeight="1" x14ac:dyDescent="0.3">
      <c r="A215" s="5"/>
      <c r="B215" s="39"/>
      <c r="C215" s="40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hidden="1" customHeight="1" x14ac:dyDescent="0.3">
      <c r="A216" s="5"/>
      <c r="B216" s="39"/>
      <c r="C216" s="4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hidden="1" customHeight="1" x14ac:dyDescent="0.3">
      <c r="A217" s="5"/>
      <c r="B217" s="39"/>
      <c r="C217" s="4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hidden="1" customHeight="1" x14ac:dyDescent="0.3">
      <c r="A218" s="5"/>
      <c r="B218" s="39"/>
      <c r="C218" s="40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hidden="1" customHeight="1" x14ac:dyDescent="0.3">
      <c r="A219" s="5"/>
      <c r="B219" s="39"/>
      <c r="C219" s="40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hidden="1" customHeight="1" x14ac:dyDescent="0.3">
      <c r="A220" s="5"/>
      <c r="B220" s="39"/>
      <c r="C220" s="40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hidden="1" customHeight="1" x14ac:dyDescent="0.3">
      <c r="A221" s="5"/>
      <c r="B221" s="39"/>
      <c r="C221" s="40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hidden="1" customHeight="1" x14ac:dyDescent="0.3">
      <c r="A222" s="5"/>
      <c r="B222" s="39"/>
      <c r="C222" s="40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hidden="1" customHeight="1" x14ac:dyDescent="0.3">
      <c r="A223" s="5"/>
      <c r="B223" s="39"/>
      <c r="C223" s="40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hidden="1" customHeight="1" x14ac:dyDescent="0.3">
      <c r="A224" s="5"/>
      <c r="B224" s="39"/>
      <c r="C224" s="40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hidden="1" customHeight="1" x14ac:dyDescent="0.3">
      <c r="A225" s="5"/>
      <c r="B225" s="39"/>
      <c r="C225" s="40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hidden="1" customHeight="1" x14ac:dyDescent="0.3">
      <c r="A226" s="5"/>
      <c r="B226" s="39"/>
      <c r="C226" s="4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hidden="1" customHeight="1" x14ac:dyDescent="0.3">
      <c r="A227" s="5"/>
      <c r="B227" s="39"/>
      <c r="C227" s="4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hidden="1" customHeight="1" x14ac:dyDescent="0.3">
      <c r="A228" s="5"/>
      <c r="B228" s="39"/>
      <c r="C228" s="4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hidden="1" customHeight="1" x14ac:dyDescent="0.3">
      <c r="A229" s="5"/>
      <c r="B229" s="39"/>
      <c r="C229" s="4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hidden="1" customHeight="1" x14ac:dyDescent="0.3">
      <c r="A230" s="5"/>
      <c r="B230" s="39"/>
      <c r="C230" s="40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hidden="1" customHeight="1" x14ac:dyDescent="0.3">
      <c r="A231" s="5"/>
      <c r="B231" s="39"/>
      <c r="C231" s="40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hidden="1" customHeight="1" x14ac:dyDescent="0.3">
      <c r="A232" s="5"/>
      <c r="B232" s="39"/>
      <c r="C232" s="40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hidden="1" customHeight="1" x14ac:dyDescent="0.3">
      <c r="A233" s="5"/>
      <c r="B233" s="39"/>
      <c r="C233" s="40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hidden="1" customHeight="1" x14ac:dyDescent="0.3">
      <c r="A234" s="5"/>
      <c r="B234" s="39"/>
      <c r="C234" s="40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hidden="1" customHeight="1" x14ac:dyDescent="0.3">
      <c r="A235" s="5"/>
      <c r="B235" s="39"/>
      <c r="C235" s="40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hidden="1" customHeight="1" x14ac:dyDescent="0.3">
      <c r="A236" s="5"/>
      <c r="B236" s="39"/>
      <c r="C236" s="4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hidden="1" customHeight="1" x14ac:dyDescent="0.3">
      <c r="A237" s="5"/>
      <c r="B237" s="39"/>
      <c r="C237" s="4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hidden="1" customHeight="1" x14ac:dyDescent="0.3">
      <c r="A238" s="5"/>
      <c r="B238" s="39"/>
      <c r="C238" s="4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hidden="1" customHeight="1" x14ac:dyDescent="0.3">
      <c r="A239" s="5"/>
      <c r="B239" s="39"/>
      <c r="C239" s="4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hidden="1" customHeight="1" x14ac:dyDescent="0.3">
      <c r="A240" s="5"/>
      <c r="B240" s="39"/>
      <c r="C240" s="40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hidden="1" customHeight="1" x14ac:dyDescent="0.3">
      <c r="A241" s="5"/>
      <c r="B241" s="39"/>
      <c r="C241" s="40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hidden="1" customHeight="1" x14ac:dyDescent="0.3">
      <c r="A242" s="5"/>
      <c r="B242" s="39"/>
      <c r="C242" s="40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hidden="1" customHeight="1" x14ac:dyDescent="0.3">
      <c r="A243" s="5"/>
      <c r="B243" s="39"/>
      <c r="C243" s="40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hidden="1" customHeight="1" x14ac:dyDescent="0.3">
      <c r="A244" s="5"/>
      <c r="B244" s="39"/>
      <c r="C244" s="40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hidden="1" customHeight="1" x14ac:dyDescent="0.3">
      <c r="A245" s="5"/>
      <c r="B245" s="39"/>
      <c r="C245" s="40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hidden="1" customHeight="1" x14ac:dyDescent="0.3">
      <c r="A246" s="5"/>
      <c r="B246" s="39"/>
      <c r="C246" s="4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hidden="1" customHeight="1" x14ac:dyDescent="0.3">
      <c r="A247" s="5"/>
      <c r="B247" s="39"/>
      <c r="C247" s="4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hidden="1" customHeight="1" x14ac:dyDescent="0.3">
      <c r="A248" s="5"/>
      <c r="B248" s="39"/>
      <c r="C248" s="4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hidden="1" customHeight="1" x14ac:dyDescent="0.3">
      <c r="A249" s="5"/>
      <c r="B249" s="39"/>
      <c r="C249" s="4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hidden="1" customHeight="1" x14ac:dyDescent="0.3">
      <c r="A250" s="5"/>
      <c r="B250" s="39"/>
      <c r="C250" s="40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hidden="1" customHeight="1" x14ac:dyDescent="0.3">
      <c r="A251" s="5"/>
      <c r="B251" s="39"/>
      <c r="C251" s="40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hidden="1" customHeight="1" x14ac:dyDescent="0.3">
      <c r="A252" s="5"/>
      <c r="B252" s="39"/>
      <c r="C252" s="40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hidden="1" customHeight="1" x14ac:dyDescent="0.3">
      <c r="A253" s="5"/>
      <c r="B253" s="39"/>
      <c r="C253" s="40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hidden="1" customHeight="1" x14ac:dyDescent="0.3">
      <c r="A254" s="5"/>
      <c r="B254" s="39"/>
      <c r="C254" s="40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hidden="1" customHeight="1" x14ac:dyDescent="0.3">
      <c r="A255" s="5"/>
      <c r="B255" s="39"/>
      <c r="C255" s="40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hidden="1" customHeight="1" x14ac:dyDescent="0.3">
      <c r="A256" s="5"/>
      <c r="B256" s="39"/>
      <c r="C256" s="4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hidden="1" customHeight="1" x14ac:dyDescent="0.3">
      <c r="A257" s="5"/>
      <c r="B257" s="39"/>
      <c r="C257" s="4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hidden="1" customHeight="1" x14ac:dyDescent="0.3">
      <c r="A258" s="5"/>
      <c r="B258" s="39"/>
      <c r="C258" s="40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hidden="1" customHeight="1" x14ac:dyDescent="0.3">
      <c r="A259" s="5"/>
      <c r="B259" s="39"/>
      <c r="C259" s="40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hidden="1" customHeight="1" x14ac:dyDescent="0.3">
      <c r="A260" s="5"/>
      <c r="B260" s="39"/>
      <c r="C260" s="40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0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hidden="1" customHeight="1" x14ac:dyDescent="0.3">
      <c r="A261" s="5"/>
      <c r="B261" s="39"/>
      <c r="C261" s="40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0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hidden="1" customHeight="1" x14ac:dyDescent="0.3">
      <c r="A262" s="5"/>
      <c r="B262" s="39"/>
      <c r="C262" s="40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hidden="1" customHeight="1" x14ac:dyDescent="0.3">
      <c r="A263" s="5"/>
      <c r="B263" s="39"/>
      <c r="C263" s="40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hidden="1" customHeight="1" x14ac:dyDescent="0.3">
      <c r="A264" s="5"/>
      <c r="B264" s="39"/>
      <c r="C264" s="40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hidden="1" customHeight="1" x14ac:dyDescent="0.3">
      <c r="A265" s="5"/>
      <c r="B265" s="39"/>
      <c r="C265" s="40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hidden="1" customHeight="1" x14ac:dyDescent="0.3">
      <c r="A266" s="5"/>
      <c r="B266" s="39"/>
      <c r="C266" s="40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hidden="1" customHeight="1" x14ac:dyDescent="0.3">
      <c r="A267" s="5"/>
      <c r="B267" s="39"/>
      <c r="C267" s="40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hidden="1" customHeight="1" x14ac:dyDescent="0.3">
      <c r="A268" s="5"/>
      <c r="B268" s="39"/>
      <c r="C268" s="40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hidden="1" customHeight="1" x14ac:dyDescent="0.3">
      <c r="A269" s="5"/>
      <c r="B269" s="39"/>
      <c r="C269" s="40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hidden="1" customHeight="1" x14ac:dyDescent="0.3">
      <c r="A270" s="5"/>
      <c r="B270" s="39"/>
      <c r="C270" s="40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hidden="1" customHeight="1" x14ac:dyDescent="0.3">
      <c r="A271" s="5"/>
      <c r="B271" s="39"/>
      <c r="C271" s="40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hidden="1" customHeight="1" x14ac:dyDescent="0.3">
      <c r="A272" s="5"/>
      <c r="B272" s="39"/>
      <c r="C272" s="40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hidden="1" customHeight="1" x14ac:dyDescent="0.3">
      <c r="A273" s="5"/>
      <c r="B273" s="39"/>
      <c r="C273" s="40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hidden="1" customHeight="1" x14ac:dyDescent="0.3">
      <c r="A274" s="5"/>
      <c r="B274" s="39"/>
      <c r="C274" s="40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hidden="1" customHeight="1" x14ac:dyDescent="0.3">
      <c r="A275" s="5"/>
      <c r="B275" s="39"/>
      <c r="C275" s="40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hidden="1" customHeight="1" x14ac:dyDescent="0.3">
      <c r="A276" s="5"/>
      <c r="B276" s="39"/>
      <c r="C276" s="4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hidden="1" customHeight="1" x14ac:dyDescent="0.3">
      <c r="A277" s="5"/>
      <c r="B277" s="39"/>
      <c r="C277" s="4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hidden="1" customHeight="1" x14ac:dyDescent="0.3">
      <c r="A278" s="5"/>
      <c r="B278" s="39"/>
      <c r="C278" s="40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hidden="1" customHeight="1" x14ac:dyDescent="0.3">
      <c r="A279" s="5"/>
      <c r="B279" s="39"/>
      <c r="C279" s="40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hidden="1" customHeight="1" x14ac:dyDescent="0.3">
      <c r="A280" s="5"/>
      <c r="B280" s="39"/>
      <c r="C280" s="40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hidden="1" customHeight="1" x14ac:dyDescent="0.3">
      <c r="A281" s="5"/>
      <c r="B281" s="39"/>
      <c r="C281" s="40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hidden="1" customHeight="1" x14ac:dyDescent="0.3">
      <c r="A282" s="5"/>
      <c r="B282" s="39"/>
      <c r="C282" s="40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hidden="1" customHeight="1" x14ac:dyDescent="0.3">
      <c r="A283" s="5"/>
      <c r="B283" s="39"/>
      <c r="C283" s="40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hidden="1" customHeight="1" x14ac:dyDescent="0.3">
      <c r="A284" s="5"/>
      <c r="B284" s="39"/>
      <c r="C284" s="40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hidden="1" customHeight="1" x14ac:dyDescent="0.3">
      <c r="A285" s="5"/>
      <c r="B285" s="39"/>
      <c r="C285" s="40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hidden="1" customHeight="1" x14ac:dyDescent="0.3">
      <c r="A286" s="5"/>
      <c r="B286" s="39"/>
      <c r="C286" s="4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hidden="1" customHeight="1" x14ac:dyDescent="0.3">
      <c r="A287" s="5"/>
      <c r="B287" s="39"/>
      <c r="C287" s="4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hidden="1" customHeight="1" x14ac:dyDescent="0.3">
      <c r="A288" s="5"/>
      <c r="B288" s="39"/>
      <c r="C288" s="40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hidden="1" customHeight="1" x14ac:dyDescent="0.3">
      <c r="A289" s="5"/>
      <c r="B289" s="39"/>
      <c r="C289" s="40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hidden="1" customHeight="1" x14ac:dyDescent="0.3">
      <c r="A290" s="5"/>
      <c r="B290" s="39"/>
      <c r="C290" s="40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hidden="1" customHeight="1" x14ac:dyDescent="0.3">
      <c r="A291" s="5"/>
      <c r="B291" s="39"/>
      <c r="C291" s="40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hidden="1" customHeight="1" x14ac:dyDescent="0.3">
      <c r="A292" s="5"/>
      <c r="B292" s="39"/>
      <c r="C292" s="40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hidden="1" customHeight="1" x14ac:dyDescent="0.3">
      <c r="A293" s="5"/>
      <c r="B293" s="39"/>
      <c r="C293" s="40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hidden="1" customHeight="1" x14ac:dyDescent="0.3">
      <c r="A294" s="5"/>
      <c r="B294" s="39"/>
      <c r="C294" s="40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hidden="1" customHeight="1" x14ac:dyDescent="0.3">
      <c r="A295" s="5"/>
      <c r="B295" s="39"/>
      <c r="C295" s="40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hidden="1" customHeight="1" x14ac:dyDescent="0.3">
      <c r="A296" s="5"/>
      <c r="B296" s="39"/>
      <c r="C296" s="4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hidden="1" customHeight="1" x14ac:dyDescent="0.3">
      <c r="A297" s="5"/>
      <c r="B297" s="39"/>
      <c r="C297" s="4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hidden="1" customHeight="1" x14ac:dyDescent="0.3">
      <c r="A298" s="5"/>
      <c r="B298" s="39"/>
      <c r="C298" s="40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hidden="1" customHeight="1" x14ac:dyDescent="0.3">
      <c r="A299" s="5"/>
      <c r="B299" s="39"/>
      <c r="C299" s="40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hidden="1" customHeight="1" x14ac:dyDescent="0.3">
      <c r="A300" s="5"/>
      <c r="B300" s="39"/>
      <c r="C300" s="40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hidden="1" customHeight="1" x14ac:dyDescent="0.3">
      <c r="A301" s="5"/>
      <c r="B301" s="39"/>
      <c r="C301" s="40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hidden="1" customHeight="1" x14ac:dyDescent="0.3">
      <c r="A302" s="5"/>
      <c r="B302" s="39"/>
      <c r="C302" s="40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hidden="1" customHeight="1" x14ac:dyDescent="0.3">
      <c r="A303" s="5"/>
      <c r="B303" s="39"/>
      <c r="C303" s="40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hidden="1" customHeight="1" x14ac:dyDescent="0.3">
      <c r="A304" s="5"/>
      <c r="B304" s="39"/>
      <c r="C304" s="40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hidden="1" customHeight="1" x14ac:dyDescent="0.3">
      <c r="A305" s="5"/>
      <c r="B305" s="39"/>
      <c r="C305" s="40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hidden="1" customHeight="1" x14ac:dyDescent="0.3">
      <c r="A306" s="5"/>
      <c r="B306" s="39"/>
      <c r="C306" s="4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hidden="1" customHeight="1" x14ac:dyDescent="0.3">
      <c r="A307" s="5"/>
      <c r="B307" s="39"/>
      <c r="C307" s="4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hidden="1" customHeight="1" x14ac:dyDescent="0.3">
      <c r="A308" s="5"/>
      <c r="B308" s="39"/>
      <c r="C308" s="40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hidden="1" customHeight="1" x14ac:dyDescent="0.3">
      <c r="A309" s="5"/>
      <c r="B309" s="39"/>
      <c r="C309" s="40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hidden="1" customHeight="1" x14ac:dyDescent="0.3">
      <c r="A310" s="5"/>
      <c r="B310" s="39"/>
      <c r="C310" s="40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hidden="1" customHeight="1" x14ac:dyDescent="0.3">
      <c r="A311" s="5"/>
      <c r="B311" s="39"/>
      <c r="C311" s="40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hidden="1" customHeight="1" x14ac:dyDescent="0.3">
      <c r="A312" s="5"/>
      <c r="B312" s="39"/>
      <c r="C312" s="40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hidden="1" customHeight="1" x14ac:dyDescent="0.3">
      <c r="A313" s="5"/>
      <c r="B313" s="39"/>
      <c r="C313" s="40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hidden="1" customHeight="1" x14ac:dyDescent="0.3">
      <c r="A314" s="5"/>
      <c r="B314" s="39"/>
      <c r="C314" s="40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hidden="1" customHeight="1" x14ac:dyDescent="0.3">
      <c r="A315" s="5"/>
      <c r="B315" s="39"/>
      <c r="C315" s="40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hidden="1" customHeight="1" x14ac:dyDescent="0.3">
      <c r="A316" s="5"/>
      <c r="B316" s="39"/>
      <c r="C316" s="4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hidden="1" customHeight="1" x14ac:dyDescent="0.3">
      <c r="A317" s="5"/>
      <c r="B317" s="39"/>
      <c r="C317" s="4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hidden="1" customHeight="1" x14ac:dyDescent="0.3">
      <c r="A318" s="5"/>
      <c r="B318" s="39"/>
      <c r="C318" s="40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hidden="1" customHeight="1" x14ac:dyDescent="0.3">
      <c r="A319" s="5"/>
      <c r="B319" s="39"/>
      <c r="C319" s="40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hidden="1" customHeight="1" x14ac:dyDescent="0.3">
      <c r="A320" s="5"/>
      <c r="B320" s="39"/>
      <c r="C320" s="40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hidden="1" customHeight="1" x14ac:dyDescent="0.3">
      <c r="A321" s="5"/>
      <c r="B321" s="39"/>
      <c r="C321" s="40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hidden="1" customHeight="1" x14ac:dyDescent="0.3">
      <c r="A322" s="5"/>
      <c r="B322" s="39"/>
      <c r="C322" s="40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hidden="1" customHeight="1" x14ac:dyDescent="0.3">
      <c r="A323" s="5"/>
      <c r="B323" s="39"/>
      <c r="C323" s="40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hidden="1" customHeight="1" x14ac:dyDescent="0.3">
      <c r="A324" s="5"/>
      <c r="B324" s="39"/>
      <c r="C324" s="40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hidden="1" customHeight="1" x14ac:dyDescent="0.3">
      <c r="A325" s="5"/>
      <c r="B325" s="39"/>
      <c r="C325" s="40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hidden="1" customHeight="1" x14ac:dyDescent="0.3">
      <c r="A326" s="5"/>
      <c r="B326" s="39"/>
      <c r="C326" s="4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hidden="1" customHeight="1" x14ac:dyDescent="0.3">
      <c r="A327" s="5"/>
      <c r="B327" s="39"/>
      <c r="C327" s="4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hidden="1" customHeight="1" x14ac:dyDescent="0.3">
      <c r="A328" s="5"/>
      <c r="B328" s="39"/>
      <c r="C328" s="40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hidden="1" customHeight="1" x14ac:dyDescent="0.3">
      <c r="A329" s="5"/>
      <c r="B329" s="39"/>
      <c r="C329" s="40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hidden="1" customHeight="1" x14ac:dyDescent="0.3">
      <c r="A330" s="5"/>
      <c r="B330" s="39"/>
      <c r="C330" s="40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hidden="1" customHeight="1" x14ac:dyDescent="0.3">
      <c r="A331" s="5"/>
      <c r="B331" s="39"/>
      <c r="C331" s="40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hidden="1" customHeight="1" x14ac:dyDescent="0.3">
      <c r="A332" s="5"/>
      <c r="B332" s="39"/>
      <c r="C332" s="40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hidden="1" customHeight="1" x14ac:dyDescent="0.3">
      <c r="A333" s="5"/>
      <c r="B333" s="39"/>
      <c r="C333" s="40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hidden="1" customHeight="1" x14ac:dyDescent="0.3">
      <c r="A334" s="5"/>
      <c r="B334" s="39"/>
      <c r="C334" s="40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hidden="1" customHeight="1" x14ac:dyDescent="0.3">
      <c r="A335" s="5"/>
      <c r="B335" s="39"/>
      <c r="C335" s="40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hidden="1" customHeight="1" x14ac:dyDescent="0.3">
      <c r="A336" s="5"/>
      <c r="B336" s="39"/>
      <c r="C336" s="4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hidden="1" customHeight="1" x14ac:dyDescent="0.3">
      <c r="A337" s="5"/>
      <c r="B337" s="39"/>
      <c r="C337" s="4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hidden="1" customHeight="1" x14ac:dyDescent="0.3">
      <c r="A338" s="5"/>
      <c r="B338" s="39"/>
      <c r="C338" s="40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hidden="1" customHeight="1" x14ac:dyDescent="0.3">
      <c r="A339" s="5"/>
      <c r="B339" s="39"/>
      <c r="C339" s="40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hidden="1" customHeight="1" x14ac:dyDescent="0.3">
      <c r="A340" s="5"/>
      <c r="B340" s="39"/>
      <c r="C340" s="40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hidden="1" customHeight="1" x14ac:dyDescent="0.3">
      <c r="A341" s="5"/>
      <c r="B341" s="39"/>
      <c r="C341" s="40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hidden="1" customHeight="1" x14ac:dyDescent="0.3">
      <c r="A342" s="5"/>
      <c r="B342" s="39"/>
      <c r="C342" s="40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hidden="1" customHeight="1" x14ac:dyDescent="0.3">
      <c r="A343" s="5"/>
      <c r="B343" s="39"/>
      <c r="C343" s="40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hidden="1" customHeight="1" x14ac:dyDescent="0.3">
      <c r="A344" s="5"/>
      <c r="B344" s="39"/>
      <c r="C344" s="40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hidden="1" customHeight="1" x14ac:dyDescent="0.3">
      <c r="A345" s="5"/>
      <c r="B345" s="39"/>
      <c r="C345" s="40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hidden="1" customHeight="1" x14ac:dyDescent="0.3">
      <c r="A346" s="5"/>
      <c r="B346" s="39"/>
      <c r="C346" s="4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hidden="1" customHeight="1" x14ac:dyDescent="0.3">
      <c r="A347" s="5"/>
      <c r="B347" s="39"/>
      <c r="C347" s="4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hidden="1" customHeight="1" x14ac:dyDescent="0.3">
      <c r="A348" s="5"/>
      <c r="B348" s="39"/>
      <c r="C348" s="40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hidden="1" customHeight="1" x14ac:dyDescent="0.3">
      <c r="A349" s="5"/>
      <c r="B349" s="39"/>
      <c r="C349" s="40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hidden="1" customHeight="1" x14ac:dyDescent="0.3">
      <c r="A350" s="5"/>
      <c r="B350" s="39"/>
      <c r="C350" s="40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hidden="1" customHeight="1" x14ac:dyDescent="0.3">
      <c r="A351" s="5"/>
      <c r="B351" s="39"/>
      <c r="C351" s="40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hidden="1" customHeight="1" x14ac:dyDescent="0.3">
      <c r="A352" s="5"/>
      <c r="B352" s="39"/>
      <c r="C352" s="40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hidden="1" customHeight="1" x14ac:dyDescent="0.3">
      <c r="A353" s="5"/>
      <c r="B353" s="39"/>
      <c r="C353" s="40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hidden="1" customHeight="1" x14ac:dyDescent="0.3">
      <c r="A354" s="5"/>
      <c r="B354" s="39"/>
      <c r="C354" s="40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hidden="1" customHeight="1" x14ac:dyDescent="0.3">
      <c r="A355" s="5"/>
      <c r="B355" s="39"/>
      <c r="C355" s="40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hidden="1" customHeight="1" x14ac:dyDescent="0.3">
      <c r="A356" s="5"/>
      <c r="B356" s="39"/>
      <c r="C356" s="4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hidden="1" customHeight="1" x14ac:dyDescent="0.3">
      <c r="A357" s="5"/>
      <c r="B357" s="39"/>
      <c r="C357" s="4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hidden="1" customHeight="1" x14ac:dyDescent="0.3">
      <c r="A358" s="5"/>
      <c r="B358" s="39"/>
      <c r="C358" s="40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hidden="1" customHeight="1" x14ac:dyDescent="0.3">
      <c r="A359" s="5"/>
      <c r="B359" s="39"/>
      <c r="C359" s="40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hidden="1" customHeight="1" x14ac:dyDescent="0.3">
      <c r="A360" s="5"/>
      <c r="B360" s="39"/>
      <c r="C360" s="40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hidden="1" customHeight="1" x14ac:dyDescent="0.3">
      <c r="A361" s="5"/>
      <c r="B361" s="39"/>
      <c r="C361" s="40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hidden="1" customHeight="1" x14ac:dyDescent="0.3">
      <c r="A362" s="5"/>
      <c r="B362" s="39"/>
      <c r="C362" s="40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hidden="1" customHeight="1" x14ac:dyDescent="0.3">
      <c r="A363" s="5"/>
      <c r="B363" s="39"/>
      <c r="C363" s="40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hidden="1" customHeight="1" x14ac:dyDescent="0.3">
      <c r="A364" s="5"/>
      <c r="B364" s="39"/>
      <c r="C364" s="40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hidden="1" customHeight="1" x14ac:dyDescent="0.3">
      <c r="A365" s="5"/>
      <c r="B365" s="39"/>
      <c r="C365" s="40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hidden="1" customHeight="1" x14ac:dyDescent="0.3">
      <c r="A366" s="5"/>
      <c r="B366" s="39"/>
      <c r="C366" s="4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hidden="1" customHeight="1" x14ac:dyDescent="0.3">
      <c r="A367" s="5"/>
      <c r="B367" s="39"/>
      <c r="C367" s="4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hidden="1" customHeight="1" x14ac:dyDescent="0.3">
      <c r="A368" s="5"/>
      <c r="B368" s="39"/>
      <c r="C368" s="40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hidden="1" customHeight="1" x14ac:dyDescent="0.3">
      <c r="A369" s="5"/>
      <c r="B369" s="39"/>
      <c r="C369" s="40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hidden="1" customHeight="1" x14ac:dyDescent="0.3">
      <c r="A370" s="5"/>
      <c r="B370" s="39"/>
      <c r="C370" s="40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hidden="1" customHeight="1" x14ac:dyDescent="0.3">
      <c r="A371" s="5"/>
      <c r="B371" s="39"/>
      <c r="C371" s="40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hidden="1" customHeight="1" x14ac:dyDescent="0.3">
      <c r="A372" s="5"/>
      <c r="B372" s="39"/>
      <c r="C372" s="40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hidden="1" customHeight="1" x14ac:dyDescent="0.3">
      <c r="A373" s="5"/>
      <c r="B373" s="39"/>
      <c r="C373" s="40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hidden="1" customHeight="1" x14ac:dyDescent="0.3">
      <c r="A374" s="5"/>
      <c r="B374" s="39"/>
      <c r="C374" s="40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hidden="1" customHeight="1" x14ac:dyDescent="0.3">
      <c r="A375" s="5"/>
      <c r="B375" s="39"/>
      <c r="C375" s="40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hidden="1" customHeight="1" x14ac:dyDescent="0.3">
      <c r="A376" s="5"/>
      <c r="B376" s="39"/>
      <c r="C376" s="4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hidden="1" customHeight="1" x14ac:dyDescent="0.3">
      <c r="A377" s="5"/>
      <c r="B377" s="39"/>
      <c r="C377" s="4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hidden="1" customHeight="1" x14ac:dyDescent="0.3">
      <c r="A378" s="5"/>
      <c r="B378" s="39"/>
      <c r="C378" s="40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hidden="1" customHeight="1" x14ac:dyDescent="0.3">
      <c r="A379" s="5"/>
      <c r="B379" s="39"/>
      <c r="C379" s="40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hidden="1" customHeight="1" x14ac:dyDescent="0.3">
      <c r="A380" s="5"/>
      <c r="B380" s="39"/>
      <c r="C380" s="40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hidden="1" customHeight="1" x14ac:dyDescent="0.3">
      <c r="A381" s="5"/>
      <c r="B381" s="39"/>
      <c r="C381" s="40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hidden="1" customHeight="1" x14ac:dyDescent="0.3">
      <c r="A382" s="5"/>
      <c r="B382" s="39"/>
      <c r="C382" s="40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hidden="1" customHeight="1" x14ac:dyDescent="0.3">
      <c r="A383" s="5"/>
      <c r="B383" s="39"/>
      <c r="C383" s="40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hidden="1" customHeight="1" x14ac:dyDescent="0.3">
      <c r="A384" s="5"/>
      <c r="B384" s="39"/>
      <c r="C384" s="40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hidden="1" customHeight="1" x14ac:dyDescent="0.3">
      <c r="A385" s="5"/>
      <c r="B385" s="39"/>
      <c r="C385" s="40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hidden="1" customHeight="1" x14ac:dyDescent="0.3">
      <c r="A386" s="5"/>
      <c r="B386" s="39"/>
      <c r="C386" s="40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hidden="1" customHeight="1" x14ac:dyDescent="0.3">
      <c r="A387" s="5"/>
      <c r="B387" s="39"/>
      <c r="C387" s="40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hidden="1" customHeight="1" x14ac:dyDescent="0.3">
      <c r="A388" s="5"/>
      <c r="B388" s="39"/>
      <c r="C388" s="40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hidden="1" customHeight="1" x14ac:dyDescent="0.3">
      <c r="A389" s="5"/>
      <c r="B389" s="39"/>
      <c r="C389" s="40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hidden="1" customHeight="1" x14ac:dyDescent="0.3">
      <c r="A390" s="5"/>
      <c r="B390" s="39"/>
      <c r="C390" s="40"/>
      <c r="D390" s="5"/>
      <c r="E390" s="5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hidden="1" customHeight="1" x14ac:dyDescent="0.3">
      <c r="A391" s="5"/>
      <c r="B391" s="39"/>
      <c r="C391" s="40"/>
      <c r="D391" s="5"/>
      <c r="E391" s="5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hidden="1" customHeight="1" x14ac:dyDescent="0.3">
      <c r="A392" s="5"/>
      <c r="B392" s="39"/>
      <c r="C392" s="40"/>
      <c r="D392" s="5"/>
      <c r="E392" s="5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/>
    <row r="394" spans="1:26" ht="15.75" customHeight="1" x14ac:dyDescent="0.3"/>
    <row r="395" spans="1:26" ht="15.75" customHeight="1" x14ac:dyDescent="0.3"/>
    <row r="396" spans="1:26" ht="15.75" customHeight="1" x14ac:dyDescent="0.3"/>
    <row r="397" spans="1:26" ht="15.75" customHeight="1" x14ac:dyDescent="0.3"/>
    <row r="398" spans="1:26" ht="15.75" customHeight="1" x14ac:dyDescent="0.3"/>
    <row r="399" spans="1:26" ht="15.75" customHeight="1" x14ac:dyDescent="0.3"/>
    <row r="400" spans="1:26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7">
    <mergeCell ref="B126:D126"/>
    <mergeCell ref="C128:D128"/>
    <mergeCell ref="B130:D130"/>
    <mergeCell ref="C132:D132"/>
    <mergeCell ref="C103:D103"/>
    <mergeCell ref="B111:D111"/>
    <mergeCell ref="C113:D113"/>
    <mergeCell ref="B116:D116"/>
    <mergeCell ref="C118:D118"/>
    <mergeCell ref="B93:D93"/>
    <mergeCell ref="C95:D95"/>
    <mergeCell ref="B97:D97"/>
    <mergeCell ref="C99:D99"/>
    <mergeCell ref="B101:D101"/>
    <mergeCell ref="C65:D65"/>
    <mergeCell ref="B73:D73"/>
    <mergeCell ref="C75:D75"/>
    <mergeCell ref="B83:D83"/>
    <mergeCell ref="C85:D85"/>
    <mergeCell ref="A44:D44"/>
    <mergeCell ref="C45:D45"/>
    <mergeCell ref="B53:D53"/>
    <mergeCell ref="C55:D55"/>
    <mergeCell ref="B63:D63"/>
    <mergeCell ref="A37:E37"/>
    <mergeCell ref="B38:D38"/>
    <mergeCell ref="B39:C41"/>
    <mergeCell ref="A42:D42"/>
    <mergeCell ref="B43:D43"/>
    <mergeCell ref="B32:D32"/>
    <mergeCell ref="B33:D33"/>
    <mergeCell ref="B34:D34"/>
    <mergeCell ref="B35:D35"/>
    <mergeCell ref="B36:D36"/>
    <mergeCell ref="B25:B27"/>
    <mergeCell ref="C25:C27"/>
    <mergeCell ref="B28:B30"/>
    <mergeCell ref="C28:C30"/>
    <mergeCell ref="A31:D31"/>
    <mergeCell ref="B18:D18"/>
    <mergeCell ref="C19:C21"/>
    <mergeCell ref="B19:B21"/>
    <mergeCell ref="B22:B24"/>
    <mergeCell ref="C22:C24"/>
    <mergeCell ref="B12:D12"/>
    <mergeCell ref="E12:E13"/>
    <mergeCell ref="B13:D13"/>
    <mergeCell ref="B14:C16"/>
    <mergeCell ref="A17:D17"/>
    <mergeCell ref="C192:D192"/>
    <mergeCell ref="C167:D167"/>
    <mergeCell ref="B172:D172"/>
    <mergeCell ref="C174:D174"/>
    <mergeCell ref="B181:D181"/>
    <mergeCell ref="C183:D183"/>
    <mergeCell ref="B187:D187"/>
    <mergeCell ref="A188:D188"/>
    <mergeCell ref="C162:D162"/>
    <mergeCell ref="B165:D165"/>
    <mergeCell ref="B189:D189"/>
    <mergeCell ref="C190:D190"/>
    <mergeCell ref="C191:D191"/>
    <mergeCell ref="B140:D140"/>
    <mergeCell ref="C142:D142"/>
    <mergeCell ref="B150:D150"/>
    <mergeCell ref="C152:D152"/>
    <mergeCell ref="B160:D160"/>
  </mergeCells>
  <conditionalFormatting sqref="E30">
    <cfRule type="expression" dxfId="153" priority="1">
      <formula>E30&lt;&gt;#REF!</formula>
    </cfRule>
    <cfRule type="expression" dxfId="152" priority="2">
      <formula>E30&lt;&gt;E34</formula>
    </cfRule>
  </conditionalFormatting>
  <conditionalFormatting sqref="E192">
    <cfRule type="expression" dxfId="151" priority="3">
      <formula>E192&lt;&gt;E30</formula>
    </cfRule>
    <cfRule type="expression" dxfId="150" priority="4">
      <formula>E192&lt;&gt;E34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M1000"/>
  <sheetViews>
    <sheetView topLeftCell="AS176" workbookViewId="0">
      <selection activeCell="E192" sqref="E192:BK192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62" width="8.69921875" customWidth="1"/>
    <col min="63" max="63" width="13.296875" customWidth="1"/>
    <col min="64" max="65" width="8.69921875" customWidth="1"/>
  </cols>
  <sheetData>
    <row r="1" spans="1:63" ht="12.75" customHeight="1" x14ac:dyDescent="0.3"/>
    <row r="2" spans="1:63" ht="12.75" customHeight="1" x14ac:dyDescent="0.3">
      <c r="C2" s="8" t="s">
        <v>0</v>
      </c>
      <c r="D2" s="8" t="s">
        <v>1</v>
      </c>
    </row>
    <row r="3" spans="1:63" ht="12.75" customHeight="1" x14ac:dyDescent="0.3">
      <c r="C3" s="8" t="s">
        <v>2</v>
      </c>
      <c r="D3" s="8" t="s">
        <v>3</v>
      </c>
    </row>
    <row r="4" spans="1:63" ht="12.75" customHeight="1" x14ac:dyDescent="0.3">
      <c r="C4" s="8" t="s">
        <v>4</v>
      </c>
      <c r="D4" s="8" t="s">
        <v>5</v>
      </c>
    </row>
    <row r="5" spans="1:63" ht="12.75" customHeight="1" x14ac:dyDescent="0.3">
      <c r="C5" s="8"/>
      <c r="D5" s="8"/>
    </row>
    <row r="6" spans="1:63" ht="12.75" customHeight="1" x14ac:dyDescent="0.3">
      <c r="C6" s="8"/>
      <c r="D6" s="8"/>
    </row>
    <row r="7" spans="1:63" ht="12.75" customHeight="1" x14ac:dyDescent="0.3">
      <c r="C7" s="8"/>
      <c r="D7" s="8"/>
    </row>
    <row r="8" spans="1:63" ht="12.75" customHeight="1" x14ac:dyDescent="0.3">
      <c r="C8" s="8"/>
      <c r="D8" s="8"/>
    </row>
    <row r="9" spans="1:63" ht="12.75" customHeight="1" x14ac:dyDescent="0.3">
      <c r="C9" s="8" t="s">
        <v>169</v>
      </c>
      <c r="D9" s="8" t="s">
        <v>170</v>
      </c>
    </row>
    <row r="10" spans="1:63" ht="12.75" customHeight="1" x14ac:dyDescent="0.3"/>
    <row r="11" spans="1:63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</row>
    <row r="12" spans="1:63" ht="12.75" customHeight="1" x14ac:dyDescent="0.3">
      <c r="A12" s="13" t="s">
        <v>6</v>
      </c>
      <c r="B12" s="49" t="s">
        <v>7</v>
      </c>
      <c r="C12" s="46"/>
      <c r="D12" s="47"/>
      <c r="E12" s="71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72" t="s">
        <v>8</v>
      </c>
    </row>
    <row r="13" spans="1:63" ht="12.75" customHeight="1" x14ac:dyDescent="0.3">
      <c r="A13" s="15" t="s">
        <v>9</v>
      </c>
      <c r="B13" s="56" t="s">
        <v>10</v>
      </c>
      <c r="C13" s="46"/>
      <c r="D13" s="47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13" t="s">
        <v>189</v>
      </c>
      <c r="X13" s="13" t="s">
        <v>190</v>
      </c>
      <c r="Y13" s="13" t="s">
        <v>191</v>
      </c>
      <c r="Z13" s="13" t="s">
        <v>192</v>
      </c>
      <c r="AA13" s="13" t="s">
        <v>193</v>
      </c>
      <c r="AB13" s="13" t="s">
        <v>194</v>
      </c>
      <c r="AC13" s="13" t="s">
        <v>195</v>
      </c>
      <c r="AD13" s="13" t="s">
        <v>196</v>
      </c>
      <c r="AE13" s="13" t="s">
        <v>197</v>
      </c>
      <c r="AF13" s="13" t="s">
        <v>198</v>
      </c>
      <c r="AG13" s="13" t="s">
        <v>199</v>
      </c>
      <c r="AH13" s="13" t="s">
        <v>200</v>
      </c>
      <c r="AI13" s="13" t="s">
        <v>201</v>
      </c>
      <c r="AJ13" s="13" t="s">
        <v>202</v>
      </c>
      <c r="AK13" s="13" t="s">
        <v>203</v>
      </c>
      <c r="AL13" s="13" t="s">
        <v>204</v>
      </c>
      <c r="AM13" s="13" t="s">
        <v>205</v>
      </c>
      <c r="AN13" s="13" t="s">
        <v>206</v>
      </c>
      <c r="AO13" s="13" t="s">
        <v>207</v>
      </c>
      <c r="AP13" s="13" t="s">
        <v>208</v>
      </c>
      <c r="AQ13" s="13" t="s">
        <v>209</v>
      </c>
      <c r="AR13" s="13" t="s">
        <v>210</v>
      </c>
      <c r="AS13" s="13" t="s">
        <v>211</v>
      </c>
      <c r="AT13" s="13" t="s">
        <v>212</v>
      </c>
      <c r="AU13" s="13" t="s">
        <v>213</v>
      </c>
      <c r="AV13" s="13" t="s">
        <v>214</v>
      </c>
      <c r="AW13" s="13" t="s">
        <v>215</v>
      </c>
      <c r="AX13" s="13" t="s">
        <v>216</v>
      </c>
      <c r="AY13" s="13" t="s">
        <v>217</v>
      </c>
      <c r="AZ13" s="13" t="s">
        <v>218</v>
      </c>
      <c r="BA13" s="13" t="s">
        <v>219</v>
      </c>
      <c r="BB13" s="13" t="s">
        <v>220</v>
      </c>
      <c r="BC13" s="13" t="s">
        <v>221</v>
      </c>
      <c r="BD13" s="13" t="s">
        <v>222</v>
      </c>
      <c r="BE13" s="13" t="s">
        <v>223</v>
      </c>
      <c r="BF13" s="13" t="s">
        <v>224</v>
      </c>
      <c r="BG13" s="13" t="s">
        <v>225</v>
      </c>
      <c r="BH13" s="13" t="s">
        <v>226</v>
      </c>
      <c r="BI13" s="13" t="s">
        <v>227</v>
      </c>
      <c r="BJ13" s="13" t="s">
        <v>228</v>
      </c>
      <c r="BK13" s="64"/>
    </row>
    <row r="14" spans="1:63" ht="12.75" customHeight="1" x14ac:dyDescent="0.3">
      <c r="A14" s="14"/>
      <c r="B14" s="57" t="s">
        <v>11</v>
      </c>
      <c r="C14" s="58"/>
      <c r="D14" s="15" t="s">
        <v>12</v>
      </c>
      <c r="E14" s="15">
        <v>131</v>
      </c>
      <c r="F14" s="15">
        <v>130</v>
      </c>
      <c r="G14" s="15">
        <v>125</v>
      </c>
      <c r="H14" s="15">
        <v>107</v>
      </c>
      <c r="I14" s="15">
        <v>129</v>
      </c>
      <c r="J14" s="15">
        <v>136</v>
      </c>
      <c r="K14" s="15">
        <v>143</v>
      </c>
      <c r="L14" s="15">
        <v>137</v>
      </c>
      <c r="M14" s="15">
        <v>136</v>
      </c>
      <c r="N14" s="15">
        <v>124</v>
      </c>
      <c r="O14" s="15">
        <v>130</v>
      </c>
      <c r="P14" s="15">
        <v>128</v>
      </c>
      <c r="Q14" s="15">
        <v>134</v>
      </c>
      <c r="R14" s="15">
        <v>106</v>
      </c>
      <c r="S14" s="15">
        <v>122</v>
      </c>
      <c r="T14" s="15">
        <v>126</v>
      </c>
      <c r="U14" s="15">
        <v>133</v>
      </c>
      <c r="V14" s="15">
        <v>140</v>
      </c>
      <c r="W14" s="15">
        <v>137</v>
      </c>
      <c r="X14" s="15">
        <v>141</v>
      </c>
      <c r="Y14" s="15">
        <v>134</v>
      </c>
      <c r="Z14" s="15">
        <v>127</v>
      </c>
      <c r="AA14" s="15">
        <v>135</v>
      </c>
      <c r="AB14" s="15">
        <v>127</v>
      </c>
      <c r="AC14" s="15">
        <v>133</v>
      </c>
      <c r="AD14" s="15">
        <v>139</v>
      </c>
      <c r="AE14" s="15">
        <v>134</v>
      </c>
      <c r="AF14" s="15">
        <v>139</v>
      </c>
      <c r="AG14" s="15">
        <v>136</v>
      </c>
      <c r="AH14" s="15">
        <v>137</v>
      </c>
      <c r="AI14" s="15">
        <v>128</v>
      </c>
      <c r="AJ14" s="15">
        <v>148</v>
      </c>
      <c r="AK14" s="15">
        <v>131</v>
      </c>
      <c r="AL14" s="15">
        <v>142</v>
      </c>
      <c r="AM14" s="15">
        <v>115</v>
      </c>
      <c r="AN14" s="15">
        <v>136</v>
      </c>
      <c r="AO14" s="15">
        <v>105</v>
      </c>
      <c r="AP14" s="15">
        <v>103</v>
      </c>
      <c r="AQ14" s="15">
        <v>145</v>
      </c>
      <c r="AR14" s="15">
        <v>150</v>
      </c>
      <c r="AS14" s="15">
        <v>125</v>
      </c>
      <c r="AT14" s="15">
        <v>126</v>
      </c>
      <c r="AU14" s="15">
        <v>141</v>
      </c>
      <c r="AV14" s="15">
        <v>141</v>
      </c>
      <c r="AW14" s="15">
        <v>154</v>
      </c>
      <c r="AX14" s="15">
        <v>130</v>
      </c>
      <c r="AY14" s="15">
        <v>145</v>
      </c>
      <c r="AZ14" s="15">
        <v>138</v>
      </c>
      <c r="BA14" s="15">
        <v>150</v>
      </c>
      <c r="BB14" s="15">
        <v>148</v>
      </c>
      <c r="BC14" s="15">
        <v>132</v>
      </c>
      <c r="BD14" s="15">
        <v>129</v>
      </c>
      <c r="BE14" s="15">
        <v>136</v>
      </c>
      <c r="BF14" s="15">
        <v>127</v>
      </c>
      <c r="BG14" s="15">
        <v>137</v>
      </c>
      <c r="BH14" s="15">
        <v>143</v>
      </c>
      <c r="BI14" s="15">
        <v>124</v>
      </c>
      <c r="BJ14" s="15">
        <v>135</v>
      </c>
      <c r="BK14" s="13">
        <f t="shared" ref="BK14:BK16" si="0">SUM(E14:BJ14)</f>
        <v>7700</v>
      </c>
    </row>
    <row r="15" spans="1:63" ht="12.75" customHeight="1" x14ac:dyDescent="0.3">
      <c r="A15" s="14"/>
      <c r="B15" s="59"/>
      <c r="C15" s="60"/>
      <c r="D15" s="15" t="s">
        <v>13</v>
      </c>
      <c r="E15" s="15">
        <v>121</v>
      </c>
      <c r="F15" s="15">
        <v>134</v>
      </c>
      <c r="G15" s="15">
        <v>121</v>
      </c>
      <c r="H15" s="15">
        <v>141</v>
      </c>
      <c r="I15" s="15">
        <v>126</v>
      </c>
      <c r="J15" s="15">
        <v>147</v>
      </c>
      <c r="K15" s="15">
        <v>133</v>
      </c>
      <c r="L15" s="15">
        <v>145</v>
      </c>
      <c r="M15" s="15">
        <v>143</v>
      </c>
      <c r="N15" s="15">
        <v>139</v>
      </c>
      <c r="O15" s="15">
        <v>153</v>
      </c>
      <c r="P15" s="15">
        <v>148</v>
      </c>
      <c r="Q15" s="15">
        <v>149</v>
      </c>
      <c r="R15" s="15">
        <v>114</v>
      </c>
      <c r="S15" s="15">
        <v>159</v>
      </c>
      <c r="T15" s="15">
        <v>138</v>
      </c>
      <c r="U15" s="15">
        <v>145</v>
      </c>
      <c r="V15" s="15">
        <v>136</v>
      </c>
      <c r="W15" s="15">
        <v>138</v>
      </c>
      <c r="X15" s="15">
        <v>137</v>
      </c>
      <c r="Y15" s="15">
        <v>147</v>
      </c>
      <c r="Z15" s="15">
        <v>149</v>
      </c>
      <c r="AA15" s="15">
        <v>139</v>
      </c>
      <c r="AB15" s="15">
        <v>149</v>
      </c>
      <c r="AC15" s="15">
        <v>142</v>
      </c>
      <c r="AD15" s="15">
        <v>142</v>
      </c>
      <c r="AE15" s="15">
        <v>132</v>
      </c>
      <c r="AF15" s="15">
        <v>132</v>
      </c>
      <c r="AG15" s="15">
        <v>143</v>
      </c>
      <c r="AH15" s="15">
        <v>141</v>
      </c>
      <c r="AI15" s="15">
        <v>149</v>
      </c>
      <c r="AJ15" s="15">
        <v>137</v>
      </c>
      <c r="AK15" s="15">
        <v>156</v>
      </c>
      <c r="AL15" s="15">
        <v>147</v>
      </c>
      <c r="AM15" s="15">
        <v>137</v>
      </c>
      <c r="AN15" s="15">
        <v>140</v>
      </c>
      <c r="AO15" s="15">
        <v>118</v>
      </c>
      <c r="AP15" s="15">
        <v>116</v>
      </c>
      <c r="AQ15" s="15">
        <v>143</v>
      </c>
      <c r="AR15" s="15">
        <v>142</v>
      </c>
      <c r="AS15" s="15">
        <v>145</v>
      </c>
      <c r="AT15" s="15">
        <v>151</v>
      </c>
      <c r="AU15" s="15">
        <v>150</v>
      </c>
      <c r="AV15" s="15">
        <v>145</v>
      </c>
      <c r="AW15" s="15">
        <v>138</v>
      </c>
      <c r="AX15" s="15">
        <v>153</v>
      </c>
      <c r="AY15" s="15">
        <v>141</v>
      </c>
      <c r="AZ15" s="15">
        <v>144</v>
      </c>
      <c r="BA15" s="15">
        <v>137</v>
      </c>
      <c r="BB15" s="15">
        <v>141</v>
      </c>
      <c r="BC15" s="15">
        <v>149</v>
      </c>
      <c r="BD15" s="15">
        <v>135</v>
      </c>
      <c r="BE15" s="15">
        <v>142</v>
      </c>
      <c r="BF15" s="15">
        <v>121</v>
      </c>
      <c r="BG15" s="15">
        <v>130</v>
      </c>
      <c r="BH15" s="15">
        <v>128</v>
      </c>
      <c r="BI15" s="15">
        <v>133</v>
      </c>
      <c r="BJ15" s="15">
        <v>128</v>
      </c>
      <c r="BK15" s="13">
        <f t="shared" si="0"/>
        <v>8079</v>
      </c>
    </row>
    <row r="16" spans="1:63" ht="12.75" customHeight="1" x14ac:dyDescent="0.3">
      <c r="A16" s="17"/>
      <c r="B16" s="55"/>
      <c r="C16" s="53"/>
      <c r="D16" s="13" t="s">
        <v>14</v>
      </c>
      <c r="E16" s="13">
        <f t="shared" ref="E16:BJ16" si="1">SUM(E14:E15)</f>
        <v>252</v>
      </c>
      <c r="F16" s="13">
        <f t="shared" si="1"/>
        <v>264</v>
      </c>
      <c r="G16" s="13">
        <f t="shared" si="1"/>
        <v>246</v>
      </c>
      <c r="H16" s="13">
        <f t="shared" si="1"/>
        <v>248</v>
      </c>
      <c r="I16" s="13">
        <f t="shared" si="1"/>
        <v>255</v>
      </c>
      <c r="J16" s="13">
        <f t="shared" si="1"/>
        <v>283</v>
      </c>
      <c r="K16" s="13">
        <f t="shared" si="1"/>
        <v>276</v>
      </c>
      <c r="L16" s="13">
        <f t="shared" si="1"/>
        <v>282</v>
      </c>
      <c r="M16" s="13">
        <f t="shared" si="1"/>
        <v>279</v>
      </c>
      <c r="N16" s="13">
        <f t="shared" si="1"/>
        <v>263</v>
      </c>
      <c r="O16" s="13">
        <f t="shared" si="1"/>
        <v>283</v>
      </c>
      <c r="P16" s="13">
        <f t="shared" si="1"/>
        <v>276</v>
      </c>
      <c r="Q16" s="13">
        <f t="shared" si="1"/>
        <v>283</v>
      </c>
      <c r="R16" s="13">
        <f t="shared" si="1"/>
        <v>220</v>
      </c>
      <c r="S16" s="13">
        <f t="shared" si="1"/>
        <v>281</v>
      </c>
      <c r="T16" s="13">
        <f t="shared" si="1"/>
        <v>264</v>
      </c>
      <c r="U16" s="13">
        <f t="shared" si="1"/>
        <v>278</v>
      </c>
      <c r="V16" s="13">
        <f t="shared" si="1"/>
        <v>276</v>
      </c>
      <c r="W16" s="13">
        <f t="shared" si="1"/>
        <v>275</v>
      </c>
      <c r="X16" s="13">
        <f t="shared" si="1"/>
        <v>278</v>
      </c>
      <c r="Y16" s="13">
        <f t="shared" si="1"/>
        <v>281</v>
      </c>
      <c r="Z16" s="13">
        <f t="shared" si="1"/>
        <v>276</v>
      </c>
      <c r="AA16" s="13">
        <f t="shared" si="1"/>
        <v>274</v>
      </c>
      <c r="AB16" s="13">
        <f t="shared" si="1"/>
        <v>276</v>
      </c>
      <c r="AC16" s="13">
        <f t="shared" si="1"/>
        <v>275</v>
      </c>
      <c r="AD16" s="13">
        <f t="shared" si="1"/>
        <v>281</v>
      </c>
      <c r="AE16" s="13">
        <f t="shared" si="1"/>
        <v>266</v>
      </c>
      <c r="AF16" s="13">
        <f t="shared" si="1"/>
        <v>271</v>
      </c>
      <c r="AG16" s="13">
        <f t="shared" si="1"/>
        <v>279</v>
      </c>
      <c r="AH16" s="13">
        <f t="shared" si="1"/>
        <v>278</v>
      </c>
      <c r="AI16" s="13">
        <f t="shared" si="1"/>
        <v>277</v>
      </c>
      <c r="AJ16" s="13">
        <f t="shared" si="1"/>
        <v>285</v>
      </c>
      <c r="AK16" s="13">
        <f t="shared" si="1"/>
        <v>287</v>
      </c>
      <c r="AL16" s="13">
        <f t="shared" si="1"/>
        <v>289</v>
      </c>
      <c r="AM16" s="13">
        <f t="shared" si="1"/>
        <v>252</v>
      </c>
      <c r="AN16" s="13">
        <f t="shared" si="1"/>
        <v>276</v>
      </c>
      <c r="AO16" s="13">
        <f t="shared" si="1"/>
        <v>223</v>
      </c>
      <c r="AP16" s="13">
        <f t="shared" si="1"/>
        <v>219</v>
      </c>
      <c r="AQ16" s="13">
        <f t="shared" si="1"/>
        <v>288</v>
      </c>
      <c r="AR16" s="13">
        <f t="shared" si="1"/>
        <v>292</v>
      </c>
      <c r="AS16" s="13">
        <f t="shared" si="1"/>
        <v>270</v>
      </c>
      <c r="AT16" s="13">
        <f t="shared" si="1"/>
        <v>277</v>
      </c>
      <c r="AU16" s="13">
        <f t="shared" si="1"/>
        <v>291</v>
      </c>
      <c r="AV16" s="13">
        <f t="shared" si="1"/>
        <v>286</v>
      </c>
      <c r="AW16" s="13">
        <f t="shared" si="1"/>
        <v>292</v>
      </c>
      <c r="AX16" s="13">
        <f t="shared" si="1"/>
        <v>283</v>
      </c>
      <c r="AY16" s="13">
        <f t="shared" si="1"/>
        <v>286</v>
      </c>
      <c r="AZ16" s="13">
        <f t="shared" si="1"/>
        <v>282</v>
      </c>
      <c r="BA16" s="13">
        <f t="shared" si="1"/>
        <v>287</v>
      </c>
      <c r="BB16" s="13">
        <f t="shared" si="1"/>
        <v>289</v>
      </c>
      <c r="BC16" s="13">
        <f t="shared" si="1"/>
        <v>281</v>
      </c>
      <c r="BD16" s="13">
        <f t="shared" si="1"/>
        <v>264</v>
      </c>
      <c r="BE16" s="13">
        <f t="shared" si="1"/>
        <v>278</v>
      </c>
      <c r="BF16" s="13">
        <f t="shared" si="1"/>
        <v>248</v>
      </c>
      <c r="BG16" s="13">
        <f t="shared" si="1"/>
        <v>267</v>
      </c>
      <c r="BH16" s="13">
        <f t="shared" si="1"/>
        <v>271</v>
      </c>
      <c r="BI16" s="13">
        <f t="shared" si="1"/>
        <v>257</v>
      </c>
      <c r="BJ16" s="13">
        <f t="shared" si="1"/>
        <v>263</v>
      </c>
      <c r="BK16" s="13">
        <f t="shared" si="0"/>
        <v>15779</v>
      </c>
    </row>
    <row r="17" spans="1:63" ht="12.75" customHeight="1" x14ac:dyDescent="0.3">
      <c r="A17" s="61"/>
      <c r="B17" s="46"/>
      <c r="C17" s="46"/>
      <c r="D17" s="47"/>
      <c r="E17" s="15"/>
      <c r="F17" s="15"/>
      <c r="G17" s="15"/>
      <c r="H17" s="15"/>
      <c r="I17" s="15"/>
      <c r="J17" s="15"/>
      <c r="K17" s="15"/>
      <c r="L17" s="15"/>
      <c r="M17" s="15"/>
      <c r="N17" s="41"/>
      <c r="O17" s="15"/>
      <c r="P17" s="15"/>
      <c r="Q17" s="15"/>
      <c r="R17" s="15"/>
      <c r="S17" s="41"/>
      <c r="T17" s="15"/>
      <c r="U17" s="15"/>
      <c r="V17" s="15"/>
      <c r="W17" s="15"/>
      <c r="X17" s="41"/>
      <c r="Y17" s="15"/>
      <c r="Z17" s="15"/>
      <c r="AA17" s="15"/>
      <c r="AB17" s="15"/>
      <c r="AC17" s="41"/>
      <c r="AD17" s="15"/>
      <c r="AE17" s="15"/>
      <c r="AF17" s="15"/>
      <c r="AG17" s="15"/>
      <c r="AH17" s="41"/>
      <c r="AI17" s="15"/>
      <c r="AJ17" s="15"/>
      <c r="AK17" s="15"/>
      <c r="AL17" s="15"/>
      <c r="AM17" s="41"/>
      <c r="AN17" s="15"/>
      <c r="AO17" s="15"/>
      <c r="AP17" s="15"/>
      <c r="AQ17" s="15"/>
      <c r="AR17" s="41"/>
      <c r="AS17" s="15"/>
      <c r="AT17" s="15"/>
      <c r="AU17" s="15"/>
      <c r="AV17" s="15"/>
      <c r="AW17" s="41"/>
      <c r="AX17" s="15"/>
      <c r="AY17" s="15"/>
      <c r="AZ17" s="15"/>
      <c r="BA17" s="15"/>
      <c r="BB17" s="41"/>
      <c r="BC17" s="15"/>
      <c r="BD17" s="15"/>
      <c r="BE17" s="15"/>
      <c r="BF17" s="15"/>
      <c r="BG17" s="41"/>
      <c r="BH17" s="15"/>
      <c r="BI17" s="15"/>
      <c r="BJ17" s="15"/>
      <c r="BK17" s="42"/>
    </row>
    <row r="18" spans="1:63" ht="12.75" customHeight="1" x14ac:dyDescent="0.3">
      <c r="A18" s="19" t="s">
        <v>15</v>
      </c>
      <c r="B18" s="56" t="s">
        <v>16</v>
      </c>
      <c r="C18" s="46"/>
      <c r="D18" s="47"/>
      <c r="E18" s="15"/>
      <c r="F18" s="15"/>
      <c r="G18" s="15"/>
      <c r="H18" s="15"/>
      <c r="I18" s="15"/>
      <c r="J18" s="15"/>
      <c r="K18" s="15"/>
      <c r="L18" s="15"/>
      <c r="M18" s="15"/>
      <c r="N18" s="41"/>
      <c r="O18" s="15"/>
      <c r="P18" s="15"/>
      <c r="Q18" s="15"/>
      <c r="R18" s="15"/>
      <c r="S18" s="41"/>
      <c r="T18" s="15"/>
      <c r="U18" s="15"/>
      <c r="V18" s="15"/>
      <c r="W18" s="15"/>
      <c r="X18" s="41"/>
      <c r="Y18" s="15"/>
      <c r="Z18" s="15"/>
      <c r="AA18" s="15"/>
      <c r="AB18" s="15"/>
      <c r="AC18" s="41"/>
      <c r="AD18" s="15"/>
      <c r="AE18" s="15"/>
      <c r="AF18" s="15"/>
      <c r="AG18" s="15"/>
      <c r="AH18" s="41"/>
      <c r="AI18" s="15"/>
      <c r="AJ18" s="15"/>
      <c r="AK18" s="15"/>
      <c r="AL18" s="15"/>
      <c r="AM18" s="41"/>
      <c r="AN18" s="15"/>
      <c r="AO18" s="15"/>
      <c r="AP18" s="15"/>
      <c r="AQ18" s="15"/>
      <c r="AR18" s="41"/>
      <c r="AS18" s="15"/>
      <c r="AT18" s="15"/>
      <c r="AU18" s="15"/>
      <c r="AV18" s="15"/>
      <c r="AW18" s="41"/>
      <c r="AX18" s="15"/>
      <c r="AY18" s="15"/>
      <c r="AZ18" s="15"/>
      <c r="BA18" s="15"/>
      <c r="BB18" s="41"/>
      <c r="BC18" s="15"/>
      <c r="BD18" s="15"/>
      <c r="BE18" s="15"/>
      <c r="BF18" s="15"/>
      <c r="BG18" s="41"/>
      <c r="BH18" s="15"/>
      <c r="BI18" s="15"/>
      <c r="BJ18" s="15"/>
      <c r="BK18" s="42"/>
    </row>
    <row r="19" spans="1:63" ht="12.75" customHeight="1" x14ac:dyDescent="0.3">
      <c r="A19" s="19"/>
      <c r="B19" s="65" t="s">
        <v>17</v>
      </c>
      <c r="C19" s="62" t="s">
        <v>18</v>
      </c>
      <c r="D19" s="15" t="s">
        <v>12</v>
      </c>
      <c r="E19" s="15">
        <v>92</v>
      </c>
      <c r="F19" s="15">
        <v>92</v>
      </c>
      <c r="G19" s="15">
        <v>90</v>
      </c>
      <c r="H19" s="15">
        <v>70</v>
      </c>
      <c r="I19" s="15">
        <v>93</v>
      </c>
      <c r="J19" s="15">
        <v>91</v>
      </c>
      <c r="K19" s="15">
        <v>106</v>
      </c>
      <c r="L19" s="15">
        <v>94</v>
      </c>
      <c r="M19" s="15">
        <v>90</v>
      </c>
      <c r="N19" s="15">
        <v>78</v>
      </c>
      <c r="O19" s="15">
        <v>90</v>
      </c>
      <c r="P19" s="15">
        <v>95</v>
      </c>
      <c r="Q19" s="15">
        <v>103</v>
      </c>
      <c r="R19" s="15">
        <v>82</v>
      </c>
      <c r="S19" s="15">
        <v>84</v>
      </c>
      <c r="T19" s="15">
        <v>80</v>
      </c>
      <c r="U19" s="15">
        <v>93</v>
      </c>
      <c r="V19" s="15">
        <v>101</v>
      </c>
      <c r="W19" s="15">
        <v>98</v>
      </c>
      <c r="X19" s="15">
        <v>98</v>
      </c>
      <c r="Y19" s="15">
        <v>91</v>
      </c>
      <c r="Z19" s="15">
        <v>84</v>
      </c>
      <c r="AA19" s="15">
        <v>106</v>
      </c>
      <c r="AB19" s="15">
        <v>93</v>
      </c>
      <c r="AC19" s="15">
        <v>96</v>
      </c>
      <c r="AD19" s="15">
        <v>89</v>
      </c>
      <c r="AE19" s="15">
        <v>99</v>
      </c>
      <c r="AF19" s="15">
        <v>107</v>
      </c>
      <c r="AG19" s="15">
        <v>99</v>
      </c>
      <c r="AH19" s="15">
        <v>91</v>
      </c>
      <c r="AI19" s="15">
        <v>107</v>
      </c>
      <c r="AJ19" s="15">
        <v>104</v>
      </c>
      <c r="AK19" s="15">
        <v>97</v>
      </c>
      <c r="AL19" s="15">
        <v>101</v>
      </c>
      <c r="AM19" s="15">
        <v>78</v>
      </c>
      <c r="AN19" s="15">
        <v>95</v>
      </c>
      <c r="AO19" s="15">
        <v>77</v>
      </c>
      <c r="AP19" s="15">
        <v>85</v>
      </c>
      <c r="AQ19" s="15">
        <v>102</v>
      </c>
      <c r="AR19" s="15">
        <v>108</v>
      </c>
      <c r="AS19" s="15">
        <v>89</v>
      </c>
      <c r="AT19" s="15">
        <v>91</v>
      </c>
      <c r="AU19" s="15">
        <v>105</v>
      </c>
      <c r="AV19" s="15">
        <v>98</v>
      </c>
      <c r="AW19" s="15">
        <v>119</v>
      </c>
      <c r="AX19" s="15">
        <v>102</v>
      </c>
      <c r="AY19" s="15">
        <v>105</v>
      </c>
      <c r="AZ19" s="15">
        <v>105</v>
      </c>
      <c r="BA19" s="15">
        <v>118</v>
      </c>
      <c r="BB19" s="15">
        <v>119</v>
      </c>
      <c r="BC19" s="15">
        <v>94</v>
      </c>
      <c r="BD19" s="15">
        <v>96</v>
      </c>
      <c r="BE19" s="15">
        <v>105</v>
      </c>
      <c r="BF19" s="15">
        <v>93</v>
      </c>
      <c r="BG19" s="15">
        <v>105</v>
      </c>
      <c r="BH19" s="15">
        <v>104</v>
      </c>
      <c r="BI19" s="15">
        <v>101</v>
      </c>
      <c r="BJ19" s="15">
        <v>102</v>
      </c>
      <c r="BK19" s="13">
        <f t="shared" ref="BK19:BK30" si="2">SUM(E19:BJ19)</f>
        <v>5580</v>
      </c>
    </row>
    <row r="20" spans="1:63" ht="12.75" customHeight="1" x14ac:dyDescent="0.3">
      <c r="A20" s="20"/>
      <c r="B20" s="60"/>
      <c r="C20" s="63"/>
      <c r="D20" s="15" t="s">
        <v>13</v>
      </c>
      <c r="E20" s="15">
        <v>96</v>
      </c>
      <c r="F20" s="15">
        <v>101</v>
      </c>
      <c r="G20" s="15">
        <v>93</v>
      </c>
      <c r="H20" s="15">
        <v>102</v>
      </c>
      <c r="I20" s="15">
        <v>92</v>
      </c>
      <c r="J20" s="15">
        <v>108</v>
      </c>
      <c r="K20" s="15">
        <v>105</v>
      </c>
      <c r="L20" s="15">
        <v>106</v>
      </c>
      <c r="M20" s="15">
        <v>96</v>
      </c>
      <c r="N20" s="15">
        <v>97</v>
      </c>
      <c r="O20" s="15">
        <v>115</v>
      </c>
      <c r="P20" s="15">
        <v>99</v>
      </c>
      <c r="Q20" s="15">
        <v>107</v>
      </c>
      <c r="R20" s="15">
        <v>86</v>
      </c>
      <c r="S20" s="15">
        <v>125</v>
      </c>
      <c r="T20" s="15">
        <v>102</v>
      </c>
      <c r="U20" s="15">
        <v>99</v>
      </c>
      <c r="V20" s="15">
        <v>108</v>
      </c>
      <c r="W20" s="15">
        <v>95</v>
      </c>
      <c r="X20" s="15">
        <v>105</v>
      </c>
      <c r="Y20" s="15">
        <v>108</v>
      </c>
      <c r="Z20" s="15">
        <v>110</v>
      </c>
      <c r="AA20" s="15">
        <v>110</v>
      </c>
      <c r="AB20" s="15">
        <v>111</v>
      </c>
      <c r="AC20" s="15">
        <v>114</v>
      </c>
      <c r="AD20" s="15">
        <v>105</v>
      </c>
      <c r="AE20" s="15">
        <v>104</v>
      </c>
      <c r="AF20" s="15">
        <v>104</v>
      </c>
      <c r="AG20" s="15">
        <v>121</v>
      </c>
      <c r="AH20" s="15">
        <v>98</v>
      </c>
      <c r="AI20" s="15">
        <v>98</v>
      </c>
      <c r="AJ20" s="15">
        <v>100</v>
      </c>
      <c r="AK20" s="15">
        <v>117</v>
      </c>
      <c r="AL20" s="15">
        <v>112</v>
      </c>
      <c r="AM20" s="15">
        <v>96</v>
      </c>
      <c r="AN20" s="15">
        <v>106</v>
      </c>
      <c r="AO20" s="15">
        <v>93</v>
      </c>
      <c r="AP20" s="15">
        <v>94</v>
      </c>
      <c r="AQ20" s="15">
        <v>106</v>
      </c>
      <c r="AR20" s="15">
        <v>111</v>
      </c>
      <c r="AS20" s="15">
        <v>100</v>
      </c>
      <c r="AT20" s="15">
        <v>110</v>
      </c>
      <c r="AU20" s="15">
        <v>137</v>
      </c>
      <c r="AV20" s="15">
        <v>104</v>
      </c>
      <c r="AW20" s="15">
        <v>105</v>
      </c>
      <c r="AX20" s="15">
        <v>112</v>
      </c>
      <c r="AY20" s="15">
        <v>113</v>
      </c>
      <c r="AZ20" s="15">
        <v>116</v>
      </c>
      <c r="BA20" s="15">
        <v>115</v>
      </c>
      <c r="BB20" s="15">
        <v>119</v>
      </c>
      <c r="BC20" s="15">
        <v>114</v>
      </c>
      <c r="BD20" s="15">
        <v>106</v>
      </c>
      <c r="BE20" s="15">
        <v>124</v>
      </c>
      <c r="BF20" s="15">
        <v>95</v>
      </c>
      <c r="BG20" s="15">
        <v>107</v>
      </c>
      <c r="BH20" s="15">
        <v>104</v>
      </c>
      <c r="BI20" s="15">
        <v>111</v>
      </c>
      <c r="BJ20" s="15">
        <v>106</v>
      </c>
      <c r="BK20" s="13">
        <f t="shared" si="2"/>
        <v>6153</v>
      </c>
    </row>
    <row r="21" spans="1:63" ht="12.75" customHeight="1" x14ac:dyDescent="0.3">
      <c r="A21" s="21"/>
      <c r="B21" s="53"/>
      <c r="C21" s="64"/>
      <c r="D21" s="13" t="s">
        <v>14</v>
      </c>
      <c r="E21" s="13">
        <f t="shared" ref="E21:BJ21" si="3">SUM(E19:E20)</f>
        <v>188</v>
      </c>
      <c r="F21" s="13">
        <f t="shared" si="3"/>
        <v>193</v>
      </c>
      <c r="G21" s="13">
        <f t="shared" si="3"/>
        <v>183</v>
      </c>
      <c r="H21" s="13">
        <f t="shared" si="3"/>
        <v>172</v>
      </c>
      <c r="I21" s="13">
        <f t="shared" si="3"/>
        <v>185</v>
      </c>
      <c r="J21" s="13">
        <f t="shared" si="3"/>
        <v>199</v>
      </c>
      <c r="K21" s="13">
        <f t="shared" si="3"/>
        <v>211</v>
      </c>
      <c r="L21" s="13">
        <f t="shared" si="3"/>
        <v>200</v>
      </c>
      <c r="M21" s="13">
        <f t="shared" si="3"/>
        <v>186</v>
      </c>
      <c r="N21" s="13">
        <f t="shared" si="3"/>
        <v>175</v>
      </c>
      <c r="O21" s="13">
        <f t="shared" si="3"/>
        <v>205</v>
      </c>
      <c r="P21" s="13">
        <f t="shared" si="3"/>
        <v>194</v>
      </c>
      <c r="Q21" s="13">
        <f t="shared" si="3"/>
        <v>210</v>
      </c>
      <c r="R21" s="13">
        <f t="shared" si="3"/>
        <v>168</v>
      </c>
      <c r="S21" s="13">
        <f t="shared" si="3"/>
        <v>209</v>
      </c>
      <c r="T21" s="13">
        <f t="shared" si="3"/>
        <v>182</v>
      </c>
      <c r="U21" s="13">
        <f t="shared" si="3"/>
        <v>192</v>
      </c>
      <c r="V21" s="13">
        <f t="shared" si="3"/>
        <v>209</v>
      </c>
      <c r="W21" s="13">
        <f t="shared" si="3"/>
        <v>193</v>
      </c>
      <c r="X21" s="13">
        <f t="shared" si="3"/>
        <v>203</v>
      </c>
      <c r="Y21" s="13">
        <f t="shared" si="3"/>
        <v>199</v>
      </c>
      <c r="Z21" s="13">
        <f t="shared" si="3"/>
        <v>194</v>
      </c>
      <c r="AA21" s="13">
        <f t="shared" si="3"/>
        <v>216</v>
      </c>
      <c r="AB21" s="13">
        <f t="shared" si="3"/>
        <v>204</v>
      </c>
      <c r="AC21" s="13">
        <f t="shared" si="3"/>
        <v>210</v>
      </c>
      <c r="AD21" s="13">
        <f t="shared" si="3"/>
        <v>194</v>
      </c>
      <c r="AE21" s="13">
        <f t="shared" si="3"/>
        <v>203</v>
      </c>
      <c r="AF21" s="13">
        <f t="shared" si="3"/>
        <v>211</v>
      </c>
      <c r="AG21" s="13">
        <f t="shared" si="3"/>
        <v>220</v>
      </c>
      <c r="AH21" s="13">
        <f t="shared" si="3"/>
        <v>189</v>
      </c>
      <c r="AI21" s="13">
        <f t="shared" si="3"/>
        <v>205</v>
      </c>
      <c r="AJ21" s="13">
        <f t="shared" si="3"/>
        <v>204</v>
      </c>
      <c r="AK21" s="13">
        <f t="shared" si="3"/>
        <v>214</v>
      </c>
      <c r="AL21" s="13">
        <f t="shared" si="3"/>
        <v>213</v>
      </c>
      <c r="AM21" s="13">
        <f t="shared" si="3"/>
        <v>174</v>
      </c>
      <c r="AN21" s="13">
        <f t="shared" si="3"/>
        <v>201</v>
      </c>
      <c r="AO21" s="13">
        <f t="shared" si="3"/>
        <v>170</v>
      </c>
      <c r="AP21" s="13">
        <f t="shared" si="3"/>
        <v>179</v>
      </c>
      <c r="AQ21" s="13">
        <f t="shared" si="3"/>
        <v>208</v>
      </c>
      <c r="AR21" s="13">
        <f t="shared" si="3"/>
        <v>219</v>
      </c>
      <c r="AS21" s="13">
        <f t="shared" si="3"/>
        <v>189</v>
      </c>
      <c r="AT21" s="13">
        <f t="shared" si="3"/>
        <v>201</v>
      </c>
      <c r="AU21" s="13">
        <f t="shared" si="3"/>
        <v>242</v>
      </c>
      <c r="AV21" s="13">
        <f t="shared" si="3"/>
        <v>202</v>
      </c>
      <c r="AW21" s="13">
        <f t="shared" si="3"/>
        <v>224</v>
      </c>
      <c r="AX21" s="13">
        <f t="shared" si="3"/>
        <v>214</v>
      </c>
      <c r="AY21" s="13">
        <f t="shared" si="3"/>
        <v>218</v>
      </c>
      <c r="AZ21" s="13">
        <f t="shared" si="3"/>
        <v>221</v>
      </c>
      <c r="BA21" s="13">
        <f t="shared" si="3"/>
        <v>233</v>
      </c>
      <c r="BB21" s="13">
        <f t="shared" si="3"/>
        <v>238</v>
      </c>
      <c r="BC21" s="13">
        <f t="shared" si="3"/>
        <v>208</v>
      </c>
      <c r="BD21" s="13">
        <f t="shared" si="3"/>
        <v>202</v>
      </c>
      <c r="BE21" s="13">
        <f t="shared" si="3"/>
        <v>229</v>
      </c>
      <c r="BF21" s="13">
        <f t="shared" si="3"/>
        <v>188</v>
      </c>
      <c r="BG21" s="13">
        <f t="shared" si="3"/>
        <v>212</v>
      </c>
      <c r="BH21" s="13">
        <f t="shared" si="3"/>
        <v>208</v>
      </c>
      <c r="BI21" s="13">
        <f t="shared" si="3"/>
        <v>212</v>
      </c>
      <c r="BJ21" s="13">
        <f t="shared" si="3"/>
        <v>208</v>
      </c>
      <c r="BK21" s="13">
        <f t="shared" si="2"/>
        <v>11733</v>
      </c>
    </row>
    <row r="22" spans="1:63" ht="12.75" customHeight="1" x14ac:dyDescent="0.3">
      <c r="A22" s="20"/>
      <c r="B22" s="65" t="s">
        <v>19</v>
      </c>
      <c r="C22" s="62" t="s">
        <v>20</v>
      </c>
      <c r="D22" s="15" t="s">
        <v>12</v>
      </c>
      <c r="E22" s="15">
        <v>1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1</v>
      </c>
      <c r="W22" s="15">
        <v>1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1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1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2</v>
      </c>
      <c r="BC22" s="15">
        <v>1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3</v>
      </c>
      <c r="BJ22" s="15">
        <v>0</v>
      </c>
      <c r="BK22" s="13">
        <f t="shared" si="2"/>
        <v>11</v>
      </c>
    </row>
    <row r="23" spans="1:63" ht="12.75" customHeight="1" x14ac:dyDescent="0.3">
      <c r="A23" s="20"/>
      <c r="B23" s="60"/>
      <c r="C23" s="63"/>
      <c r="D23" s="15" t="s">
        <v>13</v>
      </c>
      <c r="E23" s="15">
        <v>0</v>
      </c>
      <c r="F23" s="15">
        <v>2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1</v>
      </c>
      <c r="T23" s="15">
        <v>0</v>
      </c>
      <c r="U23" s="15">
        <v>0</v>
      </c>
      <c r="V23" s="15">
        <v>1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1</v>
      </c>
      <c r="AC23" s="15">
        <v>0</v>
      </c>
      <c r="AD23" s="15">
        <v>0</v>
      </c>
      <c r="AE23" s="15">
        <v>0</v>
      </c>
      <c r="AF23" s="15">
        <v>1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2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3</v>
      </c>
      <c r="BJ23" s="15">
        <v>1</v>
      </c>
      <c r="BK23" s="13">
        <f t="shared" si="2"/>
        <v>13</v>
      </c>
    </row>
    <row r="24" spans="1:63" ht="12.75" customHeight="1" x14ac:dyDescent="0.3">
      <c r="A24" s="21"/>
      <c r="B24" s="53"/>
      <c r="C24" s="64"/>
      <c r="D24" s="13" t="s">
        <v>14</v>
      </c>
      <c r="E24" s="13">
        <f t="shared" ref="E24:BJ24" si="4">SUM(E22:E23)</f>
        <v>1</v>
      </c>
      <c r="F24" s="13">
        <f t="shared" si="4"/>
        <v>2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1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1</v>
      </c>
      <c r="T24" s="13">
        <f t="shared" si="4"/>
        <v>0</v>
      </c>
      <c r="U24" s="13">
        <f t="shared" si="4"/>
        <v>0</v>
      </c>
      <c r="V24" s="13">
        <f t="shared" si="4"/>
        <v>2</v>
      </c>
      <c r="W24" s="13">
        <f t="shared" si="4"/>
        <v>1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1</v>
      </c>
      <c r="AC24" s="13">
        <f t="shared" si="4"/>
        <v>0</v>
      </c>
      <c r="AD24" s="13">
        <f t="shared" si="4"/>
        <v>0</v>
      </c>
      <c r="AE24" s="13">
        <f t="shared" si="4"/>
        <v>0</v>
      </c>
      <c r="AF24" s="13">
        <f t="shared" si="4"/>
        <v>2</v>
      </c>
      <c r="AG24" s="13">
        <f t="shared" si="4"/>
        <v>0</v>
      </c>
      <c r="AH24" s="13">
        <f t="shared" si="4"/>
        <v>0</v>
      </c>
      <c r="AI24" s="13">
        <f t="shared" si="4"/>
        <v>0</v>
      </c>
      <c r="AJ24" s="13">
        <f t="shared" si="4"/>
        <v>0</v>
      </c>
      <c r="AK24" s="13">
        <f t="shared" si="4"/>
        <v>0</v>
      </c>
      <c r="AL24" s="13">
        <f t="shared" si="4"/>
        <v>0</v>
      </c>
      <c r="AM24" s="13">
        <f t="shared" si="4"/>
        <v>0</v>
      </c>
      <c r="AN24" s="13">
        <f t="shared" si="4"/>
        <v>0</v>
      </c>
      <c r="AO24" s="13">
        <f t="shared" si="4"/>
        <v>0</v>
      </c>
      <c r="AP24" s="13">
        <f t="shared" si="4"/>
        <v>1</v>
      </c>
      <c r="AQ24" s="13">
        <f t="shared" si="4"/>
        <v>0</v>
      </c>
      <c r="AR24" s="13">
        <f t="shared" si="4"/>
        <v>0</v>
      </c>
      <c r="AS24" s="13">
        <f t="shared" si="4"/>
        <v>0</v>
      </c>
      <c r="AT24" s="13">
        <f t="shared" si="4"/>
        <v>0</v>
      </c>
      <c r="AU24" s="13">
        <f t="shared" si="4"/>
        <v>0</v>
      </c>
      <c r="AV24" s="13">
        <f t="shared" si="4"/>
        <v>0</v>
      </c>
      <c r="AW24" s="13">
        <f t="shared" si="4"/>
        <v>0</v>
      </c>
      <c r="AX24" s="13">
        <f t="shared" si="4"/>
        <v>0</v>
      </c>
      <c r="AY24" s="13">
        <f t="shared" si="4"/>
        <v>0</v>
      </c>
      <c r="AZ24" s="13">
        <f t="shared" si="4"/>
        <v>0</v>
      </c>
      <c r="BA24" s="13">
        <f t="shared" si="4"/>
        <v>0</v>
      </c>
      <c r="BB24" s="13">
        <f t="shared" si="4"/>
        <v>4</v>
      </c>
      <c r="BC24" s="13">
        <f t="shared" si="4"/>
        <v>1</v>
      </c>
      <c r="BD24" s="13">
        <f t="shared" si="4"/>
        <v>0</v>
      </c>
      <c r="BE24" s="13">
        <f t="shared" si="4"/>
        <v>0</v>
      </c>
      <c r="BF24" s="13">
        <f t="shared" si="4"/>
        <v>0</v>
      </c>
      <c r="BG24" s="13">
        <f t="shared" si="4"/>
        <v>0</v>
      </c>
      <c r="BH24" s="13">
        <f t="shared" si="4"/>
        <v>0</v>
      </c>
      <c r="BI24" s="13">
        <f t="shared" si="4"/>
        <v>6</v>
      </c>
      <c r="BJ24" s="13">
        <f t="shared" si="4"/>
        <v>1</v>
      </c>
      <c r="BK24" s="13">
        <f t="shared" si="2"/>
        <v>24</v>
      </c>
    </row>
    <row r="25" spans="1:63" ht="12.75" customHeight="1" x14ac:dyDescent="0.3">
      <c r="A25" s="20"/>
      <c r="B25" s="65" t="s">
        <v>21</v>
      </c>
      <c r="C25" s="62" t="s">
        <v>22</v>
      </c>
      <c r="D25" s="15" t="s">
        <v>12</v>
      </c>
      <c r="E25" s="15">
        <v>1</v>
      </c>
      <c r="F25" s="15">
        <v>3</v>
      </c>
      <c r="G25" s="15">
        <v>1</v>
      </c>
      <c r="H25" s="15">
        <v>1</v>
      </c>
      <c r="I25" s="15">
        <v>1</v>
      </c>
      <c r="J25" s="15">
        <v>3</v>
      </c>
      <c r="K25" s="15">
        <v>4</v>
      </c>
      <c r="L25" s="15">
        <v>0</v>
      </c>
      <c r="M25" s="15">
        <v>0</v>
      </c>
      <c r="N25" s="15">
        <v>1</v>
      </c>
      <c r="O25" s="15">
        <v>1</v>
      </c>
      <c r="P25" s="15">
        <v>2</v>
      </c>
      <c r="Q25" s="15">
        <v>0</v>
      </c>
      <c r="R25" s="15">
        <v>1</v>
      </c>
      <c r="S25" s="15">
        <v>0</v>
      </c>
      <c r="T25" s="15">
        <v>0</v>
      </c>
      <c r="U25" s="15">
        <v>1</v>
      </c>
      <c r="V25" s="15">
        <v>1</v>
      </c>
      <c r="W25" s="15">
        <v>0</v>
      </c>
      <c r="X25" s="15">
        <v>1</v>
      </c>
      <c r="Y25" s="15">
        <v>0</v>
      </c>
      <c r="Z25" s="15">
        <v>0</v>
      </c>
      <c r="AA25" s="15">
        <v>1</v>
      </c>
      <c r="AB25" s="15">
        <v>0</v>
      </c>
      <c r="AC25" s="15">
        <v>0</v>
      </c>
      <c r="AD25" s="15">
        <v>1</v>
      </c>
      <c r="AE25" s="15">
        <v>2</v>
      </c>
      <c r="AF25" s="15">
        <v>4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4</v>
      </c>
      <c r="AM25" s="15">
        <v>2</v>
      </c>
      <c r="AN25" s="15">
        <v>3</v>
      </c>
      <c r="AO25" s="15">
        <v>3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2</v>
      </c>
      <c r="AV25" s="15">
        <v>0</v>
      </c>
      <c r="AW25" s="15">
        <v>0</v>
      </c>
      <c r="AX25" s="15">
        <v>6</v>
      </c>
      <c r="AY25" s="15">
        <v>1</v>
      </c>
      <c r="AZ25" s="15">
        <v>0</v>
      </c>
      <c r="BA25" s="15">
        <v>3</v>
      </c>
      <c r="BB25" s="15">
        <v>6</v>
      </c>
      <c r="BC25" s="15">
        <v>0</v>
      </c>
      <c r="BD25" s="15">
        <v>4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3">
        <f t="shared" si="2"/>
        <v>64</v>
      </c>
    </row>
    <row r="26" spans="1:63" ht="12.75" customHeight="1" x14ac:dyDescent="0.3">
      <c r="A26" s="20"/>
      <c r="B26" s="60"/>
      <c r="C26" s="63"/>
      <c r="D26" s="15" t="s">
        <v>13</v>
      </c>
      <c r="E26" s="15">
        <v>0</v>
      </c>
      <c r="F26" s="15">
        <v>3</v>
      </c>
      <c r="G26" s="15">
        <v>1</v>
      </c>
      <c r="H26" s="15">
        <v>0</v>
      </c>
      <c r="I26" s="15">
        <v>4</v>
      </c>
      <c r="J26" s="15">
        <v>6</v>
      </c>
      <c r="K26" s="15">
        <v>2</v>
      </c>
      <c r="L26" s="15">
        <v>0</v>
      </c>
      <c r="M26" s="15">
        <v>0</v>
      </c>
      <c r="N26" s="15">
        <v>0</v>
      </c>
      <c r="O26" s="15">
        <v>1</v>
      </c>
      <c r="P26" s="15">
        <v>5</v>
      </c>
      <c r="Q26" s="15">
        <v>1</v>
      </c>
      <c r="R26" s="15">
        <v>0</v>
      </c>
      <c r="S26" s="15">
        <v>1</v>
      </c>
      <c r="T26" s="15">
        <v>2</v>
      </c>
      <c r="U26" s="15">
        <v>1</v>
      </c>
      <c r="V26" s="15">
        <v>0</v>
      </c>
      <c r="W26" s="15">
        <v>0</v>
      </c>
      <c r="X26" s="15">
        <v>2</v>
      </c>
      <c r="Y26" s="15">
        <v>1</v>
      </c>
      <c r="Z26" s="15">
        <v>0</v>
      </c>
      <c r="AA26" s="15">
        <v>3</v>
      </c>
      <c r="AB26" s="15">
        <v>0</v>
      </c>
      <c r="AC26" s="15">
        <v>2</v>
      </c>
      <c r="AD26" s="15">
        <v>1</v>
      </c>
      <c r="AE26" s="15">
        <v>0</v>
      </c>
      <c r="AF26" s="15">
        <v>1</v>
      </c>
      <c r="AG26" s="15">
        <v>0</v>
      </c>
      <c r="AH26" s="15">
        <v>0</v>
      </c>
      <c r="AI26" s="15">
        <v>0</v>
      </c>
      <c r="AJ26" s="15">
        <v>2</v>
      </c>
      <c r="AK26" s="15">
        <v>1</v>
      </c>
      <c r="AL26" s="15">
        <v>2</v>
      </c>
      <c r="AM26" s="15">
        <v>1</v>
      </c>
      <c r="AN26" s="15">
        <v>2</v>
      </c>
      <c r="AO26" s="15">
        <v>1</v>
      </c>
      <c r="AP26" s="15">
        <v>0</v>
      </c>
      <c r="AQ26" s="15">
        <v>0</v>
      </c>
      <c r="AR26" s="15">
        <v>1</v>
      </c>
      <c r="AS26" s="15">
        <v>0</v>
      </c>
      <c r="AT26" s="15">
        <v>0</v>
      </c>
      <c r="AU26" s="15">
        <v>1</v>
      </c>
      <c r="AV26" s="15">
        <v>0</v>
      </c>
      <c r="AW26" s="15">
        <v>1</v>
      </c>
      <c r="AX26" s="15">
        <v>4</v>
      </c>
      <c r="AY26" s="15">
        <v>2</v>
      </c>
      <c r="AZ26" s="15">
        <v>0</v>
      </c>
      <c r="BA26" s="15">
        <v>4</v>
      </c>
      <c r="BB26" s="15">
        <v>3</v>
      </c>
      <c r="BC26" s="15">
        <v>1</v>
      </c>
      <c r="BD26" s="15">
        <v>3</v>
      </c>
      <c r="BE26" s="15">
        <v>0</v>
      </c>
      <c r="BF26" s="15">
        <v>0</v>
      </c>
      <c r="BG26" s="15">
        <v>0</v>
      </c>
      <c r="BH26" s="15">
        <v>1</v>
      </c>
      <c r="BI26" s="15">
        <v>0</v>
      </c>
      <c r="BJ26" s="15">
        <v>0</v>
      </c>
      <c r="BK26" s="13">
        <f t="shared" si="2"/>
        <v>67</v>
      </c>
    </row>
    <row r="27" spans="1:63" ht="12.75" customHeight="1" x14ac:dyDescent="0.3">
      <c r="A27" s="21"/>
      <c r="B27" s="53"/>
      <c r="C27" s="64"/>
      <c r="D27" s="13" t="s">
        <v>14</v>
      </c>
      <c r="E27" s="13">
        <f t="shared" ref="E27:BJ27" si="5">SUM(E25:E26)</f>
        <v>1</v>
      </c>
      <c r="F27" s="13">
        <f t="shared" si="5"/>
        <v>6</v>
      </c>
      <c r="G27" s="13">
        <f t="shared" si="5"/>
        <v>2</v>
      </c>
      <c r="H27" s="13">
        <f t="shared" si="5"/>
        <v>1</v>
      </c>
      <c r="I27" s="13">
        <f t="shared" si="5"/>
        <v>5</v>
      </c>
      <c r="J27" s="13">
        <f t="shared" si="5"/>
        <v>9</v>
      </c>
      <c r="K27" s="13">
        <f t="shared" si="5"/>
        <v>6</v>
      </c>
      <c r="L27" s="13">
        <f t="shared" si="5"/>
        <v>0</v>
      </c>
      <c r="M27" s="13">
        <f t="shared" si="5"/>
        <v>0</v>
      </c>
      <c r="N27" s="13">
        <f t="shared" si="5"/>
        <v>1</v>
      </c>
      <c r="O27" s="13">
        <f t="shared" si="5"/>
        <v>2</v>
      </c>
      <c r="P27" s="13">
        <f t="shared" si="5"/>
        <v>7</v>
      </c>
      <c r="Q27" s="13">
        <f t="shared" si="5"/>
        <v>1</v>
      </c>
      <c r="R27" s="13">
        <f t="shared" si="5"/>
        <v>1</v>
      </c>
      <c r="S27" s="13">
        <f t="shared" si="5"/>
        <v>1</v>
      </c>
      <c r="T27" s="13">
        <f t="shared" si="5"/>
        <v>2</v>
      </c>
      <c r="U27" s="13">
        <f t="shared" si="5"/>
        <v>2</v>
      </c>
      <c r="V27" s="13">
        <f t="shared" si="5"/>
        <v>1</v>
      </c>
      <c r="W27" s="13">
        <f t="shared" si="5"/>
        <v>0</v>
      </c>
      <c r="X27" s="13">
        <f t="shared" si="5"/>
        <v>3</v>
      </c>
      <c r="Y27" s="13">
        <f t="shared" si="5"/>
        <v>1</v>
      </c>
      <c r="Z27" s="13">
        <f t="shared" si="5"/>
        <v>0</v>
      </c>
      <c r="AA27" s="13">
        <f t="shared" si="5"/>
        <v>4</v>
      </c>
      <c r="AB27" s="13">
        <f t="shared" si="5"/>
        <v>0</v>
      </c>
      <c r="AC27" s="13">
        <f t="shared" si="5"/>
        <v>2</v>
      </c>
      <c r="AD27" s="13">
        <f t="shared" si="5"/>
        <v>2</v>
      </c>
      <c r="AE27" s="13">
        <f t="shared" si="5"/>
        <v>2</v>
      </c>
      <c r="AF27" s="13">
        <f t="shared" si="5"/>
        <v>5</v>
      </c>
      <c r="AG27" s="13">
        <f t="shared" si="5"/>
        <v>0</v>
      </c>
      <c r="AH27" s="13">
        <f t="shared" si="5"/>
        <v>0</v>
      </c>
      <c r="AI27" s="13">
        <f t="shared" si="5"/>
        <v>0</v>
      </c>
      <c r="AJ27" s="13">
        <f t="shared" si="5"/>
        <v>2</v>
      </c>
      <c r="AK27" s="13">
        <f t="shared" si="5"/>
        <v>1</v>
      </c>
      <c r="AL27" s="13">
        <f t="shared" si="5"/>
        <v>6</v>
      </c>
      <c r="AM27" s="13">
        <f t="shared" si="5"/>
        <v>3</v>
      </c>
      <c r="AN27" s="13">
        <f t="shared" si="5"/>
        <v>5</v>
      </c>
      <c r="AO27" s="13">
        <f t="shared" si="5"/>
        <v>4</v>
      </c>
      <c r="AP27" s="13">
        <f t="shared" si="5"/>
        <v>0</v>
      </c>
      <c r="AQ27" s="13">
        <f t="shared" si="5"/>
        <v>0</v>
      </c>
      <c r="AR27" s="13">
        <f t="shared" si="5"/>
        <v>1</v>
      </c>
      <c r="AS27" s="13">
        <f t="shared" si="5"/>
        <v>0</v>
      </c>
      <c r="AT27" s="13">
        <f t="shared" si="5"/>
        <v>0</v>
      </c>
      <c r="AU27" s="13">
        <f t="shared" si="5"/>
        <v>3</v>
      </c>
      <c r="AV27" s="13">
        <f t="shared" si="5"/>
        <v>0</v>
      </c>
      <c r="AW27" s="13">
        <f t="shared" si="5"/>
        <v>1</v>
      </c>
      <c r="AX27" s="13">
        <f t="shared" si="5"/>
        <v>10</v>
      </c>
      <c r="AY27" s="13">
        <f t="shared" si="5"/>
        <v>3</v>
      </c>
      <c r="AZ27" s="13">
        <f t="shared" si="5"/>
        <v>0</v>
      </c>
      <c r="BA27" s="13">
        <f t="shared" si="5"/>
        <v>7</v>
      </c>
      <c r="BB27" s="13">
        <f t="shared" si="5"/>
        <v>9</v>
      </c>
      <c r="BC27" s="13">
        <f t="shared" si="5"/>
        <v>1</v>
      </c>
      <c r="BD27" s="13">
        <f t="shared" si="5"/>
        <v>7</v>
      </c>
      <c r="BE27" s="13">
        <f t="shared" si="5"/>
        <v>0</v>
      </c>
      <c r="BF27" s="13">
        <f t="shared" si="5"/>
        <v>0</v>
      </c>
      <c r="BG27" s="13">
        <f t="shared" si="5"/>
        <v>0</v>
      </c>
      <c r="BH27" s="13">
        <f t="shared" si="5"/>
        <v>1</v>
      </c>
      <c r="BI27" s="13">
        <f t="shared" si="5"/>
        <v>0</v>
      </c>
      <c r="BJ27" s="13">
        <f t="shared" si="5"/>
        <v>0</v>
      </c>
      <c r="BK27" s="13">
        <f t="shared" si="2"/>
        <v>131</v>
      </c>
    </row>
    <row r="28" spans="1:63" ht="12.75" customHeight="1" x14ac:dyDescent="0.3">
      <c r="A28" s="21"/>
      <c r="B28" s="66" t="s">
        <v>23</v>
      </c>
      <c r="C28" s="67" t="s">
        <v>24</v>
      </c>
      <c r="D28" s="13" t="s">
        <v>12</v>
      </c>
      <c r="E28" s="13">
        <f t="shared" ref="E28:BJ28" si="6">SUM(E19,E22,E25)</f>
        <v>94</v>
      </c>
      <c r="F28" s="13">
        <f t="shared" si="6"/>
        <v>95</v>
      </c>
      <c r="G28" s="13">
        <f t="shared" si="6"/>
        <v>91</v>
      </c>
      <c r="H28" s="13">
        <f t="shared" si="6"/>
        <v>71</v>
      </c>
      <c r="I28" s="13">
        <f t="shared" si="6"/>
        <v>94</v>
      </c>
      <c r="J28" s="13">
        <f t="shared" si="6"/>
        <v>94</v>
      </c>
      <c r="K28" s="13">
        <f t="shared" si="6"/>
        <v>110</v>
      </c>
      <c r="L28" s="13">
        <f t="shared" si="6"/>
        <v>94</v>
      </c>
      <c r="M28" s="13">
        <f t="shared" si="6"/>
        <v>90</v>
      </c>
      <c r="N28" s="13">
        <f t="shared" si="6"/>
        <v>79</v>
      </c>
      <c r="O28" s="13">
        <f t="shared" si="6"/>
        <v>91</v>
      </c>
      <c r="P28" s="13">
        <f t="shared" si="6"/>
        <v>97</v>
      </c>
      <c r="Q28" s="13">
        <f t="shared" si="6"/>
        <v>103</v>
      </c>
      <c r="R28" s="13">
        <f t="shared" si="6"/>
        <v>83</v>
      </c>
      <c r="S28" s="13">
        <f t="shared" si="6"/>
        <v>84</v>
      </c>
      <c r="T28" s="13">
        <f t="shared" si="6"/>
        <v>80</v>
      </c>
      <c r="U28" s="13">
        <f t="shared" si="6"/>
        <v>94</v>
      </c>
      <c r="V28" s="13">
        <f t="shared" si="6"/>
        <v>103</v>
      </c>
      <c r="W28" s="13">
        <f t="shared" si="6"/>
        <v>99</v>
      </c>
      <c r="X28" s="13">
        <f t="shared" si="6"/>
        <v>99</v>
      </c>
      <c r="Y28" s="13">
        <f t="shared" si="6"/>
        <v>91</v>
      </c>
      <c r="Z28" s="13">
        <f t="shared" si="6"/>
        <v>84</v>
      </c>
      <c r="AA28" s="13">
        <f t="shared" si="6"/>
        <v>107</v>
      </c>
      <c r="AB28" s="13">
        <f t="shared" si="6"/>
        <v>93</v>
      </c>
      <c r="AC28" s="13">
        <f t="shared" si="6"/>
        <v>96</v>
      </c>
      <c r="AD28" s="13">
        <f t="shared" si="6"/>
        <v>90</v>
      </c>
      <c r="AE28" s="13">
        <f t="shared" si="6"/>
        <v>101</v>
      </c>
      <c r="AF28" s="13">
        <f t="shared" si="6"/>
        <v>112</v>
      </c>
      <c r="AG28" s="13">
        <f t="shared" si="6"/>
        <v>99</v>
      </c>
      <c r="AH28" s="13">
        <f t="shared" si="6"/>
        <v>91</v>
      </c>
      <c r="AI28" s="13">
        <f t="shared" si="6"/>
        <v>107</v>
      </c>
      <c r="AJ28" s="13">
        <f t="shared" si="6"/>
        <v>104</v>
      </c>
      <c r="AK28" s="13">
        <f t="shared" si="6"/>
        <v>97</v>
      </c>
      <c r="AL28" s="13">
        <f t="shared" si="6"/>
        <v>105</v>
      </c>
      <c r="AM28" s="13">
        <f t="shared" si="6"/>
        <v>80</v>
      </c>
      <c r="AN28" s="13">
        <f t="shared" si="6"/>
        <v>98</v>
      </c>
      <c r="AO28" s="13">
        <f t="shared" si="6"/>
        <v>80</v>
      </c>
      <c r="AP28" s="13">
        <f t="shared" si="6"/>
        <v>86</v>
      </c>
      <c r="AQ28" s="13">
        <f t="shared" si="6"/>
        <v>102</v>
      </c>
      <c r="AR28" s="13">
        <f t="shared" si="6"/>
        <v>108</v>
      </c>
      <c r="AS28" s="13">
        <f t="shared" si="6"/>
        <v>89</v>
      </c>
      <c r="AT28" s="13">
        <f t="shared" si="6"/>
        <v>91</v>
      </c>
      <c r="AU28" s="13">
        <f t="shared" si="6"/>
        <v>107</v>
      </c>
      <c r="AV28" s="13">
        <f t="shared" si="6"/>
        <v>98</v>
      </c>
      <c r="AW28" s="13">
        <f t="shared" si="6"/>
        <v>119</v>
      </c>
      <c r="AX28" s="13">
        <f t="shared" si="6"/>
        <v>108</v>
      </c>
      <c r="AY28" s="13">
        <f t="shared" si="6"/>
        <v>106</v>
      </c>
      <c r="AZ28" s="13">
        <f t="shared" si="6"/>
        <v>105</v>
      </c>
      <c r="BA28" s="13">
        <f t="shared" si="6"/>
        <v>121</v>
      </c>
      <c r="BB28" s="13">
        <f t="shared" si="6"/>
        <v>127</v>
      </c>
      <c r="BC28" s="13">
        <f t="shared" si="6"/>
        <v>95</v>
      </c>
      <c r="BD28" s="13">
        <f t="shared" si="6"/>
        <v>100</v>
      </c>
      <c r="BE28" s="13">
        <f t="shared" si="6"/>
        <v>105</v>
      </c>
      <c r="BF28" s="13">
        <f t="shared" si="6"/>
        <v>93</v>
      </c>
      <c r="BG28" s="13">
        <f t="shared" si="6"/>
        <v>105</v>
      </c>
      <c r="BH28" s="13">
        <f t="shared" si="6"/>
        <v>104</v>
      </c>
      <c r="BI28" s="13">
        <f t="shared" si="6"/>
        <v>104</v>
      </c>
      <c r="BJ28" s="13">
        <f t="shared" si="6"/>
        <v>102</v>
      </c>
      <c r="BK28" s="13">
        <f t="shared" si="2"/>
        <v>5655</v>
      </c>
    </row>
    <row r="29" spans="1:63" ht="12.75" customHeight="1" x14ac:dyDescent="0.3">
      <c r="A29" s="21"/>
      <c r="B29" s="60"/>
      <c r="C29" s="63"/>
      <c r="D29" s="13" t="s">
        <v>13</v>
      </c>
      <c r="E29" s="13">
        <f t="shared" ref="E29:BJ29" si="7">SUM(E20,E23,E26)</f>
        <v>96</v>
      </c>
      <c r="F29" s="13">
        <f t="shared" si="7"/>
        <v>106</v>
      </c>
      <c r="G29" s="13">
        <f t="shared" si="7"/>
        <v>94</v>
      </c>
      <c r="H29" s="13">
        <f t="shared" si="7"/>
        <v>102</v>
      </c>
      <c r="I29" s="13">
        <f t="shared" si="7"/>
        <v>96</v>
      </c>
      <c r="J29" s="13">
        <f t="shared" si="7"/>
        <v>114</v>
      </c>
      <c r="K29" s="13">
        <f t="shared" si="7"/>
        <v>107</v>
      </c>
      <c r="L29" s="13">
        <f t="shared" si="7"/>
        <v>107</v>
      </c>
      <c r="M29" s="13">
        <f t="shared" si="7"/>
        <v>96</v>
      </c>
      <c r="N29" s="13">
        <f t="shared" si="7"/>
        <v>97</v>
      </c>
      <c r="O29" s="13">
        <f t="shared" si="7"/>
        <v>116</v>
      </c>
      <c r="P29" s="13">
        <f t="shared" si="7"/>
        <v>104</v>
      </c>
      <c r="Q29" s="13">
        <f t="shared" si="7"/>
        <v>108</v>
      </c>
      <c r="R29" s="13">
        <f t="shared" si="7"/>
        <v>86</v>
      </c>
      <c r="S29" s="13">
        <f t="shared" si="7"/>
        <v>127</v>
      </c>
      <c r="T29" s="13">
        <f t="shared" si="7"/>
        <v>104</v>
      </c>
      <c r="U29" s="13">
        <f t="shared" si="7"/>
        <v>100</v>
      </c>
      <c r="V29" s="13">
        <f t="shared" si="7"/>
        <v>109</v>
      </c>
      <c r="W29" s="13">
        <f t="shared" si="7"/>
        <v>95</v>
      </c>
      <c r="X29" s="13">
        <f t="shared" si="7"/>
        <v>107</v>
      </c>
      <c r="Y29" s="13">
        <f t="shared" si="7"/>
        <v>109</v>
      </c>
      <c r="Z29" s="13">
        <f t="shared" si="7"/>
        <v>110</v>
      </c>
      <c r="AA29" s="13">
        <f t="shared" si="7"/>
        <v>113</v>
      </c>
      <c r="AB29" s="13">
        <f t="shared" si="7"/>
        <v>112</v>
      </c>
      <c r="AC29" s="13">
        <f t="shared" si="7"/>
        <v>116</v>
      </c>
      <c r="AD29" s="13">
        <f t="shared" si="7"/>
        <v>106</v>
      </c>
      <c r="AE29" s="13">
        <f t="shared" si="7"/>
        <v>104</v>
      </c>
      <c r="AF29" s="13">
        <f t="shared" si="7"/>
        <v>106</v>
      </c>
      <c r="AG29" s="13">
        <f t="shared" si="7"/>
        <v>121</v>
      </c>
      <c r="AH29" s="13">
        <f t="shared" si="7"/>
        <v>98</v>
      </c>
      <c r="AI29" s="13">
        <f t="shared" si="7"/>
        <v>98</v>
      </c>
      <c r="AJ29" s="13">
        <f t="shared" si="7"/>
        <v>102</v>
      </c>
      <c r="AK29" s="13">
        <f t="shared" si="7"/>
        <v>118</v>
      </c>
      <c r="AL29" s="13">
        <f t="shared" si="7"/>
        <v>114</v>
      </c>
      <c r="AM29" s="13">
        <f t="shared" si="7"/>
        <v>97</v>
      </c>
      <c r="AN29" s="13">
        <f t="shared" si="7"/>
        <v>108</v>
      </c>
      <c r="AO29" s="13">
        <f t="shared" si="7"/>
        <v>94</v>
      </c>
      <c r="AP29" s="13">
        <f t="shared" si="7"/>
        <v>94</v>
      </c>
      <c r="AQ29" s="13">
        <f t="shared" si="7"/>
        <v>106</v>
      </c>
      <c r="AR29" s="13">
        <f t="shared" si="7"/>
        <v>112</v>
      </c>
      <c r="AS29" s="13">
        <f t="shared" si="7"/>
        <v>100</v>
      </c>
      <c r="AT29" s="13">
        <f t="shared" si="7"/>
        <v>110</v>
      </c>
      <c r="AU29" s="13">
        <f t="shared" si="7"/>
        <v>138</v>
      </c>
      <c r="AV29" s="13">
        <f t="shared" si="7"/>
        <v>104</v>
      </c>
      <c r="AW29" s="13">
        <f t="shared" si="7"/>
        <v>106</v>
      </c>
      <c r="AX29" s="13">
        <f t="shared" si="7"/>
        <v>116</v>
      </c>
      <c r="AY29" s="13">
        <f t="shared" si="7"/>
        <v>115</v>
      </c>
      <c r="AZ29" s="13">
        <f t="shared" si="7"/>
        <v>116</v>
      </c>
      <c r="BA29" s="13">
        <f t="shared" si="7"/>
        <v>119</v>
      </c>
      <c r="BB29" s="13">
        <f t="shared" si="7"/>
        <v>124</v>
      </c>
      <c r="BC29" s="13">
        <f t="shared" si="7"/>
        <v>115</v>
      </c>
      <c r="BD29" s="13">
        <f t="shared" si="7"/>
        <v>109</v>
      </c>
      <c r="BE29" s="13">
        <f t="shared" si="7"/>
        <v>124</v>
      </c>
      <c r="BF29" s="13">
        <f t="shared" si="7"/>
        <v>95</v>
      </c>
      <c r="BG29" s="13">
        <f t="shared" si="7"/>
        <v>107</v>
      </c>
      <c r="BH29" s="13">
        <f t="shared" si="7"/>
        <v>105</v>
      </c>
      <c r="BI29" s="13">
        <f t="shared" si="7"/>
        <v>114</v>
      </c>
      <c r="BJ29" s="13">
        <f t="shared" si="7"/>
        <v>107</v>
      </c>
      <c r="BK29" s="13">
        <f t="shared" si="2"/>
        <v>6233</v>
      </c>
    </row>
    <row r="30" spans="1:63" ht="12.75" customHeight="1" x14ac:dyDescent="0.3">
      <c r="A30" s="21"/>
      <c r="B30" s="53"/>
      <c r="C30" s="64"/>
      <c r="D30" s="13" t="s">
        <v>14</v>
      </c>
      <c r="E30" s="13">
        <f t="shared" ref="E30:BJ30" si="8">SUM(E28:E29)</f>
        <v>190</v>
      </c>
      <c r="F30" s="13">
        <f t="shared" si="8"/>
        <v>201</v>
      </c>
      <c r="G30" s="13">
        <f t="shared" si="8"/>
        <v>185</v>
      </c>
      <c r="H30" s="13">
        <f t="shared" si="8"/>
        <v>173</v>
      </c>
      <c r="I30" s="13">
        <f t="shared" si="8"/>
        <v>190</v>
      </c>
      <c r="J30" s="13">
        <f t="shared" si="8"/>
        <v>208</v>
      </c>
      <c r="K30" s="13">
        <f t="shared" si="8"/>
        <v>217</v>
      </c>
      <c r="L30" s="13">
        <f t="shared" si="8"/>
        <v>201</v>
      </c>
      <c r="M30" s="13">
        <f t="shared" si="8"/>
        <v>186</v>
      </c>
      <c r="N30" s="13">
        <f t="shared" si="8"/>
        <v>176</v>
      </c>
      <c r="O30" s="13">
        <f t="shared" si="8"/>
        <v>207</v>
      </c>
      <c r="P30" s="13">
        <f t="shared" si="8"/>
        <v>201</v>
      </c>
      <c r="Q30" s="13">
        <f t="shared" si="8"/>
        <v>211</v>
      </c>
      <c r="R30" s="13">
        <f t="shared" si="8"/>
        <v>169</v>
      </c>
      <c r="S30" s="13">
        <f t="shared" si="8"/>
        <v>211</v>
      </c>
      <c r="T30" s="13">
        <f t="shared" si="8"/>
        <v>184</v>
      </c>
      <c r="U30" s="13">
        <f t="shared" si="8"/>
        <v>194</v>
      </c>
      <c r="V30" s="13">
        <f t="shared" si="8"/>
        <v>212</v>
      </c>
      <c r="W30" s="13">
        <f t="shared" si="8"/>
        <v>194</v>
      </c>
      <c r="X30" s="13">
        <f t="shared" si="8"/>
        <v>206</v>
      </c>
      <c r="Y30" s="13">
        <f t="shared" si="8"/>
        <v>200</v>
      </c>
      <c r="Z30" s="13">
        <f t="shared" si="8"/>
        <v>194</v>
      </c>
      <c r="AA30" s="13">
        <f t="shared" si="8"/>
        <v>220</v>
      </c>
      <c r="AB30" s="13">
        <f t="shared" si="8"/>
        <v>205</v>
      </c>
      <c r="AC30" s="13">
        <f t="shared" si="8"/>
        <v>212</v>
      </c>
      <c r="AD30" s="13">
        <f t="shared" si="8"/>
        <v>196</v>
      </c>
      <c r="AE30" s="13">
        <f t="shared" si="8"/>
        <v>205</v>
      </c>
      <c r="AF30" s="13">
        <f t="shared" si="8"/>
        <v>218</v>
      </c>
      <c r="AG30" s="13">
        <f t="shared" si="8"/>
        <v>220</v>
      </c>
      <c r="AH30" s="13">
        <f t="shared" si="8"/>
        <v>189</v>
      </c>
      <c r="AI30" s="13">
        <f t="shared" si="8"/>
        <v>205</v>
      </c>
      <c r="AJ30" s="13">
        <f t="shared" si="8"/>
        <v>206</v>
      </c>
      <c r="AK30" s="13">
        <f t="shared" si="8"/>
        <v>215</v>
      </c>
      <c r="AL30" s="13">
        <f t="shared" si="8"/>
        <v>219</v>
      </c>
      <c r="AM30" s="13">
        <f t="shared" si="8"/>
        <v>177</v>
      </c>
      <c r="AN30" s="13">
        <f t="shared" si="8"/>
        <v>206</v>
      </c>
      <c r="AO30" s="13">
        <f t="shared" si="8"/>
        <v>174</v>
      </c>
      <c r="AP30" s="13">
        <f t="shared" si="8"/>
        <v>180</v>
      </c>
      <c r="AQ30" s="13">
        <f t="shared" si="8"/>
        <v>208</v>
      </c>
      <c r="AR30" s="13">
        <f t="shared" si="8"/>
        <v>220</v>
      </c>
      <c r="AS30" s="13">
        <f t="shared" si="8"/>
        <v>189</v>
      </c>
      <c r="AT30" s="13">
        <f t="shared" si="8"/>
        <v>201</v>
      </c>
      <c r="AU30" s="13">
        <f t="shared" si="8"/>
        <v>245</v>
      </c>
      <c r="AV30" s="13">
        <f t="shared" si="8"/>
        <v>202</v>
      </c>
      <c r="AW30" s="13">
        <f t="shared" si="8"/>
        <v>225</v>
      </c>
      <c r="AX30" s="13">
        <f t="shared" si="8"/>
        <v>224</v>
      </c>
      <c r="AY30" s="13">
        <f t="shared" si="8"/>
        <v>221</v>
      </c>
      <c r="AZ30" s="13">
        <f t="shared" si="8"/>
        <v>221</v>
      </c>
      <c r="BA30" s="13">
        <f t="shared" si="8"/>
        <v>240</v>
      </c>
      <c r="BB30" s="13">
        <f t="shared" si="8"/>
        <v>251</v>
      </c>
      <c r="BC30" s="13">
        <f t="shared" si="8"/>
        <v>210</v>
      </c>
      <c r="BD30" s="13">
        <f t="shared" si="8"/>
        <v>209</v>
      </c>
      <c r="BE30" s="13">
        <f t="shared" si="8"/>
        <v>229</v>
      </c>
      <c r="BF30" s="13">
        <f t="shared" si="8"/>
        <v>188</v>
      </c>
      <c r="BG30" s="13">
        <f t="shared" si="8"/>
        <v>212</v>
      </c>
      <c r="BH30" s="13">
        <f t="shared" si="8"/>
        <v>209</v>
      </c>
      <c r="BI30" s="13">
        <f t="shared" si="8"/>
        <v>218</v>
      </c>
      <c r="BJ30" s="13">
        <f t="shared" si="8"/>
        <v>209</v>
      </c>
      <c r="BK30" s="13">
        <f t="shared" si="2"/>
        <v>11888</v>
      </c>
    </row>
    <row r="31" spans="1:63" ht="12.75" customHeight="1" x14ac:dyDescent="0.3">
      <c r="A31" s="61"/>
      <c r="B31" s="46"/>
      <c r="C31" s="46"/>
      <c r="D31" s="47"/>
      <c r="E31" s="15"/>
      <c r="F31" s="15"/>
      <c r="G31" s="15"/>
      <c r="H31" s="15"/>
      <c r="I31" s="15"/>
      <c r="J31" s="15"/>
      <c r="K31" s="15"/>
      <c r="L31" s="15"/>
      <c r="M31" s="15"/>
      <c r="N31" s="41"/>
      <c r="O31" s="15"/>
      <c r="P31" s="15"/>
      <c r="Q31" s="15"/>
      <c r="R31" s="15"/>
      <c r="S31" s="41"/>
      <c r="T31" s="15"/>
      <c r="U31" s="15"/>
      <c r="V31" s="15"/>
      <c r="W31" s="15"/>
      <c r="X31" s="41"/>
      <c r="Y31" s="15"/>
      <c r="Z31" s="15"/>
      <c r="AA31" s="15"/>
      <c r="AB31" s="15"/>
      <c r="AC31" s="41"/>
      <c r="AD31" s="15"/>
      <c r="AE31" s="15"/>
      <c r="AF31" s="15"/>
      <c r="AG31" s="15"/>
      <c r="AH31" s="41"/>
      <c r="AI31" s="15"/>
      <c r="AJ31" s="15"/>
      <c r="AK31" s="15"/>
      <c r="AL31" s="15"/>
      <c r="AM31" s="41"/>
      <c r="AN31" s="15"/>
      <c r="AO31" s="15"/>
      <c r="AP31" s="15"/>
      <c r="AQ31" s="15"/>
      <c r="AR31" s="41"/>
      <c r="AS31" s="15"/>
      <c r="AT31" s="15"/>
      <c r="AU31" s="15"/>
      <c r="AV31" s="15"/>
      <c r="AW31" s="41"/>
      <c r="AX31" s="15"/>
      <c r="AY31" s="15"/>
      <c r="AZ31" s="15"/>
      <c r="BA31" s="15"/>
      <c r="BB31" s="41"/>
      <c r="BC31" s="15"/>
      <c r="BD31" s="15"/>
      <c r="BE31" s="15"/>
      <c r="BF31" s="15"/>
      <c r="BG31" s="41"/>
      <c r="BH31" s="15"/>
      <c r="BI31" s="15"/>
      <c r="BJ31" s="15"/>
      <c r="BK31" s="42"/>
    </row>
    <row r="32" spans="1:63" ht="12.75" customHeight="1" x14ac:dyDescent="0.3">
      <c r="A32" s="24" t="s">
        <v>25</v>
      </c>
      <c r="B32" s="49" t="s">
        <v>26</v>
      </c>
      <c r="C32" s="46"/>
      <c r="D32" s="47"/>
      <c r="E32" s="13"/>
      <c r="F32" s="13"/>
      <c r="G32" s="13"/>
      <c r="H32" s="13"/>
      <c r="I32" s="13"/>
      <c r="J32" s="13"/>
      <c r="K32" s="13"/>
      <c r="L32" s="13"/>
      <c r="M32" s="13"/>
      <c r="N32" s="43"/>
      <c r="O32" s="13"/>
      <c r="P32" s="13"/>
      <c r="Q32" s="13"/>
      <c r="R32" s="13"/>
      <c r="S32" s="43"/>
      <c r="T32" s="13"/>
      <c r="U32" s="13"/>
      <c r="V32" s="13"/>
      <c r="W32" s="13"/>
      <c r="X32" s="43"/>
      <c r="Y32" s="13"/>
      <c r="Z32" s="13"/>
      <c r="AA32" s="13"/>
      <c r="AB32" s="13"/>
      <c r="AC32" s="43"/>
      <c r="AD32" s="13"/>
      <c r="AE32" s="13"/>
      <c r="AF32" s="13"/>
      <c r="AG32" s="13"/>
      <c r="AH32" s="43"/>
      <c r="AI32" s="13"/>
      <c r="AJ32" s="13"/>
      <c r="AK32" s="13"/>
      <c r="AL32" s="13"/>
      <c r="AM32" s="43"/>
      <c r="AN32" s="13"/>
      <c r="AO32" s="13"/>
      <c r="AP32" s="13"/>
      <c r="AQ32" s="13"/>
      <c r="AR32" s="43"/>
      <c r="AS32" s="13"/>
      <c r="AT32" s="13"/>
      <c r="AU32" s="13"/>
      <c r="AV32" s="13"/>
      <c r="AW32" s="43"/>
      <c r="AX32" s="13"/>
      <c r="AY32" s="13"/>
      <c r="AZ32" s="13"/>
      <c r="BA32" s="13"/>
      <c r="BB32" s="43"/>
      <c r="BC32" s="13"/>
      <c r="BD32" s="13"/>
      <c r="BE32" s="13"/>
      <c r="BF32" s="13"/>
      <c r="BG32" s="43"/>
      <c r="BH32" s="13"/>
      <c r="BI32" s="13"/>
      <c r="BJ32" s="13"/>
      <c r="BK32" s="42"/>
    </row>
    <row r="33" spans="1:63" ht="12.75" customHeight="1" x14ac:dyDescent="0.3">
      <c r="A33" s="15">
        <v>1</v>
      </c>
      <c r="B33" s="56" t="s">
        <v>27</v>
      </c>
      <c r="C33" s="46"/>
      <c r="D33" s="47"/>
      <c r="E33" s="15">
        <v>258</v>
      </c>
      <c r="F33" s="15">
        <v>270</v>
      </c>
      <c r="G33" s="15">
        <v>251</v>
      </c>
      <c r="H33" s="15">
        <v>253</v>
      </c>
      <c r="I33" s="15">
        <v>261</v>
      </c>
      <c r="J33" s="15">
        <v>286</v>
      </c>
      <c r="K33" s="15">
        <v>282</v>
      </c>
      <c r="L33" s="15">
        <v>304</v>
      </c>
      <c r="M33" s="15">
        <v>285</v>
      </c>
      <c r="N33" s="15">
        <v>269</v>
      </c>
      <c r="O33" s="15">
        <v>289</v>
      </c>
      <c r="P33" s="15">
        <v>282</v>
      </c>
      <c r="Q33" s="15">
        <v>289</v>
      </c>
      <c r="R33" s="15">
        <v>225</v>
      </c>
      <c r="S33" s="15">
        <v>287</v>
      </c>
      <c r="T33" s="15">
        <v>271</v>
      </c>
      <c r="U33" s="15">
        <v>284</v>
      </c>
      <c r="V33" s="15">
        <v>283</v>
      </c>
      <c r="W33" s="15">
        <v>281</v>
      </c>
      <c r="X33" s="15">
        <v>284</v>
      </c>
      <c r="Y33" s="15">
        <v>287</v>
      </c>
      <c r="Z33" s="15">
        <v>282</v>
      </c>
      <c r="AA33" s="15">
        <v>280</v>
      </c>
      <c r="AB33" s="15">
        <v>282</v>
      </c>
      <c r="AC33" s="15">
        <v>282</v>
      </c>
      <c r="AD33" s="15">
        <v>287</v>
      </c>
      <c r="AE33" s="15">
        <v>271</v>
      </c>
      <c r="AF33" s="15">
        <v>277</v>
      </c>
      <c r="AG33" s="15">
        <v>285</v>
      </c>
      <c r="AH33" s="15">
        <v>284</v>
      </c>
      <c r="AI33" s="15">
        <v>283</v>
      </c>
      <c r="AJ33" s="15">
        <v>292</v>
      </c>
      <c r="AK33" s="15">
        <v>293</v>
      </c>
      <c r="AL33" s="15">
        <v>295</v>
      </c>
      <c r="AM33" s="15">
        <v>238</v>
      </c>
      <c r="AN33" s="15">
        <v>282</v>
      </c>
      <c r="AO33" s="15">
        <v>229</v>
      </c>
      <c r="AP33" s="15">
        <v>224</v>
      </c>
      <c r="AQ33" s="15">
        <v>294</v>
      </c>
      <c r="AR33" s="15">
        <v>298</v>
      </c>
      <c r="AS33" s="15">
        <v>276</v>
      </c>
      <c r="AT33" s="15">
        <v>283</v>
      </c>
      <c r="AU33" s="15">
        <v>297</v>
      </c>
      <c r="AV33" s="15">
        <v>292</v>
      </c>
      <c r="AW33" s="15">
        <v>299</v>
      </c>
      <c r="AX33" s="15">
        <v>299</v>
      </c>
      <c r="AY33" s="15">
        <v>292</v>
      </c>
      <c r="AZ33" s="15">
        <v>288</v>
      </c>
      <c r="BA33" s="15">
        <v>293</v>
      </c>
      <c r="BB33" s="15">
        <v>295</v>
      </c>
      <c r="BC33" s="15">
        <v>287</v>
      </c>
      <c r="BD33" s="15">
        <v>270</v>
      </c>
      <c r="BE33" s="15">
        <v>284</v>
      </c>
      <c r="BF33" s="15">
        <v>253</v>
      </c>
      <c r="BG33" s="15">
        <v>273</v>
      </c>
      <c r="BH33" s="15">
        <v>277</v>
      </c>
      <c r="BI33" s="15">
        <v>273</v>
      </c>
      <c r="BJ33" s="15">
        <v>269</v>
      </c>
      <c r="BK33" s="13">
        <f t="shared" ref="BK33:BK36" si="9">SUM(E33:BJ33)</f>
        <v>16139</v>
      </c>
    </row>
    <row r="34" spans="1:63" ht="12.75" customHeight="1" x14ac:dyDescent="0.3">
      <c r="A34" s="15">
        <v>2</v>
      </c>
      <c r="B34" s="56" t="s">
        <v>28</v>
      </c>
      <c r="C34" s="46"/>
      <c r="D34" s="47"/>
      <c r="E34" s="13">
        <v>190</v>
      </c>
      <c r="F34" s="13">
        <v>201</v>
      </c>
      <c r="G34" s="13">
        <v>185</v>
      </c>
      <c r="H34" s="13">
        <v>173</v>
      </c>
      <c r="I34" s="13">
        <v>190</v>
      </c>
      <c r="J34" s="13">
        <v>208</v>
      </c>
      <c r="K34" s="13">
        <v>217</v>
      </c>
      <c r="L34" s="13">
        <v>201</v>
      </c>
      <c r="M34" s="13">
        <v>186</v>
      </c>
      <c r="N34" s="13">
        <v>176</v>
      </c>
      <c r="O34" s="13">
        <v>207</v>
      </c>
      <c r="P34" s="13">
        <v>201</v>
      </c>
      <c r="Q34" s="13">
        <v>211</v>
      </c>
      <c r="R34" s="13">
        <v>169</v>
      </c>
      <c r="S34" s="13">
        <v>211</v>
      </c>
      <c r="T34" s="13">
        <v>184</v>
      </c>
      <c r="U34" s="13">
        <v>194</v>
      </c>
      <c r="V34" s="13">
        <v>212</v>
      </c>
      <c r="W34" s="13">
        <v>194</v>
      </c>
      <c r="X34" s="13">
        <v>206</v>
      </c>
      <c r="Y34" s="13">
        <v>200</v>
      </c>
      <c r="Z34" s="13">
        <v>194</v>
      </c>
      <c r="AA34" s="13">
        <v>220</v>
      </c>
      <c r="AB34" s="13">
        <v>205</v>
      </c>
      <c r="AC34" s="13">
        <v>212</v>
      </c>
      <c r="AD34" s="13">
        <v>196</v>
      </c>
      <c r="AE34" s="13">
        <v>205</v>
      </c>
      <c r="AF34" s="13">
        <v>218</v>
      </c>
      <c r="AG34" s="13">
        <v>220</v>
      </c>
      <c r="AH34" s="13">
        <v>189</v>
      </c>
      <c r="AI34" s="13">
        <v>205</v>
      </c>
      <c r="AJ34" s="13">
        <v>206</v>
      </c>
      <c r="AK34" s="13">
        <v>215</v>
      </c>
      <c r="AL34" s="13">
        <v>219</v>
      </c>
      <c r="AM34" s="13">
        <v>177</v>
      </c>
      <c r="AN34" s="13">
        <v>206</v>
      </c>
      <c r="AO34" s="13">
        <v>174</v>
      </c>
      <c r="AP34" s="13">
        <v>180</v>
      </c>
      <c r="AQ34" s="13">
        <v>208</v>
      </c>
      <c r="AR34" s="13">
        <v>220</v>
      </c>
      <c r="AS34" s="13">
        <v>189</v>
      </c>
      <c r="AT34" s="13">
        <v>201</v>
      </c>
      <c r="AU34" s="13">
        <v>245</v>
      </c>
      <c r="AV34" s="13">
        <v>202</v>
      </c>
      <c r="AW34" s="13">
        <v>225</v>
      </c>
      <c r="AX34" s="13">
        <v>224</v>
      </c>
      <c r="AY34" s="13">
        <v>221</v>
      </c>
      <c r="AZ34" s="13">
        <v>221</v>
      </c>
      <c r="BA34" s="13">
        <v>240</v>
      </c>
      <c r="BB34" s="13">
        <v>251</v>
      </c>
      <c r="BC34" s="13">
        <v>210</v>
      </c>
      <c r="BD34" s="13">
        <v>209</v>
      </c>
      <c r="BE34" s="13">
        <v>229</v>
      </c>
      <c r="BF34" s="13">
        <v>188</v>
      </c>
      <c r="BG34" s="13">
        <v>212</v>
      </c>
      <c r="BH34" s="13">
        <v>209</v>
      </c>
      <c r="BI34" s="13">
        <v>218</v>
      </c>
      <c r="BJ34" s="13">
        <v>209</v>
      </c>
      <c r="BK34" s="13">
        <f t="shared" si="9"/>
        <v>11888</v>
      </c>
    </row>
    <row r="35" spans="1:63" ht="12.75" customHeight="1" x14ac:dyDescent="0.3">
      <c r="A35" s="15">
        <v>3</v>
      </c>
      <c r="B35" s="56" t="s">
        <v>29</v>
      </c>
      <c r="C35" s="46"/>
      <c r="D35" s="47"/>
      <c r="E35" s="15">
        <v>1</v>
      </c>
      <c r="F35" s="15">
        <v>0</v>
      </c>
      <c r="G35" s="15">
        <v>3</v>
      </c>
      <c r="H35" s="15">
        <v>0</v>
      </c>
      <c r="I35" s="15">
        <v>0</v>
      </c>
      <c r="J35" s="15">
        <v>1</v>
      </c>
      <c r="K35" s="15">
        <v>0</v>
      </c>
      <c r="L35" s="15">
        <v>0</v>
      </c>
      <c r="M35" s="15">
        <v>0</v>
      </c>
      <c r="N35" s="15">
        <v>1</v>
      </c>
      <c r="O35" s="15">
        <v>0</v>
      </c>
      <c r="P35" s="15">
        <v>0</v>
      </c>
      <c r="Q35" s="15">
        <v>1</v>
      </c>
      <c r="R35" s="15">
        <v>0</v>
      </c>
      <c r="S35" s="15">
        <v>0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>
        <v>0</v>
      </c>
      <c r="AJ35" s="15">
        <v>1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1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1</v>
      </c>
      <c r="BI35" s="15">
        <v>0</v>
      </c>
      <c r="BJ35" s="15">
        <v>0</v>
      </c>
      <c r="BK35" s="13">
        <f t="shared" si="9"/>
        <v>10</v>
      </c>
    </row>
    <row r="36" spans="1:63" ht="12.75" customHeight="1" x14ac:dyDescent="0.3">
      <c r="A36" s="15">
        <v>4</v>
      </c>
      <c r="B36" s="56" t="s">
        <v>30</v>
      </c>
      <c r="C36" s="46"/>
      <c r="D36" s="47"/>
      <c r="E36" s="13">
        <f t="shared" ref="E36:BJ36" si="10">E33-(E34+E35)</f>
        <v>67</v>
      </c>
      <c r="F36" s="13">
        <f t="shared" si="10"/>
        <v>69</v>
      </c>
      <c r="G36" s="13">
        <f t="shared" si="10"/>
        <v>63</v>
      </c>
      <c r="H36" s="13">
        <f t="shared" si="10"/>
        <v>80</v>
      </c>
      <c r="I36" s="13">
        <f t="shared" si="10"/>
        <v>71</v>
      </c>
      <c r="J36" s="13">
        <f t="shared" si="10"/>
        <v>77</v>
      </c>
      <c r="K36" s="13">
        <f t="shared" si="10"/>
        <v>65</v>
      </c>
      <c r="L36" s="13">
        <f t="shared" si="10"/>
        <v>103</v>
      </c>
      <c r="M36" s="13">
        <f t="shared" si="10"/>
        <v>99</v>
      </c>
      <c r="N36" s="13">
        <f t="shared" si="10"/>
        <v>92</v>
      </c>
      <c r="O36" s="13">
        <f t="shared" si="10"/>
        <v>82</v>
      </c>
      <c r="P36" s="13">
        <f t="shared" si="10"/>
        <v>81</v>
      </c>
      <c r="Q36" s="13">
        <f t="shared" si="10"/>
        <v>77</v>
      </c>
      <c r="R36" s="13">
        <f t="shared" si="10"/>
        <v>56</v>
      </c>
      <c r="S36" s="13">
        <f t="shared" si="10"/>
        <v>76</v>
      </c>
      <c r="T36" s="13">
        <f t="shared" si="10"/>
        <v>87</v>
      </c>
      <c r="U36" s="13">
        <f t="shared" si="10"/>
        <v>90</v>
      </c>
      <c r="V36" s="13">
        <f t="shared" si="10"/>
        <v>71</v>
      </c>
      <c r="W36" s="13">
        <f t="shared" si="10"/>
        <v>87</v>
      </c>
      <c r="X36" s="13">
        <f t="shared" si="10"/>
        <v>78</v>
      </c>
      <c r="Y36" s="13">
        <f t="shared" si="10"/>
        <v>87</v>
      </c>
      <c r="Z36" s="13">
        <f t="shared" si="10"/>
        <v>88</v>
      </c>
      <c r="AA36" s="13">
        <f t="shared" si="10"/>
        <v>60</v>
      </c>
      <c r="AB36" s="13">
        <f t="shared" si="10"/>
        <v>77</v>
      </c>
      <c r="AC36" s="13">
        <f t="shared" si="10"/>
        <v>70</v>
      </c>
      <c r="AD36" s="13">
        <f t="shared" si="10"/>
        <v>91</v>
      </c>
      <c r="AE36" s="13">
        <f t="shared" si="10"/>
        <v>66</v>
      </c>
      <c r="AF36" s="13">
        <f t="shared" si="10"/>
        <v>59</v>
      </c>
      <c r="AG36" s="13">
        <f t="shared" si="10"/>
        <v>65</v>
      </c>
      <c r="AH36" s="13">
        <f t="shared" si="10"/>
        <v>95</v>
      </c>
      <c r="AI36" s="13">
        <f t="shared" si="10"/>
        <v>78</v>
      </c>
      <c r="AJ36" s="13">
        <f t="shared" si="10"/>
        <v>85</v>
      </c>
      <c r="AK36" s="13">
        <f t="shared" si="10"/>
        <v>78</v>
      </c>
      <c r="AL36" s="13">
        <f t="shared" si="10"/>
        <v>76</v>
      </c>
      <c r="AM36" s="13">
        <f t="shared" si="10"/>
        <v>61</v>
      </c>
      <c r="AN36" s="13">
        <f t="shared" si="10"/>
        <v>76</v>
      </c>
      <c r="AO36" s="13">
        <f t="shared" si="10"/>
        <v>55</v>
      </c>
      <c r="AP36" s="13">
        <f t="shared" si="10"/>
        <v>44</v>
      </c>
      <c r="AQ36" s="13">
        <f t="shared" si="10"/>
        <v>85</v>
      </c>
      <c r="AR36" s="13">
        <f t="shared" si="10"/>
        <v>78</v>
      </c>
      <c r="AS36" s="13">
        <f t="shared" si="10"/>
        <v>87</v>
      </c>
      <c r="AT36" s="13">
        <f t="shared" si="10"/>
        <v>82</v>
      </c>
      <c r="AU36" s="13">
        <f t="shared" si="10"/>
        <v>52</v>
      </c>
      <c r="AV36" s="13">
        <f t="shared" si="10"/>
        <v>90</v>
      </c>
      <c r="AW36" s="13">
        <f t="shared" si="10"/>
        <v>74</v>
      </c>
      <c r="AX36" s="13">
        <f t="shared" si="10"/>
        <v>75</v>
      </c>
      <c r="AY36" s="13">
        <f t="shared" si="10"/>
        <v>71</v>
      </c>
      <c r="AZ36" s="13">
        <f t="shared" si="10"/>
        <v>67</v>
      </c>
      <c r="BA36" s="13">
        <f t="shared" si="10"/>
        <v>53</v>
      </c>
      <c r="BB36" s="13">
        <f t="shared" si="10"/>
        <v>44</v>
      </c>
      <c r="BC36" s="13">
        <f t="shared" si="10"/>
        <v>77</v>
      </c>
      <c r="BD36" s="13">
        <f t="shared" si="10"/>
        <v>61</v>
      </c>
      <c r="BE36" s="13">
        <f t="shared" si="10"/>
        <v>55</v>
      </c>
      <c r="BF36" s="13">
        <f t="shared" si="10"/>
        <v>65</v>
      </c>
      <c r="BG36" s="13">
        <f t="shared" si="10"/>
        <v>61</v>
      </c>
      <c r="BH36" s="13">
        <f t="shared" si="10"/>
        <v>67</v>
      </c>
      <c r="BI36" s="13">
        <f t="shared" si="10"/>
        <v>55</v>
      </c>
      <c r="BJ36" s="13">
        <f t="shared" si="10"/>
        <v>60</v>
      </c>
      <c r="BK36" s="13">
        <f t="shared" si="9"/>
        <v>4241</v>
      </c>
    </row>
    <row r="37" spans="1:63" ht="12.75" customHeight="1" x14ac:dyDescent="0.3">
      <c r="A37" s="61"/>
      <c r="B37" s="46"/>
      <c r="C37" s="46"/>
      <c r="D37" s="46"/>
      <c r="E37" s="61"/>
      <c r="F37" s="46"/>
      <c r="G37" s="46"/>
      <c r="H37" s="46"/>
      <c r="I37" s="47"/>
      <c r="J37" s="15"/>
      <c r="K37" s="15"/>
      <c r="L37" s="15"/>
      <c r="M37" s="15"/>
      <c r="N37" s="41"/>
      <c r="O37" s="15"/>
      <c r="P37" s="15"/>
      <c r="Q37" s="15"/>
      <c r="R37" s="15"/>
      <c r="S37" s="41"/>
      <c r="T37" s="15"/>
      <c r="U37" s="15"/>
      <c r="V37" s="15"/>
      <c r="W37" s="15"/>
      <c r="X37" s="41"/>
      <c r="Y37" s="15"/>
      <c r="Z37" s="15"/>
      <c r="AA37" s="15"/>
      <c r="AB37" s="15"/>
      <c r="AC37" s="41"/>
      <c r="AD37" s="15"/>
      <c r="AE37" s="15"/>
      <c r="AF37" s="15"/>
      <c r="AG37" s="15"/>
      <c r="AH37" s="41"/>
      <c r="AI37" s="15"/>
      <c r="AJ37" s="15"/>
      <c r="AK37" s="15"/>
      <c r="AL37" s="15"/>
      <c r="AM37" s="41"/>
      <c r="AN37" s="15"/>
      <c r="AO37" s="15"/>
      <c r="AP37" s="15"/>
      <c r="AQ37" s="15"/>
      <c r="AR37" s="41"/>
      <c r="AS37" s="15"/>
      <c r="AT37" s="15"/>
      <c r="AU37" s="15"/>
      <c r="AV37" s="15"/>
      <c r="AW37" s="41"/>
      <c r="AX37" s="15"/>
      <c r="AY37" s="15"/>
      <c r="AZ37" s="15"/>
      <c r="BA37" s="15"/>
      <c r="BB37" s="41"/>
      <c r="BC37" s="15"/>
      <c r="BD37" s="15"/>
      <c r="BE37" s="15"/>
      <c r="BF37" s="15"/>
      <c r="BG37" s="41"/>
      <c r="BH37" s="15"/>
      <c r="BI37" s="15"/>
      <c r="BJ37" s="15"/>
      <c r="BK37" s="42"/>
    </row>
    <row r="38" spans="1:63" ht="12.75" customHeight="1" x14ac:dyDescent="0.3">
      <c r="A38" s="25" t="s">
        <v>31</v>
      </c>
      <c r="B38" s="49" t="s">
        <v>32</v>
      </c>
      <c r="C38" s="46"/>
      <c r="D38" s="47"/>
      <c r="E38" s="13"/>
      <c r="F38" s="13"/>
      <c r="G38" s="13"/>
      <c r="H38" s="13"/>
      <c r="I38" s="13"/>
      <c r="J38" s="13"/>
      <c r="K38" s="13"/>
      <c r="L38" s="13"/>
      <c r="M38" s="13"/>
      <c r="N38" s="43"/>
      <c r="O38" s="13"/>
      <c r="P38" s="13"/>
      <c r="Q38" s="13"/>
      <c r="R38" s="13"/>
      <c r="S38" s="43"/>
      <c r="T38" s="13"/>
      <c r="U38" s="13"/>
      <c r="V38" s="13"/>
      <c r="W38" s="13"/>
      <c r="X38" s="43"/>
      <c r="Y38" s="13"/>
      <c r="Z38" s="13"/>
      <c r="AA38" s="13"/>
      <c r="AB38" s="13"/>
      <c r="AC38" s="43"/>
      <c r="AD38" s="13"/>
      <c r="AE38" s="13"/>
      <c r="AF38" s="13"/>
      <c r="AG38" s="13"/>
      <c r="AH38" s="43"/>
      <c r="AI38" s="13"/>
      <c r="AJ38" s="13"/>
      <c r="AK38" s="13"/>
      <c r="AL38" s="13"/>
      <c r="AM38" s="43"/>
      <c r="AN38" s="13"/>
      <c r="AO38" s="13"/>
      <c r="AP38" s="13"/>
      <c r="AQ38" s="13"/>
      <c r="AR38" s="43"/>
      <c r="AS38" s="13"/>
      <c r="AT38" s="13"/>
      <c r="AU38" s="13"/>
      <c r="AV38" s="13"/>
      <c r="AW38" s="43"/>
      <c r="AX38" s="13"/>
      <c r="AY38" s="13"/>
      <c r="AZ38" s="13"/>
      <c r="BA38" s="13"/>
      <c r="BB38" s="43"/>
      <c r="BC38" s="13"/>
      <c r="BD38" s="13"/>
      <c r="BE38" s="13"/>
      <c r="BF38" s="13"/>
      <c r="BG38" s="43"/>
      <c r="BH38" s="13"/>
      <c r="BI38" s="13"/>
      <c r="BJ38" s="13"/>
      <c r="BK38" s="42"/>
    </row>
    <row r="39" spans="1:63" ht="12.75" customHeight="1" x14ac:dyDescent="0.3">
      <c r="A39" s="19"/>
      <c r="B39" s="68" t="s">
        <v>33</v>
      </c>
      <c r="C39" s="58"/>
      <c r="D39" s="15" t="s">
        <v>12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2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2</v>
      </c>
      <c r="AB39" s="15">
        <v>1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1</v>
      </c>
      <c r="AY39" s="15">
        <v>0</v>
      </c>
      <c r="AZ39" s="15">
        <v>0</v>
      </c>
      <c r="BA39" s="15">
        <v>0</v>
      </c>
      <c r="BB39" s="15">
        <v>2</v>
      </c>
      <c r="BC39" s="15">
        <v>0</v>
      </c>
      <c r="BD39" s="15">
        <v>0</v>
      </c>
      <c r="BE39" s="15">
        <v>2</v>
      </c>
      <c r="BF39" s="15">
        <v>0</v>
      </c>
      <c r="BG39" s="15">
        <v>0</v>
      </c>
      <c r="BH39" s="15">
        <v>1</v>
      </c>
      <c r="BI39" s="15">
        <v>0</v>
      </c>
      <c r="BJ39" s="15">
        <v>0</v>
      </c>
      <c r="BK39" s="13">
        <f t="shared" ref="BK39:BK41" si="11">SUM(E39:BJ39)</f>
        <v>11</v>
      </c>
    </row>
    <row r="40" spans="1:63" ht="12.75" customHeight="1" x14ac:dyDescent="0.3">
      <c r="A40" s="20"/>
      <c r="B40" s="69"/>
      <c r="C40" s="60"/>
      <c r="D40" s="15" t="s">
        <v>13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1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2</v>
      </c>
      <c r="AB40" s="15">
        <v>1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1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1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2</v>
      </c>
      <c r="BF40" s="15">
        <v>0</v>
      </c>
      <c r="BG40" s="15">
        <v>0</v>
      </c>
      <c r="BH40" s="15">
        <v>1</v>
      </c>
      <c r="BI40" s="15">
        <v>0</v>
      </c>
      <c r="BJ40" s="15">
        <v>0</v>
      </c>
      <c r="BK40" s="13">
        <f t="shared" si="11"/>
        <v>9</v>
      </c>
    </row>
    <row r="41" spans="1:63" ht="12.75" customHeight="1" x14ac:dyDescent="0.3">
      <c r="A41" s="24"/>
      <c r="B41" s="52"/>
      <c r="C41" s="53"/>
      <c r="D41" s="13" t="s">
        <v>14</v>
      </c>
      <c r="E41" s="13">
        <f t="shared" ref="E41:BJ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1</v>
      </c>
      <c r="O41" s="13">
        <f t="shared" si="12"/>
        <v>0</v>
      </c>
      <c r="P41" s="13">
        <f t="shared" si="12"/>
        <v>0</v>
      </c>
      <c r="Q41" s="13">
        <f t="shared" si="12"/>
        <v>2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0</v>
      </c>
      <c r="W41" s="13">
        <f t="shared" si="12"/>
        <v>0</v>
      </c>
      <c r="X41" s="13">
        <f t="shared" si="12"/>
        <v>0</v>
      </c>
      <c r="Y41" s="13">
        <f t="shared" si="12"/>
        <v>0</v>
      </c>
      <c r="Z41" s="13">
        <f t="shared" si="12"/>
        <v>0</v>
      </c>
      <c r="AA41" s="13">
        <f t="shared" si="12"/>
        <v>4</v>
      </c>
      <c r="AB41" s="13">
        <f t="shared" si="12"/>
        <v>2</v>
      </c>
      <c r="AC41" s="13">
        <f t="shared" si="12"/>
        <v>0</v>
      </c>
      <c r="AD41" s="13">
        <f t="shared" si="12"/>
        <v>0</v>
      </c>
      <c r="AE41" s="13">
        <f t="shared" si="12"/>
        <v>0</v>
      </c>
      <c r="AF41" s="13">
        <f t="shared" si="12"/>
        <v>0</v>
      </c>
      <c r="AG41" s="13">
        <f t="shared" si="12"/>
        <v>0</v>
      </c>
      <c r="AH41" s="13">
        <f t="shared" si="12"/>
        <v>0</v>
      </c>
      <c r="AI41" s="13">
        <f t="shared" si="12"/>
        <v>0</v>
      </c>
      <c r="AJ41" s="13">
        <f t="shared" si="12"/>
        <v>0</v>
      </c>
      <c r="AK41" s="13">
        <f t="shared" si="12"/>
        <v>0</v>
      </c>
      <c r="AL41" s="13">
        <f t="shared" si="12"/>
        <v>0</v>
      </c>
      <c r="AM41" s="13">
        <f t="shared" si="12"/>
        <v>0</v>
      </c>
      <c r="AN41" s="13">
        <f t="shared" si="12"/>
        <v>0</v>
      </c>
      <c r="AO41" s="13">
        <f t="shared" si="12"/>
        <v>0</v>
      </c>
      <c r="AP41" s="13">
        <f t="shared" si="12"/>
        <v>1</v>
      </c>
      <c r="AQ41" s="13">
        <f t="shared" si="12"/>
        <v>0</v>
      </c>
      <c r="AR41" s="13">
        <f t="shared" si="12"/>
        <v>0</v>
      </c>
      <c r="AS41" s="13">
        <f t="shared" si="12"/>
        <v>0</v>
      </c>
      <c r="AT41" s="13">
        <f t="shared" si="12"/>
        <v>0</v>
      </c>
      <c r="AU41" s="13">
        <f t="shared" si="12"/>
        <v>0</v>
      </c>
      <c r="AV41" s="13">
        <f t="shared" si="12"/>
        <v>0</v>
      </c>
      <c r="AW41" s="13">
        <f t="shared" si="12"/>
        <v>0</v>
      </c>
      <c r="AX41" s="13">
        <f t="shared" si="12"/>
        <v>2</v>
      </c>
      <c r="AY41" s="13">
        <f t="shared" si="12"/>
        <v>0</v>
      </c>
      <c r="AZ41" s="13">
        <f t="shared" si="12"/>
        <v>0</v>
      </c>
      <c r="BA41" s="13">
        <f t="shared" si="12"/>
        <v>0</v>
      </c>
      <c r="BB41" s="13">
        <f t="shared" si="12"/>
        <v>2</v>
      </c>
      <c r="BC41" s="13">
        <f t="shared" si="12"/>
        <v>0</v>
      </c>
      <c r="BD41" s="13">
        <f t="shared" si="12"/>
        <v>0</v>
      </c>
      <c r="BE41" s="13">
        <f t="shared" si="12"/>
        <v>4</v>
      </c>
      <c r="BF41" s="13">
        <f t="shared" si="12"/>
        <v>0</v>
      </c>
      <c r="BG41" s="13">
        <f t="shared" si="12"/>
        <v>0</v>
      </c>
      <c r="BH41" s="13">
        <f t="shared" si="12"/>
        <v>2</v>
      </c>
      <c r="BI41" s="13">
        <f t="shared" si="12"/>
        <v>0</v>
      </c>
      <c r="BJ41" s="13">
        <f t="shared" si="12"/>
        <v>0</v>
      </c>
      <c r="BK41" s="13">
        <f t="shared" si="11"/>
        <v>20</v>
      </c>
    </row>
    <row r="42" spans="1:63" ht="12.75" customHeight="1" x14ac:dyDescent="0.3">
      <c r="A42" s="51"/>
      <c r="B42" s="52"/>
      <c r="C42" s="52"/>
      <c r="D42" s="53"/>
      <c r="E42" s="61"/>
      <c r="F42" s="46"/>
      <c r="G42" s="46"/>
      <c r="H42" s="46"/>
      <c r="I42" s="47"/>
      <c r="J42" s="15"/>
      <c r="K42" s="15"/>
      <c r="L42" s="15"/>
      <c r="M42" s="15"/>
      <c r="N42" s="41"/>
      <c r="O42" s="15"/>
      <c r="P42" s="15"/>
      <c r="Q42" s="15"/>
      <c r="R42" s="15"/>
      <c r="S42" s="41"/>
      <c r="T42" s="15"/>
      <c r="U42" s="15"/>
      <c r="V42" s="15"/>
      <c r="W42" s="15"/>
      <c r="X42" s="41"/>
      <c r="Y42" s="15"/>
      <c r="Z42" s="15"/>
      <c r="AA42" s="15"/>
      <c r="AB42" s="15"/>
      <c r="AC42" s="41"/>
      <c r="AD42" s="15"/>
      <c r="AE42" s="15"/>
      <c r="AF42" s="15"/>
      <c r="AG42" s="15"/>
      <c r="AH42" s="41"/>
      <c r="AI42" s="15"/>
      <c r="AJ42" s="15"/>
      <c r="AK42" s="15"/>
      <c r="AL42" s="15"/>
      <c r="AM42" s="41"/>
      <c r="AN42" s="15"/>
      <c r="AO42" s="15"/>
      <c r="AP42" s="15"/>
      <c r="AQ42" s="15"/>
      <c r="AR42" s="41"/>
      <c r="AS42" s="15"/>
      <c r="AT42" s="15"/>
      <c r="AU42" s="15"/>
      <c r="AV42" s="15"/>
      <c r="AW42" s="41"/>
      <c r="AX42" s="15"/>
      <c r="AY42" s="15"/>
      <c r="AZ42" s="15"/>
      <c r="BA42" s="15"/>
      <c r="BB42" s="41"/>
      <c r="BC42" s="15"/>
      <c r="BD42" s="15"/>
      <c r="BE42" s="15"/>
      <c r="BF42" s="15"/>
      <c r="BG42" s="41"/>
      <c r="BH42" s="15"/>
      <c r="BI42" s="15"/>
      <c r="BJ42" s="15"/>
      <c r="BK42" s="13"/>
    </row>
    <row r="43" spans="1:63" ht="12.75" customHeight="1" x14ac:dyDescent="0.3">
      <c r="A43" s="25" t="s">
        <v>34</v>
      </c>
      <c r="B43" s="49" t="s">
        <v>35</v>
      </c>
      <c r="C43" s="46"/>
      <c r="D43" s="47"/>
      <c r="E43" s="18"/>
      <c r="F43" s="13"/>
      <c r="G43" s="13"/>
      <c r="H43" s="13"/>
      <c r="I43" s="13"/>
      <c r="J43" s="13"/>
      <c r="K43" s="13"/>
      <c r="L43" s="13"/>
      <c r="M43" s="13"/>
      <c r="N43" s="43"/>
      <c r="O43" s="13"/>
      <c r="P43" s="13"/>
      <c r="Q43" s="13"/>
      <c r="R43" s="13"/>
      <c r="S43" s="43"/>
      <c r="T43" s="13"/>
      <c r="U43" s="13"/>
      <c r="V43" s="13"/>
      <c r="W43" s="13"/>
      <c r="X43" s="43"/>
      <c r="Y43" s="13"/>
      <c r="Z43" s="13"/>
      <c r="AA43" s="13"/>
      <c r="AB43" s="13"/>
      <c r="AC43" s="43"/>
      <c r="AD43" s="13"/>
      <c r="AE43" s="13"/>
      <c r="AF43" s="13"/>
      <c r="AG43" s="13"/>
      <c r="AH43" s="43"/>
      <c r="AI43" s="13"/>
      <c r="AJ43" s="13"/>
      <c r="AK43" s="13"/>
      <c r="AL43" s="13"/>
      <c r="AM43" s="43"/>
      <c r="AN43" s="13"/>
      <c r="AO43" s="13"/>
      <c r="AP43" s="13"/>
      <c r="AQ43" s="13"/>
      <c r="AR43" s="43"/>
      <c r="AS43" s="13"/>
      <c r="AT43" s="13"/>
      <c r="AU43" s="13"/>
      <c r="AV43" s="13"/>
      <c r="AW43" s="43"/>
      <c r="AX43" s="13"/>
      <c r="AY43" s="13"/>
      <c r="AZ43" s="13"/>
      <c r="BA43" s="13"/>
      <c r="BB43" s="43"/>
      <c r="BC43" s="13"/>
      <c r="BD43" s="13"/>
      <c r="BE43" s="13"/>
      <c r="BF43" s="13"/>
      <c r="BG43" s="43"/>
      <c r="BH43" s="13"/>
      <c r="BI43" s="13"/>
      <c r="BJ43" s="13"/>
      <c r="BK43" s="13"/>
    </row>
    <row r="44" spans="1:63" ht="12.75" customHeight="1" x14ac:dyDescent="0.3">
      <c r="A44" s="68" t="s">
        <v>36</v>
      </c>
      <c r="B44" s="70"/>
      <c r="C44" s="70"/>
      <c r="D44" s="58"/>
      <c r="E44" s="16"/>
      <c r="F44" s="15"/>
      <c r="G44" s="15"/>
      <c r="H44" s="15"/>
      <c r="I44" s="15"/>
      <c r="J44" s="15"/>
      <c r="K44" s="15"/>
      <c r="L44" s="15"/>
      <c r="M44" s="15"/>
      <c r="N44" s="41"/>
      <c r="O44" s="15"/>
      <c r="P44" s="15"/>
      <c r="Q44" s="15"/>
      <c r="R44" s="15"/>
      <c r="S44" s="41"/>
      <c r="T44" s="15"/>
      <c r="U44" s="15"/>
      <c r="V44" s="15"/>
      <c r="W44" s="15"/>
      <c r="X44" s="41"/>
      <c r="Y44" s="15"/>
      <c r="Z44" s="15"/>
      <c r="AA44" s="15"/>
      <c r="AB44" s="15"/>
      <c r="AC44" s="41"/>
      <c r="AD44" s="15"/>
      <c r="AE44" s="15"/>
      <c r="AF44" s="15"/>
      <c r="AG44" s="15"/>
      <c r="AH44" s="41"/>
      <c r="AI44" s="15"/>
      <c r="AJ44" s="15"/>
      <c r="AK44" s="15"/>
      <c r="AL44" s="15"/>
      <c r="AM44" s="41"/>
      <c r="AN44" s="15"/>
      <c r="AO44" s="15"/>
      <c r="AP44" s="15"/>
      <c r="AQ44" s="15"/>
      <c r="AR44" s="41"/>
      <c r="AS44" s="15"/>
      <c r="AT44" s="15"/>
      <c r="AU44" s="15"/>
      <c r="AV44" s="15"/>
      <c r="AW44" s="41"/>
      <c r="AX44" s="15"/>
      <c r="AY44" s="15"/>
      <c r="AZ44" s="15"/>
      <c r="BA44" s="15"/>
      <c r="BB44" s="41"/>
      <c r="BC44" s="15"/>
      <c r="BD44" s="15"/>
      <c r="BE44" s="15"/>
      <c r="BF44" s="15"/>
      <c r="BG44" s="41"/>
      <c r="BH44" s="15"/>
      <c r="BI44" s="15"/>
      <c r="BJ44" s="15"/>
      <c r="BK44" s="13"/>
    </row>
    <row r="45" spans="1:63" ht="12.75" customHeight="1" x14ac:dyDescent="0.3">
      <c r="A45" s="19" t="s">
        <v>37</v>
      </c>
      <c r="B45" s="26" t="s">
        <v>17</v>
      </c>
      <c r="C45" s="48" t="s">
        <v>38</v>
      </c>
      <c r="D45" s="47"/>
      <c r="E45" s="15">
        <v>4</v>
      </c>
      <c r="F45" s="15">
        <v>5</v>
      </c>
      <c r="G45" s="15">
        <v>1</v>
      </c>
      <c r="H45" s="15">
        <v>5</v>
      </c>
      <c r="I45" s="15">
        <v>4</v>
      </c>
      <c r="J45" s="15">
        <v>4</v>
      </c>
      <c r="K45" s="15">
        <v>9</v>
      </c>
      <c r="L45" s="15">
        <v>5</v>
      </c>
      <c r="M45" s="15">
        <v>1</v>
      </c>
      <c r="N45" s="15">
        <v>4</v>
      </c>
      <c r="O45" s="15">
        <v>2</v>
      </c>
      <c r="P45" s="15">
        <v>4</v>
      </c>
      <c r="Q45" s="15">
        <v>3</v>
      </c>
      <c r="R45" s="15">
        <v>1</v>
      </c>
      <c r="S45" s="15">
        <v>4</v>
      </c>
      <c r="T45" s="15">
        <v>2</v>
      </c>
      <c r="U45" s="15">
        <v>4</v>
      </c>
      <c r="V45" s="15">
        <v>8</v>
      </c>
      <c r="W45" s="15">
        <v>7</v>
      </c>
      <c r="X45" s="15">
        <v>3</v>
      </c>
      <c r="Y45" s="15">
        <v>4</v>
      </c>
      <c r="Z45" s="15">
        <v>5</v>
      </c>
      <c r="AA45" s="15">
        <v>0</v>
      </c>
      <c r="AB45" s="15">
        <v>1</v>
      </c>
      <c r="AC45" s="15">
        <v>5</v>
      </c>
      <c r="AD45" s="15">
        <v>1</v>
      </c>
      <c r="AE45" s="15">
        <v>8</v>
      </c>
      <c r="AF45" s="15">
        <v>3</v>
      </c>
      <c r="AG45" s="15">
        <v>2</v>
      </c>
      <c r="AH45" s="15">
        <v>4</v>
      </c>
      <c r="AI45" s="15">
        <v>1</v>
      </c>
      <c r="AJ45" s="15">
        <v>6</v>
      </c>
      <c r="AK45" s="15">
        <v>1</v>
      </c>
      <c r="AL45" s="15">
        <v>3</v>
      </c>
      <c r="AM45" s="15">
        <v>4</v>
      </c>
      <c r="AN45" s="15">
        <v>0</v>
      </c>
      <c r="AO45" s="15">
        <v>0</v>
      </c>
      <c r="AP45" s="15">
        <v>1</v>
      </c>
      <c r="AQ45" s="15">
        <v>0</v>
      </c>
      <c r="AR45" s="15">
        <v>2</v>
      </c>
      <c r="AS45" s="15">
        <v>1</v>
      </c>
      <c r="AT45" s="15">
        <v>0</v>
      </c>
      <c r="AU45" s="15">
        <v>1</v>
      </c>
      <c r="AV45" s="15">
        <v>1</v>
      </c>
      <c r="AW45" s="15">
        <v>5</v>
      </c>
      <c r="AX45" s="15">
        <v>1</v>
      </c>
      <c r="AY45" s="15">
        <v>2</v>
      </c>
      <c r="AZ45" s="15">
        <v>8</v>
      </c>
      <c r="BA45" s="15">
        <v>4</v>
      </c>
      <c r="BB45" s="15">
        <v>2</v>
      </c>
      <c r="BC45" s="15">
        <v>3</v>
      </c>
      <c r="BD45" s="15">
        <v>8</v>
      </c>
      <c r="BE45" s="15">
        <v>7</v>
      </c>
      <c r="BF45" s="15">
        <v>7</v>
      </c>
      <c r="BG45" s="15">
        <v>4</v>
      </c>
      <c r="BH45" s="15">
        <v>8</v>
      </c>
      <c r="BI45" s="15">
        <v>12</v>
      </c>
      <c r="BJ45" s="15">
        <v>10</v>
      </c>
      <c r="BK45" s="13">
        <f t="shared" ref="BK45:BK191" si="13">SUM(E45:BJ45)</f>
        <v>215</v>
      </c>
    </row>
    <row r="46" spans="1:63" ht="12.75" customHeight="1" x14ac:dyDescent="0.3">
      <c r="A46" s="19" t="s">
        <v>39</v>
      </c>
      <c r="B46" s="27"/>
      <c r="C46" s="28" t="s">
        <v>40</v>
      </c>
      <c r="D46" s="29"/>
      <c r="E46" s="15">
        <v>2</v>
      </c>
      <c r="F46" s="15">
        <v>2</v>
      </c>
      <c r="G46" s="15">
        <v>2</v>
      </c>
      <c r="H46" s="15">
        <v>21</v>
      </c>
      <c r="I46" s="15">
        <v>5</v>
      </c>
      <c r="J46" s="15">
        <v>7</v>
      </c>
      <c r="K46" s="15">
        <v>7</v>
      </c>
      <c r="L46" s="15">
        <v>6</v>
      </c>
      <c r="M46" s="15">
        <v>1</v>
      </c>
      <c r="N46" s="15">
        <v>3</v>
      </c>
      <c r="O46" s="15">
        <v>1</v>
      </c>
      <c r="P46" s="15">
        <v>11</v>
      </c>
      <c r="Q46" s="15">
        <v>6</v>
      </c>
      <c r="R46" s="15">
        <v>4</v>
      </c>
      <c r="S46" s="15">
        <v>5</v>
      </c>
      <c r="T46" s="15">
        <v>3</v>
      </c>
      <c r="U46" s="15">
        <v>14</v>
      </c>
      <c r="V46" s="15">
        <v>36</v>
      </c>
      <c r="W46" s="15">
        <v>42</v>
      </c>
      <c r="X46" s="15">
        <v>11</v>
      </c>
      <c r="Y46" s="15">
        <v>3</v>
      </c>
      <c r="Z46" s="15">
        <v>9</v>
      </c>
      <c r="AA46" s="15">
        <v>5</v>
      </c>
      <c r="AB46" s="15">
        <v>3</v>
      </c>
      <c r="AC46" s="15">
        <v>2</v>
      </c>
      <c r="AD46" s="15">
        <v>4</v>
      </c>
      <c r="AE46" s="15">
        <v>13</v>
      </c>
      <c r="AF46" s="15">
        <v>0</v>
      </c>
      <c r="AG46" s="15">
        <v>8</v>
      </c>
      <c r="AH46" s="15">
        <v>2</v>
      </c>
      <c r="AI46" s="15">
        <v>8</v>
      </c>
      <c r="AJ46" s="15">
        <v>4</v>
      </c>
      <c r="AK46" s="15">
        <v>0</v>
      </c>
      <c r="AL46" s="15">
        <v>1</v>
      </c>
      <c r="AM46" s="15">
        <v>0</v>
      </c>
      <c r="AN46" s="15">
        <v>2</v>
      </c>
      <c r="AO46" s="15">
        <v>3</v>
      </c>
      <c r="AP46" s="15">
        <v>0</v>
      </c>
      <c r="AQ46" s="15">
        <v>2</v>
      </c>
      <c r="AR46" s="15">
        <v>2</v>
      </c>
      <c r="AS46" s="15">
        <v>4</v>
      </c>
      <c r="AT46" s="15">
        <v>1</v>
      </c>
      <c r="AU46" s="15">
        <v>4</v>
      </c>
      <c r="AV46" s="15">
        <v>2</v>
      </c>
      <c r="AW46" s="15">
        <v>4</v>
      </c>
      <c r="AX46" s="15">
        <v>1</v>
      </c>
      <c r="AY46" s="15">
        <v>2</v>
      </c>
      <c r="AZ46" s="15">
        <v>5</v>
      </c>
      <c r="BA46" s="15">
        <v>4</v>
      </c>
      <c r="BB46" s="15">
        <v>4</v>
      </c>
      <c r="BC46" s="15">
        <v>1</v>
      </c>
      <c r="BD46" s="15">
        <v>2</v>
      </c>
      <c r="BE46" s="15">
        <v>14</v>
      </c>
      <c r="BF46" s="15">
        <v>10</v>
      </c>
      <c r="BG46" s="15">
        <v>7</v>
      </c>
      <c r="BH46" s="15">
        <v>13</v>
      </c>
      <c r="BI46" s="15">
        <v>28</v>
      </c>
      <c r="BJ46" s="15">
        <v>12</v>
      </c>
      <c r="BK46" s="13">
        <f t="shared" si="13"/>
        <v>378</v>
      </c>
    </row>
    <row r="47" spans="1:63" ht="12.75" customHeight="1" x14ac:dyDescent="0.3">
      <c r="A47" s="14"/>
      <c r="B47" s="27"/>
      <c r="C47" s="28" t="s">
        <v>41</v>
      </c>
      <c r="D47" s="29"/>
      <c r="E47" s="15">
        <v>2</v>
      </c>
      <c r="F47" s="15">
        <v>1</v>
      </c>
      <c r="G47" s="15">
        <v>1</v>
      </c>
      <c r="H47" s="15">
        <v>1</v>
      </c>
      <c r="I47" s="15">
        <v>1</v>
      </c>
      <c r="J47" s="15">
        <v>2</v>
      </c>
      <c r="K47" s="15">
        <v>17</v>
      </c>
      <c r="L47" s="15">
        <v>1</v>
      </c>
      <c r="M47" s="15">
        <v>2</v>
      </c>
      <c r="N47" s="15">
        <v>0</v>
      </c>
      <c r="O47" s="15">
        <v>5</v>
      </c>
      <c r="P47" s="15">
        <v>5</v>
      </c>
      <c r="Q47" s="15">
        <v>0</v>
      </c>
      <c r="R47" s="15">
        <v>1</v>
      </c>
      <c r="S47" s="15">
        <v>2</v>
      </c>
      <c r="T47" s="15">
        <v>1</v>
      </c>
      <c r="U47" s="15">
        <v>2</v>
      </c>
      <c r="V47" s="15">
        <v>0</v>
      </c>
      <c r="W47" s="15">
        <v>2</v>
      </c>
      <c r="X47" s="15">
        <v>0</v>
      </c>
      <c r="Y47" s="15">
        <v>0</v>
      </c>
      <c r="Z47" s="15">
        <v>2</v>
      </c>
      <c r="AA47" s="15">
        <v>0</v>
      </c>
      <c r="AB47" s="15">
        <v>0</v>
      </c>
      <c r="AC47" s="15">
        <v>1</v>
      </c>
      <c r="AD47" s="15">
        <v>2</v>
      </c>
      <c r="AE47" s="15">
        <v>1</v>
      </c>
      <c r="AF47" s="15">
        <v>1</v>
      </c>
      <c r="AG47" s="15">
        <v>15</v>
      </c>
      <c r="AH47" s="15">
        <v>0</v>
      </c>
      <c r="AI47" s="15">
        <v>0</v>
      </c>
      <c r="AJ47" s="15">
        <v>2</v>
      </c>
      <c r="AK47" s="15">
        <v>0</v>
      </c>
      <c r="AL47" s="15">
        <v>0</v>
      </c>
      <c r="AM47" s="15">
        <v>0</v>
      </c>
      <c r="AN47" s="15">
        <v>1</v>
      </c>
      <c r="AO47" s="15">
        <v>0</v>
      </c>
      <c r="AP47" s="15">
        <v>0</v>
      </c>
      <c r="AQ47" s="15">
        <v>0</v>
      </c>
      <c r="AR47" s="15">
        <v>0</v>
      </c>
      <c r="AS47" s="15">
        <v>2</v>
      </c>
      <c r="AT47" s="15">
        <v>0</v>
      </c>
      <c r="AU47" s="15">
        <v>1</v>
      </c>
      <c r="AV47" s="15">
        <v>0</v>
      </c>
      <c r="AW47" s="15">
        <v>0</v>
      </c>
      <c r="AX47" s="15">
        <v>3</v>
      </c>
      <c r="AY47" s="15">
        <v>4</v>
      </c>
      <c r="AZ47" s="15">
        <v>3</v>
      </c>
      <c r="BA47" s="15">
        <v>0</v>
      </c>
      <c r="BB47" s="15">
        <v>2</v>
      </c>
      <c r="BC47" s="15">
        <v>1</v>
      </c>
      <c r="BD47" s="15">
        <v>4</v>
      </c>
      <c r="BE47" s="15">
        <v>9</v>
      </c>
      <c r="BF47" s="15">
        <v>7</v>
      </c>
      <c r="BG47" s="15">
        <v>4</v>
      </c>
      <c r="BH47" s="15">
        <v>2</v>
      </c>
      <c r="BI47" s="15">
        <v>1</v>
      </c>
      <c r="BJ47" s="15">
        <v>8</v>
      </c>
      <c r="BK47" s="13">
        <f t="shared" si="13"/>
        <v>122</v>
      </c>
    </row>
    <row r="48" spans="1:63" ht="12.75" customHeight="1" x14ac:dyDescent="0.3">
      <c r="A48" s="14"/>
      <c r="B48" s="27"/>
      <c r="C48" s="28" t="s">
        <v>42</v>
      </c>
      <c r="D48" s="29"/>
      <c r="E48" s="15">
        <v>1</v>
      </c>
      <c r="F48" s="15">
        <v>9</v>
      </c>
      <c r="G48" s="15">
        <v>0</v>
      </c>
      <c r="H48" s="15">
        <v>0</v>
      </c>
      <c r="I48" s="15">
        <v>3</v>
      </c>
      <c r="J48" s="15">
        <v>0</v>
      </c>
      <c r="K48" s="15">
        <v>2</v>
      </c>
      <c r="L48" s="15">
        <v>0</v>
      </c>
      <c r="M48" s="15">
        <v>0</v>
      </c>
      <c r="N48" s="15">
        <v>1</v>
      </c>
      <c r="O48" s="15">
        <v>3</v>
      </c>
      <c r="P48" s="15">
        <v>0</v>
      </c>
      <c r="Q48" s="15">
        <v>5</v>
      </c>
      <c r="R48" s="15">
        <v>0</v>
      </c>
      <c r="S48" s="15">
        <v>2</v>
      </c>
      <c r="T48" s="15">
        <v>1</v>
      </c>
      <c r="U48" s="15">
        <v>6</v>
      </c>
      <c r="V48" s="15">
        <v>9</v>
      </c>
      <c r="W48" s="15">
        <v>5</v>
      </c>
      <c r="X48" s="15">
        <v>0</v>
      </c>
      <c r="Y48" s="15">
        <v>1</v>
      </c>
      <c r="Z48" s="15">
        <v>8</v>
      </c>
      <c r="AA48" s="15">
        <v>11</v>
      </c>
      <c r="AB48" s="15">
        <v>15</v>
      </c>
      <c r="AC48" s="15">
        <v>25</v>
      </c>
      <c r="AD48" s="15">
        <v>10</v>
      </c>
      <c r="AE48" s="15">
        <v>3</v>
      </c>
      <c r="AF48" s="15">
        <v>4</v>
      </c>
      <c r="AG48" s="15">
        <v>0</v>
      </c>
      <c r="AH48" s="15">
        <v>2</v>
      </c>
      <c r="AI48" s="15">
        <v>4</v>
      </c>
      <c r="AJ48" s="15">
        <v>0</v>
      </c>
      <c r="AK48" s="15">
        <v>0</v>
      </c>
      <c r="AL48" s="15">
        <v>9</v>
      </c>
      <c r="AM48" s="15">
        <v>2</v>
      </c>
      <c r="AN48" s="15">
        <v>5</v>
      </c>
      <c r="AO48" s="15">
        <v>1</v>
      </c>
      <c r="AP48" s="15">
        <v>2</v>
      </c>
      <c r="AQ48" s="15">
        <v>0</v>
      </c>
      <c r="AR48" s="15">
        <v>1</v>
      </c>
      <c r="AS48" s="15">
        <v>2</v>
      </c>
      <c r="AT48" s="15">
        <v>1</v>
      </c>
      <c r="AU48" s="15">
        <v>1</v>
      </c>
      <c r="AV48" s="15">
        <v>1</v>
      </c>
      <c r="AW48" s="15">
        <v>8</v>
      </c>
      <c r="AX48" s="15">
        <v>5</v>
      </c>
      <c r="AY48" s="15">
        <v>51</v>
      </c>
      <c r="AZ48" s="15">
        <v>65</v>
      </c>
      <c r="BA48" s="15">
        <v>99</v>
      </c>
      <c r="BB48" s="15">
        <v>65</v>
      </c>
      <c r="BC48" s="15">
        <v>65</v>
      </c>
      <c r="BD48" s="15">
        <v>88</v>
      </c>
      <c r="BE48" s="15">
        <v>29</v>
      </c>
      <c r="BF48" s="15">
        <v>24</v>
      </c>
      <c r="BG48" s="15">
        <v>25</v>
      </c>
      <c r="BH48" s="15">
        <v>46</v>
      </c>
      <c r="BI48" s="15">
        <v>50</v>
      </c>
      <c r="BJ48" s="15">
        <v>71</v>
      </c>
      <c r="BK48" s="13">
        <f t="shared" si="13"/>
        <v>846</v>
      </c>
    </row>
    <row r="49" spans="1:63" ht="12.75" customHeight="1" x14ac:dyDescent="0.3">
      <c r="A49" s="14"/>
      <c r="B49" s="27"/>
      <c r="C49" s="28" t="s">
        <v>43</v>
      </c>
      <c r="D49" s="29"/>
      <c r="E49" s="15">
        <v>0</v>
      </c>
      <c r="F49" s="15">
        <v>0</v>
      </c>
      <c r="G49" s="15">
        <v>0</v>
      </c>
      <c r="H49" s="15">
        <v>0</v>
      </c>
      <c r="I49" s="15">
        <v>2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1</v>
      </c>
      <c r="P49" s="15">
        <v>0</v>
      </c>
      <c r="Q49" s="15">
        <v>0</v>
      </c>
      <c r="R49" s="15">
        <v>1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1</v>
      </c>
      <c r="AD49" s="15">
        <v>0</v>
      </c>
      <c r="AE49" s="15">
        <v>1</v>
      </c>
      <c r="AF49" s="15">
        <v>2</v>
      </c>
      <c r="AG49" s="15">
        <v>0</v>
      </c>
      <c r="AH49" s="15">
        <v>0</v>
      </c>
      <c r="AI49" s="15">
        <v>1</v>
      </c>
      <c r="AJ49" s="15">
        <v>0</v>
      </c>
      <c r="AK49" s="15">
        <v>0</v>
      </c>
      <c r="AL49" s="15">
        <v>0</v>
      </c>
      <c r="AM49" s="15">
        <v>1</v>
      </c>
      <c r="AN49" s="15">
        <v>1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1</v>
      </c>
      <c r="AX49" s="15">
        <v>0</v>
      </c>
      <c r="AY49" s="15">
        <v>0</v>
      </c>
      <c r="AZ49" s="15">
        <v>3</v>
      </c>
      <c r="BA49" s="15">
        <v>2</v>
      </c>
      <c r="BB49" s="15">
        <v>2</v>
      </c>
      <c r="BC49" s="15">
        <v>2</v>
      </c>
      <c r="BD49" s="15">
        <v>1</v>
      </c>
      <c r="BE49" s="15">
        <v>0</v>
      </c>
      <c r="BF49" s="15">
        <v>0</v>
      </c>
      <c r="BG49" s="15">
        <v>1</v>
      </c>
      <c r="BH49" s="15">
        <v>2</v>
      </c>
      <c r="BI49" s="15">
        <v>0</v>
      </c>
      <c r="BJ49" s="15">
        <v>1</v>
      </c>
      <c r="BK49" s="13">
        <f t="shared" si="13"/>
        <v>26</v>
      </c>
    </row>
    <row r="50" spans="1:63" ht="12.75" customHeight="1" x14ac:dyDescent="0.3">
      <c r="A50" s="14"/>
      <c r="B50" s="27"/>
      <c r="C50" s="28" t="s">
        <v>44</v>
      </c>
      <c r="D50" s="29"/>
      <c r="E50" s="15">
        <v>0</v>
      </c>
      <c r="F50" s="15">
        <v>0</v>
      </c>
      <c r="G50" s="15">
        <v>0</v>
      </c>
      <c r="H50" s="15">
        <v>1</v>
      </c>
      <c r="I50" s="15">
        <v>0</v>
      </c>
      <c r="J50" s="15">
        <v>0</v>
      </c>
      <c r="K50" s="15">
        <v>1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1</v>
      </c>
      <c r="V50" s="15">
        <v>1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1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1</v>
      </c>
      <c r="AP50" s="15">
        <v>0</v>
      </c>
      <c r="AQ50" s="15">
        <v>0</v>
      </c>
      <c r="AR50" s="15">
        <v>0</v>
      </c>
      <c r="AS50" s="15">
        <v>0</v>
      </c>
      <c r="AT50" s="15">
        <v>1</v>
      </c>
      <c r="AU50" s="15">
        <v>0</v>
      </c>
      <c r="AV50" s="15">
        <v>1</v>
      </c>
      <c r="AW50" s="15">
        <v>0</v>
      </c>
      <c r="AX50" s="15">
        <v>0</v>
      </c>
      <c r="AY50" s="15">
        <v>1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1</v>
      </c>
      <c r="BH50" s="15">
        <v>0</v>
      </c>
      <c r="BI50" s="15">
        <v>0</v>
      </c>
      <c r="BJ50" s="15">
        <v>1</v>
      </c>
      <c r="BK50" s="13">
        <f t="shared" si="13"/>
        <v>11</v>
      </c>
    </row>
    <row r="51" spans="1:63" ht="12.75" customHeight="1" x14ac:dyDescent="0.3">
      <c r="A51" s="14"/>
      <c r="B51" s="27"/>
      <c r="C51" s="28" t="s">
        <v>45</v>
      </c>
      <c r="D51" s="29"/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1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1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3">
        <f t="shared" si="13"/>
        <v>3</v>
      </c>
    </row>
    <row r="52" spans="1:63" ht="12.75" customHeight="1" x14ac:dyDescent="0.3">
      <c r="A52" s="14"/>
      <c r="B52" s="27"/>
      <c r="C52" s="28" t="s">
        <v>46</v>
      </c>
      <c r="D52" s="29"/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1</v>
      </c>
      <c r="P52" s="15">
        <v>0</v>
      </c>
      <c r="Q52" s="15">
        <v>0</v>
      </c>
      <c r="R52" s="15">
        <v>1</v>
      </c>
      <c r="S52" s="15">
        <v>0</v>
      </c>
      <c r="T52" s="15">
        <v>2</v>
      </c>
      <c r="U52" s="15">
        <v>0</v>
      </c>
      <c r="V52" s="15">
        <v>1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1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1</v>
      </c>
      <c r="BF52" s="15">
        <v>0</v>
      </c>
      <c r="BG52" s="15">
        <v>0</v>
      </c>
      <c r="BH52" s="15">
        <v>0</v>
      </c>
      <c r="BI52" s="15">
        <v>1</v>
      </c>
      <c r="BJ52" s="15">
        <v>0</v>
      </c>
      <c r="BK52" s="13">
        <f t="shared" si="13"/>
        <v>8</v>
      </c>
    </row>
    <row r="53" spans="1:63" ht="12.75" customHeight="1" x14ac:dyDescent="0.3">
      <c r="A53" s="15" t="s">
        <v>15</v>
      </c>
      <c r="B53" s="45" t="s">
        <v>47</v>
      </c>
      <c r="C53" s="46"/>
      <c r="D53" s="47"/>
      <c r="E53" s="34">
        <f t="shared" ref="E53:BJ53" si="14">SUM(E45:E52)</f>
        <v>9</v>
      </c>
      <c r="F53" s="34">
        <f t="shared" si="14"/>
        <v>17</v>
      </c>
      <c r="G53" s="34">
        <f t="shared" si="14"/>
        <v>4</v>
      </c>
      <c r="H53" s="34">
        <f t="shared" si="14"/>
        <v>28</v>
      </c>
      <c r="I53" s="34">
        <f t="shared" si="14"/>
        <v>15</v>
      </c>
      <c r="J53" s="34">
        <f t="shared" si="14"/>
        <v>13</v>
      </c>
      <c r="K53" s="34">
        <f t="shared" si="14"/>
        <v>36</v>
      </c>
      <c r="L53" s="34">
        <f t="shared" si="14"/>
        <v>12</v>
      </c>
      <c r="M53" s="34">
        <f t="shared" si="14"/>
        <v>4</v>
      </c>
      <c r="N53" s="34">
        <f t="shared" si="14"/>
        <v>8</v>
      </c>
      <c r="O53" s="34">
        <f t="shared" si="14"/>
        <v>14</v>
      </c>
      <c r="P53" s="34">
        <f t="shared" si="14"/>
        <v>20</v>
      </c>
      <c r="Q53" s="34">
        <f t="shared" si="14"/>
        <v>14</v>
      </c>
      <c r="R53" s="34">
        <f t="shared" si="14"/>
        <v>8</v>
      </c>
      <c r="S53" s="34">
        <f t="shared" si="14"/>
        <v>13</v>
      </c>
      <c r="T53" s="34">
        <f t="shared" si="14"/>
        <v>9</v>
      </c>
      <c r="U53" s="34">
        <f t="shared" si="14"/>
        <v>27</v>
      </c>
      <c r="V53" s="34">
        <f t="shared" si="14"/>
        <v>55</v>
      </c>
      <c r="W53" s="34">
        <f t="shared" si="14"/>
        <v>57</v>
      </c>
      <c r="X53" s="34">
        <f t="shared" si="14"/>
        <v>14</v>
      </c>
      <c r="Y53" s="34">
        <f t="shared" si="14"/>
        <v>8</v>
      </c>
      <c r="Z53" s="34">
        <f t="shared" si="14"/>
        <v>24</v>
      </c>
      <c r="AA53" s="34">
        <f t="shared" si="14"/>
        <v>16</v>
      </c>
      <c r="AB53" s="34">
        <f t="shared" si="14"/>
        <v>19</v>
      </c>
      <c r="AC53" s="34">
        <f t="shared" si="14"/>
        <v>34</v>
      </c>
      <c r="AD53" s="34">
        <f t="shared" si="14"/>
        <v>17</v>
      </c>
      <c r="AE53" s="34">
        <f t="shared" si="14"/>
        <v>26</v>
      </c>
      <c r="AF53" s="34">
        <f t="shared" si="14"/>
        <v>10</v>
      </c>
      <c r="AG53" s="34">
        <f t="shared" si="14"/>
        <v>25</v>
      </c>
      <c r="AH53" s="34">
        <f t="shared" si="14"/>
        <v>8</v>
      </c>
      <c r="AI53" s="34">
        <f t="shared" si="14"/>
        <v>15</v>
      </c>
      <c r="AJ53" s="34">
        <f t="shared" si="14"/>
        <v>13</v>
      </c>
      <c r="AK53" s="34">
        <f t="shared" si="14"/>
        <v>1</v>
      </c>
      <c r="AL53" s="34">
        <f t="shared" si="14"/>
        <v>13</v>
      </c>
      <c r="AM53" s="34">
        <f t="shared" si="14"/>
        <v>7</v>
      </c>
      <c r="AN53" s="34">
        <f t="shared" si="14"/>
        <v>9</v>
      </c>
      <c r="AO53" s="34">
        <f t="shared" si="14"/>
        <v>5</v>
      </c>
      <c r="AP53" s="34">
        <f t="shared" si="14"/>
        <v>3</v>
      </c>
      <c r="AQ53" s="34">
        <f t="shared" si="14"/>
        <v>3</v>
      </c>
      <c r="AR53" s="34">
        <f t="shared" si="14"/>
        <v>5</v>
      </c>
      <c r="AS53" s="34">
        <f t="shared" si="14"/>
        <v>9</v>
      </c>
      <c r="AT53" s="34">
        <f t="shared" si="14"/>
        <v>3</v>
      </c>
      <c r="AU53" s="34">
        <f t="shared" si="14"/>
        <v>7</v>
      </c>
      <c r="AV53" s="34">
        <f t="shared" si="14"/>
        <v>5</v>
      </c>
      <c r="AW53" s="34">
        <f t="shared" si="14"/>
        <v>18</v>
      </c>
      <c r="AX53" s="34">
        <f t="shared" si="14"/>
        <v>10</v>
      </c>
      <c r="AY53" s="34">
        <f t="shared" si="14"/>
        <v>60</v>
      </c>
      <c r="AZ53" s="34">
        <f t="shared" si="14"/>
        <v>84</v>
      </c>
      <c r="BA53" s="34">
        <f t="shared" si="14"/>
        <v>109</v>
      </c>
      <c r="BB53" s="34">
        <f t="shared" si="14"/>
        <v>75</v>
      </c>
      <c r="BC53" s="34">
        <f t="shared" si="14"/>
        <v>72</v>
      </c>
      <c r="BD53" s="34">
        <f t="shared" si="14"/>
        <v>103</v>
      </c>
      <c r="BE53" s="34">
        <f t="shared" si="14"/>
        <v>60</v>
      </c>
      <c r="BF53" s="34">
        <f t="shared" si="14"/>
        <v>48</v>
      </c>
      <c r="BG53" s="34">
        <f t="shared" si="14"/>
        <v>42</v>
      </c>
      <c r="BH53" s="34">
        <f t="shared" si="14"/>
        <v>71</v>
      </c>
      <c r="BI53" s="34">
        <f t="shared" si="14"/>
        <v>92</v>
      </c>
      <c r="BJ53" s="34">
        <f t="shared" si="14"/>
        <v>103</v>
      </c>
      <c r="BK53" s="13">
        <f t="shared" si="13"/>
        <v>1609</v>
      </c>
    </row>
    <row r="54" spans="1:63" ht="12.75" customHeight="1" x14ac:dyDescent="0.3">
      <c r="A54" s="35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13">
        <f t="shared" si="13"/>
        <v>0</v>
      </c>
    </row>
    <row r="55" spans="1:63" ht="15" customHeight="1" x14ac:dyDescent="0.3">
      <c r="A55" s="19" t="s">
        <v>37</v>
      </c>
      <c r="B55" s="26" t="s">
        <v>19</v>
      </c>
      <c r="C55" s="48" t="s">
        <v>48</v>
      </c>
      <c r="D55" s="47"/>
      <c r="E55" s="15">
        <v>5</v>
      </c>
      <c r="F55" s="15">
        <v>5</v>
      </c>
      <c r="G55" s="15">
        <v>5</v>
      </c>
      <c r="H55" s="15">
        <v>3</v>
      </c>
      <c r="I55" s="15">
        <v>6</v>
      </c>
      <c r="J55" s="15">
        <v>6</v>
      </c>
      <c r="K55" s="15">
        <v>9</v>
      </c>
      <c r="L55" s="15">
        <v>3</v>
      </c>
      <c r="M55" s="15">
        <v>8</v>
      </c>
      <c r="N55" s="15">
        <v>8</v>
      </c>
      <c r="O55" s="15">
        <v>5</v>
      </c>
      <c r="P55" s="15">
        <v>13</v>
      </c>
      <c r="Q55" s="15">
        <v>11</v>
      </c>
      <c r="R55" s="15">
        <v>3</v>
      </c>
      <c r="S55" s="15">
        <v>1</v>
      </c>
      <c r="T55" s="15">
        <v>10</v>
      </c>
      <c r="U55" s="15">
        <v>9</v>
      </c>
      <c r="V55" s="15">
        <v>4</v>
      </c>
      <c r="W55" s="15">
        <v>1</v>
      </c>
      <c r="X55" s="15">
        <v>4</v>
      </c>
      <c r="Y55" s="15">
        <v>5</v>
      </c>
      <c r="Z55" s="15">
        <v>6</v>
      </c>
      <c r="AA55" s="15">
        <v>4</v>
      </c>
      <c r="AB55" s="15">
        <v>10</v>
      </c>
      <c r="AC55" s="15">
        <v>4</v>
      </c>
      <c r="AD55" s="15">
        <v>3</v>
      </c>
      <c r="AE55" s="15">
        <v>5</v>
      </c>
      <c r="AF55" s="15">
        <v>3</v>
      </c>
      <c r="AG55" s="15">
        <v>7</v>
      </c>
      <c r="AH55" s="15">
        <v>6</v>
      </c>
      <c r="AI55" s="15">
        <v>6</v>
      </c>
      <c r="AJ55" s="15">
        <v>5</v>
      </c>
      <c r="AK55" s="15">
        <v>4</v>
      </c>
      <c r="AL55" s="15">
        <v>9</v>
      </c>
      <c r="AM55" s="15">
        <v>3</v>
      </c>
      <c r="AN55" s="15">
        <v>7</v>
      </c>
      <c r="AO55" s="15">
        <v>11</v>
      </c>
      <c r="AP55" s="15">
        <v>13</v>
      </c>
      <c r="AQ55" s="15">
        <v>9</v>
      </c>
      <c r="AR55" s="15">
        <v>4</v>
      </c>
      <c r="AS55" s="15">
        <v>9</v>
      </c>
      <c r="AT55" s="15">
        <v>5</v>
      </c>
      <c r="AU55" s="15">
        <v>8</v>
      </c>
      <c r="AV55" s="15">
        <v>3</v>
      </c>
      <c r="AW55" s="15">
        <v>3</v>
      </c>
      <c r="AX55" s="15">
        <v>4</v>
      </c>
      <c r="AY55" s="15">
        <v>5</v>
      </c>
      <c r="AZ55" s="15">
        <v>7</v>
      </c>
      <c r="BA55" s="15">
        <v>7</v>
      </c>
      <c r="BB55" s="15">
        <v>10</v>
      </c>
      <c r="BC55" s="15">
        <v>3</v>
      </c>
      <c r="BD55" s="15">
        <v>4</v>
      </c>
      <c r="BE55" s="15">
        <v>9</v>
      </c>
      <c r="BF55" s="15">
        <v>6</v>
      </c>
      <c r="BG55" s="15">
        <v>5</v>
      </c>
      <c r="BH55" s="15">
        <v>6</v>
      </c>
      <c r="BI55" s="15">
        <v>11</v>
      </c>
      <c r="BJ55" s="15">
        <v>5</v>
      </c>
      <c r="BK55" s="13">
        <f t="shared" si="13"/>
        <v>353</v>
      </c>
    </row>
    <row r="56" spans="1:63" ht="12.75" customHeight="1" x14ac:dyDescent="0.3">
      <c r="A56" s="19" t="s">
        <v>39</v>
      </c>
      <c r="B56" s="27"/>
      <c r="C56" s="28" t="s">
        <v>49</v>
      </c>
      <c r="D56" s="29"/>
      <c r="E56" s="15">
        <v>2</v>
      </c>
      <c r="F56" s="15">
        <v>2</v>
      </c>
      <c r="G56" s="15">
        <v>2</v>
      </c>
      <c r="H56" s="15">
        <v>1</v>
      </c>
      <c r="I56" s="15">
        <v>3</v>
      </c>
      <c r="J56" s="15">
        <v>2</v>
      </c>
      <c r="K56" s="15">
        <v>3</v>
      </c>
      <c r="L56" s="15">
        <v>1</v>
      </c>
      <c r="M56" s="15">
        <v>1</v>
      </c>
      <c r="N56" s="15">
        <v>0</v>
      </c>
      <c r="O56" s="15">
        <v>0</v>
      </c>
      <c r="P56" s="15">
        <v>1</v>
      </c>
      <c r="Q56" s="15">
        <v>5</v>
      </c>
      <c r="R56" s="15">
        <v>0</v>
      </c>
      <c r="S56" s="15">
        <v>1</v>
      </c>
      <c r="T56" s="15">
        <v>2</v>
      </c>
      <c r="U56" s="15">
        <v>1</v>
      </c>
      <c r="V56" s="15">
        <v>2</v>
      </c>
      <c r="W56" s="15">
        <v>6</v>
      </c>
      <c r="X56" s="15">
        <v>2</v>
      </c>
      <c r="Y56" s="15">
        <v>4</v>
      </c>
      <c r="Z56" s="15">
        <v>7</v>
      </c>
      <c r="AA56" s="15">
        <v>1</v>
      </c>
      <c r="AB56" s="15">
        <v>3</v>
      </c>
      <c r="AC56" s="15">
        <v>2</v>
      </c>
      <c r="AD56" s="15">
        <v>1</v>
      </c>
      <c r="AE56" s="15">
        <v>3</v>
      </c>
      <c r="AF56" s="15">
        <v>3</v>
      </c>
      <c r="AG56" s="15">
        <v>4</v>
      </c>
      <c r="AH56" s="15">
        <v>4</v>
      </c>
      <c r="AI56" s="15">
        <v>3</v>
      </c>
      <c r="AJ56" s="15">
        <v>2</v>
      </c>
      <c r="AK56" s="15">
        <v>0</v>
      </c>
      <c r="AL56" s="15">
        <v>3</v>
      </c>
      <c r="AM56" s="15">
        <v>1</v>
      </c>
      <c r="AN56" s="15">
        <v>3</v>
      </c>
      <c r="AO56" s="15">
        <v>2</v>
      </c>
      <c r="AP56" s="15">
        <v>4</v>
      </c>
      <c r="AQ56" s="15">
        <v>4</v>
      </c>
      <c r="AR56" s="15">
        <v>3</v>
      </c>
      <c r="AS56" s="15">
        <v>2</v>
      </c>
      <c r="AT56" s="15">
        <v>3</v>
      </c>
      <c r="AU56" s="15">
        <v>0</v>
      </c>
      <c r="AV56" s="15">
        <v>2</v>
      </c>
      <c r="AW56" s="15">
        <v>3</v>
      </c>
      <c r="AX56" s="15">
        <v>3</v>
      </c>
      <c r="AY56" s="15">
        <v>2</v>
      </c>
      <c r="AZ56" s="15">
        <v>5</v>
      </c>
      <c r="BA56" s="15">
        <v>4</v>
      </c>
      <c r="BB56" s="15">
        <v>2</v>
      </c>
      <c r="BC56" s="15">
        <v>3</v>
      </c>
      <c r="BD56" s="15">
        <v>2</v>
      </c>
      <c r="BE56" s="15">
        <v>3</v>
      </c>
      <c r="BF56" s="15">
        <v>5</v>
      </c>
      <c r="BG56" s="15">
        <v>5</v>
      </c>
      <c r="BH56" s="15">
        <v>3</v>
      </c>
      <c r="BI56" s="15">
        <v>5</v>
      </c>
      <c r="BJ56" s="15">
        <v>1</v>
      </c>
      <c r="BK56" s="13">
        <f t="shared" si="13"/>
        <v>147</v>
      </c>
    </row>
    <row r="57" spans="1:63" ht="12.75" customHeight="1" x14ac:dyDescent="0.3">
      <c r="A57" s="14"/>
      <c r="B57" s="27"/>
      <c r="C57" s="28" t="s">
        <v>50</v>
      </c>
      <c r="D57" s="29"/>
      <c r="E57" s="15">
        <v>9</v>
      </c>
      <c r="F57" s="15">
        <v>5</v>
      </c>
      <c r="G57" s="15">
        <v>10</v>
      </c>
      <c r="H57" s="15">
        <v>3</v>
      </c>
      <c r="I57" s="15">
        <v>6</v>
      </c>
      <c r="J57" s="15">
        <v>0</v>
      </c>
      <c r="K57" s="15">
        <v>2</v>
      </c>
      <c r="L57" s="15">
        <v>1</v>
      </c>
      <c r="M57" s="15">
        <v>1</v>
      </c>
      <c r="N57" s="15">
        <v>0</v>
      </c>
      <c r="O57" s="15">
        <v>5</v>
      </c>
      <c r="P57" s="15">
        <v>6</v>
      </c>
      <c r="Q57" s="15">
        <v>2</v>
      </c>
      <c r="R57" s="15">
        <v>3</v>
      </c>
      <c r="S57" s="15">
        <v>1</v>
      </c>
      <c r="T57" s="15">
        <v>4</v>
      </c>
      <c r="U57" s="15">
        <v>5</v>
      </c>
      <c r="V57" s="15">
        <v>7</v>
      </c>
      <c r="W57" s="15">
        <v>6</v>
      </c>
      <c r="X57" s="15">
        <v>2</v>
      </c>
      <c r="Y57" s="15">
        <v>3</v>
      </c>
      <c r="Z57" s="15">
        <v>5</v>
      </c>
      <c r="AA57" s="15">
        <v>4</v>
      </c>
      <c r="AB57" s="15">
        <v>3</v>
      </c>
      <c r="AC57" s="15">
        <v>3</v>
      </c>
      <c r="AD57" s="15">
        <v>3</v>
      </c>
      <c r="AE57" s="15">
        <v>8</v>
      </c>
      <c r="AF57" s="15">
        <v>6</v>
      </c>
      <c r="AG57" s="15">
        <v>13</v>
      </c>
      <c r="AH57" s="15">
        <v>6</v>
      </c>
      <c r="AI57" s="15">
        <v>5</v>
      </c>
      <c r="AJ57" s="15">
        <v>7</v>
      </c>
      <c r="AK57" s="15">
        <v>8</v>
      </c>
      <c r="AL57" s="15">
        <v>6</v>
      </c>
      <c r="AM57" s="15">
        <v>12</v>
      </c>
      <c r="AN57" s="15">
        <v>7</v>
      </c>
      <c r="AO57" s="15">
        <v>6</v>
      </c>
      <c r="AP57" s="15">
        <v>3</v>
      </c>
      <c r="AQ57" s="15">
        <v>4</v>
      </c>
      <c r="AR57" s="15">
        <v>12</v>
      </c>
      <c r="AS57" s="15">
        <v>5</v>
      </c>
      <c r="AT57" s="15">
        <v>8</v>
      </c>
      <c r="AU57" s="15">
        <v>7</v>
      </c>
      <c r="AV57" s="15">
        <v>11</v>
      </c>
      <c r="AW57" s="15">
        <v>6</v>
      </c>
      <c r="AX57" s="15">
        <v>9</v>
      </c>
      <c r="AY57" s="15">
        <v>4</v>
      </c>
      <c r="AZ57" s="15">
        <v>5</v>
      </c>
      <c r="BA57" s="15">
        <v>4</v>
      </c>
      <c r="BB57" s="15">
        <v>8</v>
      </c>
      <c r="BC57" s="15">
        <v>5</v>
      </c>
      <c r="BD57" s="15">
        <v>5</v>
      </c>
      <c r="BE57" s="15">
        <v>13</v>
      </c>
      <c r="BF57" s="15">
        <v>25</v>
      </c>
      <c r="BG57" s="15">
        <v>13</v>
      </c>
      <c r="BH57" s="15">
        <v>14</v>
      </c>
      <c r="BI57" s="15">
        <v>18</v>
      </c>
      <c r="BJ57" s="15">
        <v>21</v>
      </c>
      <c r="BK57" s="13">
        <f t="shared" si="13"/>
        <v>383</v>
      </c>
    </row>
    <row r="58" spans="1:63" ht="12.75" customHeight="1" x14ac:dyDescent="0.3">
      <c r="A58" s="14"/>
      <c r="B58" s="27"/>
      <c r="C58" s="28" t="s">
        <v>51</v>
      </c>
      <c r="D58" s="29"/>
      <c r="E58" s="15">
        <v>0</v>
      </c>
      <c r="F58" s="15">
        <v>2</v>
      </c>
      <c r="G58" s="15">
        <v>0</v>
      </c>
      <c r="H58" s="15">
        <v>2</v>
      </c>
      <c r="I58" s="15">
        <v>2</v>
      </c>
      <c r="J58" s="15">
        <v>1</v>
      </c>
      <c r="K58" s="15">
        <v>1</v>
      </c>
      <c r="L58" s="15">
        <v>0</v>
      </c>
      <c r="M58" s="15">
        <v>2</v>
      </c>
      <c r="N58" s="15">
        <v>0</v>
      </c>
      <c r="O58" s="15">
        <v>0</v>
      </c>
      <c r="P58" s="15">
        <v>2</v>
      </c>
      <c r="Q58" s="15">
        <v>3</v>
      </c>
      <c r="R58" s="15">
        <v>0</v>
      </c>
      <c r="S58" s="15">
        <v>1</v>
      </c>
      <c r="T58" s="15">
        <v>1</v>
      </c>
      <c r="U58" s="15">
        <v>0</v>
      </c>
      <c r="V58" s="15">
        <v>0</v>
      </c>
      <c r="W58" s="15">
        <v>0</v>
      </c>
      <c r="X58" s="15">
        <v>1</v>
      </c>
      <c r="Y58" s="15">
        <v>1</v>
      </c>
      <c r="Z58" s="15">
        <v>1</v>
      </c>
      <c r="AA58" s="15">
        <v>3</v>
      </c>
      <c r="AB58" s="15">
        <v>0</v>
      </c>
      <c r="AC58" s="15">
        <v>1</v>
      </c>
      <c r="AD58" s="15">
        <v>0</v>
      </c>
      <c r="AE58" s="15">
        <v>2</v>
      </c>
      <c r="AF58" s="15">
        <v>0</v>
      </c>
      <c r="AG58" s="15">
        <v>0</v>
      </c>
      <c r="AH58" s="15">
        <v>1</v>
      </c>
      <c r="AI58" s="15">
        <v>0</v>
      </c>
      <c r="AJ58" s="15">
        <v>4</v>
      </c>
      <c r="AK58" s="15">
        <v>2</v>
      </c>
      <c r="AL58" s="15">
        <v>0</v>
      </c>
      <c r="AM58" s="15">
        <v>1</v>
      </c>
      <c r="AN58" s="15">
        <v>2</v>
      </c>
      <c r="AO58" s="15">
        <v>1</v>
      </c>
      <c r="AP58" s="15">
        <v>0</v>
      </c>
      <c r="AQ58" s="15">
        <v>1</v>
      </c>
      <c r="AR58" s="15">
        <v>1</v>
      </c>
      <c r="AS58" s="15">
        <v>1</v>
      </c>
      <c r="AT58" s="15">
        <v>2</v>
      </c>
      <c r="AU58" s="15">
        <v>0</v>
      </c>
      <c r="AV58" s="15">
        <v>1</v>
      </c>
      <c r="AW58" s="15">
        <v>0</v>
      </c>
      <c r="AX58" s="15">
        <v>0</v>
      </c>
      <c r="AY58" s="15">
        <v>0</v>
      </c>
      <c r="AZ58" s="15">
        <v>3</v>
      </c>
      <c r="BA58" s="15">
        <v>0</v>
      </c>
      <c r="BB58" s="15">
        <v>0</v>
      </c>
      <c r="BC58" s="15">
        <v>0</v>
      </c>
      <c r="BD58" s="15">
        <v>2</v>
      </c>
      <c r="BE58" s="15">
        <v>0</v>
      </c>
      <c r="BF58" s="15">
        <v>1</v>
      </c>
      <c r="BG58" s="15">
        <v>0</v>
      </c>
      <c r="BH58" s="15">
        <v>0</v>
      </c>
      <c r="BI58" s="15">
        <v>0</v>
      </c>
      <c r="BJ58" s="15">
        <v>0</v>
      </c>
      <c r="BK58" s="13">
        <f t="shared" si="13"/>
        <v>49</v>
      </c>
    </row>
    <row r="59" spans="1:63" ht="12.75" customHeight="1" x14ac:dyDescent="0.3">
      <c r="A59" s="14"/>
      <c r="B59" s="27"/>
      <c r="C59" s="28" t="s">
        <v>52</v>
      </c>
      <c r="D59" s="29"/>
      <c r="E59" s="15">
        <v>9</v>
      </c>
      <c r="F59" s="15">
        <v>6</v>
      </c>
      <c r="G59" s="15">
        <v>6</v>
      </c>
      <c r="H59" s="15">
        <v>0</v>
      </c>
      <c r="I59" s="15">
        <v>1</v>
      </c>
      <c r="J59" s="15">
        <v>4</v>
      </c>
      <c r="K59" s="15">
        <v>21</v>
      </c>
      <c r="L59" s="15">
        <v>8</v>
      </c>
      <c r="M59" s="15">
        <v>21</v>
      </c>
      <c r="N59" s="15">
        <v>7</v>
      </c>
      <c r="O59" s="15">
        <v>20</v>
      </c>
      <c r="P59" s="15">
        <v>9</v>
      </c>
      <c r="Q59" s="15">
        <v>13</v>
      </c>
      <c r="R59" s="15">
        <v>3</v>
      </c>
      <c r="S59" s="15">
        <v>3</v>
      </c>
      <c r="T59" s="15">
        <v>7</v>
      </c>
      <c r="U59" s="15">
        <v>4</v>
      </c>
      <c r="V59" s="15">
        <v>8</v>
      </c>
      <c r="W59" s="15">
        <v>4</v>
      </c>
      <c r="X59" s="15">
        <v>6</v>
      </c>
      <c r="Y59" s="15">
        <v>4</v>
      </c>
      <c r="Z59" s="15">
        <v>2</v>
      </c>
      <c r="AA59" s="15">
        <v>26</v>
      </c>
      <c r="AB59" s="15">
        <v>21</v>
      </c>
      <c r="AC59" s="15">
        <v>0</v>
      </c>
      <c r="AD59" s="15">
        <v>2</v>
      </c>
      <c r="AE59" s="15">
        <v>10</v>
      </c>
      <c r="AF59" s="15">
        <v>1</v>
      </c>
      <c r="AG59" s="15">
        <v>6</v>
      </c>
      <c r="AH59" s="15">
        <v>23</v>
      </c>
      <c r="AI59" s="15">
        <v>2</v>
      </c>
      <c r="AJ59" s="15">
        <v>3</v>
      </c>
      <c r="AK59" s="15">
        <v>1</v>
      </c>
      <c r="AL59" s="15">
        <v>9</v>
      </c>
      <c r="AM59" s="15">
        <v>1</v>
      </c>
      <c r="AN59" s="15">
        <v>5</v>
      </c>
      <c r="AO59" s="15">
        <v>21</v>
      </c>
      <c r="AP59" s="15">
        <v>5</v>
      </c>
      <c r="AQ59" s="15">
        <v>7</v>
      </c>
      <c r="AR59" s="15">
        <v>2</v>
      </c>
      <c r="AS59" s="15">
        <v>7</v>
      </c>
      <c r="AT59" s="15">
        <v>3</v>
      </c>
      <c r="AU59" s="15">
        <v>1</v>
      </c>
      <c r="AV59" s="15">
        <v>0</v>
      </c>
      <c r="AW59" s="15">
        <v>2</v>
      </c>
      <c r="AX59" s="15">
        <v>0</v>
      </c>
      <c r="AY59" s="15">
        <v>3</v>
      </c>
      <c r="AZ59" s="15">
        <v>5</v>
      </c>
      <c r="BA59" s="15">
        <v>4</v>
      </c>
      <c r="BB59" s="15">
        <v>6</v>
      </c>
      <c r="BC59" s="15">
        <v>6</v>
      </c>
      <c r="BD59" s="15">
        <v>0</v>
      </c>
      <c r="BE59" s="15">
        <v>2</v>
      </c>
      <c r="BF59" s="15">
        <v>0</v>
      </c>
      <c r="BG59" s="15">
        <v>4</v>
      </c>
      <c r="BH59" s="15">
        <v>1</v>
      </c>
      <c r="BI59" s="15">
        <v>3</v>
      </c>
      <c r="BJ59" s="15">
        <v>0</v>
      </c>
      <c r="BK59" s="13">
        <f t="shared" si="13"/>
        <v>358</v>
      </c>
    </row>
    <row r="60" spans="1:63" ht="12.75" customHeight="1" x14ac:dyDescent="0.3">
      <c r="A60" s="14"/>
      <c r="B60" s="27"/>
      <c r="C60" s="28" t="s">
        <v>53</v>
      </c>
      <c r="D60" s="29"/>
      <c r="E60" s="15">
        <v>3</v>
      </c>
      <c r="F60" s="15">
        <v>2</v>
      </c>
      <c r="G60" s="15">
        <v>2</v>
      </c>
      <c r="H60" s="15">
        <v>0</v>
      </c>
      <c r="I60" s="15">
        <v>8</v>
      </c>
      <c r="J60" s="15">
        <v>1</v>
      </c>
      <c r="K60" s="15">
        <v>0</v>
      </c>
      <c r="L60" s="15">
        <v>8</v>
      </c>
      <c r="M60" s="15">
        <v>2</v>
      </c>
      <c r="N60" s="15">
        <v>1</v>
      </c>
      <c r="O60" s="15">
        <v>0</v>
      </c>
      <c r="P60" s="15">
        <v>2</v>
      </c>
      <c r="Q60" s="15">
        <v>1</v>
      </c>
      <c r="R60" s="15">
        <v>1</v>
      </c>
      <c r="S60" s="15">
        <v>2</v>
      </c>
      <c r="T60" s="15">
        <v>0</v>
      </c>
      <c r="U60" s="15">
        <v>5</v>
      </c>
      <c r="V60" s="15">
        <v>0</v>
      </c>
      <c r="W60" s="15">
        <v>6</v>
      </c>
      <c r="X60" s="15">
        <v>5</v>
      </c>
      <c r="Y60" s="15">
        <v>2</v>
      </c>
      <c r="Z60" s="15">
        <v>0</v>
      </c>
      <c r="AA60" s="15">
        <v>4</v>
      </c>
      <c r="AB60" s="15">
        <v>0</v>
      </c>
      <c r="AC60" s="15">
        <v>2</v>
      </c>
      <c r="AD60" s="15">
        <v>1</v>
      </c>
      <c r="AE60" s="15">
        <v>1</v>
      </c>
      <c r="AF60" s="15">
        <v>17</v>
      </c>
      <c r="AG60" s="15">
        <v>1</v>
      </c>
      <c r="AH60" s="15">
        <v>1</v>
      </c>
      <c r="AI60" s="15">
        <v>1</v>
      </c>
      <c r="AJ60" s="15">
        <v>1</v>
      </c>
      <c r="AK60" s="15">
        <v>0</v>
      </c>
      <c r="AL60" s="15">
        <v>6</v>
      </c>
      <c r="AM60" s="15">
        <v>4</v>
      </c>
      <c r="AN60" s="15">
        <v>5</v>
      </c>
      <c r="AO60" s="15">
        <v>2</v>
      </c>
      <c r="AP60" s="15">
        <v>0</v>
      </c>
      <c r="AQ60" s="15">
        <v>0</v>
      </c>
      <c r="AR60" s="15">
        <v>0</v>
      </c>
      <c r="AS60" s="15">
        <v>0</v>
      </c>
      <c r="AT60" s="15">
        <v>2</v>
      </c>
      <c r="AU60" s="15">
        <v>0</v>
      </c>
      <c r="AV60" s="15">
        <v>7</v>
      </c>
      <c r="AW60" s="15">
        <v>0</v>
      </c>
      <c r="AX60" s="15">
        <v>0</v>
      </c>
      <c r="AY60" s="15">
        <v>1</v>
      </c>
      <c r="AZ60" s="15">
        <v>1</v>
      </c>
      <c r="BA60" s="15">
        <v>3</v>
      </c>
      <c r="BB60" s="15">
        <v>0</v>
      </c>
      <c r="BC60" s="15">
        <v>1</v>
      </c>
      <c r="BD60" s="15">
        <v>0</v>
      </c>
      <c r="BE60" s="15">
        <v>0</v>
      </c>
      <c r="BF60" s="15">
        <v>3</v>
      </c>
      <c r="BG60" s="15">
        <v>0</v>
      </c>
      <c r="BH60" s="15">
        <v>1</v>
      </c>
      <c r="BI60" s="15">
        <v>0</v>
      </c>
      <c r="BJ60" s="15">
        <v>0</v>
      </c>
      <c r="BK60" s="13">
        <f t="shared" si="13"/>
        <v>116</v>
      </c>
    </row>
    <row r="61" spans="1:63" ht="12.75" customHeight="1" x14ac:dyDescent="0.3">
      <c r="A61" s="14"/>
      <c r="B61" s="27"/>
      <c r="C61" s="28" t="s">
        <v>54</v>
      </c>
      <c r="D61" s="29"/>
      <c r="E61" s="15">
        <v>0</v>
      </c>
      <c r="F61" s="15">
        <v>1</v>
      </c>
      <c r="G61" s="15">
        <v>1</v>
      </c>
      <c r="H61" s="15">
        <v>0</v>
      </c>
      <c r="I61" s="15">
        <v>0</v>
      </c>
      <c r="J61" s="15">
        <v>1</v>
      </c>
      <c r="K61" s="15">
        <v>0</v>
      </c>
      <c r="L61" s="15">
        <v>2</v>
      </c>
      <c r="M61" s="15">
        <v>0</v>
      </c>
      <c r="N61" s="15">
        <v>0</v>
      </c>
      <c r="O61" s="15">
        <v>0</v>
      </c>
      <c r="P61" s="15">
        <v>0</v>
      </c>
      <c r="Q61" s="15">
        <v>1</v>
      </c>
      <c r="R61" s="15">
        <v>0</v>
      </c>
      <c r="S61" s="15">
        <v>1</v>
      </c>
      <c r="T61" s="15">
        <v>1</v>
      </c>
      <c r="U61" s="15">
        <v>0</v>
      </c>
      <c r="V61" s="15">
        <v>1</v>
      </c>
      <c r="W61" s="15">
        <v>0</v>
      </c>
      <c r="X61" s="15">
        <v>1</v>
      </c>
      <c r="Y61" s="15">
        <v>0</v>
      </c>
      <c r="Z61" s="15">
        <v>1</v>
      </c>
      <c r="AA61" s="15">
        <v>1</v>
      </c>
      <c r="AB61" s="15">
        <v>0</v>
      </c>
      <c r="AC61" s="15">
        <v>0</v>
      </c>
      <c r="AD61" s="15">
        <v>0</v>
      </c>
      <c r="AE61" s="15">
        <v>0</v>
      </c>
      <c r="AF61" s="15">
        <v>3</v>
      </c>
      <c r="AG61" s="15">
        <v>0</v>
      </c>
      <c r="AH61" s="15">
        <v>0</v>
      </c>
      <c r="AI61" s="15">
        <v>1</v>
      </c>
      <c r="AJ61" s="15">
        <v>0</v>
      </c>
      <c r="AK61" s="15">
        <v>0</v>
      </c>
      <c r="AL61" s="15">
        <v>0</v>
      </c>
      <c r="AM61" s="15">
        <v>0</v>
      </c>
      <c r="AN61" s="15">
        <v>1</v>
      </c>
      <c r="AO61" s="15">
        <v>1</v>
      </c>
      <c r="AP61" s="15">
        <v>1</v>
      </c>
      <c r="AQ61" s="15">
        <v>0</v>
      </c>
      <c r="AR61" s="15">
        <v>0</v>
      </c>
      <c r="AS61" s="15">
        <v>0</v>
      </c>
      <c r="AT61" s="15">
        <v>3</v>
      </c>
      <c r="AU61" s="15">
        <v>0</v>
      </c>
      <c r="AV61" s="15">
        <v>0</v>
      </c>
      <c r="AW61" s="15">
        <v>0</v>
      </c>
      <c r="AX61" s="15">
        <v>1</v>
      </c>
      <c r="AY61" s="15">
        <v>0</v>
      </c>
      <c r="AZ61" s="15">
        <v>0</v>
      </c>
      <c r="BA61" s="15">
        <v>1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3">
        <f t="shared" si="13"/>
        <v>24</v>
      </c>
    </row>
    <row r="62" spans="1:63" ht="12.75" customHeight="1" x14ac:dyDescent="0.3">
      <c r="A62" s="14"/>
      <c r="B62" s="27"/>
      <c r="C62" s="28" t="s">
        <v>55</v>
      </c>
      <c r="D62" s="29"/>
      <c r="E62" s="15">
        <v>3</v>
      </c>
      <c r="F62" s="15">
        <v>13</v>
      </c>
      <c r="G62" s="15">
        <v>12</v>
      </c>
      <c r="H62" s="15">
        <v>4</v>
      </c>
      <c r="I62" s="15">
        <v>8</v>
      </c>
      <c r="J62" s="15">
        <v>17</v>
      </c>
      <c r="K62" s="15">
        <v>1</v>
      </c>
      <c r="L62" s="15">
        <v>12</v>
      </c>
      <c r="M62" s="15">
        <v>10</v>
      </c>
      <c r="N62" s="15">
        <v>8</v>
      </c>
      <c r="O62" s="15">
        <v>11</v>
      </c>
      <c r="P62" s="15">
        <v>5</v>
      </c>
      <c r="Q62" s="15">
        <v>6</v>
      </c>
      <c r="R62" s="15">
        <v>0</v>
      </c>
      <c r="S62" s="15">
        <v>1</v>
      </c>
      <c r="T62" s="15">
        <v>4</v>
      </c>
      <c r="U62" s="15">
        <v>0</v>
      </c>
      <c r="V62" s="15">
        <v>4</v>
      </c>
      <c r="W62" s="15">
        <v>1</v>
      </c>
      <c r="X62" s="15">
        <v>7</v>
      </c>
      <c r="Y62" s="15">
        <v>10</v>
      </c>
      <c r="Z62" s="15">
        <v>2</v>
      </c>
      <c r="AA62" s="15">
        <v>1</v>
      </c>
      <c r="AB62" s="15">
        <v>0</v>
      </c>
      <c r="AC62" s="15">
        <v>10</v>
      </c>
      <c r="AD62" s="15">
        <v>0</v>
      </c>
      <c r="AE62" s="15">
        <v>2</v>
      </c>
      <c r="AF62" s="15">
        <v>2</v>
      </c>
      <c r="AG62" s="15">
        <v>5</v>
      </c>
      <c r="AH62" s="15">
        <v>5</v>
      </c>
      <c r="AI62" s="15">
        <v>5</v>
      </c>
      <c r="AJ62" s="15">
        <v>2</v>
      </c>
      <c r="AK62" s="15">
        <v>11</v>
      </c>
      <c r="AL62" s="15">
        <v>1</v>
      </c>
      <c r="AM62" s="15">
        <v>14</v>
      </c>
      <c r="AN62" s="15">
        <v>13</v>
      </c>
      <c r="AO62" s="15">
        <v>13</v>
      </c>
      <c r="AP62" s="15">
        <v>14</v>
      </c>
      <c r="AQ62" s="15">
        <v>31</v>
      </c>
      <c r="AR62" s="15">
        <v>8</v>
      </c>
      <c r="AS62" s="15">
        <v>8</v>
      </c>
      <c r="AT62" s="15">
        <v>6</v>
      </c>
      <c r="AU62" s="15">
        <v>2</v>
      </c>
      <c r="AV62" s="15">
        <v>2</v>
      </c>
      <c r="AW62" s="15">
        <v>0</v>
      </c>
      <c r="AX62" s="15">
        <v>1</v>
      </c>
      <c r="AY62" s="15">
        <v>1</v>
      </c>
      <c r="AZ62" s="15">
        <v>5</v>
      </c>
      <c r="BA62" s="15">
        <v>0</v>
      </c>
      <c r="BB62" s="15">
        <v>0</v>
      </c>
      <c r="BC62" s="15">
        <v>0</v>
      </c>
      <c r="BD62" s="15">
        <v>0</v>
      </c>
      <c r="BE62" s="15">
        <v>32</v>
      </c>
      <c r="BF62" s="15">
        <v>18</v>
      </c>
      <c r="BG62" s="15">
        <v>10</v>
      </c>
      <c r="BH62" s="15">
        <v>3</v>
      </c>
      <c r="BI62" s="15">
        <v>1</v>
      </c>
      <c r="BJ62" s="15">
        <v>9</v>
      </c>
      <c r="BK62" s="13">
        <f t="shared" si="13"/>
        <v>374</v>
      </c>
    </row>
    <row r="63" spans="1:63" ht="12.75" customHeight="1" x14ac:dyDescent="0.3">
      <c r="A63" s="15" t="s">
        <v>15</v>
      </c>
      <c r="B63" s="45" t="s">
        <v>47</v>
      </c>
      <c r="C63" s="46"/>
      <c r="D63" s="47"/>
      <c r="E63" s="34">
        <f t="shared" ref="E63:BJ63" si="15">SUM(E55:E62)</f>
        <v>31</v>
      </c>
      <c r="F63" s="34">
        <f t="shared" si="15"/>
        <v>36</v>
      </c>
      <c r="G63" s="34">
        <f t="shared" si="15"/>
        <v>38</v>
      </c>
      <c r="H63" s="34">
        <f t="shared" si="15"/>
        <v>13</v>
      </c>
      <c r="I63" s="34">
        <f t="shared" si="15"/>
        <v>34</v>
      </c>
      <c r="J63" s="34">
        <f t="shared" si="15"/>
        <v>32</v>
      </c>
      <c r="K63" s="34">
        <f t="shared" si="15"/>
        <v>37</v>
      </c>
      <c r="L63" s="34">
        <f t="shared" si="15"/>
        <v>35</v>
      </c>
      <c r="M63" s="34">
        <f t="shared" si="15"/>
        <v>45</v>
      </c>
      <c r="N63" s="34">
        <f t="shared" si="15"/>
        <v>24</v>
      </c>
      <c r="O63" s="34">
        <f t="shared" si="15"/>
        <v>41</v>
      </c>
      <c r="P63" s="34">
        <f t="shared" si="15"/>
        <v>38</v>
      </c>
      <c r="Q63" s="34">
        <f t="shared" si="15"/>
        <v>42</v>
      </c>
      <c r="R63" s="34">
        <f t="shared" si="15"/>
        <v>10</v>
      </c>
      <c r="S63" s="34">
        <f t="shared" si="15"/>
        <v>11</v>
      </c>
      <c r="T63" s="34">
        <f t="shared" si="15"/>
        <v>29</v>
      </c>
      <c r="U63" s="34">
        <f t="shared" si="15"/>
        <v>24</v>
      </c>
      <c r="V63" s="34">
        <f t="shared" si="15"/>
        <v>26</v>
      </c>
      <c r="W63" s="34">
        <f t="shared" si="15"/>
        <v>24</v>
      </c>
      <c r="X63" s="34">
        <f t="shared" si="15"/>
        <v>28</v>
      </c>
      <c r="Y63" s="34">
        <f t="shared" si="15"/>
        <v>29</v>
      </c>
      <c r="Z63" s="34">
        <f t="shared" si="15"/>
        <v>24</v>
      </c>
      <c r="AA63" s="34">
        <f t="shared" si="15"/>
        <v>44</v>
      </c>
      <c r="AB63" s="34">
        <f t="shared" si="15"/>
        <v>37</v>
      </c>
      <c r="AC63" s="34">
        <f t="shared" si="15"/>
        <v>22</v>
      </c>
      <c r="AD63" s="34">
        <f t="shared" si="15"/>
        <v>10</v>
      </c>
      <c r="AE63" s="34">
        <f t="shared" si="15"/>
        <v>31</v>
      </c>
      <c r="AF63" s="34">
        <f t="shared" si="15"/>
        <v>35</v>
      </c>
      <c r="AG63" s="34">
        <f t="shared" si="15"/>
        <v>36</v>
      </c>
      <c r="AH63" s="34">
        <f t="shared" si="15"/>
        <v>46</v>
      </c>
      <c r="AI63" s="34">
        <f t="shared" si="15"/>
        <v>23</v>
      </c>
      <c r="AJ63" s="34">
        <f t="shared" si="15"/>
        <v>24</v>
      </c>
      <c r="AK63" s="34">
        <f t="shared" si="15"/>
        <v>26</v>
      </c>
      <c r="AL63" s="34">
        <f t="shared" si="15"/>
        <v>34</v>
      </c>
      <c r="AM63" s="34">
        <f t="shared" si="15"/>
        <v>36</v>
      </c>
      <c r="AN63" s="34">
        <f t="shared" si="15"/>
        <v>43</v>
      </c>
      <c r="AO63" s="34">
        <f t="shared" si="15"/>
        <v>57</v>
      </c>
      <c r="AP63" s="34">
        <f t="shared" si="15"/>
        <v>40</v>
      </c>
      <c r="AQ63" s="34">
        <f t="shared" si="15"/>
        <v>56</v>
      </c>
      <c r="AR63" s="34">
        <f t="shared" si="15"/>
        <v>30</v>
      </c>
      <c r="AS63" s="34">
        <f t="shared" si="15"/>
        <v>32</v>
      </c>
      <c r="AT63" s="34">
        <f t="shared" si="15"/>
        <v>32</v>
      </c>
      <c r="AU63" s="34">
        <f t="shared" si="15"/>
        <v>18</v>
      </c>
      <c r="AV63" s="34">
        <f t="shared" si="15"/>
        <v>26</v>
      </c>
      <c r="AW63" s="34">
        <f t="shared" si="15"/>
        <v>14</v>
      </c>
      <c r="AX63" s="34">
        <f t="shared" si="15"/>
        <v>18</v>
      </c>
      <c r="AY63" s="34">
        <f t="shared" si="15"/>
        <v>16</v>
      </c>
      <c r="AZ63" s="34">
        <f t="shared" si="15"/>
        <v>31</v>
      </c>
      <c r="BA63" s="34">
        <f t="shared" si="15"/>
        <v>23</v>
      </c>
      <c r="BB63" s="34">
        <f t="shared" si="15"/>
        <v>26</v>
      </c>
      <c r="BC63" s="34">
        <f t="shared" si="15"/>
        <v>18</v>
      </c>
      <c r="BD63" s="34">
        <f t="shared" si="15"/>
        <v>13</v>
      </c>
      <c r="BE63" s="34">
        <f t="shared" si="15"/>
        <v>59</v>
      </c>
      <c r="BF63" s="34">
        <f t="shared" si="15"/>
        <v>58</v>
      </c>
      <c r="BG63" s="34">
        <f t="shared" si="15"/>
        <v>37</v>
      </c>
      <c r="BH63" s="34">
        <f t="shared" si="15"/>
        <v>28</v>
      </c>
      <c r="BI63" s="34">
        <f t="shared" si="15"/>
        <v>38</v>
      </c>
      <c r="BJ63" s="34">
        <f t="shared" si="15"/>
        <v>36</v>
      </c>
      <c r="BK63" s="13">
        <f t="shared" si="13"/>
        <v>1804</v>
      </c>
    </row>
    <row r="64" spans="1:63" ht="12.75" customHeight="1" x14ac:dyDescent="0.3">
      <c r="A64" s="35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13">
        <f t="shared" si="13"/>
        <v>0</v>
      </c>
    </row>
    <row r="65" spans="1:63" ht="12.75" customHeight="1" x14ac:dyDescent="0.3">
      <c r="A65" s="19" t="s">
        <v>37</v>
      </c>
      <c r="B65" s="26" t="s">
        <v>21</v>
      </c>
      <c r="C65" s="48" t="s">
        <v>56</v>
      </c>
      <c r="D65" s="47"/>
      <c r="E65" s="15">
        <v>12</v>
      </c>
      <c r="F65" s="15">
        <v>2</v>
      </c>
      <c r="G65" s="15">
        <v>6</v>
      </c>
      <c r="H65" s="15">
        <v>25</v>
      </c>
      <c r="I65" s="15">
        <v>9</v>
      </c>
      <c r="J65" s="15">
        <v>3</v>
      </c>
      <c r="K65" s="15">
        <v>9</v>
      </c>
      <c r="L65" s="15">
        <v>6</v>
      </c>
      <c r="M65" s="15">
        <v>13</v>
      </c>
      <c r="N65" s="15">
        <v>10</v>
      </c>
      <c r="O65" s="15">
        <v>11</v>
      </c>
      <c r="P65" s="15">
        <v>9</v>
      </c>
      <c r="Q65" s="15">
        <v>9</v>
      </c>
      <c r="R65" s="15">
        <v>9</v>
      </c>
      <c r="S65" s="15">
        <v>5</v>
      </c>
      <c r="T65" s="15">
        <v>12</v>
      </c>
      <c r="U65" s="15">
        <v>9</v>
      </c>
      <c r="V65" s="15">
        <v>9</v>
      </c>
      <c r="W65" s="15">
        <v>6</v>
      </c>
      <c r="X65" s="15">
        <v>11</v>
      </c>
      <c r="Y65" s="15">
        <v>6</v>
      </c>
      <c r="Z65" s="15">
        <v>8</v>
      </c>
      <c r="AA65" s="15">
        <v>8</v>
      </c>
      <c r="AB65" s="15">
        <v>4</v>
      </c>
      <c r="AC65" s="15">
        <v>7</v>
      </c>
      <c r="AD65" s="15">
        <v>17</v>
      </c>
      <c r="AE65" s="15">
        <v>9</v>
      </c>
      <c r="AF65" s="15">
        <v>10</v>
      </c>
      <c r="AG65" s="15">
        <v>13</v>
      </c>
      <c r="AH65" s="15">
        <v>15</v>
      </c>
      <c r="AI65" s="15">
        <v>9</v>
      </c>
      <c r="AJ65" s="15">
        <v>15</v>
      </c>
      <c r="AK65" s="15">
        <v>15</v>
      </c>
      <c r="AL65" s="15">
        <v>9</v>
      </c>
      <c r="AM65" s="15">
        <v>10</v>
      </c>
      <c r="AN65" s="15">
        <v>11</v>
      </c>
      <c r="AO65" s="15">
        <v>11</v>
      </c>
      <c r="AP65" s="15">
        <v>11</v>
      </c>
      <c r="AQ65" s="15">
        <v>12</v>
      </c>
      <c r="AR65" s="15">
        <v>22</v>
      </c>
      <c r="AS65" s="15">
        <v>7</v>
      </c>
      <c r="AT65" s="15">
        <v>9</v>
      </c>
      <c r="AU65" s="15">
        <v>7</v>
      </c>
      <c r="AV65" s="15">
        <v>10</v>
      </c>
      <c r="AW65" s="15">
        <v>8</v>
      </c>
      <c r="AX65" s="15">
        <v>7</v>
      </c>
      <c r="AY65" s="15">
        <v>11</v>
      </c>
      <c r="AZ65" s="15">
        <v>7</v>
      </c>
      <c r="BA65" s="15">
        <v>4</v>
      </c>
      <c r="BB65" s="15">
        <v>10</v>
      </c>
      <c r="BC65" s="15">
        <v>7</v>
      </c>
      <c r="BD65" s="15">
        <v>3</v>
      </c>
      <c r="BE65" s="15">
        <v>2</v>
      </c>
      <c r="BF65" s="15">
        <v>3</v>
      </c>
      <c r="BG65" s="15">
        <v>8</v>
      </c>
      <c r="BH65" s="15">
        <v>5</v>
      </c>
      <c r="BI65" s="15">
        <v>3</v>
      </c>
      <c r="BJ65" s="15">
        <v>3</v>
      </c>
      <c r="BK65" s="13">
        <f t="shared" si="13"/>
        <v>521</v>
      </c>
    </row>
    <row r="66" spans="1:63" ht="12.75" customHeight="1" x14ac:dyDescent="0.3">
      <c r="A66" s="19" t="s">
        <v>39</v>
      </c>
      <c r="B66" s="27"/>
      <c r="C66" s="28" t="s">
        <v>57</v>
      </c>
      <c r="D66" s="29"/>
      <c r="E66" s="15">
        <v>5</v>
      </c>
      <c r="F66" s="15">
        <v>8</v>
      </c>
      <c r="G66" s="15">
        <v>6</v>
      </c>
      <c r="H66" s="15">
        <v>2</v>
      </c>
      <c r="I66" s="15">
        <v>6</v>
      </c>
      <c r="J66" s="15">
        <v>5</v>
      </c>
      <c r="K66" s="15">
        <v>2</v>
      </c>
      <c r="L66" s="15">
        <v>4</v>
      </c>
      <c r="M66" s="15">
        <v>12</v>
      </c>
      <c r="N66" s="15">
        <v>6</v>
      </c>
      <c r="O66" s="15">
        <v>5</v>
      </c>
      <c r="P66" s="15">
        <v>7</v>
      </c>
      <c r="Q66" s="15">
        <v>14</v>
      </c>
      <c r="R66" s="15">
        <v>6</v>
      </c>
      <c r="S66" s="15">
        <v>7</v>
      </c>
      <c r="T66" s="15">
        <v>3</v>
      </c>
      <c r="U66" s="15">
        <v>7</v>
      </c>
      <c r="V66" s="15">
        <v>19</v>
      </c>
      <c r="W66" s="15">
        <v>5</v>
      </c>
      <c r="X66" s="15">
        <v>4</v>
      </c>
      <c r="Y66" s="15">
        <v>18</v>
      </c>
      <c r="Z66" s="15">
        <v>24</v>
      </c>
      <c r="AA66" s="15">
        <v>10</v>
      </c>
      <c r="AB66" s="15">
        <v>5</v>
      </c>
      <c r="AC66" s="15">
        <v>12</v>
      </c>
      <c r="AD66" s="15">
        <v>15</v>
      </c>
      <c r="AE66" s="15">
        <v>5</v>
      </c>
      <c r="AF66" s="15">
        <v>7</v>
      </c>
      <c r="AG66" s="15">
        <v>22</v>
      </c>
      <c r="AH66" s="15">
        <v>9</v>
      </c>
      <c r="AI66" s="15">
        <v>42</v>
      </c>
      <c r="AJ66" s="15">
        <v>37</v>
      </c>
      <c r="AK66" s="15">
        <v>25</v>
      </c>
      <c r="AL66" s="15">
        <v>38</v>
      </c>
      <c r="AM66" s="15">
        <v>23</v>
      </c>
      <c r="AN66" s="15">
        <v>51</v>
      </c>
      <c r="AO66" s="15">
        <v>32</v>
      </c>
      <c r="AP66" s="15">
        <v>9</v>
      </c>
      <c r="AQ66" s="15">
        <v>8</v>
      </c>
      <c r="AR66" s="15">
        <v>6</v>
      </c>
      <c r="AS66" s="15">
        <v>7</v>
      </c>
      <c r="AT66" s="15">
        <v>2</v>
      </c>
      <c r="AU66" s="15">
        <v>29</v>
      </c>
      <c r="AV66" s="15">
        <v>29</v>
      </c>
      <c r="AW66" s="15">
        <v>17</v>
      </c>
      <c r="AX66" s="15">
        <v>26</v>
      </c>
      <c r="AY66" s="15">
        <v>13</v>
      </c>
      <c r="AZ66" s="15">
        <v>12</v>
      </c>
      <c r="BA66" s="15">
        <v>10</v>
      </c>
      <c r="BB66" s="15">
        <v>26</v>
      </c>
      <c r="BC66" s="15">
        <v>29</v>
      </c>
      <c r="BD66" s="15">
        <v>7</v>
      </c>
      <c r="BE66" s="15">
        <v>19</v>
      </c>
      <c r="BF66" s="15">
        <v>18</v>
      </c>
      <c r="BG66" s="15">
        <v>42</v>
      </c>
      <c r="BH66" s="15">
        <v>3</v>
      </c>
      <c r="BI66" s="15">
        <v>21</v>
      </c>
      <c r="BJ66" s="15">
        <v>8</v>
      </c>
      <c r="BK66" s="13">
        <f t="shared" si="13"/>
        <v>849</v>
      </c>
    </row>
    <row r="67" spans="1:63" ht="15" customHeight="1" x14ac:dyDescent="0.3">
      <c r="A67" s="14"/>
      <c r="B67" s="27"/>
      <c r="C67" s="28" t="s">
        <v>58</v>
      </c>
      <c r="D67" s="29"/>
      <c r="E67" s="15">
        <v>0</v>
      </c>
      <c r="F67" s="15">
        <v>0</v>
      </c>
      <c r="G67" s="15">
        <v>1</v>
      </c>
      <c r="H67" s="15">
        <v>1</v>
      </c>
      <c r="I67" s="15">
        <v>1</v>
      </c>
      <c r="J67" s="15">
        <v>2</v>
      </c>
      <c r="K67" s="15">
        <v>0</v>
      </c>
      <c r="L67" s="15">
        <v>0</v>
      </c>
      <c r="M67" s="15">
        <v>0</v>
      </c>
      <c r="N67" s="15">
        <v>1</v>
      </c>
      <c r="O67" s="15">
        <v>1</v>
      </c>
      <c r="P67" s="15">
        <v>2</v>
      </c>
      <c r="Q67" s="15">
        <v>0</v>
      </c>
      <c r="R67" s="15">
        <v>0</v>
      </c>
      <c r="S67" s="15">
        <v>2</v>
      </c>
      <c r="T67" s="15">
        <v>1</v>
      </c>
      <c r="U67" s="15">
        <v>0</v>
      </c>
      <c r="V67" s="15">
        <v>0</v>
      </c>
      <c r="W67" s="15">
        <v>0</v>
      </c>
      <c r="X67" s="15">
        <v>2</v>
      </c>
      <c r="Y67" s="15">
        <v>0</v>
      </c>
      <c r="Z67" s="15">
        <v>0</v>
      </c>
      <c r="AA67" s="15">
        <v>1</v>
      </c>
      <c r="AB67" s="15">
        <v>2</v>
      </c>
      <c r="AC67" s="15">
        <v>0</v>
      </c>
      <c r="AD67" s="15">
        <v>1</v>
      </c>
      <c r="AE67" s="15">
        <v>0</v>
      </c>
      <c r="AF67" s="15">
        <v>1</v>
      </c>
      <c r="AG67" s="15">
        <v>1</v>
      </c>
      <c r="AH67" s="15">
        <v>1</v>
      </c>
      <c r="AI67" s="15">
        <v>0</v>
      </c>
      <c r="AJ67" s="15">
        <v>0</v>
      </c>
      <c r="AK67" s="15">
        <v>0</v>
      </c>
      <c r="AL67" s="15">
        <v>1</v>
      </c>
      <c r="AM67" s="15">
        <v>2</v>
      </c>
      <c r="AN67" s="15">
        <v>0</v>
      </c>
      <c r="AO67" s="15">
        <v>0</v>
      </c>
      <c r="AP67" s="15">
        <v>1</v>
      </c>
      <c r="AQ67" s="15">
        <v>0</v>
      </c>
      <c r="AR67" s="15">
        <v>1</v>
      </c>
      <c r="AS67" s="15">
        <v>2</v>
      </c>
      <c r="AT67" s="15">
        <v>0</v>
      </c>
      <c r="AU67" s="15">
        <v>1</v>
      </c>
      <c r="AV67" s="15">
        <v>0</v>
      </c>
      <c r="AW67" s="15">
        <v>1</v>
      </c>
      <c r="AX67" s="15">
        <v>2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1</v>
      </c>
      <c r="BH67" s="15">
        <v>0</v>
      </c>
      <c r="BI67" s="15">
        <v>0</v>
      </c>
      <c r="BJ67" s="15">
        <v>0</v>
      </c>
      <c r="BK67" s="13">
        <f t="shared" si="13"/>
        <v>33</v>
      </c>
    </row>
    <row r="68" spans="1:63" ht="12.75" customHeight="1" x14ac:dyDescent="0.3">
      <c r="A68" s="14"/>
      <c r="B68" s="27"/>
      <c r="C68" s="28" t="s">
        <v>59</v>
      </c>
      <c r="D68" s="29"/>
      <c r="E68" s="15">
        <v>2</v>
      </c>
      <c r="F68" s="15">
        <v>3</v>
      </c>
      <c r="G68" s="15">
        <v>1</v>
      </c>
      <c r="H68" s="15">
        <v>1</v>
      </c>
      <c r="I68" s="15">
        <v>0</v>
      </c>
      <c r="J68" s="15">
        <v>2</v>
      </c>
      <c r="K68" s="15">
        <v>2</v>
      </c>
      <c r="L68" s="15">
        <v>1</v>
      </c>
      <c r="M68" s="15">
        <v>0</v>
      </c>
      <c r="N68" s="15">
        <v>3</v>
      </c>
      <c r="O68" s="15">
        <v>0</v>
      </c>
      <c r="P68" s="15">
        <v>2</v>
      </c>
      <c r="Q68" s="15">
        <v>0</v>
      </c>
      <c r="R68" s="15">
        <v>1</v>
      </c>
      <c r="S68" s="15">
        <v>1</v>
      </c>
      <c r="T68" s="15">
        <v>1</v>
      </c>
      <c r="U68" s="15">
        <v>3</v>
      </c>
      <c r="V68" s="15">
        <v>2</v>
      </c>
      <c r="W68" s="15">
        <v>0</v>
      </c>
      <c r="X68" s="15">
        <v>4</v>
      </c>
      <c r="Y68" s="15">
        <v>3</v>
      </c>
      <c r="Z68" s="15">
        <v>1</v>
      </c>
      <c r="AA68" s="15">
        <v>2</v>
      </c>
      <c r="AB68" s="15">
        <v>10</v>
      </c>
      <c r="AC68" s="15">
        <v>7</v>
      </c>
      <c r="AD68" s="15">
        <v>3</v>
      </c>
      <c r="AE68" s="15">
        <v>2</v>
      </c>
      <c r="AF68" s="15">
        <v>6</v>
      </c>
      <c r="AG68" s="15">
        <v>6</v>
      </c>
      <c r="AH68" s="15">
        <v>0</v>
      </c>
      <c r="AI68" s="15">
        <v>9</v>
      </c>
      <c r="AJ68" s="15">
        <v>1</v>
      </c>
      <c r="AK68" s="15">
        <v>3</v>
      </c>
      <c r="AL68" s="15">
        <v>2</v>
      </c>
      <c r="AM68" s="15">
        <v>2</v>
      </c>
      <c r="AN68" s="15">
        <v>3</v>
      </c>
      <c r="AO68" s="15">
        <v>0</v>
      </c>
      <c r="AP68" s="15">
        <v>2</v>
      </c>
      <c r="AQ68" s="15">
        <v>3</v>
      </c>
      <c r="AR68" s="15">
        <v>3</v>
      </c>
      <c r="AS68" s="15">
        <v>3</v>
      </c>
      <c r="AT68" s="15">
        <v>1</v>
      </c>
      <c r="AU68" s="15">
        <v>0</v>
      </c>
      <c r="AV68" s="15">
        <v>2</v>
      </c>
      <c r="AW68" s="15">
        <v>0</v>
      </c>
      <c r="AX68" s="15">
        <v>3</v>
      </c>
      <c r="AY68" s="15">
        <v>0</v>
      </c>
      <c r="AZ68" s="15">
        <v>0</v>
      </c>
      <c r="BA68" s="15">
        <v>1</v>
      </c>
      <c r="BB68" s="15">
        <v>2</v>
      </c>
      <c r="BC68" s="15">
        <v>0</v>
      </c>
      <c r="BD68" s="15">
        <v>0</v>
      </c>
      <c r="BE68" s="15">
        <v>0</v>
      </c>
      <c r="BF68" s="15">
        <v>1</v>
      </c>
      <c r="BG68" s="15">
        <v>0</v>
      </c>
      <c r="BH68" s="15">
        <v>0</v>
      </c>
      <c r="BI68" s="15">
        <v>3</v>
      </c>
      <c r="BJ68" s="15">
        <v>1</v>
      </c>
      <c r="BK68" s="13">
        <f t="shared" si="13"/>
        <v>114</v>
      </c>
    </row>
    <row r="69" spans="1:63" ht="12.75" customHeight="1" x14ac:dyDescent="0.3">
      <c r="A69" s="14"/>
      <c r="B69" s="27"/>
      <c r="C69" s="28" t="s">
        <v>60</v>
      </c>
      <c r="D69" s="29"/>
      <c r="E69" s="15">
        <v>6</v>
      </c>
      <c r="F69" s="15">
        <v>2</v>
      </c>
      <c r="G69" s="15">
        <v>5</v>
      </c>
      <c r="H69" s="15">
        <v>4</v>
      </c>
      <c r="I69" s="15">
        <v>2</v>
      </c>
      <c r="J69" s="15">
        <v>2</v>
      </c>
      <c r="K69" s="15">
        <v>3</v>
      </c>
      <c r="L69" s="15">
        <v>2</v>
      </c>
      <c r="M69" s="15">
        <v>8</v>
      </c>
      <c r="N69" s="15">
        <v>5</v>
      </c>
      <c r="O69" s="15">
        <v>15</v>
      </c>
      <c r="P69" s="15">
        <v>7</v>
      </c>
      <c r="Q69" s="15">
        <v>1</v>
      </c>
      <c r="R69" s="15">
        <v>12</v>
      </c>
      <c r="S69" s="15">
        <v>21</v>
      </c>
      <c r="T69" s="15">
        <v>6</v>
      </c>
      <c r="U69" s="15">
        <v>5</v>
      </c>
      <c r="V69" s="15">
        <v>7</v>
      </c>
      <c r="W69" s="15">
        <v>4</v>
      </c>
      <c r="X69" s="15">
        <v>9</v>
      </c>
      <c r="Y69" s="15">
        <v>3</v>
      </c>
      <c r="Z69" s="15">
        <v>3</v>
      </c>
      <c r="AA69" s="15">
        <v>4</v>
      </c>
      <c r="AB69" s="15">
        <v>6</v>
      </c>
      <c r="AC69" s="15">
        <v>15</v>
      </c>
      <c r="AD69" s="15">
        <v>7</v>
      </c>
      <c r="AE69" s="15">
        <v>9</v>
      </c>
      <c r="AF69" s="15">
        <v>3</v>
      </c>
      <c r="AG69" s="15">
        <v>3</v>
      </c>
      <c r="AH69" s="15">
        <v>3</v>
      </c>
      <c r="AI69" s="15">
        <v>11</v>
      </c>
      <c r="AJ69" s="15">
        <v>9</v>
      </c>
      <c r="AK69" s="15">
        <v>12</v>
      </c>
      <c r="AL69" s="15">
        <v>4</v>
      </c>
      <c r="AM69" s="15">
        <v>7</v>
      </c>
      <c r="AN69" s="15">
        <v>6</v>
      </c>
      <c r="AO69" s="15">
        <v>5</v>
      </c>
      <c r="AP69" s="15">
        <v>3</v>
      </c>
      <c r="AQ69" s="15">
        <v>3</v>
      </c>
      <c r="AR69" s="15">
        <v>6</v>
      </c>
      <c r="AS69" s="15">
        <v>5</v>
      </c>
      <c r="AT69" s="15">
        <v>5</v>
      </c>
      <c r="AU69" s="15">
        <v>7</v>
      </c>
      <c r="AV69" s="15">
        <v>1</v>
      </c>
      <c r="AW69" s="15">
        <v>1</v>
      </c>
      <c r="AX69" s="15">
        <v>2</v>
      </c>
      <c r="AY69" s="15">
        <v>0</v>
      </c>
      <c r="AZ69" s="15">
        <v>2</v>
      </c>
      <c r="BA69" s="15">
        <v>0</v>
      </c>
      <c r="BB69" s="15">
        <v>1</v>
      </c>
      <c r="BC69" s="15">
        <v>3</v>
      </c>
      <c r="BD69" s="15">
        <v>1</v>
      </c>
      <c r="BE69" s="15">
        <v>5</v>
      </c>
      <c r="BF69" s="15">
        <v>2</v>
      </c>
      <c r="BG69" s="15">
        <v>2</v>
      </c>
      <c r="BH69" s="15">
        <v>10</v>
      </c>
      <c r="BI69" s="15">
        <v>13</v>
      </c>
      <c r="BJ69" s="15">
        <v>8</v>
      </c>
      <c r="BK69" s="13">
        <f t="shared" si="13"/>
        <v>316</v>
      </c>
    </row>
    <row r="70" spans="1:63" ht="12.75" customHeight="1" x14ac:dyDescent="0.3">
      <c r="A70" s="14"/>
      <c r="B70" s="27"/>
      <c r="C70" s="28" t="s">
        <v>61</v>
      </c>
      <c r="D70" s="29"/>
      <c r="E70" s="15">
        <v>0</v>
      </c>
      <c r="F70" s="15">
        <v>0</v>
      </c>
      <c r="G70" s="15">
        <v>2</v>
      </c>
      <c r="H70" s="15">
        <v>4</v>
      </c>
      <c r="I70" s="15">
        <v>3</v>
      </c>
      <c r="J70" s="15">
        <v>1</v>
      </c>
      <c r="K70" s="15">
        <v>0</v>
      </c>
      <c r="L70" s="15">
        <v>0</v>
      </c>
      <c r="M70" s="15">
        <v>0</v>
      </c>
      <c r="N70" s="15">
        <v>1</v>
      </c>
      <c r="O70" s="15">
        <v>0</v>
      </c>
      <c r="P70" s="15">
        <v>0</v>
      </c>
      <c r="Q70" s="15">
        <v>0</v>
      </c>
      <c r="R70" s="15">
        <v>0</v>
      </c>
      <c r="S70" s="15">
        <v>3</v>
      </c>
      <c r="T70" s="15">
        <v>1</v>
      </c>
      <c r="U70" s="15">
        <v>0</v>
      </c>
      <c r="V70" s="15">
        <v>0</v>
      </c>
      <c r="W70" s="15">
        <v>0</v>
      </c>
      <c r="X70" s="15">
        <v>1</v>
      </c>
      <c r="Y70" s="15">
        <v>0</v>
      </c>
      <c r="Z70" s="15">
        <v>0</v>
      </c>
      <c r="AA70" s="15">
        <v>0</v>
      </c>
      <c r="AB70" s="15">
        <v>0</v>
      </c>
      <c r="AC70" s="15">
        <v>1</v>
      </c>
      <c r="AD70" s="15">
        <v>0</v>
      </c>
      <c r="AE70" s="15">
        <v>0</v>
      </c>
      <c r="AF70" s="15">
        <v>1</v>
      </c>
      <c r="AG70" s="15">
        <v>1</v>
      </c>
      <c r="AH70" s="15">
        <v>0</v>
      </c>
      <c r="AI70" s="15">
        <v>2</v>
      </c>
      <c r="AJ70" s="15">
        <v>0</v>
      </c>
      <c r="AK70" s="15">
        <v>1</v>
      </c>
      <c r="AL70" s="15">
        <v>0</v>
      </c>
      <c r="AM70" s="15">
        <v>0</v>
      </c>
      <c r="AN70" s="15">
        <v>1</v>
      </c>
      <c r="AO70" s="15">
        <v>1</v>
      </c>
      <c r="AP70" s="15">
        <v>2</v>
      </c>
      <c r="AQ70" s="15">
        <v>1</v>
      </c>
      <c r="AR70" s="15">
        <v>3</v>
      </c>
      <c r="AS70" s="15">
        <v>2</v>
      </c>
      <c r="AT70" s="15">
        <v>1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1</v>
      </c>
      <c r="BA70" s="15">
        <v>1</v>
      </c>
      <c r="BB70" s="15">
        <v>1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1</v>
      </c>
      <c r="BI70" s="15">
        <v>1</v>
      </c>
      <c r="BJ70" s="15">
        <v>0</v>
      </c>
      <c r="BK70" s="13">
        <f t="shared" si="13"/>
        <v>38</v>
      </c>
    </row>
    <row r="71" spans="1:63" ht="12.75" customHeight="1" x14ac:dyDescent="0.3">
      <c r="A71" s="14"/>
      <c r="B71" s="27"/>
      <c r="C71" s="28" t="s">
        <v>62</v>
      </c>
      <c r="D71" s="29"/>
      <c r="E71" s="15">
        <v>0</v>
      </c>
      <c r="F71" s="15">
        <v>0</v>
      </c>
      <c r="G71" s="15">
        <v>0</v>
      </c>
      <c r="H71" s="15">
        <v>2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1</v>
      </c>
      <c r="R71" s="15">
        <v>0</v>
      </c>
      <c r="S71" s="15">
        <v>1</v>
      </c>
      <c r="T71" s="15">
        <v>0</v>
      </c>
      <c r="U71" s="15">
        <v>0</v>
      </c>
      <c r="V71" s="15">
        <v>1</v>
      </c>
      <c r="W71" s="15">
        <v>0</v>
      </c>
      <c r="X71" s="15">
        <v>1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2</v>
      </c>
      <c r="AL71" s="15">
        <v>1</v>
      </c>
      <c r="AM71" s="15">
        <v>0</v>
      </c>
      <c r="AN71" s="15">
        <v>0</v>
      </c>
      <c r="AO71" s="15">
        <v>0</v>
      </c>
      <c r="AP71" s="15">
        <v>1</v>
      </c>
      <c r="AQ71" s="15">
        <v>0</v>
      </c>
      <c r="AR71" s="15">
        <v>0</v>
      </c>
      <c r="AS71" s="15">
        <v>1</v>
      </c>
      <c r="AT71" s="15">
        <v>1</v>
      </c>
      <c r="AU71" s="15">
        <v>1</v>
      </c>
      <c r="AV71" s="15">
        <v>0</v>
      </c>
      <c r="AW71" s="15">
        <v>0</v>
      </c>
      <c r="AX71" s="15">
        <v>0</v>
      </c>
      <c r="AY71" s="15">
        <v>1</v>
      </c>
      <c r="AZ71" s="15">
        <v>0</v>
      </c>
      <c r="BA71" s="15">
        <v>2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3">
        <f t="shared" si="13"/>
        <v>16</v>
      </c>
    </row>
    <row r="72" spans="1:63" ht="12.75" customHeight="1" x14ac:dyDescent="0.3">
      <c r="A72" s="14"/>
      <c r="B72" s="27"/>
      <c r="C72" s="28" t="s">
        <v>63</v>
      </c>
      <c r="D72" s="29"/>
      <c r="E72" s="15">
        <v>1</v>
      </c>
      <c r="F72" s="15">
        <v>4</v>
      </c>
      <c r="G72" s="15">
        <v>2</v>
      </c>
      <c r="H72" s="15">
        <v>4</v>
      </c>
      <c r="I72" s="15">
        <v>4</v>
      </c>
      <c r="J72" s="15">
        <v>2</v>
      </c>
      <c r="K72" s="15">
        <v>5</v>
      </c>
      <c r="L72" s="15">
        <v>0</v>
      </c>
      <c r="M72" s="15">
        <v>3</v>
      </c>
      <c r="N72" s="15">
        <v>0</v>
      </c>
      <c r="O72" s="15">
        <v>0</v>
      </c>
      <c r="P72" s="15">
        <v>5</v>
      </c>
      <c r="Q72" s="15">
        <v>0</v>
      </c>
      <c r="R72" s="15">
        <v>0</v>
      </c>
      <c r="S72" s="15">
        <v>2</v>
      </c>
      <c r="T72" s="15">
        <v>1</v>
      </c>
      <c r="U72" s="15">
        <v>0</v>
      </c>
      <c r="V72" s="15">
        <v>3</v>
      </c>
      <c r="W72" s="15">
        <v>0</v>
      </c>
      <c r="X72" s="15">
        <v>1</v>
      </c>
      <c r="Y72" s="15">
        <v>3</v>
      </c>
      <c r="Z72" s="15">
        <v>1</v>
      </c>
      <c r="AA72" s="15">
        <v>2</v>
      </c>
      <c r="AB72" s="15">
        <v>3</v>
      </c>
      <c r="AC72" s="15">
        <v>0</v>
      </c>
      <c r="AD72" s="15">
        <v>3</v>
      </c>
      <c r="AE72" s="15">
        <v>2</v>
      </c>
      <c r="AF72" s="15">
        <v>2</v>
      </c>
      <c r="AG72" s="15">
        <v>0</v>
      </c>
      <c r="AH72" s="15">
        <v>2</v>
      </c>
      <c r="AI72" s="15">
        <v>4</v>
      </c>
      <c r="AJ72" s="15">
        <v>0</v>
      </c>
      <c r="AK72" s="15">
        <v>3</v>
      </c>
      <c r="AL72" s="15">
        <v>2</v>
      </c>
      <c r="AM72" s="15">
        <v>2</v>
      </c>
      <c r="AN72" s="15">
        <v>4</v>
      </c>
      <c r="AO72" s="15">
        <v>2</v>
      </c>
      <c r="AP72" s="15">
        <v>3</v>
      </c>
      <c r="AQ72" s="15">
        <v>1</v>
      </c>
      <c r="AR72" s="15">
        <v>2</v>
      </c>
      <c r="AS72" s="15">
        <v>4</v>
      </c>
      <c r="AT72" s="15">
        <v>2</v>
      </c>
      <c r="AU72" s="15">
        <v>0</v>
      </c>
      <c r="AV72" s="15">
        <v>9</v>
      </c>
      <c r="AW72" s="15">
        <v>10</v>
      </c>
      <c r="AX72" s="15">
        <v>8</v>
      </c>
      <c r="AY72" s="15">
        <v>11</v>
      </c>
      <c r="AZ72" s="15">
        <v>3</v>
      </c>
      <c r="BA72" s="15">
        <v>2</v>
      </c>
      <c r="BB72" s="15">
        <v>4</v>
      </c>
      <c r="BC72" s="15">
        <v>3</v>
      </c>
      <c r="BD72" s="15">
        <v>8</v>
      </c>
      <c r="BE72" s="15">
        <v>5</v>
      </c>
      <c r="BF72" s="15">
        <v>10</v>
      </c>
      <c r="BG72" s="15">
        <v>3</v>
      </c>
      <c r="BH72" s="15">
        <v>1</v>
      </c>
      <c r="BI72" s="15">
        <v>0</v>
      </c>
      <c r="BJ72" s="15">
        <v>0</v>
      </c>
      <c r="BK72" s="13">
        <f t="shared" si="13"/>
        <v>161</v>
      </c>
    </row>
    <row r="73" spans="1:63" ht="12.75" customHeight="1" x14ac:dyDescent="0.3">
      <c r="A73" s="15" t="s">
        <v>15</v>
      </c>
      <c r="B73" s="45" t="s">
        <v>47</v>
      </c>
      <c r="C73" s="46"/>
      <c r="D73" s="47"/>
      <c r="E73" s="34">
        <f t="shared" ref="E73:BJ73" si="16">SUM(E65:E72)</f>
        <v>26</v>
      </c>
      <c r="F73" s="34">
        <f t="shared" si="16"/>
        <v>19</v>
      </c>
      <c r="G73" s="34">
        <f t="shared" si="16"/>
        <v>23</v>
      </c>
      <c r="H73" s="34">
        <f t="shared" si="16"/>
        <v>43</v>
      </c>
      <c r="I73" s="34">
        <f t="shared" si="16"/>
        <v>25</v>
      </c>
      <c r="J73" s="34">
        <f t="shared" si="16"/>
        <v>17</v>
      </c>
      <c r="K73" s="34">
        <f t="shared" si="16"/>
        <v>21</v>
      </c>
      <c r="L73" s="34">
        <f t="shared" si="16"/>
        <v>13</v>
      </c>
      <c r="M73" s="34">
        <f t="shared" si="16"/>
        <v>36</v>
      </c>
      <c r="N73" s="34">
        <f t="shared" si="16"/>
        <v>26</v>
      </c>
      <c r="O73" s="34">
        <f t="shared" si="16"/>
        <v>32</v>
      </c>
      <c r="P73" s="34">
        <f t="shared" si="16"/>
        <v>32</v>
      </c>
      <c r="Q73" s="34">
        <f t="shared" si="16"/>
        <v>25</v>
      </c>
      <c r="R73" s="34">
        <f t="shared" si="16"/>
        <v>28</v>
      </c>
      <c r="S73" s="34">
        <f t="shared" si="16"/>
        <v>42</v>
      </c>
      <c r="T73" s="34">
        <f t="shared" si="16"/>
        <v>25</v>
      </c>
      <c r="U73" s="34">
        <f t="shared" si="16"/>
        <v>24</v>
      </c>
      <c r="V73" s="34">
        <f t="shared" si="16"/>
        <v>41</v>
      </c>
      <c r="W73" s="34">
        <f t="shared" si="16"/>
        <v>15</v>
      </c>
      <c r="X73" s="34">
        <f t="shared" si="16"/>
        <v>33</v>
      </c>
      <c r="Y73" s="34">
        <f t="shared" si="16"/>
        <v>33</v>
      </c>
      <c r="Z73" s="34">
        <f t="shared" si="16"/>
        <v>37</v>
      </c>
      <c r="AA73" s="34">
        <f t="shared" si="16"/>
        <v>27</v>
      </c>
      <c r="AB73" s="34">
        <f t="shared" si="16"/>
        <v>30</v>
      </c>
      <c r="AC73" s="34">
        <f t="shared" si="16"/>
        <v>42</v>
      </c>
      <c r="AD73" s="34">
        <f t="shared" si="16"/>
        <v>46</v>
      </c>
      <c r="AE73" s="34">
        <f t="shared" si="16"/>
        <v>27</v>
      </c>
      <c r="AF73" s="34">
        <f t="shared" si="16"/>
        <v>30</v>
      </c>
      <c r="AG73" s="34">
        <f t="shared" si="16"/>
        <v>46</v>
      </c>
      <c r="AH73" s="34">
        <f t="shared" si="16"/>
        <v>30</v>
      </c>
      <c r="AI73" s="34">
        <f t="shared" si="16"/>
        <v>77</v>
      </c>
      <c r="AJ73" s="34">
        <f t="shared" si="16"/>
        <v>62</v>
      </c>
      <c r="AK73" s="34">
        <f t="shared" si="16"/>
        <v>61</v>
      </c>
      <c r="AL73" s="34">
        <f t="shared" si="16"/>
        <v>57</v>
      </c>
      <c r="AM73" s="34">
        <f t="shared" si="16"/>
        <v>46</v>
      </c>
      <c r="AN73" s="34">
        <f t="shared" si="16"/>
        <v>76</v>
      </c>
      <c r="AO73" s="34">
        <f t="shared" si="16"/>
        <v>51</v>
      </c>
      <c r="AP73" s="34">
        <f t="shared" si="16"/>
        <v>32</v>
      </c>
      <c r="AQ73" s="34">
        <f t="shared" si="16"/>
        <v>28</v>
      </c>
      <c r="AR73" s="34">
        <f t="shared" si="16"/>
        <v>43</v>
      </c>
      <c r="AS73" s="34">
        <f t="shared" si="16"/>
        <v>31</v>
      </c>
      <c r="AT73" s="34">
        <f t="shared" si="16"/>
        <v>21</v>
      </c>
      <c r="AU73" s="34">
        <f t="shared" si="16"/>
        <v>45</v>
      </c>
      <c r="AV73" s="34">
        <f t="shared" si="16"/>
        <v>51</v>
      </c>
      <c r="AW73" s="34">
        <f t="shared" si="16"/>
        <v>37</v>
      </c>
      <c r="AX73" s="34">
        <f t="shared" si="16"/>
        <v>48</v>
      </c>
      <c r="AY73" s="34">
        <f t="shared" si="16"/>
        <v>36</v>
      </c>
      <c r="AZ73" s="34">
        <f t="shared" si="16"/>
        <v>25</v>
      </c>
      <c r="BA73" s="34">
        <f t="shared" si="16"/>
        <v>20</v>
      </c>
      <c r="BB73" s="34">
        <f t="shared" si="16"/>
        <v>44</v>
      </c>
      <c r="BC73" s="34">
        <f t="shared" si="16"/>
        <v>42</v>
      </c>
      <c r="BD73" s="34">
        <f t="shared" si="16"/>
        <v>19</v>
      </c>
      <c r="BE73" s="34">
        <f t="shared" si="16"/>
        <v>31</v>
      </c>
      <c r="BF73" s="34">
        <f t="shared" si="16"/>
        <v>34</v>
      </c>
      <c r="BG73" s="34">
        <f t="shared" si="16"/>
        <v>56</v>
      </c>
      <c r="BH73" s="34">
        <f t="shared" si="16"/>
        <v>20</v>
      </c>
      <c r="BI73" s="34">
        <f t="shared" si="16"/>
        <v>41</v>
      </c>
      <c r="BJ73" s="34">
        <f t="shared" si="16"/>
        <v>20</v>
      </c>
      <c r="BK73" s="13">
        <f t="shared" si="13"/>
        <v>2048</v>
      </c>
    </row>
    <row r="74" spans="1:63" ht="12.75" customHeight="1" x14ac:dyDescent="0.3">
      <c r="A74" s="35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13">
        <f t="shared" si="13"/>
        <v>0</v>
      </c>
    </row>
    <row r="75" spans="1:63" ht="12.75" customHeight="1" x14ac:dyDescent="0.3">
      <c r="A75" s="19" t="s">
        <v>37</v>
      </c>
      <c r="B75" s="26" t="s">
        <v>23</v>
      </c>
      <c r="C75" s="48" t="s">
        <v>64</v>
      </c>
      <c r="D75" s="47"/>
      <c r="E75" s="15">
        <v>2</v>
      </c>
      <c r="F75" s="15">
        <v>0</v>
      </c>
      <c r="G75" s="15">
        <v>1</v>
      </c>
      <c r="H75" s="15">
        <v>0</v>
      </c>
      <c r="I75" s="15">
        <v>3</v>
      </c>
      <c r="J75" s="15">
        <v>2</v>
      </c>
      <c r="K75" s="15">
        <v>4</v>
      </c>
      <c r="L75" s="15">
        <v>3</v>
      </c>
      <c r="M75" s="15">
        <v>9</v>
      </c>
      <c r="N75" s="15">
        <v>7</v>
      </c>
      <c r="O75" s="15">
        <v>9</v>
      </c>
      <c r="P75" s="15">
        <v>6</v>
      </c>
      <c r="Q75" s="15">
        <v>2</v>
      </c>
      <c r="R75" s="15">
        <v>3</v>
      </c>
      <c r="S75" s="15">
        <v>3</v>
      </c>
      <c r="T75" s="15">
        <v>1</v>
      </c>
      <c r="U75" s="15">
        <v>5</v>
      </c>
      <c r="V75" s="15">
        <v>1</v>
      </c>
      <c r="W75" s="15">
        <v>2</v>
      </c>
      <c r="X75" s="15">
        <v>6</v>
      </c>
      <c r="Y75" s="15">
        <v>3</v>
      </c>
      <c r="Z75" s="15">
        <v>2</v>
      </c>
      <c r="AA75" s="15">
        <v>2</v>
      </c>
      <c r="AB75" s="15">
        <v>1</v>
      </c>
      <c r="AC75" s="15">
        <v>1</v>
      </c>
      <c r="AD75" s="15">
        <v>0</v>
      </c>
      <c r="AE75" s="15">
        <v>2</v>
      </c>
      <c r="AF75" s="15">
        <v>4</v>
      </c>
      <c r="AG75" s="15">
        <v>2</v>
      </c>
      <c r="AH75" s="15">
        <v>4</v>
      </c>
      <c r="AI75" s="15">
        <v>3</v>
      </c>
      <c r="AJ75" s="15">
        <v>2</v>
      </c>
      <c r="AK75" s="15">
        <v>3</v>
      </c>
      <c r="AL75" s="15">
        <v>1</v>
      </c>
      <c r="AM75" s="15">
        <v>1</v>
      </c>
      <c r="AN75" s="15">
        <v>3</v>
      </c>
      <c r="AO75" s="15">
        <v>0</v>
      </c>
      <c r="AP75" s="15">
        <v>1</v>
      </c>
      <c r="AQ75" s="15">
        <v>1</v>
      </c>
      <c r="AR75" s="15">
        <v>6</v>
      </c>
      <c r="AS75" s="15">
        <v>2</v>
      </c>
      <c r="AT75" s="15">
        <v>4</v>
      </c>
      <c r="AU75" s="15">
        <v>1</v>
      </c>
      <c r="AV75" s="15">
        <v>3</v>
      </c>
      <c r="AW75" s="15">
        <v>6</v>
      </c>
      <c r="AX75" s="15">
        <v>2</v>
      </c>
      <c r="AY75" s="15">
        <v>1</v>
      </c>
      <c r="AZ75" s="15">
        <v>4</v>
      </c>
      <c r="BA75" s="15">
        <v>2</v>
      </c>
      <c r="BB75" s="15">
        <v>0</v>
      </c>
      <c r="BC75" s="15">
        <v>6</v>
      </c>
      <c r="BD75" s="15">
        <v>0</v>
      </c>
      <c r="BE75" s="15">
        <v>1</v>
      </c>
      <c r="BF75" s="15">
        <v>1</v>
      </c>
      <c r="BG75" s="15">
        <v>0</v>
      </c>
      <c r="BH75" s="15">
        <v>2</v>
      </c>
      <c r="BI75" s="15">
        <v>0</v>
      </c>
      <c r="BJ75" s="15">
        <v>0</v>
      </c>
      <c r="BK75" s="13">
        <f t="shared" si="13"/>
        <v>146</v>
      </c>
    </row>
    <row r="76" spans="1:63" ht="12.75" customHeight="1" x14ac:dyDescent="0.3">
      <c r="A76" s="19" t="s">
        <v>39</v>
      </c>
      <c r="B76" s="27"/>
      <c r="C76" s="28" t="s">
        <v>65</v>
      </c>
      <c r="D76" s="29"/>
      <c r="E76" s="15">
        <v>5</v>
      </c>
      <c r="F76" s="15">
        <v>5</v>
      </c>
      <c r="G76" s="15">
        <v>7</v>
      </c>
      <c r="H76" s="15">
        <v>6</v>
      </c>
      <c r="I76" s="15">
        <v>1</v>
      </c>
      <c r="J76" s="15">
        <v>1</v>
      </c>
      <c r="K76" s="15">
        <v>6</v>
      </c>
      <c r="L76" s="15">
        <v>2</v>
      </c>
      <c r="M76" s="15">
        <v>4</v>
      </c>
      <c r="N76" s="15">
        <v>1</v>
      </c>
      <c r="O76" s="15">
        <v>2</v>
      </c>
      <c r="P76" s="15">
        <v>6</v>
      </c>
      <c r="Q76" s="15">
        <v>6</v>
      </c>
      <c r="R76" s="15">
        <v>1</v>
      </c>
      <c r="S76" s="15">
        <v>4</v>
      </c>
      <c r="T76" s="15">
        <v>0</v>
      </c>
      <c r="U76" s="15">
        <v>2</v>
      </c>
      <c r="V76" s="15">
        <v>1</v>
      </c>
      <c r="W76" s="15">
        <v>5</v>
      </c>
      <c r="X76" s="15">
        <v>2</v>
      </c>
      <c r="Y76" s="15">
        <v>5</v>
      </c>
      <c r="Z76" s="15">
        <v>2</v>
      </c>
      <c r="AA76" s="15">
        <v>6</v>
      </c>
      <c r="AB76" s="15">
        <v>9</v>
      </c>
      <c r="AC76" s="15">
        <v>5</v>
      </c>
      <c r="AD76" s="15">
        <v>2</v>
      </c>
      <c r="AE76" s="15">
        <v>2</v>
      </c>
      <c r="AF76" s="15">
        <v>8</v>
      </c>
      <c r="AG76" s="15">
        <v>5</v>
      </c>
      <c r="AH76" s="15">
        <v>9</v>
      </c>
      <c r="AI76" s="15">
        <v>13</v>
      </c>
      <c r="AJ76" s="15">
        <v>8</v>
      </c>
      <c r="AK76" s="15">
        <v>3</v>
      </c>
      <c r="AL76" s="15">
        <v>4</v>
      </c>
      <c r="AM76" s="15">
        <v>17</v>
      </c>
      <c r="AN76" s="15">
        <v>12</v>
      </c>
      <c r="AO76" s="15">
        <v>3</v>
      </c>
      <c r="AP76" s="15">
        <v>5</v>
      </c>
      <c r="AQ76" s="15">
        <v>12</v>
      </c>
      <c r="AR76" s="15">
        <v>6</v>
      </c>
      <c r="AS76" s="15">
        <v>6</v>
      </c>
      <c r="AT76" s="15">
        <v>10</v>
      </c>
      <c r="AU76" s="15">
        <v>3</v>
      </c>
      <c r="AV76" s="15">
        <v>0</v>
      </c>
      <c r="AW76" s="15">
        <v>4</v>
      </c>
      <c r="AX76" s="15">
        <v>3</v>
      </c>
      <c r="AY76" s="15">
        <v>7</v>
      </c>
      <c r="AZ76" s="15">
        <v>2</v>
      </c>
      <c r="BA76" s="15">
        <v>6</v>
      </c>
      <c r="BB76" s="15">
        <v>6</v>
      </c>
      <c r="BC76" s="15">
        <v>4</v>
      </c>
      <c r="BD76" s="15">
        <v>2</v>
      </c>
      <c r="BE76" s="15">
        <v>4</v>
      </c>
      <c r="BF76" s="15">
        <v>5</v>
      </c>
      <c r="BG76" s="15">
        <v>3</v>
      </c>
      <c r="BH76" s="15">
        <v>3</v>
      </c>
      <c r="BI76" s="15">
        <v>1</v>
      </c>
      <c r="BJ76" s="15">
        <v>1</v>
      </c>
      <c r="BK76" s="13">
        <f t="shared" si="13"/>
        <v>273</v>
      </c>
    </row>
    <row r="77" spans="1:63" ht="12.75" customHeight="1" x14ac:dyDescent="0.3">
      <c r="A77" s="14"/>
      <c r="B77" s="27"/>
      <c r="C77" s="28" t="s">
        <v>66</v>
      </c>
      <c r="D77" s="29"/>
      <c r="E77" s="15">
        <v>1</v>
      </c>
      <c r="F77" s="15">
        <v>1</v>
      </c>
      <c r="G77" s="15">
        <v>2</v>
      </c>
      <c r="H77" s="15">
        <v>1</v>
      </c>
      <c r="I77" s="15">
        <v>6</v>
      </c>
      <c r="J77" s="15">
        <v>2</v>
      </c>
      <c r="K77" s="15">
        <v>1</v>
      </c>
      <c r="L77" s="15">
        <v>1</v>
      </c>
      <c r="M77" s="15">
        <v>1</v>
      </c>
      <c r="N77" s="15">
        <v>1</v>
      </c>
      <c r="O77" s="15">
        <v>2</v>
      </c>
      <c r="P77" s="15">
        <v>1</v>
      </c>
      <c r="Q77" s="15">
        <v>2</v>
      </c>
      <c r="R77" s="15">
        <v>1</v>
      </c>
      <c r="S77" s="15">
        <v>0</v>
      </c>
      <c r="T77" s="15">
        <v>8</v>
      </c>
      <c r="U77" s="15">
        <v>0</v>
      </c>
      <c r="V77" s="15">
        <v>3</v>
      </c>
      <c r="W77" s="15">
        <v>0</v>
      </c>
      <c r="X77" s="15">
        <v>1</v>
      </c>
      <c r="Y77" s="15">
        <v>1</v>
      </c>
      <c r="Z77" s="15">
        <v>3</v>
      </c>
      <c r="AA77" s="15">
        <v>2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2</v>
      </c>
      <c r="AI77" s="15">
        <v>1</v>
      </c>
      <c r="AJ77" s="15">
        <v>1</v>
      </c>
      <c r="AK77" s="15">
        <v>2</v>
      </c>
      <c r="AL77" s="15">
        <v>1</v>
      </c>
      <c r="AM77" s="15">
        <v>2</v>
      </c>
      <c r="AN77" s="15">
        <v>5</v>
      </c>
      <c r="AO77" s="15">
        <v>0</v>
      </c>
      <c r="AP77" s="15">
        <v>0</v>
      </c>
      <c r="AQ77" s="15">
        <v>2</v>
      </c>
      <c r="AR77" s="15">
        <v>4</v>
      </c>
      <c r="AS77" s="15">
        <v>1</v>
      </c>
      <c r="AT77" s="15">
        <v>0</v>
      </c>
      <c r="AU77" s="15">
        <v>7</v>
      </c>
      <c r="AV77" s="15">
        <v>1</v>
      </c>
      <c r="AW77" s="15">
        <v>6</v>
      </c>
      <c r="AX77" s="15">
        <v>0</v>
      </c>
      <c r="AY77" s="15">
        <v>0</v>
      </c>
      <c r="AZ77" s="15">
        <v>1</v>
      </c>
      <c r="BA77" s="15">
        <v>1</v>
      </c>
      <c r="BB77" s="15">
        <v>1</v>
      </c>
      <c r="BC77" s="15">
        <v>0</v>
      </c>
      <c r="BD77" s="15">
        <v>0</v>
      </c>
      <c r="BE77" s="15">
        <v>1</v>
      </c>
      <c r="BF77" s="15">
        <v>6</v>
      </c>
      <c r="BG77" s="15">
        <v>2</v>
      </c>
      <c r="BH77" s="15">
        <v>2</v>
      </c>
      <c r="BI77" s="15">
        <v>0</v>
      </c>
      <c r="BJ77" s="15">
        <v>1</v>
      </c>
      <c r="BK77" s="13">
        <f t="shared" si="13"/>
        <v>91</v>
      </c>
    </row>
    <row r="78" spans="1:63" ht="12.75" customHeight="1" x14ac:dyDescent="0.3">
      <c r="A78" s="14"/>
      <c r="B78" s="27"/>
      <c r="C78" s="28" t="s">
        <v>67</v>
      </c>
      <c r="D78" s="29"/>
      <c r="E78" s="15">
        <v>0</v>
      </c>
      <c r="F78" s="15">
        <v>0</v>
      </c>
      <c r="G78" s="15">
        <v>0</v>
      </c>
      <c r="H78" s="15">
        <v>0</v>
      </c>
      <c r="I78" s="15">
        <v>1</v>
      </c>
      <c r="J78" s="15">
        <v>0</v>
      </c>
      <c r="K78" s="15">
        <v>0</v>
      </c>
      <c r="L78" s="15">
        <v>1</v>
      </c>
      <c r="M78" s="15">
        <v>1</v>
      </c>
      <c r="N78" s="15">
        <v>1</v>
      </c>
      <c r="O78" s="15">
        <v>0</v>
      </c>
      <c r="P78" s="15">
        <v>1</v>
      </c>
      <c r="Q78" s="15">
        <v>0</v>
      </c>
      <c r="R78" s="15">
        <v>0</v>
      </c>
      <c r="S78" s="15">
        <v>0</v>
      </c>
      <c r="T78" s="15">
        <v>2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1</v>
      </c>
      <c r="AA78" s="15">
        <v>2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1</v>
      </c>
      <c r="AJ78" s="15">
        <v>0</v>
      </c>
      <c r="AK78" s="15">
        <v>1</v>
      </c>
      <c r="AL78" s="15">
        <v>0</v>
      </c>
      <c r="AM78" s="15">
        <v>0</v>
      </c>
      <c r="AN78" s="15">
        <v>0</v>
      </c>
      <c r="AO78" s="15">
        <v>1</v>
      </c>
      <c r="AP78" s="15">
        <v>0</v>
      </c>
      <c r="AQ78" s="15">
        <v>1</v>
      </c>
      <c r="AR78" s="15">
        <v>1</v>
      </c>
      <c r="AS78" s="15">
        <v>0</v>
      </c>
      <c r="AT78" s="15">
        <v>0</v>
      </c>
      <c r="AU78" s="15">
        <v>1</v>
      </c>
      <c r="AV78" s="15">
        <v>0</v>
      </c>
      <c r="AW78" s="15">
        <v>0</v>
      </c>
      <c r="AX78" s="15">
        <v>1</v>
      </c>
      <c r="AY78" s="15">
        <v>0</v>
      </c>
      <c r="AZ78" s="15">
        <v>0</v>
      </c>
      <c r="BA78" s="15">
        <v>0</v>
      </c>
      <c r="BB78" s="15">
        <v>1</v>
      </c>
      <c r="BC78" s="15">
        <v>0</v>
      </c>
      <c r="BD78" s="15">
        <v>0</v>
      </c>
      <c r="BE78" s="15">
        <v>1</v>
      </c>
      <c r="BF78" s="15">
        <v>0</v>
      </c>
      <c r="BG78" s="15">
        <v>0</v>
      </c>
      <c r="BH78" s="15">
        <v>1</v>
      </c>
      <c r="BI78" s="15">
        <v>1</v>
      </c>
      <c r="BJ78" s="15">
        <v>0</v>
      </c>
      <c r="BK78" s="13">
        <f t="shared" si="13"/>
        <v>21</v>
      </c>
    </row>
    <row r="79" spans="1:63" ht="15" customHeight="1" x14ac:dyDescent="0.3">
      <c r="A79" s="14"/>
      <c r="B79" s="27"/>
      <c r="C79" s="28" t="s">
        <v>68</v>
      </c>
      <c r="D79" s="29"/>
      <c r="E79" s="15">
        <v>1</v>
      </c>
      <c r="F79" s="15">
        <v>3</v>
      </c>
      <c r="G79" s="15">
        <v>5</v>
      </c>
      <c r="H79" s="15">
        <v>3</v>
      </c>
      <c r="I79" s="15">
        <v>4</v>
      </c>
      <c r="J79" s="15">
        <v>8</v>
      </c>
      <c r="K79" s="15">
        <v>11</v>
      </c>
      <c r="L79" s="15">
        <v>26</v>
      </c>
      <c r="M79" s="15">
        <v>30</v>
      </c>
      <c r="N79" s="15">
        <v>45</v>
      </c>
      <c r="O79" s="15">
        <v>25</v>
      </c>
      <c r="P79" s="15">
        <v>5</v>
      </c>
      <c r="Q79" s="15">
        <v>10</v>
      </c>
      <c r="R79" s="15">
        <v>3</v>
      </c>
      <c r="S79" s="15">
        <v>1</v>
      </c>
      <c r="T79" s="15">
        <v>1</v>
      </c>
      <c r="U79" s="15">
        <v>2</v>
      </c>
      <c r="V79" s="15">
        <v>0</v>
      </c>
      <c r="W79" s="15">
        <v>0</v>
      </c>
      <c r="X79" s="15">
        <v>1</v>
      </c>
      <c r="Y79" s="15">
        <v>5</v>
      </c>
      <c r="Z79" s="15">
        <v>9</v>
      </c>
      <c r="AA79" s="15">
        <v>2</v>
      </c>
      <c r="AB79" s="15">
        <v>3</v>
      </c>
      <c r="AC79" s="15">
        <v>0</v>
      </c>
      <c r="AD79" s="15">
        <v>8</v>
      </c>
      <c r="AE79" s="15">
        <v>2</v>
      </c>
      <c r="AF79" s="15">
        <v>2</v>
      </c>
      <c r="AG79" s="15">
        <v>1</v>
      </c>
      <c r="AH79" s="15">
        <v>5</v>
      </c>
      <c r="AI79" s="15">
        <v>12</v>
      </c>
      <c r="AJ79" s="15">
        <v>5</v>
      </c>
      <c r="AK79" s="15">
        <v>10</v>
      </c>
      <c r="AL79" s="15">
        <v>5</v>
      </c>
      <c r="AM79" s="15">
        <v>9</v>
      </c>
      <c r="AN79" s="15">
        <v>0</v>
      </c>
      <c r="AO79" s="15">
        <v>0</v>
      </c>
      <c r="AP79" s="15">
        <v>4</v>
      </c>
      <c r="AQ79" s="15">
        <v>2</v>
      </c>
      <c r="AR79" s="15">
        <v>5</v>
      </c>
      <c r="AS79" s="15">
        <v>10</v>
      </c>
      <c r="AT79" s="15">
        <v>1</v>
      </c>
      <c r="AU79" s="15">
        <v>2</v>
      </c>
      <c r="AV79" s="15">
        <v>2</v>
      </c>
      <c r="AW79" s="15">
        <v>4</v>
      </c>
      <c r="AX79" s="15">
        <v>4</v>
      </c>
      <c r="AY79" s="15">
        <v>5</v>
      </c>
      <c r="AZ79" s="15">
        <v>3</v>
      </c>
      <c r="BA79" s="15">
        <v>0</v>
      </c>
      <c r="BB79" s="15">
        <v>0</v>
      </c>
      <c r="BC79" s="15">
        <v>1</v>
      </c>
      <c r="BD79" s="15">
        <v>3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3">
        <f t="shared" si="13"/>
        <v>308</v>
      </c>
    </row>
    <row r="80" spans="1:63" ht="12.75" customHeight="1" x14ac:dyDescent="0.3">
      <c r="A80" s="14"/>
      <c r="B80" s="27"/>
      <c r="C80" s="28" t="s">
        <v>69</v>
      </c>
      <c r="D80" s="29"/>
      <c r="E80" s="15">
        <v>0</v>
      </c>
      <c r="F80" s="15">
        <v>1</v>
      </c>
      <c r="G80" s="15">
        <v>1</v>
      </c>
      <c r="H80" s="15">
        <v>1</v>
      </c>
      <c r="I80" s="15">
        <v>5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1</v>
      </c>
      <c r="P80" s="15">
        <v>2</v>
      </c>
      <c r="Q80" s="15">
        <v>0</v>
      </c>
      <c r="R80" s="15">
        <v>0</v>
      </c>
      <c r="S80" s="15">
        <v>14</v>
      </c>
      <c r="T80" s="15">
        <v>5</v>
      </c>
      <c r="U80" s="15">
        <v>7</v>
      </c>
      <c r="V80" s="15">
        <v>2</v>
      </c>
      <c r="W80" s="15">
        <v>1</v>
      </c>
      <c r="X80" s="15">
        <v>1</v>
      </c>
      <c r="Y80" s="15">
        <v>2</v>
      </c>
      <c r="Z80" s="15">
        <v>0</v>
      </c>
      <c r="AA80" s="15">
        <v>0</v>
      </c>
      <c r="AB80" s="15">
        <v>0</v>
      </c>
      <c r="AC80" s="15">
        <v>0</v>
      </c>
      <c r="AD80" s="15">
        <v>1</v>
      </c>
      <c r="AE80" s="15">
        <v>0</v>
      </c>
      <c r="AF80" s="15">
        <v>9</v>
      </c>
      <c r="AG80" s="15">
        <v>0</v>
      </c>
      <c r="AH80" s="15">
        <v>3</v>
      </c>
      <c r="AI80" s="15">
        <v>0</v>
      </c>
      <c r="AJ80" s="15">
        <v>5</v>
      </c>
      <c r="AK80" s="15">
        <v>6</v>
      </c>
      <c r="AL80" s="15">
        <v>0</v>
      </c>
      <c r="AM80" s="15">
        <v>3</v>
      </c>
      <c r="AN80" s="15">
        <v>1</v>
      </c>
      <c r="AO80" s="15">
        <v>4</v>
      </c>
      <c r="AP80" s="15">
        <v>5</v>
      </c>
      <c r="AQ80" s="15">
        <v>2</v>
      </c>
      <c r="AR80" s="15">
        <v>4</v>
      </c>
      <c r="AS80" s="15">
        <v>3</v>
      </c>
      <c r="AT80" s="15">
        <v>0</v>
      </c>
      <c r="AU80" s="15">
        <v>28</v>
      </c>
      <c r="AV80" s="15">
        <v>22</v>
      </c>
      <c r="AW80" s="15">
        <v>12</v>
      </c>
      <c r="AX80" s="15">
        <v>9</v>
      </c>
      <c r="AY80" s="15">
        <v>6</v>
      </c>
      <c r="AZ80" s="15">
        <v>4</v>
      </c>
      <c r="BA80" s="15">
        <v>2</v>
      </c>
      <c r="BB80" s="15">
        <v>1</v>
      </c>
      <c r="BC80" s="15">
        <v>0</v>
      </c>
      <c r="BD80" s="15">
        <v>0</v>
      </c>
      <c r="BE80" s="15">
        <v>0</v>
      </c>
      <c r="BF80" s="15">
        <v>1</v>
      </c>
      <c r="BG80" s="15">
        <v>0</v>
      </c>
      <c r="BH80" s="15">
        <v>0</v>
      </c>
      <c r="BI80" s="15">
        <v>1</v>
      </c>
      <c r="BJ80" s="15">
        <v>0</v>
      </c>
      <c r="BK80" s="13">
        <f t="shared" si="13"/>
        <v>175</v>
      </c>
    </row>
    <row r="81" spans="1:63" ht="12.75" customHeight="1" x14ac:dyDescent="0.3">
      <c r="A81" s="14"/>
      <c r="B81" s="27"/>
      <c r="C81" s="28" t="s">
        <v>70</v>
      </c>
      <c r="D81" s="29"/>
      <c r="E81" s="15">
        <v>0</v>
      </c>
      <c r="F81" s="15">
        <v>0</v>
      </c>
      <c r="G81" s="15">
        <v>1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1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1</v>
      </c>
      <c r="AE81" s="15">
        <v>0</v>
      </c>
      <c r="AF81" s="15">
        <v>1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1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3">
        <f t="shared" si="13"/>
        <v>5</v>
      </c>
    </row>
    <row r="82" spans="1:63" ht="12.75" customHeight="1" x14ac:dyDescent="0.3">
      <c r="A82" s="14"/>
      <c r="B82" s="27"/>
      <c r="C82" s="28" t="s">
        <v>71</v>
      </c>
      <c r="D82" s="29"/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1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1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1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3">
        <f t="shared" si="13"/>
        <v>3</v>
      </c>
    </row>
    <row r="83" spans="1:63" ht="12.75" customHeight="1" x14ac:dyDescent="0.3">
      <c r="A83" s="15" t="s">
        <v>15</v>
      </c>
      <c r="B83" s="45" t="s">
        <v>47</v>
      </c>
      <c r="C83" s="46"/>
      <c r="D83" s="47"/>
      <c r="E83" s="34">
        <f t="shared" ref="E83:BJ83" si="17">SUM(E75:E82)</f>
        <v>9</v>
      </c>
      <c r="F83" s="34">
        <f t="shared" si="17"/>
        <v>10</v>
      </c>
      <c r="G83" s="34">
        <f t="shared" si="17"/>
        <v>17</v>
      </c>
      <c r="H83" s="34">
        <f t="shared" si="17"/>
        <v>11</v>
      </c>
      <c r="I83" s="34">
        <f t="shared" si="17"/>
        <v>20</v>
      </c>
      <c r="J83" s="34">
        <f t="shared" si="17"/>
        <v>13</v>
      </c>
      <c r="K83" s="34">
        <f t="shared" si="17"/>
        <v>22</v>
      </c>
      <c r="L83" s="34">
        <f t="shared" si="17"/>
        <v>33</v>
      </c>
      <c r="M83" s="34">
        <f t="shared" si="17"/>
        <v>45</v>
      </c>
      <c r="N83" s="34">
        <f t="shared" si="17"/>
        <v>55</v>
      </c>
      <c r="O83" s="34">
        <f t="shared" si="17"/>
        <v>39</v>
      </c>
      <c r="P83" s="34">
        <f t="shared" si="17"/>
        <v>21</v>
      </c>
      <c r="Q83" s="34">
        <f t="shared" si="17"/>
        <v>21</v>
      </c>
      <c r="R83" s="34">
        <f t="shared" si="17"/>
        <v>8</v>
      </c>
      <c r="S83" s="34">
        <f t="shared" si="17"/>
        <v>23</v>
      </c>
      <c r="T83" s="34">
        <f t="shared" si="17"/>
        <v>17</v>
      </c>
      <c r="U83" s="34">
        <f t="shared" si="17"/>
        <v>16</v>
      </c>
      <c r="V83" s="34">
        <f t="shared" si="17"/>
        <v>7</v>
      </c>
      <c r="W83" s="34">
        <f t="shared" si="17"/>
        <v>8</v>
      </c>
      <c r="X83" s="34">
        <f t="shared" si="17"/>
        <v>11</v>
      </c>
      <c r="Y83" s="34">
        <f t="shared" si="17"/>
        <v>16</v>
      </c>
      <c r="Z83" s="34">
        <f t="shared" si="17"/>
        <v>17</v>
      </c>
      <c r="AA83" s="34">
        <f t="shared" si="17"/>
        <v>14</v>
      </c>
      <c r="AB83" s="34">
        <f t="shared" si="17"/>
        <v>13</v>
      </c>
      <c r="AC83" s="34">
        <f t="shared" si="17"/>
        <v>7</v>
      </c>
      <c r="AD83" s="34">
        <f t="shared" si="17"/>
        <v>12</v>
      </c>
      <c r="AE83" s="34">
        <f t="shared" si="17"/>
        <v>6</v>
      </c>
      <c r="AF83" s="34">
        <f t="shared" si="17"/>
        <v>24</v>
      </c>
      <c r="AG83" s="34">
        <f t="shared" si="17"/>
        <v>8</v>
      </c>
      <c r="AH83" s="34">
        <f t="shared" si="17"/>
        <v>23</v>
      </c>
      <c r="AI83" s="34">
        <f t="shared" si="17"/>
        <v>30</v>
      </c>
      <c r="AJ83" s="34">
        <f t="shared" si="17"/>
        <v>21</v>
      </c>
      <c r="AK83" s="34">
        <f t="shared" si="17"/>
        <v>25</v>
      </c>
      <c r="AL83" s="34">
        <f t="shared" si="17"/>
        <v>11</v>
      </c>
      <c r="AM83" s="34">
        <f t="shared" si="17"/>
        <v>32</v>
      </c>
      <c r="AN83" s="34">
        <f t="shared" si="17"/>
        <v>21</v>
      </c>
      <c r="AO83" s="34">
        <f t="shared" si="17"/>
        <v>8</v>
      </c>
      <c r="AP83" s="34">
        <f t="shared" si="17"/>
        <v>15</v>
      </c>
      <c r="AQ83" s="34">
        <f t="shared" si="17"/>
        <v>21</v>
      </c>
      <c r="AR83" s="34">
        <f t="shared" si="17"/>
        <v>27</v>
      </c>
      <c r="AS83" s="34">
        <f t="shared" si="17"/>
        <v>22</v>
      </c>
      <c r="AT83" s="34">
        <f t="shared" si="17"/>
        <v>15</v>
      </c>
      <c r="AU83" s="34">
        <f t="shared" si="17"/>
        <v>42</v>
      </c>
      <c r="AV83" s="34">
        <f t="shared" si="17"/>
        <v>28</v>
      </c>
      <c r="AW83" s="34">
        <f t="shared" si="17"/>
        <v>32</v>
      </c>
      <c r="AX83" s="34">
        <f t="shared" si="17"/>
        <v>19</v>
      </c>
      <c r="AY83" s="34">
        <f t="shared" si="17"/>
        <v>19</v>
      </c>
      <c r="AZ83" s="34">
        <f t="shared" si="17"/>
        <v>14</v>
      </c>
      <c r="BA83" s="34">
        <f t="shared" si="17"/>
        <v>11</v>
      </c>
      <c r="BB83" s="34">
        <f t="shared" si="17"/>
        <v>9</v>
      </c>
      <c r="BC83" s="34">
        <f t="shared" si="17"/>
        <v>11</v>
      </c>
      <c r="BD83" s="34">
        <f t="shared" si="17"/>
        <v>5</v>
      </c>
      <c r="BE83" s="34">
        <f t="shared" si="17"/>
        <v>7</v>
      </c>
      <c r="BF83" s="34">
        <f t="shared" si="17"/>
        <v>13</v>
      </c>
      <c r="BG83" s="34">
        <f t="shared" si="17"/>
        <v>5</v>
      </c>
      <c r="BH83" s="34">
        <f t="shared" si="17"/>
        <v>8</v>
      </c>
      <c r="BI83" s="34">
        <f t="shared" si="17"/>
        <v>3</v>
      </c>
      <c r="BJ83" s="34">
        <f t="shared" si="17"/>
        <v>2</v>
      </c>
      <c r="BK83" s="13">
        <f t="shared" si="13"/>
        <v>1022</v>
      </c>
    </row>
    <row r="84" spans="1:63" ht="12.75" customHeight="1" x14ac:dyDescent="0.3">
      <c r="A84" s="35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13">
        <f t="shared" si="13"/>
        <v>0</v>
      </c>
    </row>
    <row r="85" spans="1:63" ht="12.75" customHeight="1" x14ac:dyDescent="0.3">
      <c r="A85" s="19" t="s">
        <v>37</v>
      </c>
      <c r="B85" s="26" t="s">
        <v>72</v>
      </c>
      <c r="C85" s="48" t="s">
        <v>73</v>
      </c>
      <c r="D85" s="47"/>
      <c r="E85" s="15">
        <v>1</v>
      </c>
      <c r="F85" s="15">
        <v>1</v>
      </c>
      <c r="G85" s="15">
        <v>2</v>
      </c>
      <c r="H85" s="15">
        <v>5</v>
      </c>
      <c r="I85" s="15">
        <v>0</v>
      </c>
      <c r="J85" s="15">
        <v>6</v>
      </c>
      <c r="K85" s="15">
        <v>4</v>
      </c>
      <c r="L85" s="15">
        <v>2</v>
      </c>
      <c r="M85" s="15">
        <v>0</v>
      </c>
      <c r="N85" s="15">
        <v>3</v>
      </c>
      <c r="O85" s="15">
        <v>0</v>
      </c>
      <c r="P85" s="15">
        <v>0</v>
      </c>
      <c r="Q85" s="15">
        <v>0</v>
      </c>
      <c r="R85" s="15">
        <v>2</v>
      </c>
      <c r="S85" s="15">
        <v>1</v>
      </c>
      <c r="T85" s="15">
        <v>2</v>
      </c>
      <c r="U85" s="15">
        <v>1</v>
      </c>
      <c r="V85" s="15">
        <v>0</v>
      </c>
      <c r="W85" s="15">
        <v>0</v>
      </c>
      <c r="X85" s="15">
        <v>2</v>
      </c>
      <c r="Y85" s="15">
        <v>0</v>
      </c>
      <c r="Z85" s="15">
        <v>1</v>
      </c>
      <c r="AA85" s="15">
        <v>0</v>
      </c>
      <c r="AB85" s="15">
        <v>0</v>
      </c>
      <c r="AC85" s="15">
        <v>1</v>
      </c>
      <c r="AD85" s="15">
        <v>0</v>
      </c>
      <c r="AE85" s="15">
        <v>1</v>
      </c>
      <c r="AF85" s="15">
        <v>3</v>
      </c>
      <c r="AG85" s="15">
        <v>0</v>
      </c>
      <c r="AH85" s="15">
        <v>0</v>
      </c>
      <c r="AI85" s="15">
        <v>1</v>
      </c>
      <c r="AJ85" s="15">
        <v>0</v>
      </c>
      <c r="AK85" s="15">
        <v>0</v>
      </c>
      <c r="AL85" s="15">
        <v>1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2</v>
      </c>
      <c r="AY85" s="15">
        <v>0</v>
      </c>
      <c r="AZ85" s="15">
        <v>0</v>
      </c>
      <c r="BA85" s="15">
        <v>0</v>
      </c>
      <c r="BB85" s="15">
        <v>0</v>
      </c>
      <c r="BC85" s="15">
        <v>3</v>
      </c>
      <c r="BD85" s="15">
        <v>0</v>
      </c>
      <c r="BE85" s="15">
        <v>1</v>
      </c>
      <c r="BF85" s="15">
        <v>0</v>
      </c>
      <c r="BG85" s="15">
        <v>2</v>
      </c>
      <c r="BH85" s="15">
        <v>1</v>
      </c>
      <c r="BI85" s="15">
        <v>2</v>
      </c>
      <c r="BJ85" s="15">
        <v>1</v>
      </c>
      <c r="BK85" s="13">
        <f t="shared" si="13"/>
        <v>52</v>
      </c>
    </row>
    <row r="86" spans="1:63" ht="12.75" customHeight="1" x14ac:dyDescent="0.3">
      <c r="A86" s="19" t="s">
        <v>39</v>
      </c>
      <c r="B86" s="27"/>
      <c r="C86" s="28" t="s">
        <v>74</v>
      </c>
      <c r="D86" s="29"/>
      <c r="E86" s="15">
        <v>1</v>
      </c>
      <c r="F86" s="15">
        <v>2</v>
      </c>
      <c r="G86" s="15">
        <v>0</v>
      </c>
      <c r="H86" s="15">
        <v>1</v>
      </c>
      <c r="I86" s="15">
        <v>0</v>
      </c>
      <c r="J86" s="15">
        <v>3</v>
      </c>
      <c r="K86" s="15">
        <v>1</v>
      </c>
      <c r="L86" s="15">
        <v>0</v>
      </c>
      <c r="M86" s="15">
        <v>0</v>
      </c>
      <c r="N86" s="15">
        <v>0</v>
      </c>
      <c r="O86" s="15">
        <v>1</v>
      </c>
      <c r="P86" s="15">
        <v>0</v>
      </c>
      <c r="Q86" s="15">
        <v>0</v>
      </c>
      <c r="R86" s="15">
        <v>2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1</v>
      </c>
      <c r="AE86" s="15">
        <v>0</v>
      </c>
      <c r="AF86" s="15">
        <v>0</v>
      </c>
      <c r="AG86" s="15">
        <v>0</v>
      </c>
      <c r="AH86" s="15">
        <v>0</v>
      </c>
      <c r="AI86" s="15">
        <v>2</v>
      </c>
      <c r="AJ86" s="15">
        <v>1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2</v>
      </c>
      <c r="AQ86" s="15">
        <v>1</v>
      </c>
      <c r="AR86" s="15">
        <v>1</v>
      </c>
      <c r="AS86" s="15">
        <v>1</v>
      </c>
      <c r="AT86" s="15">
        <v>0</v>
      </c>
      <c r="AU86" s="15">
        <v>1</v>
      </c>
      <c r="AV86" s="15">
        <v>0</v>
      </c>
      <c r="AW86" s="15">
        <v>0</v>
      </c>
      <c r="AX86" s="15">
        <v>0</v>
      </c>
      <c r="AY86" s="15">
        <v>1</v>
      </c>
      <c r="AZ86" s="15">
        <v>0</v>
      </c>
      <c r="BA86" s="15">
        <v>1</v>
      </c>
      <c r="BB86" s="15">
        <v>0</v>
      </c>
      <c r="BC86" s="15">
        <v>0</v>
      </c>
      <c r="BD86" s="15">
        <v>1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3">
        <f t="shared" si="13"/>
        <v>24</v>
      </c>
    </row>
    <row r="87" spans="1:63" ht="12.75" customHeight="1" x14ac:dyDescent="0.3">
      <c r="A87" s="14"/>
      <c r="B87" s="27"/>
      <c r="C87" s="28" t="s">
        <v>75</v>
      </c>
      <c r="D87" s="29"/>
      <c r="E87" s="15">
        <v>2</v>
      </c>
      <c r="F87" s="15">
        <v>1</v>
      </c>
      <c r="G87" s="15">
        <v>2</v>
      </c>
      <c r="H87" s="15">
        <v>0</v>
      </c>
      <c r="I87" s="15">
        <v>3</v>
      </c>
      <c r="J87" s="15">
        <v>28</v>
      </c>
      <c r="K87" s="15">
        <v>2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2</v>
      </c>
      <c r="R87" s="15">
        <v>0</v>
      </c>
      <c r="S87" s="15">
        <v>1</v>
      </c>
      <c r="T87" s="15">
        <v>1</v>
      </c>
      <c r="U87" s="15">
        <v>3</v>
      </c>
      <c r="V87" s="15">
        <v>4</v>
      </c>
      <c r="W87" s="15">
        <v>1</v>
      </c>
      <c r="X87" s="15">
        <v>0</v>
      </c>
      <c r="Y87" s="15">
        <v>6</v>
      </c>
      <c r="Z87" s="15">
        <v>0</v>
      </c>
      <c r="AA87" s="15">
        <v>0</v>
      </c>
      <c r="AB87" s="15">
        <v>1</v>
      </c>
      <c r="AC87" s="15">
        <v>0</v>
      </c>
      <c r="AD87" s="15">
        <v>1</v>
      </c>
      <c r="AE87" s="15">
        <v>1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3</v>
      </c>
      <c r="AQ87" s="15">
        <v>16</v>
      </c>
      <c r="AR87" s="15">
        <v>0</v>
      </c>
      <c r="AS87" s="15">
        <v>0</v>
      </c>
      <c r="AT87" s="15">
        <v>0</v>
      </c>
      <c r="AU87" s="15">
        <v>0</v>
      </c>
      <c r="AV87" s="15">
        <v>1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1</v>
      </c>
      <c r="BH87" s="15">
        <v>0</v>
      </c>
      <c r="BI87" s="15">
        <v>0</v>
      </c>
      <c r="BJ87" s="15">
        <v>0</v>
      </c>
      <c r="BK87" s="13">
        <f t="shared" si="13"/>
        <v>80</v>
      </c>
    </row>
    <row r="88" spans="1:63" ht="12.75" customHeight="1" x14ac:dyDescent="0.3">
      <c r="A88" s="14"/>
      <c r="B88" s="27"/>
      <c r="C88" s="28" t="s">
        <v>76</v>
      </c>
      <c r="D88" s="29"/>
      <c r="E88" s="15">
        <v>0</v>
      </c>
      <c r="F88" s="15">
        <v>1</v>
      </c>
      <c r="G88" s="15">
        <v>1</v>
      </c>
      <c r="H88" s="15">
        <v>0</v>
      </c>
      <c r="I88" s="15">
        <v>1</v>
      </c>
      <c r="J88" s="15">
        <v>0</v>
      </c>
      <c r="K88" s="15">
        <v>0</v>
      </c>
      <c r="L88" s="15">
        <v>1</v>
      </c>
      <c r="M88" s="15">
        <v>0</v>
      </c>
      <c r="N88" s="15">
        <v>0</v>
      </c>
      <c r="O88" s="15">
        <v>1</v>
      </c>
      <c r="P88" s="15">
        <v>0</v>
      </c>
      <c r="Q88" s="15">
        <v>0</v>
      </c>
      <c r="R88" s="15">
        <v>0</v>
      </c>
      <c r="S88" s="15">
        <v>3</v>
      </c>
      <c r="T88" s="15">
        <v>0</v>
      </c>
      <c r="U88" s="15">
        <v>2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1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1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1</v>
      </c>
      <c r="BI88" s="15">
        <v>0</v>
      </c>
      <c r="BJ88" s="15">
        <v>0</v>
      </c>
      <c r="BK88" s="13">
        <f t="shared" si="13"/>
        <v>13</v>
      </c>
    </row>
    <row r="89" spans="1:63" ht="12.75" customHeight="1" x14ac:dyDescent="0.3">
      <c r="A89" s="14"/>
      <c r="B89" s="27"/>
      <c r="C89" s="28" t="s">
        <v>77</v>
      </c>
      <c r="D89" s="29"/>
      <c r="E89" s="15">
        <v>0</v>
      </c>
      <c r="F89" s="15">
        <v>0</v>
      </c>
      <c r="G89" s="15">
        <v>0</v>
      </c>
      <c r="H89" s="15">
        <v>0</v>
      </c>
      <c r="I89" s="15">
        <v>1</v>
      </c>
      <c r="J89" s="15">
        <v>0</v>
      </c>
      <c r="K89" s="15">
        <v>0</v>
      </c>
      <c r="L89" s="15">
        <v>0</v>
      </c>
      <c r="M89" s="15">
        <v>0</v>
      </c>
      <c r="N89" s="15">
        <v>1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1</v>
      </c>
      <c r="AG89" s="15">
        <v>1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1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1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3">
        <f t="shared" si="13"/>
        <v>6</v>
      </c>
    </row>
    <row r="90" spans="1:63" ht="12.75" customHeight="1" x14ac:dyDescent="0.3">
      <c r="A90" s="14"/>
      <c r="B90" s="27"/>
      <c r="C90" s="28" t="s">
        <v>78</v>
      </c>
      <c r="D90" s="29"/>
      <c r="E90" s="15">
        <v>0</v>
      </c>
      <c r="F90" s="15">
        <v>1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1</v>
      </c>
      <c r="U90" s="15">
        <v>0</v>
      </c>
      <c r="V90" s="15">
        <v>0</v>
      </c>
      <c r="W90" s="15">
        <v>0</v>
      </c>
      <c r="X90" s="15">
        <v>0</v>
      </c>
      <c r="Y90" s="15">
        <v>3</v>
      </c>
      <c r="Z90" s="15">
        <v>2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1</v>
      </c>
      <c r="AL90" s="15">
        <v>0</v>
      </c>
      <c r="AM90" s="15">
        <v>1</v>
      </c>
      <c r="AN90" s="15">
        <v>3</v>
      </c>
      <c r="AO90" s="15">
        <v>1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2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2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3</v>
      </c>
      <c r="BJ90" s="15">
        <v>0</v>
      </c>
      <c r="BK90" s="13">
        <f t="shared" si="13"/>
        <v>20</v>
      </c>
    </row>
    <row r="91" spans="1:63" ht="15" customHeight="1" x14ac:dyDescent="0.3">
      <c r="A91" s="14"/>
      <c r="B91" s="27"/>
      <c r="C91" s="28" t="s">
        <v>79</v>
      </c>
      <c r="D91" s="29"/>
      <c r="E91" s="15">
        <v>0</v>
      </c>
      <c r="F91" s="15">
        <v>0</v>
      </c>
      <c r="G91" s="15">
        <v>1</v>
      </c>
      <c r="H91" s="15">
        <v>1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1</v>
      </c>
      <c r="S91" s="15">
        <v>0</v>
      </c>
      <c r="T91" s="15">
        <v>0</v>
      </c>
      <c r="U91" s="15">
        <v>0</v>
      </c>
      <c r="V91" s="15">
        <v>0</v>
      </c>
      <c r="W91" s="15">
        <v>1</v>
      </c>
      <c r="X91" s="15">
        <v>0</v>
      </c>
      <c r="Y91" s="15">
        <v>1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2</v>
      </c>
      <c r="AI91" s="15">
        <v>2</v>
      </c>
      <c r="AJ91" s="15">
        <v>0</v>
      </c>
      <c r="AK91" s="15">
        <v>2</v>
      </c>
      <c r="AL91" s="15">
        <v>0</v>
      </c>
      <c r="AM91" s="15">
        <v>2</v>
      </c>
      <c r="AN91" s="15">
        <v>0</v>
      </c>
      <c r="AO91" s="15">
        <v>1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1</v>
      </c>
      <c r="AV91" s="15">
        <v>0</v>
      </c>
      <c r="AW91" s="15">
        <v>0</v>
      </c>
      <c r="AX91" s="15">
        <v>1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1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3">
        <f t="shared" si="13"/>
        <v>17</v>
      </c>
    </row>
    <row r="92" spans="1:63" ht="12.75" customHeight="1" x14ac:dyDescent="0.3">
      <c r="A92" s="14"/>
      <c r="B92" s="27"/>
      <c r="C92" s="28" t="s">
        <v>80</v>
      </c>
      <c r="D92" s="29"/>
      <c r="E92" s="15">
        <v>8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1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1</v>
      </c>
      <c r="U92" s="15">
        <v>1</v>
      </c>
      <c r="V92" s="15">
        <v>1</v>
      </c>
      <c r="W92" s="15">
        <v>1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1</v>
      </c>
      <c r="AK92" s="15">
        <v>0</v>
      </c>
      <c r="AL92" s="15">
        <v>0</v>
      </c>
      <c r="AM92" s="15">
        <v>1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2</v>
      </c>
      <c r="AY92" s="15">
        <v>0</v>
      </c>
      <c r="AZ92" s="15">
        <v>0</v>
      </c>
      <c r="BA92" s="15">
        <v>0</v>
      </c>
      <c r="BB92" s="15">
        <v>0</v>
      </c>
      <c r="BC92" s="15">
        <v>3</v>
      </c>
      <c r="BD92" s="15">
        <v>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3">
        <f t="shared" si="13"/>
        <v>20</v>
      </c>
    </row>
    <row r="93" spans="1:63" ht="12.75" customHeight="1" x14ac:dyDescent="0.3">
      <c r="A93" s="15" t="s">
        <v>15</v>
      </c>
      <c r="B93" s="45" t="s">
        <v>47</v>
      </c>
      <c r="C93" s="46"/>
      <c r="D93" s="47"/>
      <c r="E93" s="34">
        <f t="shared" ref="E93:BJ93" si="18">SUM(E85:E92)</f>
        <v>12</v>
      </c>
      <c r="F93" s="34">
        <f t="shared" si="18"/>
        <v>6</v>
      </c>
      <c r="G93" s="34">
        <f t="shared" si="18"/>
        <v>6</v>
      </c>
      <c r="H93" s="34">
        <f t="shared" si="18"/>
        <v>7</v>
      </c>
      <c r="I93" s="34">
        <f t="shared" si="18"/>
        <v>5</v>
      </c>
      <c r="J93" s="34">
        <f t="shared" si="18"/>
        <v>37</v>
      </c>
      <c r="K93" s="34">
        <f t="shared" si="18"/>
        <v>7</v>
      </c>
      <c r="L93" s="34">
        <f t="shared" si="18"/>
        <v>4</v>
      </c>
      <c r="M93" s="34">
        <f t="shared" si="18"/>
        <v>0</v>
      </c>
      <c r="N93" s="34">
        <f t="shared" si="18"/>
        <v>4</v>
      </c>
      <c r="O93" s="34">
        <f t="shared" si="18"/>
        <v>2</v>
      </c>
      <c r="P93" s="34">
        <f t="shared" si="18"/>
        <v>0</v>
      </c>
      <c r="Q93" s="34">
        <f t="shared" si="18"/>
        <v>2</v>
      </c>
      <c r="R93" s="34">
        <f t="shared" si="18"/>
        <v>5</v>
      </c>
      <c r="S93" s="34">
        <f t="shared" si="18"/>
        <v>5</v>
      </c>
      <c r="T93" s="34">
        <f t="shared" si="18"/>
        <v>5</v>
      </c>
      <c r="U93" s="34">
        <f t="shared" si="18"/>
        <v>7</v>
      </c>
      <c r="V93" s="34">
        <f t="shared" si="18"/>
        <v>5</v>
      </c>
      <c r="W93" s="34">
        <f t="shared" si="18"/>
        <v>3</v>
      </c>
      <c r="X93" s="34">
        <f t="shared" si="18"/>
        <v>2</v>
      </c>
      <c r="Y93" s="34">
        <f t="shared" si="18"/>
        <v>10</v>
      </c>
      <c r="Z93" s="34">
        <f t="shared" si="18"/>
        <v>3</v>
      </c>
      <c r="AA93" s="34">
        <f t="shared" si="18"/>
        <v>1</v>
      </c>
      <c r="AB93" s="34">
        <f t="shared" si="18"/>
        <v>1</v>
      </c>
      <c r="AC93" s="34">
        <f t="shared" si="18"/>
        <v>1</v>
      </c>
      <c r="AD93" s="34">
        <f t="shared" si="18"/>
        <v>2</v>
      </c>
      <c r="AE93" s="34">
        <f t="shared" si="18"/>
        <v>2</v>
      </c>
      <c r="AF93" s="34">
        <f t="shared" si="18"/>
        <v>4</v>
      </c>
      <c r="AG93" s="34">
        <f t="shared" si="18"/>
        <v>1</v>
      </c>
      <c r="AH93" s="34">
        <f t="shared" si="18"/>
        <v>2</v>
      </c>
      <c r="AI93" s="34">
        <f t="shared" si="18"/>
        <v>5</v>
      </c>
      <c r="AJ93" s="34">
        <f t="shared" si="18"/>
        <v>2</v>
      </c>
      <c r="AK93" s="34">
        <f t="shared" si="18"/>
        <v>3</v>
      </c>
      <c r="AL93" s="34">
        <f t="shared" si="18"/>
        <v>1</v>
      </c>
      <c r="AM93" s="34">
        <f t="shared" si="18"/>
        <v>4</v>
      </c>
      <c r="AN93" s="34">
        <f t="shared" si="18"/>
        <v>3</v>
      </c>
      <c r="AO93" s="34">
        <f t="shared" si="18"/>
        <v>2</v>
      </c>
      <c r="AP93" s="34">
        <f t="shared" si="18"/>
        <v>6</v>
      </c>
      <c r="AQ93" s="34">
        <f t="shared" si="18"/>
        <v>18</v>
      </c>
      <c r="AR93" s="34">
        <f t="shared" si="18"/>
        <v>1</v>
      </c>
      <c r="AS93" s="34">
        <f t="shared" si="18"/>
        <v>1</v>
      </c>
      <c r="AT93" s="34">
        <f t="shared" si="18"/>
        <v>0</v>
      </c>
      <c r="AU93" s="34">
        <f t="shared" si="18"/>
        <v>2</v>
      </c>
      <c r="AV93" s="34">
        <f t="shared" si="18"/>
        <v>3</v>
      </c>
      <c r="AW93" s="34">
        <f t="shared" si="18"/>
        <v>0</v>
      </c>
      <c r="AX93" s="34">
        <f t="shared" si="18"/>
        <v>5</v>
      </c>
      <c r="AY93" s="34">
        <f t="shared" si="18"/>
        <v>1</v>
      </c>
      <c r="AZ93" s="34">
        <f t="shared" si="18"/>
        <v>0</v>
      </c>
      <c r="BA93" s="34">
        <f t="shared" si="18"/>
        <v>1</v>
      </c>
      <c r="BB93" s="34">
        <f t="shared" si="18"/>
        <v>2</v>
      </c>
      <c r="BC93" s="34">
        <f t="shared" si="18"/>
        <v>6</v>
      </c>
      <c r="BD93" s="34">
        <f t="shared" si="18"/>
        <v>1</v>
      </c>
      <c r="BE93" s="34">
        <f t="shared" si="18"/>
        <v>3</v>
      </c>
      <c r="BF93" s="34">
        <f t="shared" si="18"/>
        <v>0</v>
      </c>
      <c r="BG93" s="34">
        <f t="shared" si="18"/>
        <v>3</v>
      </c>
      <c r="BH93" s="34">
        <f t="shared" si="18"/>
        <v>2</v>
      </c>
      <c r="BI93" s="34">
        <f t="shared" si="18"/>
        <v>5</v>
      </c>
      <c r="BJ93" s="34">
        <f t="shared" si="18"/>
        <v>1</v>
      </c>
      <c r="BK93" s="13">
        <f t="shared" si="13"/>
        <v>232</v>
      </c>
    </row>
    <row r="94" spans="1:63" ht="12.75" customHeight="1" x14ac:dyDescent="0.3">
      <c r="A94" s="35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13">
        <f t="shared" si="13"/>
        <v>0</v>
      </c>
    </row>
    <row r="95" spans="1:63" ht="12.75" customHeight="1" x14ac:dyDescent="0.3">
      <c r="A95" s="19" t="s">
        <v>37</v>
      </c>
      <c r="B95" s="26" t="s">
        <v>81</v>
      </c>
      <c r="C95" s="48" t="s">
        <v>82</v>
      </c>
      <c r="D95" s="47"/>
      <c r="E95" s="15">
        <v>1</v>
      </c>
      <c r="F95" s="15">
        <v>0</v>
      </c>
      <c r="G95" s="15">
        <v>0</v>
      </c>
      <c r="H95" s="15">
        <v>0</v>
      </c>
      <c r="I95" s="15">
        <v>1</v>
      </c>
      <c r="J95" s="15">
        <v>1</v>
      </c>
      <c r="K95" s="15">
        <v>1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1</v>
      </c>
      <c r="AF95" s="15">
        <v>1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1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1</v>
      </c>
      <c r="AV95" s="15">
        <v>1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1</v>
      </c>
      <c r="BI95" s="15">
        <v>1</v>
      </c>
      <c r="BJ95" s="15">
        <v>0</v>
      </c>
      <c r="BK95" s="13">
        <f t="shared" si="13"/>
        <v>11</v>
      </c>
    </row>
    <row r="96" spans="1:63" ht="12.75" customHeight="1" x14ac:dyDescent="0.3">
      <c r="A96" s="19" t="s">
        <v>39</v>
      </c>
      <c r="B96" s="27"/>
      <c r="C96" s="28" t="s">
        <v>83</v>
      </c>
      <c r="D96" s="37"/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1</v>
      </c>
      <c r="N96" s="15">
        <v>0</v>
      </c>
      <c r="O96" s="15">
        <v>0</v>
      </c>
      <c r="P96" s="15">
        <v>0</v>
      </c>
      <c r="Q96" s="15">
        <v>1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1</v>
      </c>
      <c r="AB96" s="15">
        <v>0</v>
      </c>
      <c r="AC96" s="15">
        <v>0</v>
      </c>
      <c r="AD96" s="15">
        <v>1</v>
      </c>
      <c r="AE96" s="15">
        <v>0</v>
      </c>
      <c r="AF96" s="15">
        <v>0</v>
      </c>
      <c r="AG96" s="15">
        <v>0</v>
      </c>
      <c r="AH96" s="15">
        <v>1</v>
      </c>
      <c r="AI96" s="15">
        <v>1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1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2</v>
      </c>
      <c r="AV96" s="15">
        <v>0</v>
      </c>
      <c r="AW96" s="15">
        <v>0</v>
      </c>
      <c r="AX96" s="15">
        <v>0</v>
      </c>
      <c r="AY96" s="15">
        <v>0</v>
      </c>
      <c r="AZ96" s="15">
        <v>1</v>
      </c>
      <c r="BA96" s="15">
        <v>0</v>
      </c>
      <c r="BB96" s="15">
        <v>1</v>
      </c>
      <c r="BC96" s="15">
        <v>1</v>
      </c>
      <c r="BD96" s="15">
        <v>0</v>
      </c>
      <c r="BE96" s="15">
        <v>0</v>
      </c>
      <c r="BF96" s="15">
        <v>0</v>
      </c>
      <c r="BG96" s="15">
        <v>1</v>
      </c>
      <c r="BH96" s="15">
        <v>0</v>
      </c>
      <c r="BI96" s="15">
        <v>0</v>
      </c>
      <c r="BJ96" s="15">
        <v>0</v>
      </c>
      <c r="BK96" s="13">
        <f t="shared" si="13"/>
        <v>13</v>
      </c>
    </row>
    <row r="97" spans="1:63" ht="12.75" customHeight="1" x14ac:dyDescent="0.3">
      <c r="A97" s="15" t="s">
        <v>15</v>
      </c>
      <c r="B97" s="45" t="s">
        <v>47</v>
      </c>
      <c r="C97" s="46"/>
      <c r="D97" s="47"/>
      <c r="E97" s="34">
        <f t="shared" ref="E97:BJ97" si="19">SUM(E95:E96)</f>
        <v>1</v>
      </c>
      <c r="F97" s="34">
        <f t="shared" si="19"/>
        <v>0</v>
      </c>
      <c r="G97" s="34">
        <f t="shared" si="19"/>
        <v>0</v>
      </c>
      <c r="H97" s="34">
        <f t="shared" si="19"/>
        <v>0</v>
      </c>
      <c r="I97" s="34">
        <f t="shared" si="19"/>
        <v>1</v>
      </c>
      <c r="J97" s="34">
        <f t="shared" si="19"/>
        <v>1</v>
      </c>
      <c r="K97" s="34">
        <f t="shared" si="19"/>
        <v>1</v>
      </c>
      <c r="L97" s="34">
        <f t="shared" si="19"/>
        <v>0</v>
      </c>
      <c r="M97" s="34">
        <f t="shared" si="19"/>
        <v>1</v>
      </c>
      <c r="N97" s="34">
        <f t="shared" si="19"/>
        <v>0</v>
      </c>
      <c r="O97" s="34">
        <f t="shared" si="19"/>
        <v>0</v>
      </c>
      <c r="P97" s="34">
        <f t="shared" si="19"/>
        <v>0</v>
      </c>
      <c r="Q97" s="34">
        <f t="shared" si="19"/>
        <v>1</v>
      </c>
      <c r="R97" s="34">
        <f t="shared" si="19"/>
        <v>0</v>
      </c>
      <c r="S97" s="34">
        <f t="shared" si="19"/>
        <v>0</v>
      </c>
      <c r="T97" s="34">
        <f t="shared" si="19"/>
        <v>0</v>
      </c>
      <c r="U97" s="34">
        <f t="shared" si="19"/>
        <v>0</v>
      </c>
      <c r="V97" s="34">
        <f t="shared" si="19"/>
        <v>0</v>
      </c>
      <c r="W97" s="34">
        <f t="shared" si="19"/>
        <v>0</v>
      </c>
      <c r="X97" s="34">
        <f t="shared" si="19"/>
        <v>0</v>
      </c>
      <c r="Y97" s="34">
        <f t="shared" si="19"/>
        <v>0</v>
      </c>
      <c r="Z97" s="34">
        <f t="shared" si="19"/>
        <v>0</v>
      </c>
      <c r="AA97" s="34">
        <f t="shared" si="19"/>
        <v>1</v>
      </c>
      <c r="AB97" s="34">
        <f t="shared" si="19"/>
        <v>0</v>
      </c>
      <c r="AC97" s="34">
        <f t="shared" si="19"/>
        <v>0</v>
      </c>
      <c r="AD97" s="34">
        <f t="shared" si="19"/>
        <v>1</v>
      </c>
      <c r="AE97" s="34">
        <f t="shared" si="19"/>
        <v>1</v>
      </c>
      <c r="AF97" s="34">
        <f t="shared" si="19"/>
        <v>1</v>
      </c>
      <c r="AG97" s="34">
        <f t="shared" si="19"/>
        <v>0</v>
      </c>
      <c r="AH97" s="34">
        <f t="shared" si="19"/>
        <v>1</v>
      </c>
      <c r="AI97" s="34">
        <f t="shared" si="19"/>
        <v>1</v>
      </c>
      <c r="AJ97" s="34">
        <f t="shared" si="19"/>
        <v>0</v>
      </c>
      <c r="AK97" s="34">
        <f t="shared" si="19"/>
        <v>0</v>
      </c>
      <c r="AL97" s="34">
        <f t="shared" si="19"/>
        <v>1</v>
      </c>
      <c r="AM97" s="34">
        <f t="shared" si="19"/>
        <v>0</v>
      </c>
      <c r="AN97" s="34">
        <f t="shared" si="19"/>
        <v>0</v>
      </c>
      <c r="AO97" s="34">
        <f t="shared" si="19"/>
        <v>1</v>
      </c>
      <c r="AP97" s="34">
        <f t="shared" si="19"/>
        <v>0</v>
      </c>
      <c r="AQ97" s="34">
        <f t="shared" si="19"/>
        <v>0</v>
      </c>
      <c r="AR97" s="34">
        <f t="shared" si="19"/>
        <v>0</v>
      </c>
      <c r="AS97" s="34">
        <f t="shared" si="19"/>
        <v>0</v>
      </c>
      <c r="AT97" s="34">
        <f t="shared" si="19"/>
        <v>0</v>
      </c>
      <c r="AU97" s="34">
        <f t="shared" si="19"/>
        <v>3</v>
      </c>
      <c r="AV97" s="34">
        <f t="shared" si="19"/>
        <v>1</v>
      </c>
      <c r="AW97" s="34">
        <f t="shared" si="19"/>
        <v>0</v>
      </c>
      <c r="AX97" s="34">
        <f t="shared" si="19"/>
        <v>0</v>
      </c>
      <c r="AY97" s="34">
        <f t="shared" si="19"/>
        <v>0</v>
      </c>
      <c r="AZ97" s="34">
        <f t="shared" si="19"/>
        <v>1</v>
      </c>
      <c r="BA97" s="34">
        <f t="shared" si="19"/>
        <v>0</v>
      </c>
      <c r="BB97" s="34">
        <f t="shared" si="19"/>
        <v>1</v>
      </c>
      <c r="BC97" s="34">
        <f t="shared" si="19"/>
        <v>1</v>
      </c>
      <c r="BD97" s="34">
        <f t="shared" si="19"/>
        <v>0</v>
      </c>
      <c r="BE97" s="34">
        <f t="shared" si="19"/>
        <v>0</v>
      </c>
      <c r="BF97" s="34">
        <f t="shared" si="19"/>
        <v>0</v>
      </c>
      <c r="BG97" s="34">
        <f t="shared" si="19"/>
        <v>1</v>
      </c>
      <c r="BH97" s="34">
        <f t="shared" si="19"/>
        <v>1</v>
      </c>
      <c r="BI97" s="34">
        <f t="shared" si="19"/>
        <v>1</v>
      </c>
      <c r="BJ97" s="34">
        <f t="shared" si="19"/>
        <v>0</v>
      </c>
      <c r="BK97" s="13">
        <f t="shared" si="13"/>
        <v>24</v>
      </c>
    </row>
    <row r="98" spans="1:63" ht="12.75" customHeight="1" x14ac:dyDescent="0.3">
      <c r="A98" s="35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13">
        <f t="shared" si="13"/>
        <v>0</v>
      </c>
    </row>
    <row r="99" spans="1:63" ht="12.75" customHeight="1" x14ac:dyDescent="0.3">
      <c r="A99" s="19" t="s">
        <v>37</v>
      </c>
      <c r="B99" s="26" t="s">
        <v>84</v>
      </c>
      <c r="C99" s="48" t="s">
        <v>85</v>
      </c>
      <c r="D99" s="47"/>
      <c r="E99" s="15">
        <v>1</v>
      </c>
      <c r="F99" s="15">
        <v>0</v>
      </c>
      <c r="G99" s="15">
        <v>0</v>
      </c>
      <c r="H99" s="15">
        <v>1</v>
      </c>
      <c r="I99" s="15">
        <v>1</v>
      </c>
      <c r="J99" s="15">
        <v>1</v>
      </c>
      <c r="K99" s="15">
        <v>3</v>
      </c>
      <c r="L99" s="15">
        <v>1</v>
      </c>
      <c r="M99" s="15">
        <v>2</v>
      </c>
      <c r="N99" s="15">
        <v>2</v>
      </c>
      <c r="O99" s="15">
        <v>0</v>
      </c>
      <c r="P99" s="15">
        <v>3</v>
      </c>
      <c r="Q99" s="15">
        <v>1</v>
      </c>
      <c r="R99" s="15">
        <v>1</v>
      </c>
      <c r="S99" s="15">
        <v>0</v>
      </c>
      <c r="T99" s="15">
        <v>1</v>
      </c>
      <c r="U99" s="15">
        <v>2</v>
      </c>
      <c r="V99" s="15">
        <v>1</v>
      </c>
      <c r="W99" s="15">
        <v>0</v>
      </c>
      <c r="X99" s="15">
        <v>1</v>
      </c>
      <c r="Y99" s="15">
        <v>8</v>
      </c>
      <c r="Z99" s="15">
        <v>0</v>
      </c>
      <c r="AA99" s="15">
        <v>1</v>
      </c>
      <c r="AB99" s="15">
        <v>4</v>
      </c>
      <c r="AC99" s="15">
        <v>2</v>
      </c>
      <c r="AD99" s="15">
        <v>1</v>
      </c>
      <c r="AE99" s="15">
        <v>1</v>
      </c>
      <c r="AF99" s="15">
        <v>0</v>
      </c>
      <c r="AG99" s="15">
        <v>0</v>
      </c>
      <c r="AH99" s="15">
        <v>1</v>
      </c>
      <c r="AI99" s="15">
        <v>0</v>
      </c>
      <c r="AJ99" s="15">
        <v>0</v>
      </c>
      <c r="AK99" s="15">
        <v>2</v>
      </c>
      <c r="AL99" s="15">
        <v>0</v>
      </c>
      <c r="AM99" s="15">
        <v>2</v>
      </c>
      <c r="AN99" s="15">
        <v>0</v>
      </c>
      <c r="AO99" s="15">
        <v>0</v>
      </c>
      <c r="AP99" s="15">
        <v>2</v>
      </c>
      <c r="AQ99" s="15">
        <v>1</v>
      </c>
      <c r="AR99" s="15">
        <v>1</v>
      </c>
      <c r="AS99" s="15">
        <v>0</v>
      </c>
      <c r="AT99" s="15">
        <v>1</v>
      </c>
      <c r="AU99" s="15">
        <v>0</v>
      </c>
      <c r="AV99" s="15">
        <v>0</v>
      </c>
      <c r="AW99" s="15">
        <v>0</v>
      </c>
      <c r="AX99" s="15">
        <v>1</v>
      </c>
      <c r="AY99" s="15">
        <v>0</v>
      </c>
      <c r="AZ99" s="15">
        <v>1</v>
      </c>
      <c r="BA99" s="15">
        <v>0</v>
      </c>
      <c r="BB99" s="15">
        <v>0</v>
      </c>
      <c r="BC99" s="15">
        <v>0</v>
      </c>
      <c r="BD99" s="15">
        <v>0</v>
      </c>
      <c r="BE99" s="15">
        <v>1</v>
      </c>
      <c r="BF99" s="15">
        <v>0</v>
      </c>
      <c r="BG99" s="15">
        <v>2</v>
      </c>
      <c r="BH99" s="15">
        <v>1</v>
      </c>
      <c r="BI99" s="15">
        <v>0</v>
      </c>
      <c r="BJ99" s="15">
        <v>0</v>
      </c>
      <c r="BK99" s="13">
        <f t="shared" si="13"/>
        <v>55</v>
      </c>
    </row>
    <row r="100" spans="1:63" ht="12.75" customHeight="1" x14ac:dyDescent="0.3">
      <c r="A100" s="19" t="s">
        <v>39</v>
      </c>
      <c r="B100" s="27"/>
      <c r="C100" s="28" t="s">
        <v>86</v>
      </c>
      <c r="D100" s="29"/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1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3</v>
      </c>
      <c r="U100" s="15">
        <v>1</v>
      </c>
      <c r="V100" s="15">
        <v>0</v>
      </c>
      <c r="W100" s="15">
        <v>0</v>
      </c>
      <c r="X100" s="15">
        <v>2</v>
      </c>
      <c r="Y100" s="15">
        <v>1</v>
      </c>
      <c r="Z100" s="15">
        <v>1</v>
      </c>
      <c r="AA100" s="15">
        <v>0</v>
      </c>
      <c r="AB100" s="15">
        <v>0</v>
      </c>
      <c r="AC100" s="15">
        <v>0</v>
      </c>
      <c r="AD100" s="15">
        <v>0</v>
      </c>
      <c r="AE100" s="15">
        <v>2</v>
      </c>
      <c r="AF100" s="15">
        <v>1</v>
      </c>
      <c r="AG100" s="15">
        <v>0</v>
      </c>
      <c r="AH100" s="15">
        <v>1</v>
      </c>
      <c r="AI100" s="15">
        <v>1</v>
      </c>
      <c r="AJ100" s="15">
        <v>0</v>
      </c>
      <c r="AK100" s="15">
        <v>1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1</v>
      </c>
      <c r="AR100" s="15">
        <v>1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2</v>
      </c>
      <c r="BC100" s="15">
        <v>0</v>
      </c>
      <c r="BD100" s="15">
        <v>0</v>
      </c>
      <c r="BE100" s="15">
        <v>0</v>
      </c>
      <c r="BF100" s="15">
        <v>2</v>
      </c>
      <c r="BG100" s="15">
        <v>1</v>
      </c>
      <c r="BH100" s="15">
        <v>0</v>
      </c>
      <c r="BI100" s="15">
        <v>0</v>
      </c>
      <c r="BJ100" s="15">
        <v>0</v>
      </c>
      <c r="BK100" s="13">
        <f t="shared" si="13"/>
        <v>22</v>
      </c>
    </row>
    <row r="101" spans="1:63" ht="12.75" customHeight="1" x14ac:dyDescent="0.3">
      <c r="A101" s="15" t="s">
        <v>15</v>
      </c>
      <c r="B101" s="45" t="s">
        <v>47</v>
      </c>
      <c r="C101" s="46"/>
      <c r="D101" s="47"/>
      <c r="E101" s="34">
        <f t="shared" ref="E101:BJ101" si="20">SUM(E99:E100)</f>
        <v>1</v>
      </c>
      <c r="F101" s="34">
        <f t="shared" si="20"/>
        <v>0</v>
      </c>
      <c r="G101" s="34">
        <f t="shared" si="20"/>
        <v>0</v>
      </c>
      <c r="H101" s="34">
        <f t="shared" si="20"/>
        <v>1</v>
      </c>
      <c r="I101" s="34">
        <f t="shared" si="20"/>
        <v>1</v>
      </c>
      <c r="J101" s="34">
        <f t="shared" si="20"/>
        <v>1</v>
      </c>
      <c r="K101" s="34">
        <f t="shared" si="20"/>
        <v>3</v>
      </c>
      <c r="L101" s="34">
        <f t="shared" si="20"/>
        <v>1</v>
      </c>
      <c r="M101" s="34">
        <f t="shared" si="20"/>
        <v>3</v>
      </c>
      <c r="N101" s="34">
        <f t="shared" si="20"/>
        <v>2</v>
      </c>
      <c r="O101" s="34">
        <f t="shared" si="20"/>
        <v>0</v>
      </c>
      <c r="P101" s="34">
        <f t="shared" si="20"/>
        <v>3</v>
      </c>
      <c r="Q101" s="34">
        <f t="shared" si="20"/>
        <v>1</v>
      </c>
      <c r="R101" s="34">
        <f t="shared" si="20"/>
        <v>1</v>
      </c>
      <c r="S101" s="34">
        <f t="shared" si="20"/>
        <v>0</v>
      </c>
      <c r="T101" s="34">
        <f t="shared" si="20"/>
        <v>4</v>
      </c>
      <c r="U101" s="34">
        <f t="shared" si="20"/>
        <v>3</v>
      </c>
      <c r="V101" s="34">
        <f t="shared" si="20"/>
        <v>1</v>
      </c>
      <c r="W101" s="34">
        <f t="shared" si="20"/>
        <v>0</v>
      </c>
      <c r="X101" s="34">
        <f t="shared" si="20"/>
        <v>3</v>
      </c>
      <c r="Y101" s="34">
        <f t="shared" si="20"/>
        <v>9</v>
      </c>
      <c r="Z101" s="34">
        <f t="shared" si="20"/>
        <v>1</v>
      </c>
      <c r="AA101" s="34">
        <f t="shared" si="20"/>
        <v>1</v>
      </c>
      <c r="AB101" s="34">
        <f t="shared" si="20"/>
        <v>4</v>
      </c>
      <c r="AC101" s="34">
        <f t="shared" si="20"/>
        <v>2</v>
      </c>
      <c r="AD101" s="34">
        <f t="shared" si="20"/>
        <v>1</v>
      </c>
      <c r="AE101" s="34">
        <f t="shared" si="20"/>
        <v>3</v>
      </c>
      <c r="AF101" s="34">
        <f t="shared" si="20"/>
        <v>1</v>
      </c>
      <c r="AG101" s="34">
        <f t="shared" si="20"/>
        <v>0</v>
      </c>
      <c r="AH101" s="34">
        <f t="shared" si="20"/>
        <v>2</v>
      </c>
      <c r="AI101" s="34">
        <f t="shared" si="20"/>
        <v>1</v>
      </c>
      <c r="AJ101" s="34">
        <f t="shared" si="20"/>
        <v>0</v>
      </c>
      <c r="AK101" s="34">
        <f t="shared" si="20"/>
        <v>3</v>
      </c>
      <c r="AL101" s="34">
        <f t="shared" si="20"/>
        <v>0</v>
      </c>
      <c r="AM101" s="34">
        <f t="shared" si="20"/>
        <v>2</v>
      </c>
      <c r="AN101" s="34">
        <f t="shared" si="20"/>
        <v>0</v>
      </c>
      <c r="AO101" s="34">
        <f t="shared" si="20"/>
        <v>0</v>
      </c>
      <c r="AP101" s="34">
        <f t="shared" si="20"/>
        <v>2</v>
      </c>
      <c r="AQ101" s="34">
        <f t="shared" si="20"/>
        <v>2</v>
      </c>
      <c r="AR101" s="34">
        <f t="shared" si="20"/>
        <v>2</v>
      </c>
      <c r="AS101" s="34">
        <f t="shared" si="20"/>
        <v>0</v>
      </c>
      <c r="AT101" s="34">
        <f t="shared" si="20"/>
        <v>1</v>
      </c>
      <c r="AU101" s="34">
        <f t="shared" si="20"/>
        <v>0</v>
      </c>
      <c r="AV101" s="34">
        <f t="shared" si="20"/>
        <v>0</v>
      </c>
      <c r="AW101" s="34">
        <f t="shared" si="20"/>
        <v>0</v>
      </c>
      <c r="AX101" s="34">
        <f t="shared" si="20"/>
        <v>1</v>
      </c>
      <c r="AY101" s="34">
        <f t="shared" si="20"/>
        <v>0</v>
      </c>
      <c r="AZ101" s="34">
        <f t="shared" si="20"/>
        <v>1</v>
      </c>
      <c r="BA101" s="34">
        <f t="shared" si="20"/>
        <v>0</v>
      </c>
      <c r="BB101" s="34">
        <f t="shared" si="20"/>
        <v>2</v>
      </c>
      <c r="BC101" s="34">
        <f t="shared" si="20"/>
        <v>0</v>
      </c>
      <c r="BD101" s="34">
        <f t="shared" si="20"/>
        <v>0</v>
      </c>
      <c r="BE101" s="34">
        <f t="shared" si="20"/>
        <v>1</v>
      </c>
      <c r="BF101" s="34">
        <f t="shared" si="20"/>
        <v>2</v>
      </c>
      <c r="BG101" s="34">
        <f t="shared" si="20"/>
        <v>3</v>
      </c>
      <c r="BH101" s="34">
        <f t="shared" si="20"/>
        <v>1</v>
      </c>
      <c r="BI101" s="34">
        <f t="shared" si="20"/>
        <v>0</v>
      </c>
      <c r="BJ101" s="34">
        <f t="shared" si="20"/>
        <v>0</v>
      </c>
      <c r="BK101" s="13">
        <f t="shared" si="13"/>
        <v>77</v>
      </c>
    </row>
    <row r="102" spans="1:63" ht="12.75" customHeight="1" x14ac:dyDescent="0.3">
      <c r="A102" s="35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13">
        <f t="shared" si="13"/>
        <v>0</v>
      </c>
    </row>
    <row r="103" spans="1:63" ht="15" customHeight="1" x14ac:dyDescent="0.3">
      <c r="A103" s="19" t="s">
        <v>37</v>
      </c>
      <c r="B103" s="26" t="s">
        <v>87</v>
      </c>
      <c r="C103" s="48" t="s">
        <v>88</v>
      </c>
      <c r="D103" s="47"/>
      <c r="E103" s="15">
        <v>3</v>
      </c>
      <c r="F103" s="15">
        <v>8</v>
      </c>
      <c r="G103" s="15">
        <v>2</v>
      </c>
      <c r="H103" s="15">
        <v>2</v>
      </c>
      <c r="I103" s="15">
        <v>6</v>
      </c>
      <c r="J103" s="15">
        <v>3</v>
      </c>
      <c r="K103" s="15">
        <v>0</v>
      </c>
      <c r="L103" s="15">
        <v>10</v>
      </c>
      <c r="M103" s="15">
        <v>4</v>
      </c>
      <c r="N103" s="15">
        <v>1</v>
      </c>
      <c r="O103" s="15">
        <v>0</v>
      </c>
      <c r="P103" s="15">
        <v>1</v>
      </c>
      <c r="Q103" s="15">
        <v>3</v>
      </c>
      <c r="R103" s="15">
        <v>4</v>
      </c>
      <c r="S103" s="15">
        <v>5</v>
      </c>
      <c r="T103" s="15">
        <v>7</v>
      </c>
      <c r="U103" s="15">
        <v>6</v>
      </c>
      <c r="V103" s="15">
        <v>3</v>
      </c>
      <c r="W103" s="15">
        <v>1</v>
      </c>
      <c r="X103" s="15">
        <v>4</v>
      </c>
      <c r="Y103" s="15">
        <v>1</v>
      </c>
      <c r="Z103" s="15">
        <v>3</v>
      </c>
      <c r="AA103" s="15">
        <v>2</v>
      </c>
      <c r="AB103" s="15">
        <v>1</v>
      </c>
      <c r="AC103" s="15">
        <v>4</v>
      </c>
      <c r="AD103" s="15">
        <v>2</v>
      </c>
      <c r="AE103" s="15">
        <v>2</v>
      </c>
      <c r="AF103" s="15">
        <v>3</v>
      </c>
      <c r="AG103" s="15">
        <v>1</v>
      </c>
      <c r="AH103" s="15">
        <v>0</v>
      </c>
      <c r="AI103" s="15">
        <v>2</v>
      </c>
      <c r="AJ103" s="15">
        <v>3</v>
      </c>
      <c r="AK103" s="15">
        <v>2</v>
      </c>
      <c r="AL103" s="15">
        <v>8</v>
      </c>
      <c r="AM103" s="15">
        <v>1</v>
      </c>
      <c r="AN103" s="15">
        <v>1</v>
      </c>
      <c r="AO103" s="15">
        <v>0</v>
      </c>
      <c r="AP103" s="15">
        <v>3</v>
      </c>
      <c r="AQ103" s="15">
        <v>2</v>
      </c>
      <c r="AR103" s="15">
        <v>7</v>
      </c>
      <c r="AS103" s="15">
        <v>2</v>
      </c>
      <c r="AT103" s="15">
        <v>8</v>
      </c>
      <c r="AU103" s="15">
        <v>4</v>
      </c>
      <c r="AV103" s="15">
        <v>2</v>
      </c>
      <c r="AW103" s="15">
        <v>13</v>
      </c>
      <c r="AX103" s="15">
        <v>8</v>
      </c>
      <c r="AY103" s="15">
        <v>2</v>
      </c>
      <c r="AZ103" s="15">
        <v>6</v>
      </c>
      <c r="BA103" s="15">
        <v>4</v>
      </c>
      <c r="BB103" s="15">
        <v>2</v>
      </c>
      <c r="BC103" s="15">
        <v>3</v>
      </c>
      <c r="BD103" s="15">
        <v>1</v>
      </c>
      <c r="BE103" s="15">
        <v>0</v>
      </c>
      <c r="BF103" s="15">
        <v>0</v>
      </c>
      <c r="BG103" s="15">
        <v>8</v>
      </c>
      <c r="BH103" s="15">
        <v>1</v>
      </c>
      <c r="BI103" s="15">
        <v>0</v>
      </c>
      <c r="BJ103" s="15">
        <v>1</v>
      </c>
      <c r="BK103" s="13">
        <f t="shared" si="13"/>
        <v>186</v>
      </c>
    </row>
    <row r="104" spans="1:63" ht="12.75" customHeight="1" x14ac:dyDescent="0.3">
      <c r="A104" s="19" t="s">
        <v>39</v>
      </c>
      <c r="B104" s="27"/>
      <c r="C104" s="28" t="s">
        <v>89</v>
      </c>
      <c r="D104" s="29"/>
      <c r="E104" s="15">
        <v>39</v>
      </c>
      <c r="F104" s="15">
        <v>60</v>
      </c>
      <c r="G104" s="15">
        <v>34</v>
      </c>
      <c r="H104" s="15">
        <v>16</v>
      </c>
      <c r="I104" s="15">
        <v>9</v>
      </c>
      <c r="J104" s="15">
        <v>13</v>
      </c>
      <c r="K104" s="15">
        <v>17</v>
      </c>
      <c r="L104" s="15">
        <v>44</v>
      </c>
      <c r="M104" s="15">
        <v>8</v>
      </c>
      <c r="N104" s="15">
        <v>7</v>
      </c>
      <c r="O104" s="15">
        <v>17</v>
      </c>
      <c r="P104" s="15">
        <v>19</v>
      </c>
      <c r="Q104" s="15">
        <v>17</v>
      </c>
      <c r="R104" s="15">
        <v>34</v>
      </c>
      <c r="S104" s="15">
        <v>25</v>
      </c>
      <c r="T104" s="15">
        <v>24</v>
      </c>
      <c r="U104" s="15">
        <v>22</v>
      </c>
      <c r="V104" s="15">
        <v>13</v>
      </c>
      <c r="W104" s="15">
        <v>34</v>
      </c>
      <c r="X104" s="15">
        <v>34</v>
      </c>
      <c r="Y104" s="15">
        <v>0</v>
      </c>
      <c r="Z104" s="15">
        <v>2</v>
      </c>
      <c r="AA104" s="15">
        <v>37</v>
      </c>
      <c r="AB104" s="15">
        <v>10</v>
      </c>
      <c r="AC104" s="15">
        <v>14</v>
      </c>
      <c r="AD104" s="15">
        <v>19</v>
      </c>
      <c r="AE104" s="15">
        <v>6</v>
      </c>
      <c r="AF104" s="15">
        <v>56</v>
      </c>
      <c r="AG104" s="15">
        <v>23</v>
      </c>
      <c r="AH104" s="15">
        <v>23</v>
      </c>
      <c r="AI104" s="15">
        <v>16</v>
      </c>
      <c r="AJ104" s="15">
        <v>30</v>
      </c>
      <c r="AK104" s="15">
        <v>34</v>
      </c>
      <c r="AL104" s="15">
        <v>46</v>
      </c>
      <c r="AM104" s="15">
        <v>7</v>
      </c>
      <c r="AN104" s="15">
        <v>16</v>
      </c>
      <c r="AO104" s="15">
        <v>18</v>
      </c>
      <c r="AP104" s="15">
        <v>29</v>
      </c>
      <c r="AQ104" s="15">
        <v>21</v>
      </c>
      <c r="AR104" s="15">
        <v>48</v>
      </c>
      <c r="AS104" s="15">
        <v>56</v>
      </c>
      <c r="AT104" s="15">
        <v>73</v>
      </c>
      <c r="AU104" s="15">
        <v>89</v>
      </c>
      <c r="AV104" s="15">
        <v>44</v>
      </c>
      <c r="AW104" s="15">
        <v>72</v>
      </c>
      <c r="AX104" s="15">
        <v>89</v>
      </c>
      <c r="AY104" s="15">
        <v>51</v>
      </c>
      <c r="AZ104" s="15">
        <v>15</v>
      </c>
      <c r="BA104" s="15">
        <v>23</v>
      </c>
      <c r="BB104" s="15">
        <v>33</v>
      </c>
      <c r="BC104" s="15">
        <v>21</v>
      </c>
      <c r="BD104" s="15">
        <v>38</v>
      </c>
      <c r="BE104" s="15">
        <v>22</v>
      </c>
      <c r="BF104" s="15">
        <v>2</v>
      </c>
      <c r="BG104" s="15">
        <v>31</v>
      </c>
      <c r="BH104" s="15">
        <v>15</v>
      </c>
      <c r="BI104" s="15">
        <v>10</v>
      </c>
      <c r="BJ104" s="15">
        <v>2</v>
      </c>
      <c r="BK104" s="13">
        <f t="shared" si="13"/>
        <v>1627</v>
      </c>
    </row>
    <row r="105" spans="1:63" ht="12.75" customHeight="1" x14ac:dyDescent="0.3">
      <c r="A105" s="14"/>
      <c r="B105" s="27"/>
      <c r="C105" s="28" t="s">
        <v>90</v>
      </c>
      <c r="D105" s="29"/>
      <c r="E105" s="15">
        <v>1</v>
      </c>
      <c r="F105" s="15">
        <v>0</v>
      </c>
      <c r="G105" s="15">
        <v>1</v>
      </c>
      <c r="H105" s="15">
        <v>0</v>
      </c>
      <c r="I105" s="15">
        <v>0</v>
      </c>
      <c r="J105" s="15">
        <v>1</v>
      </c>
      <c r="K105" s="15">
        <v>2</v>
      </c>
      <c r="L105" s="15">
        <v>1</v>
      </c>
      <c r="M105" s="15">
        <v>1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4</v>
      </c>
      <c r="T105" s="15">
        <v>1</v>
      </c>
      <c r="U105" s="15">
        <v>1</v>
      </c>
      <c r="V105" s="15">
        <v>0</v>
      </c>
      <c r="W105" s="15">
        <v>0</v>
      </c>
      <c r="X105" s="15">
        <v>0</v>
      </c>
      <c r="Y105" s="15">
        <v>2</v>
      </c>
      <c r="Z105" s="15">
        <v>2</v>
      </c>
      <c r="AA105" s="15">
        <v>2</v>
      </c>
      <c r="AB105" s="15">
        <v>0</v>
      </c>
      <c r="AC105" s="15">
        <v>0</v>
      </c>
      <c r="AD105" s="15">
        <v>0</v>
      </c>
      <c r="AE105" s="15">
        <v>1</v>
      </c>
      <c r="AF105" s="15">
        <v>4</v>
      </c>
      <c r="AG105" s="15">
        <v>1</v>
      </c>
      <c r="AH105" s="15">
        <v>4</v>
      </c>
      <c r="AI105" s="15">
        <v>0</v>
      </c>
      <c r="AJ105" s="15">
        <v>0</v>
      </c>
      <c r="AK105" s="15">
        <v>4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1</v>
      </c>
      <c r="AX105" s="15">
        <v>0</v>
      </c>
      <c r="AY105" s="15">
        <v>1</v>
      </c>
      <c r="AZ105" s="15">
        <v>1</v>
      </c>
      <c r="BA105" s="15">
        <v>3</v>
      </c>
      <c r="BB105" s="15">
        <v>2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1</v>
      </c>
      <c r="BJ105" s="15">
        <v>1</v>
      </c>
      <c r="BK105" s="13">
        <f t="shared" si="13"/>
        <v>43</v>
      </c>
    </row>
    <row r="106" spans="1:63" ht="12.75" customHeight="1" x14ac:dyDescent="0.3">
      <c r="A106" s="14"/>
      <c r="B106" s="27"/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0</v>
      </c>
      <c r="I106" s="15">
        <v>1</v>
      </c>
      <c r="J106" s="15">
        <v>0</v>
      </c>
      <c r="K106" s="15">
        <v>0</v>
      </c>
      <c r="L106" s="15">
        <v>1</v>
      </c>
      <c r="M106" s="15">
        <v>2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1</v>
      </c>
      <c r="T106" s="15">
        <v>1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1</v>
      </c>
      <c r="AD106" s="15">
        <v>0</v>
      </c>
      <c r="AE106" s="15">
        <v>0</v>
      </c>
      <c r="AF106" s="15">
        <v>0</v>
      </c>
      <c r="AG106" s="15">
        <v>1</v>
      </c>
      <c r="AH106" s="15">
        <v>0</v>
      </c>
      <c r="AI106" s="15">
        <v>1</v>
      </c>
      <c r="AJ106" s="15">
        <v>1</v>
      </c>
      <c r="AK106" s="15">
        <v>2</v>
      </c>
      <c r="AL106" s="15">
        <v>0</v>
      </c>
      <c r="AM106" s="15">
        <v>0</v>
      </c>
      <c r="AN106" s="15">
        <v>0</v>
      </c>
      <c r="AO106" s="15">
        <v>0</v>
      </c>
      <c r="AP106" s="15">
        <v>1</v>
      </c>
      <c r="AQ106" s="15">
        <v>2</v>
      </c>
      <c r="AR106" s="15">
        <v>0</v>
      </c>
      <c r="AS106" s="15">
        <v>0</v>
      </c>
      <c r="AT106" s="15">
        <v>0</v>
      </c>
      <c r="AU106" s="15">
        <v>1</v>
      </c>
      <c r="AV106" s="15">
        <v>1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2</v>
      </c>
      <c r="BH106" s="15">
        <v>1</v>
      </c>
      <c r="BI106" s="15">
        <v>0</v>
      </c>
      <c r="BJ106" s="15">
        <v>0</v>
      </c>
      <c r="BK106" s="13">
        <f t="shared" si="13"/>
        <v>20</v>
      </c>
    </row>
    <row r="107" spans="1:63" ht="12.75" customHeight="1" x14ac:dyDescent="0.3">
      <c r="A107" s="14"/>
      <c r="B107" s="27"/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1</v>
      </c>
      <c r="S107" s="15">
        <v>1</v>
      </c>
      <c r="T107" s="15">
        <v>1</v>
      </c>
      <c r="U107" s="15">
        <v>0</v>
      </c>
      <c r="V107" s="15">
        <v>0</v>
      </c>
      <c r="W107" s="15">
        <v>1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1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1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1</v>
      </c>
      <c r="AZ107" s="15">
        <v>0</v>
      </c>
      <c r="BA107" s="15">
        <v>0</v>
      </c>
      <c r="BB107" s="15">
        <v>0</v>
      </c>
      <c r="BC107" s="15">
        <v>1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3">
        <f t="shared" si="13"/>
        <v>8</v>
      </c>
    </row>
    <row r="108" spans="1:63" ht="12.75" customHeight="1" x14ac:dyDescent="0.3">
      <c r="A108" s="14"/>
      <c r="B108" s="27"/>
      <c r="C108" s="28" t="s">
        <v>93</v>
      </c>
      <c r="D108" s="29"/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2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2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2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1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1</v>
      </c>
      <c r="AT108" s="15">
        <v>0</v>
      </c>
      <c r="AU108" s="15">
        <v>0</v>
      </c>
      <c r="AV108" s="15">
        <v>2</v>
      </c>
      <c r="AW108" s="15">
        <v>0</v>
      </c>
      <c r="AX108" s="15">
        <v>0</v>
      </c>
      <c r="AY108" s="15">
        <v>1</v>
      </c>
      <c r="AZ108" s="15">
        <v>0</v>
      </c>
      <c r="BA108" s="15">
        <v>0</v>
      </c>
      <c r="BB108" s="15">
        <v>1</v>
      </c>
      <c r="BC108" s="15">
        <v>1</v>
      </c>
      <c r="BD108" s="15">
        <v>0</v>
      </c>
      <c r="BE108" s="15">
        <v>0</v>
      </c>
      <c r="BF108" s="15">
        <v>2</v>
      </c>
      <c r="BG108" s="15">
        <v>1</v>
      </c>
      <c r="BH108" s="15">
        <v>0</v>
      </c>
      <c r="BI108" s="15">
        <v>0</v>
      </c>
      <c r="BJ108" s="15">
        <v>0</v>
      </c>
      <c r="BK108" s="13">
        <f t="shared" si="13"/>
        <v>16</v>
      </c>
    </row>
    <row r="109" spans="1:63" ht="12.75" customHeight="1" x14ac:dyDescent="0.3">
      <c r="A109" s="14"/>
      <c r="B109" s="27"/>
      <c r="C109" s="28" t="s">
        <v>94</v>
      </c>
      <c r="D109" s="29"/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1</v>
      </c>
      <c r="U109" s="15">
        <v>0</v>
      </c>
      <c r="V109" s="15">
        <v>0</v>
      </c>
      <c r="W109" s="15">
        <v>1</v>
      </c>
      <c r="X109" s="15">
        <v>0</v>
      </c>
      <c r="Y109" s="15">
        <v>0</v>
      </c>
      <c r="Z109" s="15">
        <v>0</v>
      </c>
      <c r="AA109" s="15">
        <v>1</v>
      </c>
      <c r="AB109" s="15">
        <v>0</v>
      </c>
      <c r="AC109" s="15">
        <v>0</v>
      </c>
      <c r="AD109" s="15">
        <v>1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1</v>
      </c>
      <c r="AO109" s="15">
        <v>0</v>
      </c>
      <c r="AP109" s="15">
        <v>0</v>
      </c>
      <c r="AQ109" s="15">
        <v>0</v>
      </c>
      <c r="AR109" s="15">
        <v>2</v>
      </c>
      <c r="AS109" s="15">
        <v>0</v>
      </c>
      <c r="AT109" s="15">
        <v>0</v>
      </c>
      <c r="AU109" s="15">
        <v>0</v>
      </c>
      <c r="AV109" s="15">
        <v>1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1</v>
      </c>
      <c r="BC109" s="15">
        <v>0</v>
      </c>
      <c r="BD109" s="15">
        <v>0</v>
      </c>
      <c r="BE109" s="15">
        <v>0</v>
      </c>
      <c r="BF109" s="15">
        <v>0</v>
      </c>
      <c r="BG109" s="15">
        <v>1</v>
      </c>
      <c r="BH109" s="15">
        <v>6</v>
      </c>
      <c r="BI109" s="15">
        <v>0</v>
      </c>
      <c r="BJ109" s="15">
        <v>1</v>
      </c>
      <c r="BK109" s="13">
        <f t="shared" si="13"/>
        <v>17</v>
      </c>
    </row>
    <row r="110" spans="1:63" ht="12.75" customHeight="1" x14ac:dyDescent="0.3">
      <c r="A110" s="14"/>
      <c r="B110" s="27"/>
      <c r="C110" s="28" t="s">
        <v>95</v>
      </c>
      <c r="D110" s="29"/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1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1</v>
      </c>
      <c r="AU110" s="15">
        <v>0</v>
      </c>
      <c r="AV110" s="15">
        <v>0</v>
      </c>
      <c r="AW110" s="15">
        <v>0</v>
      </c>
      <c r="AX110" s="15">
        <v>0</v>
      </c>
      <c r="AY110" s="15">
        <v>1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1</v>
      </c>
      <c r="BF110" s="15">
        <v>0</v>
      </c>
      <c r="BG110" s="15">
        <v>0</v>
      </c>
      <c r="BH110" s="15">
        <v>0</v>
      </c>
      <c r="BI110" s="15">
        <v>0</v>
      </c>
      <c r="BJ110" s="15">
        <v>0</v>
      </c>
      <c r="BK110" s="13">
        <f t="shared" si="13"/>
        <v>4</v>
      </c>
    </row>
    <row r="111" spans="1:63" ht="12.75" customHeight="1" x14ac:dyDescent="0.3">
      <c r="A111" s="15" t="s">
        <v>15</v>
      </c>
      <c r="B111" s="45" t="s">
        <v>47</v>
      </c>
      <c r="C111" s="46"/>
      <c r="D111" s="47"/>
      <c r="E111" s="34">
        <f t="shared" ref="E111:BJ111" si="21">SUM(E103:E110)</f>
        <v>43</v>
      </c>
      <c r="F111" s="34">
        <f t="shared" si="21"/>
        <v>68</v>
      </c>
      <c r="G111" s="34">
        <f t="shared" si="21"/>
        <v>37</v>
      </c>
      <c r="H111" s="34">
        <f t="shared" si="21"/>
        <v>18</v>
      </c>
      <c r="I111" s="34">
        <f t="shared" si="21"/>
        <v>16</v>
      </c>
      <c r="J111" s="34">
        <f t="shared" si="21"/>
        <v>17</v>
      </c>
      <c r="K111" s="34">
        <f t="shared" si="21"/>
        <v>21</v>
      </c>
      <c r="L111" s="34">
        <f t="shared" si="21"/>
        <v>56</v>
      </c>
      <c r="M111" s="34">
        <f t="shared" si="21"/>
        <v>15</v>
      </c>
      <c r="N111" s="34">
        <f t="shared" si="21"/>
        <v>8</v>
      </c>
      <c r="O111" s="34">
        <f t="shared" si="21"/>
        <v>17</v>
      </c>
      <c r="P111" s="34">
        <f t="shared" si="21"/>
        <v>20</v>
      </c>
      <c r="Q111" s="34">
        <f t="shared" si="21"/>
        <v>20</v>
      </c>
      <c r="R111" s="34">
        <f t="shared" si="21"/>
        <v>39</v>
      </c>
      <c r="S111" s="34">
        <f t="shared" si="21"/>
        <v>38</v>
      </c>
      <c r="T111" s="34">
        <f t="shared" si="21"/>
        <v>35</v>
      </c>
      <c r="U111" s="34">
        <f t="shared" si="21"/>
        <v>29</v>
      </c>
      <c r="V111" s="34">
        <f t="shared" si="21"/>
        <v>16</v>
      </c>
      <c r="W111" s="34">
        <f t="shared" si="21"/>
        <v>37</v>
      </c>
      <c r="X111" s="34">
        <f t="shared" si="21"/>
        <v>38</v>
      </c>
      <c r="Y111" s="34">
        <f t="shared" si="21"/>
        <v>4</v>
      </c>
      <c r="Z111" s="34">
        <f t="shared" si="21"/>
        <v>7</v>
      </c>
      <c r="AA111" s="34">
        <f t="shared" si="21"/>
        <v>44</v>
      </c>
      <c r="AB111" s="34">
        <f t="shared" si="21"/>
        <v>11</v>
      </c>
      <c r="AC111" s="34">
        <f t="shared" si="21"/>
        <v>19</v>
      </c>
      <c r="AD111" s="34">
        <f t="shared" si="21"/>
        <v>22</v>
      </c>
      <c r="AE111" s="34">
        <f t="shared" si="21"/>
        <v>9</v>
      </c>
      <c r="AF111" s="34">
        <f t="shared" si="21"/>
        <v>63</v>
      </c>
      <c r="AG111" s="34">
        <f t="shared" si="21"/>
        <v>27</v>
      </c>
      <c r="AH111" s="34">
        <f t="shared" si="21"/>
        <v>27</v>
      </c>
      <c r="AI111" s="34">
        <f t="shared" si="21"/>
        <v>19</v>
      </c>
      <c r="AJ111" s="34">
        <f t="shared" si="21"/>
        <v>34</v>
      </c>
      <c r="AK111" s="34">
        <f t="shared" si="21"/>
        <v>42</v>
      </c>
      <c r="AL111" s="34">
        <f t="shared" si="21"/>
        <v>54</v>
      </c>
      <c r="AM111" s="34">
        <f t="shared" si="21"/>
        <v>9</v>
      </c>
      <c r="AN111" s="34">
        <f t="shared" si="21"/>
        <v>18</v>
      </c>
      <c r="AO111" s="34">
        <f t="shared" si="21"/>
        <v>19</v>
      </c>
      <c r="AP111" s="34">
        <f t="shared" si="21"/>
        <v>33</v>
      </c>
      <c r="AQ111" s="34">
        <f t="shared" si="21"/>
        <v>25</v>
      </c>
      <c r="AR111" s="34">
        <f t="shared" si="21"/>
        <v>57</v>
      </c>
      <c r="AS111" s="34">
        <f t="shared" si="21"/>
        <v>59</v>
      </c>
      <c r="AT111" s="34">
        <f t="shared" si="21"/>
        <v>82</v>
      </c>
      <c r="AU111" s="34">
        <f t="shared" si="21"/>
        <v>94</v>
      </c>
      <c r="AV111" s="34">
        <f t="shared" si="21"/>
        <v>50</v>
      </c>
      <c r="AW111" s="34">
        <f t="shared" si="21"/>
        <v>86</v>
      </c>
      <c r="AX111" s="34">
        <f t="shared" si="21"/>
        <v>97</v>
      </c>
      <c r="AY111" s="34">
        <f t="shared" si="21"/>
        <v>57</v>
      </c>
      <c r="AZ111" s="34">
        <f t="shared" si="21"/>
        <v>22</v>
      </c>
      <c r="BA111" s="34">
        <f t="shared" si="21"/>
        <v>30</v>
      </c>
      <c r="BB111" s="34">
        <f t="shared" si="21"/>
        <v>39</v>
      </c>
      <c r="BC111" s="34">
        <f t="shared" si="21"/>
        <v>26</v>
      </c>
      <c r="BD111" s="34">
        <f t="shared" si="21"/>
        <v>39</v>
      </c>
      <c r="BE111" s="34">
        <f t="shared" si="21"/>
        <v>23</v>
      </c>
      <c r="BF111" s="34">
        <f t="shared" si="21"/>
        <v>4</v>
      </c>
      <c r="BG111" s="34">
        <f t="shared" si="21"/>
        <v>43</v>
      </c>
      <c r="BH111" s="34">
        <f t="shared" si="21"/>
        <v>23</v>
      </c>
      <c r="BI111" s="34">
        <f t="shared" si="21"/>
        <v>11</v>
      </c>
      <c r="BJ111" s="34">
        <f t="shared" si="21"/>
        <v>5</v>
      </c>
      <c r="BK111" s="13">
        <f t="shared" si="13"/>
        <v>1921</v>
      </c>
    </row>
    <row r="112" spans="1:63" ht="12.75" customHeight="1" x14ac:dyDescent="0.3">
      <c r="A112" s="35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13">
        <f t="shared" si="13"/>
        <v>0</v>
      </c>
    </row>
    <row r="113" spans="1:65" ht="12.75" customHeight="1" x14ac:dyDescent="0.3">
      <c r="A113" s="19" t="s">
        <v>37</v>
      </c>
      <c r="B113" s="26" t="s">
        <v>96</v>
      </c>
      <c r="C113" s="48" t="s">
        <v>97</v>
      </c>
      <c r="D113" s="47"/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1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1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3">
        <f t="shared" si="13"/>
        <v>2</v>
      </c>
    </row>
    <row r="114" spans="1:65" ht="12.75" customHeight="1" x14ac:dyDescent="0.3">
      <c r="A114" s="19" t="s">
        <v>39</v>
      </c>
      <c r="B114" s="26"/>
      <c r="C114" s="28" t="s">
        <v>98</v>
      </c>
      <c r="D114" s="37"/>
      <c r="E114" s="15">
        <v>0</v>
      </c>
      <c r="F114" s="15">
        <v>0</v>
      </c>
      <c r="G114" s="15">
        <v>3</v>
      </c>
      <c r="H114" s="15">
        <v>3</v>
      </c>
      <c r="I114" s="15">
        <v>0</v>
      </c>
      <c r="J114" s="15">
        <v>1</v>
      </c>
      <c r="K114" s="15">
        <v>1</v>
      </c>
      <c r="L114" s="15">
        <v>3</v>
      </c>
      <c r="M114" s="15">
        <v>1</v>
      </c>
      <c r="N114" s="15">
        <v>1</v>
      </c>
      <c r="O114" s="15">
        <v>0</v>
      </c>
      <c r="P114" s="15">
        <v>0</v>
      </c>
      <c r="Q114" s="15">
        <v>0</v>
      </c>
      <c r="R114" s="15">
        <v>1</v>
      </c>
      <c r="S114" s="15">
        <v>0</v>
      </c>
      <c r="T114" s="15">
        <v>0</v>
      </c>
      <c r="U114" s="15">
        <v>1</v>
      </c>
      <c r="V114" s="15">
        <v>0</v>
      </c>
      <c r="W114" s="15">
        <v>0</v>
      </c>
      <c r="X114" s="15">
        <v>4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1</v>
      </c>
      <c r="AG114" s="15">
        <v>0</v>
      </c>
      <c r="AH114" s="15">
        <v>2</v>
      </c>
      <c r="AI114" s="15">
        <v>0</v>
      </c>
      <c r="AJ114" s="15">
        <v>3</v>
      </c>
      <c r="AK114" s="15">
        <v>0</v>
      </c>
      <c r="AL114" s="15">
        <v>0</v>
      </c>
      <c r="AM114" s="15">
        <v>1</v>
      </c>
      <c r="AN114" s="15">
        <v>1</v>
      </c>
      <c r="AO114" s="15">
        <v>1</v>
      </c>
      <c r="AP114" s="15">
        <v>0</v>
      </c>
      <c r="AQ114" s="15">
        <v>0</v>
      </c>
      <c r="AR114" s="15">
        <v>0</v>
      </c>
      <c r="AS114" s="15">
        <v>5</v>
      </c>
      <c r="AT114" s="15">
        <v>3</v>
      </c>
      <c r="AU114" s="15">
        <v>1</v>
      </c>
      <c r="AV114" s="15">
        <v>1</v>
      </c>
      <c r="AW114" s="15">
        <v>1</v>
      </c>
      <c r="AX114" s="15">
        <v>0</v>
      </c>
      <c r="AY114" s="15">
        <v>1</v>
      </c>
      <c r="AZ114" s="15">
        <v>4</v>
      </c>
      <c r="BA114" s="15">
        <v>0</v>
      </c>
      <c r="BB114" s="15">
        <v>0</v>
      </c>
      <c r="BC114" s="15">
        <v>1</v>
      </c>
      <c r="BD114" s="15">
        <v>0</v>
      </c>
      <c r="BE114" s="15">
        <v>1</v>
      </c>
      <c r="BF114" s="15">
        <v>0</v>
      </c>
      <c r="BG114" s="15">
        <v>0</v>
      </c>
      <c r="BH114" s="15">
        <v>0</v>
      </c>
      <c r="BI114" s="15">
        <v>0</v>
      </c>
      <c r="BJ114" s="15">
        <v>1</v>
      </c>
      <c r="BK114" s="13">
        <f t="shared" si="13"/>
        <v>47</v>
      </c>
    </row>
    <row r="115" spans="1:65" ht="12.75" customHeight="1" x14ac:dyDescent="0.3">
      <c r="A115" s="19"/>
      <c r="B115" s="26"/>
      <c r="C115" s="28" t="s">
        <v>99</v>
      </c>
      <c r="D115" s="37"/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3">
        <f t="shared" si="13"/>
        <v>0</v>
      </c>
    </row>
    <row r="116" spans="1:65" ht="12.75" customHeight="1" x14ac:dyDescent="0.3">
      <c r="A116" s="15" t="s">
        <v>15</v>
      </c>
      <c r="B116" s="45" t="s">
        <v>47</v>
      </c>
      <c r="C116" s="46"/>
      <c r="D116" s="47"/>
      <c r="E116" s="34">
        <f t="shared" ref="E116:BJ116" si="22">SUM(E113:E115)</f>
        <v>0</v>
      </c>
      <c r="F116" s="34">
        <f t="shared" si="22"/>
        <v>0</v>
      </c>
      <c r="G116" s="34">
        <f t="shared" si="22"/>
        <v>3</v>
      </c>
      <c r="H116" s="34">
        <f t="shared" si="22"/>
        <v>3</v>
      </c>
      <c r="I116" s="34">
        <f t="shared" si="22"/>
        <v>0</v>
      </c>
      <c r="J116" s="34">
        <f t="shared" si="22"/>
        <v>1</v>
      </c>
      <c r="K116" s="34">
        <f t="shared" si="22"/>
        <v>1</v>
      </c>
      <c r="L116" s="34">
        <f t="shared" si="22"/>
        <v>3</v>
      </c>
      <c r="M116" s="34">
        <f t="shared" si="22"/>
        <v>1</v>
      </c>
      <c r="N116" s="34">
        <f t="shared" si="22"/>
        <v>1</v>
      </c>
      <c r="O116" s="34">
        <f t="shared" si="22"/>
        <v>0</v>
      </c>
      <c r="P116" s="34">
        <f t="shared" si="22"/>
        <v>0</v>
      </c>
      <c r="Q116" s="34">
        <f t="shared" si="22"/>
        <v>0</v>
      </c>
      <c r="R116" s="34">
        <f t="shared" si="22"/>
        <v>1</v>
      </c>
      <c r="S116" s="34">
        <f t="shared" si="22"/>
        <v>0</v>
      </c>
      <c r="T116" s="34">
        <f t="shared" si="22"/>
        <v>0</v>
      </c>
      <c r="U116" s="34">
        <f t="shared" si="22"/>
        <v>1</v>
      </c>
      <c r="V116" s="34">
        <f t="shared" si="22"/>
        <v>0</v>
      </c>
      <c r="W116" s="34">
        <f t="shared" si="22"/>
        <v>0</v>
      </c>
      <c r="X116" s="34">
        <f t="shared" si="22"/>
        <v>4</v>
      </c>
      <c r="Y116" s="34">
        <f t="shared" si="22"/>
        <v>0</v>
      </c>
      <c r="Z116" s="34">
        <f t="shared" si="22"/>
        <v>0</v>
      </c>
      <c r="AA116" s="34">
        <f t="shared" si="22"/>
        <v>0</v>
      </c>
      <c r="AB116" s="34">
        <f t="shared" si="22"/>
        <v>0</v>
      </c>
      <c r="AC116" s="34">
        <f t="shared" si="22"/>
        <v>0</v>
      </c>
      <c r="AD116" s="34">
        <f t="shared" si="22"/>
        <v>0</v>
      </c>
      <c r="AE116" s="34">
        <f t="shared" si="22"/>
        <v>0</v>
      </c>
      <c r="AF116" s="34">
        <f t="shared" si="22"/>
        <v>1</v>
      </c>
      <c r="AG116" s="34">
        <f t="shared" si="22"/>
        <v>0</v>
      </c>
      <c r="AH116" s="34">
        <f t="shared" si="22"/>
        <v>3</v>
      </c>
      <c r="AI116" s="34">
        <f t="shared" si="22"/>
        <v>0</v>
      </c>
      <c r="AJ116" s="34">
        <f t="shared" si="22"/>
        <v>3</v>
      </c>
      <c r="AK116" s="34">
        <f t="shared" si="22"/>
        <v>0</v>
      </c>
      <c r="AL116" s="34">
        <f t="shared" si="22"/>
        <v>0</v>
      </c>
      <c r="AM116" s="34">
        <f t="shared" si="22"/>
        <v>1</v>
      </c>
      <c r="AN116" s="34">
        <f t="shared" si="22"/>
        <v>1</v>
      </c>
      <c r="AO116" s="34">
        <f t="shared" si="22"/>
        <v>1</v>
      </c>
      <c r="AP116" s="34">
        <f t="shared" si="22"/>
        <v>0</v>
      </c>
      <c r="AQ116" s="34">
        <f t="shared" si="22"/>
        <v>0</v>
      </c>
      <c r="AR116" s="34">
        <f t="shared" si="22"/>
        <v>1</v>
      </c>
      <c r="AS116" s="34">
        <f t="shared" si="22"/>
        <v>5</v>
      </c>
      <c r="AT116" s="34">
        <f t="shared" si="22"/>
        <v>3</v>
      </c>
      <c r="AU116" s="34">
        <f t="shared" si="22"/>
        <v>1</v>
      </c>
      <c r="AV116" s="34">
        <f t="shared" si="22"/>
        <v>1</v>
      </c>
      <c r="AW116" s="34">
        <f t="shared" si="22"/>
        <v>1</v>
      </c>
      <c r="AX116" s="34">
        <f t="shared" si="22"/>
        <v>0</v>
      </c>
      <c r="AY116" s="34">
        <f t="shared" si="22"/>
        <v>1</v>
      </c>
      <c r="AZ116" s="34">
        <f t="shared" si="22"/>
        <v>4</v>
      </c>
      <c r="BA116" s="34">
        <f t="shared" si="22"/>
        <v>0</v>
      </c>
      <c r="BB116" s="34">
        <f t="shared" si="22"/>
        <v>0</v>
      </c>
      <c r="BC116" s="34">
        <f t="shared" si="22"/>
        <v>1</v>
      </c>
      <c r="BD116" s="34">
        <f t="shared" si="22"/>
        <v>0</v>
      </c>
      <c r="BE116" s="34">
        <f t="shared" si="22"/>
        <v>1</v>
      </c>
      <c r="BF116" s="34">
        <f t="shared" si="22"/>
        <v>0</v>
      </c>
      <c r="BG116" s="34">
        <f t="shared" si="22"/>
        <v>0</v>
      </c>
      <c r="BH116" s="34">
        <f t="shared" si="22"/>
        <v>0</v>
      </c>
      <c r="BI116" s="34">
        <f t="shared" si="22"/>
        <v>0</v>
      </c>
      <c r="BJ116" s="34">
        <f t="shared" si="22"/>
        <v>1</v>
      </c>
      <c r="BK116" s="13">
        <f t="shared" si="13"/>
        <v>49</v>
      </c>
    </row>
    <row r="117" spans="1:65" ht="12.75" customHeight="1" x14ac:dyDescent="0.3">
      <c r="A117" s="35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13">
        <f t="shared" si="13"/>
        <v>0</v>
      </c>
      <c r="BL117" s="5"/>
      <c r="BM117" s="5"/>
    </row>
    <row r="118" spans="1:65" ht="12.75" customHeight="1" x14ac:dyDescent="0.3">
      <c r="A118" s="19" t="s">
        <v>37</v>
      </c>
      <c r="B118" s="26" t="s">
        <v>100</v>
      </c>
      <c r="C118" s="48" t="s">
        <v>101</v>
      </c>
      <c r="D118" s="47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2</v>
      </c>
      <c r="P118" s="15">
        <v>2</v>
      </c>
      <c r="Q118" s="15">
        <v>1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2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3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1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1</v>
      </c>
      <c r="BJ118" s="15">
        <v>0</v>
      </c>
      <c r="BK118" s="13">
        <f t="shared" si="13"/>
        <v>12</v>
      </c>
      <c r="BL118" s="5"/>
      <c r="BM118" s="5"/>
    </row>
    <row r="119" spans="1:65" ht="12.75" customHeight="1" x14ac:dyDescent="0.3">
      <c r="A119" s="19" t="s">
        <v>39</v>
      </c>
      <c r="B119" s="27"/>
      <c r="C119" s="28" t="s">
        <v>102</v>
      </c>
      <c r="D119" s="29"/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1</v>
      </c>
      <c r="AI119" s="15">
        <v>0</v>
      </c>
      <c r="AJ119" s="15">
        <v>0</v>
      </c>
      <c r="AK119" s="15">
        <v>0</v>
      </c>
      <c r="AL119" s="15">
        <v>0</v>
      </c>
      <c r="AM119" s="15">
        <v>1</v>
      </c>
      <c r="AN119" s="15">
        <v>1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1</v>
      </c>
      <c r="BI119" s="15">
        <v>1</v>
      </c>
      <c r="BJ119" s="15">
        <v>0</v>
      </c>
      <c r="BK119" s="13">
        <f t="shared" si="13"/>
        <v>5</v>
      </c>
      <c r="BL119" s="5"/>
      <c r="BM119" s="5"/>
    </row>
    <row r="120" spans="1:65" ht="12.75" customHeight="1" x14ac:dyDescent="0.3">
      <c r="A120" s="14"/>
      <c r="B120" s="27"/>
      <c r="C120" s="28" t="s">
        <v>103</v>
      </c>
      <c r="D120" s="29"/>
      <c r="E120" s="15">
        <v>0</v>
      </c>
      <c r="F120" s="15">
        <v>0</v>
      </c>
      <c r="G120" s="15">
        <v>2</v>
      </c>
      <c r="H120" s="15">
        <v>0</v>
      </c>
      <c r="I120" s="15">
        <v>0</v>
      </c>
      <c r="J120" s="15">
        <v>2</v>
      </c>
      <c r="K120" s="15">
        <v>0</v>
      </c>
      <c r="L120" s="15">
        <v>0</v>
      </c>
      <c r="M120" s="15">
        <v>0</v>
      </c>
      <c r="N120" s="15">
        <v>2</v>
      </c>
      <c r="O120" s="15">
        <v>5</v>
      </c>
      <c r="P120" s="15">
        <v>7</v>
      </c>
      <c r="Q120" s="15">
        <v>1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3">
        <f t="shared" si="13"/>
        <v>19</v>
      </c>
      <c r="BL120" s="5"/>
      <c r="BM120" s="5"/>
    </row>
    <row r="121" spans="1:65" ht="12.75" customHeight="1" x14ac:dyDescent="0.3">
      <c r="A121" s="14"/>
      <c r="B121" s="27"/>
      <c r="C121" s="28" t="s">
        <v>104</v>
      </c>
      <c r="D121" s="29"/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3">
        <f t="shared" si="13"/>
        <v>0</v>
      </c>
      <c r="BL121" s="5"/>
      <c r="BM121" s="5"/>
    </row>
    <row r="122" spans="1:65" ht="12.75" customHeight="1" x14ac:dyDescent="0.3">
      <c r="A122" s="14"/>
      <c r="B122" s="27"/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1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1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15">
        <v>0</v>
      </c>
      <c r="BF122" s="15">
        <v>0</v>
      </c>
      <c r="BG122" s="15">
        <v>0</v>
      </c>
      <c r="BH122" s="15">
        <v>0</v>
      </c>
      <c r="BI122" s="15">
        <v>0</v>
      </c>
      <c r="BJ122" s="15">
        <v>0</v>
      </c>
      <c r="BK122" s="13">
        <f t="shared" si="13"/>
        <v>2</v>
      </c>
      <c r="BL122" s="5"/>
      <c r="BM122" s="5"/>
    </row>
    <row r="123" spans="1:65" ht="12.75" customHeight="1" x14ac:dyDescent="0.3">
      <c r="A123" s="14"/>
      <c r="B123" s="27"/>
      <c r="C123" s="28" t="s">
        <v>106</v>
      </c>
      <c r="D123" s="29"/>
      <c r="E123" s="15">
        <v>0</v>
      </c>
      <c r="F123" s="15">
        <v>0</v>
      </c>
      <c r="G123" s="15">
        <v>2</v>
      </c>
      <c r="H123" s="15">
        <v>1</v>
      </c>
      <c r="I123" s="15">
        <v>8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1</v>
      </c>
      <c r="T123" s="15">
        <v>0</v>
      </c>
      <c r="U123" s="15">
        <v>0</v>
      </c>
      <c r="V123" s="15">
        <v>0</v>
      </c>
      <c r="W123" s="15">
        <v>1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2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3">
        <f t="shared" si="13"/>
        <v>15</v>
      </c>
      <c r="BL123" s="5"/>
      <c r="BM123" s="5"/>
    </row>
    <row r="124" spans="1:65" ht="12.75" customHeight="1" x14ac:dyDescent="0.3">
      <c r="A124" s="14"/>
      <c r="B124" s="27"/>
      <c r="C124" s="28" t="s">
        <v>107</v>
      </c>
      <c r="D124" s="29"/>
      <c r="E124" s="15">
        <v>0</v>
      </c>
      <c r="F124" s="15">
        <v>0</v>
      </c>
      <c r="G124" s="15">
        <v>0</v>
      </c>
      <c r="H124" s="15">
        <v>3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3">
        <f t="shared" si="13"/>
        <v>3</v>
      </c>
      <c r="BL124" s="5"/>
      <c r="BM124" s="5"/>
    </row>
    <row r="125" spans="1:65" ht="12.75" customHeight="1" x14ac:dyDescent="0.3">
      <c r="A125" s="14"/>
      <c r="B125" s="27"/>
      <c r="C125" s="28" t="s">
        <v>108</v>
      </c>
      <c r="D125" s="29"/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1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4</v>
      </c>
      <c r="BA125" s="15">
        <v>1</v>
      </c>
      <c r="BB125" s="15">
        <v>1</v>
      </c>
      <c r="BC125" s="15">
        <v>0</v>
      </c>
      <c r="BD125" s="15">
        <v>0</v>
      </c>
      <c r="BE125" s="15">
        <v>0</v>
      </c>
      <c r="BF125" s="15">
        <v>0</v>
      </c>
      <c r="BG125" s="15">
        <v>1</v>
      </c>
      <c r="BH125" s="15">
        <v>0</v>
      </c>
      <c r="BI125" s="15">
        <v>0</v>
      </c>
      <c r="BJ125" s="15">
        <v>0</v>
      </c>
      <c r="BK125" s="13">
        <f t="shared" si="13"/>
        <v>8</v>
      </c>
      <c r="BL125" s="5"/>
      <c r="BM125" s="5"/>
    </row>
    <row r="126" spans="1:65" ht="12.75" customHeight="1" x14ac:dyDescent="0.3">
      <c r="A126" s="15" t="s">
        <v>15</v>
      </c>
      <c r="B126" s="45" t="s">
        <v>47</v>
      </c>
      <c r="C126" s="46"/>
      <c r="D126" s="47"/>
      <c r="E126" s="34">
        <f t="shared" ref="E126:BJ126" si="23">SUM(E118:E125)</f>
        <v>0</v>
      </c>
      <c r="F126" s="34">
        <f t="shared" si="23"/>
        <v>0</v>
      </c>
      <c r="G126" s="34">
        <f t="shared" si="23"/>
        <v>4</v>
      </c>
      <c r="H126" s="34">
        <f t="shared" si="23"/>
        <v>4</v>
      </c>
      <c r="I126" s="34">
        <f t="shared" si="23"/>
        <v>8</v>
      </c>
      <c r="J126" s="34">
        <f t="shared" si="23"/>
        <v>2</v>
      </c>
      <c r="K126" s="34">
        <f t="shared" si="23"/>
        <v>0</v>
      </c>
      <c r="L126" s="34">
        <f t="shared" si="23"/>
        <v>0</v>
      </c>
      <c r="M126" s="34">
        <f t="shared" si="23"/>
        <v>0</v>
      </c>
      <c r="N126" s="34">
        <f t="shared" si="23"/>
        <v>2</v>
      </c>
      <c r="O126" s="34">
        <f t="shared" si="23"/>
        <v>7</v>
      </c>
      <c r="P126" s="34">
        <f t="shared" si="23"/>
        <v>9</v>
      </c>
      <c r="Q126" s="34">
        <f t="shared" si="23"/>
        <v>2</v>
      </c>
      <c r="R126" s="34">
        <f t="shared" si="23"/>
        <v>0</v>
      </c>
      <c r="S126" s="34">
        <f t="shared" si="23"/>
        <v>1</v>
      </c>
      <c r="T126" s="34">
        <f t="shared" si="23"/>
        <v>0</v>
      </c>
      <c r="U126" s="34">
        <f t="shared" si="23"/>
        <v>1</v>
      </c>
      <c r="V126" s="34">
        <f t="shared" si="23"/>
        <v>0</v>
      </c>
      <c r="W126" s="34">
        <f t="shared" si="23"/>
        <v>1</v>
      </c>
      <c r="X126" s="34">
        <f t="shared" si="23"/>
        <v>0</v>
      </c>
      <c r="Y126" s="34">
        <f t="shared" si="23"/>
        <v>0</v>
      </c>
      <c r="Z126" s="34">
        <f t="shared" si="23"/>
        <v>3</v>
      </c>
      <c r="AA126" s="34">
        <f t="shared" si="23"/>
        <v>0</v>
      </c>
      <c r="AB126" s="34">
        <f t="shared" si="23"/>
        <v>0</v>
      </c>
      <c r="AC126" s="34">
        <f t="shared" si="23"/>
        <v>0</v>
      </c>
      <c r="AD126" s="34">
        <f t="shared" si="23"/>
        <v>0</v>
      </c>
      <c r="AE126" s="34">
        <f t="shared" si="23"/>
        <v>0</v>
      </c>
      <c r="AF126" s="34">
        <f t="shared" si="23"/>
        <v>0</v>
      </c>
      <c r="AG126" s="34">
        <f t="shared" si="23"/>
        <v>0</v>
      </c>
      <c r="AH126" s="34">
        <f t="shared" si="23"/>
        <v>1</v>
      </c>
      <c r="AI126" s="34">
        <f t="shared" si="23"/>
        <v>0</v>
      </c>
      <c r="AJ126" s="34">
        <f t="shared" si="23"/>
        <v>0</v>
      </c>
      <c r="AK126" s="34">
        <f t="shared" si="23"/>
        <v>0</v>
      </c>
      <c r="AL126" s="34">
        <f t="shared" si="23"/>
        <v>1</v>
      </c>
      <c r="AM126" s="34">
        <f t="shared" si="23"/>
        <v>4</v>
      </c>
      <c r="AN126" s="34">
        <f t="shared" si="23"/>
        <v>1</v>
      </c>
      <c r="AO126" s="34">
        <f t="shared" si="23"/>
        <v>0</v>
      </c>
      <c r="AP126" s="34">
        <f t="shared" si="23"/>
        <v>0</v>
      </c>
      <c r="AQ126" s="34">
        <f t="shared" si="23"/>
        <v>0</v>
      </c>
      <c r="AR126" s="34">
        <f t="shared" si="23"/>
        <v>0</v>
      </c>
      <c r="AS126" s="34">
        <f t="shared" si="23"/>
        <v>2</v>
      </c>
      <c r="AT126" s="34">
        <f t="shared" si="23"/>
        <v>0</v>
      </c>
      <c r="AU126" s="34">
        <f t="shared" si="23"/>
        <v>0</v>
      </c>
      <c r="AV126" s="34">
        <f t="shared" si="23"/>
        <v>0</v>
      </c>
      <c r="AW126" s="34">
        <f t="shared" si="23"/>
        <v>0</v>
      </c>
      <c r="AX126" s="34">
        <f t="shared" si="23"/>
        <v>0</v>
      </c>
      <c r="AY126" s="34">
        <f t="shared" si="23"/>
        <v>0</v>
      </c>
      <c r="AZ126" s="34">
        <f t="shared" si="23"/>
        <v>5</v>
      </c>
      <c r="BA126" s="34">
        <f t="shared" si="23"/>
        <v>1</v>
      </c>
      <c r="BB126" s="34">
        <f t="shared" si="23"/>
        <v>1</v>
      </c>
      <c r="BC126" s="34">
        <f t="shared" si="23"/>
        <v>0</v>
      </c>
      <c r="BD126" s="34">
        <f t="shared" si="23"/>
        <v>0</v>
      </c>
      <c r="BE126" s="34">
        <f t="shared" si="23"/>
        <v>0</v>
      </c>
      <c r="BF126" s="34">
        <f t="shared" si="23"/>
        <v>0</v>
      </c>
      <c r="BG126" s="34">
        <f t="shared" si="23"/>
        <v>1</v>
      </c>
      <c r="BH126" s="34">
        <f t="shared" si="23"/>
        <v>1</v>
      </c>
      <c r="BI126" s="34">
        <f t="shared" si="23"/>
        <v>2</v>
      </c>
      <c r="BJ126" s="34">
        <f t="shared" si="23"/>
        <v>0</v>
      </c>
      <c r="BK126" s="13">
        <f t="shared" si="13"/>
        <v>64</v>
      </c>
      <c r="BL126" s="5"/>
      <c r="BM126" s="5"/>
    </row>
    <row r="127" spans="1:65" ht="15" customHeight="1" x14ac:dyDescent="0.3">
      <c r="A127" s="35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13">
        <f t="shared" si="13"/>
        <v>0</v>
      </c>
      <c r="BL127" s="5"/>
      <c r="BM127" s="5"/>
    </row>
    <row r="128" spans="1:65" ht="12.75" customHeight="1" x14ac:dyDescent="0.3">
      <c r="A128" s="19" t="s">
        <v>37</v>
      </c>
      <c r="B128" s="26" t="s">
        <v>109</v>
      </c>
      <c r="C128" s="48" t="s">
        <v>110</v>
      </c>
      <c r="D128" s="47"/>
      <c r="E128" s="15">
        <v>1</v>
      </c>
      <c r="F128" s="15">
        <v>0</v>
      </c>
      <c r="G128" s="15">
        <v>0</v>
      </c>
      <c r="H128" s="15">
        <v>0</v>
      </c>
      <c r="I128" s="15">
        <v>1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1</v>
      </c>
      <c r="U128" s="15">
        <v>1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1</v>
      </c>
      <c r="AF128" s="15">
        <v>0</v>
      </c>
      <c r="AG128" s="15">
        <v>0</v>
      </c>
      <c r="AH128" s="15">
        <v>0</v>
      </c>
      <c r="AI128" s="15">
        <v>1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1</v>
      </c>
      <c r="AP128" s="15">
        <v>2</v>
      </c>
      <c r="AQ128" s="15">
        <v>0</v>
      </c>
      <c r="AR128" s="15">
        <v>0</v>
      </c>
      <c r="AS128" s="15">
        <v>1</v>
      </c>
      <c r="AT128" s="15">
        <v>0</v>
      </c>
      <c r="AU128" s="15">
        <v>0</v>
      </c>
      <c r="AV128" s="15">
        <v>0</v>
      </c>
      <c r="AW128" s="15">
        <v>1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1</v>
      </c>
      <c r="BG128" s="15">
        <v>0</v>
      </c>
      <c r="BH128" s="15">
        <v>0</v>
      </c>
      <c r="BI128" s="15">
        <v>0</v>
      </c>
      <c r="BJ128" s="15">
        <v>1</v>
      </c>
      <c r="BK128" s="13">
        <f t="shared" si="13"/>
        <v>13</v>
      </c>
      <c r="BL128" s="5"/>
      <c r="BM128" s="5"/>
    </row>
    <row r="129" spans="1:65" ht="12.75" customHeight="1" x14ac:dyDescent="0.3">
      <c r="A129" s="19" t="s">
        <v>39</v>
      </c>
      <c r="B129" s="27"/>
      <c r="C129" s="28"/>
      <c r="D129" s="29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3">
        <f t="shared" si="13"/>
        <v>0</v>
      </c>
      <c r="BL129" s="5"/>
      <c r="BM129" s="5"/>
    </row>
    <row r="130" spans="1:65" ht="12.75" customHeight="1" x14ac:dyDescent="0.3">
      <c r="A130" s="15" t="s">
        <v>15</v>
      </c>
      <c r="B130" s="45" t="s">
        <v>47</v>
      </c>
      <c r="C130" s="46"/>
      <c r="D130" s="47"/>
      <c r="E130" s="34">
        <f t="shared" ref="E130:BJ130" si="24">SUM(E128:E129)</f>
        <v>1</v>
      </c>
      <c r="F130" s="34">
        <f t="shared" si="24"/>
        <v>0</v>
      </c>
      <c r="G130" s="34">
        <f t="shared" si="24"/>
        <v>0</v>
      </c>
      <c r="H130" s="34">
        <f t="shared" si="24"/>
        <v>0</v>
      </c>
      <c r="I130" s="34">
        <f t="shared" si="24"/>
        <v>1</v>
      </c>
      <c r="J130" s="34">
        <f t="shared" si="24"/>
        <v>0</v>
      </c>
      <c r="K130" s="34">
        <f t="shared" si="24"/>
        <v>0</v>
      </c>
      <c r="L130" s="34">
        <f t="shared" si="24"/>
        <v>0</v>
      </c>
      <c r="M130" s="34">
        <f t="shared" si="24"/>
        <v>0</v>
      </c>
      <c r="N130" s="34">
        <f t="shared" si="24"/>
        <v>0</v>
      </c>
      <c r="O130" s="34">
        <f t="shared" si="24"/>
        <v>0</v>
      </c>
      <c r="P130" s="34">
        <f t="shared" si="24"/>
        <v>0</v>
      </c>
      <c r="Q130" s="34">
        <f t="shared" si="24"/>
        <v>0</v>
      </c>
      <c r="R130" s="34">
        <f t="shared" si="24"/>
        <v>0</v>
      </c>
      <c r="S130" s="34">
        <f t="shared" si="24"/>
        <v>0</v>
      </c>
      <c r="T130" s="34">
        <f t="shared" si="24"/>
        <v>1</v>
      </c>
      <c r="U130" s="34">
        <f t="shared" si="24"/>
        <v>1</v>
      </c>
      <c r="V130" s="34">
        <f t="shared" si="24"/>
        <v>0</v>
      </c>
      <c r="W130" s="34">
        <f t="shared" si="24"/>
        <v>0</v>
      </c>
      <c r="X130" s="34">
        <f t="shared" si="24"/>
        <v>0</v>
      </c>
      <c r="Y130" s="34">
        <f t="shared" si="24"/>
        <v>0</v>
      </c>
      <c r="Z130" s="34">
        <f t="shared" si="24"/>
        <v>0</v>
      </c>
      <c r="AA130" s="34">
        <f t="shared" si="24"/>
        <v>0</v>
      </c>
      <c r="AB130" s="34">
        <f t="shared" si="24"/>
        <v>0</v>
      </c>
      <c r="AC130" s="34">
        <f t="shared" si="24"/>
        <v>0</v>
      </c>
      <c r="AD130" s="34">
        <f t="shared" si="24"/>
        <v>0</v>
      </c>
      <c r="AE130" s="34">
        <f t="shared" si="24"/>
        <v>1</v>
      </c>
      <c r="AF130" s="34">
        <f t="shared" si="24"/>
        <v>0</v>
      </c>
      <c r="AG130" s="34">
        <f t="shared" si="24"/>
        <v>0</v>
      </c>
      <c r="AH130" s="34">
        <f t="shared" si="24"/>
        <v>0</v>
      </c>
      <c r="AI130" s="34">
        <f t="shared" si="24"/>
        <v>1</v>
      </c>
      <c r="AJ130" s="34">
        <f t="shared" si="24"/>
        <v>0</v>
      </c>
      <c r="AK130" s="34">
        <f t="shared" si="24"/>
        <v>0</v>
      </c>
      <c r="AL130" s="34">
        <f t="shared" si="24"/>
        <v>0</v>
      </c>
      <c r="AM130" s="34">
        <f t="shared" si="24"/>
        <v>0</v>
      </c>
      <c r="AN130" s="34">
        <f t="shared" si="24"/>
        <v>0</v>
      </c>
      <c r="AO130" s="34">
        <f t="shared" si="24"/>
        <v>1</v>
      </c>
      <c r="AP130" s="34">
        <f t="shared" si="24"/>
        <v>2</v>
      </c>
      <c r="AQ130" s="34">
        <f t="shared" si="24"/>
        <v>0</v>
      </c>
      <c r="AR130" s="34">
        <f t="shared" si="24"/>
        <v>0</v>
      </c>
      <c r="AS130" s="34">
        <f t="shared" si="24"/>
        <v>1</v>
      </c>
      <c r="AT130" s="34">
        <f t="shared" si="24"/>
        <v>0</v>
      </c>
      <c r="AU130" s="34">
        <f t="shared" si="24"/>
        <v>0</v>
      </c>
      <c r="AV130" s="34">
        <f t="shared" si="24"/>
        <v>0</v>
      </c>
      <c r="AW130" s="34">
        <f t="shared" si="24"/>
        <v>1</v>
      </c>
      <c r="AX130" s="34">
        <f t="shared" si="24"/>
        <v>0</v>
      </c>
      <c r="AY130" s="34">
        <f t="shared" si="24"/>
        <v>0</v>
      </c>
      <c r="AZ130" s="34">
        <f t="shared" si="24"/>
        <v>0</v>
      </c>
      <c r="BA130" s="34">
        <f t="shared" si="24"/>
        <v>0</v>
      </c>
      <c r="BB130" s="34">
        <f t="shared" si="24"/>
        <v>0</v>
      </c>
      <c r="BC130" s="34">
        <f t="shared" si="24"/>
        <v>0</v>
      </c>
      <c r="BD130" s="34">
        <f t="shared" si="24"/>
        <v>0</v>
      </c>
      <c r="BE130" s="34">
        <f t="shared" si="24"/>
        <v>0</v>
      </c>
      <c r="BF130" s="34">
        <f t="shared" si="24"/>
        <v>1</v>
      </c>
      <c r="BG130" s="34">
        <f t="shared" si="24"/>
        <v>0</v>
      </c>
      <c r="BH130" s="34">
        <f t="shared" si="24"/>
        <v>0</v>
      </c>
      <c r="BI130" s="34">
        <f t="shared" si="24"/>
        <v>0</v>
      </c>
      <c r="BJ130" s="34">
        <f t="shared" si="24"/>
        <v>1</v>
      </c>
      <c r="BK130" s="13">
        <f t="shared" si="13"/>
        <v>13</v>
      </c>
      <c r="BL130" s="1"/>
      <c r="BM130" s="1"/>
    </row>
    <row r="131" spans="1:65" ht="12.75" customHeight="1" x14ac:dyDescent="0.3">
      <c r="A131" s="35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13">
        <f t="shared" si="13"/>
        <v>0</v>
      </c>
      <c r="BL131" s="31"/>
      <c r="BM131" s="31"/>
    </row>
    <row r="132" spans="1:65" ht="12.75" customHeight="1" x14ac:dyDescent="0.3">
      <c r="A132" s="19" t="s">
        <v>37</v>
      </c>
      <c r="B132" s="26" t="s">
        <v>111</v>
      </c>
      <c r="C132" s="48" t="s">
        <v>112</v>
      </c>
      <c r="D132" s="47"/>
      <c r="E132" s="15">
        <v>1</v>
      </c>
      <c r="F132" s="15">
        <v>0</v>
      </c>
      <c r="G132" s="15">
        <v>0</v>
      </c>
      <c r="H132" s="15">
        <v>1</v>
      </c>
      <c r="I132" s="15">
        <v>4</v>
      </c>
      <c r="J132" s="15">
        <v>0</v>
      </c>
      <c r="K132" s="15">
        <v>3</v>
      </c>
      <c r="L132" s="15">
        <v>1</v>
      </c>
      <c r="M132" s="15">
        <v>0</v>
      </c>
      <c r="N132" s="15">
        <v>0</v>
      </c>
      <c r="O132" s="15">
        <v>0</v>
      </c>
      <c r="P132" s="15">
        <v>0</v>
      </c>
      <c r="Q132" s="15">
        <v>1</v>
      </c>
      <c r="R132" s="15">
        <v>0</v>
      </c>
      <c r="S132" s="15">
        <v>4</v>
      </c>
      <c r="T132" s="15">
        <v>3</v>
      </c>
      <c r="U132" s="15">
        <v>2</v>
      </c>
      <c r="V132" s="15">
        <v>1</v>
      </c>
      <c r="W132" s="15">
        <v>1</v>
      </c>
      <c r="X132" s="15">
        <v>0</v>
      </c>
      <c r="Y132" s="15">
        <v>0</v>
      </c>
      <c r="Z132" s="15">
        <v>1</v>
      </c>
      <c r="AA132" s="15">
        <v>2</v>
      </c>
      <c r="AB132" s="15">
        <v>0</v>
      </c>
      <c r="AC132" s="15">
        <v>2</v>
      </c>
      <c r="AD132" s="15">
        <v>0</v>
      </c>
      <c r="AE132" s="15">
        <v>1</v>
      </c>
      <c r="AF132" s="15">
        <v>0</v>
      </c>
      <c r="AG132" s="15">
        <v>0</v>
      </c>
      <c r="AH132" s="15">
        <v>1</v>
      </c>
      <c r="AI132" s="15">
        <v>0</v>
      </c>
      <c r="AJ132" s="15">
        <v>0</v>
      </c>
      <c r="AK132" s="15">
        <v>2</v>
      </c>
      <c r="AL132" s="15">
        <v>1</v>
      </c>
      <c r="AM132" s="15">
        <v>0</v>
      </c>
      <c r="AN132" s="15">
        <v>1</v>
      </c>
      <c r="AO132" s="15">
        <v>0</v>
      </c>
      <c r="AP132" s="15">
        <v>0</v>
      </c>
      <c r="AQ132" s="15">
        <v>2</v>
      </c>
      <c r="AR132" s="15">
        <v>1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1</v>
      </c>
      <c r="BA132" s="15">
        <v>0</v>
      </c>
      <c r="BB132" s="15">
        <v>0</v>
      </c>
      <c r="BC132" s="15">
        <v>1</v>
      </c>
      <c r="BD132" s="15">
        <v>1</v>
      </c>
      <c r="BE132" s="15">
        <v>1</v>
      </c>
      <c r="BF132" s="15">
        <v>1</v>
      </c>
      <c r="BG132" s="15">
        <v>1</v>
      </c>
      <c r="BH132" s="15">
        <v>0</v>
      </c>
      <c r="BI132" s="15">
        <v>1</v>
      </c>
      <c r="BJ132" s="15">
        <v>0</v>
      </c>
      <c r="BK132" s="13">
        <f t="shared" si="13"/>
        <v>43</v>
      </c>
      <c r="BL132" s="5"/>
      <c r="BM132" s="5"/>
    </row>
    <row r="133" spans="1:65" ht="12.75" customHeight="1" x14ac:dyDescent="0.3">
      <c r="A133" s="19" t="s">
        <v>39</v>
      </c>
      <c r="B133" s="27"/>
      <c r="C133" s="28" t="s">
        <v>113</v>
      </c>
      <c r="D133" s="29"/>
      <c r="E133" s="15">
        <v>1</v>
      </c>
      <c r="F133" s="15">
        <v>2</v>
      </c>
      <c r="G133" s="15">
        <v>2</v>
      </c>
      <c r="H133" s="15">
        <v>2</v>
      </c>
      <c r="I133" s="15">
        <v>0</v>
      </c>
      <c r="J133" s="15">
        <v>0</v>
      </c>
      <c r="K133" s="15">
        <v>1</v>
      </c>
      <c r="L133" s="15">
        <v>0</v>
      </c>
      <c r="M133" s="15">
        <v>0</v>
      </c>
      <c r="N133" s="15">
        <v>0</v>
      </c>
      <c r="O133" s="15">
        <v>0</v>
      </c>
      <c r="P133" s="15">
        <v>3</v>
      </c>
      <c r="Q133" s="15">
        <v>0</v>
      </c>
      <c r="R133" s="15">
        <v>2</v>
      </c>
      <c r="S133" s="15">
        <v>3</v>
      </c>
      <c r="T133" s="15">
        <v>2</v>
      </c>
      <c r="U133" s="15">
        <v>5</v>
      </c>
      <c r="V133" s="15">
        <v>1</v>
      </c>
      <c r="W133" s="15">
        <v>2</v>
      </c>
      <c r="X133" s="15">
        <v>0</v>
      </c>
      <c r="Y133" s="15">
        <v>0</v>
      </c>
      <c r="Z133" s="15">
        <v>1</v>
      </c>
      <c r="AA133" s="15">
        <v>8</v>
      </c>
      <c r="AB133" s="15">
        <v>0</v>
      </c>
      <c r="AC133" s="15">
        <v>0</v>
      </c>
      <c r="AD133" s="15">
        <v>1</v>
      </c>
      <c r="AE133" s="15">
        <v>4</v>
      </c>
      <c r="AF133" s="15">
        <v>0</v>
      </c>
      <c r="AG133" s="15">
        <v>2</v>
      </c>
      <c r="AH133" s="15">
        <v>1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2</v>
      </c>
      <c r="AO133" s="15">
        <v>1</v>
      </c>
      <c r="AP133" s="15">
        <v>0</v>
      </c>
      <c r="AQ133" s="15">
        <v>1</v>
      </c>
      <c r="AR133" s="15">
        <v>2</v>
      </c>
      <c r="AS133" s="15">
        <v>5</v>
      </c>
      <c r="AT133" s="15">
        <v>5</v>
      </c>
      <c r="AU133" s="15">
        <v>0</v>
      </c>
      <c r="AV133" s="15">
        <v>4</v>
      </c>
      <c r="AW133" s="15">
        <v>2</v>
      </c>
      <c r="AX133" s="15">
        <v>0</v>
      </c>
      <c r="AY133" s="15">
        <v>1</v>
      </c>
      <c r="AZ133" s="15">
        <v>4</v>
      </c>
      <c r="BA133" s="15">
        <v>2</v>
      </c>
      <c r="BB133" s="15">
        <v>1</v>
      </c>
      <c r="BC133" s="15">
        <v>0</v>
      </c>
      <c r="BD133" s="15">
        <v>1</v>
      </c>
      <c r="BE133" s="15">
        <v>0</v>
      </c>
      <c r="BF133" s="15">
        <v>0</v>
      </c>
      <c r="BG133" s="15">
        <v>0</v>
      </c>
      <c r="BH133" s="15">
        <v>1</v>
      </c>
      <c r="BI133" s="15">
        <v>0</v>
      </c>
      <c r="BJ133" s="15">
        <v>0</v>
      </c>
      <c r="BK133" s="13">
        <f t="shared" si="13"/>
        <v>75</v>
      </c>
      <c r="BL133" s="5"/>
      <c r="BM133" s="5"/>
    </row>
    <row r="134" spans="1:65" ht="12.75" customHeight="1" x14ac:dyDescent="0.3">
      <c r="A134" s="14"/>
      <c r="B134" s="27"/>
      <c r="C134" s="28" t="s">
        <v>114</v>
      </c>
      <c r="D134" s="29"/>
      <c r="E134" s="15">
        <v>0</v>
      </c>
      <c r="F134" s="15">
        <v>0</v>
      </c>
      <c r="G134" s="15">
        <v>1</v>
      </c>
      <c r="H134" s="15">
        <v>5</v>
      </c>
      <c r="I134" s="15">
        <v>4</v>
      </c>
      <c r="J134" s="15">
        <v>1</v>
      </c>
      <c r="K134" s="15">
        <v>0</v>
      </c>
      <c r="L134" s="15">
        <v>2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2</v>
      </c>
      <c r="S134" s="15">
        <v>6</v>
      </c>
      <c r="T134" s="15">
        <v>4</v>
      </c>
      <c r="U134" s="15">
        <v>0</v>
      </c>
      <c r="V134" s="15">
        <v>4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1</v>
      </c>
      <c r="AC134" s="15">
        <v>0</v>
      </c>
      <c r="AD134" s="15">
        <v>0</v>
      </c>
      <c r="AE134" s="15">
        <v>0</v>
      </c>
      <c r="AF134" s="15">
        <v>0</v>
      </c>
      <c r="AG134" s="15">
        <v>1</v>
      </c>
      <c r="AH134" s="15">
        <v>0</v>
      </c>
      <c r="AI134" s="15">
        <v>0</v>
      </c>
      <c r="AJ134" s="15">
        <v>0</v>
      </c>
      <c r="AK134" s="15">
        <v>1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1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1</v>
      </c>
      <c r="AZ134" s="15">
        <v>0</v>
      </c>
      <c r="BA134" s="15">
        <v>1</v>
      </c>
      <c r="BB134" s="15">
        <v>0</v>
      </c>
      <c r="BC134" s="15">
        <v>0</v>
      </c>
      <c r="BD134" s="15">
        <v>0</v>
      </c>
      <c r="BE134" s="15">
        <v>0</v>
      </c>
      <c r="BF134" s="15">
        <v>1</v>
      </c>
      <c r="BG134" s="15">
        <v>0</v>
      </c>
      <c r="BH134" s="15">
        <v>0</v>
      </c>
      <c r="BI134" s="15">
        <v>0</v>
      </c>
      <c r="BJ134" s="15">
        <v>0</v>
      </c>
      <c r="BK134" s="13">
        <f t="shared" si="13"/>
        <v>36</v>
      </c>
      <c r="BL134" s="5"/>
      <c r="BM134" s="5"/>
    </row>
    <row r="135" spans="1:65" ht="12.75" customHeight="1" x14ac:dyDescent="0.3">
      <c r="A135" s="14"/>
      <c r="B135" s="27"/>
      <c r="C135" s="28" t="s">
        <v>115</v>
      </c>
      <c r="D135" s="29"/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2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1</v>
      </c>
      <c r="AG135" s="15">
        <v>0</v>
      </c>
      <c r="AH135" s="15">
        <v>0</v>
      </c>
      <c r="AI135" s="15">
        <v>0</v>
      </c>
      <c r="AJ135" s="15">
        <v>0</v>
      </c>
      <c r="AK135" s="15">
        <v>1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3">
        <f t="shared" si="13"/>
        <v>4</v>
      </c>
      <c r="BL135" s="5"/>
      <c r="BM135" s="5"/>
    </row>
    <row r="136" spans="1:65" ht="12.75" customHeight="1" x14ac:dyDescent="0.3">
      <c r="A136" s="14"/>
      <c r="B136" s="27"/>
      <c r="C136" s="28" t="s">
        <v>116</v>
      </c>
      <c r="D136" s="29"/>
      <c r="E136" s="15">
        <v>0</v>
      </c>
      <c r="F136" s="15">
        <v>1</v>
      </c>
      <c r="G136" s="15">
        <v>1</v>
      </c>
      <c r="H136" s="15">
        <v>0</v>
      </c>
      <c r="I136" s="15">
        <v>0</v>
      </c>
      <c r="J136" s="15">
        <v>1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1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2</v>
      </c>
      <c r="Z136" s="15">
        <v>0</v>
      </c>
      <c r="AA136" s="15">
        <v>0</v>
      </c>
      <c r="AB136" s="15">
        <v>0</v>
      </c>
      <c r="AC136" s="15">
        <v>0</v>
      </c>
      <c r="AD136" s="15">
        <v>2</v>
      </c>
      <c r="AE136" s="15">
        <v>0</v>
      </c>
      <c r="AF136" s="15">
        <v>1</v>
      </c>
      <c r="AG136" s="15">
        <v>0</v>
      </c>
      <c r="AH136" s="15">
        <v>0</v>
      </c>
      <c r="AI136" s="15">
        <v>0</v>
      </c>
      <c r="AJ136" s="15">
        <v>1</v>
      </c>
      <c r="AK136" s="15">
        <v>1</v>
      </c>
      <c r="AL136" s="15">
        <v>0</v>
      </c>
      <c r="AM136" s="15">
        <v>1</v>
      </c>
      <c r="AN136" s="15">
        <v>0</v>
      </c>
      <c r="AO136" s="15">
        <v>1</v>
      </c>
      <c r="AP136" s="15">
        <v>0</v>
      </c>
      <c r="AQ136" s="15">
        <v>0</v>
      </c>
      <c r="AR136" s="15">
        <v>0</v>
      </c>
      <c r="AS136" s="15">
        <v>1</v>
      </c>
      <c r="AT136" s="15">
        <v>0</v>
      </c>
      <c r="AU136" s="15">
        <v>0</v>
      </c>
      <c r="AV136" s="15">
        <v>1</v>
      </c>
      <c r="AW136" s="15">
        <v>0</v>
      </c>
      <c r="AX136" s="15">
        <v>0</v>
      </c>
      <c r="AY136" s="15">
        <v>1</v>
      </c>
      <c r="AZ136" s="15">
        <v>0</v>
      </c>
      <c r="BA136" s="15">
        <v>0</v>
      </c>
      <c r="BB136" s="15">
        <v>5</v>
      </c>
      <c r="BC136" s="15">
        <v>0</v>
      </c>
      <c r="BD136" s="15">
        <v>0</v>
      </c>
      <c r="BE136" s="15">
        <v>1</v>
      </c>
      <c r="BF136" s="15">
        <v>0</v>
      </c>
      <c r="BG136" s="15">
        <v>0</v>
      </c>
      <c r="BH136" s="15">
        <v>0</v>
      </c>
      <c r="BI136" s="15">
        <v>1</v>
      </c>
      <c r="BJ136" s="15">
        <v>0</v>
      </c>
      <c r="BK136" s="13">
        <f t="shared" si="13"/>
        <v>23</v>
      </c>
      <c r="BL136" s="5"/>
      <c r="BM136" s="5"/>
    </row>
    <row r="137" spans="1:65" ht="12.75" customHeight="1" x14ac:dyDescent="0.3">
      <c r="A137" s="14"/>
      <c r="B137" s="27"/>
      <c r="C137" s="28" t="s">
        <v>117</v>
      </c>
      <c r="D137" s="29"/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1</v>
      </c>
      <c r="AH137" s="15">
        <v>0</v>
      </c>
      <c r="AI137" s="15">
        <v>0</v>
      </c>
      <c r="AJ137" s="15">
        <v>0</v>
      </c>
      <c r="AK137" s="15">
        <v>0</v>
      </c>
      <c r="AL137" s="15">
        <v>1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1</v>
      </c>
      <c r="BI137" s="15">
        <v>0</v>
      </c>
      <c r="BJ137" s="15">
        <v>0</v>
      </c>
      <c r="BK137" s="13">
        <f t="shared" si="13"/>
        <v>4</v>
      </c>
      <c r="BL137" s="5"/>
      <c r="BM137" s="5"/>
    </row>
    <row r="138" spans="1:65" ht="12.75" customHeight="1" x14ac:dyDescent="0.3">
      <c r="A138" s="14"/>
      <c r="B138" s="27"/>
      <c r="C138" s="28" t="s">
        <v>118</v>
      </c>
      <c r="D138" s="29"/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1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0</v>
      </c>
      <c r="BH138" s="15">
        <v>0</v>
      </c>
      <c r="BI138" s="15">
        <v>0</v>
      </c>
      <c r="BJ138" s="15">
        <v>0</v>
      </c>
      <c r="BK138" s="13">
        <f t="shared" si="13"/>
        <v>1</v>
      </c>
      <c r="BL138" s="5"/>
      <c r="BM138" s="5"/>
    </row>
    <row r="139" spans="1:65" ht="15" customHeight="1" x14ac:dyDescent="0.3">
      <c r="A139" s="14"/>
      <c r="B139" s="27"/>
      <c r="C139" s="28" t="s">
        <v>119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2</v>
      </c>
      <c r="L139" s="15">
        <v>0</v>
      </c>
      <c r="M139" s="15">
        <v>1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1</v>
      </c>
      <c r="AD139" s="15">
        <v>0</v>
      </c>
      <c r="AE139" s="15">
        <v>2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5">
        <v>0</v>
      </c>
      <c r="AX139" s="15">
        <v>0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3">
        <f t="shared" si="13"/>
        <v>6</v>
      </c>
      <c r="BL139" s="5"/>
      <c r="BM139" s="5"/>
    </row>
    <row r="140" spans="1:65" ht="12.75" customHeight="1" x14ac:dyDescent="0.3">
      <c r="A140" s="15" t="s">
        <v>15</v>
      </c>
      <c r="B140" s="45" t="s">
        <v>47</v>
      </c>
      <c r="C140" s="46"/>
      <c r="D140" s="47"/>
      <c r="E140" s="34">
        <f t="shared" ref="E140:BJ140" si="25">SUM(E132:E139)</f>
        <v>2</v>
      </c>
      <c r="F140" s="34">
        <f t="shared" si="25"/>
        <v>3</v>
      </c>
      <c r="G140" s="34">
        <f t="shared" si="25"/>
        <v>4</v>
      </c>
      <c r="H140" s="34">
        <f t="shared" si="25"/>
        <v>8</v>
      </c>
      <c r="I140" s="34">
        <f t="shared" si="25"/>
        <v>8</v>
      </c>
      <c r="J140" s="34">
        <f t="shared" si="25"/>
        <v>3</v>
      </c>
      <c r="K140" s="34">
        <f t="shared" si="25"/>
        <v>6</v>
      </c>
      <c r="L140" s="34">
        <f t="shared" si="25"/>
        <v>3</v>
      </c>
      <c r="M140" s="34">
        <f t="shared" si="25"/>
        <v>1</v>
      </c>
      <c r="N140" s="34">
        <f t="shared" si="25"/>
        <v>0</v>
      </c>
      <c r="O140" s="34">
        <f t="shared" si="25"/>
        <v>0</v>
      </c>
      <c r="P140" s="34">
        <f t="shared" si="25"/>
        <v>4</v>
      </c>
      <c r="Q140" s="34">
        <f t="shared" si="25"/>
        <v>1</v>
      </c>
      <c r="R140" s="34">
        <f t="shared" si="25"/>
        <v>4</v>
      </c>
      <c r="S140" s="34">
        <f t="shared" si="25"/>
        <v>13</v>
      </c>
      <c r="T140" s="34">
        <f t="shared" si="25"/>
        <v>9</v>
      </c>
      <c r="U140" s="34">
        <f t="shared" si="25"/>
        <v>7</v>
      </c>
      <c r="V140" s="34">
        <f t="shared" si="25"/>
        <v>8</v>
      </c>
      <c r="W140" s="34">
        <f t="shared" si="25"/>
        <v>3</v>
      </c>
      <c r="X140" s="34">
        <f t="shared" si="25"/>
        <v>0</v>
      </c>
      <c r="Y140" s="34">
        <f t="shared" si="25"/>
        <v>2</v>
      </c>
      <c r="Z140" s="34">
        <f t="shared" si="25"/>
        <v>2</v>
      </c>
      <c r="AA140" s="34">
        <f t="shared" si="25"/>
        <v>10</v>
      </c>
      <c r="AB140" s="34">
        <f t="shared" si="25"/>
        <v>1</v>
      </c>
      <c r="AC140" s="34">
        <f t="shared" si="25"/>
        <v>3</v>
      </c>
      <c r="AD140" s="34">
        <f t="shared" si="25"/>
        <v>3</v>
      </c>
      <c r="AE140" s="34">
        <f t="shared" si="25"/>
        <v>7</v>
      </c>
      <c r="AF140" s="34">
        <f t="shared" si="25"/>
        <v>2</v>
      </c>
      <c r="AG140" s="34">
        <f t="shared" si="25"/>
        <v>4</v>
      </c>
      <c r="AH140" s="34">
        <f t="shared" si="25"/>
        <v>2</v>
      </c>
      <c r="AI140" s="34">
        <f t="shared" si="25"/>
        <v>0</v>
      </c>
      <c r="AJ140" s="34">
        <f t="shared" si="25"/>
        <v>1</v>
      </c>
      <c r="AK140" s="34">
        <f t="shared" si="25"/>
        <v>5</v>
      </c>
      <c r="AL140" s="34">
        <f t="shared" si="25"/>
        <v>2</v>
      </c>
      <c r="AM140" s="34">
        <f t="shared" si="25"/>
        <v>1</v>
      </c>
      <c r="AN140" s="34">
        <f t="shared" si="25"/>
        <v>3</v>
      </c>
      <c r="AO140" s="34">
        <f t="shared" si="25"/>
        <v>2</v>
      </c>
      <c r="AP140" s="34">
        <f t="shared" si="25"/>
        <v>0</v>
      </c>
      <c r="AQ140" s="34">
        <f t="shared" si="25"/>
        <v>3</v>
      </c>
      <c r="AR140" s="34">
        <f t="shared" si="25"/>
        <v>4</v>
      </c>
      <c r="AS140" s="34">
        <f t="shared" si="25"/>
        <v>7</v>
      </c>
      <c r="AT140" s="34">
        <f t="shared" si="25"/>
        <v>5</v>
      </c>
      <c r="AU140" s="34">
        <f t="shared" si="25"/>
        <v>0</v>
      </c>
      <c r="AV140" s="34">
        <f t="shared" si="25"/>
        <v>5</v>
      </c>
      <c r="AW140" s="34">
        <f t="shared" si="25"/>
        <v>2</v>
      </c>
      <c r="AX140" s="34">
        <f t="shared" si="25"/>
        <v>0</v>
      </c>
      <c r="AY140" s="34">
        <f t="shared" si="25"/>
        <v>3</v>
      </c>
      <c r="AZ140" s="34">
        <f t="shared" si="25"/>
        <v>5</v>
      </c>
      <c r="BA140" s="34">
        <f t="shared" si="25"/>
        <v>3</v>
      </c>
      <c r="BB140" s="34">
        <f t="shared" si="25"/>
        <v>6</v>
      </c>
      <c r="BC140" s="34">
        <f t="shared" si="25"/>
        <v>1</v>
      </c>
      <c r="BD140" s="34">
        <f t="shared" si="25"/>
        <v>2</v>
      </c>
      <c r="BE140" s="34">
        <f t="shared" si="25"/>
        <v>2</v>
      </c>
      <c r="BF140" s="34">
        <f t="shared" si="25"/>
        <v>2</v>
      </c>
      <c r="BG140" s="34">
        <f t="shared" si="25"/>
        <v>1</v>
      </c>
      <c r="BH140" s="34">
        <f t="shared" si="25"/>
        <v>2</v>
      </c>
      <c r="BI140" s="34">
        <f t="shared" si="25"/>
        <v>2</v>
      </c>
      <c r="BJ140" s="34">
        <f t="shared" si="25"/>
        <v>0</v>
      </c>
      <c r="BK140" s="13">
        <f t="shared" si="13"/>
        <v>192</v>
      </c>
      <c r="BL140" s="5"/>
      <c r="BM140" s="5"/>
    </row>
    <row r="141" spans="1:65" ht="12.75" customHeight="1" x14ac:dyDescent="0.3">
      <c r="A141" s="35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13">
        <f t="shared" si="13"/>
        <v>0</v>
      </c>
      <c r="BL141" s="1"/>
      <c r="BM141" s="1"/>
    </row>
    <row r="142" spans="1:65" ht="12.75" customHeight="1" x14ac:dyDescent="0.3">
      <c r="A142" s="19" t="s">
        <v>37</v>
      </c>
      <c r="B142" s="26" t="s">
        <v>120</v>
      </c>
      <c r="C142" s="48" t="s">
        <v>121</v>
      </c>
      <c r="D142" s="47"/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1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1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0</v>
      </c>
      <c r="BE142" s="15">
        <v>0</v>
      </c>
      <c r="BF142" s="15">
        <v>0</v>
      </c>
      <c r="BG142" s="15">
        <v>0</v>
      </c>
      <c r="BH142" s="15">
        <v>0</v>
      </c>
      <c r="BI142" s="15">
        <v>0</v>
      </c>
      <c r="BJ142" s="15">
        <v>0</v>
      </c>
      <c r="BK142" s="13">
        <f t="shared" si="13"/>
        <v>2</v>
      </c>
      <c r="BL142" s="31"/>
      <c r="BM142" s="31"/>
    </row>
    <row r="143" spans="1:65" ht="12.75" customHeight="1" x14ac:dyDescent="0.3">
      <c r="A143" s="19" t="s">
        <v>39</v>
      </c>
      <c r="B143" s="27"/>
      <c r="C143" s="28" t="s">
        <v>122</v>
      </c>
      <c r="D143" s="29"/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1</v>
      </c>
      <c r="O143" s="15">
        <v>0</v>
      </c>
      <c r="P143" s="15"/>
      <c r="Q143" s="15"/>
      <c r="R143" s="15"/>
      <c r="S143" s="15"/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3">
        <f t="shared" si="13"/>
        <v>1</v>
      </c>
      <c r="BL143" s="5"/>
      <c r="BM143" s="5"/>
    </row>
    <row r="144" spans="1:65" ht="12.75" customHeight="1" x14ac:dyDescent="0.3">
      <c r="A144" s="14"/>
      <c r="B144" s="27"/>
      <c r="C144" s="28" t="s">
        <v>123</v>
      </c>
      <c r="D144" s="29"/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/>
      <c r="Q144" s="15"/>
      <c r="R144" s="15"/>
      <c r="S144" s="15"/>
      <c r="T144" s="15">
        <v>0</v>
      </c>
      <c r="U144" s="15">
        <v>1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1</v>
      </c>
      <c r="AF144" s="15">
        <v>7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>
        <v>0</v>
      </c>
      <c r="BI144" s="15">
        <v>0</v>
      </c>
      <c r="BJ144" s="15">
        <v>0</v>
      </c>
      <c r="BK144" s="13">
        <f t="shared" si="13"/>
        <v>9</v>
      </c>
      <c r="BL144" s="5"/>
      <c r="BM144" s="5"/>
    </row>
    <row r="145" spans="1:65" ht="12.75" customHeight="1" x14ac:dyDescent="0.3">
      <c r="A145" s="14"/>
      <c r="B145" s="27"/>
      <c r="C145" s="28" t="s">
        <v>124</v>
      </c>
      <c r="D145" s="29"/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/>
      <c r="Q145" s="15"/>
      <c r="R145" s="15"/>
      <c r="S145" s="15"/>
      <c r="T145" s="15">
        <v>0</v>
      </c>
      <c r="U145" s="15">
        <v>0</v>
      </c>
      <c r="V145" s="15">
        <v>1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1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3">
        <f t="shared" si="13"/>
        <v>2</v>
      </c>
      <c r="BL145" s="5"/>
      <c r="BM145" s="5"/>
    </row>
    <row r="146" spans="1:65" ht="12.75" customHeight="1" x14ac:dyDescent="0.3">
      <c r="A146" s="14"/>
      <c r="B146" s="27"/>
      <c r="C146" s="28" t="s">
        <v>125</v>
      </c>
      <c r="D146" s="29"/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1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/>
      <c r="Q146" s="15"/>
      <c r="R146" s="15"/>
      <c r="S146" s="15"/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1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5">
        <v>0</v>
      </c>
      <c r="AX146" s="15">
        <v>0</v>
      </c>
      <c r="AY146" s="15">
        <v>0</v>
      </c>
      <c r="AZ146" s="15">
        <v>0</v>
      </c>
      <c r="BA146" s="15">
        <v>0</v>
      </c>
      <c r="BB146" s="15">
        <v>0</v>
      </c>
      <c r="BC146" s="15">
        <v>0</v>
      </c>
      <c r="BD146" s="15">
        <v>0</v>
      </c>
      <c r="BE146" s="15">
        <v>0</v>
      </c>
      <c r="BF146" s="15">
        <v>0</v>
      </c>
      <c r="BG146" s="15">
        <v>0</v>
      </c>
      <c r="BH146" s="15">
        <v>0</v>
      </c>
      <c r="BI146" s="15">
        <v>0</v>
      </c>
      <c r="BJ146" s="15">
        <v>0</v>
      </c>
      <c r="BK146" s="13">
        <f t="shared" si="13"/>
        <v>2</v>
      </c>
      <c r="BL146" s="5"/>
      <c r="BM146" s="5"/>
    </row>
    <row r="147" spans="1:65" ht="12.75" customHeight="1" x14ac:dyDescent="0.3">
      <c r="A147" s="14"/>
      <c r="B147" s="27"/>
      <c r="C147" s="28" t="s">
        <v>126</v>
      </c>
      <c r="D147" s="29"/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/>
      <c r="Q147" s="15"/>
      <c r="R147" s="15"/>
      <c r="S147" s="15"/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1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3">
        <f t="shared" si="13"/>
        <v>1</v>
      </c>
      <c r="BL147" s="5"/>
      <c r="BM147" s="5"/>
    </row>
    <row r="148" spans="1:65" ht="12.75" customHeight="1" x14ac:dyDescent="0.3">
      <c r="A148" s="14"/>
      <c r="B148" s="27"/>
      <c r="C148" s="28" t="s">
        <v>127</v>
      </c>
      <c r="D148" s="29"/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/>
      <c r="Q148" s="15"/>
      <c r="R148" s="15"/>
      <c r="S148" s="15"/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1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0</v>
      </c>
      <c r="BE148" s="15">
        <v>0</v>
      </c>
      <c r="BF148" s="15">
        <v>0</v>
      </c>
      <c r="BG148" s="15">
        <v>0</v>
      </c>
      <c r="BH148" s="15">
        <v>0</v>
      </c>
      <c r="BI148" s="15">
        <v>0</v>
      </c>
      <c r="BJ148" s="15">
        <v>0</v>
      </c>
      <c r="BK148" s="13">
        <f t="shared" si="13"/>
        <v>1</v>
      </c>
      <c r="BL148" s="5"/>
      <c r="BM148" s="5"/>
    </row>
    <row r="149" spans="1:65" ht="12.75" customHeight="1" x14ac:dyDescent="0.3">
      <c r="A149" s="14"/>
      <c r="B149" s="27"/>
      <c r="C149" s="28" t="s">
        <v>128</v>
      </c>
      <c r="D149" s="29"/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3">
        <f t="shared" si="13"/>
        <v>0</v>
      </c>
      <c r="BL149" s="5"/>
      <c r="BM149" s="5"/>
    </row>
    <row r="150" spans="1:65" ht="12.75" customHeight="1" x14ac:dyDescent="0.3">
      <c r="A150" s="15" t="s">
        <v>15</v>
      </c>
      <c r="B150" s="45" t="s">
        <v>47</v>
      </c>
      <c r="C150" s="46"/>
      <c r="D150" s="47"/>
      <c r="E150" s="34">
        <f t="shared" ref="E150:BJ150" si="26">SUM(E142:E149)</f>
        <v>0</v>
      </c>
      <c r="F150" s="34">
        <f t="shared" si="26"/>
        <v>0</v>
      </c>
      <c r="G150" s="34">
        <f t="shared" si="26"/>
        <v>0</v>
      </c>
      <c r="H150" s="34">
        <f t="shared" si="26"/>
        <v>0</v>
      </c>
      <c r="I150" s="34">
        <f t="shared" si="26"/>
        <v>0</v>
      </c>
      <c r="J150" s="34">
        <f t="shared" si="26"/>
        <v>1</v>
      </c>
      <c r="K150" s="34">
        <f t="shared" si="26"/>
        <v>0</v>
      </c>
      <c r="L150" s="34">
        <f t="shared" si="26"/>
        <v>1</v>
      </c>
      <c r="M150" s="34">
        <f t="shared" si="26"/>
        <v>0</v>
      </c>
      <c r="N150" s="34">
        <f t="shared" si="26"/>
        <v>1</v>
      </c>
      <c r="O150" s="34">
        <f t="shared" si="26"/>
        <v>0</v>
      </c>
      <c r="P150" s="34">
        <f t="shared" si="26"/>
        <v>0</v>
      </c>
      <c r="Q150" s="34">
        <f t="shared" si="26"/>
        <v>0</v>
      </c>
      <c r="R150" s="34">
        <f t="shared" si="26"/>
        <v>0</v>
      </c>
      <c r="S150" s="34">
        <f t="shared" si="26"/>
        <v>0</v>
      </c>
      <c r="T150" s="34">
        <f t="shared" si="26"/>
        <v>0</v>
      </c>
      <c r="U150" s="34">
        <f t="shared" si="26"/>
        <v>1</v>
      </c>
      <c r="V150" s="34">
        <f t="shared" si="26"/>
        <v>1</v>
      </c>
      <c r="W150" s="34">
        <f t="shared" si="26"/>
        <v>0</v>
      </c>
      <c r="X150" s="34">
        <f t="shared" si="26"/>
        <v>0</v>
      </c>
      <c r="Y150" s="34">
        <f t="shared" si="26"/>
        <v>0</v>
      </c>
      <c r="Z150" s="34">
        <f t="shared" si="26"/>
        <v>0</v>
      </c>
      <c r="AA150" s="34">
        <f t="shared" si="26"/>
        <v>0</v>
      </c>
      <c r="AB150" s="34">
        <f t="shared" si="26"/>
        <v>0</v>
      </c>
      <c r="AC150" s="34">
        <f t="shared" si="26"/>
        <v>1</v>
      </c>
      <c r="AD150" s="34">
        <f t="shared" si="26"/>
        <v>0</v>
      </c>
      <c r="AE150" s="34">
        <f t="shared" si="26"/>
        <v>2</v>
      </c>
      <c r="AF150" s="34">
        <f t="shared" si="26"/>
        <v>9</v>
      </c>
      <c r="AG150" s="34">
        <f t="shared" si="26"/>
        <v>0</v>
      </c>
      <c r="AH150" s="34">
        <f t="shared" si="26"/>
        <v>0</v>
      </c>
      <c r="AI150" s="34">
        <f t="shared" si="26"/>
        <v>0</v>
      </c>
      <c r="AJ150" s="34">
        <f t="shared" si="26"/>
        <v>0</v>
      </c>
      <c r="AK150" s="34">
        <f t="shared" si="26"/>
        <v>0</v>
      </c>
      <c r="AL150" s="34">
        <f t="shared" si="26"/>
        <v>0</v>
      </c>
      <c r="AM150" s="34">
        <f t="shared" si="26"/>
        <v>0</v>
      </c>
      <c r="AN150" s="34">
        <f t="shared" si="26"/>
        <v>0</v>
      </c>
      <c r="AO150" s="34">
        <f t="shared" si="26"/>
        <v>1</v>
      </c>
      <c r="AP150" s="34">
        <f t="shared" si="26"/>
        <v>0</v>
      </c>
      <c r="AQ150" s="34">
        <f t="shared" si="26"/>
        <v>0</v>
      </c>
      <c r="AR150" s="34">
        <f t="shared" si="26"/>
        <v>0</v>
      </c>
      <c r="AS150" s="34">
        <f t="shared" si="26"/>
        <v>0</v>
      </c>
      <c r="AT150" s="34">
        <f t="shared" si="26"/>
        <v>0</v>
      </c>
      <c r="AU150" s="34">
        <f t="shared" si="26"/>
        <v>0</v>
      </c>
      <c r="AV150" s="34">
        <f t="shared" si="26"/>
        <v>0</v>
      </c>
      <c r="AW150" s="34">
        <f t="shared" si="26"/>
        <v>0</v>
      </c>
      <c r="AX150" s="34">
        <f t="shared" si="26"/>
        <v>0</v>
      </c>
      <c r="AY150" s="34">
        <f t="shared" si="26"/>
        <v>0</v>
      </c>
      <c r="AZ150" s="34">
        <f t="shared" si="26"/>
        <v>0</v>
      </c>
      <c r="BA150" s="34">
        <f t="shared" si="26"/>
        <v>0</v>
      </c>
      <c r="BB150" s="34">
        <f t="shared" si="26"/>
        <v>0</v>
      </c>
      <c r="BC150" s="34">
        <f t="shared" si="26"/>
        <v>0</v>
      </c>
      <c r="BD150" s="34">
        <f t="shared" si="26"/>
        <v>0</v>
      </c>
      <c r="BE150" s="34">
        <f t="shared" si="26"/>
        <v>0</v>
      </c>
      <c r="BF150" s="34">
        <f t="shared" si="26"/>
        <v>0</v>
      </c>
      <c r="BG150" s="34">
        <f t="shared" si="26"/>
        <v>0</v>
      </c>
      <c r="BH150" s="34">
        <f t="shared" si="26"/>
        <v>0</v>
      </c>
      <c r="BI150" s="34">
        <f t="shared" si="26"/>
        <v>0</v>
      </c>
      <c r="BJ150" s="34">
        <f t="shared" si="26"/>
        <v>0</v>
      </c>
      <c r="BK150" s="13">
        <f t="shared" si="13"/>
        <v>18</v>
      </c>
      <c r="BL150" s="5"/>
      <c r="BM150" s="5"/>
    </row>
    <row r="151" spans="1:65" ht="12.75" customHeight="1" x14ac:dyDescent="0.3">
      <c r="A151" s="35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13">
        <f t="shared" si="13"/>
        <v>0</v>
      </c>
      <c r="BL151" s="1"/>
      <c r="BM151" s="1"/>
    </row>
    <row r="152" spans="1:65" ht="12.75" customHeight="1" x14ac:dyDescent="0.3">
      <c r="A152" s="19" t="s">
        <v>37</v>
      </c>
      <c r="B152" s="26" t="s">
        <v>129</v>
      </c>
      <c r="C152" s="48" t="s">
        <v>130</v>
      </c>
      <c r="D152" s="47"/>
      <c r="E152" s="15">
        <v>2</v>
      </c>
      <c r="F152" s="15">
        <v>4</v>
      </c>
      <c r="G152" s="15">
        <v>1</v>
      </c>
      <c r="H152" s="15">
        <v>1</v>
      </c>
      <c r="I152" s="15">
        <v>1</v>
      </c>
      <c r="J152" s="15">
        <v>2</v>
      </c>
      <c r="K152" s="15">
        <v>1</v>
      </c>
      <c r="L152" s="15">
        <v>2</v>
      </c>
      <c r="M152" s="15">
        <v>1</v>
      </c>
      <c r="N152" s="15">
        <v>1</v>
      </c>
      <c r="O152" s="15">
        <v>4</v>
      </c>
      <c r="P152" s="15">
        <v>3</v>
      </c>
      <c r="Q152" s="15">
        <v>3</v>
      </c>
      <c r="R152" s="15">
        <v>10</v>
      </c>
      <c r="S152" s="15">
        <v>1</v>
      </c>
      <c r="T152" s="15">
        <v>5</v>
      </c>
      <c r="U152" s="15">
        <v>3</v>
      </c>
      <c r="V152" s="15">
        <v>3</v>
      </c>
      <c r="W152" s="15">
        <v>5</v>
      </c>
      <c r="X152" s="15">
        <v>2</v>
      </c>
      <c r="Y152" s="15">
        <v>9</v>
      </c>
      <c r="Z152" s="15">
        <v>1</v>
      </c>
      <c r="AA152" s="15">
        <v>4</v>
      </c>
      <c r="AB152" s="15">
        <v>4</v>
      </c>
      <c r="AC152" s="15">
        <v>2</v>
      </c>
      <c r="AD152" s="15">
        <v>6</v>
      </c>
      <c r="AE152" s="15">
        <v>1</v>
      </c>
      <c r="AF152" s="15">
        <v>1</v>
      </c>
      <c r="AG152" s="15">
        <v>8</v>
      </c>
      <c r="AH152" s="15">
        <v>3</v>
      </c>
      <c r="AI152" s="15">
        <v>4</v>
      </c>
      <c r="AJ152" s="15">
        <v>5</v>
      </c>
      <c r="AK152" s="15">
        <v>2</v>
      </c>
      <c r="AL152" s="15">
        <v>1</v>
      </c>
      <c r="AM152" s="15">
        <v>0</v>
      </c>
      <c r="AN152" s="15">
        <v>3</v>
      </c>
      <c r="AO152" s="15">
        <v>1</v>
      </c>
      <c r="AP152" s="15">
        <v>5</v>
      </c>
      <c r="AQ152" s="15">
        <v>3</v>
      </c>
      <c r="AR152" s="15">
        <v>6</v>
      </c>
      <c r="AS152" s="15">
        <v>1</v>
      </c>
      <c r="AT152" s="15">
        <v>0</v>
      </c>
      <c r="AU152" s="15">
        <v>5</v>
      </c>
      <c r="AV152" s="15">
        <v>5</v>
      </c>
      <c r="AW152" s="15">
        <v>5</v>
      </c>
      <c r="AX152" s="15">
        <v>2</v>
      </c>
      <c r="AY152" s="15">
        <v>2</v>
      </c>
      <c r="AZ152" s="15">
        <v>1</v>
      </c>
      <c r="BA152" s="15">
        <v>4</v>
      </c>
      <c r="BB152" s="15">
        <v>3</v>
      </c>
      <c r="BC152" s="15">
        <v>0</v>
      </c>
      <c r="BD152" s="15">
        <v>5</v>
      </c>
      <c r="BE152" s="15">
        <v>1</v>
      </c>
      <c r="BF152" s="15">
        <v>0</v>
      </c>
      <c r="BG152" s="15">
        <v>2</v>
      </c>
      <c r="BH152" s="15">
        <v>1</v>
      </c>
      <c r="BI152" s="15">
        <v>3</v>
      </c>
      <c r="BJ152" s="15">
        <v>0</v>
      </c>
      <c r="BK152" s="13">
        <f t="shared" si="13"/>
        <v>164</v>
      </c>
      <c r="BL152" s="31"/>
      <c r="BM152" s="31"/>
    </row>
    <row r="153" spans="1:65" ht="12.75" customHeight="1" x14ac:dyDescent="0.3">
      <c r="A153" s="19" t="s">
        <v>39</v>
      </c>
      <c r="B153" s="27"/>
      <c r="C153" s="28" t="s">
        <v>131</v>
      </c>
      <c r="D153" s="29"/>
      <c r="E153" s="15">
        <v>0</v>
      </c>
      <c r="F153" s="15">
        <v>3</v>
      </c>
      <c r="G153" s="15">
        <v>2</v>
      </c>
      <c r="H153" s="15">
        <v>0</v>
      </c>
      <c r="I153" s="15">
        <v>1</v>
      </c>
      <c r="J153" s="15">
        <v>0</v>
      </c>
      <c r="K153" s="15">
        <v>2</v>
      </c>
      <c r="L153" s="15">
        <v>1</v>
      </c>
      <c r="M153" s="15">
        <v>0</v>
      </c>
      <c r="N153" s="15">
        <v>2</v>
      </c>
      <c r="O153" s="15">
        <v>0</v>
      </c>
      <c r="P153" s="15">
        <v>2</v>
      </c>
      <c r="Q153" s="15">
        <v>0</v>
      </c>
      <c r="R153" s="15">
        <v>8</v>
      </c>
      <c r="S153" s="15">
        <v>7</v>
      </c>
      <c r="T153" s="15">
        <v>12</v>
      </c>
      <c r="U153" s="15">
        <v>3</v>
      </c>
      <c r="V153" s="15">
        <v>2</v>
      </c>
      <c r="W153" s="15">
        <v>3</v>
      </c>
      <c r="X153" s="15">
        <v>1</v>
      </c>
      <c r="Y153" s="15">
        <v>0</v>
      </c>
      <c r="Z153" s="15">
        <v>7</v>
      </c>
      <c r="AA153" s="15">
        <v>2</v>
      </c>
      <c r="AB153" s="15">
        <v>2</v>
      </c>
      <c r="AC153" s="15">
        <v>3</v>
      </c>
      <c r="AD153" s="15">
        <v>4</v>
      </c>
      <c r="AE153" s="15">
        <v>2</v>
      </c>
      <c r="AF153" s="15">
        <v>0</v>
      </c>
      <c r="AG153" s="15">
        <v>2</v>
      </c>
      <c r="AH153" s="15">
        <v>0</v>
      </c>
      <c r="AI153" s="15">
        <v>2</v>
      </c>
      <c r="AJ153" s="15">
        <v>1</v>
      </c>
      <c r="AK153" s="15">
        <v>4</v>
      </c>
      <c r="AL153" s="15">
        <v>2</v>
      </c>
      <c r="AM153" s="15">
        <v>17</v>
      </c>
      <c r="AN153" s="15">
        <v>1</v>
      </c>
      <c r="AO153" s="15">
        <v>3</v>
      </c>
      <c r="AP153" s="15">
        <v>5</v>
      </c>
      <c r="AQ153" s="15">
        <v>2</v>
      </c>
      <c r="AR153" s="15">
        <v>2</v>
      </c>
      <c r="AS153" s="15">
        <v>2</v>
      </c>
      <c r="AT153" s="15">
        <v>0</v>
      </c>
      <c r="AU153" s="15">
        <v>0</v>
      </c>
      <c r="AV153" s="15">
        <v>0</v>
      </c>
      <c r="AW153" s="15">
        <v>0</v>
      </c>
      <c r="AX153" s="15">
        <v>1</v>
      </c>
      <c r="AY153" s="15">
        <v>0</v>
      </c>
      <c r="AZ153" s="15">
        <v>5</v>
      </c>
      <c r="BA153" s="15">
        <v>1</v>
      </c>
      <c r="BB153" s="15">
        <v>1</v>
      </c>
      <c r="BC153" s="15">
        <v>2</v>
      </c>
      <c r="BD153" s="15">
        <v>0</v>
      </c>
      <c r="BE153" s="15">
        <v>1</v>
      </c>
      <c r="BF153" s="15">
        <v>1</v>
      </c>
      <c r="BG153" s="15">
        <v>1</v>
      </c>
      <c r="BH153" s="15">
        <v>0</v>
      </c>
      <c r="BI153" s="15">
        <v>0</v>
      </c>
      <c r="BJ153" s="15">
        <v>0</v>
      </c>
      <c r="BK153" s="13">
        <f t="shared" si="13"/>
        <v>125</v>
      </c>
      <c r="BL153" s="5"/>
      <c r="BM153" s="5"/>
    </row>
    <row r="154" spans="1:65" ht="12.75" customHeight="1" x14ac:dyDescent="0.3">
      <c r="A154" s="14"/>
      <c r="B154" s="27"/>
      <c r="C154" s="28" t="s">
        <v>132</v>
      </c>
      <c r="D154" s="29"/>
      <c r="E154" s="15">
        <v>0</v>
      </c>
      <c r="F154" s="15">
        <v>0</v>
      </c>
      <c r="G154" s="15">
        <v>1</v>
      </c>
      <c r="H154" s="15">
        <v>0</v>
      </c>
      <c r="I154" s="15">
        <v>2</v>
      </c>
      <c r="J154" s="15">
        <v>1</v>
      </c>
      <c r="K154" s="15">
        <v>1</v>
      </c>
      <c r="L154" s="15">
        <v>0</v>
      </c>
      <c r="M154" s="15">
        <v>0</v>
      </c>
      <c r="N154" s="15">
        <v>3</v>
      </c>
      <c r="O154" s="15">
        <v>0</v>
      </c>
      <c r="P154" s="15">
        <v>2</v>
      </c>
      <c r="Q154" s="15">
        <v>4</v>
      </c>
      <c r="R154" s="15">
        <v>0</v>
      </c>
      <c r="S154" s="15">
        <v>1</v>
      </c>
      <c r="T154" s="15">
        <v>0</v>
      </c>
      <c r="U154" s="15">
        <v>0</v>
      </c>
      <c r="V154" s="15">
        <v>0</v>
      </c>
      <c r="W154" s="15">
        <v>0</v>
      </c>
      <c r="X154" s="15">
        <v>2</v>
      </c>
      <c r="Y154" s="15">
        <v>2</v>
      </c>
      <c r="Z154" s="15">
        <v>0</v>
      </c>
      <c r="AA154" s="15">
        <v>0</v>
      </c>
      <c r="AB154" s="15">
        <v>2</v>
      </c>
      <c r="AC154" s="15">
        <v>0</v>
      </c>
      <c r="AD154" s="15">
        <v>1</v>
      </c>
      <c r="AE154" s="15">
        <v>1</v>
      </c>
      <c r="AF154" s="15">
        <v>1</v>
      </c>
      <c r="AG154" s="15">
        <v>2</v>
      </c>
      <c r="AH154" s="15">
        <v>0</v>
      </c>
      <c r="AI154" s="15">
        <v>0</v>
      </c>
      <c r="AJ154" s="15">
        <v>1</v>
      </c>
      <c r="AK154" s="15">
        <v>1</v>
      </c>
      <c r="AL154" s="15">
        <v>2</v>
      </c>
      <c r="AM154" s="15">
        <v>1</v>
      </c>
      <c r="AN154" s="15">
        <v>0</v>
      </c>
      <c r="AO154" s="15">
        <v>0</v>
      </c>
      <c r="AP154" s="15">
        <v>1</v>
      </c>
      <c r="AQ154" s="15">
        <v>0</v>
      </c>
      <c r="AR154" s="15">
        <v>0</v>
      </c>
      <c r="AS154" s="15">
        <v>1</v>
      </c>
      <c r="AT154" s="15">
        <v>1</v>
      </c>
      <c r="AU154" s="15">
        <v>1</v>
      </c>
      <c r="AV154" s="15">
        <v>0</v>
      </c>
      <c r="AW154" s="15">
        <v>1</v>
      </c>
      <c r="AX154" s="15">
        <v>0</v>
      </c>
      <c r="AY154" s="15">
        <v>0</v>
      </c>
      <c r="AZ154" s="15">
        <v>0</v>
      </c>
      <c r="BA154" s="15">
        <v>0</v>
      </c>
      <c r="BB154" s="15">
        <v>0</v>
      </c>
      <c r="BC154" s="15">
        <v>1</v>
      </c>
      <c r="BD154" s="15">
        <v>0</v>
      </c>
      <c r="BE154" s="15">
        <v>0</v>
      </c>
      <c r="BF154" s="15">
        <v>0</v>
      </c>
      <c r="BG154" s="15">
        <v>0</v>
      </c>
      <c r="BH154" s="15">
        <v>0</v>
      </c>
      <c r="BI154" s="15">
        <v>0</v>
      </c>
      <c r="BJ154" s="15">
        <v>1</v>
      </c>
      <c r="BK154" s="13">
        <f t="shared" si="13"/>
        <v>38</v>
      </c>
      <c r="BL154" s="5"/>
      <c r="BM154" s="5"/>
    </row>
    <row r="155" spans="1:65" ht="12.75" customHeight="1" x14ac:dyDescent="0.3">
      <c r="A155" s="14"/>
      <c r="B155" s="27"/>
      <c r="C155" s="28" t="s">
        <v>133</v>
      </c>
      <c r="D155" s="29"/>
      <c r="E155" s="15">
        <v>0</v>
      </c>
      <c r="F155" s="15">
        <v>1</v>
      </c>
      <c r="G155" s="15">
        <v>0</v>
      </c>
      <c r="H155" s="15">
        <v>0</v>
      </c>
      <c r="I155" s="15">
        <v>1</v>
      </c>
      <c r="J155" s="15">
        <v>0</v>
      </c>
      <c r="K155" s="15">
        <v>0</v>
      </c>
      <c r="L155" s="15">
        <v>2</v>
      </c>
      <c r="M155" s="15">
        <v>0</v>
      </c>
      <c r="N155" s="15">
        <v>1</v>
      </c>
      <c r="O155" s="15">
        <v>0</v>
      </c>
      <c r="P155" s="15">
        <v>0</v>
      </c>
      <c r="Q155" s="15">
        <v>0</v>
      </c>
      <c r="R155" s="15">
        <v>1</v>
      </c>
      <c r="S155" s="15">
        <v>0</v>
      </c>
      <c r="T155" s="15">
        <v>2</v>
      </c>
      <c r="U155" s="15">
        <v>0</v>
      </c>
      <c r="V155" s="15">
        <v>0</v>
      </c>
      <c r="W155" s="15">
        <v>3</v>
      </c>
      <c r="X155" s="15">
        <v>3</v>
      </c>
      <c r="Y155" s="15">
        <v>0</v>
      </c>
      <c r="Z155" s="15">
        <v>1</v>
      </c>
      <c r="AA155" s="15">
        <v>0</v>
      </c>
      <c r="AB155" s="15">
        <v>0</v>
      </c>
      <c r="AC155" s="15">
        <v>0</v>
      </c>
      <c r="AD155" s="15">
        <v>0</v>
      </c>
      <c r="AE155" s="15">
        <v>1</v>
      </c>
      <c r="AF155" s="15">
        <v>2</v>
      </c>
      <c r="AG155" s="15">
        <v>0</v>
      </c>
      <c r="AH155" s="15">
        <v>1</v>
      </c>
      <c r="AI155" s="15">
        <v>0</v>
      </c>
      <c r="AJ155" s="15">
        <v>1</v>
      </c>
      <c r="AK155" s="15">
        <v>0</v>
      </c>
      <c r="AL155" s="15">
        <v>1</v>
      </c>
      <c r="AM155" s="15">
        <v>0</v>
      </c>
      <c r="AN155" s="15">
        <v>0</v>
      </c>
      <c r="AO155" s="15">
        <v>0</v>
      </c>
      <c r="AP155" s="15">
        <v>0</v>
      </c>
      <c r="AQ155" s="15">
        <v>1</v>
      </c>
      <c r="AR155" s="15">
        <v>0</v>
      </c>
      <c r="AS155" s="15">
        <v>0</v>
      </c>
      <c r="AT155" s="15">
        <v>1</v>
      </c>
      <c r="AU155" s="15">
        <v>0</v>
      </c>
      <c r="AV155" s="15">
        <v>0</v>
      </c>
      <c r="AW155" s="15">
        <v>0</v>
      </c>
      <c r="AX155" s="15">
        <v>0</v>
      </c>
      <c r="AY155" s="15">
        <v>0</v>
      </c>
      <c r="AZ155" s="15">
        <v>0</v>
      </c>
      <c r="BA155" s="15">
        <v>0</v>
      </c>
      <c r="BB155" s="15">
        <v>1</v>
      </c>
      <c r="BC155" s="15">
        <v>0</v>
      </c>
      <c r="BD155" s="15">
        <v>0</v>
      </c>
      <c r="BE155" s="15">
        <v>0</v>
      </c>
      <c r="BF155" s="15">
        <v>1</v>
      </c>
      <c r="BG155" s="15">
        <v>1</v>
      </c>
      <c r="BH155" s="15">
        <v>1</v>
      </c>
      <c r="BI155" s="15">
        <v>0</v>
      </c>
      <c r="BJ155" s="15">
        <v>0</v>
      </c>
      <c r="BK155" s="13">
        <f t="shared" si="13"/>
        <v>27</v>
      </c>
      <c r="BL155" s="5"/>
      <c r="BM155" s="5"/>
    </row>
    <row r="156" spans="1:65" ht="12.75" customHeight="1" x14ac:dyDescent="0.3">
      <c r="A156" s="14"/>
      <c r="B156" s="27"/>
      <c r="C156" s="28" t="s">
        <v>134</v>
      </c>
      <c r="D156" s="29"/>
      <c r="E156" s="15">
        <v>2</v>
      </c>
      <c r="F156" s="15">
        <v>1</v>
      </c>
      <c r="G156" s="15">
        <v>1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1</v>
      </c>
      <c r="T156" s="15">
        <v>1</v>
      </c>
      <c r="U156" s="15">
        <v>0</v>
      </c>
      <c r="V156" s="15">
        <v>1</v>
      </c>
      <c r="W156" s="15">
        <v>0</v>
      </c>
      <c r="X156" s="15">
        <v>0</v>
      </c>
      <c r="Y156" s="15">
        <v>1</v>
      </c>
      <c r="Z156" s="15">
        <v>0</v>
      </c>
      <c r="AA156" s="15">
        <v>3</v>
      </c>
      <c r="AB156" s="15">
        <v>0</v>
      </c>
      <c r="AC156" s="15">
        <v>0</v>
      </c>
      <c r="AD156" s="15">
        <v>1</v>
      </c>
      <c r="AE156" s="15">
        <v>0</v>
      </c>
      <c r="AF156" s="15">
        <v>1</v>
      </c>
      <c r="AG156" s="15">
        <v>0</v>
      </c>
      <c r="AH156" s="15">
        <v>0</v>
      </c>
      <c r="AI156" s="15">
        <v>0</v>
      </c>
      <c r="AJ156" s="15">
        <v>1</v>
      </c>
      <c r="AK156" s="15">
        <v>0</v>
      </c>
      <c r="AL156" s="15">
        <v>0</v>
      </c>
      <c r="AM156" s="15">
        <v>1</v>
      </c>
      <c r="AN156" s="15">
        <v>0</v>
      </c>
      <c r="AO156" s="15">
        <v>0</v>
      </c>
      <c r="AP156" s="15">
        <v>2</v>
      </c>
      <c r="AQ156" s="15">
        <v>0</v>
      </c>
      <c r="AR156" s="15">
        <v>0</v>
      </c>
      <c r="AS156" s="15">
        <v>0</v>
      </c>
      <c r="AT156" s="15">
        <v>0</v>
      </c>
      <c r="AU156" s="15">
        <v>1</v>
      </c>
      <c r="AV156" s="15">
        <v>1</v>
      </c>
      <c r="AW156" s="15">
        <v>3</v>
      </c>
      <c r="AX156" s="15">
        <v>1</v>
      </c>
      <c r="AY156" s="15">
        <v>2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>
        <v>0</v>
      </c>
      <c r="BI156" s="15">
        <v>0</v>
      </c>
      <c r="BJ156" s="15">
        <v>2</v>
      </c>
      <c r="BK156" s="13">
        <f t="shared" si="13"/>
        <v>27</v>
      </c>
      <c r="BL156" s="5"/>
      <c r="BM156" s="5"/>
    </row>
    <row r="157" spans="1:65" ht="12.75" customHeight="1" x14ac:dyDescent="0.3">
      <c r="A157" s="14"/>
      <c r="B157" s="27"/>
      <c r="C157" s="28" t="s">
        <v>135</v>
      </c>
      <c r="D157" s="29"/>
      <c r="E157" s="15">
        <v>2</v>
      </c>
      <c r="F157" s="15">
        <v>2</v>
      </c>
      <c r="G157" s="15">
        <v>0</v>
      </c>
      <c r="H157" s="15">
        <v>1</v>
      </c>
      <c r="I157" s="15">
        <v>2</v>
      </c>
      <c r="J157" s="15">
        <v>4</v>
      </c>
      <c r="K157" s="15">
        <v>3</v>
      </c>
      <c r="L157" s="15">
        <v>1</v>
      </c>
      <c r="M157" s="15">
        <v>6</v>
      </c>
      <c r="N157" s="15">
        <v>21</v>
      </c>
      <c r="O157" s="15">
        <v>16</v>
      </c>
      <c r="P157" s="15">
        <v>14</v>
      </c>
      <c r="Q157" s="15">
        <v>6</v>
      </c>
      <c r="R157" s="15">
        <v>5</v>
      </c>
      <c r="S157" s="15">
        <v>12</v>
      </c>
      <c r="T157" s="15">
        <v>0</v>
      </c>
      <c r="U157" s="15">
        <v>1</v>
      </c>
      <c r="V157" s="15">
        <v>2</v>
      </c>
      <c r="W157" s="15">
        <v>2</v>
      </c>
      <c r="X157" s="15">
        <v>15</v>
      </c>
      <c r="Y157" s="15">
        <v>1</v>
      </c>
      <c r="Z157" s="15">
        <v>0</v>
      </c>
      <c r="AA157" s="15">
        <v>1</v>
      </c>
      <c r="AB157" s="15">
        <v>4</v>
      </c>
      <c r="AC157" s="15">
        <v>14</v>
      </c>
      <c r="AD157" s="15">
        <v>4</v>
      </c>
      <c r="AE157" s="15">
        <v>4</v>
      </c>
      <c r="AF157" s="15">
        <v>1</v>
      </c>
      <c r="AG157" s="15">
        <v>1</v>
      </c>
      <c r="AH157" s="15">
        <v>5</v>
      </c>
      <c r="AI157" s="15">
        <v>3</v>
      </c>
      <c r="AJ157" s="15">
        <v>0</v>
      </c>
      <c r="AK157" s="15">
        <v>0</v>
      </c>
      <c r="AL157" s="15">
        <v>1</v>
      </c>
      <c r="AM157" s="15">
        <v>0</v>
      </c>
      <c r="AN157" s="15">
        <v>8</v>
      </c>
      <c r="AO157" s="15">
        <v>3</v>
      </c>
      <c r="AP157" s="15">
        <v>3</v>
      </c>
      <c r="AQ157" s="15">
        <v>4</v>
      </c>
      <c r="AR157" s="15">
        <v>6</v>
      </c>
      <c r="AS157" s="15">
        <v>0</v>
      </c>
      <c r="AT157" s="15">
        <v>2</v>
      </c>
      <c r="AU157" s="15">
        <v>1</v>
      </c>
      <c r="AV157" s="15">
        <v>1</v>
      </c>
      <c r="AW157" s="15">
        <v>1</v>
      </c>
      <c r="AX157" s="15">
        <v>5</v>
      </c>
      <c r="AY157" s="15">
        <v>2</v>
      </c>
      <c r="AZ157" s="15">
        <v>5</v>
      </c>
      <c r="BA157" s="15">
        <v>2</v>
      </c>
      <c r="BB157" s="15">
        <v>1</v>
      </c>
      <c r="BC157" s="15">
        <v>2</v>
      </c>
      <c r="BD157" s="15">
        <v>2</v>
      </c>
      <c r="BE157" s="15">
        <v>17</v>
      </c>
      <c r="BF157" s="15">
        <v>3</v>
      </c>
      <c r="BG157" s="15">
        <v>4</v>
      </c>
      <c r="BH157" s="15">
        <v>6</v>
      </c>
      <c r="BI157" s="15">
        <v>4</v>
      </c>
      <c r="BJ157" s="15">
        <v>11</v>
      </c>
      <c r="BK157" s="13">
        <f t="shared" si="13"/>
        <v>247</v>
      </c>
      <c r="BL157" s="5"/>
      <c r="BM157" s="5"/>
    </row>
    <row r="158" spans="1:65" ht="12.75" customHeight="1" x14ac:dyDescent="0.3">
      <c r="A158" s="14"/>
      <c r="B158" s="27"/>
      <c r="C158" s="28" t="s">
        <v>136</v>
      </c>
      <c r="D158" s="29"/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1</v>
      </c>
      <c r="L158" s="15">
        <v>0</v>
      </c>
      <c r="M158" s="15">
        <v>0</v>
      </c>
      <c r="N158" s="15">
        <v>1</v>
      </c>
      <c r="O158" s="15">
        <v>0</v>
      </c>
      <c r="P158" s="15">
        <v>1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2</v>
      </c>
      <c r="W158" s="15">
        <v>0</v>
      </c>
      <c r="X158" s="15"/>
      <c r="Y158" s="15">
        <v>0</v>
      </c>
      <c r="Z158" s="15">
        <v>2</v>
      </c>
      <c r="AA158" s="15">
        <v>0</v>
      </c>
      <c r="AB158" s="15">
        <v>1</v>
      </c>
      <c r="AC158" s="15">
        <v>0</v>
      </c>
      <c r="AD158" s="15">
        <v>0</v>
      </c>
      <c r="AE158" s="15">
        <v>0</v>
      </c>
      <c r="AF158" s="15">
        <v>0</v>
      </c>
      <c r="AG158" s="15">
        <v>1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0</v>
      </c>
      <c r="AP158" s="15">
        <v>0</v>
      </c>
      <c r="AQ158" s="15">
        <v>1</v>
      </c>
      <c r="AR158" s="15">
        <v>0</v>
      </c>
      <c r="AS158" s="15">
        <v>0</v>
      </c>
      <c r="AT158" s="15">
        <v>1</v>
      </c>
      <c r="AU158" s="15">
        <v>0</v>
      </c>
      <c r="AV158" s="15">
        <v>0</v>
      </c>
      <c r="AW158" s="15">
        <v>0</v>
      </c>
      <c r="AX158" s="15">
        <v>0</v>
      </c>
      <c r="AY158" s="15">
        <v>0</v>
      </c>
      <c r="AZ158" s="15">
        <v>0</v>
      </c>
      <c r="BA158" s="15">
        <v>0</v>
      </c>
      <c r="BB158" s="15">
        <v>1</v>
      </c>
      <c r="BC158" s="15">
        <v>0</v>
      </c>
      <c r="BD158" s="15">
        <v>0</v>
      </c>
      <c r="BE158" s="15">
        <v>1</v>
      </c>
      <c r="BF158" s="15">
        <v>0</v>
      </c>
      <c r="BG158" s="15">
        <v>0</v>
      </c>
      <c r="BH158" s="15">
        <v>0</v>
      </c>
      <c r="BI158" s="15">
        <v>0</v>
      </c>
      <c r="BJ158" s="15">
        <v>1</v>
      </c>
      <c r="BK158" s="13">
        <f t="shared" si="13"/>
        <v>14</v>
      </c>
      <c r="BL158" s="5"/>
      <c r="BM158" s="5"/>
    </row>
    <row r="159" spans="1:65" ht="12.75" customHeight="1" x14ac:dyDescent="0.3">
      <c r="A159" s="14"/>
      <c r="B159" s="27"/>
      <c r="C159" s="28" t="s">
        <v>137</v>
      </c>
      <c r="D159" s="29"/>
      <c r="E159" s="15">
        <v>32</v>
      </c>
      <c r="F159" s="15">
        <v>6</v>
      </c>
      <c r="G159" s="15">
        <v>8</v>
      </c>
      <c r="H159" s="15">
        <v>9</v>
      </c>
      <c r="I159" s="15">
        <v>20</v>
      </c>
      <c r="J159" s="15">
        <v>36</v>
      </c>
      <c r="K159" s="15">
        <v>20</v>
      </c>
      <c r="L159" s="15">
        <v>12</v>
      </c>
      <c r="M159" s="15">
        <v>11</v>
      </c>
      <c r="N159" s="15">
        <v>6</v>
      </c>
      <c r="O159" s="15">
        <v>5</v>
      </c>
      <c r="P159" s="15">
        <v>14</v>
      </c>
      <c r="Q159" s="15">
        <v>24</v>
      </c>
      <c r="R159" s="15">
        <v>22</v>
      </c>
      <c r="S159" s="15">
        <v>7</v>
      </c>
      <c r="T159" s="15">
        <v>2</v>
      </c>
      <c r="U159" s="15">
        <v>9</v>
      </c>
      <c r="V159" s="15">
        <v>15</v>
      </c>
      <c r="W159" s="15">
        <v>10</v>
      </c>
      <c r="X159" s="15">
        <v>26</v>
      </c>
      <c r="Y159" s="15">
        <v>45</v>
      </c>
      <c r="Z159" s="15">
        <v>46</v>
      </c>
      <c r="AA159" s="15">
        <v>22</v>
      </c>
      <c r="AB159" s="15">
        <v>53</v>
      </c>
      <c r="AC159" s="15">
        <v>33</v>
      </c>
      <c r="AD159" s="15">
        <v>57</v>
      </c>
      <c r="AE159" s="15">
        <v>61</v>
      </c>
      <c r="AF159" s="15">
        <v>4</v>
      </c>
      <c r="AG159" s="15">
        <v>26</v>
      </c>
      <c r="AH159" s="15">
        <v>19</v>
      </c>
      <c r="AI159" s="15">
        <v>7</v>
      </c>
      <c r="AJ159" s="15">
        <v>0</v>
      </c>
      <c r="AK159" s="15">
        <v>18</v>
      </c>
      <c r="AL159" s="15">
        <v>14</v>
      </c>
      <c r="AM159" s="15">
        <v>0</v>
      </c>
      <c r="AN159" s="15">
        <v>5</v>
      </c>
      <c r="AO159" s="15">
        <v>0</v>
      </c>
      <c r="AP159" s="15">
        <v>14</v>
      </c>
      <c r="AQ159" s="15">
        <v>5</v>
      </c>
      <c r="AR159" s="15">
        <v>10</v>
      </c>
      <c r="AS159" s="15">
        <v>0</v>
      </c>
      <c r="AT159" s="15">
        <v>12</v>
      </c>
      <c r="AU159" s="15">
        <v>1</v>
      </c>
      <c r="AV159" s="15">
        <v>6</v>
      </c>
      <c r="AW159" s="15">
        <v>6</v>
      </c>
      <c r="AX159" s="15">
        <v>2</v>
      </c>
      <c r="AY159" s="15">
        <v>4</v>
      </c>
      <c r="AZ159" s="15">
        <v>0</v>
      </c>
      <c r="BA159" s="15">
        <v>0</v>
      </c>
      <c r="BB159" s="15">
        <v>0</v>
      </c>
      <c r="BC159" s="15">
        <v>1</v>
      </c>
      <c r="BD159" s="15">
        <v>6</v>
      </c>
      <c r="BE159" s="15">
        <v>4</v>
      </c>
      <c r="BF159" s="15">
        <v>5</v>
      </c>
      <c r="BG159" s="15">
        <v>1</v>
      </c>
      <c r="BH159" s="15">
        <v>14</v>
      </c>
      <c r="BI159" s="15">
        <v>11</v>
      </c>
      <c r="BJ159" s="15">
        <v>9</v>
      </c>
      <c r="BK159" s="13">
        <f t="shared" si="13"/>
        <v>815</v>
      </c>
      <c r="BL159" s="5"/>
      <c r="BM159" s="5"/>
    </row>
    <row r="160" spans="1:65" ht="12.75" customHeight="1" x14ac:dyDescent="0.3">
      <c r="A160" s="15" t="s">
        <v>15</v>
      </c>
      <c r="B160" s="45" t="s">
        <v>47</v>
      </c>
      <c r="C160" s="46"/>
      <c r="D160" s="47"/>
      <c r="E160" s="34">
        <f t="shared" ref="E160:BJ160" si="27">SUM(E152:E159)</f>
        <v>38</v>
      </c>
      <c r="F160" s="34">
        <f t="shared" si="27"/>
        <v>17</v>
      </c>
      <c r="G160" s="34">
        <f t="shared" si="27"/>
        <v>13</v>
      </c>
      <c r="H160" s="34">
        <f t="shared" si="27"/>
        <v>11</v>
      </c>
      <c r="I160" s="34">
        <f t="shared" si="27"/>
        <v>27</v>
      </c>
      <c r="J160" s="34">
        <f t="shared" si="27"/>
        <v>43</v>
      </c>
      <c r="K160" s="34">
        <f t="shared" si="27"/>
        <v>28</v>
      </c>
      <c r="L160" s="34">
        <f t="shared" si="27"/>
        <v>18</v>
      </c>
      <c r="M160" s="34">
        <f t="shared" si="27"/>
        <v>18</v>
      </c>
      <c r="N160" s="34">
        <f t="shared" si="27"/>
        <v>35</v>
      </c>
      <c r="O160" s="34">
        <f t="shared" si="27"/>
        <v>25</v>
      </c>
      <c r="P160" s="34">
        <f t="shared" si="27"/>
        <v>36</v>
      </c>
      <c r="Q160" s="34">
        <f t="shared" si="27"/>
        <v>37</v>
      </c>
      <c r="R160" s="34">
        <f t="shared" si="27"/>
        <v>46</v>
      </c>
      <c r="S160" s="34">
        <f t="shared" si="27"/>
        <v>29</v>
      </c>
      <c r="T160" s="34">
        <f t="shared" si="27"/>
        <v>22</v>
      </c>
      <c r="U160" s="34">
        <f t="shared" si="27"/>
        <v>16</v>
      </c>
      <c r="V160" s="34">
        <f t="shared" si="27"/>
        <v>25</v>
      </c>
      <c r="W160" s="34">
        <f t="shared" si="27"/>
        <v>23</v>
      </c>
      <c r="X160" s="34">
        <f t="shared" si="27"/>
        <v>49</v>
      </c>
      <c r="Y160" s="34">
        <f t="shared" si="27"/>
        <v>58</v>
      </c>
      <c r="Z160" s="34">
        <f t="shared" si="27"/>
        <v>57</v>
      </c>
      <c r="AA160" s="34">
        <f t="shared" si="27"/>
        <v>32</v>
      </c>
      <c r="AB160" s="34">
        <f t="shared" si="27"/>
        <v>66</v>
      </c>
      <c r="AC160" s="34">
        <f t="shared" si="27"/>
        <v>52</v>
      </c>
      <c r="AD160" s="34">
        <f t="shared" si="27"/>
        <v>73</v>
      </c>
      <c r="AE160" s="34">
        <f t="shared" si="27"/>
        <v>70</v>
      </c>
      <c r="AF160" s="34">
        <f t="shared" si="27"/>
        <v>10</v>
      </c>
      <c r="AG160" s="34">
        <f t="shared" si="27"/>
        <v>40</v>
      </c>
      <c r="AH160" s="34">
        <f t="shared" si="27"/>
        <v>28</v>
      </c>
      <c r="AI160" s="34">
        <f t="shared" si="27"/>
        <v>16</v>
      </c>
      <c r="AJ160" s="34">
        <f t="shared" si="27"/>
        <v>9</v>
      </c>
      <c r="AK160" s="34">
        <f t="shared" si="27"/>
        <v>25</v>
      </c>
      <c r="AL160" s="34">
        <f t="shared" si="27"/>
        <v>21</v>
      </c>
      <c r="AM160" s="34">
        <f t="shared" si="27"/>
        <v>19</v>
      </c>
      <c r="AN160" s="34">
        <f t="shared" si="27"/>
        <v>17</v>
      </c>
      <c r="AO160" s="34">
        <f t="shared" si="27"/>
        <v>7</v>
      </c>
      <c r="AP160" s="34">
        <f t="shared" si="27"/>
        <v>30</v>
      </c>
      <c r="AQ160" s="34">
        <f t="shared" si="27"/>
        <v>16</v>
      </c>
      <c r="AR160" s="34">
        <f t="shared" si="27"/>
        <v>24</v>
      </c>
      <c r="AS160" s="34">
        <f t="shared" si="27"/>
        <v>4</v>
      </c>
      <c r="AT160" s="34">
        <f t="shared" si="27"/>
        <v>17</v>
      </c>
      <c r="AU160" s="34">
        <f t="shared" si="27"/>
        <v>9</v>
      </c>
      <c r="AV160" s="34">
        <f t="shared" si="27"/>
        <v>13</v>
      </c>
      <c r="AW160" s="34">
        <f t="shared" si="27"/>
        <v>16</v>
      </c>
      <c r="AX160" s="34">
        <f t="shared" si="27"/>
        <v>11</v>
      </c>
      <c r="AY160" s="34">
        <f t="shared" si="27"/>
        <v>10</v>
      </c>
      <c r="AZ160" s="34">
        <f t="shared" si="27"/>
        <v>11</v>
      </c>
      <c r="BA160" s="34">
        <f t="shared" si="27"/>
        <v>7</v>
      </c>
      <c r="BB160" s="34">
        <f t="shared" si="27"/>
        <v>7</v>
      </c>
      <c r="BC160" s="34">
        <f t="shared" si="27"/>
        <v>6</v>
      </c>
      <c r="BD160" s="34">
        <f t="shared" si="27"/>
        <v>13</v>
      </c>
      <c r="BE160" s="34">
        <f t="shared" si="27"/>
        <v>24</v>
      </c>
      <c r="BF160" s="34">
        <f t="shared" si="27"/>
        <v>10</v>
      </c>
      <c r="BG160" s="34">
        <f t="shared" si="27"/>
        <v>9</v>
      </c>
      <c r="BH160" s="34">
        <f t="shared" si="27"/>
        <v>22</v>
      </c>
      <c r="BI160" s="34">
        <f t="shared" si="27"/>
        <v>18</v>
      </c>
      <c r="BJ160" s="34">
        <f t="shared" si="27"/>
        <v>24</v>
      </c>
      <c r="BK160" s="13">
        <f t="shared" si="13"/>
        <v>1457</v>
      </c>
      <c r="BL160" s="5"/>
      <c r="BM160" s="5"/>
    </row>
    <row r="161" spans="1:65" ht="12.75" customHeight="1" x14ac:dyDescent="0.3">
      <c r="A161" s="35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13">
        <f t="shared" si="13"/>
        <v>0</v>
      </c>
      <c r="BL161" s="5"/>
      <c r="BM161" s="5"/>
    </row>
    <row r="162" spans="1:65" ht="12.75" customHeight="1" x14ac:dyDescent="0.3">
      <c r="A162" s="19" t="s">
        <v>37</v>
      </c>
      <c r="B162" s="26" t="s">
        <v>138</v>
      </c>
      <c r="C162" s="48" t="s">
        <v>139</v>
      </c>
      <c r="D162" s="47"/>
      <c r="E162" s="15">
        <v>4</v>
      </c>
      <c r="F162" s="15">
        <v>3</v>
      </c>
      <c r="G162" s="15">
        <v>2</v>
      </c>
      <c r="H162" s="15">
        <v>1</v>
      </c>
      <c r="I162" s="15">
        <v>2</v>
      </c>
      <c r="J162" s="15">
        <v>0</v>
      </c>
      <c r="K162" s="15">
        <v>4</v>
      </c>
      <c r="L162" s="15">
        <v>1</v>
      </c>
      <c r="M162" s="15">
        <v>1</v>
      </c>
      <c r="N162" s="15">
        <v>0</v>
      </c>
      <c r="O162" s="15">
        <v>0</v>
      </c>
      <c r="P162" s="15">
        <v>1</v>
      </c>
      <c r="Q162" s="15">
        <v>0</v>
      </c>
      <c r="R162" s="15">
        <v>2</v>
      </c>
      <c r="S162" s="15">
        <v>1</v>
      </c>
      <c r="T162" s="15">
        <v>2</v>
      </c>
      <c r="U162" s="15">
        <v>3</v>
      </c>
      <c r="V162" s="15">
        <v>0</v>
      </c>
      <c r="W162" s="15">
        <v>5</v>
      </c>
      <c r="X162" s="15">
        <v>3</v>
      </c>
      <c r="Y162" s="15">
        <v>2</v>
      </c>
      <c r="Z162" s="15">
        <v>2</v>
      </c>
      <c r="AA162" s="15">
        <v>4</v>
      </c>
      <c r="AB162" s="15">
        <v>0</v>
      </c>
      <c r="AC162" s="15">
        <v>3</v>
      </c>
      <c r="AD162" s="15">
        <v>0</v>
      </c>
      <c r="AE162" s="15">
        <v>1</v>
      </c>
      <c r="AF162" s="15">
        <v>6</v>
      </c>
      <c r="AG162" s="15">
        <v>1</v>
      </c>
      <c r="AH162" s="15">
        <v>0</v>
      </c>
      <c r="AI162" s="15">
        <v>0</v>
      </c>
      <c r="AJ162" s="15">
        <v>6</v>
      </c>
      <c r="AK162" s="15">
        <v>2</v>
      </c>
      <c r="AL162" s="15">
        <v>0</v>
      </c>
      <c r="AM162" s="15">
        <v>1</v>
      </c>
      <c r="AN162" s="15">
        <v>1</v>
      </c>
      <c r="AO162" s="15">
        <v>2</v>
      </c>
      <c r="AP162" s="15">
        <v>1</v>
      </c>
      <c r="AQ162" s="15">
        <v>1</v>
      </c>
      <c r="AR162" s="15">
        <v>4</v>
      </c>
      <c r="AS162" s="15">
        <v>1</v>
      </c>
      <c r="AT162" s="15">
        <v>1</v>
      </c>
      <c r="AU162" s="15">
        <v>3</v>
      </c>
      <c r="AV162" s="15">
        <v>3</v>
      </c>
      <c r="AW162" s="15">
        <v>1</v>
      </c>
      <c r="AX162" s="15">
        <v>1</v>
      </c>
      <c r="AY162" s="15">
        <v>2</v>
      </c>
      <c r="AZ162" s="15">
        <v>0</v>
      </c>
      <c r="BA162" s="15">
        <v>1</v>
      </c>
      <c r="BB162" s="15">
        <v>6</v>
      </c>
      <c r="BC162" s="15">
        <v>2</v>
      </c>
      <c r="BD162" s="15">
        <v>1</v>
      </c>
      <c r="BE162" s="15">
        <v>0</v>
      </c>
      <c r="BF162" s="15">
        <v>0</v>
      </c>
      <c r="BG162" s="15">
        <v>1</v>
      </c>
      <c r="BH162" s="15">
        <v>1</v>
      </c>
      <c r="BI162" s="15">
        <v>1</v>
      </c>
      <c r="BJ162" s="15">
        <v>0</v>
      </c>
      <c r="BK162" s="13">
        <f t="shared" si="13"/>
        <v>97</v>
      </c>
      <c r="BL162" s="5"/>
      <c r="BM162" s="5"/>
    </row>
    <row r="163" spans="1:65" ht="15" customHeight="1" x14ac:dyDescent="0.3">
      <c r="A163" s="19" t="s">
        <v>39</v>
      </c>
      <c r="B163" s="27"/>
      <c r="C163" s="28" t="s">
        <v>140</v>
      </c>
      <c r="D163" s="29"/>
      <c r="E163" s="15">
        <v>0</v>
      </c>
      <c r="F163" s="15">
        <v>1</v>
      </c>
      <c r="G163" s="15">
        <v>2</v>
      </c>
      <c r="H163" s="15">
        <v>6</v>
      </c>
      <c r="I163" s="15">
        <v>2</v>
      </c>
      <c r="J163" s="15">
        <v>3</v>
      </c>
      <c r="K163" s="15">
        <v>2</v>
      </c>
      <c r="L163" s="15">
        <v>2</v>
      </c>
      <c r="M163" s="15">
        <v>1</v>
      </c>
      <c r="N163" s="15">
        <v>1</v>
      </c>
      <c r="O163" s="15">
        <v>0</v>
      </c>
      <c r="P163" s="15">
        <v>1</v>
      </c>
      <c r="Q163" s="15">
        <v>1</v>
      </c>
      <c r="R163" s="15">
        <v>0</v>
      </c>
      <c r="S163" s="15">
        <v>4</v>
      </c>
      <c r="T163" s="15">
        <v>2</v>
      </c>
      <c r="U163" s="15">
        <v>4</v>
      </c>
      <c r="V163" s="15">
        <v>2</v>
      </c>
      <c r="W163" s="15">
        <v>1</v>
      </c>
      <c r="X163" s="15">
        <v>3</v>
      </c>
      <c r="Y163" s="15">
        <v>1</v>
      </c>
      <c r="Z163" s="15">
        <v>5</v>
      </c>
      <c r="AA163" s="15">
        <v>8</v>
      </c>
      <c r="AB163" s="15">
        <v>2</v>
      </c>
      <c r="AC163" s="15">
        <v>3</v>
      </c>
      <c r="AD163" s="15">
        <v>0</v>
      </c>
      <c r="AE163" s="15">
        <v>0</v>
      </c>
      <c r="AF163" s="15">
        <v>0</v>
      </c>
      <c r="AG163" s="15">
        <v>1</v>
      </c>
      <c r="AH163" s="15">
        <v>2</v>
      </c>
      <c r="AI163" s="15">
        <v>1</v>
      </c>
      <c r="AJ163" s="15">
        <v>3</v>
      </c>
      <c r="AK163" s="15">
        <v>4</v>
      </c>
      <c r="AL163" s="15">
        <v>3</v>
      </c>
      <c r="AM163" s="15">
        <v>2</v>
      </c>
      <c r="AN163" s="15">
        <v>1</v>
      </c>
      <c r="AO163" s="15">
        <v>0</v>
      </c>
      <c r="AP163" s="15">
        <v>0</v>
      </c>
      <c r="AQ163" s="15">
        <v>2</v>
      </c>
      <c r="AR163" s="15">
        <v>1</v>
      </c>
      <c r="AS163" s="15">
        <v>3</v>
      </c>
      <c r="AT163" s="15">
        <v>2</v>
      </c>
      <c r="AU163" s="15">
        <v>4</v>
      </c>
      <c r="AV163" s="15">
        <v>4</v>
      </c>
      <c r="AW163" s="15">
        <v>0</v>
      </c>
      <c r="AX163" s="15">
        <v>1</v>
      </c>
      <c r="AY163" s="15">
        <v>3</v>
      </c>
      <c r="AZ163" s="15">
        <v>4</v>
      </c>
      <c r="BA163" s="15">
        <v>1</v>
      </c>
      <c r="BB163" s="15">
        <v>3</v>
      </c>
      <c r="BC163" s="15">
        <v>3</v>
      </c>
      <c r="BD163" s="15">
        <v>0</v>
      </c>
      <c r="BE163" s="15">
        <v>1</v>
      </c>
      <c r="BF163" s="15">
        <v>1</v>
      </c>
      <c r="BG163" s="15">
        <v>1</v>
      </c>
      <c r="BH163" s="15">
        <v>1</v>
      </c>
      <c r="BI163" s="15">
        <v>0</v>
      </c>
      <c r="BJ163" s="15">
        <v>0</v>
      </c>
      <c r="BK163" s="13">
        <f t="shared" si="13"/>
        <v>109</v>
      </c>
      <c r="BL163" s="5"/>
      <c r="BM163" s="5"/>
    </row>
    <row r="164" spans="1:65" ht="12.75" customHeight="1" x14ac:dyDescent="0.3">
      <c r="A164" s="19"/>
      <c r="B164" s="27"/>
      <c r="C164" s="28" t="s">
        <v>141</v>
      </c>
      <c r="D164" s="29"/>
      <c r="E164" s="15">
        <v>0</v>
      </c>
      <c r="F164" s="15">
        <v>1</v>
      </c>
      <c r="G164" s="15">
        <v>0</v>
      </c>
      <c r="H164" s="15">
        <v>1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1</v>
      </c>
      <c r="Q164" s="15">
        <v>2</v>
      </c>
      <c r="R164" s="15">
        <v>0</v>
      </c>
      <c r="S164" s="15">
        <v>2</v>
      </c>
      <c r="T164" s="15">
        <v>0</v>
      </c>
      <c r="U164" s="15">
        <v>0</v>
      </c>
      <c r="V164" s="15">
        <v>0</v>
      </c>
      <c r="W164" s="15">
        <v>1</v>
      </c>
      <c r="X164" s="15">
        <v>0</v>
      </c>
      <c r="Y164" s="15">
        <v>2</v>
      </c>
      <c r="Z164" s="15">
        <v>1</v>
      </c>
      <c r="AA164" s="15">
        <v>0</v>
      </c>
      <c r="AB164" s="15">
        <v>1</v>
      </c>
      <c r="AC164" s="15">
        <v>0</v>
      </c>
      <c r="AD164" s="15">
        <v>0</v>
      </c>
      <c r="AE164" s="15">
        <v>1</v>
      </c>
      <c r="AF164" s="15">
        <v>0</v>
      </c>
      <c r="AG164" s="15">
        <v>0</v>
      </c>
      <c r="AH164" s="15">
        <v>0</v>
      </c>
      <c r="AI164" s="15">
        <v>0</v>
      </c>
      <c r="AJ164" s="15">
        <v>2</v>
      </c>
      <c r="AK164" s="15"/>
      <c r="AL164" s="15">
        <v>1</v>
      </c>
      <c r="AM164" s="15">
        <v>0</v>
      </c>
      <c r="AN164" s="15">
        <v>0</v>
      </c>
      <c r="AO164" s="15">
        <v>0</v>
      </c>
      <c r="AP164" s="15">
        <v>0</v>
      </c>
      <c r="AQ164" s="15">
        <v>1</v>
      </c>
      <c r="AR164" s="15">
        <v>1</v>
      </c>
      <c r="AS164" s="15">
        <v>2</v>
      </c>
      <c r="AT164" s="15">
        <v>0</v>
      </c>
      <c r="AU164" s="15">
        <v>1</v>
      </c>
      <c r="AV164" s="15">
        <v>0</v>
      </c>
      <c r="AW164" s="15">
        <v>0</v>
      </c>
      <c r="AX164" s="15">
        <v>0</v>
      </c>
      <c r="AY164" s="15">
        <v>0</v>
      </c>
      <c r="AZ164" s="15">
        <v>0</v>
      </c>
      <c r="BA164" s="15">
        <v>1</v>
      </c>
      <c r="BB164" s="15">
        <v>0</v>
      </c>
      <c r="BC164" s="15">
        <v>1</v>
      </c>
      <c r="BD164" s="15">
        <v>1</v>
      </c>
      <c r="BE164" s="15">
        <v>1</v>
      </c>
      <c r="BF164" s="15">
        <v>2</v>
      </c>
      <c r="BG164" s="15">
        <v>0</v>
      </c>
      <c r="BH164" s="15">
        <v>0</v>
      </c>
      <c r="BI164" s="15">
        <v>0</v>
      </c>
      <c r="BJ164" s="15">
        <v>0</v>
      </c>
      <c r="BK164" s="13">
        <f t="shared" si="13"/>
        <v>27</v>
      </c>
      <c r="BL164" s="5"/>
      <c r="BM164" s="5"/>
    </row>
    <row r="165" spans="1:65" ht="12.75" customHeight="1" x14ac:dyDescent="0.3">
      <c r="A165" s="15" t="s">
        <v>15</v>
      </c>
      <c r="B165" s="45" t="s">
        <v>47</v>
      </c>
      <c r="C165" s="46"/>
      <c r="D165" s="47"/>
      <c r="E165" s="34">
        <f t="shared" ref="E165:BJ165" si="28">SUM(E162:E164)</f>
        <v>4</v>
      </c>
      <c r="F165" s="34">
        <f t="shared" si="28"/>
        <v>5</v>
      </c>
      <c r="G165" s="34">
        <f t="shared" si="28"/>
        <v>4</v>
      </c>
      <c r="H165" s="34">
        <f t="shared" si="28"/>
        <v>8</v>
      </c>
      <c r="I165" s="34">
        <f t="shared" si="28"/>
        <v>4</v>
      </c>
      <c r="J165" s="34">
        <f t="shared" si="28"/>
        <v>3</v>
      </c>
      <c r="K165" s="34">
        <f t="shared" si="28"/>
        <v>6</v>
      </c>
      <c r="L165" s="34">
        <f t="shared" si="28"/>
        <v>3</v>
      </c>
      <c r="M165" s="34">
        <f t="shared" si="28"/>
        <v>2</v>
      </c>
      <c r="N165" s="34">
        <f t="shared" si="28"/>
        <v>1</v>
      </c>
      <c r="O165" s="34">
        <f t="shared" si="28"/>
        <v>0</v>
      </c>
      <c r="P165" s="34">
        <f t="shared" si="28"/>
        <v>3</v>
      </c>
      <c r="Q165" s="34">
        <f t="shared" si="28"/>
        <v>3</v>
      </c>
      <c r="R165" s="34">
        <f t="shared" si="28"/>
        <v>2</v>
      </c>
      <c r="S165" s="34">
        <f t="shared" si="28"/>
        <v>7</v>
      </c>
      <c r="T165" s="34">
        <f t="shared" si="28"/>
        <v>4</v>
      </c>
      <c r="U165" s="34">
        <f t="shared" si="28"/>
        <v>7</v>
      </c>
      <c r="V165" s="34">
        <f t="shared" si="28"/>
        <v>2</v>
      </c>
      <c r="W165" s="34">
        <f t="shared" si="28"/>
        <v>7</v>
      </c>
      <c r="X165" s="34">
        <f t="shared" si="28"/>
        <v>6</v>
      </c>
      <c r="Y165" s="34">
        <f t="shared" si="28"/>
        <v>5</v>
      </c>
      <c r="Z165" s="34">
        <f t="shared" si="28"/>
        <v>8</v>
      </c>
      <c r="AA165" s="34">
        <f t="shared" si="28"/>
        <v>12</v>
      </c>
      <c r="AB165" s="34">
        <f t="shared" si="28"/>
        <v>3</v>
      </c>
      <c r="AC165" s="34">
        <f t="shared" si="28"/>
        <v>6</v>
      </c>
      <c r="AD165" s="34">
        <f t="shared" si="28"/>
        <v>0</v>
      </c>
      <c r="AE165" s="34">
        <f t="shared" si="28"/>
        <v>2</v>
      </c>
      <c r="AF165" s="34">
        <f t="shared" si="28"/>
        <v>6</v>
      </c>
      <c r="AG165" s="34">
        <f t="shared" si="28"/>
        <v>2</v>
      </c>
      <c r="AH165" s="34">
        <f t="shared" si="28"/>
        <v>2</v>
      </c>
      <c r="AI165" s="34">
        <f t="shared" si="28"/>
        <v>1</v>
      </c>
      <c r="AJ165" s="34">
        <f t="shared" si="28"/>
        <v>11</v>
      </c>
      <c r="AK165" s="34">
        <f t="shared" si="28"/>
        <v>6</v>
      </c>
      <c r="AL165" s="34">
        <f t="shared" si="28"/>
        <v>4</v>
      </c>
      <c r="AM165" s="34">
        <f t="shared" si="28"/>
        <v>3</v>
      </c>
      <c r="AN165" s="34">
        <f t="shared" si="28"/>
        <v>2</v>
      </c>
      <c r="AO165" s="34">
        <f t="shared" si="28"/>
        <v>2</v>
      </c>
      <c r="AP165" s="34">
        <f t="shared" si="28"/>
        <v>1</v>
      </c>
      <c r="AQ165" s="34">
        <f t="shared" si="28"/>
        <v>4</v>
      </c>
      <c r="AR165" s="34">
        <f t="shared" si="28"/>
        <v>6</v>
      </c>
      <c r="AS165" s="34">
        <f t="shared" si="28"/>
        <v>6</v>
      </c>
      <c r="AT165" s="34">
        <f t="shared" si="28"/>
        <v>3</v>
      </c>
      <c r="AU165" s="34">
        <f t="shared" si="28"/>
        <v>8</v>
      </c>
      <c r="AV165" s="34">
        <f t="shared" si="28"/>
        <v>7</v>
      </c>
      <c r="AW165" s="34">
        <f t="shared" si="28"/>
        <v>1</v>
      </c>
      <c r="AX165" s="34">
        <f t="shared" si="28"/>
        <v>2</v>
      </c>
      <c r="AY165" s="34">
        <f t="shared" si="28"/>
        <v>5</v>
      </c>
      <c r="AZ165" s="34">
        <f t="shared" si="28"/>
        <v>4</v>
      </c>
      <c r="BA165" s="34">
        <f t="shared" si="28"/>
        <v>3</v>
      </c>
      <c r="BB165" s="34">
        <f t="shared" si="28"/>
        <v>9</v>
      </c>
      <c r="BC165" s="34">
        <f t="shared" si="28"/>
        <v>6</v>
      </c>
      <c r="BD165" s="34">
        <f t="shared" si="28"/>
        <v>2</v>
      </c>
      <c r="BE165" s="34">
        <f t="shared" si="28"/>
        <v>2</v>
      </c>
      <c r="BF165" s="34">
        <f t="shared" si="28"/>
        <v>3</v>
      </c>
      <c r="BG165" s="34">
        <f t="shared" si="28"/>
        <v>2</v>
      </c>
      <c r="BH165" s="34">
        <f t="shared" si="28"/>
        <v>2</v>
      </c>
      <c r="BI165" s="34">
        <f t="shared" si="28"/>
        <v>1</v>
      </c>
      <c r="BJ165" s="34">
        <f t="shared" si="28"/>
        <v>0</v>
      </c>
      <c r="BK165" s="13">
        <f t="shared" si="13"/>
        <v>233</v>
      </c>
      <c r="BL165" s="1"/>
      <c r="BM165" s="1"/>
    </row>
    <row r="166" spans="1:65" ht="12.75" customHeight="1" x14ac:dyDescent="0.3">
      <c r="A166" s="35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13">
        <f t="shared" si="13"/>
        <v>0</v>
      </c>
      <c r="BL166" s="31"/>
      <c r="BM166" s="31"/>
    </row>
    <row r="167" spans="1:65" ht="12.75" customHeight="1" x14ac:dyDescent="0.3">
      <c r="A167" s="19" t="s">
        <v>37</v>
      </c>
      <c r="B167" s="26" t="s">
        <v>142</v>
      </c>
      <c r="C167" s="48" t="s">
        <v>143</v>
      </c>
      <c r="D167" s="47"/>
      <c r="E167" s="15">
        <v>1</v>
      </c>
      <c r="F167" s="15">
        <v>1</v>
      </c>
      <c r="G167" s="15">
        <v>0</v>
      </c>
      <c r="H167" s="15">
        <v>1</v>
      </c>
      <c r="I167" s="15">
        <v>3</v>
      </c>
      <c r="J167" s="15">
        <v>1</v>
      </c>
      <c r="K167" s="15">
        <v>0</v>
      </c>
      <c r="L167" s="15">
        <v>0</v>
      </c>
      <c r="M167" s="15">
        <v>2</v>
      </c>
      <c r="N167" s="15">
        <v>0</v>
      </c>
      <c r="O167" s="15">
        <v>1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1</v>
      </c>
      <c r="X167" s="15">
        <v>0</v>
      </c>
      <c r="Y167" s="15">
        <v>1</v>
      </c>
      <c r="Z167" s="15">
        <v>0</v>
      </c>
      <c r="AA167" s="15">
        <v>0</v>
      </c>
      <c r="AB167" s="15">
        <v>1</v>
      </c>
      <c r="AC167" s="15">
        <v>3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1</v>
      </c>
      <c r="AO167" s="15">
        <v>1</v>
      </c>
      <c r="AP167" s="15">
        <v>0</v>
      </c>
      <c r="AQ167" s="15">
        <v>1</v>
      </c>
      <c r="AR167" s="15">
        <v>0</v>
      </c>
      <c r="AS167" s="15">
        <v>0</v>
      </c>
      <c r="AT167" s="15">
        <v>0</v>
      </c>
      <c r="AU167" s="15">
        <v>0</v>
      </c>
      <c r="AV167" s="15">
        <v>0</v>
      </c>
      <c r="AW167" s="15">
        <v>0</v>
      </c>
      <c r="AX167" s="15">
        <v>0</v>
      </c>
      <c r="AY167" s="15">
        <v>0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3">
        <f t="shared" si="13"/>
        <v>19</v>
      </c>
      <c r="BL167" s="5"/>
      <c r="BM167" s="5"/>
    </row>
    <row r="168" spans="1:65" ht="12.75" customHeight="1" x14ac:dyDescent="0.3">
      <c r="A168" s="19"/>
      <c r="B168" s="26"/>
      <c r="C168" s="28" t="s">
        <v>144</v>
      </c>
      <c r="D168" s="37"/>
      <c r="E168" s="15">
        <v>1</v>
      </c>
      <c r="F168" s="15">
        <v>0</v>
      </c>
      <c r="G168" s="15">
        <v>2</v>
      </c>
      <c r="H168" s="15">
        <v>2</v>
      </c>
      <c r="I168" s="15">
        <v>0</v>
      </c>
      <c r="J168" s="15">
        <v>2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2</v>
      </c>
      <c r="Q168" s="15">
        <v>0</v>
      </c>
      <c r="R168" s="15">
        <v>0</v>
      </c>
      <c r="S168" s="15">
        <v>7</v>
      </c>
      <c r="T168" s="15">
        <v>1</v>
      </c>
      <c r="U168" s="15">
        <v>2</v>
      </c>
      <c r="V168" s="15">
        <v>0</v>
      </c>
      <c r="W168" s="15">
        <v>1</v>
      </c>
      <c r="X168" s="15">
        <v>1</v>
      </c>
      <c r="Y168" s="15">
        <v>1</v>
      </c>
      <c r="Z168" s="15">
        <v>2</v>
      </c>
      <c r="AA168" s="15">
        <v>0</v>
      </c>
      <c r="AB168" s="15">
        <v>1</v>
      </c>
      <c r="AC168" s="15">
        <v>0</v>
      </c>
      <c r="AD168" s="15">
        <v>2</v>
      </c>
      <c r="AE168" s="15">
        <v>0</v>
      </c>
      <c r="AF168" s="15">
        <v>0</v>
      </c>
      <c r="AG168" s="15">
        <v>1</v>
      </c>
      <c r="AH168" s="15">
        <v>0</v>
      </c>
      <c r="AI168" s="15">
        <v>0</v>
      </c>
      <c r="AJ168" s="15">
        <v>1</v>
      </c>
      <c r="AK168" s="15">
        <v>1</v>
      </c>
      <c r="AL168" s="15">
        <v>0</v>
      </c>
      <c r="AM168" s="15">
        <v>0</v>
      </c>
      <c r="AN168" s="15">
        <v>1</v>
      </c>
      <c r="AO168" s="15">
        <v>1</v>
      </c>
      <c r="AP168" s="15">
        <v>0</v>
      </c>
      <c r="AQ168" s="15">
        <v>1</v>
      </c>
      <c r="AR168" s="15">
        <v>7</v>
      </c>
      <c r="AS168" s="15">
        <v>0</v>
      </c>
      <c r="AT168" s="15">
        <v>0</v>
      </c>
      <c r="AU168" s="15">
        <v>0</v>
      </c>
      <c r="AV168" s="15">
        <v>4</v>
      </c>
      <c r="AW168" s="15">
        <v>4</v>
      </c>
      <c r="AX168" s="15">
        <v>1</v>
      </c>
      <c r="AY168" s="15">
        <v>0</v>
      </c>
      <c r="AZ168" s="15">
        <v>6</v>
      </c>
      <c r="BA168" s="15">
        <v>3</v>
      </c>
      <c r="BB168" s="15">
        <v>0</v>
      </c>
      <c r="BC168" s="15">
        <v>6</v>
      </c>
      <c r="BD168" s="15">
        <v>1</v>
      </c>
      <c r="BE168" s="15">
        <v>0</v>
      </c>
      <c r="BF168" s="15">
        <v>0</v>
      </c>
      <c r="BG168" s="15">
        <v>0</v>
      </c>
      <c r="BH168" s="15">
        <v>0</v>
      </c>
      <c r="BI168" s="15">
        <v>0</v>
      </c>
      <c r="BJ168" s="15">
        <v>0</v>
      </c>
      <c r="BK168" s="13">
        <f t="shared" si="13"/>
        <v>65</v>
      </c>
      <c r="BL168" s="5"/>
      <c r="BM168" s="5"/>
    </row>
    <row r="169" spans="1:65" ht="12.75" customHeight="1" x14ac:dyDescent="0.3">
      <c r="A169" s="19"/>
      <c r="B169" s="26"/>
      <c r="C169" s="28" t="s">
        <v>145</v>
      </c>
      <c r="D169" s="37"/>
      <c r="E169" s="15">
        <v>0</v>
      </c>
      <c r="F169" s="15">
        <v>1</v>
      </c>
      <c r="G169" s="15">
        <v>0</v>
      </c>
      <c r="H169" s="15">
        <v>0</v>
      </c>
      <c r="I169" s="15">
        <v>0</v>
      </c>
      <c r="J169" s="15">
        <v>1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1</v>
      </c>
      <c r="S169" s="15">
        <v>0</v>
      </c>
      <c r="T169" s="15">
        <v>0</v>
      </c>
      <c r="U169" s="15">
        <v>1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  <c r="AW169" s="15">
        <v>0</v>
      </c>
      <c r="AX169" s="15">
        <v>0</v>
      </c>
      <c r="AY169" s="15">
        <v>0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3">
        <f t="shared" si="13"/>
        <v>4</v>
      </c>
      <c r="BL169" s="5"/>
      <c r="BM169" s="5"/>
    </row>
    <row r="170" spans="1:65" ht="12.75" customHeight="1" x14ac:dyDescent="0.3">
      <c r="A170" s="19"/>
      <c r="B170" s="26"/>
      <c r="C170" s="28" t="s">
        <v>146</v>
      </c>
      <c r="D170" s="37"/>
      <c r="E170" s="15">
        <v>0</v>
      </c>
      <c r="F170" s="15">
        <v>1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  <c r="BB170" s="15">
        <v>0</v>
      </c>
      <c r="BC170" s="15">
        <v>3</v>
      </c>
      <c r="BD170" s="15">
        <v>0</v>
      </c>
      <c r="BE170" s="15">
        <v>0</v>
      </c>
      <c r="BF170" s="15">
        <v>0</v>
      </c>
      <c r="BG170" s="15">
        <v>0</v>
      </c>
      <c r="BH170" s="15">
        <v>0</v>
      </c>
      <c r="BI170" s="15">
        <v>0</v>
      </c>
      <c r="BJ170" s="15">
        <v>0</v>
      </c>
      <c r="BK170" s="13">
        <f t="shared" si="13"/>
        <v>4</v>
      </c>
      <c r="BL170" s="5"/>
      <c r="BM170" s="5"/>
    </row>
    <row r="171" spans="1:65" ht="12.75" customHeight="1" x14ac:dyDescent="0.3">
      <c r="A171" s="19" t="s">
        <v>39</v>
      </c>
      <c r="B171" s="27"/>
      <c r="C171" s="28" t="s">
        <v>147</v>
      </c>
      <c r="D171" s="29"/>
      <c r="E171" s="15">
        <v>0</v>
      </c>
      <c r="F171" s="15">
        <v>1</v>
      </c>
      <c r="G171" s="15">
        <v>0</v>
      </c>
      <c r="H171" s="15">
        <v>0</v>
      </c>
      <c r="I171" s="15">
        <v>0</v>
      </c>
      <c r="J171" s="15">
        <v>2</v>
      </c>
      <c r="K171" s="15">
        <v>1</v>
      </c>
      <c r="L171" s="15">
        <v>1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1</v>
      </c>
      <c r="V171" s="15">
        <v>0</v>
      </c>
      <c r="W171" s="15">
        <v>0</v>
      </c>
      <c r="X171" s="15">
        <v>0</v>
      </c>
      <c r="Y171" s="15">
        <v>3</v>
      </c>
      <c r="Z171" s="15">
        <v>0</v>
      </c>
      <c r="AA171" s="15">
        <v>1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1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1</v>
      </c>
      <c r="BC171" s="15">
        <v>0</v>
      </c>
      <c r="BD171" s="15">
        <v>0</v>
      </c>
      <c r="BE171" s="15">
        <v>0</v>
      </c>
      <c r="BF171" s="15">
        <v>0</v>
      </c>
      <c r="BG171" s="15">
        <v>1</v>
      </c>
      <c r="BH171" s="15">
        <v>0</v>
      </c>
      <c r="BI171" s="15">
        <v>0</v>
      </c>
      <c r="BJ171" s="15">
        <v>2</v>
      </c>
      <c r="BK171" s="13">
        <f t="shared" si="13"/>
        <v>15</v>
      </c>
      <c r="BL171" s="5"/>
      <c r="BM171" s="5"/>
    </row>
    <row r="172" spans="1:65" ht="12.75" customHeight="1" x14ac:dyDescent="0.3">
      <c r="A172" s="15" t="s">
        <v>15</v>
      </c>
      <c r="B172" s="45" t="s">
        <v>47</v>
      </c>
      <c r="C172" s="46"/>
      <c r="D172" s="47"/>
      <c r="E172" s="34">
        <f t="shared" ref="E172:BJ172" si="29">SUM(E167:E171)</f>
        <v>2</v>
      </c>
      <c r="F172" s="34">
        <f t="shared" si="29"/>
        <v>4</v>
      </c>
      <c r="G172" s="34">
        <f t="shared" si="29"/>
        <v>2</v>
      </c>
      <c r="H172" s="34">
        <f t="shared" si="29"/>
        <v>3</v>
      </c>
      <c r="I172" s="34">
        <f t="shared" si="29"/>
        <v>3</v>
      </c>
      <c r="J172" s="34">
        <f t="shared" si="29"/>
        <v>6</v>
      </c>
      <c r="K172" s="34">
        <f t="shared" si="29"/>
        <v>1</v>
      </c>
      <c r="L172" s="34">
        <f t="shared" si="29"/>
        <v>1</v>
      </c>
      <c r="M172" s="34">
        <f t="shared" si="29"/>
        <v>2</v>
      </c>
      <c r="N172" s="34">
        <f t="shared" si="29"/>
        <v>0</v>
      </c>
      <c r="O172" s="34">
        <f t="shared" si="29"/>
        <v>1</v>
      </c>
      <c r="P172" s="34">
        <f t="shared" si="29"/>
        <v>2</v>
      </c>
      <c r="Q172" s="34">
        <f t="shared" si="29"/>
        <v>0</v>
      </c>
      <c r="R172" s="34">
        <f t="shared" si="29"/>
        <v>1</v>
      </c>
      <c r="S172" s="34">
        <f t="shared" si="29"/>
        <v>7</v>
      </c>
      <c r="T172" s="34">
        <f t="shared" si="29"/>
        <v>1</v>
      </c>
      <c r="U172" s="34">
        <f t="shared" si="29"/>
        <v>4</v>
      </c>
      <c r="V172" s="34">
        <f t="shared" si="29"/>
        <v>0</v>
      </c>
      <c r="W172" s="34">
        <f t="shared" si="29"/>
        <v>2</v>
      </c>
      <c r="X172" s="34">
        <f t="shared" si="29"/>
        <v>1</v>
      </c>
      <c r="Y172" s="34">
        <f t="shared" si="29"/>
        <v>5</v>
      </c>
      <c r="Z172" s="34">
        <f t="shared" si="29"/>
        <v>2</v>
      </c>
      <c r="AA172" s="34">
        <f t="shared" si="29"/>
        <v>1</v>
      </c>
      <c r="AB172" s="34">
        <f t="shared" si="29"/>
        <v>2</v>
      </c>
      <c r="AC172" s="34">
        <f t="shared" si="29"/>
        <v>3</v>
      </c>
      <c r="AD172" s="34">
        <f t="shared" si="29"/>
        <v>2</v>
      </c>
      <c r="AE172" s="34">
        <f t="shared" si="29"/>
        <v>0</v>
      </c>
      <c r="AF172" s="34">
        <f t="shared" si="29"/>
        <v>0</v>
      </c>
      <c r="AG172" s="34">
        <f t="shared" si="29"/>
        <v>1</v>
      </c>
      <c r="AH172" s="34">
        <f t="shared" si="29"/>
        <v>0</v>
      </c>
      <c r="AI172" s="34">
        <f t="shared" si="29"/>
        <v>0</v>
      </c>
      <c r="AJ172" s="34">
        <f t="shared" si="29"/>
        <v>1</v>
      </c>
      <c r="AK172" s="34">
        <f t="shared" si="29"/>
        <v>1</v>
      </c>
      <c r="AL172" s="34">
        <f t="shared" si="29"/>
        <v>1</v>
      </c>
      <c r="AM172" s="34">
        <f t="shared" si="29"/>
        <v>0</v>
      </c>
      <c r="AN172" s="34">
        <f t="shared" si="29"/>
        <v>2</v>
      </c>
      <c r="AO172" s="34">
        <f t="shared" si="29"/>
        <v>2</v>
      </c>
      <c r="AP172" s="34">
        <f t="shared" si="29"/>
        <v>0</v>
      </c>
      <c r="AQ172" s="34">
        <f t="shared" si="29"/>
        <v>2</v>
      </c>
      <c r="AR172" s="34">
        <f t="shared" si="29"/>
        <v>7</v>
      </c>
      <c r="AS172" s="34">
        <f t="shared" si="29"/>
        <v>0</v>
      </c>
      <c r="AT172" s="34">
        <f t="shared" si="29"/>
        <v>0</v>
      </c>
      <c r="AU172" s="34">
        <f t="shared" si="29"/>
        <v>0</v>
      </c>
      <c r="AV172" s="34">
        <f t="shared" si="29"/>
        <v>4</v>
      </c>
      <c r="AW172" s="34">
        <f t="shared" si="29"/>
        <v>4</v>
      </c>
      <c r="AX172" s="34">
        <f t="shared" si="29"/>
        <v>1</v>
      </c>
      <c r="AY172" s="34">
        <f t="shared" si="29"/>
        <v>0</v>
      </c>
      <c r="AZ172" s="34">
        <f t="shared" si="29"/>
        <v>6</v>
      </c>
      <c r="BA172" s="34">
        <f t="shared" si="29"/>
        <v>3</v>
      </c>
      <c r="BB172" s="34">
        <f t="shared" si="29"/>
        <v>1</v>
      </c>
      <c r="BC172" s="34">
        <f t="shared" si="29"/>
        <v>9</v>
      </c>
      <c r="BD172" s="34">
        <f t="shared" si="29"/>
        <v>1</v>
      </c>
      <c r="BE172" s="34">
        <f t="shared" si="29"/>
        <v>0</v>
      </c>
      <c r="BF172" s="34">
        <f t="shared" si="29"/>
        <v>0</v>
      </c>
      <c r="BG172" s="34">
        <f t="shared" si="29"/>
        <v>1</v>
      </c>
      <c r="BH172" s="34">
        <f t="shared" si="29"/>
        <v>0</v>
      </c>
      <c r="BI172" s="34">
        <f t="shared" si="29"/>
        <v>0</v>
      </c>
      <c r="BJ172" s="34">
        <f t="shared" si="29"/>
        <v>2</v>
      </c>
      <c r="BK172" s="13">
        <f t="shared" si="13"/>
        <v>107</v>
      </c>
      <c r="BL172" s="5"/>
      <c r="BM172" s="5"/>
    </row>
    <row r="173" spans="1:65" ht="12.75" customHeight="1" x14ac:dyDescent="0.3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13">
        <f t="shared" si="13"/>
        <v>0</v>
      </c>
      <c r="BL173" s="5"/>
      <c r="BM173" s="5"/>
    </row>
    <row r="174" spans="1:65" ht="12.75" customHeight="1" x14ac:dyDescent="0.3">
      <c r="A174" s="19" t="s">
        <v>37</v>
      </c>
      <c r="B174" s="26" t="s">
        <v>148</v>
      </c>
      <c r="C174" s="48" t="s">
        <v>149</v>
      </c>
      <c r="D174" s="47"/>
      <c r="E174" s="15">
        <v>1</v>
      </c>
      <c r="F174" s="15">
        <v>0</v>
      </c>
      <c r="G174" s="15">
        <v>1</v>
      </c>
      <c r="H174" s="15">
        <v>0</v>
      </c>
      <c r="I174" s="15">
        <v>0</v>
      </c>
      <c r="J174" s="15">
        <v>0</v>
      </c>
      <c r="K174" s="15">
        <v>0</v>
      </c>
      <c r="L174" s="15">
        <v>1</v>
      </c>
      <c r="M174" s="15">
        <v>1</v>
      </c>
      <c r="N174" s="15">
        <v>1</v>
      </c>
      <c r="O174" s="15">
        <v>0</v>
      </c>
      <c r="P174" s="15">
        <v>1</v>
      </c>
      <c r="Q174" s="15">
        <v>1</v>
      </c>
      <c r="R174" s="15">
        <v>0</v>
      </c>
      <c r="S174" s="15">
        <v>0</v>
      </c>
      <c r="T174" s="15">
        <v>0</v>
      </c>
      <c r="U174" s="15">
        <v>1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1</v>
      </c>
      <c r="AB174" s="15">
        <v>0</v>
      </c>
      <c r="AC174" s="15">
        <v>1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1</v>
      </c>
      <c r="AS174" s="15">
        <v>0</v>
      </c>
      <c r="AT174" s="15">
        <v>0</v>
      </c>
      <c r="AU174" s="15">
        <v>1</v>
      </c>
      <c r="AV174" s="15">
        <v>1</v>
      </c>
      <c r="AW174" s="15">
        <v>1</v>
      </c>
      <c r="AX174" s="15">
        <v>1</v>
      </c>
      <c r="AY174" s="15">
        <v>1</v>
      </c>
      <c r="AZ174" s="15">
        <v>0</v>
      </c>
      <c r="BA174" s="15">
        <v>0</v>
      </c>
      <c r="BB174" s="15">
        <v>1</v>
      </c>
      <c r="BC174" s="15">
        <v>1</v>
      </c>
      <c r="BD174" s="15">
        <v>0</v>
      </c>
      <c r="BE174" s="15">
        <v>1</v>
      </c>
      <c r="BF174" s="15">
        <v>1</v>
      </c>
      <c r="BG174" s="15">
        <v>0</v>
      </c>
      <c r="BH174" s="15">
        <v>0</v>
      </c>
      <c r="BI174" s="15">
        <v>0</v>
      </c>
      <c r="BJ174" s="15">
        <v>0</v>
      </c>
      <c r="BK174" s="13">
        <f t="shared" si="13"/>
        <v>20</v>
      </c>
      <c r="BL174" s="5"/>
      <c r="BM174" s="5"/>
    </row>
    <row r="175" spans="1:65" ht="15" customHeight="1" x14ac:dyDescent="0.3">
      <c r="A175" s="19" t="s">
        <v>39</v>
      </c>
      <c r="B175" s="27"/>
      <c r="C175" s="28" t="s">
        <v>150</v>
      </c>
      <c r="D175" s="29"/>
      <c r="E175" s="15">
        <v>1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1</v>
      </c>
      <c r="L175" s="15">
        <v>0</v>
      </c>
      <c r="M175" s="15">
        <v>0</v>
      </c>
      <c r="N175" s="15">
        <v>2</v>
      </c>
      <c r="O175" s="15">
        <v>6</v>
      </c>
      <c r="P175" s="15">
        <v>1</v>
      </c>
      <c r="Q175" s="15">
        <v>0</v>
      </c>
      <c r="R175" s="15">
        <v>1</v>
      </c>
      <c r="S175" s="15">
        <v>1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1</v>
      </c>
      <c r="AC175" s="15">
        <v>0</v>
      </c>
      <c r="AD175" s="15">
        <v>1</v>
      </c>
      <c r="AE175" s="15">
        <v>0</v>
      </c>
      <c r="AF175" s="15">
        <v>0</v>
      </c>
      <c r="AG175" s="15">
        <v>1</v>
      </c>
      <c r="AH175" s="15">
        <v>0</v>
      </c>
      <c r="AI175" s="15">
        <v>4</v>
      </c>
      <c r="AJ175" s="15">
        <v>2</v>
      </c>
      <c r="AK175" s="15">
        <v>0</v>
      </c>
      <c r="AL175" s="15">
        <v>0</v>
      </c>
      <c r="AM175" s="15">
        <v>0</v>
      </c>
      <c r="AN175" s="15">
        <v>1</v>
      </c>
      <c r="AO175" s="15">
        <v>0</v>
      </c>
      <c r="AP175" s="15">
        <v>0</v>
      </c>
      <c r="AQ175" s="15">
        <v>0</v>
      </c>
      <c r="AR175" s="15">
        <v>0</v>
      </c>
      <c r="AS175" s="15">
        <v>0</v>
      </c>
      <c r="AT175" s="15">
        <v>1</v>
      </c>
      <c r="AU175" s="15">
        <v>0</v>
      </c>
      <c r="AV175" s="15">
        <v>0</v>
      </c>
      <c r="AW175" s="15">
        <v>0</v>
      </c>
      <c r="AX175" s="15">
        <v>1</v>
      </c>
      <c r="AY175" s="15">
        <v>0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1</v>
      </c>
      <c r="BI175" s="15">
        <v>0</v>
      </c>
      <c r="BJ175" s="15">
        <v>1</v>
      </c>
      <c r="BK175" s="13">
        <f t="shared" si="13"/>
        <v>27</v>
      </c>
      <c r="BL175" s="5"/>
      <c r="BM175" s="5"/>
    </row>
    <row r="176" spans="1:65" ht="12.75" customHeight="1" x14ac:dyDescent="0.3">
      <c r="A176" s="14"/>
      <c r="B176" s="27"/>
      <c r="C176" s="28" t="s">
        <v>151</v>
      </c>
      <c r="D176" s="29"/>
      <c r="E176" s="15">
        <v>0</v>
      </c>
      <c r="F176" s="15">
        <v>0</v>
      </c>
      <c r="G176" s="15">
        <v>1</v>
      </c>
      <c r="H176" s="15">
        <v>0</v>
      </c>
      <c r="I176" s="15">
        <v>0</v>
      </c>
      <c r="J176" s="15">
        <v>0</v>
      </c>
      <c r="K176" s="15">
        <v>1</v>
      </c>
      <c r="L176" s="15">
        <v>0</v>
      </c>
      <c r="M176" s="15">
        <v>0</v>
      </c>
      <c r="N176" s="15">
        <v>0</v>
      </c>
      <c r="O176" s="15">
        <v>0</v>
      </c>
      <c r="P176" s="15">
        <v>1</v>
      </c>
      <c r="Q176" s="15">
        <v>2</v>
      </c>
      <c r="R176" s="15">
        <v>4</v>
      </c>
      <c r="S176" s="15">
        <v>1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2</v>
      </c>
      <c r="AB176" s="15">
        <v>1</v>
      </c>
      <c r="AC176" s="15">
        <v>0</v>
      </c>
      <c r="AD176" s="15">
        <v>0</v>
      </c>
      <c r="AE176" s="15">
        <v>0</v>
      </c>
      <c r="AF176" s="15">
        <v>1</v>
      </c>
      <c r="AG176" s="15">
        <v>3</v>
      </c>
      <c r="AH176" s="15">
        <v>1</v>
      </c>
      <c r="AI176" s="15">
        <v>0</v>
      </c>
      <c r="AJ176" s="15">
        <v>0</v>
      </c>
      <c r="AK176" s="15">
        <v>1</v>
      </c>
      <c r="AL176" s="15">
        <v>1</v>
      </c>
      <c r="AM176" s="15">
        <v>0</v>
      </c>
      <c r="AN176" s="15">
        <v>0</v>
      </c>
      <c r="AO176" s="15">
        <v>0</v>
      </c>
      <c r="AP176" s="15">
        <v>0</v>
      </c>
      <c r="AQ176" s="15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  <c r="AW176" s="15">
        <v>0</v>
      </c>
      <c r="AX176" s="15">
        <v>0</v>
      </c>
      <c r="AY176" s="15">
        <v>0</v>
      </c>
      <c r="AZ176" s="15">
        <v>0</v>
      </c>
      <c r="BA176" s="15">
        <v>0</v>
      </c>
      <c r="BB176" s="15">
        <v>1</v>
      </c>
      <c r="BC176" s="15">
        <v>0</v>
      </c>
      <c r="BD176" s="15">
        <v>0</v>
      </c>
      <c r="BE176" s="15">
        <v>2</v>
      </c>
      <c r="BF176" s="15">
        <v>1</v>
      </c>
      <c r="BG176" s="15">
        <v>0</v>
      </c>
      <c r="BH176" s="15">
        <v>6</v>
      </c>
      <c r="BI176" s="15">
        <v>0</v>
      </c>
      <c r="BJ176" s="15">
        <v>1</v>
      </c>
      <c r="BK176" s="13">
        <f t="shared" si="13"/>
        <v>31</v>
      </c>
      <c r="BL176" s="1"/>
      <c r="BM176" s="1"/>
    </row>
    <row r="177" spans="1:65" ht="12.75" customHeight="1" x14ac:dyDescent="0.3">
      <c r="A177" s="14"/>
      <c r="B177" s="27"/>
      <c r="C177" s="28" t="s">
        <v>152</v>
      </c>
      <c r="D177" s="29"/>
      <c r="E177" s="15">
        <v>0</v>
      </c>
      <c r="F177" s="15">
        <v>0</v>
      </c>
      <c r="G177" s="15">
        <v>1</v>
      </c>
      <c r="H177" s="15">
        <v>0</v>
      </c>
      <c r="I177" s="15">
        <v>0</v>
      </c>
      <c r="J177" s="15">
        <v>0</v>
      </c>
      <c r="K177" s="15">
        <v>1</v>
      </c>
      <c r="L177" s="15">
        <v>0</v>
      </c>
      <c r="M177" s="15">
        <v>1</v>
      </c>
      <c r="N177" s="15">
        <v>0</v>
      </c>
      <c r="O177" s="15">
        <v>4</v>
      </c>
      <c r="P177" s="15">
        <v>0</v>
      </c>
      <c r="Q177" s="15">
        <v>1</v>
      </c>
      <c r="R177" s="15">
        <v>0</v>
      </c>
      <c r="S177" s="15">
        <v>0</v>
      </c>
      <c r="T177" s="15">
        <v>1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1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3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2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3">
        <f t="shared" si="13"/>
        <v>15</v>
      </c>
    </row>
    <row r="178" spans="1:65" ht="12.75" customHeight="1" x14ac:dyDescent="0.3">
      <c r="A178" s="14"/>
      <c r="B178" s="27"/>
      <c r="C178" s="28" t="s">
        <v>153</v>
      </c>
      <c r="D178" s="29"/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1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15">
        <v>0</v>
      </c>
      <c r="AR178" s="15">
        <v>0</v>
      </c>
      <c r="AS178" s="15">
        <v>0</v>
      </c>
      <c r="AT178" s="15">
        <v>0</v>
      </c>
      <c r="AU178" s="15">
        <v>0</v>
      </c>
      <c r="AV178" s="15">
        <v>0</v>
      </c>
      <c r="AW178" s="15">
        <v>0</v>
      </c>
      <c r="AX178" s="15">
        <v>0</v>
      </c>
      <c r="AY178" s="15">
        <v>0</v>
      </c>
      <c r="AZ178" s="15">
        <v>0</v>
      </c>
      <c r="BA178" s="15">
        <v>0</v>
      </c>
      <c r="BB178" s="15">
        <v>0</v>
      </c>
      <c r="BC178" s="15">
        <v>0</v>
      </c>
      <c r="BD178" s="15">
        <v>0</v>
      </c>
      <c r="BE178" s="15">
        <v>0</v>
      </c>
      <c r="BF178" s="15">
        <v>1</v>
      </c>
      <c r="BG178" s="15">
        <v>0</v>
      </c>
      <c r="BH178" s="15">
        <v>0</v>
      </c>
      <c r="BI178" s="15">
        <v>0</v>
      </c>
      <c r="BJ178" s="15">
        <v>0</v>
      </c>
      <c r="BK178" s="13">
        <f t="shared" si="13"/>
        <v>2</v>
      </c>
      <c r="BL178" s="5"/>
      <c r="BM178" s="5"/>
    </row>
    <row r="179" spans="1:65" ht="12.75" customHeight="1" x14ac:dyDescent="0.3">
      <c r="A179" s="14"/>
      <c r="B179" s="27"/>
      <c r="C179" s="28" t="s">
        <v>154</v>
      </c>
      <c r="D179" s="29"/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>
        <v>0</v>
      </c>
      <c r="AT179" s="15">
        <v>0</v>
      </c>
      <c r="AU179" s="15">
        <v>0</v>
      </c>
      <c r="AV179" s="15">
        <v>0</v>
      </c>
      <c r="AW179" s="15">
        <v>0</v>
      </c>
      <c r="AX179" s="15">
        <v>0</v>
      </c>
      <c r="AY179" s="15">
        <v>0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3">
        <f t="shared" si="13"/>
        <v>0</v>
      </c>
      <c r="BL179" s="5"/>
      <c r="BM179" s="5"/>
    </row>
    <row r="180" spans="1:65" ht="12.75" customHeight="1" x14ac:dyDescent="0.3">
      <c r="A180" s="14"/>
      <c r="B180" s="27"/>
      <c r="C180" s="28" t="s">
        <v>155</v>
      </c>
      <c r="D180" s="29"/>
      <c r="E180" s="15">
        <v>0</v>
      </c>
      <c r="F180" s="15">
        <v>0</v>
      </c>
      <c r="G180" s="15">
        <v>0</v>
      </c>
      <c r="H180" s="15">
        <v>0</v>
      </c>
      <c r="I180" s="15">
        <v>1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1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0</v>
      </c>
      <c r="BF180" s="15">
        <v>0</v>
      </c>
      <c r="BG180" s="15">
        <v>0</v>
      </c>
      <c r="BH180" s="15">
        <v>0</v>
      </c>
      <c r="BI180" s="15">
        <v>0</v>
      </c>
      <c r="BJ180" s="15">
        <v>0</v>
      </c>
      <c r="BK180" s="13">
        <f t="shared" si="13"/>
        <v>2</v>
      </c>
      <c r="BL180" s="5"/>
      <c r="BM180" s="5"/>
    </row>
    <row r="181" spans="1:65" ht="12.75" customHeight="1" x14ac:dyDescent="0.3">
      <c r="A181" s="15" t="s">
        <v>15</v>
      </c>
      <c r="B181" s="45" t="s">
        <v>47</v>
      </c>
      <c r="C181" s="46"/>
      <c r="D181" s="47"/>
      <c r="E181" s="34">
        <f t="shared" ref="E181:BJ181" si="30">SUM(E174:E180)</f>
        <v>2</v>
      </c>
      <c r="F181" s="34">
        <f t="shared" si="30"/>
        <v>0</v>
      </c>
      <c r="G181" s="34">
        <f t="shared" si="30"/>
        <v>3</v>
      </c>
      <c r="H181" s="34">
        <f t="shared" si="30"/>
        <v>0</v>
      </c>
      <c r="I181" s="34">
        <f t="shared" si="30"/>
        <v>1</v>
      </c>
      <c r="J181" s="34">
        <f t="shared" si="30"/>
        <v>0</v>
      </c>
      <c r="K181" s="34">
        <f t="shared" si="30"/>
        <v>3</v>
      </c>
      <c r="L181" s="34">
        <f t="shared" si="30"/>
        <v>1</v>
      </c>
      <c r="M181" s="34">
        <f t="shared" si="30"/>
        <v>2</v>
      </c>
      <c r="N181" s="34">
        <f t="shared" si="30"/>
        <v>3</v>
      </c>
      <c r="O181" s="34">
        <f t="shared" si="30"/>
        <v>10</v>
      </c>
      <c r="P181" s="34">
        <f t="shared" si="30"/>
        <v>3</v>
      </c>
      <c r="Q181" s="34">
        <f t="shared" si="30"/>
        <v>5</v>
      </c>
      <c r="R181" s="34">
        <f t="shared" si="30"/>
        <v>5</v>
      </c>
      <c r="S181" s="34">
        <f t="shared" si="30"/>
        <v>2</v>
      </c>
      <c r="T181" s="34">
        <f t="shared" si="30"/>
        <v>1</v>
      </c>
      <c r="U181" s="34">
        <f t="shared" si="30"/>
        <v>1</v>
      </c>
      <c r="V181" s="34">
        <f t="shared" si="30"/>
        <v>0</v>
      </c>
      <c r="W181" s="34">
        <f t="shared" si="30"/>
        <v>0</v>
      </c>
      <c r="X181" s="34">
        <f t="shared" si="30"/>
        <v>0</v>
      </c>
      <c r="Y181" s="34">
        <f t="shared" si="30"/>
        <v>0</v>
      </c>
      <c r="Z181" s="34">
        <f t="shared" si="30"/>
        <v>0</v>
      </c>
      <c r="AA181" s="34">
        <f t="shared" si="30"/>
        <v>4</v>
      </c>
      <c r="AB181" s="34">
        <f t="shared" si="30"/>
        <v>2</v>
      </c>
      <c r="AC181" s="34">
        <f t="shared" si="30"/>
        <v>1</v>
      </c>
      <c r="AD181" s="34">
        <f t="shared" si="30"/>
        <v>1</v>
      </c>
      <c r="AE181" s="34">
        <f t="shared" si="30"/>
        <v>0</v>
      </c>
      <c r="AF181" s="34">
        <f t="shared" si="30"/>
        <v>1</v>
      </c>
      <c r="AG181" s="34">
        <f t="shared" si="30"/>
        <v>7</v>
      </c>
      <c r="AH181" s="34">
        <f t="shared" si="30"/>
        <v>1</v>
      </c>
      <c r="AI181" s="34">
        <f t="shared" si="30"/>
        <v>4</v>
      </c>
      <c r="AJ181" s="34">
        <f t="shared" si="30"/>
        <v>2</v>
      </c>
      <c r="AK181" s="34">
        <f t="shared" si="30"/>
        <v>2</v>
      </c>
      <c r="AL181" s="34">
        <f t="shared" si="30"/>
        <v>1</v>
      </c>
      <c r="AM181" s="34">
        <f t="shared" si="30"/>
        <v>0</v>
      </c>
      <c r="AN181" s="34">
        <f t="shared" si="30"/>
        <v>1</v>
      </c>
      <c r="AO181" s="34">
        <f t="shared" si="30"/>
        <v>0</v>
      </c>
      <c r="AP181" s="34">
        <f t="shared" si="30"/>
        <v>0</v>
      </c>
      <c r="AQ181" s="34">
        <f t="shared" si="30"/>
        <v>0</v>
      </c>
      <c r="AR181" s="34">
        <f t="shared" si="30"/>
        <v>1</v>
      </c>
      <c r="AS181" s="34">
        <f t="shared" si="30"/>
        <v>0</v>
      </c>
      <c r="AT181" s="34">
        <f t="shared" si="30"/>
        <v>1</v>
      </c>
      <c r="AU181" s="34">
        <f t="shared" si="30"/>
        <v>1</v>
      </c>
      <c r="AV181" s="34">
        <f t="shared" si="30"/>
        <v>1</v>
      </c>
      <c r="AW181" s="34">
        <f t="shared" si="30"/>
        <v>1</v>
      </c>
      <c r="AX181" s="34">
        <f t="shared" si="30"/>
        <v>2</v>
      </c>
      <c r="AY181" s="34">
        <f t="shared" si="30"/>
        <v>3</v>
      </c>
      <c r="AZ181" s="34">
        <f t="shared" si="30"/>
        <v>0</v>
      </c>
      <c r="BA181" s="34">
        <f t="shared" si="30"/>
        <v>0</v>
      </c>
      <c r="BB181" s="34">
        <f t="shared" si="30"/>
        <v>2</v>
      </c>
      <c r="BC181" s="34">
        <f t="shared" si="30"/>
        <v>1</v>
      </c>
      <c r="BD181" s="34">
        <f t="shared" si="30"/>
        <v>0</v>
      </c>
      <c r="BE181" s="34">
        <f t="shared" si="30"/>
        <v>3</v>
      </c>
      <c r="BF181" s="34">
        <f t="shared" si="30"/>
        <v>3</v>
      </c>
      <c r="BG181" s="34">
        <f t="shared" si="30"/>
        <v>0</v>
      </c>
      <c r="BH181" s="34">
        <f t="shared" si="30"/>
        <v>7</v>
      </c>
      <c r="BI181" s="34">
        <f t="shared" si="30"/>
        <v>0</v>
      </c>
      <c r="BJ181" s="34">
        <f t="shared" si="30"/>
        <v>2</v>
      </c>
      <c r="BK181" s="13">
        <f t="shared" si="13"/>
        <v>97</v>
      </c>
      <c r="BL181" s="5"/>
      <c r="BM181" s="5"/>
    </row>
    <row r="182" spans="1:65" ht="12.75" customHeight="1" x14ac:dyDescent="0.3">
      <c r="A182" s="35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13">
        <f t="shared" si="13"/>
        <v>0</v>
      </c>
      <c r="BL182" s="5"/>
      <c r="BM182" s="5"/>
    </row>
    <row r="183" spans="1:65" ht="12.75" customHeight="1" x14ac:dyDescent="0.3">
      <c r="A183" s="19" t="s">
        <v>37</v>
      </c>
      <c r="B183" s="26" t="s">
        <v>156</v>
      </c>
      <c r="C183" s="48" t="s">
        <v>157</v>
      </c>
      <c r="D183" s="47"/>
      <c r="E183" s="15">
        <v>0</v>
      </c>
      <c r="F183" s="15">
        <v>1</v>
      </c>
      <c r="G183" s="15">
        <v>1</v>
      </c>
      <c r="H183" s="15">
        <v>1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1</v>
      </c>
      <c r="T183" s="15">
        <v>0</v>
      </c>
      <c r="U183" s="15">
        <v>3</v>
      </c>
      <c r="V183" s="15">
        <v>1</v>
      </c>
      <c r="W183" s="15">
        <v>0</v>
      </c>
      <c r="X183" s="15">
        <v>1</v>
      </c>
      <c r="Y183" s="15">
        <v>0</v>
      </c>
      <c r="Z183" s="15">
        <v>1</v>
      </c>
      <c r="AA183" s="15">
        <v>1</v>
      </c>
      <c r="AB183" s="15">
        <v>1</v>
      </c>
      <c r="AC183" s="15">
        <v>0</v>
      </c>
      <c r="AD183" s="15">
        <v>0</v>
      </c>
      <c r="AE183" s="15">
        <v>1</v>
      </c>
      <c r="AF183" s="15">
        <v>0</v>
      </c>
      <c r="AG183" s="15">
        <v>1</v>
      </c>
      <c r="AH183" s="15">
        <v>0</v>
      </c>
      <c r="AI183" s="15">
        <v>0</v>
      </c>
      <c r="AJ183" s="15">
        <v>0</v>
      </c>
      <c r="AK183" s="15">
        <v>1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1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3">
        <f t="shared" si="13"/>
        <v>16</v>
      </c>
      <c r="BL183" s="5"/>
      <c r="BM183" s="5"/>
    </row>
    <row r="184" spans="1:65" ht="12.75" customHeight="1" x14ac:dyDescent="0.3">
      <c r="A184" s="19"/>
      <c r="B184" s="26"/>
      <c r="C184" s="28" t="s">
        <v>158</v>
      </c>
      <c r="D184" s="37"/>
      <c r="E184" s="15">
        <v>0</v>
      </c>
      <c r="F184" s="15">
        <v>1</v>
      </c>
      <c r="G184" s="15">
        <v>0</v>
      </c>
      <c r="H184" s="15">
        <v>0</v>
      </c>
      <c r="I184" s="15">
        <v>0</v>
      </c>
      <c r="J184" s="15">
        <v>0</v>
      </c>
      <c r="K184" s="15">
        <v>1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1</v>
      </c>
      <c r="T184" s="15">
        <v>0</v>
      </c>
      <c r="U184" s="15">
        <v>0</v>
      </c>
      <c r="V184" s="15">
        <v>0</v>
      </c>
      <c r="W184" s="15">
        <v>0</v>
      </c>
      <c r="X184" s="15">
        <v>1</v>
      </c>
      <c r="Y184" s="15">
        <v>0</v>
      </c>
      <c r="Z184" s="15">
        <v>0</v>
      </c>
      <c r="AA184" s="15">
        <v>1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5">
        <v>0</v>
      </c>
      <c r="AP184" s="15">
        <v>0</v>
      </c>
      <c r="AQ184" s="15">
        <v>1</v>
      </c>
      <c r="AR184" s="15">
        <v>0</v>
      </c>
      <c r="AS184" s="15">
        <v>0</v>
      </c>
      <c r="AT184" s="15">
        <v>0</v>
      </c>
      <c r="AU184" s="15">
        <v>0</v>
      </c>
      <c r="AV184" s="15">
        <v>0</v>
      </c>
      <c r="AW184" s="15">
        <v>0</v>
      </c>
      <c r="AX184" s="15">
        <v>0</v>
      </c>
      <c r="AY184" s="15">
        <v>0</v>
      </c>
      <c r="AZ184" s="15">
        <v>0</v>
      </c>
      <c r="BA184" s="15">
        <v>0</v>
      </c>
      <c r="BB184" s="15">
        <v>0</v>
      </c>
      <c r="BC184" s="15">
        <v>0</v>
      </c>
      <c r="BD184" s="15">
        <v>0</v>
      </c>
      <c r="BE184" s="15">
        <v>0</v>
      </c>
      <c r="BF184" s="15">
        <v>0</v>
      </c>
      <c r="BG184" s="15">
        <v>0</v>
      </c>
      <c r="BH184" s="15">
        <v>0</v>
      </c>
      <c r="BI184" s="15">
        <v>0</v>
      </c>
      <c r="BJ184" s="15">
        <v>0</v>
      </c>
      <c r="BK184" s="13">
        <f t="shared" si="13"/>
        <v>6</v>
      </c>
      <c r="BL184" s="5"/>
      <c r="BM184" s="5"/>
    </row>
    <row r="185" spans="1:65" ht="12.75" customHeight="1" x14ac:dyDescent="0.3">
      <c r="A185" s="19"/>
      <c r="B185" s="26"/>
      <c r="C185" s="28" t="s">
        <v>159</v>
      </c>
      <c r="D185" s="37"/>
      <c r="E185" s="15">
        <v>1</v>
      </c>
      <c r="F185" s="15">
        <v>3</v>
      </c>
      <c r="G185" s="15">
        <v>4</v>
      </c>
      <c r="H185" s="15">
        <v>5</v>
      </c>
      <c r="I185" s="15">
        <v>0</v>
      </c>
      <c r="J185" s="15">
        <v>1</v>
      </c>
      <c r="K185" s="15">
        <v>5</v>
      </c>
      <c r="L185" s="15">
        <v>1</v>
      </c>
      <c r="M185" s="15">
        <v>0</v>
      </c>
      <c r="N185" s="15">
        <v>0</v>
      </c>
      <c r="O185" s="15">
        <v>0</v>
      </c>
      <c r="P185" s="15">
        <v>0</v>
      </c>
      <c r="Q185" s="15">
        <v>6</v>
      </c>
      <c r="R185" s="15">
        <v>0</v>
      </c>
      <c r="S185" s="15">
        <v>10</v>
      </c>
      <c r="T185" s="15">
        <v>7</v>
      </c>
      <c r="U185" s="15">
        <v>2</v>
      </c>
      <c r="V185" s="15">
        <v>4</v>
      </c>
      <c r="W185" s="15">
        <v>2</v>
      </c>
      <c r="X185" s="15">
        <v>2</v>
      </c>
      <c r="Y185" s="15">
        <v>2</v>
      </c>
      <c r="Z185" s="15">
        <v>0</v>
      </c>
      <c r="AA185" s="15">
        <v>3</v>
      </c>
      <c r="AB185" s="15">
        <v>1</v>
      </c>
      <c r="AC185" s="15">
        <v>0</v>
      </c>
      <c r="AD185" s="15">
        <v>2</v>
      </c>
      <c r="AE185" s="15">
        <v>0</v>
      </c>
      <c r="AF185" s="15">
        <v>1</v>
      </c>
      <c r="AG185" s="15">
        <v>5</v>
      </c>
      <c r="AH185" s="15">
        <v>6</v>
      </c>
      <c r="AI185" s="15">
        <v>2</v>
      </c>
      <c r="AJ185" s="15">
        <v>0</v>
      </c>
      <c r="AK185" s="15">
        <v>0</v>
      </c>
      <c r="AL185" s="15">
        <v>0</v>
      </c>
      <c r="AM185" s="15">
        <v>2</v>
      </c>
      <c r="AN185" s="15">
        <v>0</v>
      </c>
      <c r="AO185" s="15">
        <v>0</v>
      </c>
      <c r="AP185" s="15">
        <v>2</v>
      </c>
      <c r="AQ185" s="15">
        <v>1</v>
      </c>
      <c r="AR185" s="15">
        <v>1</v>
      </c>
      <c r="AS185" s="15">
        <v>0</v>
      </c>
      <c r="AT185" s="15">
        <v>0</v>
      </c>
      <c r="AU185" s="15">
        <v>0</v>
      </c>
      <c r="AV185" s="15">
        <v>1</v>
      </c>
      <c r="AW185" s="15">
        <v>1</v>
      </c>
      <c r="AX185" s="15">
        <v>0</v>
      </c>
      <c r="AY185" s="15">
        <v>0</v>
      </c>
      <c r="AZ185" s="15">
        <v>0</v>
      </c>
      <c r="BA185" s="15">
        <v>0</v>
      </c>
      <c r="BB185" s="15">
        <v>0</v>
      </c>
      <c r="BC185" s="15">
        <v>2</v>
      </c>
      <c r="BD185" s="15">
        <v>0</v>
      </c>
      <c r="BE185" s="15">
        <v>0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3">
        <f t="shared" si="13"/>
        <v>85</v>
      </c>
      <c r="BL185" s="5"/>
      <c r="BM185" s="5"/>
    </row>
    <row r="186" spans="1:65" ht="12.75" customHeight="1" x14ac:dyDescent="0.3">
      <c r="A186" s="19" t="s">
        <v>39</v>
      </c>
      <c r="B186" s="27"/>
      <c r="C186" s="28" t="s">
        <v>160</v>
      </c>
      <c r="D186" s="29"/>
      <c r="E186" s="15">
        <v>0</v>
      </c>
      <c r="F186" s="15">
        <v>0</v>
      </c>
      <c r="G186" s="15">
        <v>3</v>
      </c>
      <c r="H186" s="15">
        <v>0</v>
      </c>
      <c r="I186" s="15">
        <v>2</v>
      </c>
      <c r="J186" s="15">
        <v>1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1</v>
      </c>
      <c r="S186" s="15">
        <v>1</v>
      </c>
      <c r="T186" s="15">
        <v>0</v>
      </c>
      <c r="U186" s="15">
        <v>2</v>
      </c>
      <c r="V186" s="15">
        <v>0</v>
      </c>
      <c r="W186" s="15">
        <v>1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1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  <c r="AQ186" s="15">
        <v>3</v>
      </c>
      <c r="AR186" s="15">
        <v>0</v>
      </c>
      <c r="AS186" s="15">
        <v>0</v>
      </c>
      <c r="AT186" s="15">
        <v>0</v>
      </c>
      <c r="AU186" s="15">
        <v>1</v>
      </c>
      <c r="AV186" s="15">
        <v>0</v>
      </c>
      <c r="AW186" s="15">
        <v>0</v>
      </c>
      <c r="AX186" s="15">
        <v>0</v>
      </c>
      <c r="AY186" s="15">
        <v>0</v>
      </c>
      <c r="AZ186" s="15">
        <v>0</v>
      </c>
      <c r="BA186" s="15">
        <v>0</v>
      </c>
      <c r="BB186" s="15">
        <v>1</v>
      </c>
      <c r="BC186" s="15">
        <v>0</v>
      </c>
      <c r="BD186" s="15">
        <v>0</v>
      </c>
      <c r="BE186" s="15">
        <v>0</v>
      </c>
      <c r="BF186" s="15">
        <v>1</v>
      </c>
      <c r="BG186" s="15">
        <v>0</v>
      </c>
      <c r="BH186" s="15">
        <v>0</v>
      </c>
      <c r="BI186" s="15">
        <v>1</v>
      </c>
      <c r="BJ186" s="15">
        <v>0</v>
      </c>
      <c r="BK186" s="13">
        <f t="shared" si="13"/>
        <v>19</v>
      </c>
      <c r="BL186" s="5"/>
      <c r="BM186" s="5"/>
    </row>
    <row r="187" spans="1:65" ht="12.75" customHeight="1" x14ac:dyDescent="0.3">
      <c r="A187" s="15" t="s">
        <v>15</v>
      </c>
      <c r="B187" s="45" t="s">
        <v>47</v>
      </c>
      <c r="C187" s="46"/>
      <c r="D187" s="47"/>
      <c r="E187" s="34">
        <f t="shared" ref="E187:BJ187" si="31">SUM(E183:E186)</f>
        <v>1</v>
      </c>
      <c r="F187" s="34">
        <f t="shared" si="31"/>
        <v>5</v>
      </c>
      <c r="G187" s="34">
        <f t="shared" si="31"/>
        <v>8</v>
      </c>
      <c r="H187" s="34">
        <f t="shared" si="31"/>
        <v>6</v>
      </c>
      <c r="I187" s="34">
        <f t="shared" si="31"/>
        <v>2</v>
      </c>
      <c r="J187" s="34">
        <f t="shared" si="31"/>
        <v>2</v>
      </c>
      <c r="K187" s="34">
        <f t="shared" si="31"/>
        <v>6</v>
      </c>
      <c r="L187" s="34">
        <f t="shared" si="31"/>
        <v>1</v>
      </c>
      <c r="M187" s="34">
        <f t="shared" si="31"/>
        <v>0</v>
      </c>
      <c r="N187" s="34">
        <f t="shared" si="31"/>
        <v>0</v>
      </c>
      <c r="O187" s="34">
        <f t="shared" si="31"/>
        <v>0</v>
      </c>
      <c r="P187" s="34">
        <f t="shared" si="31"/>
        <v>0</v>
      </c>
      <c r="Q187" s="34">
        <f t="shared" si="31"/>
        <v>6</v>
      </c>
      <c r="R187" s="34">
        <f t="shared" si="31"/>
        <v>1</v>
      </c>
      <c r="S187" s="34">
        <f t="shared" si="31"/>
        <v>13</v>
      </c>
      <c r="T187" s="34">
        <f t="shared" si="31"/>
        <v>7</v>
      </c>
      <c r="U187" s="34">
        <f t="shared" si="31"/>
        <v>7</v>
      </c>
      <c r="V187" s="34">
        <f t="shared" si="31"/>
        <v>5</v>
      </c>
      <c r="W187" s="34">
        <f t="shared" si="31"/>
        <v>3</v>
      </c>
      <c r="X187" s="34">
        <f t="shared" si="31"/>
        <v>4</v>
      </c>
      <c r="Y187" s="34">
        <f t="shared" si="31"/>
        <v>2</v>
      </c>
      <c r="Z187" s="34">
        <f t="shared" si="31"/>
        <v>1</v>
      </c>
      <c r="AA187" s="34">
        <f t="shared" si="31"/>
        <v>5</v>
      </c>
      <c r="AB187" s="34">
        <f t="shared" si="31"/>
        <v>2</v>
      </c>
      <c r="AC187" s="34">
        <f t="shared" si="31"/>
        <v>0</v>
      </c>
      <c r="AD187" s="34">
        <f t="shared" si="31"/>
        <v>2</v>
      </c>
      <c r="AE187" s="34">
        <f t="shared" si="31"/>
        <v>1</v>
      </c>
      <c r="AF187" s="34">
        <f t="shared" si="31"/>
        <v>1</v>
      </c>
      <c r="AG187" s="34">
        <f t="shared" si="31"/>
        <v>7</v>
      </c>
      <c r="AH187" s="34">
        <f t="shared" si="31"/>
        <v>6</v>
      </c>
      <c r="AI187" s="34">
        <f t="shared" si="31"/>
        <v>2</v>
      </c>
      <c r="AJ187" s="34">
        <f t="shared" si="31"/>
        <v>0</v>
      </c>
      <c r="AK187" s="34">
        <f t="shared" si="31"/>
        <v>1</v>
      </c>
      <c r="AL187" s="34">
        <f t="shared" si="31"/>
        <v>0</v>
      </c>
      <c r="AM187" s="34">
        <f t="shared" si="31"/>
        <v>2</v>
      </c>
      <c r="AN187" s="34">
        <f t="shared" si="31"/>
        <v>0</v>
      </c>
      <c r="AO187" s="34">
        <f t="shared" si="31"/>
        <v>0</v>
      </c>
      <c r="AP187" s="34">
        <f t="shared" si="31"/>
        <v>2</v>
      </c>
      <c r="AQ187" s="34">
        <f t="shared" si="31"/>
        <v>5</v>
      </c>
      <c r="AR187" s="34">
        <f t="shared" si="31"/>
        <v>1</v>
      </c>
      <c r="AS187" s="34">
        <f t="shared" si="31"/>
        <v>0</v>
      </c>
      <c r="AT187" s="34">
        <f t="shared" si="31"/>
        <v>0</v>
      </c>
      <c r="AU187" s="34">
        <f t="shared" si="31"/>
        <v>1</v>
      </c>
      <c r="AV187" s="34">
        <f t="shared" si="31"/>
        <v>1</v>
      </c>
      <c r="AW187" s="34">
        <f t="shared" si="31"/>
        <v>2</v>
      </c>
      <c r="AX187" s="34">
        <f t="shared" si="31"/>
        <v>0</v>
      </c>
      <c r="AY187" s="34">
        <f t="shared" si="31"/>
        <v>0</v>
      </c>
      <c r="AZ187" s="34">
        <f t="shared" si="31"/>
        <v>0</v>
      </c>
      <c r="BA187" s="34">
        <f t="shared" si="31"/>
        <v>0</v>
      </c>
      <c r="BB187" s="34">
        <f t="shared" si="31"/>
        <v>1</v>
      </c>
      <c r="BC187" s="34">
        <f t="shared" si="31"/>
        <v>2</v>
      </c>
      <c r="BD187" s="34">
        <f t="shared" si="31"/>
        <v>0</v>
      </c>
      <c r="BE187" s="34">
        <f t="shared" si="31"/>
        <v>0</v>
      </c>
      <c r="BF187" s="34">
        <f t="shared" si="31"/>
        <v>1</v>
      </c>
      <c r="BG187" s="34">
        <f t="shared" si="31"/>
        <v>0</v>
      </c>
      <c r="BH187" s="34">
        <f t="shared" si="31"/>
        <v>0</v>
      </c>
      <c r="BI187" s="34">
        <f t="shared" si="31"/>
        <v>1</v>
      </c>
      <c r="BJ187" s="34">
        <f t="shared" si="31"/>
        <v>0</v>
      </c>
      <c r="BK187" s="13">
        <f t="shared" si="13"/>
        <v>126</v>
      </c>
      <c r="BL187" s="1"/>
      <c r="BM187" s="1"/>
    </row>
    <row r="188" spans="1:65" ht="12.75" customHeight="1" x14ac:dyDescent="0.3">
      <c r="A188" s="51"/>
      <c r="B188" s="52"/>
      <c r="C188" s="52"/>
      <c r="D188" s="53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3">
        <f t="shared" si="13"/>
        <v>0</v>
      </c>
    </row>
    <row r="189" spans="1:65" ht="12.75" customHeight="1" x14ac:dyDescent="0.3">
      <c r="A189" s="25" t="s">
        <v>161</v>
      </c>
      <c r="B189" s="49" t="s">
        <v>162</v>
      </c>
      <c r="C189" s="46"/>
      <c r="D189" s="47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3">
        <f t="shared" si="13"/>
        <v>0</v>
      </c>
      <c r="BL189" s="5"/>
      <c r="BM189" s="5"/>
    </row>
    <row r="190" spans="1:65" ht="12.75" customHeight="1" x14ac:dyDescent="0.3">
      <c r="A190" s="25"/>
      <c r="B190" s="38" t="s">
        <v>163</v>
      </c>
      <c r="C190" s="50" t="s">
        <v>164</v>
      </c>
      <c r="D190" s="47"/>
      <c r="E190" s="15">
        <f t="shared" ref="E190:BK190" si="32">E187+E181+E172+E165+E160+E150+E140+E130+E126+E116+E111+E101+E97+E93+E83+E73+E63+E53</f>
        <v>182</v>
      </c>
      <c r="F190" s="15">
        <f t="shared" si="32"/>
        <v>190</v>
      </c>
      <c r="G190" s="15">
        <f t="shared" si="32"/>
        <v>166</v>
      </c>
      <c r="H190" s="15">
        <f t="shared" si="32"/>
        <v>164</v>
      </c>
      <c r="I190" s="15">
        <f t="shared" si="32"/>
        <v>171</v>
      </c>
      <c r="J190" s="15">
        <f t="shared" si="32"/>
        <v>192</v>
      </c>
      <c r="K190" s="15">
        <f t="shared" si="32"/>
        <v>199</v>
      </c>
      <c r="L190" s="15">
        <f t="shared" si="32"/>
        <v>185</v>
      </c>
      <c r="M190" s="15">
        <f t="shared" si="32"/>
        <v>175</v>
      </c>
      <c r="N190" s="15">
        <f t="shared" si="32"/>
        <v>170</v>
      </c>
      <c r="O190" s="15">
        <f t="shared" si="32"/>
        <v>188</v>
      </c>
      <c r="P190" s="15">
        <f t="shared" si="32"/>
        <v>191</v>
      </c>
      <c r="Q190" s="15">
        <f t="shared" si="32"/>
        <v>180</v>
      </c>
      <c r="R190" s="15">
        <f t="shared" si="32"/>
        <v>159</v>
      </c>
      <c r="S190" s="15">
        <f t="shared" si="32"/>
        <v>204</v>
      </c>
      <c r="T190" s="15">
        <f t="shared" si="32"/>
        <v>169</v>
      </c>
      <c r="U190" s="15">
        <f t="shared" si="32"/>
        <v>176</v>
      </c>
      <c r="V190" s="15">
        <f t="shared" si="32"/>
        <v>192</v>
      </c>
      <c r="W190" s="15">
        <f t="shared" si="32"/>
        <v>183</v>
      </c>
      <c r="X190" s="15">
        <f t="shared" si="32"/>
        <v>193</v>
      </c>
      <c r="Y190" s="15">
        <f t="shared" si="32"/>
        <v>181</v>
      </c>
      <c r="Z190" s="15">
        <f t="shared" si="32"/>
        <v>186</v>
      </c>
      <c r="AA190" s="15">
        <f t="shared" si="32"/>
        <v>212</v>
      </c>
      <c r="AB190" s="15">
        <f t="shared" si="32"/>
        <v>191</v>
      </c>
      <c r="AC190" s="15">
        <f t="shared" si="32"/>
        <v>193</v>
      </c>
      <c r="AD190" s="15">
        <f t="shared" si="32"/>
        <v>192</v>
      </c>
      <c r="AE190" s="15">
        <f t="shared" si="32"/>
        <v>188</v>
      </c>
      <c r="AF190" s="15">
        <f t="shared" si="32"/>
        <v>198</v>
      </c>
      <c r="AG190" s="15">
        <f t="shared" si="32"/>
        <v>204</v>
      </c>
      <c r="AH190" s="15">
        <f t="shared" si="32"/>
        <v>182</v>
      </c>
      <c r="AI190" s="15">
        <f t="shared" si="32"/>
        <v>195</v>
      </c>
      <c r="AJ190" s="15">
        <f t="shared" si="32"/>
        <v>183</v>
      </c>
      <c r="AK190" s="15">
        <f t="shared" si="32"/>
        <v>201</v>
      </c>
      <c r="AL190" s="15">
        <f t="shared" si="32"/>
        <v>201</v>
      </c>
      <c r="AM190" s="15">
        <f t="shared" si="32"/>
        <v>166</v>
      </c>
      <c r="AN190" s="15">
        <f t="shared" si="32"/>
        <v>197</v>
      </c>
      <c r="AO190" s="15">
        <f t="shared" si="32"/>
        <v>159</v>
      </c>
      <c r="AP190" s="15">
        <f t="shared" si="32"/>
        <v>166</v>
      </c>
      <c r="AQ190" s="15">
        <f t="shared" si="32"/>
        <v>183</v>
      </c>
      <c r="AR190" s="15">
        <f t="shared" si="32"/>
        <v>209</v>
      </c>
      <c r="AS190" s="15">
        <f t="shared" si="32"/>
        <v>179</v>
      </c>
      <c r="AT190" s="15">
        <f t="shared" si="32"/>
        <v>183</v>
      </c>
      <c r="AU190" s="15">
        <f t="shared" si="32"/>
        <v>231</v>
      </c>
      <c r="AV190" s="15">
        <f t="shared" si="32"/>
        <v>196</v>
      </c>
      <c r="AW190" s="15">
        <f t="shared" si="32"/>
        <v>215</v>
      </c>
      <c r="AX190" s="15">
        <f t="shared" si="32"/>
        <v>214</v>
      </c>
      <c r="AY190" s="15">
        <f t="shared" si="32"/>
        <v>211</v>
      </c>
      <c r="AZ190" s="15">
        <f t="shared" si="32"/>
        <v>213</v>
      </c>
      <c r="BA190" s="15">
        <f t="shared" si="32"/>
        <v>211</v>
      </c>
      <c r="BB190" s="15">
        <f t="shared" si="32"/>
        <v>225</v>
      </c>
      <c r="BC190" s="15">
        <f t="shared" si="32"/>
        <v>202</v>
      </c>
      <c r="BD190" s="15">
        <f t="shared" si="32"/>
        <v>198</v>
      </c>
      <c r="BE190" s="15">
        <f t="shared" si="32"/>
        <v>216</v>
      </c>
      <c r="BF190" s="15">
        <f t="shared" si="32"/>
        <v>179</v>
      </c>
      <c r="BG190" s="15">
        <f t="shared" si="32"/>
        <v>204</v>
      </c>
      <c r="BH190" s="15">
        <f t="shared" si="32"/>
        <v>188</v>
      </c>
      <c r="BI190" s="15">
        <f t="shared" si="32"/>
        <v>215</v>
      </c>
      <c r="BJ190" s="15">
        <f t="shared" si="32"/>
        <v>197</v>
      </c>
      <c r="BK190" s="15">
        <f t="shared" si="32"/>
        <v>11093</v>
      </c>
      <c r="BL190" s="5"/>
      <c r="BM190" s="5"/>
    </row>
    <row r="191" spans="1:65" ht="12.75" customHeight="1" x14ac:dyDescent="0.3">
      <c r="A191" s="21"/>
      <c r="B191" s="38" t="s">
        <v>165</v>
      </c>
      <c r="C191" s="50" t="s">
        <v>166</v>
      </c>
      <c r="D191" s="47"/>
      <c r="E191" s="15">
        <v>8</v>
      </c>
      <c r="F191" s="15">
        <v>11</v>
      </c>
      <c r="G191" s="15">
        <v>19</v>
      </c>
      <c r="H191" s="15">
        <v>9</v>
      </c>
      <c r="I191" s="15">
        <v>19</v>
      </c>
      <c r="J191" s="15">
        <v>16</v>
      </c>
      <c r="K191" s="15">
        <v>18</v>
      </c>
      <c r="L191" s="15">
        <v>16</v>
      </c>
      <c r="M191" s="15">
        <v>11</v>
      </c>
      <c r="N191" s="15">
        <v>6</v>
      </c>
      <c r="O191" s="15">
        <v>19</v>
      </c>
      <c r="P191" s="15">
        <v>10</v>
      </c>
      <c r="Q191" s="15">
        <v>31</v>
      </c>
      <c r="R191" s="15">
        <v>10</v>
      </c>
      <c r="S191" s="15">
        <v>7</v>
      </c>
      <c r="T191" s="15">
        <v>15</v>
      </c>
      <c r="U191" s="15">
        <v>18</v>
      </c>
      <c r="V191" s="15">
        <v>20</v>
      </c>
      <c r="W191" s="15">
        <v>11</v>
      </c>
      <c r="X191" s="15">
        <v>13</v>
      </c>
      <c r="Y191" s="15">
        <v>19</v>
      </c>
      <c r="Z191" s="15">
        <v>8</v>
      </c>
      <c r="AA191" s="15">
        <v>8</v>
      </c>
      <c r="AB191" s="15">
        <v>14</v>
      </c>
      <c r="AC191" s="15">
        <v>19</v>
      </c>
      <c r="AD191" s="15">
        <v>4</v>
      </c>
      <c r="AE191" s="15">
        <v>17</v>
      </c>
      <c r="AF191" s="15">
        <v>20</v>
      </c>
      <c r="AG191" s="15">
        <v>16</v>
      </c>
      <c r="AH191" s="15">
        <v>7</v>
      </c>
      <c r="AI191" s="15">
        <v>10</v>
      </c>
      <c r="AJ191" s="15">
        <v>23</v>
      </c>
      <c r="AK191" s="15">
        <v>14</v>
      </c>
      <c r="AL191" s="15">
        <v>18</v>
      </c>
      <c r="AM191" s="15">
        <v>11</v>
      </c>
      <c r="AN191" s="15">
        <v>9</v>
      </c>
      <c r="AO191" s="15">
        <v>15</v>
      </c>
      <c r="AP191" s="15">
        <v>14</v>
      </c>
      <c r="AQ191" s="15">
        <v>25</v>
      </c>
      <c r="AR191" s="15">
        <v>11</v>
      </c>
      <c r="AS191" s="15">
        <v>10</v>
      </c>
      <c r="AT191" s="15">
        <v>18</v>
      </c>
      <c r="AU191" s="15">
        <v>14</v>
      </c>
      <c r="AV191" s="15">
        <v>6</v>
      </c>
      <c r="AW191" s="15">
        <v>10</v>
      </c>
      <c r="AX191" s="15">
        <v>10</v>
      </c>
      <c r="AY191" s="15">
        <v>10</v>
      </c>
      <c r="AZ191" s="15">
        <v>8</v>
      </c>
      <c r="BA191" s="15">
        <v>29</v>
      </c>
      <c r="BB191" s="15">
        <v>26</v>
      </c>
      <c r="BC191" s="15">
        <v>8</v>
      </c>
      <c r="BD191" s="15">
        <v>11</v>
      </c>
      <c r="BE191" s="15">
        <v>13</v>
      </c>
      <c r="BF191" s="15">
        <v>9</v>
      </c>
      <c r="BG191" s="15">
        <v>8</v>
      </c>
      <c r="BH191" s="15">
        <v>21</v>
      </c>
      <c r="BI191" s="15">
        <v>3</v>
      </c>
      <c r="BJ191" s="15">
        <v>12</v>
      </c>
      <c r="BK191" s="13">
        <f t="shared" si="13"/>
        <v>795</v>
      </c>
      <c r="BL191" s="5"/>
      <c r="BM191" s="5"/>
    </row>
    <row r="192" spans="1:65" ht="12.75" customHeight="1" x14ac:dyDescent="0.3">
      <c r="A192" s="24"/>
      <c r="B192" s="38" t="s">
        <v>167</v>
      </c>
      <c r="C192" s="50" t="s">
        <v>168</v>
      </c>
      <c r="D192" s="47"/>
      <c r="E192" s="18">
        <f t="shared" ref="E192:BK192" si="33">SUM(E190:E191)</f>
        <v>190</v>
      </c>
      <c r="F192" s="18">
        <f t="shared" si="33"/>
        <v>201</v>
      </c>
      <c r="G192" s="18">
        <f t="shared" si="33"/>
        <v>185</v>
      </c>
      <c r="H192" s="18">
        <f t="shared" si="33"/>
        <v>173</v>
      </c>
      <c r="I192" s="18">
        <f t="shared" si="33"/>
        <v>190</v>
      </c>
      <c r="J192" s="18">
        <f t="shared" si="33"/>
        <v>208</v>
      </c>
      <c r="K192" s="18">
        <f t="shared" si="33"/>
        <v>217</v>
      </c>
      <c r="L192" s="18">
        <f t="shared" si="33"/>
        <v>201</v>
      </c>
      <c r="M192" s="18">
        <f t="shared" si="33"/>
        <v>186</v>
      </c>
      <c r="N192" s="18">
        <f t="shared" si="33"/>
        <v>176</v>
      </c>
      <c r="O192" s="18">
        <f t="shared" si="33"/>
        <v>207</v>
      </c>
      <c r="P192" s="18">
        <f t="shared" si="33"/>
        <v>201</v>
      </c>
      <c r="Q192" s="18">
        <f t="shared" si="33"/>
        <v>211</v>
      </c>
      <c r="R192" s="18">
        <f t="shared" si="33"/>
        <v>169</v>
      </c>
      <c r="S192" s="18">
        <f t="shared" si="33"/>
        <v>211</v>
      </c>
      <c r="T192" s="18">
        <f t="shared" si="33"/>
        <v>184</v>
      </c>
      <c r="U192" s="18">
        <f t="shared" si="33"/>
        <v>194</v>
      </c>
      <c r="V192" s="18">
        <f t="shared" si="33"/>
        <v>212</v>
      </c>
      <c r="W192" s="18">
        <f t="shared" si="33"/>
        <v>194</v>
      </c>
      <c r="X192" s="18">
        <f t="shared" si="33"/>
        <v>206</v>
      </c>
      <c r="Y192" s="18">
        <f t="shared" si="33"/>
        <v>200</v>
      </c>
      <c r="Z192" s="18">
        <f t="shared" si="33"/>
        <v>194</v>
      </c>
      <c r="AA192" s="18">
        <f t="shared" si="33"/>
        <v>220</v>
      </c>
      <c r="AB192" s="18">
        <f t="shared" si="33"/>
        <v>205</v>
      </c>
      <c r="AC192" s="18">
        <f t="shared" si="33"/>
        <v>212</v>
      </c>
      <c r="AD192" s="18">
        <f t="shared" si="33"/>
        <v>196</v>
      </c>
      <c r="AE192" s="18">
        <f t="shared" si="33"/>
        <v>205</v>
      </c>
      <c r="AF192" s="18">
        <f t="shared" si="33"/>
        <v>218</v>
      </c>
      <c r="AG192" s="18">
        <f t="shared" si="33"/>
        <v>220</v>
      </c>
      <c r="AH192" s="18">
        <f t="shared" si="33"/>
        <v>189</v>
      </c>
      <c r="AI192" s="18">
        <f t="shared" si="33"/>
        <v>205</v>
      </c>
      <c r="AJ192" s="18">
        <f t="shared" si="33"/>
        <v>206</v>
      </c>
      <c r="AK192" s="18">
        <f t="shared" si="33"/>
        <v>215</v>
      </c>
      <c r="AL192" s="18">
        <f t="shared" si="33"/>
        <v>219</v>
      </c>
      <c r="AM192" s="18">
        <f t="shared" si="33"/>
        <v>177</v>
      </c>
      <c r="AN192" s="18">
        <f t="shared" si="33"/>
        <v>206</v>
      </c>
      <c r="AO192" s="18">
        <f t="shared" si="33"/>
        <v>174</v>
      </c>
      <c r="AP192" s="18">
        <f t="shared" si="33"/>
        <v>180</v>
      </c>
      <c r="AQ192" s="18">
        <f t="shared" si="33"/>
        <v>208</v>
      </c>
      <c r="AR192" s="18">
        <f t="shared" si="33"/>
        <v>220</v>
      </c>
      <c r="AS192" s="18">
        <f t="shared" si="33"/>
        <v>189</v>
      </c>
      <c r="AT192" s="18">
        <f t="shared" si="33"/>
        <v>201</v>
      </c>
      <c r="AU192" s="18">
        <f t="shared" si="33"/>
        <v>245</v>
      </c>
      <c r="AV192" s="18">
        <f t="shared" si="33"/>
        <v>202</v>
      </c>
      <c r="AW192" s="18">
        <f t="shared" si="33"/>
        <v>225</v>
      </c>
      <c r="AX192" s="18">
        <f t="shared" si="33"/>
        <v>224</v>
      </c>
      <c r="AY192" s="18">
        <f t="shared" si="33"/>
        <v>221</v>
      </c>
      <c r="AZ192" s="18">
        <f t="shared" si="33"/>
        <v>221</v>
      </c>
      <c r="BA192" s="18">
        <f t="shared" si="33"/>
        <v>240</v>
      </c>
      <c r="BB192" s="18">
        <f t="shared" si="33"/>
        <v>251</v>
      </c>
      <c r="BC192" s="18">
        <f t="shared" si="33"/>
        <v>210</v>
      </c>
      <c r="BD192" s="18">
        <f t="shared" si="33"/>
        <v>209</v>
      </c>
      <c r="BE192" s="18">
        <f t="shared" si="33"/>
        <v>229</v>
      </c>
      <c r="BF192" s="18">
        <f t="shared" si="33"/>
        <v>188</v>
      </c>
      <c r="BG192" s="18">
        <f t="shared" si="33"/>
        <v>212</v>
      </c>
      <c r="BH192" s="18">
        <f t="shared" si="33"/>
        <v>209</v>
      </c>
      <c r="BI192" s="18">
        <f t="shared" si="33"/>
        <v>218</v>
      </c>
      <c r="BJ192" s="18">
        <f t="shared" si="33"/>
        <v>209</v>
      </c>
      <c r="BK192" s="18">
        <f t="shared" si="33"/>
        <v>11888</v>
      </c>
      <c r="BL192" s="5"/>
      <c r="BM192" s="5"/>
    </row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70">
    <mergeCell ref="B97:D97"/>
    <mergeCell ref="C99:D99"/>
    <mergeCell ref="B101:D101"/>
    <mergeCell ref="C103:D103"/>
    <mergeCell ref="C75:D75"/>
    <mergeCell ref="B83:D83"/>
    <mergeCell ref="C85:D85"/>
    <mergeCell ref="B93:D93"/>
    <mergeCell ref="C95:D95"/>
    <mergeCell ref="B53:D53"/>
    <mergeCell ref="C55:D55"/>
    <mergeCell ref="B63:D63"/>
    <mergeCell ref="C65:D65"/>
    <mergeCell ref="B73:D7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A17:D17"/>
    <mergeCell ref="B18:D18"/>
    <mergeCell ref="B19:B21"/>
    <mergeCell ref="C19:C21"/>
    <mergeCell ref="B22:B24"/>
    <mergeCell ref="C22:C24"/>
    <mergeCell ref="B12:D12"/>
    <mergeCell ref="E12:BJ12"/>
    <mergeCell ref="BK12:BK13"/>
    <mergeCell ref="B13:D13"/>
    <mergeCell ref="B14:C16"/>
    <mergeCell ref="B189:D189"/>
    <mergeCell ref="C190:D190"/>
    <mergeCell ref="C191:D191"/>
    <mergeCell ref="C192:D192"/>
    <mergeCell ref="B165:D165"/>
    <mergeCell ref="C167:D167"/>
    <mergeCell ref="B172:D172"/>
    <mergeCell ref="C174:D174"/>
    <mergeCell ref="B181:D181"/>
    <mergeCell ref="C183:D183"/>
    <mergeCell ref="B187:D187"/>
    <mergeCell ref="B150:D150"/>
    <mergeCell ref="C152:D152"/>
    <mergeCell ref="B160:D160"/>
    <mergeCell ref="C162:D162"/>
    <mergeCell ref="A188:D188"/>
    <mergeCell ref="C128:D128"/>
    <mergeCell ref="B130:D130"/>
    <mergeCell ref="C132:D132"/>
    <mergeCell ref="B140:D140"/>
    <mergeCell ref="C142:D142"/>
    <mergeCell ref="B111:D111"/>
    <mergeCell ref="C113:D113"/>
    <mergeCell ref="B116:D116"/>
    <mergeCell ref="C118:D118"/>
    <mergeCell ref="B126:D126"/>
  </mergeCells>
  <conditionalFormatting sqref="E14:BJ15">
    <cfRule type="containsBlanks" dxfId="149" priority="1">
      <formula>LEN(TRIM(E14))=0</formula>
    </cfRule>
  </conditionalFormatting>
  <conditionalFormatting sqref="E19:BJ20">
    <cfRule type="containsBlanks" dxfId="148" priority="2">
      <formula>LEN(TRIM(E19))=0</formula>
    </cfRule>
  </conditionalFormatting>
  <conditionalFormatting sqref="E22:BJ23 E25:BJ26 E33:BJ33 E35:BJ35 E39:BJ40">
    <cfRule type="containsBlanks" dxfId="147" priority="3">
      <formula>LEN(TRIM(E22))=0</formula>
    </cfRule>
  </conditionalFormatting>
  <conditionalFormatting sqref="E30:BJ30">
    <cfRule type="expression" dxfId="146" priority="4">
      <formula>E30&lt;&gt;E47</formula>
    </cfRule>
    <cfRule type="expression" dxfId="145" priority="5">
      <formula>E30&lt;&gt;E34</formula>
    </cfRule>
  </conditionalFormatting>
  <conditionalFormatting sqref="E34:BJ34">
    <cfRule type="expression" dxfId="144" priority="6">
      <formula>E30&lt;&gt;E34</formula>
    </cfRule>
    <cfRule type="expression" dxfId="143" priority="7">
      <formula>E30=E34</formula>
    </cfRule>
    <cfRule type="expression" dxfId="142" priority="8">
      <formula>E34&lt;&gt;E30</formula>
    </cfRule>
    <cfRule type="expression" dxfId="141" priority="9">
      <formula>E34&lt;&gt;E64</formula>
    </cfRule>
  </conditionalFormatting>
  <conditionalFormatting sqref="E45:BJ52">
    <cfRule type="containsBlanks" dxfId="140" priority="10">
      <formula>LEN(TRIM(E45))=0</formula>
    </cfRule>
  </conditionalFormatting>
  <conditionalFormatting sqref="E55:BJ62">
    <cfRule type="containsBlanks" dxfId="139" priority="11">
      <formula>LEN(TRIM(E55))=0</formula>
    </cfRule>
  </conditionalFormatting>
  <conditionalFormatting sqref="E65:BJ72">
    <cfRule type="containsBlanks" dxfId="138" priority="12">
      <formula>LEN(TRIM(E65))=0</formula>
    </cfRule>
  </conditionalFormatting>
  <conditionalFormatting sqref="E75:BJ82">
    <cfRule type="containsBlanks" dxfId="137" priority="13">
      <formula>LEN(TRIM(E75))=0</formula>
    </cfRule>
  </conditionalFormatting>
  <conditionalFormatting sqref="E85:BJ92">
    <cfRule type="containsBlanks" dxfId="136" priority="14">
      <formula>LEN(TRIM(E85))=0</formula>
    </cfRule>
  </conditionalFormatting>
  <conditionalFormatting sqref="E95:BJ96">
    <cfRule type="containsBlanks" dxfId="135" priority="15">
      <formula>LEN(TRIM(E95))=0</formula>
    </cfRule>
  </conditionalFormatting>
  <conditionalFormatting sqref="E99:BJ100">
    <cfRule type="containsBlanks" dxfId="134" priority="16">
      <formula>LEN(TRIM(E99))=0</formula>
    </cfRule>
  </conditionalFormatting>
  <conditionalFormatting sqref="E103:BJ110">
    <cfRule type="containsBlanks" dxfId="133" priority="17">
      <formula>LEN(TRIM(E103))=0</formula>
    </cfRule>
  </conditionalFormatting>
  <conditionalFormatting sqref="E113:BJ115">
    <cfRule type="containsBlanks" dxfId="132" priority="18">
      <formula>LEN(TRIM(E113))=0</formula>
    </cfRule>
  </conditionalFormatting>
  <conditionalFormatting sqref="E118:BJ125">
    <cfRule type="containsBlanks" dxfId="131" priority="19">
      <formula>LEN(TRIM(E118))=0</formula>
    </cfRule>
  </conditionalFormatting>
  <conditionalFormatting sqref="E128:BJ129">
    <cfRule type="containsBlanks" dxfId="130" priority="20">
      <formula>LEN(TRIM(E128))=0</formula>
    </cfRule>
  </conditionalFormatting>
  <conditionalFormatting sqref="E132:BJ139">
    <cfRule type="containsBlanks" dxfId="129" priority="21">
      <formula>LEN(TRIM(E132))=0</formula>
    </cfRule>
  </conditionalFormatting>
  <conditionalFormatting sqref="E142:BJ149">
    <cfRule type="containsBlanks" dxfId="128" priority="22">
      <formula>LEN(TRIM(E142))=0</formula>
    </cfRule>
  </conditionalFormatting>
  <conditionalFormatting sqref="E152:BJ159">
    <cfRule type="containsBlanks" dxfId="127" priority="23">
      <formula>LEN(TRIM(E152))=0</formula>
    </cfRule>
  </conditionalFormatting>
  <conditionalFormatting sqref="E162:BJ164">
    <cfRule type="containsBlanks" dxfId="126" priority="24">
      <formula>LEN(TRIM(E162))=0</formula>
    </cfRule>
  </conditionalFormatting>
  <conditionalFormatting sqref="E167:BJ171">
    <cfRule type="containsBlanks" dxfId="125" priority="25">
      <formula>LEN(TRIM(E167))=0</formula>
    </cfRule>
  </conditionalFormatting>
  <conditionalFormatting sqref="E174:BJ180">
    <cfRule type="containsBlanks" dxfId="124" priority="26">
      <formula>LEN(TRIM(E174))=0</formula>
    </cfRule>
  </conditionalFormatting>
  <conditionalFormatting sqref="E183:BJ186">
    <cfRule type="containsBlanks" dxfId="123" priority="27">
      <formula>LEN(TRIM(E183))=0</formula>
    </cfRule>
  </conditionalFormatting>
  <conditionalFormatting sqref="E190:BK190 E191:BJ191">
    <cfRule type="containsBlanks" dxfId="122" priority="28">
      <formula>LEN(TRIM(E190))=0</formula>
    </cfRule>
  </conditionalFormatting>
  <conditionalFormatting sqref="E192:BK192">
    <cfRule type="expression" dxfId="121" priority="29">
      <formula>E192&lt;&gt;E30</formula>
    </cfRule>
    <cfRule type="expression" dxfId="120" priority="30">
      <formula>E192&lt;&gt;E34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N1000"/>
  <sheetViews>
    <sheetView topLeftCell="B181" workbookViewId="0">
      <selection activeCell="B192" sqref="B192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63" width="8.69921875" customWidth="1"/>
    <col min="64" max="64" width="13.296875" customWidth="1"/>
    <col min="65" max="66" width="8.69921875" customWidth="1"/>
  </cols>
  <sheetData>
    <row r="1" spans="1:64" ht="12.75" customHeight="1" x14ac:dyDescent="0.3"/>
    <row r="2" spans="1:64" ht="12.75" customHeight="1" x14ac:dyDescent="0.3">
      <c r="C2" s="8" t="s">
        <v>0</v>
      </c>
      <c r="D2" s="8" t="s">
        <v>1</v>
      </c>
    </row>
    <row r="3" spans="1:64" ht="12.75" customHeight="1" x14ac:dyDescent="0.3">
      <c r="C3" s="8" t="s">
        <v>2</v>
      </c>
      <c r="D3" s="8" t="s">
        <v>3</v>
      </c>
    </row>
    <row r="4" spans="1:64" ht="12.75" customHeight="1" x14ac:dyDescent="0.3">
      <c r="C4" s="8" t="s">
        <v>4</v>
      </c>
      <c r="D4" s="8" t="s">
        <v>5</v>
      </c>
    </row>
    <row r="5" spans="1:64" ht="12.75" customHeight="1" x14ac:dyDescent="0.3">
      <c r="C5" s="8"/>
      <c r="D5" s="8"/>
    </row>
    <row r="6" spans="1:64" ht="12.75" customHeight="1" x14ac:dyDescent="0.3">
      <c r="C6" s="8"/>
      <c r="D6" s="8"/>
    </row>
    <row r="7" spans="1:64" ht="12.75" customHeight="1" x14ac:dyDescent="0.3">
      <c r="C7" s="8"/>
      <c r="D7" s="8"/>
    </row>
    <row r="8" spans="1:64" ht="12.75" customHeight="1" x14ac:dyDescent="0.3">
      <c r="C8" s="8"/>
      <c r="D8" s="8"/>
    </row>
    <row r="9" spans="1:64" ht="12.75" customHeight="1" x14ac:dyDescent="0.3">
      <c r="C9" s="8" t="s">
        <v>169</v>
      </c>
      <c r="D9" s="8" t="s">
        <v>229</v>
      </c>
    </row>
    <row r="10" spans="1:64" ht="12.75" customHeight="1" x14ac:dyDescent="0.3"/>
    <row r="11" spans="1:64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</row>
    <row r="12" spans="1:64" ht="12.75" customHeight="1" x14ac:dyDescent="0.3">
      <c r="A12" s="13" t="s">
        <v>6</v>
      </c>
      <c r="B12" s="49" t="s">
        <v>7</v>
      </c>
      <c r="C12" s="46"/>
      <c r="D12" s="47"/>
      <c r="E12" s="71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72" t="s">
        <v>8</v>
      </c>
    </row>
    <row r="13" spans="1:64" ht="12.75" customHeight="1" x14ac:dyDescent="0.3">
      <c r="A13" s="15" t="s">
        <v>9</v>
      </c>
      <c r="B13" s="56" t="s">
        <v>10</v>
      </c>
      <c r="C13" s="46"/>
      <c r="D13" s="47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13" t="s">
        <v>189</v>
      </c>
      <c r="X13" s="13" t="s">
        <v>190</v>
      </c>
      <c r="Y13" s="13" t="s">
        <v>191</v>
      </c>
      <c r="Z13" s="13" t="s">
        <v>192</v>
      </c>
      <c r="AA13" s="13" t="s">
        <v>193</v>
      </c>
      <c r="AB13" s="13" t="s">
        <v>194</v>
      </c>
      <c r="AC13" s="13" t="s">
        <v>195</v>
      </c>
      <c r="AD13" s="13" t="s">
        <v>196</v>
      </c>
      <c r="AE13" s="13" t="s">
        <v>197</v>
      </c>
      <c r="AF13" s="13" t="s">
        <v>198</v>
      </c>
      <c r="AG13" s="13" t="s">
        <v>199</v>
      </c>
      <c r="AH13" s="13" t="s">
        <v>200</v>
      </c>
      <c r="AI13" s="13" t="s">
        <v>201</v>
      </c>
      <c r="AJ13" s="13" t="s">
        <v>202</v>
      </c>
      <c r="AK13" s="13" t="s">
        <v>203</v>
      </c>
      <c r="AL13" s="13" t="s">
        <v>204</v>
      </c>
      <c r="AM13" s="13" t="s">
        <v>205</v>
      </c>
      <c r="AN13" s="13" t="s">
        <v>206</v>
      </c>
      <c r="AO13" s="13" t="s">
        <v>207</v>
      </c>
      <c r="AP13" s="13" t="s">
        <v>208</v>
      </c>
      <c r="AQ13" s="13" t="s">
        <v>209</v>
      </c>
      <c r="AR13" s="13" t="s">
        <v>210</v>
      </c>
      <c r="AS13" s="13" t="s">
        <v>211</v>
      </c>
      <c r="AT13" s="13" t="s">
        <v>212</v>
      </c>
      <c r="AU13" s="13" t="s">
        <v>213</v>
      </c>
      <c r="AV13" s="13" t="s">
        <v>214</v>
      </c>
      <c r="AW13" s="13" t="s">
        <v>215</v>
      </c>
      <c r="AX13" s="13" t="s">
        <v>216</v>
      </c>
      <c r="AY13" s="13" t="s">
        <v>217</v>
      </c>
      <c r="AZ13" s="13" t="s">
        <v>218</v>
      </c>
      <c r="BA13" s="13" t="s">
        <v>219</v>
      </c>
      <c r="BB13" s="13" t="s">
        <v>220</v>
      </c>
      <c r="BC13" s="13" t="s">
        <v>221</v>
      </c>
      <c r="BD13" s="13" t="s">
        <v>222</v>
      </c>
      <c r="BE13" s="13" t="s">
        <v>223</v>
      </c>
      <c r="BF13" s="13" t="s">
        <v>224</v>
      </c>
      <c r="BG13" s="13" t="s">
        <v>225</v>
      </c>
      <c r="BH13" s="13" t="s">
        <v>226</v>
      </c>
      <c r="BI13" s="13" t="s">
        <v>227</v>
      </c>
      <c r="BJ13" s="13" t="s">
        <v>228</v>
      </c>
      <c r="BK13" s="13" t="s">
        <v>230</v>
      </c>
      <c r="BL13" s="64"/>
    </row>
    <row r="14" spans="1:64" ht="12.75" customHeight="1" x14ac:dyDescent="0.3">
      <c r="A14" s="14"/>
      <c r="B14" s="57" t="s">
        <v>11</v>
      </c>
      <c r="C14" s="58"/>
      <c r="D14" s="15" t="s">
        <v>12</v>
      </c>
      <c r="E14" s="15">
        <v>135</v>
      </c>
      <c r="F14" s="15">
        <v>138</v>
      </c>
      <c r="G14" s="15">
        <v>127</v>
      </c>
      <c r="H14" s="15">
        <v>144</v>
      </c>
      <c r="I14" s="15">
        <v>151</v>
      </c>
      <c r="J14" s="15">
        <v>137</v>
      </c>
      <c r="K14" s="15">
        <v>134</v>
      </c>
      <c r="L14" s="15">
        <v>144</v>
      </c>
      <c r="M14" s="15">
        <v>137</v>
      </c>
      <c r="N14" s="15">
        <v>140</v>
      </c>
      <c r="O14" s="15">
        <v>137</v>
      </c>
      <c r="P14" s="15">
        <v>141</v>
      </c>
      <c r="Q14" s="15">
        <v>142</v>
      </c>
      <c r="R14" s="15">
        <v>129</v>
      </c>
      <c r="S14" s="15">
        <v>138</v>
      </c>
      <c r="T14" s="15">
        <v>149</v>
      </c>
      <c r="U14" s="15">
        <v>151</v>
      </c>
      <c r="V14" s="15">
        <v>148</v>
      </c>
      <c r="W14" s="15">
        <v>151</v>
      </c>
      <c r="X14" s="15">
        <v>143</v>
      </c>
      <c r="Y14" s="15">
        <v>141</v>
      </c>
      <c r="Z14" s="15">
        <v>154</v>
      </c>
      <c r="AA14" s="15">
        <v>147</v>
      </c>
      <c r="AB14" s="15">
        <v>148</v>
      </c>
      <c r="AC14" s="15">
        <v>153</v>
      </c>
      <c r="AD14" s="15">
        <v>139</v>
      </c>
      <c r="AE14" s="15">
        <v>134</v>
      </c>
      <c r="AF14" s="15">
        <v>130</v>
      </c>
      <c r="AG14" s="15">
        <v>126</v>
      </c>
      <c r="AH14" s="15">
        <v>135</v>
      </c>
      <c r="AI14" s="15">
        <v>107</v>
      </c>
      <c r="AJ14" s="15">
        <v>120</v>
      </c>
      <c r="AK14" s="15">
        <v>109</v>
      </c>
      <c r="AL14" s="15">
        <v>145</v>
      </c>
      <c r="AM14" s="15">
        <v>117</v>
      </c>
      <c r="AN14" s="15">
        <v>116</v>
      </c>
      <c r="AO14" s="15">
        <v>121</v>
      </c>
      <c r="AP14" s="15">
        <v>118</v>
      </c>
      <c r="AQ14" s="15">
        <v>125</v>
      </c>
      <c r="AR14" s="15">
        <v>132</v>
      </c>
      <c r="AS14" s="15">
        <v>110</v>
      </c>
      <c r="AT14" s="15">
        <v>119</v>
      </c>
      <c r="AU14" s="15">
        <v>119</v>
      </c>
      <c r="AV14" s="15">
        <v>139</v>
      </c>
      <c r="AW14" s="15">
        <v>124</v>
      </c>
      <c r="AX14" s="15">
        <v>140</v>
      </c>
      <c r="AY14" s="15">
        <v>134</v>
      </c>
      <c r="AZ14" s="15">
        <v>141</v>
      </c>
      <c r="BA14" s="15">
        <v>148</v>
      </c>
      <c r="BB14" s="15">
        <v>138</v>
      </c>
      <c r="BC14" s="15">
        <v>140</v>
      </c>
      <c r="BD14" s="15">
        <v>131</v>
      </c>
      <c r="BE14" s="15">
        <v>143</v>
      </c>
      <c r="BF14" s="15">
        <v>135</v>
      </c>
      <c r="BG14" s="15">
        <v>121</v>
      </c>
      <c r="BH14" s="15">
        <v>152</v>
      </c>
      <c r="BI14" s="15">
        <v>141</v>
      </c>
      <c r="BJ14" s="15">
        <v>140</v>
      </c>
      <c r="BK14" s="15">
        <v>126</v>
      </c>
      <c r="BL14" s="13">
        <f t="shared" ref="BL14:BL16" si="0">SUM(E14:BK14)</f>
        <v>7974</v>
      </c>
    </row>
    <row r="15" spans="1:64" ht="12.75" customHeight="1" x14ac:dyDescent="0.3">
      <c r="A15" s="14"/>
      <c r="B15" s="59"/>
      <c r="C15" s="60"/>
      <c r="D15" s="15" t="s">
        <v>13</v>
      </c>
      <c r="E15" s="15">
        <v>137</v>
      </c>
      <c r="F15" s="15">
        <v>150</v>
      </c>
      <c r="G15" s="15">
        <v>144</v>
      </c>
      <c r="H15" s="15">
        <v>133</v>
      </c>
      <c r="I15" s="15">
        <v>142</v>
      </c>
      <c r="J15" s="15">
        <v>127</v>
      </c>
      <c r="K15" s="15">
        <v>141</v>
      </c>
      <c r="L15" s="15">
        <v>126</v>
      </c>
      <c r="M15" s="15">
        <v>150</v>
      </c>
      <c r="N15" s="15">
        <v>112</v>
      </c>
      <c r="O15" s="15">
        <v>145</v>
      </c>
      <c r="P15" s="15">
        <v>124</v>
      </c>
      <c r="Q15" s="15">
        <v>122</v>
      </c>
      <c r="R15" s="15">
        <v>114</v>
      </c>
      <c r="S15" s="15">
        <v>151</v>
      </c>
      <c r="T15" s="15">
        <v>145</v>
      </c>
      <c r="U15" s="15">
        <v>130</v>
      </c>
      <c r="V15" s="15">
        <v>139</v>
      </c>
      <c r="W15" s="15">
        <v>128</v>
      </c>
      <c r="X15" s="15">
        <v>151</v>
      </c>
      <c r="Y15" s="15">
        <v>132</v>
      </c>
      <c r="Z15" s="15">
        <v>134</v>
      </c>
      <c r="AA15" s="15">
        <v>140</v>
      </c>
      <c r="AB15" s="15">
        <v>146</v>
      </c>
      <c r="AC15" s="15">
        <v>141</v>
      </c>
      <c r="AD15" s="15">
        <v>139</v>
      </c>
      <c r="AE15" s="15">
        <v>129</v>
      </c>
      <c r="AF15" s="15">
        <v>123</v>
      </c>
      <c r="AG15" s="15">
        <v>148</v>
      </c>
      <c r="AH15" s="15">
        <v>138</v>
      </c>
      <c r="AI15" s="15">
        <v>101</v>
      </c>
      <c r="AJ15" s="15">
        <v>112</v>
      </c>
      <c r="AK15" s="15">
        <v>117</v>
      </c>
      <c r="AL15" s="15">
        <v>146</v>
      </c>
      <c r="AM15" s="15">
        <v>128</v>
      </c>
      <c r="AN15" s="15">
        <v>126</v>
      </c>
      <c r="AO15" s="15">
        <v>122</v>
      </c>
      <c r="AP15" s="15">
        <v>129</v>
      </c>
      <c r="AQ15" s="15">
        <v>152</v>
      </c>
      <c r="AR15" s="15">
        <v>133</v>
      </c>
      <c r="AS15" s="15">
        <v>114</v>
      </c>
      <c r="AT15" s="15">
        <v>98</v>
      </c>
      <c r="AU15" s="15">
        <v>115</v>
      </c>
      <c r="AV15" s="15">
        <v>147</v>
      </c>
      <c r="AW15" s="15">
        <v>126</v>
      </c>
      <c r="AX15" s="15">
        <v>139</v>
      </c>
      <c r="AY15" s="15">
        <v>138</v>
      </c>
      <c r="AZ15" s="15">
        <v>139</v>
      </c>
      <c r="BA15" s="15">
        <v>144</v>
      </c>
      <c r="BB15" s="15">
        <v>136</v>
      </c>
      <c r="BC15" s="15">
        <v>132</v>
      </c>
      <c r="BD15" s="15">
        <v>144</v>
      </c>
      <c r="BE15" s="15">
        <v>132</v>
      </c>
      <c r="BF15" s="15">
        <v>144</v>
      </c>
      <c r="BG15" s="15">
        <v>134</v>
      </c>
      <c r="BH15" s="15">
        <v>141</v>
      </c>
      <c r="BI15" s="15">
        <v>140</v>
      </c>
      <c r="BJ15" s="15">
        <v>143</v>
      </c>
      <c r="BK15" s="15">
        <v>156</v>
      </c>
      <c r="BL15" s="13">
        <f t="shared" si="0"/>
        <v>7909</v>
      </c>
    </row>
    <row r="16" spans="1:64" ht="12.75" customHeight="1" x14ac:dyDescent="0.3">
      <c r="A16" s="17"/>
      <c r="B16" s="55"/>
      <c r="C16" s="53"/>
      <c r="D16" s="13" t="s">
        <v>14</v>
      </c>
      <c r="E16" s="13">
        <f t="shared" ref="E16:BK16" si="1">SUM(E14:E15)</f>
        <v>272</v>
      </c>
      <c r="F16" s="13">
        <f t="shared" si="1"/>
        <v>288</v>
      </c>
      <c r="G16" s="13">
        <f t="shared" si="1"/>
        <v>271</v>
      </c>
      <c r="H16" s="13">
        <f t="shared" si="1"/>
        <v>277</v>
      </c>
      <c r="I16" s="13">
        <f t="shared" si="1"/>
        <v>293</v>
      </c>
      <c r="J16" s="13">
        <f t="shared" si="1"/>
        <v>264</v>
      </c>
      <c r="K16" s="13">
        <f t="shared" si="1"/>
        <v>275</v>
      </c>
      <c r="L16" s="13">
        <f t="shared" si="1"/>
        <v>270</v>
      </c>
      <c r="M16" s="13">
        <f t="shared" si="1"/>
        <v>287</v>
      </c>
      <c r="N16" s="13">
        <f t="shared" si="1"/>
        <v>252</v>
      </c>
      <c r="O16" s="13">
        <f t="shared" si="1"/>
        <v>282</v>
      </c>
      <c r="P16" s="13">
        <f t="shared" si="1"/>
        <v>265</v>
      </c>
      <c r="Q16" s="13">
        <f t="shared" si="1"/>
        <v>264</v>
      </c>
      <c r="R16" s="13">
        <f t="shared" si="1"/>
        <v>243</v>
      </c>
      <c r="S16" s="13">
        <f t="shared" si="1"/>
        <v>289</v>
      </c>
      <c r="T16" s="13">
        <f t="shared" si="1"/>
        <v>294</v>
      </c>
      <c r="U16" s="13">
        <f t="shared" si="1"/>
        <v>281</v>
      </c>
      <c r="V16" s="13">
        <f t="shared" si="1"/>
        <v>287</v>
      </c>
      <c r="W16" s="13">
        <f t="shared" si="1"/>
        <v>279</v>
      </c>
      <c r="X16" s="13">
        <f t="shared" si="1"/>
        <v>294</v>
      </c>
      <c r="Y16" s="13">
        <f t="shared" si="1"/>
        <v>273</v>
      </c>
      <c r="Z16" s="13">
        <f t="shared" si="1"/>
        <v>288</v>
      </c>
      <c r="AA16" s="13">
        <f t="shared" si="1"/>
        <v>287</v>
      </c>
      <c r="AB16" s="13">
        <f t="shared" si="1"/>
        <v>294</v>
      </c>
      <c r="AC16" s="13">
        <f t="shared" si="1"/>
        <v>294</v>
      </c>
      <c r="AD16" s="13">
        <f t="shared" si="1"/>
        <v>278</v>
      </c>
      <c r="AE16" s="13">
        <f t="shared" si="1"/>
        <v>263</v>
      </c>
      <c r="AF16" s="13">
        <f t="shared" si="1"/>
        <v>253</v>
      </c>
      <c r="AG16" s="13">
        <f t="shared" si="1"/>
        <v>274</v>
      </c>
      <c r="AH16" s="13">
        <f t="shared" si="1"/>
        <v>273</v>
      </c>
      <c r="AI16" s="13">
        <f t="shared" si="1"/>
        <v>208</v>
      </c>
      <c r="AJ16" s="13">
        <f t="shared" si="1"/>
        <v>232</v>
      </c>
      <c r="AK16" s="13">
        <f t="shared" si="1"/>
        <v>226</v>
      </c>
      <c r="AL16" s="13">
        <f t="shared" si="1"/>
        <v>291</v>
      </c>
      <c r="AM16" s="13">
        <f t="shared" si="1"/>
        <v>245</v>
      </c>
      <c r="AN16" s="13">
        <f t="shared" si="1"/>
        <v>242</v>
      </c>
      <c r="AO16" s="13">
        <f t="shared" si="1"/>
        <v>243</v>
      </c>
      <c r="AP16" s="13">
        <f t="shared" si="1"/>
        <v>247</v>
      </c>
      <c r="AQ16" s="13">
        <f t="shared" si="1"/>
        <v>277</v>
      </c>
      <c r="AR16" s="13">
        <f t="shared" si="1"/>
        <v>265</v>
      </c>
      <c r="AS16" s="13">
        <f t="shared" si="1"/>
        <v>224</v>
      </c>
      <c r="AT16" s="13">
        <f t="shared" si="1"/>
        <v>217</v>
      </c>
      <c r="AU16" s="13">
        <f t="shared" si="1"/>
        <v>234</v>
      </c>
      <c r="AV16" s="13">
        <f t="shared" si="1"/>
        <v>286</v>
      </c>
      <c r="AW16" s="13">
        <f t="shared" si="1"/>
        <v>250</v>
      </c>
      <c r="AX16" s="13">
        <f t="shared" si="1"/>
        <v>279</v>
      </c>
      <c r="AY16" s="13">
        <f t="shared" si="1"/>
        <v>272</v>
      </c>
      <c r="AZ16" s="13">
        <f t="shared" si="1"/>
        <v>280</v>
      </c>
      <c r="BA16" s="13">
        <f t="shared" si="1"/>
        <v>292</v>
      </c>
      <c r="BB16" s="13">
        <f t="shared" si="1"/>
        <v>274</v>
      </c>
      <c r="BC16" s="13">
        <f t="shared" si="1"/>
        <v>272</v>
      </c>
      <c r="BD16" s="13">
        <f t="shared" si="1"/>
        <v>275</v>
      </c>
      <c r="BE16" s="13">
        <f t="shared" si="1"/>
        <v>275</v>
      </c>
      <c r="BF16" s="13">
        <f t="shared" si="1"/>
        <v>279</v>
      </c>
      <c r="BG16" s="13">
        <f t="shared" si="1"/>
        <v>255</v>
      </c>
      <c r="BH16" s="13">
        <f t="shared" si="1"/>
        <v>293</v>
      </c>
      <c r="BI16" s="13">
        <f t="shared" si="1"/>
        <v>281</v>
      </c>
      <c r="BJ16" s="13">
        <f t="shared" si="1"/>
        <v>283</v>
      </c>
      <c r="BK16" s="13">
        <f t="shared" si="1"/>
        <v>282</v>
      </c>
      <c r="BL16" s="13">
        <f t="shared" si="0"/>
        <v>15883</v>
      </c>
    </row>
    <row r="17" spans="1:64" ht="12.75" customHeight="1" x14ac:dyDescent="0.3">
      <c r="A17" s="61"/>
      <c r="B17" s="46"/>
      <c r="C17" s="46"/>
      <c r="D17" s="47"/>
      <c r="E17" s="15"/>
      <c r="F17" s="15"/>
      <c r="G17" s="15"/>
      <c r="H17" s="15"/>
      <c r="I17" s="15"/>
      <c r="J17" s="15"/>
      <c r="K17" s="15"/>
      <c r="L17" s="15"/>
      <c r="M17" s="15"/>
      <c r="N17" s="41"/>
      <c r="O17" s="15"/>
      <c r="P17" s="15"/>
      <c r="Q17" s="15"/>
      <c r="R17" s="15"/>
      <c r="S17" s="41"/>
      <c r="T17" s="15"/>
      <c r="U17" s="15"/>
      <c r="V17" s="15"/>
      <c r="W17" s="15"/>
      <c r="X17" s="41"/>
      <c r="Y17" s="15"/>
      <c r="Z17" s="15"/>
      <c r="AA17" s="15"/>
      <c r="AB17" s="15"/>
      <c r="AC17" s="41"/>
      <c r="AD17" s="15"/>
      <c r="AE17" s="15"/>
      <c r="AF17" s="15"/>
      <c r="AG17" s="15"/>
      <c r="AH17" s="41"/>
      <c r="AI17" s="15"/>
      <c r="AJ17" s="15"/>
      <c r="AK17" s="15"/>
      <c r="AL17" s="15"/>
      <c r="AM17" s="41"/>
      <c r="AN17" s="15"/>
      <c r="AO17" s="15"/>
      <c r="AP17" s="15"/>
      <c r="AQ17" s="15"/>
      <c r="AR17" s="41"/>
      <c r="AS17" s="15"/>
      <c r="AT17" s="15"/>
      <c r="AU17" s="15"/>
      <c r="AV17" s="15"/>
      <c r="AW17" s="41"/>
      <c r="AX17" s="15"/>
      <c r="AY17" s="15"/>
      <c r="AZ17" s="15"/>
      <c r="BA17" s="15"/>
      <c r="BB17" s="41"/>
      <c r="BC17" s="15"/>
      <c r="BD17" s="15"/>
      <c r="BE17" s="15"/>
      <c r="BF17" s="15"/>
      <c r="BG17" s="41"/>
      <c r="BH17" s="15"/>
      <c r="BI17" s="15"/>
      <c r="BJ17" s="15"/>
      <c r="BK17" s="15"/>
      <c r="BL17" s="42"/>
    </row>
    <row r="18" spans="1:64" ht="12.75" customHeight="1" x14ac:dyDescent="0.3">
      <c r="A18" s="19" t="s">
        <v>15</v>
      </c>
      <c r="B18" s="56" t="s">
        <v>16</v>
      </c>
      <c r="C18" s="46"/>
      <c r="D18" s="47"/>
      <c r="E18" s="15"/>
      <c r="F18" s="15"/>
      <c r="G18" s="15"/>
      <c r="H18" s="15"/>
      <c r="I18" s="15"/>
      <c r="J18" s="15"/>
      <c r="K18" s="15"/>
      <c r="L18" s="15"/>
      <c r="M18" s="15"/>
      <c r="N18" s="41"/>
      <c r="O18" s="15"/>
      <c r="P18" s="15"/>
      <c r="Q18" s="15"/>
      <c r="R18" s="15"/>
      <c r="S18" s="41"/>
      <c r="T18" s="15"/>
      <c r="U18" s="15"/>
      <c r="V18" s="15"/>
      <c r="W18" s="15"/>
      <c r="X18" s="41"/>
      <c r="Y18" s="15"/>
      <c r="Z18" s="15"/>
      <c r="AA18" s="15"/>
      <c r="AB18" s="15"/>
      <c r="AC18" s="41"/>
      <c r="AD18" s="15"/>
      <c r="AE18" s="15"/>
      <c r="AF18" s="15"/>
      <c r="AG18" s="15"/>
      <c r="AH18" s="41"/>
      <c r="AI18" s="15"/>
      <c r="AJ18" s="15"/>
      <c r="AK18" s="15"/>
      <c r="AL18" s="15"/>
      <c r="AM18" s="41"/>
      <c r="AN18" s="15"/>
      <c r="AO18" s="15"/>
      <c r="AP18" s="15"/>
      <c r="AQ18" s="15"/>
      <c r="AR18" s="41"/>
      <c r="AS18" s="15"/>
      <c r="AT18" s="15"/>
      <c r="AU18" s="15"/>
      <c r="AV18" s="15"/>
      <c r="AW18" s="41"/>
      <c r="AX18" s="15"/>
      <c r="AY18" s="15"/>
      <c r="AZ18" s="15"/>
      <c r="BA18" s="15"/>
      <c r="BB18" s="41"/>
      <c r="BC18" s="15"/>
      <c r="BD18" s="15"/>
      <c r="BE18" s="15"/>
      <c r="BF18" s="15"/>
      <c r="BG18" s="41"/>
      <c r="BH18" s="15"/>
      <c r="BI18" s="15"/>
      <c r="BJ18" s="15"/>
      <c r="BK18" s="15"/>
      <c r="BL18" s="42"/>
    </row>
    <row r="19" spans="1:64" ht="12.75" customHeight="1" x14ac:dyDescent="0.3">
      <c r="A19" s="19"/>
      <c r="B19" s="65" t="s">
        <v>17</v>
      </c>
      <c r="C19" s="62" t="s">
        <v>18</v>
      </c>
      <c r="D19" s="15" t="s">
        <v>12</v>
      </c>
      <c r="E19" s="15">
        <v>85</v>
      </c>
      <c r="F19" s="15">
        <v>99</v>
      </c>
      <c r="G19" s="15">
        <v>93</v>
      </c>
      <c r="H19" s="15">
        <v>108</v>
      </c>
      <c r="I19" s="15">
        <v>112</v>
      </c>
      <c r="J19" s="15">
        <v>104</v>
      </c>
      <c r="K19" s="15">
        <v>91</v>
      </c>
      <c r="L19" s="15">
        <v>115</v>
      </c>
      <c r="M19" s="15">
        <v>112</v>
      </c>
      <c r="N19" s="15">
        <v>98</v>
      </c>
      <c r="O19" s="15">
        <v>97</v>
      </c>
      <c r="P19" s="15">
        <v>96</v>
      </c>
      <c r="Q19" s="15">
        <v>118</v>
      </c>
      <c r="R19" s="15">
        <v>99</v>
      </c>
      <c r="S19" s="15">
        <v>93</v>
      </c>
      <c r="T19" s="15">
        <v>106</v>
      </c>
      <c r="U19" s="15">
        <v>107</v>
      </c>
      <c r="V19" s="15">
        <v>106</v>
      </c>
      <c r="W19" s="15">
        <v>116</v>
      </c>
      <c r="X19" s="15">
        <v>109</v>
      </c>
      <c r="Y19" s="15">
        <v>87</v>
      </c>
      <c r="Z19" s="15">
        <v>99</v>
      </c>
      <c r="AA19" s="15">
        <v>101</v>
      </c>
      <c r="AB19" s="15">
        <v>105</v>
      </c>
      <c r="AC19" s="15">
        <v>104</v>
      </c>
      <c r="AD19" s="15">
        <v>109</v>
      </c>
      <c r="AE19" s="15">
        <v>109</v>
      </c>
      <c r="AF19" s="15">
        <v>102</v>
      </c>
      <c r="AG19" s="15">
        <v>102</v>
      </c>
      <c r="AH19" s="15">
        <v>96</v>
      </c>
      <c r="AI19" s="15">
        <v>70</v>
      </c>
      <c r="AJ19" s="15">
        <v>92</v>
      </c>
      <c r="AK19" s="15">
        <v>78</v>
      </c>
      <c r="AL19" s="15">
        <v>105</v>
      </c>
      <c r="AM19" s="15">
        <v>86</v>
      </c>
      <c r="AN19" s="15">
        <v>86</v>
      </c>
      <c r="AO19" s="15">
        <v>90</v>
      </c>
      <c r="AP19" s="15">
        <v>79</v>
      </c>
      <c r="AQ19" s="15">
        <v>90</v>
      </c>
      <c r="AR19" s="15">
        <v>97</v>
      </c>
      <c r="AS19" s="15">
        <v>80</v>
      </c>
      <c r="AT19" s="15">
        <v>80</v>
      </c>
      <c r="AU19" s="15">
        <v>77</v>
      </c>
      <c r="AV19" s="15">
        <v>86</v>
      </c>
      <c r="AW19" s="15">
        <v>97</v>
      </c>
      <c r="AX19" s="15">
        <v>109</v>
      </c>
      <c r="AY19" s="15">
        <v>84</v>
      </c>
      <c r="AZ19" s="15">
        <v>101</v>
      </c>
      <c r="BA19" s="15">
        <v>106</v>
      </c>
      <c r="BB19" s="15">
        <v>91</v>
      </c>
      <c r="BC19" s="15">
        <v>92</v>
      </c>
      <c r="BD19" s="15">
        <v>91</v>
      </c>
      <c r="BE19" s="15">
        <v>81</v>
      </c>
      <c r="BF19" s="15">
        <v>81</v>
      </c>
      <c r="BG19" s="15">
        <v>83</v>
      </c>
      <c r="BH19" s="15">
        <v>123</v>
      </c>
      <c r="BI19" s="15">
        <v>101</v>
      </c>
      <c r="BJ19" s="15">
        <v>90</v>
      </c>
      <c r="BK19" s="15">
        <v>88</v>
      </c>
      <c r="BL19" s="13">
        <f t="shared" ref="BL19:BL30" si="2">SUM(E19:BK19)</f>
        <v>5692</v>
      </c>
    </row>
    <row r="20" spans="1:64" ht="12.75" customHeight="1" x14ac:dyDescent="0.3">
      <c r="A20" s="20"/>
      <c r="B20" s="60"/>
      <c r="C20" s="63"/>
      <c r="D20" s="15" t="s">
        <v>13</v>
      </c>
      <c r="E20" s="15">
        <v>93</v>
      </c>
      <c r="F20" s="15">
        <v>127</v>
      </c>
      <c r="G20" s="15">
        <v>117</v>
      </c>
      <c r="H20" s="15">
        <v>112</v>
      </c>
      <c r="I20" s="15">
        <v>113</v>
      </c>
      <c r="J20" s="15">
        <v>104</v>
      </c>
      <c r="K20" s="15">
        <v>107</v>
      </c>
      <c r="L20" s="15">
        <v>103</v>
      </c>
      <c r="M20" s="15">
        <v>108</v>
      </c>
      <c r="N20" s="15">
        <v>93</v>
      </c>
      <c r="O20" s="15">
        <v>119</v>
      </c>
      <c r="P20" s="15">
        <v>100</v>
      </c>
      <c r="Q20" s="15">
        <v>105</v>
      </c>
      <c r="R20" s="15">
        <v>92</v>
      </c>
      <c r="S20" s="15">
        <v>109</v>
      </c>
      <c r="T20" s="15">
        <v>111</v>
      </c>
      <c r="U20" s="15">
        <v>100</v>
      </c>
      <c r="V20" s="15">
        <v>118</v>
      </c>
      <c r="W20" s="15">
        <v>100</v>
      </c>
      <c r="X20" s="15">
        <v>122</v>
      </c>
      <c r="Y20" s="15">
        <v>101</v>
      </c>
      <c r="Z20" s="15">
        <v>112</v>
      </c>
      <c r="AA20" s="15">
        <v>108</v>
      </c>
      <c r="AB20" s="15">
        <v>109</v>
      </c>
      <c r="AC20" s="15">
        <v>110</v>
      </c>
      <c r="AD20" s="15">
        <v>103</v>
      </c>
      <c r="AE20" s="15">
        <v>102</v>
      </c>
      <c r="AF20" s="15">
        <v>102</v>
      </c>
      <c r="AG20" s="15">
        <v>115</v>
      </c>
      <c r="AH20" s="15">
        <v>105</v>
      </c>
      <c r="AI20" s="15">
        <v>76</v>
      </c>
      <c r="AJ20" s="15">
        <v>85</v>
      </c>
      <c r="AK20" s="15">
        <v>89</v>
      </c>
      <c r="AL20" s="15">
        <v>112</v>
      </c>
      <c r="AM20" s="15">
        <v>98</v>
      </c>
      <c r="AN20" s="15">
        <v>106</v>
      </c>
      <c r="AO20" s="15">
        <v>91</v>
      </c>
      <c r="AP20" s="15">
        <v>96</v>
      </c>
      <c r="AQ20" s="15">
        <v>120</v>
      </c>
      <c r="AR20" s="15">
        <v>101</v>
      </c>
      <c r="AS20" s="15">
        <v>82</v>
      </c>
      <c r="AT20" s="15">
        <v>70</v>
      </c>
      <c r="AU20" s="15">
        <v>91</v>
      </c>
      <c r="AV20" s="15">
        <v>102</v>
      </c>
      <c r="AW20" s="15">
        <v>95</v>
      </c>
      <c r="AX20" s="15">
        <v>115</v>
      </c>
      <c r="AY20" s="15">
        <v>103</v>
      </c>
      <c r="AZ20" s="15">
        <v>110</v>
      </c>
      <c r="BA20" s="15">
        <v>109</v>
      </c>
      <c r="BB20" s="15">
        <v>113</v>
      </c>
      <c r="BC20" s="15">
        <v>88</v>
      </c>
      <c r="BD20" s="15">
        <v>107</v>
      </c>
      <c r="BE20" s="15">
        <v>82</v>
      </c>
      <c r="BF20" s="15">
        <v>103</v>
      </c>
      <c r="BG20" s="15">
        <v>99</v>
      </c>
      <c r="BH20" s="15">
        <v>117</v>
      </c>
      <c r="BI20" s="15">
        <v>110</v>
      </c>
      <c r="BJ20" s="15">
        <v>103</v>
      </c>
      <c r="BK20" s="15">
        <v>112</v>
      </c>
      <c r="BL20" s="13">
        <f t="shared" si="2"/>
        <v>6105</v>
      </c>
    </row>
    <row r="21" spans="1:64" ht="12.75" customHeight="1" x14ac:dyDescent="0.3">
      <c r="A21" s="21"/>
      <c r="B21" s="53"/>
      <c r="C21" s="64"/>
      <c r="D21" s="13" t="s">
        <v>14</v>
      </c>
      <c r="E21" s="13">
        <f t="shared" ref="E21:BK21" si="3">SUM(E19:E20)</f>
        <v>178</v>
      </c>
      <c r="F21" s="13">
        <f t="shared" si="3"/>
        <v>226</v>
      </c>
      <c r="G21" s="13">
        <f t="shared" si="3"/>
        <v>210</v>
      </c>
      <c r="H21" s="13">
        <f t="shared" si="3"/>
        <v>220</v>
      </c>
      <c r="I21" s="13">
        <f t="shared" si="3"/>
        <v>225</v>
      </c>
      <c r="J21" s="13">
        <f t="shared" si="3"/>
        <v>208</v>
      </c>
      <c r="K21" s="13">
        <f t="shared" si="3"/>
        <v>198</v>
      </c>
      <c r="L21" s="13">
        <f t="shared" si="3"/>
        <v>218</v>
      </c>
      <c r="M21" s="13">
        <f t="shared" si="3"/>
        <v>220</v>
      </c>
      <c r="N21" s="13">
        <f t="shared" si="3"/>
        <v>191</v>
      </c>
      <c r="O21" s="13">
        <f t="shared" si="3"/>
        <v>216</v>
      </c>
      <c r="P21" s="13">
        <f t="shared" si="3"/>
        <v>196</v>
      </c>
      <c r="Q21" s="13">
        <f t="shared" si="3"/>
        <v>223</v>
      </c>
      <c r="R21" s="13">
        <f t="shared" si="3"/>
        <v>191</v>
      </c>
      <c r="S21" s="13">
        <f t="shared" si="3"/>
        <v>202</v>
      </c>
      <c r="T21" s="13">
        <f t="shared" si="3"/>
        <v>217</v>
      </c>
      <c r="U21" s="13">
        <f t="shared" si="3"/>
        <v>207</v>
      </c>
      <c r="V21" s="13">
        <f t="shared" si="3"/>
        <v>224</v>
      </c>
      <c r="W21" s="13">
        <f t="shared" si="3"/>
        <v>216</v>
      </c>
      <c r="X21" s="13">
        <f t="shared" si="3"/>
        <v>231</v>
      </c>
      <c r="Y21" s="13">
        <f t="shared" si="3"/>
        <v>188</v>
      </c>
      <c r="Z21" s="13">
        <f t="shared" si="3"/>
        <v>211</v>
      </c>
      <c r="AA21" s="13">
        <f t="shared" si="3"/>
        <v>209</v>
      </c>
      <c r="AB21" s="13">
        <f t="shared" si="3"/>
        <v>214</v>
      </c>
      <c r="AC21" s="13">
        <f t="shared" si="3"/>
        <v>214</v>
      </c>
      <c r="AD21" s="13">
        <f t="shared" si="3"/>
        <v>212</v>
      </c>
      <c r="AE21" s="13">
        <f t="shared" si="3"/>
        <v>211</v>
      </c>
      <c r="AF21" s="13">
        <f t="shared" si="3"/>
        <v>204</v>
      </c>
      <c r="AG21" s="13">
        <f t="shared" si="3"/>
        <v>217</v>
      </c>
      <c r="AH21" s="13">
        <f t="shared" si="3"/>
        <v>201</v>
      </c>
      <c r="AI21" s="13">
        <f t="shared" si="3"/>
        <v>146</v>
      </c>
      <c r="AJ21" s="13">
        <f t="shared" si="3"/>
        <v>177</v>
      </c>
      <c r="AK21" s="13">
        <f t="shared" si="3"/>
        <v>167</v>
      </c>
      <c r="AL21" s="13">
        <f t="shared" si="3"/>
        <v>217</v>
      </c>
      <c r="AM21" s="13">
        <f t="shared" si="3"/>
        <v>184</v>
      </c>
      <c r="AN21" s="13">
        <f t="shared" si="3"/>
        <v>192</v>
      </c>
      <c r="AO21" s="13">
        <f t="shared" si="3"/>
        <v>181</v>
      </c>
      <c r="AP21" s="13">
        <f t="shared" si="3"/>
        <v>175</v>
      </c>
      <c r="AQ21" s="13">
        <f t="shared" si="3"/>
        <v>210</v>
      </c>
      <c r="AR21" s="13">
        <f t="shared" si="3"/>
        <v>198</v>
      </c>
      <c r="AS21" s="13">
        <f t="shared" si="3"/>
        <v>162</v>
      </c>
      <c r="AT21" s="13">
        <f t="shared" si="3"/>
        <v>150</v>
      </c>
      <c r="AU21" s="13">
        <f t="shared" si="3"/>
        <v>168</v>
      </c>
      <c r="AV21" s="13">
        <f t="shared" si="3"/>
        <v>188</v>
      </c>
      <c r="AW21" s="13">
        <f t="shared" si="3"/>
        <v>192</v>
      </c>
      <c r="AX21" s="13">
        <f t="shared" si="3"/>
        <v>224</v>
      </c>
      <c r="AY21" s="13">
        <f t="shared" si="3"/>
        <v>187</v>
      </c>
      <c r="AZ21" s="13">
        <f t="shared" si="3"/>
        <v>211</v>
      </c>
      <c r="BA21" s="13">
        <f t="shared" si="3"/>
        <v>215</v>
      </c>
      <c r="BB21" s="13">
        <f t="shared" si="3"/>
        <v>204</v>
      </c>
      <c r="BC21" s="13">
        <f t="shared" si="3"/>
        <v>180</v>
      </c>
      <c r="BD21" s="13">
        <f t="shared" si="3"/>
        <v>198</v>
      </c>
      <c r="BE21" s="13">
        <f t="shared" si="3"/>
        <v>163</v>
      </c>
      <c r="BF21" s="13">
        <f t="shared" si="3"/>
        <v>184</v>
      </c>
      <c r="BG21" s="13">
        <f t="shared" si="3"/>
        <v>182</v>
      </c>
      <c r="BH21" s="13">
        <f t="shared" si="3"/>
        <v>240</v>
      </c>
      <c r="BI21" s="13">
        <f t="shared" si="3"/>
        <v>211</v>
      </c>
      <c r="BJ21" s="13">
        <f t="shared" si="3"/>
        <v>193</v>
      </c>
      <c r="BK21" s="13">
        <f t="shared" si="3"/>
        <v>200</v>
      </c>
      <c r="BL21" s="13">
        <f t="shared" si="2"/>
        <v>11797</v>
      </c>
    </row>
    <row r="22" spans="1:64" ht="12.75" customHeight="1" x14ac:dyDescent="0.3">
      <c r="A22" s="20"/>
      <c r="B22" s="65" t="s">
        <v>19</v>
      </c>
      <c r="C22" s="62" t="s">
        <v>20</v>
      </c>
      <c r="D22" s="15" t="s">
        <v>12</v>
      </c>
      <c r="E22" s="15">
        <v>0</v>
      </c>
      <c r="F22" s="15">
        <v>0</v>
      </c>
      <c r="G22" s="15">
        <v>1</v>
      </c>
      <c r="H22" s="15">
        <v>0</v>
      </c>
      <c r="I22" s="15">
        <v>1</v>
      </c>
      <c r="J22" s="15">
        <v>3</v>
      </c>
      <c r="K22" s="15">
        <v>0</v>
      </c>
      <c r="L22" s="15">
        <v>0</v>
      </c>
      <c r="M22" s="15">
        <v>1</v>
      </c>
      <c r="N22" s="15">
        <v>0</v>
      </c>
      <c r="O22" s="15">
        <v>1</v>
      </c>
      <c r="P22" s="15">
        <v>0</v>
      </c>
      <c r="Q22" s="15">
        <v>0</v>
      </c>
      <c r="R22" s="15">
        <v>0</v>
      </c>
      <c r="S22" s="15">
        <v>0</v>
      </c>
      <c r="T22" s="15">
        <v>1</v>
      </c>
      <c r="U22" s="15">
        <v>0</v>
      </c>
      <c r="V22" s="15">
        <v>0</v>
      </c>
      <c r="W22" s="15">
        <v>2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1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1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1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1</v>
      </c>
      <c r="BG22" s="15">
        <v>1</v>
      </c>
      <c r="BH22" s="15">
        <v>0</v>
      </c>
      <c r="BI22" s="15">
        <v>0</v>
      </c>
      <c r="BJ22" s="15">
        <v>1</v>
      </c>
      <c r="BK22" s="15">
        <v>0</v>
      </c>
      <c r="BL22" s="13">
        <f t="shared" si="2"/>
        <v>16</v>
      </c>
    </row>
    <row r="23" spans="1:64" ht="12.75" customHeight="1" x14ac:dyDescent="0.3">
      <c r="A23" s="20"/>
      <c r="B23" s="60"/>
      <c r="C23" s="63"/>
      <c r="D23" s="15" t="s">
        <v>13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1</v>
      </c>
      <c r="K23" s="15">
        <v>0</v>
      </c>
      <c r="L23" s="15">
        <v>0</v>
      </c>
      <c r="M23" s="15">
        <v>3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1</v>
      </c>
      <c r="U23" s="15">
        <v>0</v>
      </c>
      <c r="V23" s="15">
        <v>0</v>
      </c>
      <c r="W23" s="15">
        <v>1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1</v>
      </c>
      <c r="AF23" s="15">
        <v>0</v>
      </c>
      <c r="AG23" s="15">
        <v>0</v>
      </c>
      <c r="AH23" s="15">
        <v>0</v>
      </c>
      <c r="AI23" s="15">
        <v>1</v>
      </c>
      <c r="AJ23" s="15">
        <v>1</v>
      </c>
      <c r="AK23" s="15">
        <v>0</v>
      </c>
      <c r="AL23" s="15">
        <v>0</v>
      </c>
      <c r="AM23" s="15">
        <v>1</v>
      </c>
      <c r="AN23" s="15">
        <v>1</v>
      </c>
      <c r="AO23" s="15">
        <v>1</v>
      </c>
      <c r="AP23" s="15">
        <v>0</v>
      </c>
      <c r="AQ23" s="15">
        <v>0</v>
      </c>
      <c r="AR23" s="15">
        <v>0</v>
      </c>
      <c r="AS23" s="15">
        <v>0</v>
      </c>
      <c r="AT23" s="15">
        <v>1</v>
      </c>
      <c r="AU23" s="15">
        <v>0</v>
      </c>
      <c r="AV23" s="15">
        <v>1</v>
      </c>
      <c r="AW23" s="15">
        <v>0</v>
      </c>
      <c r="AX23" s="15">
        <v>0</v>
      </c>
      <c r="AY23" s="15">
        <v>1</v>
      </c>
      <c r="AZ23" s="15">
        <v>0</v>
      </c>
      <c r="BA23" s="15">
        <v>0</v>
      </c>
      <c r="BB23" s="15">
        <v>1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3">
        <f t="shared" si="2"/>
        <v>16</v>
      </c>
    </row>
    <row r="24" spans="1:64" ht="12.75" customHeight="1" x14ac:dyDescent="0.3">
      <c r="A24" s="21"/>
      <c r="B24" s="53"/>
      <c r="C24" s="64"/>
      <c r="D24" s="13" t="s">
        <v>14</v>
      </c>
      <c r="E24" s="13">
        <f t="shared" ref="E24:BK24" si="4">SUM(E22:E23)</f>
        <v>0</v>
      </c>
      <c r="F24" s="13">
        <f t="shared" si="4"/>
        <v>0</v>
      </c>
      <c r="G24" s="13">
        <f t="shared" si="4"/>
        <v>1</v>
      </c>
      <c r="H24" s="13">
        <f t="shared" si="4"/>
        <v>0</v>
      </c>
      <c r="I24" s="13">
        <f t="shared" si="4"/>
        <v>1</v>
      </c>
      <c r="J24" s="13">
        <f t="shared" si="4"/>
        <v>4</v>
      </c>
      <c r="K24" s="13">
        <f t="shared" si="4"/>
        <v>0</v>
      </c>
      <c r="L24" s="13">
        <f t="shared" si="4"/>
        <v>0</v>
      </c>
      <c r="M24" s="13">
        <f t="shared" si="4"/>
        <v>4</v>
      </c>
      <c r="N24" s="13">
        <f t="shared" si="4"/>
        <v>0</v>
      </c>
      <c r="O24" s="13">
        <f t="shared" si="4"/>
        <v>1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2</v>
      </c>
      <c r="U24" s="13">
        <f t="shared" si="4"/>
        <v>0</v>
      </c>
      <c r="V24" s="13">
        <f t="shared" si="4"/>
        <v>0</v>
      </c>
      <c r="W24" s="13">
        <f t="shared" si="4"/>
        <v>3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0</v>
      </c>
      <c r="AC24" s="13">
        <f t="shared" si="4"/>
        <v>1</v>
      </c>
      <c r="AD24" s="13">
        <f t="shared" si="4"/>
        <v>0</v>
      </c>
      <c r="AE24" s="13">
        <f t="shared" si="4"/>
        <v>1</v>
      </c>
      <c r="AF24" s="13">
        <f t="shared" si="4"/>
        <v>0</v>
      </c>
      <c r="AG24" s="13">
        <f t="shared" si="4"/>
        <v>0</v>
      </c>
      <c r="AH24" s="13">
        <f t="shared" si="4"/>
        <v>0</v>
      </c>
      <c r="AI24" s="13">
        <f t="shared" si="4"/>
        <v>1</v>
      </c>
      <c r="AJ24" s="13">
        <f t="shared" si="4"/>
        <v>1</v>
      </c>
      <c r="AK24" s="13">
        <f t="shared" si="4"/>
        <v>0</v>
      </c>
      <c r="AL24" s="13">
        <f t="shared" si="4"/>
        <v>1</v>
      </c>
      <c r="AM24" s="13">
        <f t="shared" si="4"/>
        <v>1</v>
      </c>
      <c r="AN24" s="13">
        <f t="shared" si="4"/>
        <v>1</v>
      </c>
      <c r="AO24" s="13">
        <f t="shared" si="4"/>
        <v>1</v>
      </c>
      <c r="AP24" s="13">
        <f t="shared" si="4"/>
        <v>0</v>
      </c>
      <c r="AQ24" s="13">
        <f t="shared" si="4"/>
        <v>0</v>
      </c>
      <c r="AR24" s="13">
        <f t="shared" si="4"/>
        <v>0</v>
      </c>
      <c r="AS24" s="13">
        <f t="shared" si="4"/>
        <v>0</v>
      </c>
      <c r="AT24" s="13">
        <f t="shared" si="4"/>
        <v>1</v>
      </c>
      <c r="AU24" s="13">
        <f t="shared" si="4"/>
        <v>1</v>
      </c>
      <c r="AV24" s="13">
        <f t="shared" si="4"/>
        <v>1</v>
      </c>
      <c r="AW24" s="13">
        <f t="shared" si="4"/>
        <v>0</v>
      </c>
      <c r="AX24" s="13">
        <f t="shared" si="4"/>
        <v>0</v>
      </c>
      <c r="AY24" s="13">
        <f t="shared" si="4"/>
        <v>1</v>
      </c>
      <c r="AZ24" s="13">
        <f t="shared" si="4"/>
        <v>0</v>
      </c>
      <c r="BA24" s="13">
        <f t="shared" si="4"/>
        <v>0</v>
      </c>
      <c r="BB24" s="13">
        <f t="shared" si="4"/>
        <v>1</v>
      </c>
      <c r="BC24" s="13">
        <f t="shared" si="4"/>
        <v>0</v>
      </c>
      <c r="BD24" s="13">
        <f t="shared" si="4"/>
        <v>0</v>
      </c>
      <c r="BE24" s="13">
        <f t="shared" si="4"/>
        <v>0</v>
      </c>
      <c r="BF24" s="13">
        <f t="shared" si="4"/>
        <v>1</v>
      </c>
      <c r="BG24" s="13">
        <f t="shared" si="4"/>
        <v>1</v>
      </c>
      <c r="BH24" s="13">
        <f t="shared" si="4"/>
        <v>0</v>
      </c>
      <c r="BI24" s="13">
        <f t="shared" si="4"/>
        <v>0</v>
      </c>
      <c r="BJ24" s="13">
        <f t="shared" si="4"/>
        <v>1</v>
      </c>
      <c r="BK24" s="13">
        <f t="shared" si="4"/>
        <v>0</v>
      </c>
      <c r="BL24" s="13">
        <f t="shared" si="2"/>
        <v>32</v>
      </c>
    </row>
    <row r="25" spans="1:64" ht="12.75" customHeight="1" x14ac:dyDescent="0.3">
      <c r="A25" s="20"/>
      <c r="B25" s="65" t="s">
        <v>21</v>
      </c>
      <c r="C25" s="62" t="s">
        <v>22</v>
      </c>
      <c r="D25" s="15" t="s">
        <v>12</v>
      </c>
      <c r="E25" s="15">
        <v>2</v>
      </c>
      <c r="F25" s="15">
        <v>0</v>
      </c>
      <c r="G25" s="15">
        <v>0</v>
      </c>
      <c r="H25" s="15">
        <v>0</v>
      </c>
      <c r="I25" s="15">
        <v>2</v>
      </c>
      <c r="J25" s="15">
        <v>0</v>
      </c>
      <c r="K25" s="15">
        <v>1</v>
      </c>
      <c r="L25" s="15">
        <v>0</v>
      </c>
      <c r="M25" s="15">
        <v>0</v>
      </c>
      <c r="N25" s="15">
        <v>1</v>
      </c>
      <c r="O25" s="15">
        <v>1</v>
      </c>
      <c r="P25" s="15">
        <v>4</v>
      </c>
      <c r="Q25" s="15">
        <v>3</v>
      </c>
      <c r="R25" s="15">
        <v>1</v>
      </c>
      <c r="S25" s="15">
        <v>2</v>
      </c>
      <c r="T25" s="15">
        <v>2</v>
      </c>
      <c r="U25" s="15">
        <v>3</v>
      </c>
      <c r="V25" s="15">
        <v>2</v>
      </c>
      <c r="W25" s="15">
        <v>5</v>
      </c>
      <c r="X25" s="15">
        <v>0</v>
      </c>
      <c r="Y25" s="15">
        <v>5</v>
      </c>
      <c r="Z25" s="15">
        <v>0</v>
      </c>
      <c r="AA25" s="15">
        <v>0</v>
      </c>
      <c r="AB25" s="15">
        <v>5</v>
      </c>
      <c r="AC25" s="15">
        <v>1</v>
      </c>
      <c r="AD25" s="15">
        <v>2</v>
      </c>
      <c r="AE25" s="15">
        <v>0</v>
      </c>
      <c r="AF25" s="15">
        <v>2</v>
      </c>
      <c r="AG25" s="15">
        <v>1</v>
      </c>
      <c r="AH25" s="15">
        <v>0</v>
      </c>
      <c r="AI25" s="15">
        <v>2</v>
      </c>
      <c r="AJ25" s="15">
        <v>0</v>
      </c>
      <c r="AK25" s="15">
        <v>1</v>
      </c>
      <c r="AL25" s="15">
        <v>0</v>
      </c>
      <c r="AM25" s="15">
        <v>0</v>
      </c>
      <c r="AN25" s="15">
        <v>0</v>
      </c>
      <c r="AO25" s="15">
        <v>1</v>
      </c>
      <c r="AP25" s="15">
        <v>0</v>
      </c>
      <c r="AQ25" s="15">
        <v>0</v>
      </c>
      <c r="AR25" s="15">
        <v>3</v>
      </c>
      <c r="AS25" s="15">
        <v>1</v>
      </c>
      <c r="AT25" s="15">
        <v>4</v>
      </c>
      <c r="AU25" s="15">
        <v>1</v>
      </c>
      <c r="AV25" s="15">
        <v>4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2</v>
      </c>
      <c r="BD25" s="15">
        <v>3</v>
      </c>
      <c r="BE25" s="15">
        <v>0</v>
      </c>
      <c r="BF25" s="15">
        <v>4</v>
      </c>
      <c r="BG25" s="15">
        <v>1</v>
      </c>
      <c r="BH25" s="15">
        <v>0</v>
      </c>
      <c r="BI25" s="15">
        <v>0</v>
      </c>
      <c r="BJ25" s="15">
        <v>1</v>
      </c>
      <c r="BK25" s="15">
        <v>2</v>
      </c>
      <c r="BL25" s="13">
        <f t="shared" si="2"/>
        <v>75</v>
      </c>
    </row>
    <row r="26" spans="1:64" ht="12.75" customHeight="1" x14ac:dyDescent="0.3">
      <c r="A26" s="20"/>
      <c r="B26" s="60"/>
      <c r="C26" s="63"/>
      <c r="D26" s="15" t="s">
        <v>13</v>
      </c>
      <c r="E26" s="15">
        <v>1</v>
      </c>
      <c r="F26" s="15">
        <v>0</v>
      </c>
      <c r="G26" s="15">
        <v>0</v>
      </c>
      <c r="H26" s="15">
        <v>1</v>
      </c>
      <c r="I26" s="15">
        <v>1</v>
      </c>
      <c r="J26" s="15">
        <v>1</v>
      </c>
      <c r="K26" s="15">
        <v>0</v>
      </c>
      <c r="L26" s="15">
        <v>3</v>
      </c>
      <c r="M26" s="15">
        <v>0</v>
      </c>
      <c r="N26" s="15">
        <v>2</v>
      </c>
      <c r="O26" s="15">
        <v>2</v>
      </c>
      <c r="P26" s="15">
        <v>3</v>
      </c>
      <c r="Q26" s="15">
        <v>4</v>
      </c>
      <c r="R26" s="15">
        <v>5</v>
      </c>
      <c r="S26" s="15">
        <v>5</v>
      </c>
      <c r="T26" s="15">
        <v>3</v>
      </c>
      <c r="U26" s="15">
        <v>4</v>
      </c>
      <c r="V26" s="15">
        <v>2</v>
      </c>
      <c r="W26" s="15">
        <v>4</v>
      </c>
      <c r="X26" s="15">
        <v>1</v>
      </c>
      <c r="Y26" s="15">
        <v>0</v>
      </c>
      <c r="Z26" s="15">
        <v>3</v>
      </c>
      <c r="AA26" s="15">
        <v>4</v>
      </c>
      <c r="AB26" s="15">
        <v>3</v>
      </c>
      <c r="AC26" s="15">
        <v>4</v>
      </c>
      <c r="AD26" s="15">
        <v>3</v>
      </c>
      <c r="AE26" s="15">
        <v>3</v>
      </c>
      <c r="AF26" s="15">
        <v>2</v>
      </c>
      <c r="AG26" s="15">
        <v>4</v>
      </c>
      <c r="AH26" s="15">
        <v>0</v>
      </c>
      <c r="AI26" s="15">
        <v>1</v>
      </c>
      <c r="AJ26" s="15">
        <v>1</v>
      </c>
      <c r="AK26" s="15">
        <v>3</v>
      </c>
      <c r="AL26" s="15">
        <v>2</v>
      </c>
      <c r="AM26" s="15">
        <v>2</v>
      </c>
      <c r="AN26" s="15">
        <v>0</v>
      </c>
      <c r="AO26" s="15">
        <v>5</v>
      </c>
      <c r="AP26" s="15">
        <v>0</v>
      </c>
      <c r="AQ26" s="15">
        <v>1</v>
      </c>
      <c r="AR26" s="15">
        <v>2</v>
      </c>
      <c r="AS26" s="15">
        <v>1</v>
      </c>
      <c r="AT26" s="15">
        <v>2</v>
      </c>
      <c r="AU26" s="15">
        <v>2</v>
      </c>
      <c r="AV26" s="15">
        <v>5</v>
      </c>
      <c r="AW26" s="15">
        <v>2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3</v>
      </c>
      <c r="BD26" s="15">
        <v>2</v>
      </c>
      <c r="BE26" s="15">
        <v>1</v>
      </c>
      <c r="BF26" s="15">
        <v>5</v>
      </c>
      <c r="BG26" s="15">
        <v>0</v>
      </c>
      <c r="BH26" s="15">
        <v>0</v>
      </c>
      <c r="BI26" s="15">
        <v>0</v>
      </c>
      <c r="BJ26" s="15">
        <v>1</v>
      </c>
      <c r="BK26" s="15">
        <v>6</v>
      </c>
      <c r="BL26" s="13">
        <f t="shared" si="2"/>
        <v>115</v>
      </c>
    </row>
    <row r="27" spans="1:64" ht="12.75" customHeight="1" x14ac:dyDescent="0.3">
      <c r="A27" s="21"/>
      <c r="B27" s="53"/>
      <c r="C27" s="64"/>
      <c r="D27" s="13" t="s">
        <v>14</v>
      </c>
      <c r="E27" s="13">
        <f t="shared" ref="E27:BK27" si="5">SUM(E25:E26)</f>
        <v>3</v>
      </c>
      <c r="F27" s="13">
        <f t="shared" si="5"/>
        <v>0</v>
      </c>
      <c r="G27" s="13">
        <f t="shared" si="5"/>
        <v>0</v>
      </c>
      <c r="H27" s="13">
        <f t="shared" si="5"/>
        <v>1</v>
      </c>
      <c r="I27" s="13">
        <f t="shared" si="5"/>
        <v>3</v>
      </c>
      <c r="J27" s="13">
        <f t="shared" si="5"/>
        <v>1</v>
      </c>
      <c r="K27" s="13">
        <f t="shared" si="5"/>
        <v>1</v>
      </c>
      <c r="L27" s="13">
        <f t="shared" si="5"/>
        <v>3</v>
      </c>
      <c r="M27" s="13">
        <f t="shared" si="5"/>
        <v>0</v>
      </c>
      <c r="N27" s="13">
        <f t="shared" si="5"/>
        <v>3</v>
      </c>
      <c r="O27" s="13">
        <f t="shared" si="5"/>
        <v>3</v>
      </c>
      <c r="P27" s="13">
        <f t="shared" si="5"/>
        <v>7</v>
      </c>
      <c r="Q27" s="13">
        <f t="shared" si="5"/>
        <v>7</v>
      </c>
      <c r="R27" s="13">
        <f t="shared" si="5"/>
        <v>6</v>
      </c>
      <c r="S27" s="13">
        <f t="shared" si="5"/>
        <v>7</v>
      </c>
      <c r="T27" s="13">
        <f t="shared" si="5"/>
        <v>5</v>
      </c>
      <c r="U27" s="13">
        <f t="shared" si="5"/>
        <v>7</v>
      </c>
      <c r="V27" s="13">
        <f t="shared" si="5"/>
        <v>4</v>
      </c>
      <c r="W27" s="13">
        <f t="shared" si="5"/>
        <v>9</v>
      </c>
      <c r="X27" s="13">
        <f t="shared" si="5"/>
        <v>1</v>
      </c>
      <c r="Y27" s="13">
        <f t="shared" si="5"/>
        <v>5</v>
      </c>
      <c r="Z27" s="13">
        <f t="shared" si="5"/>
        <v>3</v>
      </c>
      <c r="AA27" s="13">
        <f t="shared" si="5"/>
        <v>4</v>
      </c>
      <c r="AB27" s="13">
        <f t="shared" si="5"/>
        <v>8</v>
      </c>
      <c r="AC27" s="13">
        <f t="shared" si="5"/>
        <v>5</v>
      </c>
      <c r="AD27" s="13">
        <f t="shared" si="5"/>
        <v>5</v>
      </c>
      <c r="AE27" s="13">
        <f t="shared" si="5"/>
        <v>3</v>
      </c>
      <c r="AF27" s="13">
        <f t="shared" si="5"/>
        <v>4</v>
      </c>
      <c r="AG27" s="13">
        <f t="shared" si="5"/>
        <v>5</v>
      </c>
      <c r="AH27" s="13">
        <f t="shared" si="5"/>
        <v>0</v>
      </c>
      <c r="AI27" s="13">
        <f t="shared" si="5"/>
        <v>3</v>
      </c>
      <c r="AJ27" s="13">
        <f t="shared" si="5"/>
        <v>1</v>
      </c>
      <c r="AK27" s="13">
        <f t="shared" si="5"/>
        <v>4</v>
      </c>
      <c r="AL27" s="13">
        <f t="shared" si="5"/>
        <v>2</v>
      </c>
      <c r="AM27" s="13">
        <f t="shared" si="5"/>
        <v>2</v>
      </c>
      <c r="AN27" s="13">
        <f t="shared" si="5"/>
        <v>0</v>
      </c>
      <c r="AO27" s="13">
        <f t="shared" si="5"/>
        <v>6</v>
      </c>
      <c r="AP27" s="13">
        <f t="shared" si="5"/>
        <v>0</v>
      </c>
      <c r="AQ27" s="13">
        <f t="shared" si="5"/>
        <v>1</v>
      </c>
      <c r="AR27" s="13">
        <f t="shared" si="5"/>
        <v>5</v>
      </c>
      <c r="AS27" s="13">
        <f t="shared" si="5"/>
        <v>2</v>
      </c>
      <c r="AT27" s="13">
        <f t="shared" si="5"/>
        <v>6</v>
      </c>
      <c r="AU27" s="13">
        <f t="shared" si="5"/>
        <v>3</v>
      </c>
      <c r="AV27" s="13">
        <f t="shared" si="5"/>
        <v>9</v>
      </c>
      <c r="AW27" s="13">
        <f t="shared" si="5"/>
        <v>2</v>
      </c>
      <c r="AX27" s="13">
        <f t="shared" si="5"/>
        <v>0</v>
      </c>
      <c r="AY27" s="13">
        <f t="shared" si="5"/>
        <v>0</v>
      </c>
      <c r="AZ27" s="13">
        <f t="shared" si="5"/>
        <v>0</v>
      </c>
      <c r="BA27" s="13">
        <f t="shared" si="5"/>
        <v>0</v>
      </c>
      <c r="BB27" s="13">
        <f t="shared" si="5"/>
        <v>0</v>
      </c>
      <c r="BC27" s="13">
        <f t="shared" si="5"/>
        <v>5</v>
      </c>
      <c r="BD27" s="13">
        <f t="shared" si="5"/>
        <v>5</v>
      </c>
      <c r="BE27" s="13">
        <f t="shared" si="5"/>
        <v>1</v>
      </c>
      <c r="BF27" s="13">
        <f t="shared" si="5"/>
        <v>9</v>
      </c>
      <c r="BG27" s="13">
        <f t="shared" si="5"/>
        <v>1</v>
      </c>
      <c r="BH27" s="13">
        <f t="shared" si="5"/>
        <v>0</v>
      </c>
      <c r="BI27" s="13">
        <f t="shared" si="5"/>
        <v>0</v>
      </c>
      <c r="BJ27" s="13">
        <f t="shared" si="5"/>
        <v>2</v>
      </c>
      <c r="BK27" s="13">
        <f t="shared" si="5"/>
        <v>8</v>
      </c>
      <c r="BL27" s="13">
        <f t="shared" si="2"/>
        <v>190</v>
      </c>
    </row>
    <row r="28" spans="1:64" ht="12.75" customHeight="1" x14ac:dyDescent="0.3">
      <c r="A28" s="21"/>
      <c r="B28" s="66" t="s">
        <v>23</v>
      </c>
      <c r="C28" s="67" t="s">
        <v>24</v>
      </c>
      <c r="D28" s="13" t="s">
        <v>12</v>
      </c>
      <c r="E28" s="13">
        <f t="shared" ref="E28:BK28" si="6">SUM(E19,E22,E25)</f>
        <v>87</v>
      </c>
      <c r="F28" s="13">
        <f t="shared" si="6"/>
        <v>99</v>
      </c>
      <c r="G28" s="13">
        <f t="shared" si="6"/>
        <v>94</v>
      </c>
      <c r="H28" s="13">
        <f t="shared" si="6"/>
        <v>108</v>
      </c>
      <c r="I28" s="13">
        <f t="shared" si="6"/>
        <v>115</v>
      </c>
      <c r="J28" s="13">
        <f t="shared" si="6"/>
        <v>107</v>
      </c>
      <c r="K28" s="13">
        <f t="shared" si="6"/>
        <v>92</v>
      </c>
      <c r="L28" s="13">
        <f t="shared" si="6"/>
        <v>115</v>
      </c>
      <c r="M28" s="13">
        <f t="shared" si="6"/>
        <v>113</v>
      </c>
      <c r="N28" s="13">
        <f t="shared" si="6"/>
        <v>99</v>
      </c>
      <c r="O28" s="13">
        <f t="shared" si="6"/>
        <v>99</v>
      </c>
      <c r="P28" s="13">
        <f t="shared" si="6"/>
        <v>100</v>
      </c>
      <c r="Q28" s="13">
        <f t="shared" si="6"/>
        <v>121</v>
      </c>
      <c r="R28" s="13">
        <f t="shared" si="6"/>
        <v>100</v>
      </c>
      <c r="S28" s="13">
        <f t="shared" si="6"/>
        <v>95</v>
      </c>
      <c r="T28" s="13">
        <f t="shared" si="6"/>
        <v>109</v>
      </c>
      <c r="U28" s="13">
        <f t="shared" si="6"/>
        <v>110</v>
      </c>
      <c r="V28" s="13">
        <f t="shared" si="6"/>
        <v>108</v>
      </c>
      <c r="W28" s="13">
        <f t="shared" si="6"/>
        <v>123</v>
      </c>
      <c r="X28" s="13">
        <f t="shared" si="6"/>
        <v>109</v>
      </c>
      <c r="Y28" s="13">
        <f t="shared" si="6"/>
        <v>92</v>
      </c>
      <c r="Z28" s="13">
        <f t="shared" si="6"/>
        <v>99</v>
      </c>
      <c r="AA28" s="13">
        <f t="shared" si="6"/>
        <v>101</v>
      </c>
      <c r="AB28" s="13">
        <f t="shared" si="6"/>
        <v>110</v>
      </c>
      <c r="AC28" s="13">
        <f t="shared" si="6"/>
        <v>106</v>
      </c>
      <c r="AD28" s="13">
        <f t="shared" si="6"/>
        <v>111</v>
      </c>
      <c r="AE28" s="13">
        <f t="shared" si="6"/>
        <v>109</v>
      </c>
      <c r="AF28" s="13">
        <f t="shared" si="6"/>
        <v>104</v>
      </c>
      <c r="AG28" s="13">
        <f t="shared" si="6"/>
        <v>103</v>
      </c>
      <c r="AH28" s="13">
        <f t="shared" si="6"/>
        <v>96</v>
      </c>
      <c r="AI28" s="13">
        <f t="shared" si="6"/>
        <v>72</v>
      </c>
      <c r="AJ28" s="13">
        <f t="shared" si="6"/>
        <v>92</v>
      </c>
      <c r="AK28" s="13">
        <f t="shared" si="6"/>
        <v>79</v>
      </c>
      <c r="AL28" s="13">
        <f t="shared" si="6"/>
        <v>106</v>
      </c>
      <c r="AM28" s="13">
        <f t="shared" si="6"/>
        <v>86</v>
      </c>
      <c r="AN28" s="13">
        <f t="shared" si="6"/>
        <v>86</v>
      </c>
      <c r="AO28" s="13">
        <f t="shared" si="6"/>
        <v>91</v>
      </c>
      <c r="AP28" s="13">
        <f t="shared" si="6"/>
        <v>79</v>
      </c>
      <c r="AQ28" s="13">
        <f t="shared" si="6"/>
        <v>90</v>
      </c>
      <c r="AR28" s="13">
        <f t="shared" si="6"/>
        <v>100</v>
      </c>
      <c r="AS28" s="13">
        <f t="shared" si="6"/>
        <v>81</v>
      </c>
      <c r="AT28" s="13">
        <f t="shared" si="6"/>
        <v>84</v>
      </c>
      <c r="AU28" s="13">
        <f t="shared" si="6"/>
        <v>79</v>
      </c>
      <c r="AV28" s="13">
        <f t="shared" si="6"/>
        <v>90</v>
      </c>
      <c r="AW28" s="13">
        <f t="shared" si="6"/>
        <v>97</v>
      </c>
      <c r="AX28" s="13">
        <f t="shared" si="6"/>
        <v>109</v>
      </c>
      <c r="AY28" s="13">
        <f t="shared" si="6"/>
        <v>84</v>
      </c>
      <c r="AZ28" s="13">
        <f t="shared" si="6"/>
        <v>101</v>
      </c>
      <c r="BA28" s="13">
        <f t="shared" si="6"/>
        <v>106</v>
      </c>
      <c r="BB28" s="13">
        <f t="shared" si="6"/>
        <v>91</v>
      </c>
      <c r="BC28" s="13">
        <f t="shared" si="6"/>
        <v>94</v>
      </c>
      <c r="BD28" s="13">
        <f t="shared" si="6"/>
        <v>94</v>
      </c>
      <c r="BE28" s="13">
        <f t="shared" si="6"/>
        <v>81</v>
      </c>
      <c r="BF28" s="13">
        <f t="shared" si="6"/>
        <v>86</v>
      </c>
      <c r="BG28" s="13">
        <f t="shared" si="6"/>
        <v>85</v>
      </c>
      <c r="BH28" s="13">
        <f t="shared" si="6"/>
        <v>123</v>
      </c>
      <c r="BI28" s="13">
        <f t="shared" si="6"/>
        <v>101</v>
      </c>
      <c r="BJ28" s="13">
        <f t="shared" si="6"/>
        <v>92</v>
      </c>
      <c r="BK28" s="13">
        <f t="shared" si="6"/>
        <v>90</v>
      </c>
      <c r="BL28" s="13">
        <f t="shared" si="2"/>
        <v>5783</v>
      </c>
    </row>
    <row r="29" spans="1:64" ht="12.75" customHeight="1" x14ac:dyDescent="0.3">
      <c r="A29" s="21"/>
      <c r="B29" s="60"/>
      <c r="C29" s="63"/>
      <c r="D29" s="13" t="s">
        <v>13</v>
      </c>
      <c r="E29" s="13">
        <f t="shared" ref="E29:BK29" si="7">SUM(E20,E23,E26)</f>
        <v>94</v>
      </c>
      <c r="F29" s="13">
        <f t="shared" si="7"/>
        <v>127</v>
      </c>
      <c r="G29" s="13">
        <f t="shared" si="7"/>
        <v>117</v>
      </c>
      <c r="H29" s="13">
        <f t="shared" si="7"/>
        <v>113</v>
      </c>
      <c r="I29" s="13">
        <f t="shared" si="7"/>
        <v>114</v>
      </c>
      <c r="J29" s="13">
        <f t="shared" si="7"/>
        <v>106</v>
      </c>
      <c r="K29" s="13">
        <f t="shared" si="7"/>
        <v>107</v>
      </c>
      <c r="L29" s="13">
        <f t="shared" si="7"/>
        <v>106</v>
      </c>
      <c r="M29" s="13">
        <f t="shared" si="7"/>
        <v>111</v>
      </c>
      <c r="N29" s="13">
        <f t="shared" si="7"/>
        <v>95</v>
      </c>
      <c r="O29" s="13">
        <f t="shared" si="7"/>
        <v>121</v>
      </c>
      <c r="P29" s="13">
        <f t="shared" si="7"/>
        <v>103</v>
      </c>
      <c r="Q29" s="13">
        <f t="shared" si="7"/>
        <v>109</v>
      </c>
      <c r="R29" s="13">
        <f t="shared" si="7"/>
        <v>97</v>
      </c>
      <c r="S29" s="13">
        <f t="shared" si="7"/>
        <v>114</v>
      </c>
      <c r="T29" s="13">
        <f t="shared" si="7"/>
        <v>115</v>
      </c>
      <c r="U29" s="13">
        <f t="shared" si="7"/>
        <v>104</v>
      </c>
      <c r="V29" s="13">
        <f t="shared" si="7"/>
        <v>120</v>
      </c>
      <c r="W29" s="13">
        <f t="shared" si="7"/>
        <v>105</v>
      </c>
      <c r="X29" s="13">
        <f t="shared" si="7"/>
        <v>123</v>
      </c>
      <c r="Y29" s="13">
        <f t="shared" si="7"/>
        <v>101</v>
      </c>
      <c r="Z29" s="13">
        <f t="shared" si="7"/>
        <v>115</v>
      </c>
      <c r="AA29" s="13">
        <f t="shared" si="7"/>
        <v>112</v>
      </c>
      <c r="AB29" s="13">
        <f t="shared" si="7"/>
        <v>112</v>
      </c>
      <c r="AC29" s="13">
        <f t="shared" si="7"/>
        <v>114</v>
      </c>
      <c r="AD29" s="13">
        <f t="shared" si="7"/>
        <v>106</v>
      </c>
      <c r="AE29" s="13">
        <f t="shared" si="7"/>
        <v>106</v>
      </c>
      <c r="AF29" s="13">
        <f t="shared" si="7"/>
        <v>104</v>
      </c>
      <c r="AG29" s="13">
        <f t="shared" si="7"/>
        <v>119</v>
      </c>
      <c r="AH29" s="13">
        <f t="shared" si="7"/>
        <v>105</v>
      </c>
      <c r="AI29" s="13">
        <f t="shared" si="7"/>
        <v>78</v>
      </c>
      <c r="AJ29" s="13">
        <f t="shared" si="7"/>
        <v>87</v>
      </c>
      <c r="AK29" s="13">
        <f t="shared" si="7"/>
        <v>92</v>
      </c>
      <c r="AL29" s="13">
        <f t="shared" si="7"/>
        <v>114</v>
      </c>
      <c r="AM29" s="13">
        <f t="shared" si="7"/>
        <v>101</v>
      </c>
      <c r="AN29" s="13">
        <f t="shared" si="7"/>
        <v>107</v>
      </c>
      <c r="AO29" s="13">
        <f t="shared" si="7"/>
        <v>97</v>
      </c>
      <c r="AP29" s="13">
        <f t="shared" si="7"/>
        <v>96</v>
      </c>
      <c r="AQ29" s="13">
        <f t="shared" si="7"/>
        <v>121</v>
      </c>
      <c r="AR29" s="13">
        <f t="shared" si="7"/>
        <v>103</v>
      </c>
      <c r="AS29" s="13">
        <f t="shared" si="7"/>
        <v>83</v>
      </c>
      <c r="AT29" s="13">
        <f t="shared" si="7"/>
        <v>73</v>
      </c>
      <c r="AU29" s="13">
        <f t="shared" si="7"/>
        <v>93</v>
      </c>
      <c r="AV29" s="13">
        <f t="shared" si="7"/>
        <v>108</v>
      </c>
      <c r="AW29" s="13">
        <f t="shared" si="7"/>
        <v>97</v>
      </c>
      <c r="AX29" s="13">
        <f t="shared" si="7"/>
        <v>115</v>
      </c>
      <c r="AY29" s="13">
        <f t="shared" si="7"/>
        <v>104</v>
      </c>
      <c r="AZ29" s="13">
        <f t="shared" si="7"/>
        <v>110</v>
      </c>
      <c r="BA29" s="13">
        <f t="shared" si="7"/>
        <v>109</v>
      </c>
      <c r="BB29" s="13">
        <f t="shared" si="7"/>
        <v>114</v>
      </c>
      <c r="BC29" s="13">
        <f t="shared" si="7"/>
        <v>91</v>
      </c>
      <c r="BD29" s="13">
        <f t="shared" si="7"/>
        <v>109</v>
      </c>
      <c r="BE29" s="13">
        <f t="shared" si="7"/>
        <v>83</v>
      </c>
      <c r="BF29" s="13">
        <f t="shared" si="7"/>
        <v>108</v>
      </c>
      <c r="BG29" s="13">
        <f t="shared" si="7"/>
        <v>99</v>
      </c>
      <c r="BH29" s="13">
        <f t="shared" si="7"/>
        <v>117</v>
      </c>
      <c r="BI29" s="13">
        <f t="shared" si="7"/>
        <v>110</v>
      </c>
      <c r="BJ29" s="13">
        <f t="shared" si="7"/>
        <v>104</v>
      </c>
      <c r="BK29" s="13">
        <f t="shared" si="7"/>
        <v>118</v>
      </c>
      <c r="BL29" s="13">
        <f t="shared" si="2"/>
        <v>6236</v>
      </c>
    </row>
    <row r="30" spans="1:64" ht="12.75" customHeight="1" x14ac:dyDescent="0.3">
      <c r="A30" s="21"/>
      <c r="B30" s="53"/>
      <c r="C30" s="64"/>
      <c r="D30" s="13" t="s">
        <v>14</v>
      </c>
      <c r="E30" s="13">
        <f t="shared" ref="E30:BK30" si="8">SUM(E28:E29)</f>
        <v>181</v>
      </c>
      <c r="F30" s="13">
        <f t="shared" si="8"/>
        <v>226</v>
      </c>
      <c r="G30" s="13">
        <f t="shared" si="8"/>
        <v>211</v>
      </c>
      <c r="H30" s="13">
        <f t="shared" si="8"/>
        <v>221</v>
      </c>
      <c r="I30" s="13">
        <f t="shared" si="8"/>
        <v>229</v>
      </c>
      <c r="J30" s="13">
        <f t="shared" si="8"/>
        <v>213</v>
      </c>
      <c r="K30" s="13">
        <f t="shared" si="8"/>
        <v>199</v>
      </c>
      <c r="L30" s="13">
        <f t="shared" si="8"/>
        <v>221</v>
      </c>
      <c r="M30" s="13">
        <f t="shared" si="8"/>
        <v>224</v>
      </c>
      <c r="N30" s="13">
        <f t="shared" si="8"/>
        <v>194</v>
      </c>
      <c r="O30" s="13">
        <f t="shared" si="8"/>
        <v>220</v>
      </c>
      <c r="P30" s="13">
        <f t="shared" si="8"/>
        <v>203</v>
      </c>
      <c r="Q30" s="13">
        <f t="shared" si="8"/>
        <v>230</v>
      </c>
      <c r="R30" s="13">
        <f t="shared" si="8"/>
        <v>197</v>
      </c>
      <c r="S30" s="13">
        <f t="shared" si="8"/>
        <v>209</v>
      </c>
      <c r="T30" s="13">
        <f t="shared" si="8"/>
        <v>224</v>
      </c>
      <c r="U30" s="13">
        <f t="shared" si="8"/>
        <v>214</v>
      </c>
      <c r="V30" s="13">
        <f t="shared" si="8"/>
        <v>228</v>
      </c>
      <c r="W30" s="13">
        <f t="shared" si="8"/>
        <v>228</v>
      </c>
      <c r="X30" s="13">
        <f t="shared" si="8"/>
        <v>232</v>
      </c>
      <c r="Y30" s="13">
        <f t="shared" si="8"/>
        <v>193</v>
      </c>
      <c r="Z30" s="13">
        <f t="shared" si="8"/>
        <v>214</v>
      </c>
      <c r="AA30" s="13">
        <f t="shared" si="8"/>
        <v>213</v>
      </c>
      <c r="AB30" s="13">
        <f t="shared" si="8"/>
        <v>222</v>
      </c>
      <c r="AC30" s="13">
        <f t="shared" si="8"/>
        <v>220</v>
      </c>
      <c r="AD30" s="13">
        <f t="shared" si="8"/>
        <v>217</v>
      </c>
      <c r="AE30" s="13">
        <f t="shared" si="8"/>
        <v>215</v>
      </c>
      <c r="AF30" s="13">
        <f t="shared" si="8"/>
        <v>208</v>
      </c>
      <c r="AG30" s="13">
        <f t="shared" si="8"/>
        <v>222</v>
      </c>
      <c r="AH30" s="13">
        <f t="shared" si="8"/>
        <v>201</v>
      </c>
      <c r="AI30" s="13">
        <f t="shared" si="8"/>
        <v>150</v>
      </c>
      <c r="AJ30" s="13">
        <f t="shared" si="8"/>
        <v>179</v>
      </c>
      <c r="AK30" s="13">
        <f t="shared" si="8"/>
        <v>171</v>
      </c>
      <c r="AL30" s="13">
        <f t="shared" si="8"/>
        <v>220</v>
      </c>
      <c r="AM30" s="13">
        <f t="shared" si="8"/>
        <v>187</v>
      </c>
      <c r="AN30" s="13">
        <f t="shared" si="8"/>
        <v>193</v>
      </c>
      <c r="AO30" s="13">
        <f t="shared" si="8"/>
        <v>188</v>
      </c>
      <c r="AP30" s="13">
        <f t="shared" si="8"/>
        <v>175</v>
      </c>
      <c r="AQ30" s="13">
        <f t="shared" si="8"/>
        <v>211</v>
      </c>
      <c r="AR30" s="13">
        <f t="shared" si="8"/>
        <v>203</v>
      </c>
      <c r="AS30" s="13">
        <f t="shared" si="8"/>
        <v>164</v>
      </c>
      <c r="AT30" s="13">
        <f t="shared" si="8"/>
        <v>157</v>
      </c>
      <c r="AU30" s="13">
        <f t="shared" si="8"/>
        <v>172</v>
      </c>
      <c r="AV30" s="13">
        <f t="shared" si="8"/>
        <v>198</v>
      </c>
      <c r="AW30" s="13">
        <f t="shared" si="8"/>
        <v>194</v>
      </c>
      <c r="AX30" s="13">
        <f t="shared" si="8"/>
        <v>224</v>
      </c>
      <c r="AY30" s="13">
        <f t="shared" si="8"/>
        <v>188</v>
      </c>
      <c r="AZ30" s="13">
        <f t="shared" si="8"/>
        <v>211</v>
      </c>
      <c r="BA30" s="13">
        <f t="shared" si="8"/>
        <v>215</v>
      </c>
      <c r="BB30" s="13">
        <f t="shared" si="8"/>
        <v>205</v>
      </c>
      <c r="BC30" s="13">
        <f t="shared" si="8"/>
        <v>185</v>
      </c>
      <c r="BD30" s="13">
        <f t="shared" si="8"/>
        <v>203</v>
      </c>
      <c r="BE30" s="13">
        <f t="shared" si="8"/>
        <v>164</v>
      </c>
      <c r="BF30" s="13">
        <f t="shared" si="8"/>
        <v>194</v>
      </c>
      <c r="BG30" s="13">
        <f t="shared" si="8"/>
        <v>184</v>
      </c>
      <c r="BH30" s="13">
        <f t="shared" si="8"/>
        <v>240</v>
      </c>
      <c r="BI30" s="13">
        <f t="shared" si="8"/>
        <v>211</v>
      </c>
      <c r="BJ30" s="13">
        <f t="shared" si="8"/>
        <v>196</v>
      </c>
      <c r="BK30" s="13">
        <f t="shared" si="8"/>
        <v>208</v>
      </c>
      <c r="BL30" s="13">
        <f t="shared" si="2"/>
        <v>12019</v>
      </c>
    </row>
    <row r="31" spans="1:64" ht="12.75" customHeight="1" x14ac:dyDescent="0.3">
      <c r="A31" s="61"/>
      <c r="B31" s="46"/>
      <c r="C31" s="46"/>
      <c r="D31" s="47"/>
      <c r="E31" s="15"/>
      <c r="F31" s="15"/>
      <c r="G31" s="15"/>
      <c r="H31" s="15"/>
      <c r="I31" s="15"/>
      <c r="J31" s="15"/>
      <c r="K31" s="15"/>
      <c r="L31" s="15"/>
      <c r="M31" s="15"/>
      <c r="N31" s="41"/>
      <c r="O31" s="15"/>
      <c r="P31" s="15"/>
      <c r="Q31" s="15"/>
      <c r="R31" s="15"/>
      <c r="S31" s="41"/>
      <c r="T31" s="15"/>
      <c r="U31" s="15"/>
      <c r="V31" s="15"/>
      <c r="W31" s="15"/>
      <c r="X31" s="41"/>
      <c r="Y31" s="15"/>
      <c r="Z31" s="15"/>
      <c r="AA31" s="15"/>
      <c r="AB31" s="15"/>
      <c r="AC31" s="41"/>
      <c r="AD31" s="15"/>
      <c r="AE31" s="15"/>
      <c r="AF31" s="15"/>
      <c r="AG31" s="15"/>
      <c r="AH31" s="41"/>
      <c r="AI31" s="15"/>
      <c r="AJ31" s="15"/>
      <c r="AK31" s="15"/>
      <c r="AL31" s="15"/>
      <c r="AM31" s="41"/>
      <c r="AN31" s="15"/>
      <c r="AO31" s="15"/>
      <c r="AP31" s="15"/>
      <c r="AQ31" s="15"/>
      <c r="AR31" s="41"/>
      <c r="AS31" s="15"/>
      <c r="AT31" s="15"/>
      <c r="AU31" s="15"/>
      <c r="AV31" s="15"/>
      <c r="AW31" s="41"/>
      <c r="AX31" s="15"/>
      <c r="AY31" s="15"/>
      <c r="AZ31" s="15"/>
      <c r="BA31" s="15"/>
      <c r="BB31" s="41"/>
      <c r="BC31" s="15"/>
      <c r="BD31" s="15"/>
      <c r="BE31" s="15"/>
      <c r="BF31" s="15"/>
      <c r="BG31" s="41"/>
      <c r="BH31" s="15"/>
      <c r="BI31" s="15"/>
      <c r="BJ31" s="15"/>
      <c r="BK31" s="15"/>
      <c r="BL31" s="42"/>
    </row>
    <row r="32" spans="1:64" ht="12.75" customHeight="1" x14ac:dyDescent="0.3">
      <c r="A32" s="24" t="s">
        <v>25</v>
      </c>
      <c r="B32" s="49" t="s">
        <v>26</v>
      </c>
      <c r="C32" s="46"/>
      <c r="D32" s="47"/>
      <c r="E32" s="13"/>
      <c r="F32" s="13"/>
      <c r="G32" s="13"/>
      <c r="H32" s="13"/>
      <c r="I32" s="13"/>
      <c r="J32" s="13"/>
      <c r="K32" s="13"/>
      <c r="L32" s="13"/>
      <c r="M32" s="13"/>
      <c r="N32" s="43"/>
      <c r="O32" s="13"/>
      <c r="P32" s="13"/>
      <c r="Q32" s="13"/>
      <c r="R32" s="13"/>
      <c r="S32" s="43"/>
      <c r="T32" s="13"/>
      <c r="U32" s="13"/>
      <c r="V32" s="13"/>
      <c r="W32" s="13"/>
      <c r="X32" s="43"/>
      <c r="Y32" s="13"/>
      <c r="Z32" s="13"/>
      <c r="AA32" s="13"/>
      <c r="AB32" s="13"/>
      <c r="AC32" s="43"/>
      <c r="AD32" s="13"/>
      <c r="AE32" s="13"/>
      <c r="AF32" s="13"/>
      <c r="AG32" s="13"/>
      <c r="AH32" s="43"/>
      <c r="AI32" s="13"/>
      <c r="AJ32" s="13"/>
      <c r="AK32" s="13"/>
      <c r="AL32" s="13"/>
      <c r="AM32" s="43"/>
      <c r="AN32" s="13"/>
      <c r="AO32" s="13"/>
      <c r="AP32" s="13"/>
      <c r="AQ32" s="13"/>
      <c r="AR32" s="43"/>
      <c r="AS32" s="13"/>
      <c r="AT32" s="13"/>
      <c r="AU32" s="13"/>
      <c r="AV32" s="13"/>
      <c r="AW32" s="43"/>
      <c r="AX32" s="13"/>
      <c r="AY32" s="13"/>
      <c r="AZ32" s="13"/>
      <c r="BA32" s="13"/>
      <c r="BB32" s="43"/>
      <c r="BC32" s="13"/>
      <c r="BD32" s="13"/>
      <c r="BE32" s="13"/>
      <c r="BF32" s="13"/>
      <c r="BG32" s="43"/>
      <c r="BH32" s="13"/>
      <c r="BI32" s="13"/>
      <c r="BJ32" s="13"/>
      <c r="BK32" s="13"/>
      <c r="BL32" s="42"/>
    </row>
    <row r="33" spans="1:64" ht="12.75" customHeight="1" x14ac:dyDescent="0.3">
      <c r="A33" s="15">
        <v>1</v>
      </c>
      <c r="B33" s="56" t="s">
        <v>27</v>
      </c>
      <c r="C33" s="46"/>
      <c r="D33" s="47"/>
      <c r="E33" s="15">
        <v>278</v>
      </c>
      <c r="F33" s="15">
        <v>294</v>
      </c>
      <c r="G33" s="15">
        <v>277</v>
      </c>
      <c r="H33" s="15">
        <v>284</v>
      </c>
      <c r="I33" s="15">
        <v>288</v>
      </c>
      <c r="J33" s="15">
        <v>269</v>
      </c>
      <c r="K33" s="15">
        <v>281</v>
      </c>
      <c r="L33" s="15">
        <v>276</v>
      </c>
      <c r="M33" s="15">
        <v>294</v>
      </c>
      <c r="N33" s="15">
        <v>257</v>
      </c>
      <c r="O33" s="15">
        <v>288</v>
      </c>
      <c r="P33" s="15">
        <v>269</v>
      </c>
      <c r="Q33" s="15">
        <v>271</v>
      </c>
      <c r="R33" s="15">
        <v>248</v>
      </c>
      <c r="S33" s="15">
        <v>289</v>
      </c>
      <c r="T33" s="15">
        <v>300</v>
      </c>
      <c r="U33" s="15">
        <v>287</v>
      </c>
      <c r="V33" s="15">
        <v>293</v>
      </c>
      <c r="W33" s="15">
        <v>295</v>
      </c>
      <c r="X33" s="15">
        <v>300</v>
      </c>
      <c r="Y33" s="15">
        <v>279</v>
      </c>
      <c r="Z33" s="15">
        <v>294</v>
      </c>
      <c r="AA33" s="15">
        <v>293</v>
      </c>
      <c r="AB33" s="15">
        <v>291</v>
      </c>
      <c r="AC33" s="15">
        <v>300</v>
      </c>
      <c r="AD33" s="15">
        <v>294</v>
      </c>
      <c r="AE33" s="15">
        <v>269</v>
      </c>
      <c r="AF33" s="15">
        <v>259</v>
      </c>
      <c r="AG33" s="15">
        <v>279</v>
      </c>
      <c r="AH33" s="15">
        <v>279</v>
      </c>
      <c r="AI33" s="15">
        <v>192</v>
      </c>
      <c r="AJ33" s="15">
        <v>235</v>
      </c>
      <c r="AK33" s="15">
        <v>231</v>
      </c>
      <c r="AL33" s="15">
        <v>297</v>
      </c>
      <c r="AM33" s="15">
        <v>260</v>
      </c>
      <c r="AN33" s="15">
        <v>247</v>
      </c>
      <c r="AO33" s="15">
        <v>248</v>
      </c>
      <c r="AP33" s="15">
        <v>252</v>
      </c>
      <c r="AQ33" s="15">
        <v>282</v>
      </c>
      <c r="AR33" s="15">
        <v>273</v>
      </c>
      <c r="AS33" s="15">
        <v>231</v>
      </c>
      <c r="AT33" s="15">
        <v>242</v>
      </c>
      <c r="AU33" s="15">
        <v>240</v>
      </c>
      <c r="AV33" s="15">
        <v>286</v>
      </c>
      <c r="AW33" s="15">
        <v>235</v>
      </c>
      <c r="AX33" s="15">
        <v>285</v>
      </c>
      <c r="AY33" s="15">
        <v>278</v>
      </c>
      <c r="AZ33" s="15">
        <v>266</v>
      </c>
      <c r="BA33" s="15">
        <v>297</v>
      </c>
      <c r="BB33" s="15">
        <v>278</v>
      </c>
      <c r="BC33" s="15">
        <v>278</v>
      </c>
      <c r="BD33" s="15">
        <v>281</v>
      </c>
      <c r="BE33" s="15">
        <v>281</v>
      </c>
      <c r="BF33" s="15">
        <v>287</v>
      </c>
      <c r="BG33" s="15">
        <v>261</v>
      </c>
      <c r="BH33" s="15">
        <v>299</v>
      </c>
      <c r="BI33" s="15">
        <v>287</v>
      </c>
      <c r="BJ33" s="15">
        <v>269</v>
      </c>
      <c r="BK33" s="15">
        <v>248</v>
      </c>
      <c r="BL33" s="13">
        <f t="shared" ref="BL33:BL36" si="9">SUM(E33:BK33)</f>
        <v>16121</v>
      </c>
    </row>
    <row r="34" spans="1:64" ht="12.75" customHeight="1" x14ac:dyDescent="0.3">
      <c r="A34" s="15">
        <v>2</v>
      </c>
      <c r="B34" s="56" t="s">
        <v>28</v>
      </c>
      <c r="C34" s="46"/>
      <c r="D34" s="47"/>
      <c r="E34" s="13">
        <v>181</v>
      </c>
      <c r="F34" s="13">
        <v>226</v>
      </c>
      <c r="G34" s="13">
        <v>211</v>
      </c>
      <c r="H34" s="13">
        <v>221</v>
      </c>
      <c r="I34" s="13">
        <v>229</v>
      </c>
      <c r="J34" s="13">
        <v>213</v>
      </c>
      <c r="K34" s="13">
        <v>199</v>
      </c>
      <c r="L34" s="13">
        <v>221</v>
      </c>
      <c r="M34" s="13">
        <v>224</v>
      </c>
      <c r="N34" s="13">
        <v>194</v>
      </c>
      <c r="O34" s="13">
        <v>220</v>
      </c>
      <c r="P34" s="13">
        <v>203</v>
      </c>
      <c r="Q34" s="13">
        <v>230</v>
      </c>
      <c r="R34" s="13">
        <v>197</v>
      </c>
      <c r="S34" s="13">
        <v>209</v>
      </c>
      <c r="T34" s="13">
        <v>224</v>
      </c>
      <c r="U34" s="13">
        <v>214</v>
      </c>
      <c r="V34" s="13">
        <v>228</v>
      </c>
      <c r="W34" s="13">
        <v>228</v>
      </c>
      <c r="X34" s="13">
        <v>232</v>
      </c>
      <c r="Y34" s="13">
        <v>193</v>
      </c>
      <c r="Z34" s="13">
        <v>214</v>
      </c>
      <c r="AA34" s="13">
        <v>213</v>
      </c>
      <c r="AB34" s="13">
        <v>222</v>
      </c>
      <c r="AC34" s="13">
        <v>220</v>
      </c>
      <c r="AD34" s="13">
        <v>217</v>
      </c>
      <c r="AE34" s="13">
        <v>215</v>
      </c>
      <c r="AF34" s="13">
        <v>208</v>
      </c>
      <c r="AG34" s="13">
        <v>222</v>
      </c>
      <c r="AH34" s="13">
        <v>201</v>
      </c>
      <c r="AI34" s="13">
        <v>150</v>
      </c>
      <c r="AJ34" s="13">
        <v>179</v>
      </c>
      <c r="AK34" s="13">
        <v>171</v>
      </c>
      <c r="AL34" s="13">
        <v>220</v>
      </c>
      <c r="AM34" s="13">
        <v>187</v>
      </c>
      <c r="AN34" s="13">
        <v>193</v>
      </c>
      <c r="AO34" s="13">
        <v>188</v>
      </c>
      <c r="AP34" s="13">
        <v>175</v>
      </c>
      <c r="AQ34" s="13">
        <v>211</v>
      </c>
      <c r="AR34" s="13">
        <v>203</v>
      </c>
      <c r="AS34" s="13">
        <v>164</v>
      </c>
      <c r="AT34" s="13">
        <v>157</v>
      </c>
      <c r="AU34" s="13">
        <v>172</v>
      </c>
      <c r="AV34" s="13">
        <v>198</v>
      </c>
      <c r="AW34" s="13">
        <v>194</v>
      </c>
      <c r="AX34" s="13">
        <v>224</v>
      </c>
      <c r="AY34" s="13">
        <v>188</v>
      </c>
      <c r="AZ34" s="13">
        <v>211</v>
      </c>
      <c r="BA34" s="13">
        <v>215</v>
      </c>
      <c r="BB34" s="13">
        <v>205</v>
      </c>
      <c r="BC34" s="13">
        <v>185</v>
      </c>
      <c r="BD34" s="13">
        <v>203</v>
      </c>
      <c r="BE34" s="13">
        <v>164</v>
      </c>
      <c r="BF34" s="13">
        <v>194</v>
      </c>
      <c r="BG34" s="13">
        <v>184</v>
      </c>
      <c r="BH34" s="13">
        <v>240</v>
      </c>
      <c r="BI34" s="13">
        <v>211</v>
      </c>
      <c r="BJ34" s="13">
        <v>196</v>
      </c>
      <c r="BK34" s="13">
        <v>208</v>
      </c>
      <c r="BL34" s="13">
        <f t="shared" si="9"/>
        <v>12019</v>
      </c>
    </row>
    <row r="35" spans="1:64" ht="12.75" customHeight="1" x14ac:dyDescent="0.3">
      <c r="A35" s="15">
        <v>3</v>
      </c>
      <c r="B35" s="56" t="s">
        <v>29</v>
      </c>
      <c r="C35" s="46"/>
      <c r="D35" s="47"/>
      <c r="E35" s="15">
        <v>1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1</v>
      </c>
      <c r="L35" s="15">
        <v>0</v>
      </c>
      <c r="M35" s="15">
        <v>0</v>
      </c>
      <c r="N35" s="15">
        <v>0</v>
      </c>
      <c r="O35" s="15">
        <v>3</v>
      </c>
      <c r="P35" s="15">
        <v>3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1</v>
      </c>
      <c r="AI35" s="15">
        <v>0</v>
      </c>
      <c r="AJ35" s="15">
        <v>0</v>
      </c>
      <c r="AK35" s="15">
        <v>2</v>
      </c>
      <c r="AL35" s="15">
        <v>0</v>
      </c>
      <c r="AM35" s="15">
        <v>0</v>
      </c>
      <c r="AN35" s="15">
        <v>1</v>
      </c>
      <c r="AO35" s="15">
        <v>1</v>
      </c>
      <c r="AP35" s="15">
        <v>0</v>
      </c>
      <c r="AQ35" s="15">
        <v>0</v>
      </c>
      <c r="AR35" s="15">
        <v>1</v>
      </c>
      <c r="AS35" s="15">
        <v>0</v>
      </c>
      <c r="AT35" s="15">
        <v>0</v>
      </c>
      <c r="AU35" s="15">
        <v>1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1</v>
      </c>
      <c r="BC35" s="15">
        <v>0</v>
      </c>
      <c r="BD35" s="15">
        <v>1</v>
      </c>
      <c r="BE35" s="15">
        <v>0</v>
      </c>
      <c r="BF35" s="15">
        <v>2</v>
      </c>
      <c r="BG35" s="15">
        <v>0</v>
      </c>
      <c r="BH35" s="15">
        <v>0</v>
      </c>
      <c r="BI35" s="15">
        <v>0</v>
      </c>
      <c r="BJ35" s="15">
        <v>0</v>
      </c>
      <c r="BK35" s="15">
        <v>2</v>
      </c>
      <c r="BL35" s="13">
        <f t="shared" si="9"/>
        <v>21</v>
      </c>
    </row>
    <row r="36" spans="1:64" ht="12.75" customHeight="1" x14ac:dyDescent="0.3">
      <c r="A36" s="15">
        <v>4</v>
      </c>
      <c r="B36" s="56" t="s">
        <v>30</v>
      </c>
      <c r="C36" s="46"/>
      <c r="D36" s="47"/>
      <c r="E36" s="13">
        <f t="shared" ref="E36:BK36" si="10">E33-(E34+E35)</f>
        <v>96</v>
      </c>
      <c r="F36" s="13">
        <f t="shared" si="10"/>
        <v>68</v>
      </c>
      <c r="G36" s="13">
        <f t="shared" si="10"/>
        <v>66</v>
      </c>
      <c r="H36" s="13">
        <f t="shared" si="10"/>
        <v>63</v>
      </c>
      <c r="I36" s="13">
        <f t="shared" si="10"/>
        <v>59</v>
      </c>
      <c r="J36" s="13">
        <f t="shared" si="10"/>
        <v>56</v>
      </c>
      <c r="K36" s="13">
        <f t="shared" si="10"/>
        <v>81</v>
      </c>
      <c r="L36" s="13">
        <f t="shared" si="10"/>
        <v>55</v>
      </c>
      <c r="M36" s="13">
        <f t="shared" si="10"/>
        <v>70</v>
      </c>
      <c r="N36" s="13">
        <f t="shared" si="10"/>
        <v>63</v>
      </c>
      <c r="O36" s="13">
        <f t="shared" si="10"/>
        <v>65</v>
      </c>
      <c r="P36" s="13">
        <f t="shared" si="10"/>
        <v>63</v>
      </c>
      <c r="Q36" s="13">
        <f t="shared" si="10"/>
        <v>41</v>
      </c>
      <c r="R36" s="13">
        <f t="shared" si="10"/>
        <v>51</v>
      </c>
      <c r="S36" s="13">
        <f t="shared" si="10"/>
        <v>80</v>
      </c>
      <c r="T36" s="13">
        <f t="shared" si="10"/>
        <v>76</v>
      </c>
      <c r="U36" s="13">
        <f t="shared" si="10"/>
        <v>73</v>
      </c>
      <c r="V36" s="13">
        <f t="shared" si="10"/>
        <v>65</v>
      </c>
      <c r="W36" s="13">
        <f t="shared" si="10"/>
        <v>67</v>
      </c>
      <c r="X36" s="13">
        <f t="shared" si="10"/>
        <v>68</v>
      </c>
      <c r="Y36" s="13">
        <f t="shared" si="10"/>
        <v>86</v>
      </c>
      <c r="Z36" s="13">
        <f t="shared" si="10"/>
        <v>80</v>
      </c>
      <c r="AA36" s="13">
        <f t="shared" si="10"/>
        <v>80</v>
      </c>
      <c r="AB36" s="13">
        <f t="shared" si="10"/>
        <v>69</v>
      </c>
      <c r="AC36" s="13">
        <f t="shared" si="10"/>
        <v>80</v>
      </c>
      <c r="AD36" s="13">
        <f t="shared" si="10"/>
        <v>77</v>
      </c>
      <c r="AE36" s="13">
        <f t="shared" si="10"/>
        <v>54</v>
      </c>
      <c r="AF36" s="13">
        <f t="shared" si="10"/>
        <v>51</v>
      </c>
      <c r="AG36" s="13">
        <f t="shared" si="10"/>
        <v>57</v>
      </c>
      <c r="AH36" s="13">
        <f t="shared" si="10"/>
        <v>77</v>
      </c>
      <c r="AI36" s="13">
        <f t="shared" si="10"/>
        <v>42</v>
      </c>
      <c r="AJ36" s="13">
        <f t="shared" si="10"/>
        <v>56</v>
      </c>
      <c r="AK36" s="13">
        <f t="shared" si="10"/>
        <v>58</v>
      </c>
      <c r="AL36" s="13">
        <f t="shared" si="10"/>
        <v>77</v>
      </c>
      <c r="AM36" s="13">
        <f t="shared" si="10"/>
        <v>73</v>
      </c>
      <c r="AN36" s="13">
        <f t="shared" si="10"/>
        <v>53</v>
      </c>
      <c r="AO36" s="13">
        <f t="shared" si="10"/>
        <v>59</v>
      </c>
      <c r="AP36" s="13">
        <f t="shared" si="10"/>
        <v>77</v>
      </c>
      <c r="AQ36" s="13">
        <f t="shared" si="10"/>
        <v>71</v>
      </c>
      <c r="AR36" s="13">
        <f t="shared" si="10"/>
        <v>69</v>
      </c>
      <c r="AS36" s="13">
        <f t="shared" si="10"/>
        <v>67</v>
      </c>
      <c r="AT36" s="13">
        <f t="shared" si="10"/>
        <v>85</v>
      </c>
      <c r="AU36" s="13">
        <f t="shared" si="10"/>
        <v>67</v>
      </c>
      <c r="AV36" s="13">
        <f t="shared" si="10"/>
        <v>88</v>
      </c>
      <c r="AW36" s="13">
        <f t="shared" si="10"/>
        <v>41</v>
      </c>
      <c r="AX36" s="13">
        <f t="shared" si="10"/>
        <v>61</v>
      </c>
      <c r="AY36" s="13">
        <f t="shared" si="10"/>
        <v>90</v>
      </c>
      <c r="AZ36" s="13">
        <f t="shared" si="10"/>
        <v>55</v>
      </c>
      <c r="BA36" s="13">
        <f t="shared" si="10"/>
        <v>82</v>
      </c>
      <c r="BB36" s="13">
        <f t="shared" si="10"/>
        <v>72</v>
      </c>
      <c r="BC36" s="13">
        <f t="shared" si="10"/>
        <v>93</v>
      </c>
      <c r="BD36" s="13">
        <f t="shared" si="10"/>
        <v>77</v>
      </c>
      <c r="BE36" s="13">
        <f t="shared" si="10"/>
        <v>117</v>
      </c>
      <c r="BF36" s="13">
        <f t="shared" si="10"/>
        <v>91</v>
      </c>
      <c r="BG36" s="13">
        <f t="shared" si="10"/>
        <v>77</v>
      </c>
      <c r="BH36" s="13">
        <f t="shared" si="10"/>
        <v>59</v>
      </c>
      <c r="BI36" s="13">
        <f t="shared" si="10"/>
        <v>76</v>
      </c>
      <c r="BJ36" s="13">
        <f t="shared" si="10"/>
        <v>73</v>
      </c>
      <c r="BK36" s="13">
        <f t="shared" si="10"/>
        <v>38</v>
      </c>
      <c r="BL36" s="13">
        <f t="shared" si="9"/>
        <v>4081</v>
      </c>
    </row>
    <row r="37" spans="1:64" ht="12.75" customHeight="1" x14ac:dyDescent="0.3">
      <c r="A37" s="61"/>
      <c r="B37" s="46"/>
      <c r="C37" s="46"/>
      <c r="D37" s="46"/>
      <c r="E37" s="61"/>
      <c r="F37" s="46"/>
      <c r="G37" s="46"/>
      <c r="H37" s="46"/>
      <c r="I37" s="47"/>
      <c r="J37" s="15"/>
      <c r="K37" s="15"/>
      <c r="L37" s="15"/>
      <c r="M37" s="15"/>
      <c r="N37" s="41"/>
      <c r="O37" s="15"/>
      <c r="P37" s="15"/>
      <c r="Q37" s="15"/>
      <c r="R37" s="15"/>
      <c r="S37" s="41"/>
      <c r="T37" s="15"/>
      <c r="U37" s="15"/>
      <c r="V37" s="15"/>
      <c r="W37" s="15"/>
      <c r="X37" s="41"/>
      <c r="Y37" s="15"/>
      <c r="Z37" s="15"/>
      <c r="AA37" s="15"/>
      <c r="AB37" s="15"/>
      <c r="AC37" s="41"/>
      <c r="AD37" s="15"/>
      <c r="AE37" s="15"/>
      <c r="AF37" s="15"/>
      <c r="AG37" s="15"/>
      <c r="AH37" s="41"/>
      <c r="AI37" s="15"/>
      <c r="AJ37" s="15"/>
      <c r="AK37" s="15"/>
      <c r="AL37" s="15"/>
      <c r="AM37" s="41"/>
      <c r="AN37" s="15"/>
      <c r="AO37" s="15"/>
      <c r="AP37" s="15"/>
      <c r="AQ37" s="15"/>
      <c r="AR37" s="41"/>
      <c r="AS37" s="15"/>
      <c r="AT37" s="15"/>
      <c r="AU37" s="15"/>
      <c r="AV37" s="15"/>
      <c r="AW37" s="41"/>
      <c r="AX37" s="15"/>
      <c r="AY37" s="15"/>
      <c r="AZ37" s="15"/>
      <c r="BA37" s="15"/>
      <c r="BB37" s="41"/>
      <c r="BC37" s="15"/>
      <c r="BD37" s="15"/>
      <c r="BE37" s="15"/>
      <c r="BF37" s="15"/>
      <c r="BG37" s="41"/>
      <c r="BH37" s="15"/>
      <c r="BI37" s="15"/>
      <c r="BJ37" s="15"/>
      <c r="BK37" s="15"/>
      <c r="BL37" s="42"/>
    </row>
    <row r="38" spans="1:64" ht="12.75" customHeight="1" x14ac:dyDescent="0.3">
      <c r="A38" s="25" t="s">
        <v>31</v>
      </c>
      <c r="B38" s="49" t="s">
        <v>32</v>
      </c>
      <c r="C38" s="46"/>
      <c r="D38" s="47"/>
      <c r="E38" s="13"/>
      <c r="F38" s="13"/>
      <c r="G38" s="13"/>
      <c r="H38" s="13"/>
      <c r="I38" s="13"/>
      <c r="J38" s="13"/>
      <c r="K38" s="13"/>
      <c r="L38" s="13"/>
      <c r="M38" s="13"/>
      <c r="N38" s="43"/>
      <c r="O38" s="13"/>
      <c r="P38" s="13"/>
      <c r="Q38" s="13"/>
      <c r="R38" s="13"/>
      <c r="S38" s="43"/>
      <c r="T38" s="13"/>
      <c r="U38" s="13"/>
      <c r="V38" s="13"/>
      <c r="W38" s="13"/>
      <c r="X38" s="43"/>
      <c r="Y38" s="13"/>
      <c r="Z38" s="13"/>
      <c r="AA38" s="13"/>
      <c r="AB38" s="13"/>
      <c r="AC38" s="43"/>
      <c r="AD38" s="13"/>
      <c r="AE38" s="13"/>
      <c r="AF38" s="13"/>
      <c r="AG38" s="13"/>
      <c r="AH38" s="43"/>
      <c r="AI38" s="13"/>
      <c r="AJ38" s="13"/>
      <c r="AK38" s="13"/>
      <c r="AL38" s="13"/>
      <c r="AM38" s="43"/>
      <c r="AN38" s="13"/>
      <c r="AO38" s="13"/>
      <c r="AP38" s="13"/>
      <c r="AQ38" s="13"/>
      <c r="AR38" s="43"/>
      <c r="AS38" s="13"/>
      <c r="AT38" s="13"/>
      <c r="AU38" s="13"/>
      <c r="AV38" s="13"/>
      <c r="AW38" s="43"/>
      <c r="AX38" s="13"/>
      <c r="AY38" s="13"/>
      <c r="AZ38" s="13"/>
      <c r="BA38" s="13"/>
      <c r="BB38" s="43"/>
      <c r="BC38" s="13"/>
      <c r="BD38" s="13"/>
      <c r="BE38" s="13"/>
      <c r="BF38" s="13"/>
      <c r="BG38" s="43"/>
      <c r="BH38" s="13"/>
      <c r="BI38" s="13"/>
      <c r="BJ38" s="13"/>
      <c r="BK38" s="13"/>
      <c r="BL38" s="42"/>
    </row>
    <row r="39" spans="1:64" ht="12.75" customHeight="1" x14ac:dyDescent="0.3">
      <c r="A39" s="19"/>
      <c r="B39" s="68" t="s">
        <v>33</v>
      </c>
      <c r="C39" s="58"/>
      <c r="D39" s="15" t="s">
        <v>12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>
        <v>0</v>
      </c>
      <c r="U39" s="15">
        <v>0</v>
      </c>
      <c r="V39" s="15">
        <v>0</v>
      </c>
      <c r="W39" s="15">
        <v>1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2</v>
      </c>
      <c r="AI39" s="15">
        <v>0</v>
      </c>
      <c r="AJ39" s="15">
        <v>0</v>
      </c>
      <c r="AK39" s="15">
        <v>2</v>
      </c>
      <c r="AL39" s="15">
        <v>0</v>
      </c>
      <c r="AM39" s="15">
        <v>2</v>
      </c>
      <c r="AN39" s="15">
        <v>0</v>
      </c>
      <c r="AO39" s="15">
        <v>4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1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1</v>
      </c>
      <c r="BG39" s="15">
        <v>0</v>
      </c>
      <c r="BH39" s="15">
        <v>0</v>
      </c>
      <c r="BI39" s="15">
        <v>1</v>
      </c>
      <c r="BJ39" s="15">
        <v>0</v>
      </c>
      <c r="BK39" s="15">
        <v>0</v>
      </c>
      <c r="BL39" s="13">
        <f t="shared" ref="BL39:BL41" si="11">SUM(E39:BK39)</f>
        <v>14</v>
      </c>
    </row>
    <row r="40" spans="1:64" ht="12.75" customHeight="1" x14ac:dyDescent="0.3">
      <c r="A40" s="20"/>
      <c r="B40" s="69"/>
      <c r="C40" s="60"/>
      <c r="D40" s="15" t="s">
        <v>13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>
        <v>0</v>
      </c>
      <c r="U40" s="15">
        <v>0</v>
      </c>
      <c r="V40" s="15">
        <v>0</v>
      </c>
      <c r="W40" s="15">
        <v>2</v>
      </c>
      <c r="X40" s="15">
        <v>1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3</v>
      </c>
      <c r="AI40" s="15">
        <v>0</v>
      </c>
      <c r="AJ40" s="15">
        <v>0</v>
      </c>
      <c r="AK40" s="15">
        <v>4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1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2</v>
      </c>
      <c r="AX40" s="15">
        <v>0</v>
      </c>
      <c r="AY40" s="15">
        <v>0</v>
      </c>
      <c r="AZ40" s="15">
        <v>1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1</v>
      </c>
      <c r="BG40" s="15">
        <v>1</v>
      </c>
      <c r="BH40" s="15">
        <v>1</v>
      </c>
      <c r="BI40" s="15">
        <v>0</v>
      </c>
      <c r="BJ40" s="15">
        <v>0</v>
      </c>
      <c r="BK40" s="15">
        <v>0</v>
      </c>
      <c r="BL40" s="13">
        <f t="shared" si="11"/>
        <v>17</v>
      </c>
    </row>
    <row r="41" spans="1:64" ht="12.75" customHeight="1" x14ac:dyDescent="0.3">
      <c r="A41" s="24"/>
      <c r="B41" s="52"/>
      <c r="C41" s="53"/>
      <c r="D41" s="13" t="s">
        <v>14</v>
      </c>
      <c r="E41" s="13">
        <f t="shared" ref="E41:BK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0</v>
      </c>
      <c r="W41" s="13">
        <f t="shared" si="12"/>
        <v>3</v>
      </c>
      <c r="X41" s="13">
        <f t="shared" si="12"/>
        <v>1</v>
      </c>
      <c r="Y41" s="13">
        <f t="shared" si="12"/>
        <v>0</v>
      </c>
      <c r="Z41" s="13">
        <f t="shared" si="12"/>
        <v>0</v>
      </c>
      <c r="AA41" s="13">
        <f t="shared" si="12"/>
        <v>0</v>
      </c>
      <c r="AB41" s="13">
        <f t="shared" si="12"/>
        <v>0</v>
      </c>
      <c r="AC41" s="13">
        <f t="shared" si="12"/>
        <v>0</v>
      </c>
      <c r="AD41" s="13">
        <f t="shared" si="12"/>
        <v>0</v>
      </c>
      <c r="AE41" s="13">
        <f t="shared" si="12"/>
        <v>0</v>
      </c>
      <c r="AF41" s="13">
        <f t="shared" si="12"/>
        <v>0</v>
      </c>
      <c r="AG41" s="13">
        <f t="shared" si="12"/>
        <v>0</v>
      </c>
      <c r="AH41" s="13">
        <f t="shared" si="12"/>
        <v>5</v>
      </c>
      <c r="AI41" s="13">
        <f t="shared" si="12"/>
        <v>0</v>
      </c>
      <c r="AJ41" s="13">
        <f t="shared" si="12"/>
        <v>0</v>
      </c>
      <c r="AK41" s="13">
        <f t="shared" si="12"/>
        <v>6</v>
      </c>
      <c r="AL41" s="13">
        <f t="shared" si="12"/>
        <v>0</v>
      </c>
      <c r="AM41" s="13">
        <f t="shared" si="12"/>
        <v>2</v>
      </c>
      <c r="AN41" s="13">
        <f t="shared" si="12"/>
        <v>0</v>
      </c>
      <c r="AO41" s="13">
        <f t="shared" si="12"/>
        <v>4</v>
      </c>
      <c r="AP41" s="13">
        <f t="shared" si="12"/>
        <v>0</v>
      </c>
      <c r="AQ41" s="13">
        <f t="shared" si="12"/>
        <v>1</v>
      </c>
      <c r="AR41" s="13">
        <f t="shared" si="12"/>
        <v>0</v>
      </c>
      <c r="AS41" s="13">
        <f t="shared" si="12"/>
        <v>0</v>
      </c>
      <c r="AT41" s="13">
        <f t="shared" si="12"/>
        <v>0</v>
      </c>
      <c r="AU41" s="13">
        <f t="shared" si="12"/>
        <v>0</v>
      </c>
      <c r="AV41" s="13">
        <f t="shared" si="12"/>
        <v>0</v>
      </c>
      <c r="AW41" s="13">
        <f t="shared" si="12"/>
        <v>3</v>
      </c>
      <c r="AX41" s="13">
        <f t="shared" si="12"/>
        <v>0</v>
      </c>
      <c r="AY41" s="13">
        <f t="shared" si="12"/>
        <v>0</v>
      </c>
      <c r="AZ41" s="13">
        <f t="shared" si="12"/>
        <v>1</v>
      </c>
      <c r="BA41" s="13">
        <f t="shared" si="12"/>
        <v>0</v>
      </c>
      <c r="BB41" s="13">
        <f t="shared" si="12"/>
        <v>0</v>
      </c>
      <c r="BC41" s="13">
        <f t="shared" si="12"/>
        <v>0</v>
      </c>
      <c r="BD41" s="13">
        <f t="shared" si="12"/>
        <v>0</v>
      </c>
      <c r="BE41" s="13">
        <f t="shared" si="12"/>
        <v>0</v>
      </c>
      <c r="BF41" s="13">
        <f t="shared" si="12"/>
        <v>2</v>
      </c>
      <c r="BG41" s="13">
        <f t="shared" si="12"/>
        <v>1</v>
      </c>
      <c r="BH41" s="13">
        <f t="shared" si="12"/>
        <v>1</v>
      </c>
      <c r="BI41" s="13">
        <f t="shared" si="12"/>
        <v>1</v>
      </c>
      <c r="BJ41" s="13">
        <f t="shared" si="12"/>
        <v>0</v>
      </c>
      <c r="BK41" s="13">
        <f t="shared" si="12"/>
        <v>0</v>
      </c>
      <c r="BL41" s="13">
        <f t="shared" si="11"/>
        <v>31</v>
      </c>
    </row>
    <row r="42" spans="1:64" ht="12.75" customHeight="1" x14ac:dyDescent="0.3">
      <c r="A42" s="51"/>
      <c r="B42" s="52"/>
      <c r="C42" s="52"/>
      <c r="D42" s="53"/>
      <c r="E42" s="61"/>
      <c r="F42" s="46"/>
      <c r="G42" s="46"/>
      <c r="H42" s="46"/>
      <c r="I42" s="47"/>
      <c r="J42" s="15"/>
      <c r="K42" s="15"/>
      <c r="L42" s="15"/>
      <c r="M42" s="15"/>
      <c r="N42" s="41"/>
      <c r="O42" s="15"/>
      <c r="P42" s="15"/>
      <c r="Q42" s="15"/>
      <c r="R42" s="15"/>
      <c r="S42" s="41"/>
      <c r="T42" s="15"/>
      <c r="U42" s="15"/>
      <c r="V42" s="15"/>
      <c r="W42" s="15"/>
      <c r="X42" s="41"/>
      <c r="Y42" s="15"/>
      <c r="Z42" s="15"/>
      <c r="AA42" s="15"/>
      <c r="AB42" s="15"/>
      <c r="AC42" s="41"/>
      <c r="AD42" s="15"/>
      <c r="AE42" s="15"/>
      <c r="AF42" s="15"/>
      <c r="AG42" s="15"/>
      <c r="AH42" s="41"/>
      <c r="AI42" s="15"/>
      <c r="AJ42" s="15"/>
      <c r="AK42" s="15"/>
      <c r="AL42" s="15"/>
      <c r="AM42" s="41"/>
      <c r="AN42" s="15"/>
      <c r="AO42" s="15"/>
      <c r="AP42" s="15"/>
      <c r="AQ42" s="15"/>
      <c r="AR42" s="41"/>
      <c r="AS42" s="15"/>
      <c r="AT42" s="15"/>
      <c r="AU42" s="15"/>
      <c r="AV42" s="15"/>
      <c r="AW42" s="41"/>
      <c r="AX42" s="15"/>
      <c r="AY42" s="15"/>
      <c r="AZ42" s="15"/>
      <c r="BA42" s="15"/>
      <c r="BB42" s="41"/>
      <c r="BC42" s="15"/>
      <c r="BD42" s="15"/>
      <c r="BE42" s="15"/>
      <c r="BF42" s="15"/>
      <c r="BG42" s="41"/>
      <c r="BH42" s="15"/>
      <c r="BI42" s="15"/>
      <c r="BJ42" s="15"/>
      <c r="BK42" s="15"/>
      <c r="BL42" s="13"/>
    </row>
    <row r="43" spans="1:64" ht="12.75" customHeight="1" x14ac:dyDescent="0.3">
      <c r="A43" s="25" t="s">
        <v>34</v>
      </c>
      <c r="B43" s="49" t="s">
        <v>35</v>
      </c>
      <c r="C43" s="46"/>
      <c r="D43" s="47"/>
      <c r="E43" s="18"/>
      <c r="F43" s="13"/>
      <c r="G43" s="13"/>
      <c r="H43" s="13"/>
      <c r="I43" s="13"/>
      <c r="J43" s="13"/>
      <c r="K43" s="13"/>
      <c r="L43" s="13"/>
      <c r="M43" s="13"/>
      <c r="N43" s="43"/>
      <c r="O43" s="13"/>
      <c r="P43" s="13"/>
      <c r="Q43" s="13"/>
      <c r="R43" s="13"/>
      <c r="S43" s="43"/>
      <c r="T43" s="13"/>
      <c r="U43" s="13"/>
      <c r="V43" s="13"/>
      <c r="W43" s="13"/>
      <c r="X43" s="43"/>
      <c r="Y43" s="13"/>
      <c r="Z43" s="13"/>
      <c r="AA43" s="13"/>
      <c r="AB43" s="13"/>
      <c r="AC43" s="43"/>
      <c r="AD43" s="13"/>
      <c r="AE43" s="13"/>
      <c r="AF43" s="13"/>
      <c r="AG43" s="13"/>
      <c r="AH43" s="43"/>
      <c r="AI43" s="13"/>
      <c r="AJ43" s="13"/>
      <c r="AK43" s="13"/>
      <c r="AL43" s="13"/>
      <c r="AM43" s="43"/>
      <c r="AN43" s="13"/>
      <c r="AO43" s="13"/>
      <c r="AP43" s="13"/>
      <c r="AQ43" s="13"/>
      <c r="AR43" s="43"/>
      <c r="AS43" s="13"/>
      <c r="AT43" s="13"/>
      <c r="AU43" s="13"/>
      <c r="AV43" s="13"/>
      <c r="AW43" s="43"/>
      <c r="AX43" s="13"/>
      <c r="AY43" s="13"/>
      <c r="AZ43" s="13"/>
      <c r="BA43" s="13"/>
      <c r="BB43" s="43"/>
      <c r="BC43" s="13"/>
      <c r="BD43" s="13"/>
      <c r="BE43" s="13"/>
      <c r="BF43" s="13"/>
      <c r="BG43" s="43"/>
      <c r="BH43" s="13"/>
      <c r="BI43" s="13"/>
      <c r="BJ43" s="13"/>
      <c r="BK43" s="13"/>
      <c r="BL43" s="13"/>
    </row>
    <row r="44" spans="1:64" ht="12.75" customHeight="1" x14ac:dyDescent="0.3">
      <c r="A44" s="68" t="s">
        <v>36</v>
      </c>
      <c r="B44" s="70"/>
      <c r="C44" s="70"/>
      <c r="D44" s="58"/>
      <c r="E44" s="16"/>
      <c r="F44" s="15"/>
      <c r="G44" s="15"/>
      <c r="H44" s="15"/>
      <c r="I44" s="15"/>
      <c r="J44" s="15"/>
      <c r="K44" s="15"/>
      <c r="L44" s="15"/>
      <c r="M44" s="15"/>
      <c r="N44" s="41"/>
      <c r="O44" s="15"/>
      <c r="P44" s="15"/>
      <c r="Q44" s="15"/>
      <c r="R44" s="15"/>
      <c r="S44" s="41"/>
      <c r="T44" s="15"/>
      <c r="U44" s="15"/>
      <c r="V44" s="15"/>
      <c r="W44" s="15"/>
      <c r="X44" s="41"/>
      <c r="Y44" s="15"/>
      <c r="Z44" s="15"/>
      <c r="AA44" s="15"/>
      <c r="AB44" s="15"/>
      <c r="AC44" s="41"/>
      <c r="AD44" s="15"/>
      <c r="AE44" s="15"/>
      <c r="AF44" s="15"/>
      <c r="AG44" s="15"/>
      <c r="AH44" s="41"/>
      <c r="AI44" s="15"/>
      <c r="AJ44" s="15"/>
      <c r="AK44" s="15"/>
      <c r="AL44" s="15"/>
      <c r="AM44" s="41"/>
      <c r="AN44" s="15"/>
      <c r="AO44" s="15"/>
      <c r="AP44" s="15"/>
      <c r="AQ44" s="15"/>
      <c r="AR44" s="41"/>
      <c r="AS44" s="15"/>
      <c r="AT44" s="15"/>
      <c r="AU44" s="15"/>
      <c r="AV44" s="15"/>
      <c r="AW44" s="41"/>
      <c r="AX44" s="15"/>
      <c r="AY44" s="15"/>
      <c r="AZ44" s="15"/>
      <c r="BA44" s="15"/>
      <c r="BB44" s="41"/>
      <c r="BC44" s="15"/>
      <c r="BD44" s="15"/>
      <c r="BE44" s="15"/>
      <c r="BF44" s="15"/>
      <c r="BG44" s="41"/>
      <c r="BH44" s="15"/>
      <c r="BI44" s="15"/>
      <c r="BJ44" s="15"/>
      <c r="BK44" s="15"/>
      <c r="BL44" s="13"/>
    </row>
    <row r="45" spans="1:64" ht="12.75" customHeight="1" x14ac:dyDescent="0.3">
      <c r="A45" s="19" t="s">
        <v>37</v>
      </c>
      <c r="B45" s="26" t="s">
        <v>17</v>
      </c>
      <c r="C45" s="48" t="s">
        <v>38</v>
      </c>
      <c r="D45" s="47"/>
      <c r="E45" s="15">
        <v>4</v>
      </c>
      <c r="F45" s="15">
        <v>7</v>
      </c>
      <c r="G45" s="15">
        <v>2</v>
      </c>
      <c r="H45" s="15">
        <v>3</v>
      </c>
      <c r="I45" s="15">
        <v>4</v>
      </c>
      <c r="J45" s="15">
        <v>10</v>
      </c>
      <c r="K45" s="15">
        <v>10</v>
      </c>
      <c r="L45" s="15">
        <v>7</v>
      </c>
      <c r="M45" s="15">
        <v>7</v>
      </c>
      <c r="N45" s="15">
        <v>13</v>
      </c>
      <c r="O45" s="15">
        <v>7</v>
      </c>
      <c r="P45" s="15">
        <v>13</v>
      </c>
      <c r="Q45" s="15">
        <v>2</v>
      </c>
      <c r="R45" s="15">
        <v>9</v>
      </c>
      <c r="S45" s="15">
        <v>2</v>
      </c>
      <c r="T45" s="15">
        <v>2</v>
      </c>
      <c r="U45" s="15">
        <v>5</v>
      </c>
      <c r="V45" s="15">
        <v>6</v>
      </c>
      <c r="W45" s="15">
        <v>9</v>
      </c>
      <c r="X45" s="15">
        <v>13</v>
      </c>
      <c r="Y45" s="15">
        <v>10</v>
      </c>
      <c r="Z45" s="15">
        <v>13</v>
      </c>
      <c r="AA45" s="15">
        <v>10</v>
      </c>
      <c r="AB45" s="15">
        <v>11</v>
      </c>
      <c r="AC45" s="15">
        <v>7</v>
      </c>
      <c r="AD45" s="15">
        <v>5</v>
      </c>
      <c r="AE45" s="15">
        <v>2</v>
      </c>
      <c r="AF45" s="15">
        <v>2</v>
      </c>
      <c r="AG45" s="15">
        <v>5</v>
      </c>
      <c r="AH45" s="15">
        <v>3</v>
      </c>
      <c r="AI45" s="15">
        <v>4</v>
      </c>
      <c r="AJ45" s="15">
        <v>2</v>
      </c>
      <c r="AK45" s="15">
        <v>4</v>
      </c>
      <c r="AL45" s="15">
        <v>8</v>
      </c>
      <c r="AM45" s="15">
        <v>3</v>
      </c>
      <c r="AN45" s="15">
        <v>5</v>
      </c>
      <c r="AO45" s="15">
        <v>2</v>
      </c>
      <c r="AP45" s="15">
        <v>2</v>
      </c>
      <c r="AQ45" s="15">
        <v>11</v>
      </c>
      <c r="AR45" s="15">
        <v>6</v>
      </c>
      <c r="AS45" s="15">
        <v>4</v>
      </c>
      <c r="AT45" s="15">
        <v>11</v>
      </c>
      <c r="AU45" s="15">
        <v>10</v>
      </c>
      <c r="AV45" s="15">
        <v>9</v>
      </c>
      <c r="AW45" s="15">
        <v>7</v>
      </c>
      <c r="AX45" s="15">
        <v>0</v>
      </c>
      <c r="AY45" s="15">
        <v>6</v>
      </c>
      <c r="AZ45" s="15">
        <v>5</v>
      </c>
      <c r="BA45" s="15">
        <v>8</v>
      </c>
      <c r="BB45" s="15">
        <v>8</v>
      </c>
      <c r="BC45" s="15">
        <v>9</v>
      </c>
      <c r="BD45" s="15">
        <v>0</v>
      </c>
      <c r="BE45" s="15">
        <v>5</v>
      </c>
      <c r="BF45" s="15">
        <v>2</v>
      </c>
      <c r="BG45" s="15">
        <v>14</v>
      </c>
      <c r="BH45" s="15">
        <v>15</v>
      </c>
      <c r="BI45" s="15">
        <v>0</v>
      </c>
      <c r="BJ45" s="15">
        <v>7</v>
      </c>
      <c r="BK45" s="15">
        <v>4</v>
      </c>
      <c r="BL45" s="13">
        <f t="shared" ref="BL45:BL192" si="13">SUM(E45:BK45)</f>
        <v>374</v>
      </c>
    </row>
    <row r="46" spans="1:64" ht="12.75" customHeight="1" x14ac:dyDescent="0.3">
      <c r="A46" s="19" t="s">
        <v>39</v>
      </c>
      <c r="B46" s="27"/>
      <c r="C46" s="28" t="s">
        <v>40</v>
      </c>
      <c r="D46" s="29"/>
      <c r="E46" s="15">
        <v>10</v>
      </c>
      <c r="F46" s="15">
        <v>13</v>
      </c>
      <c r="G46" s="15">
        <v>17</v>
      </c>
      <c r="H46" s="15">
        <v>21</v>
      </c>
      <c r="I46" s="15">
        <v>25</v>
      </c>
      <c r="J46" s="15">
        <v>8</v>
      </c>
      <c r="K46" s="15">
        <v>17</v>
      </c>
      <c r="L46" s="15">
        <v>8</v>
      </c>
      <c r="M46" s="15">
        <v>15</v>
      </c>
      <c r="N46" s="15">
        <v>17</v>
      </c>
      <c r="O46" s="15">
        <v>25</v>
      </c>
      <c r="P46" s="15">
        <v>25</v>
      </c>
      <c r="Q46" s="15">
        <v>16</v>
      </c>
      <c r="R46" s="15">
        <v>9</v>
      </c>
      <c r="S46" s="15">
        <v>11</v>
      </c>
      <c r="T46" s="15">
        <v>13</v>
      </c>
      <c r="U46" s="15">
        <v>9</v>
      </c>
      <c r="V46" s="15">
        <v>35</v>
      </c>
      <c r="W46" s="15">
        <v>38</v>
      </c>
      <c r="X46" s="15">
        <v>29</v>
      </c>
      <c r="Y46" s="15">
        <v>34</v>
      </c>
      <c r="Z46" s="15">
        <v>37</v>
      </c>
      <c r="AA46" s="15">
        <v>20</v>
      </c>
      <c r="AB46" s="15">
        <v>7</v>
      </c>
      <c r="AC46" s="15">
        <v>26</v>
      </c>
      <c r="AD46" s="15">
        <v>12</v>
      </c>
      <c r="AE46" s="15">
        <v>5</v>
      </c>
      <c r="AF46" s="15">
        <v>3</v>
      </c>
      <c r="AG46" s="15">
        <v>1</v>
      </c>
      <c r="AH46" s="15">
        <v>16</v>
      </c>
      <c r="AI46" s="15">
        <v>11</v>
      </c>
      <c r="AJ46" s="15">
        <v>1</v>
      </c>
      <c r="AK46" s="15">
        <v>0</v>
      </c>
      <c r="AL46" s="15">
        <v>12</v>
      </c>
      <c r="AM46" s="15">
        <v>8</v>
      </c>
      <c r="AN46" s="15">
        <v>6</v>
      </c>
      <c r="AO46" s="15">
        <v>10</v>
      </c>
      <c r="AP46" s="15">
        <v>0</v>
      </c>
      <c r="AQ46" s="15">
        <v>12</v>
      </c>
      <c r="AR46" s="15">
        <v>4</v>
      </c>
      <c r="AS46" s="15">
        <v>0</v>
      </c>
      <c r="AT46" s="15">
        <v>5</v>
      </c>
      <c r="AU46" s="15">
        <v>19</v>
      </c>
      <c r="AV46" s="15">
        <v>17</v>
      </c>
      <c r="AW46" s="15">
        <v>7</v>
      </c>
      <c r="AX46" s="15">
        <v>4</v>
      </c>
      <c r="AY46" s="15">
        <v>11</v>
      </c>
      <c r="AZ46" s="15">
        <v>9</v>
      </c>
      <c r="BA46" s="15">
        <v>9</v>
      </c>
      <c r="BB46" s="15">
        <v>15</v>
      </c>
      <c r="BC46" s="15">
        <v>7</v>
      </c>
      <c r="BD46" s="15">
        <v>8</v>
      </c>
      <c r="BE46" s="15">
        <v>3</v>
      </c>
      <c r="BF46" s="15">
        <v>9</v>
      </c>
      <c r="BG46" s="15">
        <v>36</v>
      </c>
      <c r="BH46" s="15">
        <v>63</v>
      </c>
      <c r="BI46" s="15">
        <v>2</v>
      </c>
      <c r="BJ46" s="15">
        <v>1</v>
      </c>
      <c r="BK46" s="15">
        <v>3</v>
      </c>
      <c r="BL46" s="13">
        <f t="shared" si="13"/>
        <v>814</v>
      </c>
    </row>
    <row r="47" spans="1:64" ht="12.75" customHeight="1" x14ac:dyDescent="0.3">
      <c r="A47" s="14"/>
      <c r="B47" s="27"/>
      <c r="C47" s="28" t="s">
        <v>41</v>
      </c>
      <c r="D47" s="29"/>
      <c r="E47" s="15">
        <v>2</v>
      </c>
      <c r="F47" s="15">
        <v>0</v>
      </c>
      <c r="G47" s="15">
        <v>1</v>
      </c>
      <c r="H47" s="15">
        <v>0</v>
      </c>
      <c r="I47" s="15">
        <v>5</v>
      </c>
      <c r="J47" s="15">
        <v>3</v>
      </c>
      <c r="K47" s="15">
        <v>4</v>
      </c>
      <c r="L47" s="15">
        <v>3</v>
      </c>
      <c r="M47" s="15">
        <v>0</v>
      </c>
      <c r="N47" s="15">
        <v>2</v>
      </c>
      <c r="O47" s="15">
        <v>2</v>
      </c>
      <c r="P47" s="15">
        <v>2</v>
      </c>
      <c r="Q47" s="15">
        <v>1</v>
      </c>
      <c r="R47" s="15">
        <v>0</v>
      </c>
      <c r="S47" s="15">
        <v>0</v>
      </c>
      <c r="T47" s="15">
        <v>1</v>
      </c>
      <c r="U47" s="15">
        <v>5</v>
      </c>
      <c r="V47" s="15">
        <v>0</v>
      </c>
      <c r="W47" s="15">
        <v>1</v>
      </c>
      <c r="X47" s="15">
        <v>0</v>
      </c>
      <c r="Y47" s="15">
        <v>4</v>
      </c>
      <c r="Z47" s="15">
        <v>1</v>
      </c>
      <c r="AA47" s="15">
        <v>4</v>
      </c>
      <c r="AB47" s="15">
        <v>0</v>
      </c>
      <c r="AC47" s="15">
        <v>8</v>
      </c>
      <c r="AD47" s="15">
        <v>3</v>
      </c>
      <c r="AE47" s="15">
        <v>1</v>
      </c>
      <c r="AF47" s="15">
        <v>0</v>
      </c>
      <c r="AG47" s="15">
        <v>2</v>
      </c>
      <c r="AH47" s="15">
        <v>3</v>
      </c>
      <c r="AI47" s="15">
        <v>0</v>
      </c>
      <c r="AJ47" s="15">
        <v>4</v>
      </c>
      <c r="AK47" s="15">
        <v>1</v>
      </c>
      <c r="AL47" s="15">
        <v>5</v>
      </c>
      <c r="AM47" s="15">
        <v>6</v>
      </c>
      <c r="AN47" s="15">
        <v>6</v>
      </c>
      <c r="AO47" s="15">
        <v>2</v>
      </c>
      <c r="AP47" s="15">
        <v>1</v>
      </c>
      <c r="AQ47" s="15">
        <v>3</v>
      </c>
      <c r="AR47" s="15">
        <v>0</v>
      </c>
      <c r="AS47" s="15">
        <v>0</v>
      </c>
      <c r="AT47" s="15">
        <v>3</v>
      </c>
      <c r="AU47" s="15">
        <v>3</v>
      </c>
      <c r="AV47" s="15">
        <v>3</v>
      </c>
      <c r="AW47" s="15">
        <v>0</v>
      </c>
      <c r="AX47" s="15">
        <v>1</v>
      </c>
      <c r="AY47" s="15">
        <v>0</v>
      </c>
      <c r="AZ47" s="15">
        <v>0</v>
      </c>
      <c r="BA47" s="15">
        <v>4</v>
      </c>
      <c r="BB47" s="15">
        <v>5</v>
      </c>
      <c r="BC47" s="15">
        <v>1</v>
      </c>
      <c r="BD47" s="15">
        <v>0</v>
      </c>
      <c r="BE47" s="15">
        <v>0</v>
      </c>
      <c r="BF47" s="15">
        <v>4</v>
      </c>
      <c r="BG47" s="15">
        <v>0</v>
      </c>
      <c r="BH47" s="15">
        <v>3</v>
      </c>
      <c r="BI47" s="15">
        <v>2</v>
      </c>
      <c r="BJ47" s="15">
        <v>0</v>
      </c>
      <c r="BK47" s="15">
        <v>4</v>
      </c>
      <c r="BL47" s="13">
        <f t="shared" si="13"/>
        <v>119</v>
      </c>
    </row>
    <row r="48" spans="1:64" ht="12.75" customHeight="1" x14ac:dyDescent="0.3">
      <c r="A48" s="14"/>
      <c r="B48" s="27"/>
      <c r="C48" s="28" t="s">
        <v>42</v>
      </c>
      <c r="D48" s="29"/>
      <c r="E48" s="15">
        <v>7</v>
      </c>
      <c r="F48" s="15">
        <v>14</v>
      </c>
      <c r="G48" s="15">
        <v>3</v>
      </c>
      <c r="H48" s="15">
        <v>18</v>
      </c>
      <c r="I48" s="15">
        <v>9</v>
      </c>
      <c r="J48" s="15">
        <v>1</v>
      </c>
      <c r="K48" s="15">
        <v>7</v>
      </c>
      <c r="L48" s="15">
        <v>22</v>
      </c>
      <c r="M48" s="15">
        <v>15</v>
      </c>
      <c r="N48" s="15">
        <v>8</v>
      </c>
      <c r="O48" s="15">
        <v>12</v>
      </c>
      <c r="P48" s="15">
        <v>11</v>
      </c>
      <c r="Q48" s="15">
        <v>3</v>
      </c>
      <c r="R48" s="15">
        <v>11</v>
      </c>
      <c r="S48" s="15">
        <v>12</v>
      </c>
      <c r="T48" s="15">
        <v>13</v>
      </c>
      <c r="U48" s="15">
        <v>19</v>
      </c>
      <c r="V48" s="15">
        <v>18</v>
      </c>
      <c r="W48" s="15">
        <v>18</v>
      </c>
      <c r="X48" s="15">
        <v>28</v>
      </c>
      <c r="Y48" s="15">
        <v>17</v>
      </c>
      <c r="Z48" s="15">
        <v>24</v>
      </c>
      <c r="AA48" s="15">
        <v>38</v>
      </c>
      <c r="AB48" s="15">
        <v>50</v>
      </c>
      <c r="AC48" s="15">
        <v>30</v>
      </c>
      <c r="AD48" s="15">
        <v>12</v>
      </c>
      <c r="AE48" s="15">
        <v>13</v>
      </c>
      <c r="AF48" s="15">
        <v>0</v>
      </c>
      <c r="AG48" s="15">
        <v>8</v>
      </c>
      <c r="AH48" s="15">
        <v>0</v>
      </c>
      <c r="AI48" s="15">
        <v>3</v>
      </c>
      <c r="AJ48" s="15">
        <v>2</v>
      </c>
      <c r="AK48" s="15">
        <v>6</v>
      </c>
      <c r="AL48" s="15">
        <v>11</v>
      </c>
      <c r="AM48" s="15">
        <v>3</v>
      </c>
      <c r="AN48" s="15">
        <v>3</v>
      </c>
      <c r="AO48" s="15">
        <v>21</v>
      </c>
      <c r="AP48" s="15">
        <v>5</v>
      </c>
      <c r="AQ48" s="15">
        <v>13</v>
      </c>
      <c r="AR48" s="15">
        <v>19</v>
      </c>
      <c r="AS48" s="15">
        <v>4</v>
      </c>
      <c r="AT48" s="15">
        <v>6</v>
      </c>
      <c r="AU48" s="15">
        <v>8</v>
      </c>
      <c r="AV48" s="15">
        <v>6</v>
      </c>
      <c r="AW48" s="15">
        <v>8</v>
      </c>
      <c r="AX48" s="15">
        <v>5</v>
      </c>
      <c r="AY48" s="15">
        <v>23</v>
      </c>
      <c r="AZ48" s="15">
        <v>19</v>
      </c>
      <c r="BA48" s="15">
        <v>2</v>
      </c>
      <c r="BB48" s="15">
        <v>3</v>
      </c>
      <c r="BC48" s="15">
        <v>1</v>
      </c>
      <c r="BD48" s="15">
        <v>2</v>
      </c>
      <c r="BE48" s="15">
        <v>5</v>
      </c>
      <c r="BF48" s="15">
        <v>1</v>
      </c>
      <c r="BG48" s="15">
        <v>2</v>
      </c>
      <c r="BH48" s="15">
        <v>4</v>
      </c>
      <c r="BI48" s="15">
        <v>4</v>
      </c>
      <c r="BJ48" s="15">
        <v>0</v>
      </c>
      <c r="BK48" s="15">
        <v>7</v>
      </c>
      <c r="BL48" s="13">
        <f t="shared" si="13"/>
        <v>637</v>
      </c>
    </row>
    <row r="49" spans="1:64" ht="12.75" customHeight="1" x14ac:dyDescent="0.3">
      <c r="A49" s="14"/>
      <c r="B49" s="27"/>
      <c r="C49" s="28" t="s">
        <v>43</v>
      </c>
      <c r="D49" s="29"/>
      <c r="E49" s="15">
        <v>2</v>
      </c>
      <c r="F49" s="15">
        <v>1</v>
      </c>
      <c r="G49" s="15">
        <v>2</v>
      </c>
      <c r="H49" s="15">
        <v>0</v>
      </c>
      <c r="I49" s="15">
        <v>1</v>
      </c>
      <c r="J49" s="15">
        <v>1</v>
      </c>
      <c r="K49" s="15">
        <v>2</v>
      </c>
      <c r="L49" s="15">
        <v>2</v>
      </c>
      <c r="M49" s="15">
        <v>1</v>
      </c>
      <c r="N49" s="15">
        <v>0</v>
      </c>
      <c r="O49" s="15">
        <v>2</v>
      </c>
      <c r="P49" s="15">
        <v>2</v>
      </c>
      <c r="Q49" s="15">
        <v>0</v>
      </c>
      <c r="R49" s="15">
        <v>2</v>
      </c>
      <c r="S49" s="15">
        <v>0</v>
      </c>
      <c r="T49" s="15">
        <v>1</v>
      </c>
      <c r="U49" s="15">
        <v>1</v>
      </c>
      <c r="V49" s="15">
        <v>1</v>
      </c>
      <c r="W49" s="15">
        <v>3</v>
      </c>
      <c r="X49" s="15">
        <v>1</v>
      </c>
      <c r="Y49" s="15">
        <v>0</v>
      </c>
      <c r="Z49" s="15">
        <v>1</v>
      </c>
      <c r="AA49" s="15">
        <v>2</v>
      </c>
      <c r="AB49" s="15">
        <v>2</v>
      </c>
      <c r="AC49" s="15">
        <v>2</v>
      </c>
      <c r="AD49" s="15">
        <v>0</v>
      </c>
      <c r="AE49" s="15">
        <v>4</v>
      </c>
      <c r="AF49" s="15">
        <v>1</v>
      </c>
      <c r="AG49" s="15">
        <v>1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5</v>
      </c>
      <c r="AN49" s="15">
        <v>1</v>
      </c>
      <c r="AO49" s="15">
        <v>2</v>
      </c>
      <c r="AP49" s="15">
        <v>0</v>
      </c>
      <c r="AQ49" s="15">
        <v>2</v>
      </c>
      <c r="AR49" s="15">
        <v>0</v>
      </c>
      <c r="AS49" s="15">
        <v>1</v>
      </c>
      <c r="AT49" s="15">
        <v>1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1</v>
      </c>
      <c r="BB49" s="15">
        <v>0</v>
      </c>
      <c r="BC49" s="15">
        <v>1</v>
      </c>
      <c r="BD49" s="15">
        <v>0</v>
      </c>
      <c r="BE49" s="15">
        <v>3</v>
      </c>
      <c r="BF49" s="15">
        <v>1</v>
      </c>
      <c r="BG49" s="15">
        <v>0</v>
      </c>
      <c r="BH49" s="15">
        <v>0</v>
      </c>
      <c r="BI49" s="15">
        <v>0</v>
      </c>
      <c r="BJ49" s="15">
        <v>0</v>
      </c>
      <c r="BK49" s="15">
        <v>1</v>
      </c>
      <c r="BL49" s="13">
        <f t="shared" si="13"/>
        <v>57</v>
      </c>
    </row>
    <row r="50" spans="1:64" ht="12.75" customHeight="1" x14ac:dyDescent="0.3">
      <c r="A50" s="14"/>
      <c r="B50" s="27"/>
      <c r="C50" s="28" t="s">
        <v>44</v>
      </c>
      <c r="D50" s="29"/>
      <c r="E50" s="15">
        <v>1</v>
      </c>
      <c r="F50" s="15">
        <v>0</v>
      </c>
      <c r="G50" s="15">
        <v>1</v>
      </c>
      <c r="H50" s="15">
        <v>1</v>
      </c>
      <c r="I50" s="15">
        <v>0</v>
      </c>
      <c r="J50" s="15">
        <v>0</v>
      </c>
      <c r="K50" s="15">
        <v>0</v>
      </c>
      <c r="L50" s="15">
        <v>1</v>
      </c>
      <c r="M50" s="15">
        <v>0</v>
      </c>
      <c r="N50" s="15">
        <v>0</v>
      </c>
      <c r="O50" s="15">
        <v>1</v>
      </c>
      <c r="P50" s="15">
        <v>0</v>
      </c>
      <c r="Q50" s="15">
        <v>1</v>
      </c>
      <c r="R50" s="15">
        <v>0</v>
      </c>
      <c r="S50" s="15">
        <v>0</v>
      </c>
      <c r="T50" s="15">
        <v>1</v>
      </c>
      <c r="U50" s="15">
        <v>0</v>
      </c>
      <c r="V50" s="15">
        <v>1</v>
      </c>
      <c r="W50" s="15">
        <v>3</v>
      </c>
      <c r="X50" s="15">
        <v>4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1</v>
      </c>
      <c r="AE50" s="15">
        <v>0</v>
      </c>
      <c r="AF50" s="15">
        <v>0</v>
      </c>
      <c r="AG50" s="15">
        <v>0</v>
      </c>
      <c r="AH50" s="15">
        <v>1</v>
      </c>
      <c r="AI50" s="15">
        <v>0</v>
      </c>
      <c r="AJ50" s="15">
        <v>0</v>
      </c>
      <c r="AK50" s="15">
        <v>0</v>
      </c>
      <c r="AL50" s="15">
        <v>1</v>
      </c>
      <c r="AM50" s="15">
        <v>0</v>
      </c>
      <c r="AN50" s="15">
        <v>1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1</v>
      </c>
      <c r="AW50" s="15">
        <v>1</v>
      </c>
      <c r="AX50" s="15">
        <v>2</v>
      </c>
      <c r="AY50" s="15">
        <v>0</v>
      </c>
      <c r="AZ50" s="15">
        <v>1</v>
      </c>
      <c r="BA50" s="15">
        <v>0</v>
      </c>
      <c r="BB50" s="15">
        <v>1</v>
      </c>
      <c r="BC50" s="15">
        <v>0</v>
      </c>
      <c r="BD50" s="15">
        <v>2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3">
        <f t="shared" si="13"/>
        <v>27</v>
      </c>
    </row>
    <row r="51" spans="1:64" ht="12.75" customHeight="1" x14ac:dyDescent="0.3">
      <c r="A51" s="14"/>
      <c r="B51" s="27"/>
      <c r="C51" s="28" t="s">
        <v>45</v>
      </c>
      <c r="D51" s="29"/>
      <c r="E51" s="15">
        <v>2</v>
      </c>
      <c r="F51" s="15">
        <v>0</v>
      </c>
      <c r="G51" s="15">
        <v>1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2</v>
      </c>
      <c r="Q51" s="15">
        <v>1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2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1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3">
        <f t="shared" si="13"/>
        <v>9</v>
      </c>
    </row>
    <row r="52" spans="1:64" ht="12.75" customHeight="1" x14ac:dyDescent="0.3">
      <c r="A52" s="14"/>
      <c r="B52" s="27"/>
      <c r="C52" s="28" t="s">
        <v>46</v>
      </c>
      <c r="D52" s="29"/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2</v>
      </c>
      <c r="N52" s="15">
        <v>0</v>
      </c>
      <c r="O52" s="15">
        <v>0</v>
      </c>
      <c r="P52" s="15">
        <v>1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1</v>
      </c>
      <c r="Y52" s="15">
        <v>0</v>
      </c>
      <c r="Z52" s="15">
        <v>0</v>
      </c>
      <c r="AA52" s="15">
        <v>1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1</v>
      </c>
      <c r="AN52" s="15">
        <v>0</v>
      </c>
      <c r="AO52" s="15">
        <v>0</v>
      </c>
      <c r="AP52" s="15">
        <v>0</v>
      </c>
      <c r="AQ52" s="15">
        <v>1</v>
      </c>
      <c r="AR52" s="15">
        <v>1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1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1</v>
      </c>
      <c r="BF52" s="15">
        <v>0</v>
      </c>
      <c r="BG52" s="15">
        <v>0</v>
      </c>
      <c r="BH52" s="15">
        <v>1</v>
      </c>
      <c r="BI52" s="15">
        <v>0</v>
      </c>
      <c r="BJ52" s="15">
        <v>0</v>
      </c>
      <c r="BK52" s="15">
        <v>0</v>
      </c>
      <c r="BL52" s="13">
        <f t="shared" si="13"/>
        <v>11</v>
      </c>
    </row>
    <row r="53" spans="1:64" ht="12.75" customHeight="1" x14ac:dyDescent="0.3">
      <c r="A53" s="15" t="s">
        <v>15</v>
      </c>
      <c r="B53" s="45" t="s">
        <v>47</v>
      </c>
      <c r="C53" s="46"/>
      <c r="D53" s="47"/>
      <c r="E53" s="34">
        <f t="shared" ref="E53:BK53" si="14">SUM(E45:E52)</f>
        <v>28</v>
      </c>
      <c r="F53" s="34">
        <f t="shared" si="14"/>
        <v>35</v>
      </c>
      <c r="G53" s="34">
        <f t="shared" si="14"/>
        <v>27</v>
      </c>
      <c r="H53" s="34">
        <f t="shared" si="14"/>
        <v>43</v>
      </c>
      <c r="I53" s="34">
        <f t="shared" si="14"/>
        <v>44</v>
      </c>
      <c r="J53" s="34">
        <f t="shared" si="14"/>
        <v>23</v>
      </c>
      <c r="K53" s="34">
        <f t="shared" si="14"/>
        <v>40</v>
      </c>
      <c r="L53" s="34">
        <f t="shared" si="14"/>
        <v>43</v>
      </c>
      <c r="M53" s="34">
        <f t="shared" si="14"/>
        <v>40</v>
      </c>
      <c r="N53" s="34">
        <f t="shared" si="14"/>
        <v>40</v>
      </c>
      <c r="O53" s="34">
        <f t="shared" si="14"/>
        <v>49</v>
      </c>
      <c r="P53" s="34">
        <f t="shared" si="14"/>
        <v>56</v>
      </c>
      <c r="Q53" s="34">
        <f t="shared" si="14"/>
        <v>24</v>
      </c>
      <c r="R53" s="34">
        <f t="shared" si="14"/>
        <v>31</v>
      </c>
      <c r="S53" s="34">
        <f t="shared" si="14"/>
        <v>25</v>
      </c>
      <c r="T53" s="34">
        <f t="shared" si="14"/>
        <v>31</v>
      </c>
      <c r="U53" s="34">
        <f t="shared" si="14"/>
        <v>39</v>
      </c>
      <c r="V53" s="34">
        <f t="shared" si="14"/>
        <v>61</v>
      </c>
      <c r="W53" s="34">
        <f t="shared" si="14"/>
        <v>72</v>
      </c>
      <c r="X53" s="34">
        <f t="shared" si="14"/>
        <v>76</v>
      </c>
      <c r="Y53" s="34">
        <f t="shared" si="14"/>
        <v>65</v>
      </c>
      <c r="Z53" s="34">
        <f t="shared" si="14"/>
        <v>76</v>
      </c>
      <c r="AA53" s="34">
        <f t="shared" si="14"/>
        <v>75</v>
      </c>
      <c r="AB53" s="34">
        <f t="shared" si="14"/>
        <v>70</v>
      </c>
      <c r="AC53" s="34">
        <f t="shared" si="14"/>
        <v>73</v>
      </c>
      <c r="AD53" s="34">
        <f t="shared" si="14"/>
        <v>33</v>
      </c>
      <c r="AE53" s="34">
        <f t="shared" si="14"/>
        <v>25</v>
      </c>
      <c r="AF53" s="34">
        <f t="shared" si="14"/>
        <v>6</v>
      </c>
      <c r="AG53" s="34">
        <f t="shared" si="14"/>
        <v>17</v>
      </c>
      <c r="AH53" s="34">
        <f t="shared" si="14"/>
        <v>23</v>
      </c>
      <c r="AI53" s="34">
        <f t="shared" si="14"/>
        <v>18</v>
      </c>
      <c r="AJ53" s="34">
        <f t="shared" si="14"/>
        <v>9</v>
      </c>
      <c r="AK53" s="34">
        <f t="shared" si="14"/>
        <v>11</v>
      </c>
      <c r="AL53" s="34">
        <f t="shared" si="14"/>
        <v>37</v>
      </c>
      <c r="AM53" s="34">
        <f t="shared" si="14"/>
        <v>26</v>
      </c>
      <c r="AN53" s="34">
        <f t="shared" si="14"/>
        <v>22</v>
      </c>
      <c r="AO53" s="34">
        <f t="shared" si="14"/>
        <v>37</v>
      </c>
      <c r="AP53" s="34">
        <f t="shared" si="14"/>
        <v>8</v>
      </c>
      <c r="AQ53" s="34">
        <f t="shared" si="14"/>
        <v>42</v>
      </c>
      <c r="AR53" s="34">
        <f t="shared" si="14"/>
        <v>30</v>
      </c>
      <c r="AS53" s="34">
        <f t="shared" si="14"/>
        <v>11</v>
      </c>
      <c r="AT53" s="34">
        <f t="shared" si="14"/>
        <v>26</v>
      </c>
      <c r="AU53" s="34">
        <f t="shared" si="14"/>
        <v>40</v>
      </c>
      <c r="AV53" s="34">
        <f t="shared" si="14"/>
        <v>36</v>
      </c>
      <c r="AW53" s="34">
        <f t="shared" si="14"/>
        <v>23</v>
      </c>
      <c r="AX53" s="34">
        <f t="shared" si="14"/>
        <v>12</v>
      </c>
      <c r="AY53" s="34">
        <f t="shared" si="14"/>
        <v>41</v>
      </c>
      <c r="AZ53" s="34">
        <f t="shared" si="14"/>
        <v>34</v>
      </c>
      <c r="BA53" s="34">
        <f t="shared" si="14"/>
        <v>24</v>
      </c>
      <c r="BB53" s="34">
        <f t="shared" si="14"/>
        <v>33</v>
      </c>
      <c r="BC53" s="34">
        <f t="shared" si="14"/>
        <v>19</v>
      </c>
      <c r="BD53" s="34">
        <f t="shared" si="14"/>
        <v>12</v>
      </c>
      <c r="BE53" s="34">
        <f t="shared" si="14"/>
        <v>17</v>
      </c>
      <c r="BF53" s="34">
        <f t="shared" si="14"/>
        <v>17</v>
      </c>
      <c r="BG53" s="34">
        <f t="shared" si="14"/>
        <v>52</v>
      </c>
      <c r="BH53" s="34">
        <f t="shared" si="14"/>
        <v>86</v>
      </c>
      <c r="BI53" s="34">
        <f t="shared" si="14"/>
        <v>8</v>
      </c>
      <c r="BJ53" s="34">
        <f t="shared" si="14"/>
        <v>8</v>
      </c>
      <c r="BK53" s="34">
        <f t="shared" si="14"/>
        <v>19</v>
      </c>
      <c r="BL53" s="13">
        <f t="shared" si="13"/>
        <v>2048</v>
      </c>
    </row>
    <row r="54" spans="1:64" ht="12.75" customHeight="1" x14ac:dyDescent="0.3">
      <c r="A54" s="35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13">
        <f t="shared" si="13"/>
        <v>0</v>
      </c>
    </row>
    <row r="55" spans="1:64" ht="15" customHeight="1" x14ac:dyDescent="0.3">
      <c r="A55" s="19" t="s">
        <v>37</v>
      </c>
      <c r="B55" s="26" t="s">
        <v>19</v>
      </c>
      <c r="C55" s="48" t="s">
        <v>48</v>
      </c>
      <c r="D55" s="47"/>
      <c r="E55" s="15">
        <v>12</v>
      </c>
      <c r="F55" s="15">
        <v>6</v>
      </c>
      <c r="G55" s="15">
        <v>3</v>
      </c>
      <c r="H55" s="15">
        <v>6</v>
      </c>
      <c r="I55" s="15">
        <v>4</v>
      </c>
      <c r="J55" s="15">
        <v>16</v>
      </c>
      <c r="K55" s="15">
        <v>11</v>
      </c>
      <c r="L55" s="15">
        <v>8</v>
      </c>
      <c r="M55" s="15">
        <v>7</v>
      </c>
      <c r="N55" s="15">
        <v>4</v>
      </c>
      <c r="O55" s="15">
        <v>7</v>
      </c>
      <c r="P55" s="15">
        <v>4</v>
      </c>
      <c r="Q55" s="15">
        <v>4</v>
      </c>
      <c r="R55" s="15">
        <v>11</v>
      </c>
      <c r="S55" s="15">
        <v>5</v>
      </c>
      <c r="T55" s="15">
        <v>11</v>
      </c>
      <c r="U55" s="15">
        <v>6</v>
      </c>
      <c r="V55" s="15">
        <v>4</v>
      </c>
      <c r="W55" s="15">
        <v>3</v>
      </c>
      <c r="X55" s="15">
        <v>2</v>
      </c>
      <c r="Y55" s="15">
        <v>1</v>
      </c>
      <c r="Z55" s="15">
        <v>3</v>
      </c>
      <c r="AA55" s="15">
        <v>3</v>
      </c>
      <c r="AB55" s="15">
        <v>5</v>
      </c>
      <c r="AC55" s="15">
        <v>6</v>
      </c>
      <c r="AD55" s="15">
        <v>8</v>
      </c>
      <c r="AE55" s="15">
        <v>1</v>
      </c>
      <c r="AF55" s="15">
        <v>1</v>
      </c>
      <c r="AG55" s="15">
        <v>3</v>
      </c>
      <c r="AH55" s="15">
        <v>5</v>
      </c>
      <c r="AI55" s="15">
        <v>3</v>
      </c>
      <c r="AJ55" s="15">
        <v>1</v>
      </c>
      <c r="AK55" s="15">
        <v>5</v>
      </c>
      <c r="AL55" s="15">
        <v>6</v>
      </c>
      <c r="AM55" s="15">
        <v>4</v>
      </c>
      <c r="AN55" s="15">
        <v>3</v>
      </c>
      <c r="AO55" s="15">
        <v>5</v>
      </c>
      <c r="AP55" s="15">
        <v>5</v>
      </c>
      <c r="AQ55" s="15">
        <v>6</v>
      </c>
      <c r="AR55" s="15">
        <v>7</v>
      </c>
      <c r="AS55" s="15">
        <v>3</v>
      </c>
      <c r="AT55" s="15">
        <v>4</v>
      </c>
      <c r="AU55" s="15">
        <v>5</v>
      </c>
      <c r="AV55" s="15">
        <v>7</v>
      </c>
      <c r="AW55" s="15">
        <v>9</v>
      </c>
      <c r="AX55" s="15">
        <v>15</v>
      </c>
      <c r="AY55" s="15">
        <v>7</v>
      </c>
      <c r="AZ55" s="15">
        <v>10</v>
      </c>
      <c r="BA55" s="15">
        <v>10</v>
      </c>
      <c r="BB55" s="15">
        <v>7</v>
      </c>
      <c r="BC55" s="15">
        <v>7</v>
      </c>
      <c r="BD55" s="15">
        <v>11</v>
      </c>
      <c r="BE55" s="15">
        <v>13</v>
      </c>
      <c r="BF55" s="15">
        <v>5</v>
      </c>
      <c r="BG55" s="15">
        <v>17</v>
      </c>
      <c r="BH55" s="15">
        <v>6</v>
      </c>
      <c r="BI55" s="15">
        <v>4</v>
      </c>
      <c r="BJ55" s="15">
        <v>7</v>
      </c>
      <c r="BK55" s="15">
        <v>6</v>
      </c>
      <c r="BL55" s="13">
        <f t="shared" si="13"/>
        <v>368</v>
      </c>
    </row>
    <row r="56" spans="1:64" ht="12.75" customHeight="1" x14ac:dyDescent="0.3">
      <c r="A56" s="19" t="s">
        <v>39</v>
      </c>
      <c r="B56" s="27"/>
      <c r="C56" s="28" t="s">
        <v>49</v>
      </c>
      <c r="D56" s="29"/>
      <c r="E56" s="15">
        <v>3</v>
      </c>
      <c r="F56" s="15">
        <v>4</v>
      </c>
      <c r="G56" s="15">
        <v>2</v>
      </c>
      <c r="H56" s="15">
        <v>4</v>
      </c>
      <c r="I56" s="15">
        <v>2</v>
      </c>
      <c r="J56" s="15">
        <v>2</v>
      </c>
      <c r="K56" s="15">
        <v>2</v>
      </c>
      <c r="L56" s="15">
        <v>3</v>
      </c>
      <c r="M56" s="15">
        <v>1</v>
      </c>
      <c r="N56" s="15">
        <v>6</v>
      </c>
      <c r="O56" s="15">
        <v>5</v>
      </c>
      <c r="P56" s="15">
        <v>2</v>
      </c>
      <c r="Q56" s="15">
        <v>2</v>
      </c>
      <c r="R56" s="15">
        <v>1</v>
      </c>
      <c r="S56" s="15">
        <v>4</v>
      </c>
      <c r="T56" s="15">
        <v>5</v>
      </c>
      <c r="U56" s="15">
        <v>1</v>
      </c>
      <c r="V56" s="15">
        <v>4</v>
      </c>
      <c r="W56" s="15">
        <v>2</v>
      </c>
      <c r="X56" s="15">
        <v>2</v>
      </c>
      <c r="Y56" s="15">
        <v>1</v>
      </c>
      <c r="Z56" s="15">
        <v>5</v>
      </c>
      <c r="AA56" s="15">
        <v>2</v>
      </c>
      <c r="AB56" s="15">
        <v>1</v>
      </c>
      <c r="AC56" s="15">
        <v>4</v>
      </c>
      <c r="AD56" s="15">
        <v>0</v>
      </c>
      <c r="AE56" s="15">
        <v>3</v>
      </c>
      <c r="AF56" s="15">
        <v>7</v>
      </c>
      <c r="AG56" s="15">
        <v>1</v>
      </c>
      <c r="AH56" s="15">
        <v>1</v>
      </c>
      <c r="AI56" s="15">
        <v>0</v>
      </c>
      <c r="AJ56" s="15">
        <v>4</v>
      </c>
      <c r="AK56" s="15">
        <v>2</v>
      </c>
      <c r="AL56" s="15">
        <v>4</v>
      </c>
      <c r="AM56" s="15">
        <v>3</v>
      </c>
      <c r="AN56" s="15">
        <v>0</v>
      </c>
      <c r="AO56" s="15">
        <v>5</v>
      </c>
      <c r="AP56" s="15">
        <v>5</v>
      </c>
      <c r="AQ56" s="15">
        <v>1</v>
      </c>
      <c r="AR56" s="15">
        <v>0</v>
      </c>
      <c r="AS56" s="15">
        <v>2</v>
      </c>
      <c r="AT56" s="15">
        <v>3</v>
      </c>
      <c r="AU56" s="15">
        <v>3</v>
      </c>
      <c r="AV56" s="15">
        <v>5</v>
      </c>
      <c r="AW56" s="15">
        <v>2</v>
      </c>
      <c r="AX56" s="15">
        <v>2</v>
      </c>
      <c r="AY56" s="15">
        <v>0</v>
      </c>
      <c r="AZ56" s="15">
        <v>7</v>
      </c>
      <c r="BA56" s="15">
        <v>1</v>
      </c>
      <c r="BB56" s="15">
        <v>5</v>
      </c>
      <c r="BC56" s="15">
        <v>4</v>
      </c>
      <c r="BD56" s="15">
        <v>0</v>
      </c>
      <c r="BE56" s="15">
        <v>5</v>
      </c>
      <c r="BF56" s="15">
        <v>2</v>
      </c>
      <c r="BG56" s="15">
        <v>3</v>
      </c>
      <c r="BH56" s="15">
        <v>3</v>
      </c>
      <c r="BI56" s="15">
        <v>4</v>
      </c>
      <c r="BJ56" s="15">
        <v>11</v>
      </c>
      <c r="BK56" s="15">
        <v>3</v>
      </c>
      <c r="BL56" s="13">
        <f t="shared" si="13"/>
        <v>171</v>
      </c>
    </row>
    <row r="57" spans="1:64" ht="12.75" customHeight="1" x14ac:dyDescent="0.3">
      <c r="A57" s="14"/>
      <c r="B57" s="27"/>
      <c r="C57" s="28" t="s">
        <v>50</v>
      </c>
      <c r="D57" s="29"/>
      <c r="E57" s="15">
        <v>1</v>
      </c>
      <c r="F57" s="15">
        <v>10</v>
      </c>
      <c r="G57" s="15">
        <v>6</v>
      </c>
      <c r="H57" s="15">
        <v>10</v>
      </c>
      <c r="I57" s="15">
        <v>9</v>
      </c>
      <c r="J57" s="15">
        <v>4</v>
      </c>
      <c r="K57" s="15">
        <v>8</v>
      </c>
      <c r="L57" s="15">
        <v>5</v>
      </c>
      <c r="M57" s="15">
        <v>6</v>
      </c>
      <c r="N57" s="15">
        <v>3</v>
      </c>
      <c r="O57" s="15">
        <v>4</v>
      </c>
      <c r="P57" s="15">
        <v>0</v>
      </c>
      <c r="Q57" s="15">
        <v>3</v>
      </c>
      <c r="R57" s="15">
        <v>1</v>
      </c>
      <c r="S57" s="15">
        <v>4</v>
      </c>
      <c r="T57" s="15">
        <v>4</v>
      </c>
      <c r="U57" s="15">
        <v>5</v>
      </c>
      <c r="V57" s="15">
        <v>13</v>
      </c>
      <c r="W57" s="15">
        <v>13</v>
      </c>
      <c r="X57" s="15">
        <v>11</v>
      </c>
      <c r="Y57" s="15">
        <v>4</v>
      </c>
      <c r="Z57" s="15">
        <v>5</v>
      </c>
      <c r="AA57" s="15">
        <v>7</v>
      </c>
      <c r="AB57" s="15">
        <v>3</v>
      </c>
      <c r="AC57" s="15">
        <v>2</v>
      </c>
      <c r="AD57" s="15">
        <v>6</v>
      </c>
      <c r="AE57" s="15">
        <v>3</v>
      </c>
      <c r="AF57" s="15">
        <v>1</v>
      </c>
      <c r="AG57" s="15">
        <v>4</v>
      </c>
      <c r="AH57" s="15">
        <v>3</v>
      </c>
      <c r="AI57" s="15">
        <v>1</v>
      </c>
      <c r="AJ57" s="15">
        <v>1</v>
      </c>
      <c r="AK57" s="15">
        <v>4</v>
      </c>
      <c r="AL57" s="15">
        <v>3</v>
      </c>
      <c r="AM57" s="15">
        <v>3</v>
      </c>
      <c r="AN57" s="15">
        <v>8</v>
      </c>
      <c r="AO57" s="15">
        <v>8</v>
      </c>
      <c r="AP57" s="15">
        <v>0</v>
      </c>
      <c r="AQ57" s="15">
        <v>8</v>
      </c>
      <c r="AR57" s="15">
        <v>4</v>
      </c>
      <c r="AS57" s="15">
        <v>13</v>
      </c>
      <c r="AT57" s="15">
        <v>4</v>
      </c>
      <c r="AU57" s="15">
        <v>16</v>
      </c>
      <c r="AV57" s="15">
        <v>18</v>
      </c>
      <c r="AW57" s="15">
        <v>17</v>
      </c>
      <c r="AX57" s="15">
        <v>75</v>
      </c>
      <c r="AY57" s="15">
        <v>12</v>
      </c>
      <c r="AZ57" s="15">
        <v>3</v>
      </c>
      <c r="BA57" s="15">
        <v>16</v>
      </c>
      <c r="BB57" s="15">
        <v>4</v>
      </c>
      <c r="BC57" s="15">
        <v>5</v>
      </c>
      <c r="BD57" s="15">
        <v>4</v>
      </c>
      <c r="BE57" s="15">
        <v>5</v>
      </c>
      <c r="BF57" s="15">
        <v>13</v>
      </c>
      <c r="BG57" s="15">
        <v>3</v>
      </c>
      <c r="BH57" s="15">
        <v>10</v>
      </c>
      <c r="BI57" s="15">
        <v>8</v>
      </c>
      <c r="BJ57" s="15">
        <v>7</v>
      </c>
      <c r="BK57" s="15">
        <v>15</v>
      </c>
      <c r="BL57" s="13">
        <f t="shared" si="13"/>
        <v>446</v>
      </c>
    </row>
    <row r="58" spans="1:64" ht="12.75" customHeight="1" x14ac:dyDescent="0.3">
      <c r="A58" s="14"/>
      <c r="B58" s="27"/>
      <c r="C58" s="28" t="s">
        <v>51</v>
      </c>
      <c r="D58" s="29"/>
      <c r="E58" s="15">
        <v>1</v>
      </c>
      <c r="F58" s="15">
        <v>2</v>
      </c>
      <c r="G58" s="15">
        <v>0</v>
      </c>
      <c r="H58" s="15">
        <v>0</v>
      </c>
      <c r="I58" s="15">
        <v>2</v>
      </c>
      <c r="J58" s="15">
        <v>1</v>
      </c>
      <c r="K58" s="15">
        <v>0</v>
      </c>
      <c r="L58" s="15">
        <v>1</v>
      </c>
      <c r="M58" s="15">
        <v>2</v>
      </c>
      <c r="N58" s="15">
        <v>1</v>
      </c>
      <c r="O58" s="15">
        <v>0</v>
      </c>
      <c r="P58" s="15">
        <v>0</v>
      </c>
      <c r="Q58" s="15">
        <v>0</v>
      </c>
      <c r="R58" s="15">
        <v>1</v>
      </c>
      <c r="S58" s="15">
        <v>1</v>
      </c>
      <c r="T58" s="15">
        <v>0</v>
      </c>
      <c r="U58" s="15">
        <v>0</v>
      </c>
      <c r="V58" s="15">
        <v>2</v>
      </c>
      <c r="W58" s="15">
        <v>1</v>
      </c>
      <c r="X58" s="15">
        <v>1</v>
      </c>
      <c r="Y58" s="15">
        <v>1</v>
      </c>
      <c r="Z58" s="15">
        <v>0</v>
      </c>
      <c r="AA58" s="15">
        <v>0</v>
      </c>
      <c r="AB58" s="15">
        <v>1</v>
      </c>
      <c r="AC58" s="15">
        <v>0</v>
      </c>
      <c r="AD58" s="15">
        <v>0</v>
      </c>
      <c r="AE58" s="15">
        <v>0</v>
      </c>
      <c r="AF58" s="15">
        <v>1</v>
      </c>
      <c r="AG58" s="15">
        <v>0</v>
      </c>
      <c r="AH58" s="15">
        <v>0</v>
      </c>
      <c r="AI58" s="15">
        <v>2</v>
      </c>
      <c r="AJ58" s="15">
        <v>1</v>
      </c>
      <c r="AK58" s="15">
        <v>0</v>
      </c>
      <c r="AL58" s="15">
        <v>1</v>
      </c>
      <c r="AM58" s="15">
        <v>1</v>
      </c>
      <c r="AN58" s="15">
        <v>0</v>
      </c>
      <c r="AO58" s="15">
        <v>3</v>
      </c>
      <c r="AP58" s="15">
        <v>1</v>
      </c>
      <c r="AQ58" s="15">
        <v>1</v>
      </c>
      <c r="AR58" s="15">
        <v>2</v>
      </c>
      <c r="AS58" s="15">
        <v>0</v>
      </c>
      <c r="AT58" s="15">
        <v>2</v>
      </c>
      <c r="AU58" s="15">
        <v>0</v>
      </c>
      <c r="AV58" s="15">
        <v>0</v>
      </c>
      <c r="AW58" s="15">
        <v>5</v>
      </c>
      <c r="AX58" s="15">
        <v>1</v>
      </c>
      <c r="AY58" s="15">
        <v>0</v>
      </c>
      <c r="AZ58" s="15">
        <v>1</v>
      </c>
      <c r="BA58" s="15">
        <v>2</v>
      </c>
      <c r="BB58" s="15">
        <v>1</v>
      </c>
      <c r="BC58" s="15">
        <v>2</v>
      </c>
      <c r="BD58" s="15">
        <v>1</v>
      </c>
      <c r="BE58" s="15">
        <v>3</v>
      </c>
      <c r="BF58" s="15">
        <v>0</v>
      </c>
      <c r="BG58" s="15">
        <v>0</v>
      </c>
      <c r="BH58" s="15">
        <v>0</v>
      </c>
      <c r="BI58" s="15">
        <v>1</v>
      </c>
      <c r="BJ58" s="15">
        <v>0</v>
      </c>
      <c r="BK58" s="15">
        <v>1</v>
      </c>
      <c r="BL58" s="13">
        <f t="shared" si="13"/>
        <v>51</v>
      </c>
    </row>
    <row r="59" spans="1:64" ht="12.75" customHeight="1" x14ac:dyDescent="0.3">
      <c r="A59" s="14"/>
      <c r="B59" s="27"/>
      <c r="C59" s="28" t="s">
        <v>52</v>
      </c>
      <c r="D59" s="29"/>
      <c r="E59" s="15">
        <v>1</v>
      </c>
      <c r="F59" s="15">
        <v>3</v>
      </c>
      <c r="G59" s="15">
        <v>3</v>
      </c>
      <c r="H59" s="15">
        <v>7</v>
      </c>
      <c r="I59" s="15">
        <v>1</v>
      </c>
      <c r="J59" s="15">
        <v>18</v>
      </c>
      <c r="K59" s="15">
        <v>22</v>
      </c>
      <c r="L59" s="15">
        <v>3</v>
      </c>
      <c r="M59" s="15">
        <v>2</v>
      </c>
      <c r="N59" s="15">
        <v>0</v>
      </c>
      <c r="O59" s="15">
        <v>1</v>
      </c>
      <c r="P59" s="15">
        <v>0</v>
      </c>
      <c r="Q59" s="15">
        <v>3</v>
      </c>
      <c r="R59" s="15">
        <v>2</v>
      </c>
      <c r="S59" s="15">
        <v>10</v>
      </c>
      <c r="T59" s="15">
        <v>8</v>
      </c>
      <c r="U59" s="15">
        <v>5</v>
      </c>
      <c r="V59" s="15">
        <v>4</v>
      </c>
      <c r="W59" s="15">
        <v>2</v>
      </c>
      <c r="X59" s="15">
        <v>2</v>
      </c>
      <c r="Y59" s="15">
        <v>0</v>
      </c>
      <c r="Z59" s="15">
        <v>1</v>
      </c>
      <c r="AA59" s="15">
        <v>1</v>
      </c>
      <c r="AB59" s="15">
        <v>1</v>
      </c>
      <c r="AC59" s="15">
        <v>1</v>
      </c>
      <c r="AD59" s="15">
        <v>29</v>
      </c>
      <c r="AE59" s="15">
        <v>31</v>
      </c>
      <c r="AF59" s="15">
        <v>33</v>
      </c>
      <c r="AG59" s="15">
        <v>10</v>
      </c>
      <c r="AH59" s="15">
        <v>3</v>
      </c>
      <c r="AI59" s="15">
        <v>1</v>
      </c>
      <c r="AJ59" s="15">
        <v>4</v>
      </c>
      <c r="AK59" s="15">
        <v>4</v>
      </c>
      <c r="AL59" s="15">
        <v>1</v>
      </c>
      <c r="AM59" s="15">
        <v>6</v>
      </c>
      <c r="AN59" s="15">
        <v>13</v>
      </c>
      <c r="AO59" s="15">
        <v>13</v>
      </c>
      <c r="AP59" s="15">
        <v>13</v>
      </c>
      <c r="AQ59" s="15">
        <v>1</v>
      </c>
      <c r="AR59" s="15">
        <v>3</v>
      </c>
      <c r="AS59" s="15">
        <v>1</v>
      </c>
      <c r="AT59" s="15">
        <v>5</v>
      </c>
      <c r="AU59" s="15">
        <v>3</v>
      </c>
      <c r="AV59" s="15">
        <v>3</v>
      </c>
      <c r="AW59" s="15">
        <v>5</v>
      </c>
      <c r="AX59" s="15">
        <v>7</v>
      </c>
      <c r="AY59" s="15">
        <v>20</v>
      </c>
      <c r="AZ59" s="15">
        <v>15</v>
      </c>
      <c r="BA59" s="15">
        <v>5</v>
      </c>
      <c r="BB59" s="15">
        <v>3</v>
      </c>
      <c r="BC59" s="15">
        <v>4</v>
      </c>
      <c r="BD59" s="15">
        <v>1</v>
      </c>
      <c r="BE59" s="15">
        <v>2</v>
      </c>
      <c r="BF59" s="15">
        <v>0</v>
      </c>
      <c r="BG59" s="15">
        <v>2</v>
      </c>
      <c r="BH59" s="15">
        <v>9</v>
      </c>
      <c r="BI59" s="15">
        <v>1</v>
      </c>
      <c r="BJ59" s="15">
        <v>0</v>
      </c>
      <c r="BK59" s="15">
        <v>1</v>
      </c>
      <c r="BL59" s="13">
        <f t="shared" si="13"/>
        <v>353</v>
      </c>
    </row>
    <row r="60" spans="1:64" ht="12.75" customHeight="1" x14ac:dyDescent="0.3">
      <c r="A60" s="14"/>
      <c r="B60" s="27"/>
      <c r="C60" s="28" t="s">
        <v>53</v>
      </c>
      <c r="D60" s="29"/>
      <c r="E60" s="15">
        <v>7</v>
      </c>
      <c r="F60" s="15">
        <v>8</v>
      </c>
      <c r="G60" s="15">
        <v>2</v>
      </c>
      <c r="H60" s="15">
        <v>39</v>
      </c>
      <c r="I60" s="15">
        <v>12</v>
      </c>
      <c r="J60" s="15">
        <v>25</v>
      </c>
      <c r="K60" s="15">
        <v>19</v>
      </c>
      <c r="L60" s="15">
        <v>8</v>
      </c>
      <c r="M60" s="15">
        <v>2</v>
      </c>
      <c r="N60" s="15">
        <v>2</v>
      </c>
      <c r="O60" s="15">
        <v>6</v>
      </c>
      <c r="P60" s="15">
        <v>4</v>
      </c>
      <c r="Q60" s="15">
        <v>6</v>
      </c>
      <c r="R60" s="15">
        <v>9</v>
      </c>
      <c r="S60" s="15">
        <v>35</v>
      </c>
      <c r="T60" s="15">
        <v>18</v>
      </c>
      <c r="U60" s="15">
        <v>20</v>
      </c>
      <c r="V60" s="15">
        <v>24</v>
      </c>
      <c r="W60" s="15">
        <v>26</v>
      </c>
      <c r="X60" s="15">
        <v>5</v>
      </c>
      <c r="Y60" s="15">
        <v>0</v>
      </c>
      <c r="Z60" s="15">
        <v>9</v>
      </c>
      <c r="AA60" s="15">
        <v>0</v>
      </c>
      <c r="AB60" s="15">
        <v>4</v>
      </c>
      <c r="AC60" s="15">
        <v>4</v>
      </c>
      <c r="AD60" s="15">
        <v>5</v>
      </c>
      <c r="AE60" s="15">
        <v>0</v>
      </c>
      <c r="AF60" s="15">
        <v>0</v>
      </c>
      <c r="AG60" s="15">
        <v>7</v>
      </c>
      <c r="AH60" s="15">
        <v>3</v>
      </c>
      <c r="AI60" s="15">
        <v>1</v>
      </c>
      <c r="AJ60" s="15">
        <v>5</v>
      </c>
      <c r="AK60" s="15">
        <v>7</v>
      </c>
      <c r="AL60" s="15">
        <v>18</v>
      </c>
      <c r="AM60" s="15">
        <v>0</v>
      </c>
      <c r="AN60" s="15">
        <v>1</v>
      </c>
      <c r="AO60" s="15">
        <v>2</v>
      </c>
      <c r="AP60" s="15">
        <v>3</v>
      </c>
      <c r="AQ60" s="15">
        <v>1</v>
      </c>
      <c r="AR60" s="15">
        <v>2</v>
      </c>
      <c r="AS60" s="15">
        <v>3</v>
      </c>
      <c r="AT60" s="15">
        <v>0</v>
      </c>
      <c r="AU60" s="15">
        <v>0</v>
      </c>
      <c r="AV60" s="15">
        <v>0</v>
      </c>
      <c r="AW60" s="15">
        <v>1</v>
      </c>
      <c r="AX60" s="15">
        <v>0</v>
      </c>
      <c r="AY60" s="15">
        <v>1</v>
      </c>
      <c r="AZ60" s="15">
        <v>0</v>
      </c>
      <c r="BA60" s="15">
        <v>3</v>
      </c>
      <c r="BB60" s="15">
        <v>0</v>
      </c>
      <c r="BC60" s="15">
        <v>0</v>
      </c>
      <c r="BD60" s="15">
        <v>2</v>
      </c>
      <c r="BE60" s="15">
        <v>1</v>
      </c>
      <c r="BF60" s="15">
        <v>2</v>
      </c>
      <c r="BG60" s="15">
        <v>0</v>
      </c>
      <c r="BH60" s="15">
        <v>1</v>
      </c>
      <c r="BI60" s="15">
        <v>0</v>
      </c>
      <c r="BJ60" s="15">
        <v>7</v>
      </c>
      <c r="BK60" s="15">
        <v>1</v>
      </c>
      <c r="BL60" s="13">
        <f t="shared" si="13"/>
        <v>371</v>
      </c>
    </row>
    <row r="61" spans="1:64" ht="12.75" customHeight="1" x14ac:dyDescent="0.3">
      <c r="A61" s="14"/>
      <c r="B61" s="27"/>
      <c r="C61" s="28" t="s">
        <v>54</v>
      </c>
      <c r="D61" s="29"/>
      <c r="E61" s="15">
        <v>0</v>
      </c>
      <c r="F61" s="15">
        <v>0</v>
      </c>
      <c r="G61" s="15">
        <v>1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1</v>
      </c>
      <c r="Y61" s="15">
        <v>0</v>
      </c>
      <c r="Z61" s="15">
        <v>0</v>
      </c>
      <c r="AA61" s="15">
        <v>0</v>
      </c>
      <c r="AB61" s="15">
        <v>0</v>
      </c>
      <c r="AC61" s="15">
        <v>1</v>
      </c>
      <c r="AD61" s="15">
        <v>0</v>
      </c>
      <c r="AE61" s="15">
        <v>0</v>
      </c>
      <c r="AF61" s="15">
        <v>1</v>
      </c>
      <c r="AG61" s="15">
        <v>0</v>
      </c>
      <c r="AH61" s="15">
        <v>0</v>
      </c>
      <c r="AI61" s="15">
        <v>0</v>
      </c>
      <c r="AJ61" s="15">
        <v>1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1</v>
      </c>
      <c r="AT61" s="15">
        <v>0</v>
      </c>
      <c r="AU61" s="15">
        <v>1</v>
      </c>
      <c r="AV61" s="15">
        <v>1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1</v>
      </c>
      <c r="BE61" s="15">
        <v>1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1</v>
      </c>
      <c r="BL61" s="13">
        <f t="shared" si="13"/>
        <v>11</v>
      </c>
    </row>
    <row r="62" spans="1:64" ht="12.75" customHeight="1" x14ac:dyDescent="0.3">
      <c r="A62" s="14"/>
      <c r="B62" s="27"/>
      <c r="C62" s="28" t="s">
        <v>55</v>
      </c>
      <c r="D62" s="29"/>
      <c r="E62" s="15">
        <v>2</v>
      </c>
      <c r="F62" s="15">
        <v>14</v>
      </c>
      <c r="G62" s="15">
        <v>58</v>
      </c>
      <c r="H62" s="15">
        <v>10</v>
      </c>
      <c r="I62" s="15">
        <v>23</v>
      </c>
      <c r="J62" s="15">
        <v>34</v>
      </c>
      <c r="K62" s="15">
        <v>9</v>
      </c>
      <c r="L62" s="15">
        <v>21</v>
      </c>
      <c r="M62" s="15">
        <v>22</v>
      </c>
      <c r="N62" s="15">
        <v>18</v>
      </c>
      <c r="O62" s="15">
        <v>25</v>
      </c>
      <c r="P62" s="15">
        <v>36</v>
      </c>
      <c r="Q62" s="15">
        <v>76</v>
      </c>
      <c r="R62" s="15">
        <v>65</v>
      </c>
      <c r="S62" s="15">
        <v>13</v>
      </c>
      <c r="T62" s="15">
        <v>55</v>
      </c>
      <c r="U62" s="15">
        <v>30</v>
      </c>
      <c r="V62" s="15">
        <v>11</v>
      </c>
      <c r="W62" s="15">
        <v>21</v>
      </c>
      <c r="X62" s="15">
        <v>36</v>
      </c>
      <c r="Y62" s="15">
        <v>20</v>
      </c>
      <c r="Z62" s="15">
        <v>13</v>
      </c>
      <c r="AA62" s="15">
        <v>7</v>
      </c>
      <c r="AB62" s="15">
        <v>13</v>
      </c>
      <c r="AC62" s="15">
        <v>13</v>
      </c>
      <c r="AD62" s="15">
        <v>3</v>
      </c>
      <c r="AE62" s="15">
        <v>3</v>
      </c>
      <c r="AF62" s="15">
        <v>0</v>
      </c>
      <c r="AG62" s="15">
        <v>1</v>
      </c>
      <c r="AH62" s="15">
        <v>0</v>
      </c>
      <c r="AI62" s="15">
        <v>0</v>
      </c>
      <c r="AJ62" s="15">
        <v>1</v>
      </c>
      <c r="AK62" s="15">
        <v>12</v>
      </c>
      <c r="AL62" s="15">
        <v>2</v>
      </c>
      <c r="AM62" s="15">
        <v>8</v>
      </c>
      <c r="AN62" s="15">
        <v>0</v>
      </c>
      <c r="AO62" s="15">
        <v>4</v>
      </c>
      <c r="AP62" s="15">
        <v>4</v>
      </c>
      <c r="AQ62" s="15">
        <v>9</v>
      </c>
      <c r="AR62" s="15">
        <v>0</v>
      </c>
      <c r="AS62" s="15">
        <v>0</v>
      </c>
      <c r="AT62" s="15">
        <v>2</v>
      </c>
      <c r="AU62" s="15">
        <v>14</v>
      </c>
      <c r="AV62" s="15">
        <v>5</v>
      </c>
      <c r="AW62" s="15">
        <v>17</v>
      </c>
      <c r="AX62" s="15">
        <v>9</v>
      </c>
      <c r="AY62" s="15">
        <v>7</v>
      </c>
      <c r="AZ62" s="15">
        <v>1</v>
      </c>
      <c r="BA62" s="15">
        <v>3</v>
      </c>
      <c r="BB62" s="15">
        <v>0</v>
      </c>
      <c r="BC62" s="15">
        <v>1</v>
      </c>
      <c r="BD62" s="15">
        <v>0</v>
      </c>
      <c r="BE62" s="15">
        <v>5</v>
      </c>
      <c r="BF62" s="15">
        <v>7</v>
      </c>
      <c r="BG62" s="15">
        <v>1</v>
      </c>
      <c r="BH62" s="15">
        <v>0</v>
      </c>
      <c r="BI62" s="15">
        <v>0</v>
      </c>
      <c r="BJ62" s="15">
        <v>0</v>
      </c>
      <c r="BK62" s="15">
        <v>4</v>
      </c>
      <c r="BL62" s="13">
        <f t="shared" si="13"/>
        <v>768</v>
      </c>
    </row>
    <row r="63" spans="1:64" ht="12.75" customHeight="1" x14ac:dyDescent="0.3">
      <c r="A63" s="15" t="s">
        <v>15</v>
      </c>
      <c r="B63" s="45" t="s">
        <v>47</v>
      </c>
      <c r="C63" s="46"/>
      <c r="D63" s="47"/>
      <c r="E63" s="34">
        <f t="shared" ref="E63:BK63" si="15">SUM(E55:E62)</f>
        <v>27</v>
      </c>
      <c r="F63" s="34">
        <f t="shared" si="15"/>
        <v>47</v>
      </c>
      <c r="G63" s="34">
        <f t="shared" si="15"/>
        <v>75</v>
      </c>
      <c r="H63" s="34">
        <f t="shared" si="15"/>
        <v>76</v>
      </c>
      <c r="I63" s="34">
        <f t="shared" si="15"/>
        <v>53</v>
      </c>
      <c r="J63" s="34">
        <f t="shared" si="15"/>
        <v>100</v>
      </c>
      <c r="K63" s="34">
        <f t="shared" si="15"/>
        <v>71</v>
      </c>
      <c r="L63" s="34">
        <f t="shared" si="15"/>
        <v>49</v>
      </c>
      <c r="M63" s="34">
        <f t="shared" si="15"/>
        <v>42</v>
      </c>
      <c r="N63" s="34">
        <f t="shared" si="15"/>
        <v>34</v>
      </c>
      <c r="O63" s="34">
        <f t="shared" si="15"/>
        <v>48</v>
      </c>
      <c r="P63" s="34">
        <f t="shared" si="15"/>
        <v>46</v>
      </c>
      <c r="Q63" s="34">
        <f t="shared" si="15"/>
        <v>94</v>
      </c>
      <c r="R63" s="34">
        <f t="shared" si="15"/>
        <v>90</v>
      </c>
      <c r="S63" s="34">
        <f t="shared" si="15"/>
        <v>72</v>
      </c>
      <c r="T63" s="34">
        <f t="shared" si="15"/>
        <v>101</v>
      </c>
      <c r="U63" s="34">
        <f t="shared" si="15"/>
        <v>67</v>
      </c>
      <c r="V63" s="34">
        <f t="shared" si="15"/>
        <v>62</v>
      </c>
      <c r="W63" s="34">
        <f t="shared" si="15"/>
        <v>68</v>
      </c>
      <c r="X63" s="34">
        <f t="shared" si="15"/>
        <v>60</v>
      </c>
      <c r="Y63" s="34">
        <f t="shared" si="15"/>
        <v>27</v>
      </c>
      <c r="Z63" s="34">
        <f t="shared" si="15"/>
        <v>36</v>
      </c>
      <c r="AA63" s="34">
        <f t="shared" si="15"/>
        <v>20</v>
      </c>
      <c r="AB63" s="34">
        <f t="shared" si="15"/>
        <v>28</v>
      </c>
      <c r="AC63" s="34">
        <f t="shared" si="15"/>
        <v>31</v>
      </c>
      <c r="AD63" s="34">
        <f t="shared" si="15"/>
        <v>51</v>
      </c>
      <c r="AE63" s="34">
        <f t="shared" si="15"/>
        <v>41</v>
      </c>
      <c r="AF63" s="34">
        <f t="shared" si="15"/>
        <v>44</v>
      </c>
      <c r="AG63" s="34">
        <f t="shared" si="15"/>
        <v>26</v>
      </c>
      <c r="AH63" s="34">
        <f t="shared" si="15"/>
        <v>15</v>
      </c>
      <c r="AI63" s="34">
        <f t="shared" si="15"/>
        <v>8</v>
      </c>
      <c r="AJ63" s="34">
        <f t="shared" si="15"/>
        <v>18</v>
      </c>
      <c r="AK63" s="34">
        <f t="shared" si="15"/>
        <v>34</v>
      </c>
      <c r="AL63" s="34">
        <f t="shared" si="15"/>
        <v>35</v>
      </c>
      <c r="AM63" s="34">
        <f t="shared" si="15"/>
        <v>25</v>
      </c>
      <c r="AN63" s="34">
        <f t="shared" si="15"/>
        <v>25</v>
      </c>
      <c r="AO63" s="34">
        <f t="shared" si="15"/>
        <v>40</v>
      </c>
      <c r="AP63" s="34">
        <f t="shared" si="15"/>
        <v>31</v>
      </c>
      <c r="AQ63" s="34">
        <f t="shared" si="15"/>
        <v>27</v>
      </c>
      <c r="AR63" s="34">
        <f t="shared" si="15"/>
        <v>18</v>
      </c>
      <c r="AS63" s="34">
        <f t="shared" si="15"/>
        <v>23</v>
      </c>
      <c r="AT63" s="34">
        <f t="shared" si="15"/>
        <v>20</v>
      </c>
      <c r="AU63" s="34">
        <f t="shared" si="15"/>
        <v>42</v>
      </c>
      <c r="AV63" s="34">
        <f t="shared" si="15"/>
        <v>39</v>
      </c>
      <c r="AW63" s="34">
        <f t="shared" si="15"/>
        <v>56</v>
      </c>
      <c r="AX63" s="34">
        <f t="shared" si="15"/>
        <v>109</v>
      </c>
      <c r="AY63" s="34">
        <f t="shared" si="15"/>
        <v>47</v>
      </c>
      <c r="AZ63" s="34">
        <f t="shared" si="15"/>
        <v>37</v>
      </c>
      <c r="BA63" s="34">
        <f t="shared" si="15"/>
        <v>40</v>
      </c>
      <c r="BB63" s="34">
        <f t="shared" si="15"/>
        <v>20</v>
      </c>
      <c r="BC63" s="34">
        <f t="shared" si="15"/>
        <v>23</v>
      </c>
      <c r="BD63" s="34">
        <f t="shared" si="15"/>
        <v>20</v>
      </c>
      <c r="BE63" s="34">
        <f t="shared" si="15"/>
        <v>35</v>
      </c>
      <c r="BF63" s="34">
        <f t="shared" si="15"/>
        <v>29</v>
      </c>
      <c r="BG63" s="34">
        <f t="shared" si="15"/>
        <v>26</v>
      </c>
      <c r="BH63" s="34">
        <f t="shared" si="15"/>
        <v>29</v>
      </c>
      <c r="BI63" s="34">
        <f t="shared" si="15"/>
        <v>18</v>
      </c>
      <c r="BJ63" s="34">
        <f t="shared" si="15"/>
        <v>32</v>
      </c>
      <c r="BK63" s="34">
        <f t="shared" si="15"/>
        <v>32</v>
      </c>
      <c r="BL63" s="13">
        <f t="shared" si="13"/>
        <v>2539</v>
      </c>
    </row>
    <row r="64" spans="1:64" ht="12.75" customHeight="1" x14ac:dyDescent="0.3">
      <c r="A64" s="35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13">
        <f t="shared" si="13"/>
        <v>0</v>
      </c>
    </row>
    <row r="65" spans="1:64" ht="12.75" customHeight="1" x14ac:dyDescent="0.3">
      <c r="A65" s="19" t="s">
        <v>37</v>
      </c>
      <c r="B65" s="26" t="s">
        <v>21</v>
      </c>
      <c r="C65" s="48" t="s">
        <v>56</v>
      </c>
      <c r="D65" s="47"/>
      <c r="E65" s="15">
        <v>8</v>
      </c>
      <c r="F65" s="15">
        <v>6</v>
      </c>
      <c r="G65" s="15">
        <v>1</v>
      </c>
      <c r="H65" s="15">
        <v>4</v>
      </c>
      <c r="I65" s="15">
        <v>9</v>
      </c>
      <c r="J65" s="15">
        <v>3</v>
      </c>
      <c r="K65" s="15">
        <v>6</v>
      </c>
      <c r="L65" s="15">
        <v>8</v>
      </c>
      <c r="M65" s="15">
        <v>1</v>
      </c>
      <c r="N65" s="15">
        <v>2</v>
      </c>
      <c r="O65" s="15">
        <v>1</v>
      </c>
      <c r="P65" s="15">
        <v>3</v>
      </c>
      <c r="Q65" s="15">
        <v>6</v>
      </c>
      <c r="R65" s="15">
        <v>2</v>
      </c>
      <c r="S65" s="15">
        <v>11</v>
      </c>
      <c r="T65" s="15">
        <v>1</v>
      </c>
      <c r="U65" s="15">
        <v>3</v>
      </c>
      <c r="V65" s="15">
        <v>1</v>
      </c>
      <c r="W65" s="15">
        <v>3</v>
      </c>
      <c r="X65" s="15">
        <v>2</v>
      </c>
      <c r="Y65" s="15">
        <v>2</v>
      </c>
      <c r="Z65" s="15">
        <v>7</v>
      </c>
      <c r="AA65" s="15">
        <v>6</v>
      </c>
      <c r="AB65" s="15">
        <v>6</v>
      </c>
      <c r="AC65" s="15">
        <v>6</v>
      </c>
      <c r="AD65" s="15">
        <v>3</v>
      </c>
      <c r="AE65" s="15">
        <v>4</v>
      </c>
      <c r="AF65" s="15">
        <v>1</v>
      </c>
      <c r="AG65" s="15">
        <v>6</v>
      </c>
      <c r="AH65" s="15">
        <v>8</v>
      </c>
      <c r="AI65" s="15">
        <v>5</v>
      </c>
      <c r="AJ65" s="15">
        <v>8</v>
      </c>
      <c r="AK65" s="15">
        <v>3</v>
      </c>
      <c r="AL65" s="15">
        <v>6</v>
      </c>
      <c r="AM65" s="15">
        <v>5</v>
      </c>
      <c r="AN65" s="15">
        <v>8</v>
      </c>
      <c r="AO65" s="15">
        <v>2</v>
      </c>
      <c r="AP65" s="15">
        <v>3</v>
      </c>
      <c r="AQ65" s="15">
        <v>4</v>
      </c>
      <c r="AR65" s="15">
        <v>10</v>
      </c>
      <c r="AS65" s="15">
        <v>3</v>
      </c>
      <c r="AT65" s="15">
        <v>3</v>
      </c>
      <c r="AU65" s="15">
        <v>3</v>
      </c>
      <c r="AV65" s="15">
        <v>9</v>
      </c>
      <c r="AW65" s="15">
        <v>3</v>
      </c>
      <c r="AX65" s="15">
        <v>3</v>
      </c>
      <c r="AY65" s="15">
        <v>6</v>
      </c>
      <c r="AZ65" s="15">
        <v>3</v>
      </c>
      <c r="BA65" s="15">
        <v>5</v>
      </c>
      <c r="BB65" s="15">
        <v>12</v>
      </c>
      <c r="BC65" s="15">
        <v>11</v>
      </c>
      <c r="BD65" s="15">
        <v>4</v>
      </c>
      <c r="BE65" s="15">
        <v>5</v>
      </c>
      <c r="BF65" s="15">
        <v>4</v>
      </c>
      <c r="BG65" s="15">
        <v>3</v>
      </c>
      <c r="BH65" s="15">
        <v>1</v>
      </c>
      <c r="BI65" s="15">
        <v>5</v>
      </c>
      <c r="BJ65" s="15">
        <v>6</v>
      </c>
      <c r="BK65" s="15">
        <v>4</v>
      </c>
      <c r="BL65" s="13">
        <f t="shared" si="13"/>
        <v>277</v>
      </c>
    </row>
    <row r="66" spans="1:64" ht="12.75" customHeight="1" x14ac:dyDescent="0.3">
      <c r="A66" s="19" t="s">
        <v>39</v>
      </c>
      <c r="B66" s="27"/>
      <c r="C66" s="28" t="s">
        <v>57</v>
      </c>
      <c r="D66" s="29"/>
      <c r="E66" s="15">
        <v>2</v>
      </c>
      <c r="F66" s="15">
        <v>6</v>
      </c>
      <c r="G66" s="15">
        <v>5</v>
      </c>
      <c r="H66" s="15">
        <v>2</v>
      </c>
      <c r="I66" s="15">
        <v>15</v>
      </c>
      <c r="J66" s="15">
        <v>9</v>
      </c>
      <c r="K66" s="15">
        <v>10</v>
      </c>
      <c r="L66" s="15">
        <v>7</v>
      </c>
      <c r="M66" s="15">
        <v>13</v>
      </c>
      <c r="N66" s="15">
        <v>0</v>
      </c>
      <c r="O66" s="15">
        <v>2</v>
      </c>
      <c r="P66" s="15">
        <v>2</v>
      </c>
      <c r="Q66" s="15">
        <v>1</v>
      </c>
      <c r="R66" s="15">
        <v>1</v>
      </c>
      <c r="S66" s="15">
        <v>2</v>
      </c>
      <c r="T66" s="15">
        <v>3</v>
      </c>
      <c r="U66" s="15">
        <v>3</v>
      </c>
      <c r="V66" s="15">
        <v>5</v>
      </c>
      <c r="W66" s="15">
        <v>2</v>
      </c>
      <c r="X66" s="15">
        <v>2</v>
      </c>
      <c r="Y66" s="15">
        <v>0</v>
      </c>
      <c r="Z66" s="15">
        <v>18</v>
      </c>
      <c r="AA66" s="15">
        <v>22</v>
      </c>
      <c r="AB66" s="15">
        <v>15</v>
      </c>
      <c r="AC66" s="15">
        <v>16</v>
      </c>
      <c r="AD66" s="15">
        <v>4</v>
      </c>
      <c r="AE66" s="15">
        <v>3</v>
      </c>
      <c r="AF66" s="15">
        <v>6</v>
      </c>
      <c r="AG66" s="15">
        <v>11</v>
      </c>
      <c r="AH66" s="15">
        <v>9</v>
      </c>
      <c r="AI66" s="15">
        <v>3</v>
      </c>
      <c r="AJ66" s="15">
        <v>25</v>
      </c>
      <c r="AK66" s="15">
        <v>15</v>
      </c>
      <c r="AL66" s="15">
        <v>18</v>
      </c>
      <c r="AM66" s="15">
        <v>2</v>
      </c>
      <c r="AN66" s="15">
        <v>7</v>
      </c>
      <c r="AO66" s="15">
        <v>1</v>
      </c>
      <c r="AP66" s="15">
        <v>2</v>
      </c>
      <c r="AQ66" s="15">
        <v>1</v>
      </c>
      <c r="AR66" s="15">
        <v>3</v>
      </c>
      <c r="AS66" s="15">
        <v>1</v>
      </c>
      <c r="AT66" s="15">
        <v>26</v>
      </c>
      <c r="AU66" s="15">
        <v>11</v>
      </c>
      <c r="AV66" s="15">
        <v>6</v>
      </c>
      <c r="AW66" s="15">
        <v>14</v>
      </c>
      <c r="AX66" s="15">
        <v>21</v>
      </c>
      <c r="AY66" s="15">
        <v>4</v>
      </c>
      <c r="AZ66" s="15">
        <v>14</v>
      </c>
      <c r="BA66" s="15">
        <v>3</v>
      </c>
      <c r="BB66" s="15">
        <v>1</v>
      </c>
      <c r="BC66" s="15">
        <v>7</v>
      </c>
      <c r="BD66" s="15">
        <v>2</v>
      </c>
      <c r="BE66" s="15">
        <v>4</v>
      </c>
      <c r="BF66" s="15">
        <v>3</v>
      </c>
      <c r="BG66" s="15">
        <v>2</v>
      </c>
      <c r="BH66" s="15">
        <v>2</v>
      </c>
      <c r="BI66" s="15">
        <v>0</v>
      </c>
      <c r="BJ66" s="15">
        <v>3</v>
      </c>
      <c r="BK66" s="15">
        <v>4</v>
      </c>
      <c r="BL66" s="13">
        <f t="shared" si="13"/>
        <v>401</v>
      </c>
    </row>
    <row r="67" spans="1:64" ht="15" customHeight="1" x14ac:dyDescent="0.3">
      <c r="A67" s="14"/>
      <c r="B67" s="27"/>
      <c r="C67" s="28" t="s">
        <v>58</v>
      </c>
      <c r="D67" s="29"/>
      <c r="E67" s="15">
        <v>0</v>
      </c>
      <c r="F67" s="15">
        <v>0</v>
      </c>
      <c r="G67" s="15">
        <v>0</v>
      </c>
      <c r="H67" s="15">
        <v>0</v>
      </c>
      <c r="I67" s="15">
        <v>2</v>
      </c>
      <c r="J67" s="15">
        <v>1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1</v>
      </c>
      <c r="U67" s="15">
        <v>3</v>
      </c>
      <c r="V67" s="15">
        <v>0</v>
      </c>
      <c r="W67" s="15">
        <v>0</v>
      </c>
      <c r="X67" s="15">
        <v>1</v>
      </c>
      <c r="Y67" s="15">
        <v>0</v>
      </c>
      <c r="Z67" s="15">
        <v>0</v>
      </c>
      <c r="AA67" s="15">
        <v>0</v>
      </c>
      <c r="AB67" s="15">
        <v>0</v>
      </c>
      <c r="AC67" s="15">
        <v>1</v>
      </c>
      <c r="AD67" s="15">
        <v>0</v>
      </c>
      <c r="AE67" s="15">
        <v>2</v>
      </c>
      <c r="AF67" s="15">
        <v>1</v>
      </c>
      <c r="AG67" s="15">
        <v>1</v>
      </c>
      <c r="AH67" s="15">
        <v>1</v>
      </c>
      <c r="AI67" s="15">
        <v>0</v>
      </c>
      <c r="AJ67" s="15">
        <v>2</v>
      </c>
      <c r="AK67" s="15">
        <v>3</v>
      </c>
      <c r="AL67" s="15">
        <v>1</v>
      </c>
      <c r="AM67" s="15">
        <v>1</v>
      </c>
      <c r="AN67" s="15">
        <v>1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1</v>
      </c>
      <c r="AU67" s="15">
        <v>0</v>
      </c>
      <c r="AV67" s="15">
        <v>1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1</v>
      </c>
      <c r="BC67" s="15">
        <v>1</v>
      </c>
      <c r="BD67" s="15">
        <v>2</v>
      </c>
      <c r="BE67" s="15">
        <v>0</v>
      </c>
      <c r="BF67" s="15">
        <v>1</v>
      </c>
      <c r="BG67" s="15">
        <v>0</v>
      </c>
      <c r="BH67" s="15">
        <v>1</v>
      </c>
      <c r="BI67" s="15">
        <v>0</v>
      </c>
      <c r="BJ67" s="15">
        <v>1</v>
      </c>
      <c r="BK67" s="15">
        <v>2</v>
      </c>
      <c r="BL67" s="13">
        <f t="shared" si="13"/>
        <v>33</v>
      </c>
    </row>
    <row r="68" spans="1:64" ht="12.75" customHeight="1" x14ac:dyDescent="0.3">
      <c r="A68" s="14"/>
      <c r="B68" s="27"/>
      <c r="C68" s="28" t="s">
        <v>59</v>
      </c>
      <c r="D68" s="29"/>
      <c r="E68" s="15">
        <v>1</v>
      </c>
      <c r="F68" s="15">
        <v>5</v>
      </c>
      <c r="G68" s="15">
        <v>0</v>
      </c>
      <c r="H68" s="15">
        <v>0</v>
      </c>
      <c r="I68" s="15">
        <v>0</v>
      </c>
      <c r="J68" s="15">
        <v>2</v>
      </c>
      <c r="K68" s="15">
        <v>0</v>
      </c>
      <c r="L68" s="15">
        <v>2</v>
      </c>
      <c r="M68" s="15">
        <v>2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1</v>
      </c>
      <c r="T68" s="15">
        <v>0</v>
      </c>
      <c r="U68" s="15">
        <v>0</v>
      </c>
      <c r="V68" s="15">
        <v>1</v>
      </c>
      <c r="W68" s="15">
        <v>0</v>
      </c>
      <c r="X68" s="15">
        <v>3</v>
      </c>
      <c r="Y68" s="15">
        <v>0</v>
      </c>
      <c r="Z68" s="15">
        <v>2</v>
      </c>
      <c r="AA68" s="15">
        <v>0</v>
      </c>
      <c r="AB68" s="15">
        <v>0</v>
      </c>
      <c r="AC68" s="15">
        <v>1</v>
      </c>
      <c r="AD68" s="15">
        <v>16</v>
      </c>
      <c r="AE68" s="15">
        <v>2</v>
      </c>
      <c r="AF68" s="15">
        <v>0</v>
      </c>
      <c r="AG68" s="15">
        <v>2</v>
      </c>
      <c r="AH68" s="15">
        <v>13</v>
      </c>
      <c r="AI68" s="15">
        <v>16</v>
      </c>
      <c r="AJ68" s="15">
        <v>5</v>
      </c>
      <c r="AK68" s="15">
        <v>4</v>
      </c>
      <c r="AL68" s="15">
        <v>3</v>
      </c>
      <c r="AM68" s="15">
        <v>5</v>
      </c>
      <c r="AN68" s="15">
        <v>3</v>
      </c>
      <c r="AO68" s="15">
        <v>4</v>
      </c>
      <c r="AP68" s="15">
        <v>3</v>
      </c>
      <c r="AQ68" s="15">
        <v>5</v>
      </c>
      <c r="AR68" s="15">
        <v>6</v>
      </c>
      <c r="AS68" s="15">
        <v>0</v>
      </c>
      <c r="AT68" s="15">
        <v>2</v>
      </c>
      <c r="AU68" s="15">
        <v>0</v>
      </c>
      <c r="AV68" s="15">
        <v>3</v>
      </c>
      <c r="AW68" s="15">
        <v>0</v>
      </c>
      <c r="AX68" s="15">
        <v>0</v>
      </c>
      <c r="AY68" s="15">
        <v>0</v>
      </c>
      <c r="AZ68" s="15">
        <v>1</v>
      </c>
      <c r="BA68" s="15">
        <v>1</v>
      </c>
      <c r="BB68" s="15">
        <v>3</v>
      </c>
      <c r="BC68" s="15">
        <v>0</v>
      </c>
      <c r="BD68" s="15">
        <v>2</v>
      </c>
      <c r="BE68" s="15">
        <v>1</v>
      </c>
      <c r="BF68" s="15">
        <v>3</v>
      </c>
      <c r="BG68" s="15">
        <v>2</v>
      </c>
      <c r="BH68" s="15">
        <v>0</v>
      </c>
      <c r="BI68" s="15">
        <v>2</v>
      </c>
      <c r="BJ68" s="15">
        <v>0</v>
      </c>
      <c r="BK68" s="15">
        <v>0</v>
      </c>
      <c r="BL68" s="13">
        <f t="shared" si="13"/>
        <v>127</v>
      </c>
    </row>
    <row r="69" spans="1:64" ht="12.75" customHeight="1" x14ac:dyDescent="0.3">
      <c r="A69" s="14"/>
      <c r="B69" s="27"/>
      <c r="C69" s="28" t="s">
        <v>60</v>
      </c>
      <c r="D69" s="29"/>
      <c r="E69" s="15">
        <v>2</v>
      </c>
      <c r="F69" s="15">
        <v>8</v>
      </c>
      <c r="G69" s="15">
        <v>1</v>
      </c>
      <c r="H69" s="15">
        <v>1</v>
      </c>
      <c r="I69" s="15">
        <v>5</v>
      </c>
      <c r="J69" s="15">
        <v>1</v>
      </c>
      <c r="K69" s="15">
        <v>3</v>
      </c>
      <c r="L69" s="15">
        <v>4</v>
      </c>
      <c r="M69" s="15">
        <v>2</v>
      </c>
      <c r="N69" s="15">
        <v>2</v>
      </c>
      <c r="O69" s="15">
        <v>0</v>
      </c>
      <c r="P69" s="15">
        <v>1</v>
      </c>
      <c r="Q69" s="15">
        <v>3</v>
      </c>
      <c r="R69" s="15">
        <v>1</v>
      </c>
      <c r="S69" s="15">
        <v>1</v>
      </c>
      <c r="T69" s="15">
        <v>3</v>
      </c>
      <c r="U69" s="15">
        <v>4</v>
      </c>
      <c r="V69" s="15">
        <v>4</v>
      </c>
      <c r="W69" s="15">
        <v>1</v>
      </c>
      <c r="X69" s="15">
        <v>2</v>
      </c>
      <c r="Y69" s="15">
        <v>1</v>
      </c>
      <c r="Z69" s="15">
        <v>2</v>
      </c>
      <c r="AA69" s="15">
        <v>1</v>
      </c>
      <c r="AB69" s="15">
        <v>2</v>
      </c>
      <c r="AC69" s="15">
        <v>0</v>
      </c>
      <c r="AD69" s="15">
        <v>4</v>
      </c>
      <c r="AE69" s="15">
        <v>1</v>
      </c>
      <c r="AF69" s="15">
        <v>0</v>
      </c>
      <c r="AG69" s="15">
        <v>4</v>
      </c>
      <c r="AH69" s="15">
        <v>4</v>
      </c>
      <c r="AI69" s="15">
        <v>5</v>
      </c>
      <c r="AJ69" s="15">
        <v>5</v>
      </c>
      <c r="AK69" s="15">
        <v>5</v>
      </c>
      <c r="AL69" s="15">
        <v>10</v>
      </c>
      <c r="AM69" s="15">
        <v>7</v>
      </c>
      <c r="AN69" s="15">
        <v>10</v>
      </c>
      <c r="AO69" s="15">
        <v>0</v>
      </c>
      <c r="AP69" s="15">
        <v>1</v>
      </c>
      <c r="AQ69" s="15">
        <v>6</v>
      </c>
      <c r="AR69" s="15">
        <v>23</v>
      </c>
      <c r="AS69" s="15">
        <v>7</v>
      </c>
      <c r="AT69" s="15">
        <v>10</v>
      </c>
      <c r="AU69" s="15">
        <v>5</v>
      </c>
      <c r="AV69" s="15">
        <v>4</v>
      </c>
      <c r="AW69" s="15">
        <v>14</v>
      </c>
      <c r="AX69" s="15">
        <v>0</v>
      </c>
      <c r="AY69" s="15">
        <v>10</v>
      </c>
      <c r="AZ69" s="15">
        <v>8</v>
      </c>
      <c r="BA69" s="15">
        <v>10</v>
      </c>
      <c r="BB69" s="15">
        <v>21</v>
      </c>
      <c r="BC69" s="15">
        <v>4</v>
      </c>
      <c r="BD69" s="15">
        <v>5</v>
      </c>
      <c r="BE69" s="15">
        <v>3</v>
      </c>
      <c r="BF69" s="15">
        <v>17</v>
      </c>
      <c r="BG69" s="15">
        <v>13</v>
      </c>
      <c r="BH69" s="15">
        <v>1</v>
      </c>
      <c r="BI69" s="15">
        <v>1</v>
      </c>
      <c r="BJ69" s="15">
        <v>2</v>
      </c>
      <c r="BK69" s="15">
        <v>7</v>
      </c>
      <c r="BL69" s="13">
        <f t="shared" si="13"/>
        <v>282</v>
      </c>
    </row>
    <row r="70" spans="1:64" ht="12.75" customHeight="1" x14ac:dyDescent="0.3">
      <c r="A70" s="14"/>
      <c r="B70" s="27"/>
      <c r="C70" s="28" t="s">
        <v>61</v>
      </c>
      <c r="D70" s="29"/>
      <c r="E70" s="15">
        <v>1</v>
      </c>
      <c r="F70" s="15">
        <v>0</v>
      </c>
      <c r="G70" s="15">
        <v>1</v>
      </c>
      <c r="H70" s="15">
        <v>0</v>
      </c>
      <c r="I70" s="15">
        <v>1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1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1</v>
      </c>
      <c r="AB70" s="15">
        <v>0</v>
      </c>
      <c r="AC70" s="15">
        <v>2</v>
      </c>
      <c r="AD70" s="15">
        <v>1</v>
      </c>
      <c r="AE70" s="15">
        <v>0</v>
      </c>
      <c r="AF70" s="15">
        <v>1</v>
      </c>
      <c r="AG70" s="15">
        <v>0</v>
      </c>
      <c r="AH70" s="15">
        <v>0</v>
      </c>
      <c r="AI70" s="15">
        <v>1</v>
      </c>
      <c r="AJ70" s="15">
        <v>0</v>
      </c>
      <c r="AK70" s="15">
        <v>2</v>
      </c>
      <c r="AL70" s="15">
        <v>0</v>
      </c>
      <c r="AM70" s="15">
        <v>1</v>
      </c>
      <c r="AN70" s="15">
        <v>0</v>
      </c>
      <c r="AO70" s="15">
        <v>1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1</v>
      </c>
      <c r="AZ70" s="15">
        <v>1</v>
      </c>
      <c r="BA70" s="15">
        <v>0</v>
      </c>
      <c r="BB70" s="15">
        <v>1</v>
      </c>
      <c r="BC70" s="15">
        <v>0</v>
      </c>
      <c r="BD70" s="15">
        <v>1</v>
      </c>
      <c r="BE70" s="15">
        <v>1</v>
      </c>
      <c r="BF70" s="15">
        <v>0</v>
      </c>
      <c r="BG70" s="15">
        <v>0</v>
      </c>
      <c r="BH70" s="15">
        <v>0</v>
      </c>
      <c r="BI70" s="15">
        <v>1</v>
      </c>
      <c r="BJ70" s="15">
        <v>1</v>
      </c>
      <c r="BK70" s="15">
        <v>0</v>
      </c>
      <c r="BL70" s="13">
        <f t="shared" si="13"/>
        <v>21</v>
      </c>
    </row>
    <row r="71" spans="1:64" ht="12.75" customHeight="1" x14ac:dyDescent="0.3">
      <c r="A71" s="14"/>
      <c r="B71" s="27"/>
      <c r="C71" s="28" t="s">
        <v>62</v>
      </c>
      <c r="D71" s="29"/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1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1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1</v>
      </c>
      <c r="BK71" s="15">
        <v>1</v>
      </c>
      <c r="BL71" s="13">
        <f t="shared" si="13"/>
        <v>4</v>
      </c>
    </row>
    <row r="72" spans="1:64" ht="12.75" customHeight="1" x14ac:dyDescent="0.3">
      <c r="A72" s="14"/>
      <c r="B72" s="27"/>
      <c r="C72" s="28" t="s">
        <v>63</v>
      </c>
      <c r="D72" s="29"/>
      <c r="E72" s="15">
        <v>1</v>
      </c>
      <c r="F72" s="15">
        <v>1</v>
      </c>
      <c r="G72" s="15">
        <v>1</v>
      </c>
      <c r="H72" s="15">
        <v>0</v>
      </c>
      <c r="I72" s="15">
        <v>2</v>
      </c>
      <c r="J72" s="15">
        <v>0</v>
      </c>
      <c r="K72" s="15">
        <v>0</v>
      </c>
      <c r="L72" s="15">
        <v>0</v>
      </c>
      <c r="M72" s="15">
        <v>1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1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1</v>
      </c>
      <c r="AA72" s="15">
        <v>0</v>
      </c>
      <c r="AB72" s="15">
        <v>1</v>
      </c>
      <c r="AC72" s="15">
        <v>0</v>
      </c>
      <c r="AD72" s="15">
        <v>0</v>
      </c>
      <c r="AE72" s="15">
        <v>0</v>
      </c>
      <c r="AF72" s="15">
        <v>2</v>
      </c>
      <c r="AG72" s="15">
        <v>0</v>
      </c>
      <c r="AH72" s="15">
        <v>0</v>
      </c>
      <c r="AI72" s="15">
        <v>4</v>
      </c>
      <c r="AJ72" s="15">
        <v>0</v>
      </c>
      <c r="AK72" s="15">
        <v>2</v>
      </c>
      <c r="AL72" s="15">
        <v>0</v>
      </c>
      <c r="AM72" s="15">
        <v>2</v>
      </c>
      <c r="AN72" s="15">
        <v>1</v>
      </c>
      <c r="AO72" s="15">
        <v>3</v>
      </c>
      <c r="AP72" s="15">
        <v>3</v>
      </c>
      <c r="AQ72" s="15">
        <v>3</v>
      </c>
      <c r="AR72" s="15">
        <v>0</v>
      </c>
      <c r="AS72" s="15">
        <v>1</v>
      </c>
      <c r="AT72" s="15">
        <v>0</v>
      </c>
      <c r="AU72" s="15">
        <v>5</v>
      </c>
      <c r="AV72" s="15">
        <v>5</v>
      </c>
      <c r="AW72" s="15">
        <v>6</v>
      </c>
      <c r="AX72" s="15">
        <v>2</v>
      </c>
      <c r="AY72" s="15">
        <v>1</v>
      </c>
      <c r="AZ72" s="15">
        <v>0</v>
      </c>
      <c r="BA72" s="15">
        <v>1</v>
      </c>
      <c r="BB72" s="15">
        <v>0</v>
      </c>
      <c r="BC72" s="15">
        <v>0</v>
      </c>
      <c r="BD72" s="15">
        <v>0</v>
      </c>
      <c r="BE72" s="15">
        <v>0</v>
      </c>
      <c r="BF72" s="15">
        <v>1</v>
      </c>
      <c r="BG72" s="15">
        <v>0</v>
      </c>
      <c r="BH72" s="15">
        <v>0</v>
      </c>
      <c r="BI72" s="15">
        <v>0</v>
      </c>
      <c r="BJ72" s="15">
        <v>0</v>
      </c>
      <c r="BK72" s="15">
        <v>3</v>
      </c>
      <c r="BL72" s="13">
        <f t="shared" si="13"/>
        <v>55</v>
      </c>
    </row>
    <row r="73" spans="1:64" ht="12.75" customHeight="1" x14ac:dyDescent="0.3">
      <c r="A73" s="15" t="s">
        <v>15</v>
      </c>
      <c r="B73" s="45" t="s">
        <v>47</v>
      </c>
      <c r="C73" s="46"/>
      <c r="D73" s="47"/>
      <c r="E73" s="34">
        <f t="shared" ref="E73:BK73" si="16">SUM(E65:E72)</f>
        <v>15</v>
      </c>
      <c r="F73" s="34">
        <f t="shared" si="16"/>
        <v>26</v>
      </c>
      <c r="G73" s="34">
        <f t="shared" si="16"/>
        <v>9</v>
      </c>
      <c r="H73" s="34">
        <f t="shared" si="16"/>
        <v>7</v>
      </c>
      <c r="I73" s="34">
        <f t="shared" si="16"/>
        <v>34</v>
      </c>
      <c r="J73" s="34">
        <f t="shared" si="16"/>
        <v>16</v>
      </c>
      <c r="K73" s="34">
        <f t="shared" si="16"/>
        <v>19</v>
      </c>
      <c r="L73" s="34">
        <f t="shared" si="16"/>
        <v>21</v>
      </c>
      <c r="M73" s="34">
        <f t="shared" si="16"/>
        <v>19</v>
      </c>
      <c r="N73" s="34">
        <f t="shared" si="16"/>
        <v>4</v>
      </c>
      <c r="O73" s="34">
        <f t="shared" si="16"/>
        <v>3</v>
      </c>
      <c r="P73" s="34">
        <f t="shared" si="16"/>
        <v>6</v>
      </c>
      <c r="Q73" s="34">
        <f t="shared" si="16"/>
        <v>12</v>
      </c>
      <c r="R73" s="34">
        <f t="shared" si="16"/>
        <v>4</v>
      </c>
      <c r="S73" s="34">
        <f t="shared" si="16"/>
        <v>16</v>
      </c>
      <c r="T73" s="34">
        <f t="shared" si="16"/>
        <v>8</v>
      </c>
      <c r="U73" s="34">
        <f t="shared" si="16"/>
        <v>13</v>
      </c>
      <c r="V73" s="34">
        <f t="shared" si="16"/>
        <v>11</v>
      </c>
      <c r="W73" s="34">
        <f t="shared" si="16"/>
        <v>6</v>
      </c>
      <c r="X73" s="34">
        <f t="shared" si="16"/>
        <v>10</v>
      </c>
      <c r="Y73" s="34">
        <f t="shared" si="16"/>
        <v>3</v>
      </c>
      <c r="Z73" s="34">
        <f t="shared" si="16"/>
        <v>30</v>
      </c>
      <c r="AA73" s="34">
        <f t="shared" si="16"/>
        <v>30</v>
      </c>
      <c r="AB73" s="34">
        <f t="shared" si="16"/>
        <v>24</v>
      </c>
      <c r="AC73" s="34">
        <f t="shared" si="16"/>
        <v>26</v>
      </c>
      <c r="AD73" s="34">
        <f t="shared" si="16"/>
        <v>29</v>
      </c>
      <c r="AE73" s="34">
        <f t="shared" si="16"/>
        <v>12</v>
      </c>
      <c r="AF73" s="34">
        <f t="shared" si="16"/>
        <v>11</v>
      </c>
      <c r="AG73" s="34">
        <f t="shared" si="16"/>
        <v>24</v>
      </c>
      <c r="AH73" s="34">
        <f t="shared" si="16"/>
        <v>35</v>
      </c>
      <c r="AI73" s="34">
        <f t="shared" si="16"/>
        <v>34</v>
      </c>
      <c r="AJ73" s="34">
        <f t="shared" si="16"/>
        <v>45</v>
      </c>
      <c r="AK73" s="34">
        <f t="shared" si="16"/>
        <v>34</v>
      </c>
      <c r="AL73" s="34">
        <f t="shared" si="16"/>
        <v>38</v>
      </c>
      <c r="AM73" s="34">
        <f t="shared" si="16"/>
        <v>23</v>
      </c>
      <c r="AN73" s="34">
        <f t="shared" si="16"/>
        <v>30</v>
      </c>
      <c r="AO73" s="34">
        <f t="shared" si="16"/>
        <v>11</v>
      </c>
      <c r="AP73" s="34">
        <f t="shared" si="16"/>
        <v>12</v>
      </c>
      <c r="AQ73" s="34">
        <f t="shared" si="16"/>
        <v>20</v>
      </c>
      <c r="AR73" s="34">
        <f t="shared" si="16"/>
        <v>42</v>
      </c>
      <c r="AS73" s="34">
        <f t="shared" si="16"/>
        <v>12</v>
      </c>
      <c r="AT73" s="34">
        <f t="shared" si="16"/>
        <v>42</v>
      </c>
      <c r="AU73" s="34">
        <f t="shared" si="16"/>
        <v>24</v>
      </c>
      <c r="AV73" s="34">
        <f t="shared" si="16"/>
        <v>28</v>
      </c>
      <c r="AW73" s="34">
        <f t="shared" si="16"/>
        <v>37</v>
      </c>
      <c r="AX73" s="34">
        <f t="shared" si="16"/>
        <v>26</v>
      </c>
      <c r="AY73" s="34">
        <f t="shared" si="16"/>
        <v>22</v>
      </c>
      <c r="AZ73" s="34">
        <f t="shared" si="16"/>
        <v>27</v>
      </c>
      <c r="BA73" s="34">
        <f t="shared" si="16"/>
        <v>20</v>
      </c>
      <c r="BB73" s="34">
        <f t="shared" si="16"/>
        <v>39</v>
      </c>
      <c r="BC73" s="34">
        <f t="shared" si="16"/>
        <v>23</v>
      </c>
      <c r="BD73" s="34">
        <f t="shared" si="16"/>
        <v>16</v>
      </c>
      <c r="BE73" s="34">
        <f t="shared" si="16"/>
        <v>14</v>
      </c>
      <c r="BF73" s="34">
        <f t="shared" si="16"/>
        <v>29</v>
      </c>
      <c r="BG73" s="34">
        <f t="shared" si="16"/>
        <v>20</v>
      </c>
      <c r="BH73" s="34">
        <f t="shared" si="16"/>
        <v>5</v>
      </c>
      <c r="BI73" s="34">
        <f t="shared" si="16"/>
        <v>9</v>
      </c>
      <c r="BJ73" s="34">
        <f t="shared" si="16"/>
        <v>14</v>
      </c>
      <c r="BK73" s="34">
        <f t="shared" si="16"/>
        <v>21</v>
      </c>
      <c r="BL73" s="13">
        <f t="shared" si="13"/>
        <v>1200</v>
      </c>
    </row>
    <row r="74" spans="1:64" ht="12.75" customHeight="1" x14ac:dyDescent="0.3">
      <c r="A74" s="35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13">
        <f t="shared" si="13"/>
        <v>0</v>
      </c>
    </row>
    <row r="75" spans="1:64" ht="12.75" customHeight="1" x14ac:dyDescent="0.3">
      <c r="A75" s="19" t="s">
        <v>37</v>
      </c>
      <c r="B75" s="26" t="s">
        <v>23</v>
      </c>
      <c r="C75" s="48" t="s">
        <v>64</v>
      </c>
      <c r="D75" s="47"/>
      <c r="E75" s="15">
        <v>5</v>
      </c>
      <c r="F75" s="15">
        <v>7</v>
      </c>
      <c r="G75" s="15">
        <v>4</v>
      </c>
      <c r="H75" s="15">
        <v>4</v>
      </c>
      <c r="I75" s="15">
        <v>1</v>
      </c>
      <c r="J75" s="15">
        <v>8</v>
      </c>
      <c r="K75" s="15">
        <v>4</v>
      </c>
      <c r="L75" s="15">
        <v>2</v>
      </c>
      <c r="M75" s="15">
        <v>2</v>
      </c>
      <c r="N75" s="15">
        <v>3</v>
      </c>
      <c r="O75" s="15">
        <v>0</v>
      </c>
      <c r="P75" s="15">
        <v>2</v>
      </c>
      <c r="Q75" s="15">
        <v>1</v>
      </c>
      <c r="R75" s="15">
        <v>1</v>
      </c>
      <c r="S75" s="15">
        <v>7</v>
      </c>
      <c r="T75" s="15">
        <v>5</v>
      </c>
      <c r="U75" s="15">
        <v>4</v>
      </c>
      <c r="V75" s="15">
        <v>0</v>
      </c>
      <c r="W75" s="15">
        <v>0</v>
      </c>
      <c r="X75" s="15">
        <v>1</v>
      </c>
      <c r="Y75" s="15">
        <v>2</v>
      </c>
      <c r="Z75" s="15">
        <v>1</v>
      </c>
      <c r="AA75" s="15">
        <v>0</v>
      </c>
      <c r="AB75" s="15">
        <v>2</v>
      </c>
      <c r="AC75" s="15">
        <v>0</v>
      </c>
      <c r="AD75" s="15">
        <v>3</v>
      </c>
      <c r="AE75" s="15">
        <v>6</v>
      </c>
      <c r="AF75" s="15">
        <v>7</v>
      </c>
      <c r="AG75" s="15">
        <v>8</v>
      </c>
      <c r="AH75" s="15">
        <v>8</v>
      </c>
      <c r="AI75" s="15">
        <v>8</v>
      </c>
      <c r="AJ75" s="15">
        <v>4</v>
      </c>
      <c r="AK75" s="15">
        <v>5</v>
      </c>
      <c r="AL75" s="15">
        <v>2</v>
      </c>
      <c r="AM75" s="15">
        <v>3</v>
      </c>
      <c r="AN75" s="15">
        <v>4</v>
      </c>
      <c r="AO75" s="15">
        <v>2</v>
      </c>
      <c r="AP75" s="15">
        <v>2</v>
      </c>
      <c r="AQ75" s="15">
        <v>3</v>
      </c>
      <c r="AR75" s="15">
        <v>4</v>
      </c>
      <c r="AS75" s="15">
        <v>4</v>
      </c>
      <c r="AT75" s="15">
        <v>3</v>
      </c>
      <c r="AU75" s="15">
        <v>0</v>
      </c>
      <c r="AV75" s="15">
        <v>4</v>
      </c>
      <c r="AW75" s="15">
        <v>1</v>
      </c>
      <c r="AX75" s="15">
        <v>5</v>
      </c>
      <c r="AY75" s="15">
        <v>2</v>
      </c>
      <c r="AZ75" s="15">
        <v>5</v>
      </c>
      <c r="BA75" s="15">
        <v>4</v>
      </c>
      <c r="BB75" s="15">
        <v>5</v>
      </c>
      <c r="BC75" s="15">
        <v>9</v>
      </c>
      <c r="BD75" s="15">
        <v>7</v>
      </c>
      <c r="BE75" s="15">
        <v>10</v>
      </c>
      <c r="BF75" s="15">
        <v>4</v>
      </c>
      <c r="BG75" s="15">
        <v>5</v>
      </c>
      <c r="BH75" s="15">
        <v>3</v>
      </c>
      <c r="BI75" s="15">
        <v>9</v>
      </c>
      <c r="BJ75" s="15">
        <v>14</v>
      </c>
      <c r="BK75" s="15">
        <v>2</v>
      </c>
      <c r="BL75" s="13">
        <f t="shared" si="13"/>
        <v>231</v>
      </c>
    </row>
    <row r="76" spans="1:64" ht="12.75" customHeight="1" x14ac:dyDescent="0.3">
      <c r="A76" s="19" t="s">
        <v>39</v>
      </c>
      <c r="B76" s="27"/>
      <c r="C76" s="28" t="s">
        <v>65</v>
      </c>
      <c r="D76" s="29"/>
      <c r="E76" s="15">
        <v>2</v>
      </c>
      <c r="F76" s="15">
        <v>3</v>
      </c>
      <c r="G76" s="15">
        <v>6</v>
      </c>
      <c r="H76" s="15">
        <v>0</v>
      </c>
      <c r="I76" s="15">
        <v>2</v>
      </c>
      <c r="J76" s="15">
        <v>1</v>
      </c>
      <c r="K76" s="15">
        <v>1</v>
      </c>
      <c r="L76" s="15">
        <v>2</v>
      </c>
      <c r="M76" s="15">
        <v>1</v>
      </c>
      <c r="N76" s="15">
        <v>1</v>
      </c>
      <c r="O76" s="15">
        <v>0</v>
      </c>
      <c r="P76" s="15">
        <v>2</v>
      </c>
      <c r="Q76" s="15">
        <v>3</v>
      </c>
      <c r="R76" s="15">
        <v>2</v>
      </c>
      <c r="S76" s="15">
        <v>4</v>
      </c>
      <c r="T76" s="15">
        <v>2</v>
      </c>
      <c r="U76" s="15">
        <v>9</v>
      </c>
      <c r="V76" s="15">
        <v>3</v>
      </c>
      <c r="W76" s="15">
        <v>1</v>
      </c>
      <c r="X76" s="15">
        <v>3</v>
      </c>
      <c r="Y76" s="15">
        <v>7</v>
      </c>
      <c r="Z76" s="15">
        <v>0</v>
      </c>
      <c r="AA76" s="15">
        <v>0</v>
      </c>
      <c r="AB76" s="15">
        <v>4</v>
      </c>
      <c r="AC76" s="15">
        <v>2</v>
      </c>
      <c r="AD76" s="15">
        <v>3</v>
      </c>
      <c r="AE76" s="15">
        <v>3</v>
      </c>
      <c r="AF76" s="15">
        <v>2</v>
      </c>
      <c r="AG76" s="15">
        <v>3</v>
      </c>
      <c r="AH76" s="15">
        <v>15</v>
      </c>
      <c r="AI76" s="15">
        <v>22</v>
      </c>
      <c r="AJ76" s="15">
        <v>6</v>
      </c>
      <c r="AK76" s="15">
        <v>7</v>
      </c>
      <c r="AL76" s="15">
        <v>12</v>
      </c>
      <c r="AM76" s="15">
        <v>8</v>
      </c>
      <c r="AN76" s="15">
        <v>5</v>
      </c>
      <c r="AO76" s="15">
        <v>2</v>
      </c>
      <c r="AP76" s="15">
        <v>0</v>
      </c>
      <c r="AQ76" s="15">
        <v>6</v>
      </c>
      <c r="AR76" s="15">
        <v>14</v>
      </c>
      <c r="AS76" s="15">
        <v>9</v>
      </c>
      <c r="AT76" s="15">
        <v>8</v>
      </c>
      <c r="AU76" s="15">
        <v>6</v>
      </c>
      <c r="AV76" s="15">
        <v>5</v>
      </c>
      <c r="AW76" s="15">
        <v>6</v>
      </c>
      <c r="AX76" s="15">
        <v>31</v>
      </c>
      <c r="AY76" s="15">
        <v>26</v>
      </c>
      <c r="AZ76" s="15">
        <v>24</v>
      </c>
      <c r="BA76" s="15">
        <v>73</v>
      </c>
      <c r="BB76" s="15">
        <v>29</v>
      </c>
      <c r="BC76" s="15">
        <v>29</v>
      </c>
      <c r="BD76" s="15">
        <v>13</v>
      </c>
      <c r="BE76" s="15">
        <v>28</v>
      </c>
      <c r="BF76" s="15">
        <v>30</v>
      </c>
      <c r="BG76" s="15">
        <v>35</v>
      </c>
      <c r="BH76" s="15">
        <v>65</v>
      </c>
      <c r="BI76" s="15">
        <v>133</v>
      </c>
      <c r="BJ76" s="15">
        <v>107</v>
      </c>
      <c r="BK76" s="15">
        <v>58</v>
      </c>
      <c r="BL76" s="13">
        <f t="shared" si="13"/>
        <v>884</v>
      </c>
    </row>
    <row r="77" spans="1:64" ht="12.75" customHeight="1" x14ac:dyDescent="0.3">
      <c r="A77" s="14"/>
      <c r="B77" s="27"/>
      <c r="C77" s="28" t="s">
        <v>66</v>
      </c>
      <c r="D77" s="29"/>
      <c r="E77" s="15">
        <v>0</v>
      </c>
      <c r="F77" s="15">
        <v>2</v>
      </c>
      <c r="G77" s="15">
        <v>4</v>
      </c>
      <c r="H77" s="15">
        <v>19</v>
      </c>
      <c r="I77" s="15">
        <v>17</v>
      </c>
      <c r="J77" s="15">
        <v>4</v>
      </c>
      <c r="K77" s="15">
        <v>4</v>
      </c>
      <c r="L77" s="15">
        <v>2</v>
      </c>
      <c r="M77" s="15">
        <v>3</v>
      </c>
      <c r="N77" s="15">
        <v>26</v>
      </c>
      <c r="O77" s="15">
        <v>17</v>
      </c>
      <c r="P77" s="15">
        <v>7</v>
      </c>
      <c r="Q77" s="15">
        <v>0</v>
      </c>
      <c r="R77" s="15">
        <v>7</v>
      </c>
      <c r="S77" s="15">
        <v>9</v>
      </c>
      <c r="T77" s="15">
        <v>11</v>
      </c>
      <c r="U77" s="15">
        <v>6</v>
      </c>
      <c r="V77" s="15">
        <v>8</v>
      </c>
      <c r="W77" s="15">
        <v>4</v>
      </c>
      <c r="X77" s="15">
        <v>4</v>
      </c>
      <c r="Y77" s="15">
        <v>1</v>
      </c>
      <c r="Z77" s="15">
        <v>1</v>
      </c>
      <c r="AA77" s="15">
        <v>1</v>
      </c>
      <c r="AB77" s="15">
        <v>1</v>
      </c>
      <c r="AC77" s="15">
        <v>3</v>
      </c>
      <c r="AD77" s="15">
        <v>14</v>
      </c>
      <c r="AE77" s="15">
        <v>4</v>
      </c>
      <c r="AF77" s="15">
        <v>10</v>
      </c>
      <c r="AG77" s="15">
        <v>26</v>
      </c>
      <c r="AH77" s="15">
        <v>11</v>
      </c>
      <c r="AI77" s="15">
        <v>5</v>
      </c>
      <c r="AJ77" s="15">
        <v>9</v>
      </c>
      <c r="AK77" s="15">
        <v>22</v>
      </c>
      <c r="AL77" s="15">
        <v>26</v>
      </c>
      <c r="AM77" s="15">
        <v>10</v>
      </c>
      <c r="AN77" s="15">
        <v>23</v>
      </c>
      <c r="AO77" s="15">
        <v>12</v>
      </c>
      <c r="AP77" s="15">
        <v>13</v>
      </c>
      <c r="AQ77" s="15">
        <v>3</v>
      </c>
      <c r="AR77" s="15">
        <v>9</v>
      </c>
      <c r="AS77" s="15">
        <v>17</v>
      </c>
      <c r="AT77" s="15">
        <v>7</v>
      </c>
      <c r="AU77" s="15">
        <v>2</v>
      </c>
      <c r="AV77" s="15">
        <v>5</v>
      </c>
      <c r="AW77" s="15">
        <v>3</v>
      </c>
      <c r="AX77" s="15">
        <v>8</v>
      </c>
      <c r="AY77" s="15">
        <v>0</v>
      </c>
      <c r="AZ77" s="15">
        <v>4</v>
      </c>
      <c r="BA77" s="15">
        <v>3</v>
      </c>
      <c r="BB77" s="15">
        <v>5</v>
      </c>
      <c r="BC77" s="15">
        <v>1</v>
      </c>
      <c r="BD77" s="15">
        <v>3</v>
      </c>
      <c r="BE77" s="15">
        <v>2</v>
      </c>
      <c r="BF77" s="15">
        <v>8</v>
      </c>
      <c r="BG77" s="15">
        <v>1</v>
      </c>
      <c r="BH77" s="15">
        <v>1</v>
      </c>
      <c r="BI77" s="15">
        <v>3</v>
      </c>
      <c r="BJ77" s="15">
        <v>1</v>
      </c>
      <c r="BK77" s="15">
        <v>1</v>
      </c>
      <c r="BL77" s="13">
        <f t="shared" si="13"/>
        <v>433</v>
      </c>
    </row>
    <row r="78" spans="1:64" ht="12.75" customHeight="1" x14ac:dyDescent="0.3">
      <c r="A78" s="14"/>
      <c r="B78" s="27"/>
      <c r="C78" s="28" t="s">
        <v>67</v>
      </c>
      <c r="D78" s="29"/>
      <c r="E78" s="15">
        <v>0</v>
      </c>
      <c r="F78" s="15">
        <v>1</v>
      </c>
      <c r="G78" s="15">
        <v>1</v>
      </c>
      <c r="H78" s="15">
        <v>0</v>
      </c>
      <c r="I78" s="15">
        <v>1</v>
      </c>
      <c r="J78" s="15">
        <v>1</v>
      </c>
      <c r="K78" s="15">
        <v>0</v>
      </c>
      <c r="L78" s="15">
        <v>0</v>
      </c>
      <c r="M78" s="15">
        <v>1</v>
      </c>
      <c r="N78" s="15">
        <v>0</v>
      </c>
      <c r="O78" s="15">
        <v>0</v>
      </c>
      <c r="P78" s="15">
        <v>0</v>
      </c>
      <c r="Q78" s="15">
        <v>0</v>
      </c>
      <c r="R78" s="15">
        <v>1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1</v>
      </c>
      <c r="AI78" s="15">
        <v>1</v>
      </c>
      <c r="AJ78" s="15">
        <v>0</v>
      </c>
      <c r="AK78" s="15">
        <v>0</v>
      </c>
      <c r="AL78" s="15">
        <v>0</v>
      </c>
      <c r="AM78" s="15">
        <v>1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1</v>
      </c>
      <c r="AZ78" s="15">
        <v>0</v>
      </c>
      <c r="BA78" s="15">
        <v>2</v>
      </c>
      <c r="BB78" s="15">
        <v>1</v>
      </c>
      <c r="BC78" s="15">
        <v>0</v>
      </c>
      <c r="BD78" s="15">
        <v>0</v>
      </c>
      <c r="BE78" s="15">
        <v>0</v>
      </c>
      <c r="BF78" s="15">
        <v>2</v>
      </c>
      <c r="BG78" s="15">
        <v>0</v>
      </c>
      <c r="BH78" s="15">
        <v>0</v>
      </c>
      <c r="BI78" s="15">
        <v>0</v>
      </c>
      <c r="BJ78" s="15">
        <v>1</v>
      </c>
      <c r="BK78" s="15">
        <v>0</v>
      </c>
      <c r="BL78" s="13">
        <f t="shared" si="13"/>
        <v>16</v>
      </c>
    </row>
    <row r="79" spans="1:64" ht="15" customHeight="1" x14ac:dyDescent="0.3">
      <c r="A79" s="14"/>
      <c r="B79" s="27"/>
      <c r="C79" s="28" t="s">
        <v>68</v>
      </c>
      <c r="D79" s="29"/>
      <c r="E79" s="15">
        <v>10</v>
      </c>
      <c r="F79" s="15">
        <v>8</v>
      </c>
      <c r="G79" s="15">
        <v>1</v>
      </c>
      <c r="H79" s="15">
        <v>3</v>
      </c>
      <c r="I79" s="15">
        <v>6</v>
      </c>
      <c r="J79" s="15">
        <v>1</v>
      </c>
      <c r="K79" s="15">
        <v>7</v>
      </c>
      <c r="L79" s="15">
        <v>11</v>
      </c>
      <c r="M79" s="15">
        <v>4</v>
      </c>
      <c r="N79" s="15">
        <v>11</v>
      </c>
      <c r="O79" s="15">
        <v>5</v>
      </c>
      <c r="P79" s="15">
        <v>3</v>
      </c>
      <c r="Q79" s="15">
        <v>4</v>
      </c>
      <c r="R79" s="15">
        <v>5</v>
      </c>
      <c r="S79" s="15">
        <v>31</v>
      </c>
      <c r="T79" s="15">
        <v>10</v>
      </c>
      <c r="U79" s="15">
        <v>12</v>
      </c>
      <c r="V79" s="15">
        <v>8</v>
      </c>
      <c r="W79" s="15">
        <v>4</v>
      </c>
      <c r="X79" s="15">
        <v>6</v>
      </c>
      <c r="Y79" s="15">
        <v>1</v>
      </c>
      <c r="Z79" s="15">
        <v>1</v>
      </c>
      <c r="AA79" s="15">
        <v>2</v>
      </c>
      <c r="AB79" s="15">
        <v>5</v>
      </c>
      <c r="AC79" s="15">
        <v>5</v>
      </c>
      <c r="AD79" s="15">
        <v>9</v>
      </c>
      <c r="AE79" s="15">
        <v>79</v>
      </c>
      <c r="AF79" s="15">
        <v>105</v>
      </c>
      <c r="AG79" s="15">
        <v>71</v>
      </c>
      <c r="AH79" s="15">
        <v>50</v>
      </c>
      <c r="AI79" s="15">
        <v>24</v>
      </c>
      <c r="AJ79" s="15">
        <v>9</v>
      </c>
      <c r="AK79" s="15">
        <v>18</v>
      </c>
      <c r="AL79" s="15">
        <v>16</v>
      </c>
      <c r="AM79" s="15">
        <v>27</v>
      </c>
      <c r="AN79" s="15">
        <v>22</v>
      </c>
      <c r="AO79" s="15">
        <v>15</v>
      </c>
      <c r="AP79" s="15">
        <v>9</v>
      </c>
      <c r="AQ79" s="15">
        <v>22</v>
      </c>
      <c r="AR79" s="15">
        <v>19</v>
      </c>
      <c r="AS79" s="15">
        <v>25</v>
      </c>
      <c r="AT79" s="15">
        <v>15</v>
      </c>
      <c r="AU79" s="15">
        <v>4</v>
      </c>
      <c r="AV79" s="15">
        <v>10</v>
      </c>
      <c r="AW79" s="15">
        <v>3</v>
      </c>
      <c r="AX79" s="15">
        <v>1</v>
      </c>
      <c r="AY79" s="15">
        <v>4</v>
      </c>
      <c r="AZ79" s="15">
        <v>7</v>
      </c>
      <c r="BA79" s="15">
        <v>4</v>
      </c>
      <c r="BB79" s="15">
        <v>0</v>
      </c>
      <c r="BC79" s="15">
        <v>0</v>
      </c>
      <c r="BD79" s="15">
        <v>4</v>
      </c>
      <c r="BE79" s="15">
        <v>1</v>
      </c>
      <c r="BF79" s="15">
        <v>12</v>
      </c>
      <c r="BG79" s="15">
        <v>4</v>
      </c>
      <c r="BH79" s="15">
        <v>2</v>
      </c>
      <c r="BI79" s="15">
        <v>0</v>
      </c>
      <c r="BJ79" s="15">
        <v>0</v>
      </c>
      <c r="BK79" s="15">
        <v>1</v>
      </c>
      <c r="BL79" s="13">
        <f t="shared" si="13"/>
        <v>756</v>
      </c>
    </row>
    <row r="80" spans="1:64" ht="12.75" customHeight="1" x14ac:dyDescent="0.3">
      <c r="A80" s="14"/>
      <c r="B80" s="27"/>
      <c r="C80" s="28" t="s">
        <v>69</v>
      </c>
      <c r="D80" s="29"/>
      <c r="E80" s="15">
        <v>3</v>
      </c>
      <c r="F80" s="15">
        <v>0</v>
      </c>
      <c r="G80" s="15">
        <v>2</v>
      </c>
      <c r="H80" s="15">
        <v>0</v>
      </c>
      <c r="I80" s="15">
        <v>3</v>
      </c>
      <c r="J80" s="15">
        <v>2</v>
      </c>
      <c r="K80" s="15">
        <v>0</v>
      </c>
      <c r="L80" s="15">
        <v>0</v>
      </c>
      <c r="M80" s="15">
        <v>0</v>
      </c>
      <c r="N80" s="15">
        <v>1</v>
      </c>
      <c r="O80" s="15">
        <v>0</v>
      </c>
      <c r="P80" s="15">
        <v>0</v>
      </c>
      <c r="Q80" s="15">
        <v>1</v>
      </c>
      <c r="R80" s="15">
        <v>0</v>
      </c>
      <c r="S80" s="15">
        <v>0</v>
      </c>
      <c r="T80" s="15">
        <v>0</v>
      </c>
      <c r="U80" s="15">
        <v>1</v>
      </c>
      <c r="V80" s="15">
        <v>0</v>
      </c>
      <c r="W80" s="15">
        <v>1</v>
      </c>
      <c r="X80" s="15">
        <v>0</v>
      </c>
      <c r="Y80" s="15">
        <v>1</v>
      </c>
      <c r="Z80" s="15">
        <v>2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2</v>
      </c>
      <c r="AK80" s="15">
        <v>0</v>
      </c>
      <c r="AL80" s="15">
        <v>0</v>
      </c>
      <c r="AM80" s="15">
        <v>1</v>
      </c>
      <c r="AN80" s="15">
        <v>0</v>
      </c>
      <c r="AO80" s="15">
        <v>1</v>
      </c>
      <c r="AP80" s="15">
        <v>1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2</v>
      </c>
      <c r="AW80" s="15">
        <v>1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1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3">
        <f t="shared" si="13"/>
        <v>26</v>
      </c>
    </row>
    <row r="81" spans="1:64" ht="12.75" customHeight="1" x14ac:dyDescent="0.3">
      <c r="A81" s="14"/>
      <c r="B81" s="27"/>
      <c r="C81" s="28" t="s">
        <v>70</v>
      </c>
      <c r="D81" s="29"/>
      <c r="E81" s="15">
        <v>0</v>
      </c>
      <c r="F81" s="15">
        <v>1</v>
      </c>
      <c r="G81" s="15">
        <v>0</v>
      </c>
      <c r="H81" s="15">
        <v>0</v>
      </c>
      <c r="I81" s="15">
        <v>1</v>
      </c>
      <c r="J81" s="15">
        <v>1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1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1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1</v>
      </c>
      <c r="AT81" s="15">
        <v>1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1</v>
      </c>
      <c r="BA81" s="15">
        <v>1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3">
        <f t="shared" si="13"/>
        <v>9</v>
      </c>
    </row>
    <row r="82" spans="1:64" ht="12.75" customHeight="1" x14ac:dyDescent="0.3">
      <c r="A82" s="14"/>
      <c r="B82" s="27"/>
      <c r="C82" s="28" t="s">
        <v>71</v>
      </c>
      <c r="D82" s="29"/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1</v>
      </c>
      <c r="AT82" s="15">
        <v>0</v>
      </c>
      <c r="AU82" s="15">
        <v>0</v>
      </c>
      <c r="AV82" s="15">
        <v>0</v>
      </c>
      <c r="AW82" s="15">
        <v>2</v>
      </c>
      <c r="AX82" s="15">
        <v>0</v>
      </c>
      <c r="AY82" s="15">
        <v>0</v>
      </c>
      <c r="AZ82" s="15">
        <v>0</v>
      </c>
      <c r="BA82" s="15">
        <v>1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3">
        <f t="shared" si="13"/>
        <v>4</v>
      </c>
    </row>
    <row r="83" spans="1:64" ht="12.75" customHeight="1" x14ac:dyDescent="0.3">
      <c r="A83" s="15" t="s">
        <v>15</v>
      </c>
      <c r="B83" s="45" t="s">
        <v>47</v>
      </c>
      <c r="C83" s="46"/>
      <c r="D83" s="47"/>
      <c r="E83" s="34">
        <f t="shared" ref="E83:BK83" si="17">SUM(E75:E82)</f>
        <v>20</v>
      </c>
      <c r="F83" s="34">
        <f t="shared" si="17"/>
        <v>22</v>
      </c>
      <c r="G83" s="34">
        <f t="shared" si="17"/>
        <v>18</v>
      </c>
      <c r="H83" s="34">
        <f t="shared" si="17"/>
        <v>26</v>
      </c>
      <c r="I83" s="34">
        <f t="shared" si="17"/>
        <v>31</v>
      </c>
      <c r="J83" s="34">
        <f t="shared" si="17"/>
        <v>18</v>
      </c>
      <c r="K83" s="34">
        <f t="shared" si="17"/>
        <v>16</v>
      </c>
      <c r="L83" s="34">
        <f t="shared" si="17"/>
        <v>17</v>
      </c>
      <c r="M83" s="34">
        <f t="shared" si="17"/>
        <v>11</v>
      </c>
      <c r="N83" s="34">
        <f t="shared" si="17"/>
        <v>42</v>
      </c>
      <c r="O83" s="34">
        <f t="shared" si="17"/>
        <v>22</v>
      </c>
      <c r="P83" s="34">
        <f t="shared" si="17"/>
        <v>15</v>
      </c>
      <c r="Q83" s="34">
        <f t="shared" si="17"/>
        <v>9</v>
      </c>
      <c r="R83" s="34">
        <f t="shared" si="17"/>
        <v>16</v>
      </c>
      <c r="S83" s="34">
        <f t="shared" si="17"/>
        <v>51</v>
      </c>
      <c r="T83" s="34">
        <f t="shared" si="17"/>
        <v>28</v>
      </c>
      <c r="U83" s="34">
        <f t="shared" si="17"/>
        <v>32</v>
      </c>
      <c r="V83" s="34">
        <f t="shared" si="17"/>
        <v>19</v>
      </c>
      <c r="W83" s="34">
        <f t="shared" si="17"/>
        <v>10</v>
      </c>
      <c r="X83" s="34">
        <f t="shared" si="17"/>
        <v>14</v>
      </c>
      <c r="Y83" s="34">
        <f t="shared" si="17"/>
        <v>12</v>
      </c>
      <c r="Z83" s="34">
        <f t="shared" si="17"/>
        <v>5</v>
      </c>
      <c r="AA83" s="34">
        <f t="shared" si="17"/>
        <v>4</v>
      </c>
      <c r="AB83" s="34">
        <f t="shared" si="17"/>
        <v>12</v>
      </c>
      <c r="AC83" s="34">
        <f t="shared" si="17"/>
        <v>10</v>
      </c>
      <c r="AD83" s="34">
        <f t="shared" si="17"/>
        <v>29</v>
      </c>
      <c r="AE83" s="34">
        <f t="shared" si="17"/>
        <v>92</v>
      </c>
      <c r="AF83" s="34">
        <f t="shared" si="17"/>
        <v>124</v>
      </c>
      <c r="AG83" s="34">
        <f t="shared" si="17"/>
        <v>108</v>
      </c>
      <c r="AH83" s="34">
        <f t="shared" si="17"/>
        <v>85</v>
      </c>
      <c r="AI83" s="34">
        <f t="shared" si="17"/>
        <v>60</v>
      </c>
      <c r="AJ83" s="34">
        <f t="shared" si="17"/>
        <v>30</v>
      </c>
      <c r="AK83" s="34">
        <f t="shared" si="17"/>
        <v>52</v>
      </c>
      <c r="AL83" s="34">
        <f t="shared" si="17"/>
        <v>56</v>
      </c>
      <c r="AM83" s="34">
        <f t="shared" si="17"/>
        <v>50</v>
      </c>
      <c r="AN83" s="34">
        <f t="shared" si="17"/>
        <v>54</v>
      </c>
      <c r="AO83" s="34">
        <f t="shared" si="17"/>
        <v>32</v>
      </c>
      <c r="AP83" s="34">
        <f t="shared" si="17"/>
        <v>25</v>
      </c>
      <c r="AQ83" s="34">
        <f t="shared" si="17"/>
        <v>34</v>
      </c>
      <c r="AR83" s="34">
        <f t="shared" si="17"/>
        <v>46</v>
      </c>
      <c r="AS83" s="34">
        <f t="shared" si="17"/>
        <v>57</v>
      </c>
      <c r="AT83" s="34">
        <f t="shared" si="17"/>
        <v>34</v>
      </c>
      <c r="AU83" s="34">
        <f t="shared" si="17"/>
        <v>12</v>
      </c>
      <c r="AV83" s="34">
        <f t="shared" si="17"/>
        <v>26</v>
      </c>
      <c r="AW83" s="34">
        <f t="shared" si="17"/>
        <v>16</v>
      </c>
      <c r="AX83" s="34">
        <f t="shared" si="17"/>
        <v>45</v>
      </c>
      <c r="AY83" s="34">
        <f t="shared" si="17"/>
        <v>33</v>
      </c>
      <c r="AZ83" s="34">
        <f t="shared" si="17"/>
        <v>41</v>
      </c>
      <c r="BA83" s="34">
        <f t="shared" si="17"/>
        <v>88</v>
      </c>
      <c r="BB83" s="34">
        <f t="shared" si="17"/>
        <v>40</v>
      </c>
      <c r="BC83" s="34">
        <f t="shared" si="17"/>
        <v>39</v>
      </c>
      <c r="BD83" s="34">
        <f t="shared" si="17"/>
        <v>27</v>
      </c>
      <c r="BE83" s="34">
        <f t="shared" si="17"/>
        <v>41</v>
      </c>
      <c r="BF83" s="34">
        <f t="shared" si="17"/>
        <v>57</v>
      </c>
      <c r="BG83" s="34">
        <f t="shared" si="17"/>
        <v>45</v>
      </c>
      <c r="BH83" s="34">
        <f t="shared" si="17"/>
        <v>71</v>
      </c>
      <c r="BI83" s="34">
        <f t="shared" si="17"/>
        <v>145</v>
      </c>
      <c r="BJ83" s="34">
        <f t="shared" si="17"/>
        <v>123</v>
      </c>
      <c r="BK83" s="34">
        <f t="shared" si="17"/>
        <v>62</v>
      </c>
      <c r="BL83" s="13">
        <f t="shared" si="13"/>
        <v>2359</v>
      </c>
    </row>
    <row r="84" spans="1:64" ht="12.75" customHeight="1" x14ac:dyDescent="0.3">
      <c r="A84" s="35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13">
        <f t="shared" si="13"/>
        <v>0</v>
      </c>
    </row>
    <row r="85" spans="1:64" ht="12.75" customHeight="1" x14ac:dyDescent="0.3">
      <c r="A85" s="19" t="s">
        <v>37</v>
      </c>
      <c r="B85" s="26" t="s">
        <v>72</v>
      </c>
      <c r="C85" s="48" t="s">
        <v>73</v>
      </c>
      <c r="D85" s="47"/>
      <c r="E85" s="15">
        <v>1</v>
      </c>
      <c r="F85" s="15">
        <v>2</v>
      </c>
      <c r="G85" s="15">
        <v>0</v>
      </c>
      <c r="H85" s="15">
        <v>0</v>
      </c>
      <c r="I85" s="15">
        <v>2</v>
      </c>
      <c r="J85" s="15">
        <v>3</v>
      </c>
      <c r="K85" s="15">
        <v>0</v>
      </c>
      <c r="L85" s="15">
        <v>1</v>
      </c>
      <c r="M85" s="15">
        <v>0</v>
      </c>
      <c r="N85" s="15">
        <v>3</v>
      </c>
      <c r="O85" s="15">
        <v>1</v>
      </c>
      <c r="P85" s="15">
        <v>1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1</v>
      </c>
      <c r="X85" s="15">
        <v>2</v>
      </c>
      <c r="Y85" s="15">
        <v>1</v>
      </c>
      <c r="Z85" s="15">
        <v>0</v>
      </c>
      <c r="AA85" s="15">
        <v>3</v>
      </c>
      <c r="AB85" s="15">
        <v>0</v>
      </c>
      <c r="AC85" s="15">
        <v>1</v>
      </c>
      <c r="AD85" s="15">
        <v>0</v>
      </c>
      <c r="AE85" s="15">
        <v>0</v>
      </c>
      <c r="AF85" s="15">
        <v>0</v>
      </c>
      <c r="AG85" s="15">
        <v>1</v>
      </c>
      <c r="AH85" s="15">
        <v>0</v>
      </c>
      <c r="AI85" s="15">
        <v>0</v>
      </c>
      <c r="AJ85" s="15">
        <v>0</v>
      </c>
      <c r="AK85" s="15">
        <v>0</v>
      </c>
      <c r="AL85" s="15">
        <v>1</v>
      </c>
      <c r="AM85" s="15">
        <v>3</v>
      </c>
      <c r="AN85" s="15">
        <v>2</v>
      </c>
      <c r="AO85" s="15">
        <v>2</v>
      </c>
      <c r="AP85" s="15">
        <v>3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1</v>
      </c>
      <c r="AX85" s="15">
        <v>0</v>
      </c>
      <c r="AY85" s="15">
        <v>1</v>
      </c>
      <c r="AZ85" s="15">
        <v>1</v>
      </c>
      <c r="BA85" s="15">
        <v>0</v>
      </c>
      <c r="BB85" s="15">
        <v>2</v>
      </c>
      <c r="BC85" s="15">
        <v>1</v>
      </c>
      <c r="BD85" s="15">
        <v>2</v>
      </c>
      <c r="BE85" s="15">
        <v>0</v>
      </c>
      <c r="BF85" s="15">
        <v>0</v>
      </c>
      <c r="BG85" s="15">
        <v>3</v>
      </c>
      <c r="BH85" s="15">
        <v>0</v>
      </c>
      <c r="BI85" s="15">
        <v>0</v>
      </c>
      <c r="BJ85" s="15">
        <v>0</v>
      </c>
      <c r="BK85" s="15">
        <v>0</v>
      </c>
      <c r="BL85" s="13">
        <f t="shared" si="13"/>
        <v>45</v>
      </c>
    </row>
    <row r="86" spans="1:64" ht="12.75" customHeight="1" x14ac:dyDescent="0.3">
      <c r="A86" s="19" t="s">
        <v>39</v>
      </c>
      <c r="B86" s="27"/>
      <c r="C86" s="28" t="s">
        <v>74</v>
      </c>
      <c r="D86" s="29"/>
      <c r="E86" s="15">
        <v>2</v>
      </c>
      <c r="F86" s="15">
        <v>0</v>
      </c>
      <c r="G86" s="15">
        <v>1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1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1</v>
      </c>
      <c r="Y86" s="15">
        <v>0</v>
      </c>
      <c r="Z86" s="15">
        <v>0</v>
      </c>
      <c r="AA86" s="15">
        <v>0</v>
      </c>
      <c r="AB86" s="15">
        <v>1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1</v>
      </c>
      <c r="AN86" s="15">
        <v>0</v>
      </c>
      <c r="AO86" s="15">
        <v>1</v>
      </c>
      <c r="AP86" s="15">
        <v>1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1</v>
      </c>
      <c r="AW86" s="15">
        <v>0</v>
      </c>
      <c r="AX86" s="15">
        <v>0</v>
      </c>
      <c r="AY86" s="15">
        <v>1</v>
      </c>
      <c r="AZ86" s="15">
        <v>0</v>
      </c>
      <c r="BA86" s="15">
        <v>1</v>
      </c>
      <c r="BB86" s="15">
        <v>0</v>
      </c>
      <c r="BC86" s="15">
        <v>0</v>
      </c>
      <c r="BD86" s="15">
        <v>1</v>
      </c>
      <c r="BE86" s="15">
        <v>1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1</v>
      </c>
      <c r="BL86" s="13">
        <f t="shared" si="13"/>
        <v>15</v>
      </c>
    </row>
    <row r="87" spans="1:64" ht="12.75" customHeight="1" x14ac:dyDescent="0.3">
      <c r="A87" s="14"/>
      <c r="B87" s="27"/>
      <c r="C87" s="28" t="s">
        <v>75</v>
      </c>
      <c r="D87" s="29"/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1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1</v>
      </c>
      <c r="W87" s="15">
        <v>0</v>
      </c>
      <c r="X87" s="15">
        <v>0</v>
      </c>
      <c r="Y87" s="15">
        <v>0</v>
      </c>
      <c r="Z87" s="15">
        <v>1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2</v>
      </c>
      <c r="AH87" s="15">
        <v>0</v>
      </c>
      <c r="AI87" s="15">
        <v>0</v>
      </c>
      <c r="AJ87" s="15">
        <v>0</v>
      </c>
      <c r="AK87" s="15">
        <v>1</v>
      </c>
      <c r="AL87" s="15">
        <v>0</v>
      </c>
      <c r="AM87" s="15">
        <v>0</v>
      </c>
      <c r="AN87" s="15">
        <v>1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1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1</v>
      </c>
      <c r="BC87" s="15">
        <v>1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3">
        <f t="shared" si="13"/>
        <v>10</v>
      </c>
    </row>
    <row r="88" spans="1:64" ht="12.75" customHeight="1" x14ac:dyDescent="0.3">
      <c r="A88" s="14"/>
      <c r="B88" s="27"/>
      <c r="C88" s="28" t="s">
        <v>76</v>
      </c>
      <c r="D88" s="29"/>
      <c r="E88" s="15">
        <v>0</v>
      </c>
      <c r="F88" s="15">
        <v>0</v>
      </c>
      <c r="G88" s="15">
        <v>0</v>
      </c>
      <c r="H88" s="15">
        <v>0</v>
      </c>
      <c r="I88" s="15">
        <v>1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1</v>
      </c>
      <c r="AB88" s="15">
        <v>0</v>
      </c>
      <c r="AC88" s="15">
        <v>0</v>
      </c>
      <c r="AD88" s="15">
        <v>1</v>
      </c>
      <c r="AE88" s="15">
        <v>1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1</v>
      </c>
      <c r="AQ88" s="15">
        <v>0</v>
      </c>
      <c r="AR88" s="15">
        <v>1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1</v>
      </c>
      <c r="AZ88" s="15">
        <v>0</v>
      </c>
      <c r="BA88" s="15">
        <v>0</v>
      </c>
      <c r="BB88" s="15">
        <v>0</v>
      </c>
      <c r="BC88" s="15">
        <v>0</v>
      </c>
      <c r="BD88" s="15">
        <v>1</v>
      </c>
      <c r="BE88" s="15">
        <v>0</v>
      </c>
      <c r="BF88" s="15">
        <v>0</v>
      </c>
      <c r="BG88" s="15">
        <v>0</v>
      </c>
      <c r="BH88" s="15">
        <v>0</v>
      </c>
      <c r="BI88" s="15">
        <v>1</v>
      </c>
      <c r="BJ88" s="15">
        <v>0</v>
      </c>
      <c r="BK88" s="15">
        <v>1</v>
      </c>
      <c r="BL88" s="13">
        <f t="shared" si="13"/>
        <v>10</v>
      </c>
    </row>
    <row r="89" spans="1:64" ht="12.75" customHeight="1" x14ac:dyDescent="0.3">
      <c r="A89" s="14"/>
      <c r="B89" s="27"/>
      <c r="C89" s="28" t="s">
        <v>77</v>
      </c>
      <c r="D89" s="29"/>
      <c r="E89" s="15">
        <v>1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1</v>
      </c>
      <c r="O89" s="15">
        <v>0</v>
      </c>
      <c r="P89" s="15">
        <v>0</v>
      </c>
      <c r="Q89" s="15">
        <v>0</v>
      </c>
      <c r="R89" s="15">
        <v>1</v>
      </c>
      <c r="S89" s="15">
        <v>0</v>
      </c>
      <c r="T89" s="15">
        <v>0</v>
      </c>
      <c r="U89" s="15">
        <v>0</v>
      </c>
      <c r="V89" s="15">
        <v>1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1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5</v>
      </c>
      <c r="AL89" s="15">
        <v>0</v>
      </c>
      <c r="AM89" s="15">
        <v>0</v>
      </c>
      <c r="AN89" s="15">
        <v>0</v>
      </c>
      <c r="AO89" s="15">
        <v>1</v>
      </c>
      <c r="AP89" s="15">
        <v>1</v>
      </c>
      <c r="AQ89" s="15">
        <v>1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2</v>
      </c>
      <c r="AX89" s="15">
        <v>0</v>
      </c>
      <c r="AY89" s="15">
        <v>0</v>
      </c>
      <c r="AZ89" s="15">
        <v>0</v>
      </c>
      <c r="BA89" s="15">
        <v>1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1</v>
      </c>
      <c r="BL89" s="13">
        <f t="shared" si="13"/>
        <v>17</v>
      </c>
    </row>
    <row r="90" spans="1:64" ht="12.75" customHeight="1" x14ac:dyDescent="0.3">
      <c r="A90" s="14"/>
      <c r="B90" s="27"/>
      <c r="C90" s="28" t="s">
        <v>78</v>
      </c>
      <c r="D90" s="29"/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1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1</v>
      </c>
      <c r="W90" s="15">
        <v>1</v>
      </c>
      <c r="X90" s="15">
        <v>1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1</v>
      </c>
      <c r="AQ90" s="15">
        <v>0</v>
      </c>
      <c r="AR90" s="15">
        <v>0</v>
      </c>
      <c r="AS90" s="15">
        <v>0</v>
      </c>
      <c r="AT90" s="15">
        <v>1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1</v>
      </c>
      <c r="BE90" s="15">
        <v>0</v>
      </c>
      <c r="BF90" s="15">
        <v>0</v>
      </c>
      <c r="BG90" s="15">
        <v>0</v>
      </c>
      <c r="BH90" s="15">
        <v>1</v>
      </c>
      <c r="BI90" s="15">
        <v>0</v>
      </c>
      <c r="BJ90" s="15">
        <v>0</v>
      </c>
      <c r="BK90" s="15">
        <v>0</v>
      </c>
      <c r="BL90" s="13">
        <f t="shared" si="13"/>
        <v>8</v>
      </c>
    </row>
    <row r="91" spans="1:64" ht="15" customHeight="1" x14ac:dyDescent="0.3">
      <c r="A91" s="14"/>
      <c r="B91" s="27"/>
      <c r="C91" s="28" t="s">
        <v>79</v>
      </c>
      <c r="D91" s="29"/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3</v>
      </c>
      <c r="AN91" s="15">
        <v>0</v>
      </c>
      <c r="AO91" s="15">
        <v>0</v>
      </c>
      <c r="AP91" s="15">
        <v>0</v>
      </c>
      <c r="AQ91" s="15">
        <v>1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1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1</v>
      </c>
      <c r="BI91" s="15">
        <v>0</v>
      </c>
      <c r="BJ91" s="15">
        <v>0</v>
      </c>
      <c r="BK91" s="15">
        <v>0</v>
      </c>
      <c r="BL91" s="13">
        <f t="shared" si="13"/>
        <v>6</v>
      </c>
    </row>
    <row r="92" spans="1:64" ht="12.75" customHeight="1" x14ac:dyDescent="0.3">
      <c r="A92" s="14"/>
      <c r="B92" s="27"/>
      <c r="C92" s="28" t="s">
        <v>80</v>
      </c>
      <c r="D92" s="29"/>
      <c r="E92" s="15">
        <v>3</v>
      </c>
      <c r="F92" s="15">
        <v>7</v>
      </c>
      <c r="G92" s="15">
        <v>3</v>
      </c>
      <c r="H92" s="15">
        <v>0</v>
      </c>
      <c r="I92" s="15">
        <v>2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1</v>
      </c>
      <c r="Q92" s="15">
        <v>0</v>
      </c>
      <c r="R92" s="15">
        <v>0</v>
      </c>
      <c r="S92" s="15">
        <v>0</v>
      </c>
      <c r="T92" s="15">
        <v>0</v>
      </c>
      <c r="U92" s="15">
        <v>1</v>
      </c>
      <c r="V92" s="15">
        <v>1</v>
      </c>
      <c r="W92" s="15">
        <v>1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1</v>
      </c>
      <c r="AG92" s="15">
        <v>2</v>
      </c>
      <c r="AH92" s="15">
        <v>9</v>
      </c>
      <c r="AI92" s="15">
        <v>0</v>
      </c>
      <c r="AJ92" s="15">
        <v>0</v>
      </c>
      <c r="AK92" s="15">
        <v>0</v>
      </c>
      <c r="AL92" s="15">
        <v>1</v>
      </c>
      <c r="AM92" s="15">
        <v>4</v>
      </c>
      <c r="AN92" s="15">
        <v>2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2</v>
      </c>
      <c r="BB92" s="15">
        <v>0</v>
      </c>
      <c r="BC92" s="15">
        <v>0</v>
      </c>
      <c r="BD92" s="15">
        <v>2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>
        <v>1</v>
      </c>
      <c r="BL92" s="13">
        <f t="shared" si="13"/>
        <v>43</v>
      </c>
    </row>
    <row r="93" spans="1:64" ht="12.75" customHeight="1" x14ac:dyDescent="0.3">
      <c r="A93" s="15" t="s">
        <v>15</v>
      </c>
      <c r="B93" s="45" t="s">
        <v>47</v>
      </c>
      <c r="C93" s="46"/>
      <c r="D93" s="47"/>
      <c r="E93" s="34">
        <f t="shared" ref="E93:BK93" si="18">SUM(E85:E92)</f>
        <v>7</v>
      </c>
      <c r="F93" s="34">
        <f t="shared" si="18"/>
        <v>9</v>
      </c>
      <c r="G93" s="34">
        <f t="shared" si="18"/>
        <v>4</v>
      </c>
      <c r="H93" s="34">
        <f t="shared" si="18"/>
        <v>0</v>
      </c>
      <c r="I93" s="34">
        <f t="shared" si="18"/>
        <v>5</v>
      </c>
      <c r="J93" s="34">
        <f t="shared" si="18"/>
        <v>3</v>
      </c>
      <c r="K93" s="34">
        <f t="shared" si="18"/>
        <v>1</v>
      </c>
      <c r="L93" s="34">
        <f t="shared" si="18"/>
        <v>1</v>
      </c>
      <c r="M93" s="34">
        <f t="shared" si="18"/>
        <v>0</v>
      </c>
      <c r="N93" s="34">
        <f t="shared" si="18"/>
        <v>5</v>
      </c>
      <c r="O93" s="34">
        <f t="shared" si="18"/>
        <v>2</v>
      </c>
      <c r="P93" s="34">
        <f t="shared" si="18"/>
        <v>2</v>
      </c>
      <c r="Q93" s="34">
        <f t="shared" si="18"/>
        <v>0</v>
      </c>
      <c r="R93" s="34">
        <f t="shared" si="18"/>
        <v>1</v>
      </c>
      <c r="S93" s="34">
        <f t="shared" si="18"/>
        <v>0</v>
      </c>
      <c r="T93" s="34">
        <f t="shared" si="18"/>
        <v>0</v>
      </c>
      <c r="U93" s="34">
        <f t="shared" si="18"/>
        <v>1</v>
      </c>
      <c r="V93" s="34">
        <f t="shared" si="18"/>
        <v>4</v>
      </c>
      <c r="W93" s="34">
        <f t="shared" si="18"/>
        <v>3</v>
      </c>
      <c r="X93" s="34">
        <f t="shared" si="18"/>
        <v>4</v>
      </c>
      <c r="Y93" s="34">
        <f t="shared" si="18"/>
        <v>1</v>
      </c>
      <c r="Z93" s="34">
        <f t="shared" si="18"/>
        <v>1</v>
      </c>
      <c r="AA93" s="34">
        <f t="shared" si="18"/>
        <v>4</v>
      </c>
      <c r="AB93" s="34">
        <f t="shared" si="18"/>
        <v>2</v>
      </c>
      <c r="AC93" s="34">
        <f t="shared" si="18"/>
        <v>1</v>
      </c>
      <c r="AD93" s="34">
        <f t="shared" si="18"/>
        <v>1</v>
      </c>
      <c r="AE93" s="34">
        <f t="shared" si="18"/>
        <v>1</v>
      </c>
      <c r="AF93" s="34">
        <f t="shared" si="18"/>
        <v>1</v>
      </c>
      <c r="AG93" s="34">
        <f t="shared" si="18"/>
        <v>5</v>
      </c>
      <c r="AH93" s="34">
        <f t="shared" si="18"/>
        <v>9</v>
      </c>
      <c r="AI93" s="34">
        <f t="shared" si="18"/>
        <v>0</v>
      </c>
      <c r="AJ93" s="34">
        <f t="shared" si="18"/>
        <v>0</v>
      </c>
      <c r="AK93" s="34">
        <f t="shared" si="18"/>
        <v>6</v>
      </c>
      <c r="AL93" s="34">
        <f t="shared" si="18"/>
        <v>2</v>
      </c>
      <c r="AM93" s="34">
        <f t="shared" si="18"/>
        <v>11</v>
      </c>
      <c r="AN93" s="34">
        <f t="shared" si="18"/>
        <v>5</v>
      </c>
      <c r="AO93" s="34">
        <f t="shared" si="18"/>
        <v>4</v>
      </c>
      <c r="AP93" s="34">
        <f t="shared" si="18"/>
        <v>7</v>
      </c>
      <c r="AQ93" s="34">
        <f t="shared" si="18"/>
        <v>2</v>
      </c>
      <c r="AR93" s="34">
        <f t="shared" si="18"/>
        <v>1</v>
      </c>
      <c r="AS93" s="34">
        <f t="shared" si="18"/>
        <v>0</v>
      </c>
      <c r="AT93" s="34">
        <f t="shared" si="18"/>
        <v>1</v>
      </c>
      <c r="AU93" s="34">
        <f t="shared" si="18"/>
        <v>0</v>
      </c>
      <c r="AV93" s="34">
        <f t="shared" si="18"/>
        <v>2</v>
      </c>
      <c r="AW93" s="34">
        <f t="shared" si="18"/>
        <v>3</v>
      </c>
      <c r="AX93" s="34">
        <f t="shared" si="18"/>
        <v>0</v>
      </c>
      <c r="AY93" s="34">
        <f t="shared" si="18"/>
        <v>3</v>
      </c>
      <c r="AZ93" s="34">
        <f t="shared" si="18"/>
        <v>1</v>
      </c>
      <c r="BA93" s="34">
        <f t="shared" si="18"/>
        <v>5</v>
      </c>
      <c r="BB93" s="34">
        <f t="shared" si="18"/>
        <v>3</v>
      </c>
      <c r="BC93" s="34">
        <f t="shared" si="18"/>
        <v>2</v>
      </c>
      <c r="BD93" s="34">
        <f t="shared" si="18"/>
        <v>7</v>
      </c>
      <c r="BE93" s="34">
        <f t="shared" si="18"/>
        <v>1</v>
      </c>
      <c r="BF93" s="34">
        <f t="shared" si="18"/>
        <v>0</v>
      </c>
      <c r="BG93" s="34">
        <f t="shared" si="18"/>
        <v>3</v>
      </c>
      <c r="BH93" s="34">
        <f t="shared" si="18"/>
        <v>2</v>
      </c>
      <c r="BI93" s="34">
        <f t="shared" si="18"/>
        <v>1</v>
      </c>
      <c r="BJ93" s="34">
        <f t="shared" si="18"/>
        <v>0</v>
      </c>
      <c r="BK93" s="34">
        <f t="shared" si="18"/>
        <v>4</v>
      </c>
      <c r="BL93" s="13">
        <f t="shared" si="13"/>
        <v>154</v>
      </c>
    </row>
    <row r="94" spans="1:64" ht="12.75" customHeight="1" x14ac:dyDescent="0.3">
      <c r="A94" s="35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13">
        <f t="shared" si="13"/>
        <v>0</v>
      </c>
    </row>
    <row r="95" spans="1:64" ht="12.75" customHeight="1" x14ac:dyDescent="0.3">
      <c r="A95" s="19" t="s">
        <v>37</v>
      </c>
      <c r="B95" s="26" t="s">
        <v>81</v>
      </c>
      <c r="C95" s="48" t="s">
        <v>82</v>
      </c>
      <c r="D95" s="47"/>
      <c r="E95" s="15">
        <v>0</v>
      </c>
      <c r="F95" s="15">
        <v>1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1</v>
      </c>
      <c r="M95" s="15">
        <v>0</v>
      </c>
      <c r="N95" s="15">
        <v>1</v>
      </c>
      <c r="O95" s="15">
        <v>1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1</v>
      </c>
      <c r="V95" s="15">
        <v>0</v>
      </c>
      <c r="W95" s="15">
        <v>1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1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1</v>
      </c>
      <c r="AN95" s="15">
        <v>0</v>
      </c>
      <c r="AO95" s="15">
        <v>0</v>
      </c>
      <c r="AP95" s="15">
        <v>1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1</v>
      </c>
      <c r="AW95" s="15">
        <v>1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2</v>
      </c>
      <c r="BD95" s="15">
        <v>1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3">
        <f t="shared" si="13"/>
        <v>14</v>
      </c>
    </row>
    <row r="96" spans="1:64" ht="12.75" customHeight="1" x14ac:dyDescent="0.3">
      <c r="A96" s="19" t="s">
        <v>39</v>
      </c>
      <c r="B96" s="27"/>
      <c r="C96" s="28" t="s">
        <v>83</v>
      </c>
      <c r="D96" s="37"/>
      <c r="E96" s="15">
        <v>1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1</v>
      </c>
      <c r="M96" s="15">
        <v>0</v>
      </c>
      <c r="N96" s="15">
        <v>0</v>
      </c>
      <c r="O96" s="15">
        <v>0</v>
      </c>
      <c r="P96" s="15">
        <v>1</v>
      </c>
      <c r="Q96" s="15">
        <v>0</v>
      </c>
      <c r="R96" s="15">
        <v>0</v>
      </c>
      <c r="S96" s="15">
        <v>1</v>
      </c>
      <c r="T96" s="15">
        <v>0</v>
      </c>
      <c r="U96" s="15">
        <v>0</v>
      </c>
      <c r="V96" s="15">
        <v>1</v>
      </c>
      <c r="W96" s="15">
        <v>0</v>
      </c>
      <c r="X96" s="15">
        <v>0</v>
      </c>
      <c r="Y96" s="15">
        <v>0</v>
      </c>
      <c r="Z96" s="15">
        <v>0</v>
      </c>
      <c r="AA96" s="15">
        <v>1</v>
      </c>
      <c r="AB96" s="15">
        <v>0</v>
      </c>
      <c r="AC96" s="15">
        <v>1</v>
      </c>
      <c r="AD96" s="15">
        <v>0</v>
      </c>
      <c r="AE96" s="15">
        <v>0</v>
      </c>
      <c r="AF96" s="15">
        <v>1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1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1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2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3">
        <f t="shared" si="13"/>
        <v>12</v>
      </c>
    </row>
    <row r="97" spans="1:64" ht="12.75" customHeight="1" x14ac:dyDescent="0.3">
      <c r="A97" s="15" t="s">
        <v>15</v>
      </c>
      <c r="B97" s="45" t="s">
        <v>47</v>
      </c>
      <c r="C97" s="46"/>
      <c r="D97" s="47"/>
      <c r="E97" s="34">
        <f t="shared" ref="E97:BK97" si="19">SUM(E95:E96)</f>
        <v>1</v>
      </c>
      <c r="F97" s="34">
        <f t="shared" si="19"/>
        <v>1</v>
      </c>
      <c r="G97" s="34">
        <f t="shared" si="19"/>
        <v>0</v>
      </c>
      <c r="H97" s="34">
        <f t="shared" si="19"/>
        <v>0</v>
      </c>
      <c r="I97" s="34">
        <f t="shared" si="19"/>
        <v>0</v>
      </c>
      <c r="J97" s="34">
        <f t="shared" si="19"/>
        <v>0</v>
      </c>
      <c r="K97" s="34">
        <f t="shared" si="19"/>
        <v>0</v>
      </c>
      <c r="L97" s="34">
        <f t="shared" si="19"/>
        <v>2</v>
      </c>
      <c r="M97" s="34">
        <f t="shared" si="19"/>
        <v>0</v>
      </c>
      <c r="N97" s="34">
        <f t="shared" si="19"/>
        <v>1</v>
      </c>
      <c r="O97" s="34">
        <f t="shared" si="19"/>
        <v>1</v>
      </c>
      <c r="P97" s="34">
        <f t="shared" si="19"/>
        <v>1</v>
      </c>
      <c r="Q97" s="34">
        <f t="shared" si="19"/>
        <v>0</v>
      </c>
      <c r="R97" s="34">
        <f t="shared" si="19"/>
        <v>0</v>
      </c>
      <c r="S97" s="34">
        <f t="shared" si="19"/>
        <v>1</v>
      </c>
      <c r="T97" s="34">
        <f t="shared" si="19"/>
        <v>0</v>
      </c>
      <c r="U97" s="34">
        <f t="shared" si="19"/>
        <v>1</v>
      </c>
      <c r="V97" s="34">
        <f t="shared" si="19"/>
        <v>1</v>
      </c>
      <c r="W97" s="34">
        <f t="shared" si="19"/>
        <v>1</v>
      </c>
      <c r="X97" s="34">
        <f t="shared" si="19"/>
        <v>0</v>
      </c>
      <c r="Y97" s="34">
        <f t="shared" si="19"/>
        <v>0</v>
      </c>
      <c r="Z97" s="34">
        <f t="shared" si="19"/>
        <v>0</v>
      </c>
      <c r="AA97" s="34">
        <f t="shared" si="19"/>
        <v>1</v>
      </c>
      <c r="AB97" s="34">
        <f t="shared" si="19"/>
        <v>0</v>
      </c>
      <c r="AC97" s="34">
        <f t="shared" si="19"/>
        <v>1</v>
      </c>
      <c r="AD97" s="34">
        <f t="shared" si="19"/>
        <v>0</v>
      </c>
      <c r="AE97" s="34">
        <f t="shared" si="19"/>
        <v>1</v>
      </c>
      <c r="AF97" s="34">
        <f t="shared" si="19"/>
        <v>1</v>
      </c>
      <c r="AG97" s="34">
        <f t="shared" si="19"/>
        <v>0</v>
      </c>
      <c r="AH97" s="34">
        <f t="shared" si="19"/>
        <v>0</v>
      </c>
      <c r="AI97" s="34">
        <f t="shared" si="19"/>
        <v>0</v>
      </c>
      <c r="AJ97" s="34">
        <f t="shared" si="19"/>
        <v>0</v>
      </c>
      <c r="AK97" s="34">
        <f t="shared" si="19"/>
        <v>0</v>
      </c>
      <c r="AL97" s="34">
        <f t="shared" si="19"/>
        <v>1</v>
      </c>
      <c r="AM97" s="34">
        <f t="shared" si="19"/>
        <v>1</v>
      </c>
      <c r="AN97" s="34">
        <f t="shared" si="19"/>
        <v>0</v>
      </c>
      <c r="AO97" s="34">
        <f t="shared" si="19"/>
        <v>0</v>
      </c>
      <c r="AP97" s="34">
        <f t="shared" si="19"/>
        <v>1</v>
      </c>
      <c r="AQ97" s="34">
        <f t="shared" si="19"/>
        <v>0</v>
      </c>
      <c r="AR97" s="34">
        <f t="shared" si="19"/>
        <v>0</v>
      </c>
      <c r="AS97" s="34">
        <f t="shared" si="19"/>
        <v>0</v>
      </c>
      <c r="AT97" s="34">
        <f t="shared" si="19"/>
        <v>0</v>
      </c>
      <c r="AU97" s="34">
        <f t="shared" si="19"/>
        <v>0</v>
      </c>
      <c r="AV97" s="34">
        <f t="shared" si="19"/>
        <v>1</v>
      </c>
      <c r="AW97" s="34">
        <f t="shared" si="19"/>
        <v>1</v>
      </c>
      <c r="AX97" s="34">
        <f t="shared" si="19"/>
        <v>0</v>
      </c>
      <c r="AY97" s="34">
        <f t="shared" si="19"/>
        <v>1</v>
      </c>
      <c r="AZ97" s="34">
        <f t="shared" si="19"/>
        <v>0</v>
      </c>
      <c r="BA97" s="34">
        <f t="shared" si="19"/>
        <v>0</v>
      </c>
      <c r="BB97" s="34">
        <f t="shared" si="19"/>
        <v>0</v>
      </c>
      <c r="BC97" s="34">
        <f t="shared" si="19"/>
        <v>2</v>
      </c>
      <c r="BD97" s="34">
        <f t="shared" si="19"/>
        <v>1</v>
      </c>
      <c r="BE97" s="34">
        <f t="shared" si="19"/>
        <v>2</v>
      </c>
      <c r="BF97" s="34">
        <f t="shared" si="19"/>
        <v>0</v>
      </c>
      <c r="BG97" s="34">
        <f t="shared" si="19"/>
        <v>0</v>
      </c>
      <c r="BH97" s="34">
        <f t="shared" si="19"/>
        <v>0</v>
      </c>
      <c r="BI97" s="34">
        <f t="shared" si="19"/>
        <v>0</v>
      </c>
      <c r="BJ97" s="34">
        <f t="shared" si="19"/>
        <v>0</v>
      </c>
      <c r="BK97" s="34">
        <f t="shared" si="19"/>
        <v>0</v>
      </c>
      <c r="BL97" s="13">
        <f t="shared" si="13"/>
        <v>26</v>
      </c>
    </row>
    <row r="98" spans="1:64" ht="12.75" customHeight="1" x14ac:dyDescent="0.3">
      <c r="A98" s="35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13">
        <f t="shared" si="13"/>
        <v>0</v>
      </c>
    </row>
    <row r="99" spans="1:64" ht="12.75" customHeight="1" x14ac:dyDescent="0.3">
      <c r="A99" s="19" t="s">
        <v>37</v>
      </c>
      <c r="B99" s="26" t="s">
        <v>84</v>
      </c>
      <c r="C99" s="48" t="s">
        <v>85</v>
      </c>
      <c r="D99" s="47"/>
      <c r="E99" s="15">
        <v>2</v>
      </c>
      <c r="F99" s="15">
        <v>2</v>
      </c>
      <c r="G99" s="15">
        <v>0</v>
      </c>
      <c r="H99" s="15">
        <v>0</v>
      </c>
      <c r="I99" s="15">
        <v>1</v>
      </c>
      <c r="J99" s="15">
        <v>2</v>
      </c>
      <c r="K99" s="15">
        <v>2</v>
      </c>
      <c r="L99" s="15">
        <v>3</v>
      </c>
      <c r="M99" s="15">
        <v>1</v>
      </c>
      <c r="N99" s="15">
        <v>1</v>
      </c>
      <c r="O99" s="15">
        <v>1</v>
      </c>
      <c r="P99" s="15">
        <v>0</v>
      </c>
      <c r="Q99" s="15">
        <v>3</v>
      </c>
      <c r="R99" s="15">
        <v>3</v>
      </c>
      <c r="S99" s="15">
        <v>1</v>
      </c>
      <c r="T99" s="15">
        <v>1</v>
      </c>
      <c r="U99" s="15">
        <v>1</v>
      </c>
      <c r="V99" s="15">
        <v>0</v>
      </c>
      <c r="W99" s="15">
        <v>0</v>
      </c>
      <c r="X99" s="15">
        <v>2</v>
      </c>
      <c r="Y99" s="15">
        <v>0</v>
      </c>
      <c r="Z99" s="15">
        <v>0</v>
      </c>
      <c r="AA99" s="15">
        <v>0</v>
      </c>
      <c r="AB99" s="15">
        <v>0</v>
      </c>
      <c r="AC99" s="15">
        <v>1</v>
      </c>
      <c r="AD99" s="15">
        <v>1</v>
      </c>
      <c r="AE99" s="15">
        <v>0</v>
      </c>
      <c r="AF99" s="15">
        <v>0</v>
      </c>
      <c r="AG99" s="15">
        <v>1</v>
      </c>
      <c r="AH99" s="15">
        <v>0</v>
      </c>
      <c r="AI99" s="15">
        <v>0</v>
      </c>
      <c r="AJ99" s="15">
        <v>0</v>
      </c>
      <c r="AK99" s="15">
        <v>2</v>
      </c>
      <c r="AL99" s="15">
        <v>1</v>
      </c>
      <c r="AM99" s="15">
        <v>1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2</v>
      </c>
      <c r="AT99" s="15">
        <v>1</v>
      </c>
      <c r="AU99" s="15">
        <v>2</v>
      </c>
      <c r="AV99" s="15">
        <v>2</v>
      </c>
      <c r="AW99" s="15">
        <v>5</v>
      </c>
      <c r="AX99" s="15">
        <v>0</v>
      </c>
      <c r="AY99" s="15">
        <v>3</v>
      </c>
      <c r="AZ99" s="15">
        <v>1</v>
      </c>
      <c r="BA99" s="15">
        <v>1</v>
      </c>
      <c r="BB99" s="15">
        <v>0</v>
      </c>
      <c r="BC99" s="15">
        <v>0</v>
      </c>
      <c r="BD99" s="15">
        <v>1</v>
      </c>
      <c r="BE99" s="15">
        <v>3</v>
      </c>
      <c r="BF99" s="15">
        <v>2</v>
      </c>
      <c r="BG99" s="15">
        <v>0</v>
      </c>
      <c r="BH99" s="15">
        <v>0</v>
      </c>
      <c r="BI99" s="15">
        <v>2</v>
      </c>
      <c r="BJ99" s="15">
        <v>1</v>
      </c>
      <c r="BK99" s="15">
        <v>0</v>
      </c>
      <c r="BL99" s="13">
        <f t="shared" si="13"/>
        <v>59</v>
      </c>
    </row>
    <row r="100" spans="1:64" ht="12.75" customHeight="1" x14ac:dyDescent="0.3">
      <c r="A100" s="19" t="s">
        <v>39</v>
      </c>
      <c r="B100" s="27"/>
      <c r="C100" s="28" t="s">
        <v>86</v>
      </c>
      <c r="D100" s="29"/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1</v>
      </c>
      <c r="N100" s="15">
        <v>0</v>
      </c>
      <c r="O100" s="15">
        <v>0</v>
      </c>
      <c r="P100" s="15">
        <v>1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1</v>
      </c>
      <c r="X100" s="15">
        <v>0</v>
      </c>
      <c r="Y100" s="15">
        <v>0</v>
      </c>
      <c r="Z100" s="15">
        <v>1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1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1</v>
      </c>
      <c r="AW100" s="15">
        <v>0</v>
      </c>
      <c r="AX100" s="15">
        <v>1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0</v>
      </c>
      <c r="BK100" s="15">
        <v>0</v>
      </c>
      <c r="BL100" s="13">
        <f t="shared" si="13"/>
        <v>7</v>
      </c>
    </row>
    <row r="101" spans="1:64" ht="12.75" customHeight="1" x14ac:dyDescent="0.3">
      <c r="A101" s="15" t="s">
        <v>15</v>
      </c>
      <c r="B101" s="45" t="s">
        <v>47</v>
      </c>
      <c r="C101" s="46"/>
      <c r="D101" s="47"/>
      <c r="E101" s="34">
        <f t="shared" ref="E101:BK101" si="20">SUM(E99:E100)</f>
        <v>2</v>
      </c>
      <c r="F101" s="34">
        <f t="shared" si="20"/>
        <v>2</v>
      </c>
      <c r="G101" s="34">
        <f t="shared" si="20"/>
        <v>0</v>
      </c>
      <c r="H101" s="34">
        <f t="shared" si="20"/>
        <v>0</v>
      </c>
      <c r="I101" s="34">
        <f t="shared" si="20"/>
        <v>1</v>
      </c>
      <c r="J101" s="34">
        <f t="shared" si="20"/>
        <v>2</v>
      </c>
      <c r="K101" s="34">
        <f t="shared" si="20"/>
        <v>2</v>
      </c>
      <c r="L101" s="34">
        <f t="shared" si="20"/>
        <v>3</v>
      </c>
      <c r="M101" s="34">
        <f t="shared" si="20"/>
        <v>2</v>
      </c>
      <c r="N101" s="34">
        <f t="shared" si="20"/>
        <v>1</v>
      </c>
      <c r="O101" s="34">
        <f t="shared" si="20"/>
        <v>1</v>
      </c>
      <c r="P101" s="34">
        <f t="shared" si="20"/>
        <v>1</v>
      </c>
      <c r="Q101" s="34">
        <f t="shared" si="20"/>
        <v>3</v>
      </c>
      <c r="R101" s="34">
        <f t="shared" si="20"/>
        <v>3</v>
      </c>
      <c r="S101" s="34">
        <f t="shared" si="20"/>
        <v>1</v>
      </c>
      <c r="T101" s="34">
        <f t="shared" si="20"/>
        <v>1</v>
      </c>
      <c r="U101" s="34">
        <f t="shared" si="20"/>
        <v>1</v>
      </c>
      <c r="V101" s="34">
        <f t="shared" si="20"/>
        <v>0</v>
      </c>
      <c r="W101" s="34">
        <f t="shared" si="20"/>
        <v>1</v>
      </c>
      <c r="X101" s="34">
        <f t="shared" si="20"/>
        <v>2</v>
      </c>
      <c r="Y101" s="34">
        <f t="shared" si="20"/>
        <v>0</v>
      </c>
      <c r="Z101" s="34">
        <f t="shared" si="20"/>
        <v>1</v>
      </c>
      <c r="AA101" s="34">
        <f t="shared" si="20"/>
        <v>0</v>
      </c>
      <c r="AB101" s="34">
        <f t="shared" si="20"/>
        <v>0</v>
      </c>
      <c r="AC101" s="34">
        <f t="shared" si="20"/>
        <v>1</v>
      </c>
      <c r="AD101" s="34">
        <f t="shared" si="20"/>
        <v>1</v>
      </c>
      <c r="AE101" s="34">
        <f t="shared" si="20"/>
        <v>0</v>
      </c>
      <c r="AF101" s="34">
        <f t="shared" si="20"/>
        <v>1</v>
      </c>
      <c r="AG101" s="34">
        <f t="shared" si="20"/>
        <v>1</v>
      </c>
      <c r="AH101" s="34">
        <f t="shared" si="20"/>
        <v>0</v>
      </c>
      <c r="AI101" s="34">
        <f t="shared" si="20"/>
        <v>0</v>
      </c>
      <c r="AJ101" s="34">
        <f t="shared" si="20"/>
        <v>0</v>
      </c>
      <c r="AK101" s="34">
        <f t="shared" si="20"/>
        <v>2</v>
      </c>
      <c r="AL101" s="34">
        <f t="shared" si="20"/>
        <v>1</v>
      </c>
      <c r="AM101" s="34">
        <f t="shared" si="20"/>
        <v>1</v>
      </c>
      <c r="AN101" s="34">
        <f t="shared" si="20"/>
        <v>0</v>
      </c>
      <c r="AO101" s="34">
        <f t="shared" si="20"/>
        <v>0</v>
      </c>
      <c r="AP101" s="34">
        <f t="shared" si="20"/>
        <v>0</v>
      </c>
      <c r="AQ101" s="34">
        <f t="shared" si="20"/>
        <v>0</v>
      </c>
      <c r="AR101" s="34">
        <f t="shared" si="20"/>
        <v>0</v>
      </c>
      <c r="AS101" s="34">
        <f t="shared" si="20"/>
        <v>2</v>
      </c>
      <c r="AT101" s="34">
        <f t="shared" si="20"/>
        <v>1</v>
      </c>
      <c r="AU101" s="34">
        <f t="shared" si="20"/>
        <v>2</v>
      </c>
      <c r="AV101" s="34">
        <f t="shared" si="20"/>
        <v>3</v>
      </c>
      <c r="AW101" s="34">
        <f t="shared" si="20"/>
        <v>5</v>
      </c>
      <c r="AX101" s="34">
        <f t="shared" si="20"/>
        <v>1</v>
      </c>
      <c r="AY101" s="34">
        <f t="shared" si="20"/>
        <v>3</v>
      </c>
      <c r="AZ101" s="34">
        <f t="shared" si="20"/>
        <v>1</v>
      </c>
      <c r="BA101" s="34">
        <f t="shared" si="20"/>
        <v>1</v>
      </c>
      <c r="BB101" s="34">
        <f t="shared" si="20"/>
        <v>0</v>
      </c>
      <c r="BC101" s="34">
        <f t="shared" si="20"/>
        <v>0</v>
      </c>
      <c r="BD101" s="34">
        <f t="shared" si="20"/>
        <v>1</v>
      </c>
      <c r="BE101" s="34">
        <f t="shared" si="20"/>
        <v>3</v>
      </c>
      <c r="BF101" s="34">
        <f t="shared" si="20"/>
        <v>2</v>
      </c>
      <c r="BG101" s="34">
        <f t="shared" si="20"/>
        <v>0</v>
      </c>
      <c r="BH101" s="34">
        <f t="shared" si="20"/>
        <v>0</v>
      </c>
      <c r="BI101" s="34">
        <f t="shared" si="20"/>
        <v>2</v>
      </c>
      <c r="BJ101" s="34">
        <f t="shared" si="20"/>
        <v>1</v>
      </c>
      <c r="BK101" s="34">
        <f t="shared" si="20"/>
        <v>0</v>
      </c>
      <c r="BL101" s="13">
        <f t="shared" si="13"/>
        <v>66</v>
      </c>
    </row>
    <row r="102" spans="1:64" ht="12.75" customHeight="1" x14ac:dyDescent="0.3">
      <c r="A102" s="35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13">
        <f t="shared" si="13"/>
        <v>0</v>
      </c>
    </row>
    <row r="103" spans="1:64" ht="15" customHeight="1" x14ac:dyDescent="0.3">
      <c r="A103" s="19" t="s">
        <v>37</v>
      </c>
      <c r="B103" s="26" t="s">
        <v>87</v>
      </c>
      <c r="C103" s="48" t="s">
        <v>88</v>
      </c>
      <c r="D103" s="47"/>
      <c r="E103" s="15">
        <v>1</v>
      </c>
      <c r="F103" s="15">
        <v>2</v>
      </c>
      <c r="G103" s="15">
        <v>2</v>
      </c>
      <c r="H103" s="15">
        <v>2</v>
      </c>
      <c r="I103" s="15">
        <v>0</v>
      </c>
      <c r="J103" s="15">
        <v>0</v>
      </c>
      <c r="K103" s="15">
        <v>2</v>
      </c>
      <c r="L103" s="15">
        <v>3</v>
      </c>
      <c r="M103" s="15">
        <v>0</v>
      </c>
      <c r="N103" s="15">
        <v>3</v>
      </c>
      <c r="O103" s="15">
        <v>0</v>
      </c>
      <c r="P103" s="15">
        <v>2</v>
      </c>
      <c r="Q103" s="15">
        <v>1</v>
      </c>
      <c r="R103" s="15">
        <v>0</v>
      </c>
      <c r="S103" s="15">
        <v>1</v>
      </c>
      <c r="T103" s="15">
        <v>1</v>
      </c>
      <c r="U103" s="15">
        <v>2</v>
      </c>
      <c r="V103" s="15">
        <v>2</v>
      </c>
      <c r="W103" s="15">
        <v>0</v>
      </c>
      <c r="X103" s="15">
        <v>1</v>
      </c>
      <c r="Y103" s="15">
        <v>1</v>
      </c>
      <c r="Z103" s="15">
        <v>0</v>
      </c>
      <c r="AA103" s="15">
        <v>2</v>
      </c>
      <c r="AB103" s="15">
        <v>1</v>
      </c>
      <c r="AC103" s="15">
        <v>1</v>
      </c>
      <c r="AD103" s="15">
        <v>2</v>
      </c>
      <c r="AE103" s="15">
        <v>0</v>
      </c>
      <c r="AF103" s="15">
        <v>1</v>
      </c>
      <c r="AG103" s="15">
        <v>2</v>
      </c>
      <c r="AH103" s="15">
        <v>1</v>
      </c>
      <c r="AI103" s="15">
        <v>1</v>
      </c>
      <c r="AJ103" s="15">
        <v>2</v>
      </c>
      <c r="AK103" s="15">
        <v>2</v>
      </c>
      <c r="AL103" s="15">
        <v>1</v>
      </c>
      <c r="AM103" s="15">
        <v>2</v>
      </c>
      <c r="AN103" s="15">
        <v>7</v>
      </c>
      <c r="AO103" s="15">
        <v>3</v>
      </c>
      <c r="AP103" s="15">
        <v>0</v>
      </c>
      <c r="AQ103" s="15">
        <v>0</v>
      </c>
      <c r="AR103" s="15">
        <v>1</v>
      </c>
      <c r="AS103" s="15">
        <v>2</v>
      </c>
      <c r="AT103" s="15">
        <v>2</v>
      </c>
      <c r="AU103" s="15">
        <v>1</v>
      </c>
      <c r="AV103" s="15">
        <v>3</v>
      </c>
      <c r="AW103" s="15">
        <v>2</v>
      </c>
      <c r="AX103" s="15">
        <v>1</v>
      </c>
      <c r="AY103" s="15">
        <v>2</v>
      </c>
      <c r="AZ103" s="15">
        <v>0</v>
      </c>
      <c r="BA103" s="15">
        <v>0</v>
      </c>
      <c r="BB103" s="15">
        <v>0</v>
      </c>
      <c r="BC103" s="15">
        <v>5</v>
      </c>
      <c r="BD103" s="15">
        <v>6</v>
      </c>
      <c r="BE103" s="15">
        <v>1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2</v>
      </c>
      <c r="BL103" s="13">
        <f t="shared" si="13"/>
        <v>82</v>
      </c>
    </row>
    <row r="104" spans="1:64" ht="12.75" customHeight="1" x14ac:dyDescent="0.3">
      <c r="A104" s="19" t="s">
        <v>39</v>
      </c>
      <c r="B104" s="27"/>
      <c r="C104" s="28" t="s">
        <v>89</v>
      </c>
      <c r="D104" s="29"/>
      <c r="E104" s="15">
        <v>4</v>
      </c>
      <c r="F104" s="15">
        <v>4</v>
      </c>
      <c r="G104" s="15">
        <v>6</v>
      </c>
      <c r="H104" s="15">
        <v>2</v>
      </c>
      <c r="I104" s="15">
        <v>2</v>
      </c>
      <c r="J104" s="15">
        <v>2</v>
      </c>
      <c r="K104" s="15">
        <v>0</v>
      </c>
      <c r="L104" s="15">
        <v>0</v>
      </c>
      <c r="M104" s="15">
        <v>2</v>
      </c>
      <c r="N104" s="15">
        <v>2</v>
      </c>
      <c r="O104" s="15">
        <v>1</v>
      </c>
      <c r="P104" s="15">
        <v>0</v>
      </c>
      <c r="Q104" s="15">
        <v>0</v>
      </c>
      <c r="R104" s="15">
        <v>4</v>
      </c>
      <c r="S104" s="15">
        <v>12</v>
      </c>
      <c r="T104" s="15">
        <v>26</v>
      </c>
      <c r="U104" s="15">
        <v>4</v>
      </c>
      <c r="V104" s="15">
        <v>1</v>
      </c>
      <c r="W104" s="15">
        <v>3</v>
      </c>
      <c r="X104" s="15">
        <v>2</v>
      </c>
      <c r="Y104" s="15">
        <v>7</v>
      </c>
      <c r="Z104" s="15">
        <v>0</v>
      </c>
      <c r="AA104" s="15">
        <v>9</v>
      </c>
      <c r="AB104" s="15">
        <v>4</v>
      </c>
      <c r="AC104" s="15">
        <v>9</v>
      </c>
      <c r="AD104" s="15">
        <v>0</v>
      </c>
      <c r="AE104" s="15">
        <v>3</v>
      </c>
      <c r="AF104" s="15">
        <v>5</v>
      </c>
      <c r="AG104" s="15">
        <v>9</v>
      </c>
      <c r="AH104" s="15">
        <v>5</v>
      </c>
      <c r="AI104" s="15">
        <v>0</v>
      </c>
      <c r="AJ104" s="15">
        <v>24</v>
      </c>
      <c r="AK104" s="15">
        <v>3</v>
      </c>
      <c r="AL104" s="15">
        <v>10</v>
      </c>
      <c r="AM104" s="15">
        <v>12</v>
      </c>
      <c r="AN104" s="15">
        <v>15</v>
      </c>
      <c r="AO104" s="15">
        <v>16</v>
      </c>
      <c r="AP104" s="15">
        <v>28</v>
      </c>
      <c r="AQ104" s="15">
        <v>8</v>
      </c>
      <c r="AR104" s="15">
        <v>21</v>
      </c>
      <c r="AS104" s="15">
        <v>4</v>
      </c>
      <c r="AT104" s="15">
        <v>8</v>
      </c>
      <c r="AU104" s="15">
        <v>8</v>
      </c>
      <c r="AV104" s="15">
        <v>10</v>
      </c>
      <c r="AW104" s="15">
        <v>2</v>
      </c>
      <c r="AX104" s="15">
        <v>4</v>
      </c>
      <c r="AY104" s="15">
        <v>3</v>
      </c>
      <c r="AZ104" s="15">
        <v>1</v>
      </c>
      <c r="BA104" s="15">
        <v>3</v>
      </c>
      <c r="BB104" s="15">
        <v>1</v>
      </c>
      <c r="BC104" s="15">
        <v>10</v>
      </c>
      <c r="BD104" s="15">
        <v>9</v>
      </c>
      <c r="BE104" s="15">
        <v>3</v>
      </c>
      <c r="BF104" s="15">
        <v>1</v>
      </c>
      <c r="BG104" s="15">
        <v>0</v>
      </c>
      <c r="BH104" s="15">
        <v>4</v>
      </c>
      <c r="BI104" s="15">
        <v>6</v>
      </c>
      <c r="BJ104" s="15">
        <v>1</v>
      </c>
      <c r="BK104" s="15">
        <v>3</v>
      </c>
      <c r="BL104" s="13">
        <f t="shared" si="13"/>
        <v>346</v>
      </c>
    </row>
    <row r="105" spans="1:64" ht="12.75" customHeight="1" x14ac:dyDescent="0.3">
      <c r="A105" s="14"/>
      <c r="B105" s="27"/>
      <c r="C105" s="28" t="s">
        <v>90</v>
      </c>
      <c r="D105" s="29"/>
      <c r="E105" s="15">
        <v>0</v>
      </c>
      <c r="F105" s="15">
        <v>1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1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1</v>
      </c>
      <c r="V105" s="15">
        <v>0</v>
      </c>
      <c r="W105" s="15">
        <v>1</v>
      </c>
      <c r="X105" s="15">
        <v>0</v>
      </c>
      <c r="Y105" s="15">
        <v>0</v>
      </c>
      <c r="Z105" s="15">
        <v>0</v>
      </c>
      <c r="AA105" s="15">
        <v>1</v>
      </c>
      <c r="AB105" s="15">
        <v>2</v>
      </c>
      <c r="AC105" s="15">
        <v>1</v>
      </c>
      <c r="AD105" s="15">
        <v>0</v>
      </c>
      <c r="AE105" s="15">
        <v>0</v>
      </c>
      <c r="AF105" s="15">
        <v>0</v>
      </c>
      <c r="AG105" s="15">
        <v>2</v>
      </c>
      <c r="AH105" s="15">
        <v>0</v>
      </c>
      <c r="AI105" s="15">
        <v>0</v>
      </c>
      <c r="AJ105" s="15">
        <v>2</v>
      </c>
      <c r="AK105" s="15">
        <v>0</v>
      </c>
      <c r="AL105" s="15">
        <v>1</v>
      </c>
      <c r="AM105" s="15">
        <v>0</v>
      </c>
      <c r="AN105" s="15">
        <v>0</v>
      </c>
      <c r="AO105" s="15">
        <v>2</v>
      </c>
      <c r="AP105" s="15">
        <v>1</v>
      </c>
      <c r="AQ105" s="15">
        <v>1</v>
      </c>
      <c r="AR105" s="15">
        <v>0</v>
      </c>
      <c r="AS105" s="15">
        <v>1</v>
      </c>
      <c r="AT105" s="15">
        <v>0</v>
      </c>
      <c r="AU105" s="15">
        <v>0</v>
      </c>
      <c r="AV105" s="15">
        <v>1</v>
      </c>
      <c r="AW105" s="15">
        <v>0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1</v>
      </c>
      <c r="BG105" s="15">
        <v>0</v>
      </c>
      <c r="BH105" s="15">
        <v>0</v>
      </c>
      <c r="BI105" s="15">
        <v>0</v>
      </c>
      <c r="BJ105" s="15">
        <v>0</v>
      </c>
      <c r="BK105" s="15">
        <v>1</v>
      </c>
      <c r="BL105" s="13">
        <f t="shared" si="13"/>
        <v>21</v>
      </c>
    </row>
    <row r="106" spans="1:64" ht="12.75" customHeight="1" x14ac:dyDescent="0.3">
      <c r="A106" s="14"/>
      <c r="B106" s="27"/>
      <c r="C106" s="28" t="s">
        <v>91</v>
      </c>
      <c r="D106" s="29"/>
      <c r="E106" s="15">
        <v>0</v>
      </c>
      <c r="F106" s="15">
        <v>0</v>
      </c>
      <c r="G106" s="15">
        <v>1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1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1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1</v>
      </c>
      <c r="AL106" s="15">
        <v>0</v>
      </c>
      <c r="AM106" s="15">
        <v>0</v>
      </c>
      <c r="AN106" s="15">
        <v>2</v>
      </c>
      <c r="AO106" s="15">
        <v>0</v>
      </c>
      <c r="AP106" s="15">
        <v>1</v>
      </c>
      <c r="AQ106" s="15">
        <v>0</v>
      </c>
      <c r="AR106" s="15">
        <v>0</v>
      </c>
      <c r="AS106" s="15">
        <v>1</v>
      </c>
      <c r="AT106" s="15">
        <v>0</v>
      </c>
      <c r="AU106" s="15">
        <v>1</v>
      </c>
      <c r="AV106" s="15">
        <v>0</v>
      </c>
      <c r="AW106" s="15">
        <v>0</v>
      </c>
      <c r="AX106" s="15">
        <v>0</v>
      </c>
      <c r="AY106" s="15">
        <v>1</v>
      </c>
      <c r="AZ106" s="15">
        <v>1</v>
      </c>
      <c r="BA106" s="15">
        <v>0</v>
      </c>
      <c r="BB106" s="15">
        <v>0</v>
      </c>
      <c r="BC106" s="15">
        <v>0</v>
      </c>
      <c r="BD106" s="15">
        <v>4</v>
      </c>
      <c r="BE106" s="15">
        <v>0</v>
      </c>
      <c r="BF106" s="15">
        <v>0</v>
      </c>
      <c r="BG106" s="15">
        <v>0</v>
      </c>
      <c r="BH106" s="15">
        <v>2</v>
      </c>
      <c r="BI106" s="15">
        <v>0</v>
      </c>
      <c r="BJ106" s="15">
        <v>0</v>
      </c>
      <c r="BK106" s="15">
        <v>1</v>
      </c>
      <c r="BL106" s="13">
        <f t="shared" si="13"/>
        <v>18</v>
      </c>
    </row>
    <row r="107" spans="1:64" ht="12.75" customHeight="1" x14ac:dyDescent="0.3">
      <c r="A107" s="14"/>
      <c r="B107" s="27"/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1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1</v>
      </c>
      <c r="AO107" s="15">
        <v>1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1</v>
      </c>
      <c r="BL107" s="13">
        <f t="shared" si="13"/>
        <v>4</v>
      </c>
    </row>
    <row r="108" spans="1:64" ht="12.75" customHeight="1" x14ac:dyDescent="0.3">
      <c r="A108" s="14"/>
      <c r="B108" s="27"/>
      <c r="C108" s="28" t="s">
        <v>93</v>
      </c>
      <c r="D108" s="29"/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1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2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1</v>
      </c>
      <c r="BL108" s="13">
        <f t="shared" si="13"/>
        <v>4</v>
      </c>
    </row>
    <row r="109" spans="1:64" ht="12.75" customHeight="1" x14ac:dyDescent="0.3">
      <c r="A109" s="14"/>
      <c r="B109" s="27"/>
      <c r="C109" s="28" t="s">
        <v>94</v>
      </c>
      <c r="D109" s="29"/>
      <c r="E109" s="15">
        <v>0</v>
      </c>
      <c r="F109" s="15">
        <v>2</v>
      </c>
      <c r="G109" s="15">
        <v>2</v>
      </c>
      <c r="H109" s="15">
        <v>3</v>
      </c>
      <c r="I109" s="15">
        <v>2</v>
      </c>
      <c r="J109" s="15">
        <v>0</v>
      </c>
      <c r="K109" s="15">
        <v>0</v>
      </c>
      <c r="L109" s="15">
        <v>1</v>
      </c>
      <c r="M109" s="15">
        <v>0</v>
      </c>
      <c r="N109" s="15">
        <v>0</v>
      </c>
      <c r="O109" s="15">
        <v>3</v>
      </c>
      <c r="P109" s="15">
        <v>6</v>
      </c>
      <c r="Q109" s="15">
        <v>7</v>
      </c>
      <c r="R109" s="15">
        <v>1</v>
      </c>
      <c r="S109" s="15">
        <v>1</v>
      </c>
      <c r="T109" s="15">
        <v>5</v>
      </c>
      <c r="U109" s="15">
        <v>7</v>
      </c>
      <c r="V109" s="15">
        <v>30</v>
      </c>
      <c r="W109" s="15">
        <v>15</v>
      </c>
      <c r="X109" s="15">
        <v>6</v>
      </c>
      <c r="Y109" s="15">
        <v>12</v>
      </c>
      <c r="Z109" s="15">
        <v>0</v>
      </c>
      <c r="AA109" s="15">
        <v>2</v>
      </c>
      <c r="AB109" s="15">
        <v>2</v>
      </c>
      <c r="AC109" s="15">
        <v>9</v>
      </c>
      <c r="AD109" s="15">
        <v>3</v>
      </c>
      <c r="AE109" s="15">
        <v>1</v>
      </c>
      <c r="AF109" s="15">
        <v>0</v>
      </c>
      <c r="AG109" s="15">
        <v>0</v>
      </c>
      <c r="AH109" s="15">
        <v>0</v>
      </c>
      <c r="AI109" s="15">
        <v>1</v>
      </c>
      <c r="AJ109" s="15">
        <v>12</v>
      </c>
      <c r="AK109" s="15">
        <v>0</v>
      </c>
      <c r="AL109" s="15">
        <v>2</v>
      </c>
      <c r="AM109" s="15">
        <v>0</v>
      </c>
      <c r="AN109" s="15">
        <v>0</v>
      </c>
      <c r="AO109" s="15">
        <v>0</v>
      </c>
      <c r="AP109" s="15">
        <v>1</v>
      </c>
      <c r="AQ109" s="15">
        <v>0</v>
      </c>
      <c r="AR109" s="15">
        <v>0</v>
      </c>
      <c r="AS109" s="15">
        <v>7</v>
      </c>
      <c r="AT109" s="15">
        <v>0</v>
      </c>
      <c r="AU109" s="15">
        <v>0</v>
      </c>
      <c r="AV109" s="15">
        <v>0</v>
      </c>
      <c r="AW109" s="15">
        <v>2</v>
      </c>
      <c r="AX109" s="15">
        <v>1</v>
      </c>
      <c r="AY109" s="15">
        <v>0</v>
      </c>
      <c r="AZ109" s="15">
        <v>1</v>
      </c>
      <c r="BA109" s="15">
        <v>0</v>
      </c>
      <c r="BB109" s="15">
        <v>0</v>
      </c>
      <c r="BC109" s="15">
        <v>3</v>
      </c>
      <c r="BD109" s="15">
        <v>0</v>
      </c>
      <c r="BE109" s="15">
        <v>0</v>
      </c>
      <c r="BF109" s="15">
        <v>1</v>
      </c>
      <c r="BG109" s="15">
        <v>0</v>
      </c>
      <c r="BH109" s="15">
        <v>2</v>
      </c>
      <c r="BI109" s="15">
        <v>0</v>
      </c>
      <c r="BJ109" s="15">
        <v>0</v>
      </c>
      <c r="BK109" s="15">
        <v>1</v>
      </c>
      <c r="BL109" s="13">
        <f t="shared" si="13"/>
        <v>154</v>
      </c>
    </row>
    <row r="110" spans="1:64" ht="12.75" customHeight="1" x14ac:dyDescent="0.3">
      <c r="A110" s="14"/>
      <c r="B110" s="27"/>
      <c r="C110" s="28" t="s">
        <v>95</v>
      </c>
      <c r="D110" s="29"/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1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2</v>
      </c>
      <c r="AO110" s="15">
        <v>1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5">
        <v>0</v>
      </c>
      <c r="BK110" s="15">
        <v>0</v>
      </c>
      <c r="BL110" s="13">
        <f t="shared" si="13"/>
        <v>4</v>
      </c>
    </row>
    <row r="111" spans="1:64" ht="12.75" customHeight="1" x14ac:dyDescent="0.3">
      <c r="A111" s="15" t="s">
        <v>15</v>
      </c>
      <c r="B111" s="45" t="s">
        <v>47</v>
      </c>
      <c r="C111" s="46"/>
      <c r="D111" s="47"/>
      <c r="E111" s="34">
        <f t="shared" ref="E111:BK111" si="21">SUM(E103:E110)</f>
        <v>5</v>
      </c>
      <c r="F111" s="34">
        <f t="shared" si="21"/>
        <v>9</v>
      </c>
      <c r="G111" s="34">
        <f t="shared" si="21"/>
        <v>11</v>
      </c>
      <c r="H111" s="34">
        <f t="shared" si="21"/>
        <v>7</v>
      </c>
      <c r="I111" s="34">
        <f t="shared" si="21"/>
        <v>4</v>
      </c>
      <c r="J111" s="34">
        <f t="shared" si="21"/>
        <v>2</v>
      </c>
      <c r="K111" s="34">
        <f t="shared" si="21"/>
        <v>2</v>
      </c>
      <c r="L111" s="34">
        <f t="shared" si="21"/>
        <v>4</v>
      </c>
      <c r="M111" s="34">
        <f t="shared" si="21"/>
        <v>2</v>
      </c>
      <c r="N111" s="34">
        <f t="shared" si="21"/>
        <v>7</v>
      </c>
      <c r="O111" s="34">
        <f t="shared" si="21"/>
        <v>4</v>
      </c>
      <c r="P111" s="34">
        <f t="shared" si="21"/>
        <v>9</v>
      </c>
      <c r="Q111" s="34">
        <f t="shared" si="21"/>
        <v>8</v>
      </c>
      <c r="R111" s="34">
        <f t="shared" si="21"/>
        <v>5</v>
      </c>
      <c r="S111" s="34">
        <f t="shared" si="21"/>
        <v>14</v>
      </c>
      <c r="T111" s="34">
        <f t="shared" si="21"/>
        <v>33</v>
      </c>
      <c r="U111" s="34">
        <f t="shared" si="21"/>
        <v>14</v>
      </c>
      <c r="V111" s="34">
        <f t="shared" si="21"/>
        <v>33</v>
      </c>
      <c r="W111" s="34">
        <f t="shared" si="21"/>
        <v>19</v>
      </c>
      <c r="X111" s="34">
        <f t="shared" si="21"/>
        <v>9</v>
      </c>
      <c r="Y111" s="34">
        <f t="shared" si="21"/>
        <v>20</v>
      </c>
      <c r="Z111" s="34">
        <f t="shared" si="21"/>
        <v>0</v>
      </c>
      <c r="AA111" s="34">
        <f t="shared" si="21"/>
        <v>14</v>
      </c>
      <c r="AB111" s="34">
        <f t="shared" si="21"/>
        <v>10</v>
      </c>
      <c r="AC111" s="34">
        <f t="shared" si="21"/>
        <v>20</v>
      </c>
      <c r="AD111" s="34">
        <f t="shared" si="21"/>
        <v>6</v>
      </c>
      <c r="AE111" s="34">
        <f t="shared" si="21"/>
        <v>4</v>
      </c>
      <c r="AF111" s="34">
        <f t="shared" si="21"/>
        <v>6</v>
      </c>
      <c r="AG111" s="34">
        <f t="shared" si="21"/>
        <v>13</v>
      </c>
      <c r="AH111" s="34">
        <f t="shared" si="21"/>
        <v>6</v>
      </c>
      <c r="AI111" s="34">
        <f t="shared" si="21"/>
        <v>2</v>
      </c>
      <c r="AJ111" s="34">
        <f t="shared" si="21"/>
        <v>40</v>
      </c>
      <c r="AK111" s="34">
        <f t="shared" si="21"/>
        <v>6</v>
      </c>
      <c r="AL111" s="34">
        <f t="shared" si="21"/>
        <v>14</v>
      </c>
      <c r="AM111" s="34">
        <f t="shared" si="21"/>
        <v>14</v>
      </c>
      <c r="AN111" s="34">
        <f t="shared" si="21"/>
        <v>27</v>
      </c>
      <c r="AO111" s="34">
        <f t="shared" si="21"/>
        <v>23</v>
      </c>
      <c r="AP111" s="34">
        <f t="shared" si="21"/>
        <v>31</v>
      </c>
      <c r="AQ111" s="34">
        <f t="shared" si="21"/>
        <v>9</v>
      </c>
      <c r="AR111" s="34">
        <f t="shared" si="21"/>
        <v>22</v>
      </c>
      <c r="AS111" s="34">
        <f t="shared" si="21"/>
        <v>15</v>
      </c>
      <c r="AT111" s="34">
        <f t="shared" si="21"/>
        <v>10</v>
      </c>
      <c r="AU111" s="34">
        <f t="shared" si="21"/>
        <v>10</v>
      </c>
      <c r="AV111" s="34">
        <f t="shared" si="21"/>
        <v>14</v>
      </c>
      <c r="AW111" s="34">
        <f t="shared" si="21"/>
        <v>8</v>
      </c>
      <c r="AX111" s="34">
        <f t="shared" si="21"/>
        <v>6</v>
      </c>
      <c r="AY111" s="34">
        <f t="shared" si="21"/>
        <v>6</v>
      </c>
      <c r="AZ111" s="34">
        <f t="shared" si="21"/>
        <v>3</v>
      </c>
      <c r="BA111" s="34">
        <f t="shared" si="21"/>
        <v>3</v>
      </c>
      <c r="BB111" s="34">
        <f t="shared" si="21"/>
        <v>1</v>
      </c>
      <c r="BC111" s="34">
        <f t="shared" si="21"/>
        <v>18</v>
      </c>
      <c r="BD111" s="34">
        <f t="shared" si="21"/>
        <v>19</v>
      </c>
      <c r="BE111" s="34">
        <f t="shared" si="21"/>
        <v>4</v>
      </c>
      <c r="BF111" s="34">
        <f t="shared" si="21"/>
        <v>3</v>
      </c>
      <c r="BG111" s="34">
        <f t="shared" si="21"/>
        <v>0</v>
      </c>
      <c r="BH111" s="34">
        <f t="shared" si="21"/>
        <v>8</v>
      </c>
      <c r="BI111" s="34">
        <f t="shared" si="21"/>
        <v>6</v>
      </c>
      <c r="BJ111" s="34">
        <f t="shared" si="21"/>
        <v>1</v>
      </c>
      <c r="BK111" s="34">
        <f t="shared" si="21"/>
        <v>10</v>
      </c>
      <c r="BL111" s="13">
        <f t="shared" si="13"/>
        <v>633</v>
      </c>
    </row>
    <row r="112" spans="1:64" ht="12.75" customHeight="1" x14ac:dyDescent="0.3">
      <c r="A112" s="35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13">
        <f t="shared" si="13"/>
        <v>0</v>
      </c>
    </row>
    <row r="113" spans="1:66" ht="12.75" customHeight="1" x14ac:dyDescent="0.3">
      <c r="A113" s="19" t="s">
        <v>37</v>
      </c>
      <c r="B113" s="26" t="s">
        <v>96</v>
      </c>
      <c r="C113" s="48" t="s">
        <v>97</v>
      </c>
      <c r="D113" s="47"/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1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3">
        <f t="shared" si="13"/>
        <v>1</v>
      </c>
    </row>
    <row r="114" spans="1:66" ht="12.75" customHeight="1" x14ac:dyDescent="0.3">
      <c r="A114" s="19" t="s">
        <v>39</v>
      </c>
      <c r="B114" s="26"/>
      <c r="C114" s="28" t="s">
        <v>98</v>
      </c>
      <c r="D114" s="37"/>
      <c r="E114" s="15">
        <v>0</v>
      </c>
      <c r="F114" s="15">
        <v>2</v>
      </c>
      <c r="G114" s="15">
        <v>5</v>
      </c>
      <c r="H114" s="15">
        <v>0</v>
      </c>
      <c r="I114" s="15">
        <v>2</v>
      </c>
      <c r="J114" s="15">
        <v>1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1</v>
      </c>
      <c r="T114" s="15">
        <v>0</v>
      </c>
      <c r="U114" s="15">
        <v>0</v>
      </c>
      <c r="V114" s="15">
        <v>0</v>
      </c>
      <c r="W114" s="15">
        <v>0</v>
      </c>
      <c r="X114" s="15">
        <v>1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2</v>
      </c>
      <c r="AJ114" s="15">
        <v>3</v>
      </c>
      <c r="AK114" s="15">
        <v>1</v>
      </c>
      <c r="AL114" s="15">
        <v>0</v>
      </c>
      <c r="AM114" s="15">
        <v>0</v>
      </c>
      <c r="AN114" s="15">
        <v>1</v>
      </c>
      <c r="AO114" s="15">
        <v>0</v>
      </c>
      <c r="AP114" s="15">
        <v>0</v>
      </c>
      <c r="AQ114" s="15">
        <v>4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0</v>
      </c>
      <c r="BD114" s="15">
        <v>1</v>
      </c>
      <c r="BE114" s="15">
        <v>0</v>
      </c>
      <c r="BF114" s="15">
        <v>0</v>
      </c>
      <c r="BG114" s="15">
        <v>0</v>
      </c>
      <c r="BH114" s="15">
        <v>0</v>
      </c>
      <c r="BI114" s="15">
        <v>1</v>
      </c>
      <c r="BJ114" s="15">
        <v>0</v>
      </c>
      <c r="BK114" s="15">
        <v>0</v>
      </c>
      <c r="BL114" s="13">
        <f t="shared" si="13"/>
        <v>25</v>
      </c>
    </row>
    <row r="115" spans="1:66" ht="12.75" customHeight="1" x14ac:dyDescent="0.3">
      <c r="A115" s="19"/>
      <c r="B115" s="26"/>
      <c r="C115" s="28" t="s">
        <v>99</v>
      </c>
      <c r="D115" s="37"/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1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1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3">
        <f t="shared" si="13"/>
        <v>2</v>
      </c>
    </row>
    <row r="116" spans="1:66" ht="12.75" customHeight="1" x14ac:dyDescent="0.3">
      <c r="A116" s="15" t="s">
        <v>15</v>
      </c>
      <c r="B116" s="45" t="s">
        <v>47</v>
      </c>
      <c r="C116" s="46"/>
      <c r="D116" s="47"/>
      <c r="E116" s="34">
        <f t="shared" ref="E116:BK116" si="22">SUM(E113:E115)</f>
        <v>0</v>
      </c>
      <c r="F116" s="34">
        <f t="shared" si="22"/>
        <v>2</v>
      </c>
      <c r="G116" s="34">
        <f t="shared" si="22"/>
        <v>5</v>
      </c>
      <c r="H116" s="34">
        <f t="shared" si="22"/>
        <v>0</v>
      </c>
      <c r="I116" s="34">
        <f t="shared" si="22"/>
        <v>2</v>
      </c>
      <c r="J116" s="34">
        <f t="shared" si="22"/>
        <v>1</v>
      </c>
      <c r="K116" s="34">
        <f t="shared" si="22"/>
        <v>0</v>
      </c>
      <c r="L116" s="34">
        <f t="shared" si="22"/>
        <v>0</v>
      </c>
      <c r="M116" s="34">
        <f t="shared" si="22"/>
        <v>0</v>
      </c>
      <c r="N116" s="34">
        <f t="shared" si="22"/>
        <v>0</v>
      </c>
      <c r="O116" s="34">
        <f t="shared" si="22"/>
        <v>0</v>
      </c>
      <c r="P116" s="34">
        <f t="shared" si="22"/>
        <v>0</v>
      </c>
      <c r="Q116" s="34">
        <f t="shared" si="22"/>
        <v>0</v>
      </c>
      <c r="R116" s="34">
        <f t="shared" si="22"/>
        <v>0</v>
      </c>
      <c r="S116" s="34">
        <f t="shared" si="22"/>
        <v>1</v>
      </c>
      <c r="T116" s="34">
        <f t="shared" si="22"/>
        <v>0</v>
      </c>
      <c r="U116" s="34">
        <f t="shared" si="22"/>
        <v>0</v>
      </c>
      <c r="V116" s="34">
        <f t="shared" si="22"/>
        <v>1</v>
      </c>
      <c r="W116" s="34">
        <f t="shared" si="22"/>
        <v>0</v>
      </c>
      <c r="X116" s="34">
        <f t="shared" si="22"/>
        <v>1</v>
      </c>
      <c r="Y116" s="34">
        <f t="shared" si="22"/>
        <v>0</v>
      </c>
      <c r="Z116" s="34">
        <f t="shared" si="22"/>
        <v>0</v>
      </c>
      <c r="AA116" s="34">
        <f t="shared" si="22"/>
        <v>0</v>
      </c>
      <c r="AB116" s="34">
        <f t="shared" si="22"/>
        <v>0</v>
      </c>
      <c r="AC116" s="34">
        <f t="shared" si="22"/>
        <v>0</v>
      </c>
      <c r="AD116" s="34">
        <f t="shared" si="22"/>
        <v>1</v>
      </c>
      <c r="AE116" s="34">
        <f t="shared" si="22"/>
        <v>0</v>
      </c>
      <c r="AF116" s="34">
        <f t="shared" si="22"/>
        <v>0</v>
      </c>
      <c r="AG116" s="34">
        <f t="shared" si="22"/>
        <v>0</v>
      </c>
      <c r="AH116" s="34">
        <f t="shared" si="22"/>
        <v>0</v>
      </c>
      <c r="AI116" s="34">
        <f t="shared" si="22"/>
        <v>2</v>
      </c>
      <c r="AJ116" s="34">
        <f t="shared" si="22"/>
        <v>3</v>
      </c>
      <c r="AK116" s="34">
        <f t="shared" si="22"/>
        <v>1</v>
      </c>
      <c r="AL116" s="34">
        <f t="shared" si="22"/>
        <v>0</v>
      </c>
      <c r="AM116" s="34">
        <f t="shared" si="22"/>
        <v>0</v>
      </c>
      <c r="AN116" s="34">
        <f t="shared" si="22"/>
        <v>1</v>
      </c>
      <c r="AO116" s="34">
        <f t="shared" si="22"/>
        <v>0</v>
      </c>
      <c r="AP116" s="34">
        <f t="shared" si="22"/>
        <v>0</v>
      </c>
      <c r="AQ116" s="34">
        <f t="shared" si="22"/>
        <v>4</v>
      </c>
      <c r="AR116" s="34">
        <f t="shared" si="22"/>
        <v>1</v>
      </c>
      <c r="AS116" s="34">
        <f t="shared" si="22"/>
        <v>0</v>
      </c>
      <c r="AT116" s="34">
        <f t="shared" si="22"/>
        <v>0</v>
      </c>
      <c r="AU116" s="34">
        <f t="shared" si="22"/>
        <v>0</v>
      </c>
      <c r="AV116" s="34">
        <f t="shared" si="22"/>
        <v>0</v>
      </c>
      <c r="AW116" s="34">
        <f t="shared" si="22"/>
        <v>0</v>
      </c>
      <c r="AX116" s="34">
        <f t="shared" si="22"/>
        <v>0</v>
      </c>
      <c r="AY116" s="34">
        <f t="shared" si="22"/>
        <v>0</v>
      </c>
      <c r="AZ116" s="34">
        <f t="shared" si="22"/>
        <v>0</v>
      </c>
      <c r="BA116" s="34">
        <f t="shared" si="22"/>
        <v>0</v>
      </c>
      <c r="BB116" s="34">
        <f t="shared" si="22"/>
        <v>0</v>
      </c>
      <c r="BC116" s="34">
        <f t="shared" si="22"/>
        <v>0</v>
      </c>
      <c r="BD116" s="34">
        <f t="shared" si="22"/>
        <v>1</v>
      </c>
      <c r="BE116" s="34">
        <f t="shared" si="22"/>
        <v>0</v>
      </c>
      <c r="BF116" s="34">
        <f t="shared" si="22"/>
        <v>0</v>
      </c>
      <c r="BG116" s="34">
        <f t="shared" si="22"/>
        <v>0</v>
      </c>
      <c r="BH116" s="34">
        <f t="shared" si="22"/>
        <v>0</v>
      </c>
      <c r="BI116" s="34">
        <f t="shared" si="22"/>
        <v>1</v>
      </c>
      <c r="BJ116" s="34">
        <f t="shared" si="22"/>
        <v>0</v>
      </c>
      <c r="BK116" s="34">
        <f t="shared" si="22"/>
        <v>0</v>
      </c>
      <c r="BL116" s="13">
        <f t="shared" si="13"/>
        <v>28</v>
      </c>
    </row>
    <row r="117" spans="1:66" ht="12.75" customHeight="1" x14ac:dyDescent="0.3">
      <c r="A117" s="35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13">
        <f t="shared" si="13"/>
        <v>0</v>
      </c>
      <c r="BM117" s="5"/>
      <c r="BN117" s="5"/>
    </row>
    <row r="118" spans="1:66" ht="12.75" customHeight="1" x14ac:dyDescent="0.3">
      <c r="A118" s="19" t="s">
        <v>37</v>
      </c>
      <c r="B118" s="26" t="s">
        <v>100</v>
      </c>
      <c r="C118" s="48" t="s">
        <v>101</v>
      </c>
      <c r="D118" s="47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1</v>
      </c>
      <c r="Q118" s="15">
        <v>1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>
        <v>0</v>
      </c>
      <c r="BL118" s="13">
        <f t="shared" si="13"/>
        <v>2</v>
      </c>
      <c r="BM118" s="5"/>
      <c r="BN118" s="5"/>
    </row>
    <row r="119" spans="1:66" ht="12.75" customHeight="1" x14ac:dyDescent="0.3">
      <c r="A119" s="19" t="s">
        <v>39</v>
      </c>
      <c r="B119" s="27"/>
      <c r="C119" s="28" t="s">
        <v>102</v>
      </c>
      <c r="D119" s="29"/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1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3">
        <f t="shared" si="13"/>
        <v>1</v>
      </c>
      <c r="BM119" s="5"/>
      <c r="BN119" s="5"/>
    </row>
    <row r="120" spans="1:66" ht="12.75" customHeight="1" x14ac:dyDescent="0.3">
      <c r="A120" s="14"/>
      <c r="B120" s="27"/>
      <c r="C120" s="28" t="s">
        <v>103</v>
      </c>
      <c r="D120" s="29"/>
      <c r="E120" s="15">
        <v>0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1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1</v>
      </c>
      <c r="AT120" s="15">
        <v>0</v>
      </c>
      <c r="AU120" s="15">
        <v>0</v>
      </c>
      <c r="AV120" s="15">
        <v>2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>
        <v>0</v>
      </c>
      <c r="BL120" s="13">
        <f t="shared" si="13"/>
        <v>5</v>
      </c>
      <c r="BM120" s="5"/>
      <c r="BN120" s="5"/>
    </row>
    <row r="121" spans="1:66" ht="12.75" customHeight="1" x14ac:dyDescent="0.3">
      <c r="A121" s="14"/>
      <c r="B121" s="27"/>
      <c r="C121" s="28" t="s">
        <v>104</v>
      </c>
      <c r="D121" s="29"/>
      <c r="E121" s="15">
        <v>0</v>
      </c>
      <c r="F121" s="15">
        <v>1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1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5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1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1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3">
        <f t="shared" si="13"/>
        <v>9</v>
      </c>
      <c r="BM121" s="5"/>
      <c r="BN121" s="5"/>
    </row>
    <row r="122" spans="1:66" ht="12.75" customHeight="1" x14ac:dyDescent="0.3">
      <c r="A122" s="14"/>
      <c r="B122" s="27"/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1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15">
        <v>0</v>
      </c>
      <c r="BF122" s="15">
        <v>0</v>
      </c>
      <c r="BG122" s="15">
        <v>0</v>
      </c>
      <c r="BH122" s="15">
        <v>0</v>
      </c>
      <c r="BI122" s="15">
        <v>0</v>
      </c>
      <c r="BJ122" s="15">
        <v>0</v>
      </c>
      <c r="BK122" s="15">
        <v>0</v>
      </c>
      <c r="BL122" s="13">
        <f t="shared" si="13"/>
        <v>1</v>
      </c>
      <c r="BM122" s="5"/>
      <c r="BN122" s="5"/>
    </row>
    <row r="123" spans="1:66" ht="12.75" customHeight="1" x14ac:dyDescent="0.3">
      <c r="A123" s="14"/>
      <c r="B123" s="27"/>
      <c r="C123" s="28" t="s">
        <v>106</v>
      </c>
      <c r="D123" s="29"/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1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1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3">
        <f t="shared" si="13"/>
        <v>2</v>
      </c>
      <c r="BM123" s="5"/>
      <c r="BN123" s="5"/>
    </row>
    <row r="124" spans="1:66" ht="12.75" customHeight="1" x14ac:dyDescent="0.3">
      <c r="A124" s="14"/>
      <c r="B124" s="27"/>
      <c r="C124" s="28" t="s">
        <v>107</v>
      </c>
      <c r="D124" s="29"/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3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5">
        <v>0</v>
      </c>
      <c r="BL124" s="13">
        <f t="shared" si="13"/>
        <v>3</v>
      </c>
      <c r="BM124" s="5"/>
      <c r="BN124" s="5"/>
    </row>
    <row r="125" spans="1:66" ht="12.75" customHeight="1" x14ac:dyDescent="0.3">
      <c r="A125" s="14"/>
      <c r="B125" s="27"/>
      <c r="C125" s="28" t="s">
        <v>108</v>
      </c>
      <c r="D125" s="29"/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1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3">
        <f t="shared" si="13"/>
        <v>1</v>
      </c>
      <c r="BM125" s="5"/>
      <c r="BN125" s="5"/>
    </row>
    <row r="126" spans="1:66" ht="12.75" customHeight="1" x14ac:dyDescent="0.3">
      <c r="A126" s="15" t="s">
        <v>15</v>
      </c>
      <c r="B126" s="45" t="s">
        <v>47</v>
      </c>
      <c r="C126" s="46"/>
      <c r="D126" s="47"/>
      <c r="E126" s="34">
        <f t="shared" ref="E126:BK126" si="23">SUM(E118:E125)</f>
        <v>0</v>
      </c>
      <c r="F126" s="34">
        <f t="shared" si="23"/>
        <v>2</v>
      </c>
      <c r="G126" s="34">
        <f t="shared" si="23"/>
        <v>0</v>
      </c>
      <c r="H126" s="34">
        <f t="shared" si="23"/>
        <v>0</v>
      </c>
      <c r="I126" s="34">
        <f t="shared" si="23"/>
        <v>0</v>
      </c>
      <c r="J126" s="34">
        <f t="shared" si="23"/>
        <v>2</v>
      </c>
      <c r="K126" s="34">
        <f t="shared" si="23"/>
        <v>0</v>
      </c>
      <c r="L126" s="34">
        <f t="shared" si="23"/>
        <v>0</v>
      </c>
      <c r="M126" s="34">
        <f t="shared" si="23"/>
        <v>0</v>
      </c>
      <c r="N126" s="34">
        <f t="shared" si="23"/>
        <v>0</v>
      </c>
      <c r="O126" s="34">
        <f t="shared" si="23"/>
        <v>0</v>
      </c>
      <c r="P126" s="34">
        <f t="shared" si="23"/>
        <v>1</v>
      </c>
      <c r="Q126" s="34">
        <f t="shared" si="23"/>
        <v>2</v>
      </c>
      <c r="R126" s="34">
        <f t="shared" si="23"/>
        <v>0</v>
      </c>
      <c r="S126" s="34">
        <f t="shared" si="23"/>
        <v>0</v>
      </c>
      <c r="T126" s="34">
        <f t="shared" si="23"/>
        <v>1</v>
      </c>
      <c r="U126" s="34">
        <f t="shared" si="23"/>
        <v>0</v>
      </c>
      <c r="V126" s="34">
        <f t="shared" si="23"/>
        <v>0</v>
      </c>
      <c r="W126" s="34">
        <f t="shared" si="23"/>
        <v>0</v>
      </c>
      <c r="X126" s="34">
        <f t="shared" si="23"/>
        <v>0</v>
      </c>
      <c r="Y126" s="34">
        <f t="shared" si="23"/>
        <v>0</v>
      </c>
      <c r="Z126" s="34">
        <f t="shared" si="23"/>
        <v>0</v>
      </c>
      <c r="AA126" s="34">
        <f t="shared" si="23"/>
        <v>0</v>
      </c>
      <c r="AB126" s="34">
        <f t="shared" si="23"/>
        <v>0</v>
      </c>
      <c r="AC126" s="34">
        <f t="shared" si="23"/>
        <v>0</v>
      </c>
      <c r="AD126" s="34">
        <f t="shared" si="23"/>
        <v>1</v>
      </c>
      <c r="AE126" s="34">
        <f t="shared" si="23"/>
        <v>5</v>
      </c>
      <c r="AF126" s="34">
        <f t="shared" si="23"/>
        <v>0</v>
      </c>
      <c r="AG126" s="34">
        <f t="shared" si="23"/>
        <v>0</v>
      </c>
      <c r="AH126" s="34">
        <f t="shared" si="23"/>
        <v>0</v>
      </c>
      <c r="AI126" s="34">
        <f t="shared" si="23"/>
        <v>0</v>
      </c>
      <c r="AJ126" s="34">
        <f t="shared" si="23"/>
        <v>0</v>
      </c>
      <c r="AK126" s="34">
        <f t="shared" si="23"/>
        <v>0</v>
      </c>
      <c r="AL126" s="34">
        <f t="shared" si="23"/>
        <v>0</v>
      </c>
      <c r="AM126" s="34">
        <f t="shared" si="23"/>
        <v>1</v>
      </c>
      <c r="AN126" s="34">
        <f t="shared" si="23"/>
        <v>0</v>
      </c>
      <c r="AO126" s="34">
        <f t="shared" si="23"/>
        <v>1</v>
      </c>
      <c r="AP126" s="34">
        <f t="shared" si="23"/>
        <v>0</v>
      </c>
      <c r="AQ126" s="34">
        <f t="shared" si="23"/>
        <v>1</v>
      </c>
      <c r="AR126" s="34">
        <f t="shared" si="23"/>
        <v>0</v>
      </c>
      <c r="AS126" s="34">
        <f t="shared" si="23"/>
        <v>1</v>
      </c>
      <c r="AT126" s="34">
        <f t="shared" si="23"/>
        <v>0</v>
      </c>
      <c r="AU126" s="34">
        <f t="shared" si="23"/>
        <v>0</v>
      </c>
      <c r="AV126" s="34">
        <f t="shared" si="23"/>
        <v>2</v>
      </c>
      <c r="AW126" s="34">
        <f t="shared" si="23"/>
        <v>0</v>
      </c>
      <c r="AX126" s="34">
        <f t="shared" si="23"/>
        <v>1</v>
      </c>
      <c r="AY126" s="34">
        <f t="shared" si="23"/>
        <v>0</v>
      </c>
      <c r="AZ126" s="34">
        <f t="shared" si="23"/>
        <v>0</v>
      </c>
      <c r="BA126" s="34">
        <f t="shared" si="23"/>
        <v>0</v>
      </c>
      <c r="BB126" s="34">
        <f t="shared" si="23"/>
        <v>0</v>
      </c>
      <c r="BC126" s="34">
        <f t="shared" si="23"/>
        <v>3</v>
      </c>
      <c r="BD126" s="34">
        <f t="shared" si="23"/>
        <v>0</v>
      </c>
      <c r="BE126" s="34">
        <f t="shared" si="23"/>
        <v>0</v>
      </c>
      <c r="BF126" s="34">
        <f t="shared" si="23"/>
        <v>0</v>
      </c>
      <c r="BG126" s="34">
        <f t="shared" si="23"/>
        <v>0</v>
      </c>
      <c r="BH126" s="34">
        <f t="shared" si="23"/>
        <v>0</v>
      </c>
      <c r="BI126" s="34">
        <f t="shared" si="23"/>
        <v>0</v>
      </c>
      <c r="BJ126" s="34">
        <f t="shared" si="23"/>
        <v>0</v>
      </c>
      <c r="BK126" s="34">
        <f t="shared" si="23"/>
        <v>0</v>
      </c>
      <c r="BL126" s="13">
        <f t="shared" si="13"/>
        <v>24</v>
      </c>
      <c r="BM126" s="5"/>
      <c r="BN126" s="5"/>
    </row>
    <row r="127" spans="1:66" ht="15" customHeight="1" x14ac:dyDescent="0.3">
      <c r="A127" s="35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13">
        <f t="shared" si="13"/>
        <v>0</v>
      </c>
      <c r="BM127" s="5"/>
      <c r="BN127" s="5"/>
    </row>
    <row r="128" spans="1:66" ht="12.75" customHeight="1" x14ac:dyDescent="0.3">
      <c r="A128" s="19" t="s">
        <v>37</v>
      </c>
      <c r="B128" s="26" t="s">
        <v>109</v>
      </c>
      <c r="C128" s="48" t="s">
        <v>110</v>
      </c>
      <c r="D128" s="47"/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</v>
      </c>
      <c r="T128" s="15">
        <v>0</v>
      </c>
      <c r="U128" s="15">
        <v>0</v>
      </c>
      <c r="V128" s="15">
        <v>0</v>
      </c>
      <c r="W128" s="15">
        <v>0</v>
      </c>
      <c r="X128" s="15">
        <v>1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1</v>
      </c>
      <c r="AG128" s="15">
        <v>0</v>
      </c>
      <c r="AH128" s="15">
        <v>1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</v>
      </c>
      <c r="AR128" s="15">
        <v>0</v>
      </c>
      <c r="AS128" s="15">
        <v>0</v>
      </c>
      <c r="AT128" s="15">
        <v>0</v>
      </c>
      <c r="AU128" s="15">
        <v>0</v>
      </c>
      <c r="AV128" s="15">
        <v>1</v>
      </c>
      <c r="AW128" s="15">
        <v>0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1</v>
      </c>
      <c r="BF128" s="15">
        <v>0</v>
      </c>
      <c r="BG128" s="15">
        <v>0</v>
      </c>
      <c r="BH128" s="15">
        <v>1</v>
      </c>
      <c r="BI128" s="15">
        <v>0</v>
      </c>
      <c r="BJ128" s="15">
        <v>0</v>
      </c>
      <c r="BK128" s="15">
        <v>1</v>
      </c>
      <c r="BL128" s="13">
        <f t="shared" si="13"/>
        <v>10</v>
      </c>
      <c r="BM128" s="5"/>
      <c r="BN128" s="5"/>
    </row>
    <row r="129" spans="1:66" ht="12.75" customHeight="1" x14ac:dyDescent="0.3">
      <c r="A129" s="19" t="s">
        <v>39</v>
      </c>
      <c r="B129" s="27"/>
      <c r="C129" s="28"/>
      <c r="D129" s="29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3">
        <f t="shared" si="13"/>
        <v>0</v>
      </c>
      <c r="BM129" s="5"/>
      <c r="BN129" s="5"/>
    </row>
    <row r="130" spans="1:66" ht="12.75" customHeight="1" x14ac:dyDescent="0.3">
      <c r="A130" s="15" t="s">
        <v>15</v>
      </c>
      <c r="B130" s="45" t="s">
        <v>47</v>
      </c>
      <c r="C130" s="46"/>
      <c r="D130" s="47"/>
      <c r="E130" s="34">
        <f t="shared" ref="E130:BK130" si="24">SUM(E128:E129)</f>
        <v>0</v>
      </c>
      <c r="F130" s="34">
        <f t="shared" si="24"/>
        <v>0</v>
      </c>
      <c r="G130" s="34">
        <f t="shared" si="24"/>
        <v>0</v>
      </c>
      <c r="H130" s="34">
        <f t="shared" si="24"/>
        <v>0</v>
      </c>
      <c r="I130" s="34">
        <f t="shared" si="24"/>
        <v>0</v>
      </c>
      <c r="J130" s="34">
        <f t="shared" si="24"/>
        <v>0</v>
      </c>
      <c r="K130" s="34">
        <f t="shared" si="24"/>
        <v>0</v>
      </c>
      <c r="L130" s="34">
        <f t="shared" si="24"/>
        <v>0</v>
      </c>
      <c r="M130" s="34">
        <f t="shared" si="24"/>
        <v>1</v>
      </c>
      <c r="N130" s="34">
        <f t="shared" si="24"/>
        <v>0</v>
      </c>
      <c r="O130" s="34">
        <f t="shared" si="24"/>
        <v>0</v>
      </c>
      <c r="P130" s="34">
        <f t="shared" si="24"/>
        <v>0</v>
      </c>
      <c r="Q130" s="34">
        <f t="shared" si="24"/>
        <v>0</v>
      </c>
      <c r="R130" s="34">
        <f t="shared" si="24"/>
        <v>0</v>
      </c>
      <c r="S130" s="34">
        <f t="shared" si="24"/>
        <v>1</v>
      </c>
      <c r="T130" s="34">
        <f t="shared" si="24"/>
        <v>0</v>
      </c>
      <c r="U130" s="34">
        <f t="shared" si="24"/>
        <v>0</v>
      </c>
      <c r="V130" s="34">
        <f t="shared" si="24"/>
        <v>0</v>
      </c>
      <c r="W130" s="34">
        <f t="shared" si="24"/>
        <v>0</v>
      </c>
      <c r="X130" s="34">
        <f t="shared" si="24"/>
        <v>1</v>
      </c>
      <c r="Y130" s="34">
        <f t="shared" si="24"/>
        <v>0</v>
      </c>
      <c r="Z130" s="34">
        <f t="shared" si="24"/>
        <v>0</v>
      </c>
      <c r="AA130" s="34">
        <f t="shared" si="24"/>
        <v>0</v>
      </c>
      <c r="AB130" s="34">
        <f t="shared" si="24"/>
        <v>0</v>
      </c>
      <c r="AC130" s="34">
        <f t="shared" si="24"/>
        <v>0</v>
      </c>
      <c r="AD130" s="34">
        <f t="shared" si="24"/>
        <v>0</v>
      </c>
      <c r="AE130" s="34">
        <f t="shared" si="24"/>
        <v>0</v>
      </c>
      <c r="AF130" s="34">
        <f t="shared" si="24"/>
        <v>1</v>
      </c>
      <c r="AG130" s="34">
        <f t="shared" si="24"/>
        <v>0</v>
      </c>
      <c r="AH130" s="34">
        <f t="shared" si="24"/>
        <v>1</v>
      </c>
      <c r="AI130" s="34">
        <f t="shared" si="24"/>
        <v>0</v>
      </c>
      <c r="AJ130" s="34">
        <f t="shared" si="24"/>
        <v>0</v>
      </c>
      <c r="AK130" s="34">
        <f t="shared" si="24"/>
        <v>0</v>
      </c>
      <c r="AL130" s="34">
        <f t="shared" si="24"/>
        <v>0</v>
      </c>
      <c r="AM130" s="34">
        <f t="shared" si="24"/>
        <v>0</v>
      </c>
      <c r="AN130" s="34">
        <f t="shared" si="24"/>
        <v>0</v>
      </c>
      <c r="AO130" s="34">
        <f t="shared" si="24"/>
        <v>0</v>
      </c>
      <c r="AP130" s="34">
        <f t="shared" si="24"/>
        <v>0</v>
      </c>
      <c r="AQ130" s="34">
        <f t="shared" si="24"/>
        <v>1</v>
      </c>
      <c r="AR130" s="34">
        <f t="shared" si="24"/>
        <v>0</v>
      </c>
      <c r="AS130" s="34">
        <f t="shared" si="24"/>
        <v>0</v>
      </c>
      <c r="AT130" s="34">
        <f t="shared" si="24"/>
        <v>0</v>
      </c>
      <c r="AU130" s="34">
        <f t="shared" si="24"/>
        <v>0</v>
      </c>
      <c r="AV130" s="34">
        <f t="shared" si="24"/>
        <v>1</v>
      </c>
      <c r="AW130" s="34">
        <f t="shared" si="24"/>
        <v>0</v>
      </c>
      <c r="AX130" s="34">
        <f t="shared" si="24"/>
        <v>0</v>
      </c>
      <c r="AY130" s="34">
        <f t="shared" si="24"/>
        <v>0</v>
      </c>
      <c r="AZ130" s="34">
        <f t="shared" si="24"/>
        <v>0</v>
      </c>
      <c r="BA130" s="34">
        <f t="shared" si="24"/>
        <v>0</v>
      </c>
      <c r="BB130" s="34">
        <f t="shared" si="24"/>
        <v>0</v>
      </c>
      <c r="BC130" s="34">
        <f t="shared" si="24"/>
        <v>0</v>
      </c>
      <c r="BD130" s="34">
        <f t="shared" si="24"/>
        <v>0</v>
      </c>
      <c r="BE130" s="34">
        <f t="shared" si="24"/>
        <v>1</v>
      </c>
      <c r="BF130" s="34">
        <f t="shared" si="24"/>
        <v>0</v>
      </c>
      <c r="BG130" s="34">
        <f t="shared" si="24"/>
        <v>0</v>
      </c>
      <c r="BH130" s="34">
        <f t="shared" si="24"/>
        <v>1</v>
      </c>
      <c r="BI130" s="34">
        <f t="shared" si="24"/>
        <v>0</v>
      </c>
      <c r="BJ130" s="34">
        <f t="shared" si="24"/>
        <v>0</v>
      </c>
      <c r="BK130" s="34">
        <f t="shared" si="24"/>
        <v>1</v>
      </c>
      <c r="BL130" s="13">
        <f t="shared" si="13"/>
        <v>10</v>
      </c>
      <c r="BM130" s="1"/>
      <c r="BN130" s="1"/>
    </row>
    <row r="131" spans="1:66" ht="12.75" customHeight="1" x14ac:dyDescent="0.3">
      <c r="A131" s="35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13">
        <f t="shared" si="13"/>
        <v>0</v>
      </c>
      <c r="BM131" s="31"/>
      <c r="BN131" s="31"/>
    </row>
    <row r="132" spans="1:66" ht="12.75" customHeight="1" x14ac:dyDescent="0.3">
      <c r="A132" s="19" t="s">
        <v>37</v>
      </c>
      <c r="B132" s="26" t="s">
        <v>111</v>
      </c>
      <c r="C132" s="48" t="s">
        <v>112</v>
      </c>
      <c r="D132" s="47"/>
      <c r="E132" s="15">
        <v>1</v>
      </c>
      <c r="F132" s="15">
        <v>1</v>
      </c>
      <c r="G132" s="15">
        <v>0</v>
      </c>
      <c r="H132" s="15">
        <v>0</v>
      </c>
      <c r="I132" s="15">
        <v>0</v>
      </c>
      <c r="J132" s="15">
        <v>0</v>
      </c>
      <c r="K132" s="15">
        <v>1</v>
      </c>
      <c r="L132" s="15">
        <v>1</v>
      </c>
      <c r="M132" s="15">
        <v>0</v>
      </c>
      <c r="N132" s="15">
        <v>0</v>
      </c>
      <c r="O132" s="15">
        <v>0</v>
      </c>
      <c r="P132" s="15">
        <v>0</v>
      </c>
      <c r="Q132" s="15">
        <v>1</v>
      </c>
      <c r="R132" s="15">
        <v>0</v>
      </c>
      <c r="S132" s="15">
        <v>0</v>
      </c>
      <c r="T132" s="15">
        <v>0</v>
      </c>
      <c r="U132" s="15">
        <v>1</v>
      </c>
      <c r="V132" s="15">
        <v>0</v>
      </c>
      <c r="W132" s="15">
        <v>1</v>
      </c>
      <c r="X132" s="15">
        <v>0</v>
      </c>
      <c r="Y132" s="15">
        <v>1</v>
      </c>
      <c r="Z132" s="15">
        <v>1</v>
      </c>
      <c r="AA132" s="15">
        <v>0</v>
      </c>
      <c r="AB132" s="15">
        <v>0</v>
      </c>
      <c r="AC132" s="15">
        <v>0</v>
      </c>
      <c r="AD132" s="15">
        <v>4</v>
      </c>
      <c r="AE132" s="15">
        <v>2</v>
      </c>
      <c r="AF132" s="15">
        <v>0</v>
      </c>
      <c r="AG132" s="15">
        <v>0</v>
      </c>
      <c r="AH132" s="15">
        <v>0</v>
      </c>
      <c r="AI132" s="15">
        <v>1</v>
      </c>
      <c r="AJ132" s="15">
        <v>1</v>
      </c>
      <c r="AK132" s="15">
        <v>1</v>
      </c>
      <c r="AL132" s="15">
        <v>0</v>
      </c>
      <c r="AM132" s="15">
        <v>0</v>
      </c>
      <c r="AN132" s="15">
        <v>4</v>
      </c>
      <c r="AO132" s="15">
        <v>2</v>
      </c>
      <c r="AP132" s="15">
        <v>0</v>
      </c>
      <c r="AQ132" s="15">
        <v>1</v>
      </c>
      <c r="AR132" s="15">
        <v>0</v>
      </c>
      <c r="AS132" s="15">
        <v>0</v>
      </c>
      <c r="AT132" s="15">
        <v>0</v>
      </c>
      <c r="AU132" s="15">
        <v>2</v>
      </c>
      <c r="AV132" s="15">
        <v>0</v>
      </c>
      <c r="AW132" s="15">
        <v>0</v>
      </c>
      <c r="AX132" s="15">
        <v>1</v>
      </c>
      <c r="AY132" s="15">
        <v>0</v>
      </c>
      <c r="AZ132" s="15">
        <v>0</v>
      </c>
      <c r="BA132" s="15">
        <v>1</v>
      </c>
      <c r="BB132" s="15">
        <v>2</v>
      </c>
      <c r="BC132" s="15">
        <v>1</v>
      </c>
      <c r="BD132" s="15">
        <v>1</v>
      </c>
      <c r="BE132" s="15">
        <v>1</v>
      </c>
      <c r="BF132" s="15">
        <v>0</v>
      </c>
      <c r="BG132" s="15">
        <v>1</v>
      </c>
      <c r="BH132" s="15">
        <v>1</v>
      </c>
      <c r="BI132" s="15">
        <v>0</v>
      </c>
      <c r="BJ132" s="15">
        <v>0</v>
      </c>
      <c r="BK132" s="15">
        <v>1</v>
      </c>
      <c r="BL132" s="13">
        <f t="shared" si="13"/>
        <v>37</v>
      </c>
      <c r="BM132" s="5"/>
      <c r="BN132" s="5"/>
    </row>
    <row r="133" spans="1:66" ht="12.75" customHeight="1" x14ac:dyDescent="0.3">
      <c r="A133" s="19" t="s">
        <v>39</v>
      </c>
      <c r="B133" s="27"/>
      <c r="C133" s="28" t="s">
        <v>113</v>
      </c>
      <c r="D133" s="29"/>
      <c r="E133" s="15">
        <v>2</v>
      </c>
      <c r="F133" s="15">
        <v>3</v>
      </c>
      <c r="G133" s="15">
        <v>2</v>
      </c>
      <c r="H133" s="15">
        <v>0</v>
      </c>
      <c r="I133" s="15">
        <v>1</v>
      </c>
      <c r="J133" s="15">
        <v>0</v>
      </c>
      <c r="K133" s="15">
        <v>0</v>
      </c>
      <c r="L133" s="15">
        <v>1</v>
      </c>
      <c r="M133" s="15">
        <v>1</v>
      </c>
      <c r="N133" s="15">
        <v>0</v>
      </c>
      <c r="O133" s="15">
        <v>0</v>
      </c>
      <c r="P133" s="15">
        <v>0</v>
      </c>
      <c r="Q133" s="15">
        <v>0</v>
      </c>
      <c r="R133" s="15">
        <v>2</v>
      </c>
      <c r="S133" s="15">
        <v>0</v>
      </c>
      <c r="T133" s="15">
        <v>1</v>
      </c>
      <c r="U133" s="15">
        <v>0</v>
      </c>
      <c r="V133" s="15">
        <v>2</v>
      </c>
      <c r="W133" s="15">
        <v>1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2</v>
      </c>
      <c r="AE133" s="15">
        <v>1</v>
      </c>
      <c r="AF133" s="15">
        <v>0</v>
      </c>
      <c r="AG133" s="15">
        <v>1</v>
      </c>
      <c r="AH133" s="15">
        <v>0</v>
      </c>
      <c r="AI133" s="15">
        <v>1</v>
      </c>
      <c r="AJ133" s="15">
        <v>1</v>
      </c>
      <c r="AK133" s="15">
        <v>3</v>
      </c>
      <c r="AL133" s="15">
        <v>0</v>
      </c>
      <c r="AM133" s="15">
        <v>0</v>
      </c>
      <c r="AN133" s="15">
        <v>1</v>
      </c>
      <c r="AO133" s="15">
        <v>2</v>
      </c>
      <c r="AP133" s="15">
        <v>0</v>
      </c>
      <c r="AQ133" s="15">
        <v>5</v>
      </c>
      <c r="AR133" s="15">
        <v>0</v>
      </c>
      <c r="AS133" s="15">
        <v>0</v>
      </c>
      <c r="AT133" s="15">
        <v>0</v>
      </c>
      <c r="AU133" s="15">
        <v>0</v>
      </c>
      <c r="AV133" s="15">
        <v>1</v>
      </c>
      <c r="AW133" s="15">
        <v>1</v>
      </c>
      <c r="AX133" s="15">
        <v>1</v>
      </c>
      <c r="AY133" s="15">
        <v>1</v>
      </c>
      <c r="AZ133" s="15">
        <v>0</v>
      </c>
      <c r="BA133" s="15">
        <v>1</v>
      </c>
      <c r="BB133" s="15">
        <v>1</v>
      </c>
      <c r="BC133" s="15">
        <v>0</v>
      </c>
      <c r="BD133" s="15">
        <v>0</v>
      </c>
      <c r="BE133" s="15">
        <v>0</v>
      </c>
      <c r="BF133" s="15">
        <v>0</v>
      </c>
      <c r="BG133" s="15">
        <v>1</v>
      </c>
      <c r="BH133" s="15">
        <v>0</v>
      </c>
      <c r="BI133" s="15">
        <v>0</v>
      </c>
      <c r="BJ133" s="15">
        <v>0</v>
      </c>
      <c r="BK133" s="15">
        <v>2</v>
      </c>
      <c r="BL133" s="13">
        <f t="shared" si="13"/>
        <v>42</v>
      </c>
      <c r="BM133" s="5"/>
      <c r="BN133" s="5"/>
    </row>
    <row r="134" spans="1:66" ht="12.75" customHeight="1" x14ac:dyDescent="0.3">
      <c r="A134" s="14"/>
      <c r="B134" s="27"/>
      <c r="C134" s="28" t="s">
        <v>114</v>
      </c>
      <c r="D134" s="29"/>
      <c r="E134" s="15">
        <v>0</v>
      </c>
      <c r="F134" s="15">
        <v>0</v>
      </c>
      <c r="G134" s="15">
        <v>0</v>
      </c>
      <c r="H134" s="15">
        <v>0</v>
      </c>
      <c r="I134" s="15">
        <v>1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1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1</v>
      </c>
      <c r="X134" s="15">
        <v>1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1</v>
      </c>
      <c r="AL134" s="15">
        <v>0</v>
      </c>
      <c r="AM134" s="15">
        <v>1</v>
      </c>
      <c r="AN134" s="15">
        <v>0</v>
      </c>
      <c r="AO134" s="15">
        <v>1</v>
      </c>
      <c r="AP134" s="15">
        <v>2</v>
      </c>
      <c r="AQ134" s="15">
        <v>0</v>
      </c>
      <c r="AR134" s="15">
        <v>0</v>
      </c>
      <c r="AS134" s="15">
        <v>0</v>
      </c>
      <c r="AT134" s="15">
        <v>0</v>
      </c>
      <c r="AU134" s="15">
        <v>1</v>
      </c>
      <c r="AV134" s="15">
        <v>0</v>
      </c>
      <c r="AW134" s="15">
        <v>1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0</v>
      </c>
      <c r="BE134" s="15">
        <v>0</v>
      </c>
      <c r="BF134" s="15">
        <v>0</v>
      </c>
      <c r="BG134" s="15">
        <v>0</v>
      </c>
      <c r="BH134" s="15">
        <v>0</v>
      </c>
      <c r="BI134" s="15">
        <v>0</v>
      </c>
      <c r="BJ134" s="15">
        <v>0</v>
      </c>
      <c r="BK134" s="15">
        <v>0</v>
      </c>
      <c r="BL134" s="13">
        <f t="shared" si="13"/>
        <v>11</v>
      </c>
      <c r="BM134" s="5"/>
      <c r="BN134" s="5"/>
    </row>
    <row r="135" spans="1:66" ht="12.75" customHeight="1" x14ac:dyDescent="0.3">
      <c r="A135" s="14"/>
      <c r="B135" s="27"/>
      <c r="C135" s="28" t="s">
        <v>115</v>
      </c>
      <c r="D135" s="29"/>
      <c r="E135" s="15">
        <v>0</v>
      </c>
      <c r="F135" s="15">
        <v>1</v>
      </c>
      <c r="G135" s="15">
        <v>2</v>
      </c>
      <c r="H135" s="15">
        <v>0</v>
      </c>
      <c r="I135" s="15">
        <v>0</v>
      </c>
      <c r="J135" s="15">
        <v>1</v>
      </c>
      <c r="K135" s="15">
        <v>1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1</v>
      </c>
      <c r="R135" s="15">
        <v>0</v>
      </c>
      <c r="S135" s="15">
        <v>1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1</v>
      </c>
      <c r="AN135" s="15">
        <v>0</v>
      </c>
      <c r="AO135" s="15">
        <v>0</v>
      </c>
      <c r="AP135" s="15">
        <v>1</v>
      </c>
      <c r="AQ135" s="15">
        <v>0</v>
      </c>
      <c r="AR135" s="15">
        <v>1</v>
      </c>
      <c r="AS135" s="15">
        <v>0</v>
      </c>
      <c r="AT135" s="15">
        <v>0</v>
      </c>
      <c r="AU135" s="15">
        <v>0</v>
      </c>
      <c r="AV135" s="15">
        <v>1</v>
      </c>
      <c r="AW135" s="15">
        <v>0</v>
      </c>
      <c r="AX135" s="15">
        <v>0</v>
      </c>
      <c r="AY135" s="15">
        <v>0</v>
      </c>
      <c r="AZ135" s="15">
        <v>0</v>
      </c>
      <c r="BA135" s="15">
        <v>1</v>
      </c>
      <c r="BB135" s="15">
        <v>0</v>
      </c>
      <c r="BC135" s="15">
        <v>0</v>
      </c>
      <c r="BD135" s="15">
        <v>0</v>
      </c>
      <c r="BE135" s="15">
        <v>0</v>
      </c>
      <c r="BF135" s="15">
        <v>1</v>
      </c>
      <c r="BG135" s="15">
        <v>0</v>
      </c>
      <c r="BH135" s="15">
        <v>0</v>
      </c>
      <c r="BI135" s="15">
        <v>4</v>
      </c>
      <c r="BJ135" s="15">
        <v>1</v>
      </c>
      <c r="BK135" s="15">
        <v>0</v>
      </c>
      <c r="BL135" s="13">
        <f t="shared" si="13"/>
        <v>18</v>
      </c>
      <c r="BM135" s="5"/>
      <c r="BN135" s="5"/>
    </row>
    <row r="136" spans="1:66" ht="12.75" customHeight="1" x14ac:dyDescent="0.3">
      <c r="A136" s="14"/>
      <c r="B136" s="27"/>
      <c r="C136" s="28" t="s">
        <v>116</v>
      </c>
      <c r="D136" s="29"/>
      <c r="E136" s="15">
        <v>0</v>
      </c>
      <c r="F136" s="15">
        <v>0</v>
      </c>
      <c r="G136" s="15">
        <v>0</v>
      </c>
      <c r="H136" s="15">
        <v>0</v>
      </c>
      <c r="I136" s="15">
        <v>2</v>
      </c>
      <c r="J136" s="15">
        <v>0</v>
      </c>
      <c r="K136" s="15">
        <v>0</v>
      </c>
      <c r="L136" s="15">
        <v>0</v>
      </c>
      <c r="M136" s="15">
        <v>0</v>
      </c>
      <c r="N136" s="15">
        <v>1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1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1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1</v>
      </c>
      <c r="AO136" s="15">
        <v>0</v>
      </c>
      <c r="AP136" s="15">
        <v>2</v>
      </c>
      <c r="AQ136" s="15">
        <v>0</v>
      </c>
      <c r="AR136" s="15">
        <v>1</v>
      </c>
      <c r="AS136" s="15">
        <v>0</v>
      </c>
      <c r="AT136" s="15">
        <v>0</v>
      </c>
      <c r="AU136" s="15">
        <v>2</v>
      </c>
      <c r="AV136" s="15">
        <v>0</v>
      </c>
      <c r="AW136" s="15">
        <v>0</v>
      </c>
      <c r="AX136" s="15">
        <v>0</v>
      </c>
      <c r="AY136" s="15">
        <v>3</v>
      </c>
      <c r="AZ136" s="15">
        <v>1</v>
      </c>
      <c r="BA136" s="15">
        <v>0</v>
      </c>
      <c r="BB136" s="15">
        <v>0</v>
      </c>
      <c r="BC136" s="15">
        <v>0</v>
      </c>
      <c r="BD136" s="15">
        <v>1</v>
      </c>
      <c r="BE136" s="15">
        <v>0</v>
      </c>
      <c r="BF136" s="15">
        <v>0</v>
      </c>
      <c r="BG136" s="15">
        <v>0</v>
      </c>
      <c r="BH136" s="15">
        <v>3</v>
      </c>
      <c r="BI136" s="15">
        <v>1</v>
      </c>
      <c r="BJ136" s="15">
        <v>0</v>
      </c>
      <c r="BK136" s="15">
        <v>4</v>
      </c>
      <c r="BL136" s="13">
        <f t="shared" si="13"/>
        <v>24</v>
      </c>
      <c r="BM136" s="5"/>
      <c r="BN136" s="5"/>
    </row>
    <row r="137" spans="1:66" ht="12.75" customHeight="1" x14ac:dyDescent="0.3">
      <c r="A137" s="14"/>
      <c r="B137" s="27"/>
      <c r="C137" s="28" t="s">
        <v>117</v>
      </c>
      <c r="D137" s="29"/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1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1</v>
      </c>
      <c r="AR137" s="15">
        <v>1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1</v>
      </c>
      <c r="AZ137" s="15">
        <v>0</v>
      </c>
      <c r="BA137" s="15">
        <v>0</v>
      </c>
      <c r="BB137" s="15">
        <v>1</v>
      </c>
      <c r="BC137" s="15">
        <v>0</v>
      </c>
      <c r="BD137" s="15">
        <v>1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3">
        <f t="shared" si="13"/>
        <v>6</v>
      </c>
      <c r="BM137" s="5"/>
      <c r="BN137" s="5"/>
    </row>
    <row r="138" spans="1:66" ht="12.75" customHeight="1" x14ac:dyDescent="0.3">
      <c r="A138" s="14"/>
      <c r="B138" s="27"/>
      <c r="C138" s="28" t="s">
        <v>118</v>
      </c>
      <c r="D138" s="29"/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1</v>
      </c>
      <c r="AN138" s="15">
        <v>0</v>
      </c>
      <c r="AO138" s="15">
        <v>0</v>
      </c>
      <c r="AP138" s="15">
        <v>0</v>
      </c>
      <c r="AQ138" s="15">
        <v>0</v>
      </c>
      <c r="AR138" s="15">
        <v>1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0</v>
      </c>
      <c r="BH138" s="15">
        <v>0</v>
      </c>
      <c r="BI138" s="15">
        <v>0</v>
      </c>
      <c r="BJ138" s="15">
        <v>0</v>
      </c>
      <c r="BK138" s="15">
        <v>0</v>
      </c>
      <c r="BL138" s="13">
        <f t="shared" si="13"/>
        <v>2</v>
      </c>
      <c r="BM138" s="5"/>
      <c r="BN138" s="5"/>
    </row>
    <row r="139" spans="1:66" ht="15" customHeight="1" x14ac:dyDescent="0.3">
      <c r="A139" s="14"/>
      <c r="B139" s="27"/>
      <c r="C139" s="28" t="s">
        <v>119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1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1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5">
        <v>0</v>
      </c>
      <c r="AX139" s="15">
        <v>0</v>
      </c>
      <c r="AY139" s="15">
        <v>0</v>
      </c>
      <c r="AZ139" s="15">
        <v>0</v>
      </c>
      <c r="BA139" s="15">
        <v>1</v>
      </c>
      <c r="BB139" s="15">
        <v>0</v>
      </c>
      <c r="BC139" s="15">
        <v>0</v>
      </c>
      <c r="BD139" s="15">
        <v>0</v>
      </c>
      <c r="BE139" s="15">
        <v>0</v>
      </c>
      <c r="BF139" s="15">
        <v>1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3">
        <f t="shared" si="13"/>
        <v>4</v>
      </c>
      <c r="BM139" s="5"/>
      <c r="BN139" s="5"/>
    </row>
    <row r="140" spans="1:66" ht="12.75" customHeight="1" x14ac:dyDescent="0.3">
      <c r="A140" s="15" t="s">
        <v>15</v>
      </c>
      <c r="B140" s="45" t="s">
        <v>47</v>
      </c>
      <c r="C140" s="46"/>
      <c r="D140" s="47"/>
      <c r="E140" s="34">
        <f t="shared" ref="E140:BK140" si="25">SUM(E132:E139)</f>
        <v>3</v>
      </c>
      <c r="F140" s="34">
        <f t="shared" si="25"/>
        <v>5</v>
      </c>
      <c r="G140" s="34">
        <f t="shared" si="25"/>
        <v>4</v>
      </c>
      <c r="H140" s="34">
        <f t="shared" si="25"/>
        <v>0</v>
      </c>
      <c r="I140" s="34">
        <f t="shared" si="25"/>
        <v>4</v>
      </c>
      <c r="J140" s="34">
        <f t="shared" si="25"/>
        <v>1</v>
      </c>
      <c r="K140" s="34">
        <f t="shared" si="25"/>
        <v>2</v>
      </c>
      <c r="L140" s="34">
        <f t="shared" si="25"/>
        <v>2</v>
      </c>
      <c r="M140" s="34">
        <f t="shared" si="25"/>
        <v>1</v>
      </c>
      <c r="N140" s="34">
        <f t="shared" si="25"/>
        <v>1</v>
      </c>
      <c r="O140" s="34">
        <f t="shared" si="25"/>
        <v>2</v>
      </c>
      <c r="P140" s="34">
        <f t="shared" si="25"/>
        <v>0</v>
      </c>
      <c r="Q140" s="34">
        <f t="shared" si="25"/>
        <v>2</v>
      </c>
      <c r="R140" s="34">
        <f t="shared" si="25"/>
        <v>3</v>
      </c>
      <c r="S140" s="34">
        <f t="shared" si="25"/>
        <v>1</v>
      </c>
      <c r="T140" s="34">
        <f t="shared" si="25"/>
        <v>2</v>
      </c>
      <c r="U140" s="34">
        <f t="shared" si="25"/>
        <v>1</v>
      </c>
      <c r="V140" s="34">
        <f t="shared" si="25"/>
        <v>2</v>
      </c>
      <c r="W140" s="34">
        <f t="shared" si="25"/>
        <v>3</v>
      </c>
      <c r="X140" s="34">
        <f t="shared" si="25"/>
        <v>1</v>
      </c>
      <c r="Y140" s="34">
        <f t="shared" si="25"/>
        <v>1</v>
      </c>
      <c r="Z140" s="34">
        <f t="shared" si="25"/>
        <v>1</v>
      </c>
      <c r="AA140" s="34">
        <f t="shared" si="25"/>
        <v>0</v>
      </c>
      <c r="AB140" s="34">
        <f t="shared" si="25"/>
        <v>1</v>
      </c>
      <c r="AC140" s="34">
        <f t="shared" si="25"/>
        <v>0</v>
      </c>
      <c r="AD140" s="34">
        <f t="shared" si="25"/>
        <v>6</v>
      </c>
      <c r="AE140" s="34">
        <f t="shared" si="25"/>
        <v>3</v>
      </c>
      <c r="AF140" s="34">
        <f t="shared" si="25"/>
        <v>0</v>
      </c>
      <c r="AG140" s="34">
        <f t="shared" si="25"/>
        <v>1</v>
      </c>
      <c r="AH140" s="34">
        <f t="shared" si="25"/>
        <v>0</v>
      </c>
      <c r="AI140" s="34">
        <f t="shared" si="25"/>
        <v>2</v>
      </c>
      <c r="AJ140" s="34">
        <f t="shared" si="25"/>
        <v>2</v>
      </c>
      <c r="AK140" s="34">
        <f t="shared" si="25"/>
        <v>5</v>
      </c>
      <c r="AL140" s="34">
        <f t="shared" si="25"/>
        <v>0</v>
      </c>
      <c r="AM140" s="34">
        <f t="shared" si="25"/>
        <v>3</v>
      </c>
      <c r="AN140" s="34">
        <f t="shared" si="25"/>
        <v>6</v>
      </c>
      <c r="AO140" s="34">
        <f t="shared" si="25"/>
        <v>6</v>
      </c>
      <c r="AP140" s="34">
        <f t="shared" si="25"/>
        <v>5</v>
      </c>
      <c r="AQ140" s="34">
        <f t="shared" si="25"/>
        <v>7</v>
      </c>
      <c r="AR140" s="34">
        <f t="shared" si="25"/>
        <v>4</v>
      </c>
      <c r="AS140" s="34">
        <f t="shared" si="25"/>
        <v>0</v>
      </c>
      <c r="AT140" s="34">
        <f t="shared" si="25"/>
        <v>0</v>
      </c>
      <c r="AU140" s="34">
        <f t="shared" si="25"/>
        <v>5</v>
      </c>
      <c r="AV140" s="34">
        <f t="shared" si="25"/>
        <v>2</v>
      </c>
      <c r="AW140" s="34">
        <f t="shared" si="25"/>
        <v>2</v>
      </c>
      <c r="AX140" s="34">
        <f t="shared" si="25"/>
        <v>2</v>
      </c>
      <c r="AY140" s="34">
        <f t="shared" si="25"/>
        <v>5</v>
      </c>
      <c r="AZ140" s="34">
        <f t="shared" si="25"/>
        <v>1</v>
      </c>
      <c r="BA140" s="34">
        <f t="shared" si="25"/>
        <v>4</v>
      </c>
      <c r="BB140" s="34">
        <f t="shared" si="25"/>
        <v>4</v>
      </c>
      <c r="BC140" s="34">
        <f t="shared" si="25"/>
        <v>1</v>
      </c>
      <c r="BD140" s="34">
        <f t="shared" si="25"/>
        <v>3</v>
      </c>
      <c r="BE140" s="34">
        <f t="shared" si="25"/>
        <v>1</v>
      </c>
      <c r="BF140" s="34">
        <f t="shared" si="25"/>
        <v>2</v>
      </c>
      <c r="BG140" s="34">
        <f t="shared" si="25"/>
        <v>2</v>
      </c>
      <c r="BH140" s="34">
        <f t="shared" si="25"/>
        <v>4</v>
      </c>
      <c r="BI140" s="34">
        <f t="shared" si="25"/>
        <v>5</v>
      </c>
      <c r="BJ140" s="34">
        <f t="shared" si="25"/>
        <v>1</v>
      </c>
      <c r="BK140" s="34">
        <f t="shared" si="25"/>
        <v>7</v>
      </c>
      <c r="BL140" s="13">
        <f t="shared" si="13"/>
        <v>144</v>
      </c>
      <c r="BM140" s="5"/>
      <c r="BN140" s="5"/>
    </row>
    <row r="141" spans="1:66" ht="12.75" customHeight="1" x14ac:dyDescent="0.3">
      <c r="A141" s="35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13">
        <f t="shared" si="13"/>
        <v>0</v>
      </c>
      <c r="BM141" s="1"/>
      <c r="BN141" s="1"/>
    </row>
    <row r="142" spans="1:66" ht="12.75" customHeight="1" x14ac:dyDescent="0.3">
      <c r="A142" s="19" t="s">
        <v>37</v>
      </c>
      <c r="B142" s="26" t="s">
        <v>120</v>
      </c>
      <c r="C142" s="48" t="s">
        <v>121</v>
      </c>
      <c r="D142" s="47"/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1</v>
      </c>
      <c r="N142" s="15">
        <v>0</v>
      </c>
      <c r="O142" s="15">
        <v>2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1</v>
      </c>
      <c r="V142" s="15">
        <v>0</v>
      </c>
      <c r="W142" s="15">
        <v>0</v>
      </c>
      <c r="X142" s="15">
        <v>0</v>
      </c>
      <c r="Y142" s="15">
        <v>1</v>
      </c>
      <c r="Z142" s="15">
        <v>0</v>
      </c>
      <c r="AA142" s="15">
        <v>0</v>
      </c>
      <c r="AB142" s="15">
        <v>0</v>
      </c>
      <c r="AC142" s="15">
        <v>3</v>
      </c>
      <c r="AD142" s="15">
        <v>1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1</v>
      </c>
      <c r="AR142" s="15">
        <v>0</v>
      </c>
      <c r="AS142" s="15">
        <v>0</v>
      </c>
      <c r="AT142" s="15">
        <v>0</v>
      </c>
      <c r="AU142" s="15">
        <v>0</v>
      </c>
      <c r="AV142" s="15">
        <v>1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1</v>
      </c>
      <c r="BD142" s="15">
        <v>0</v>
      </c>
      <c r="BE142" s="15">
        <v>0</v>
      </c>
      <c r="BF142" s="15">
        <v>0</v>
      </c>
      <c r="BG142" s="15">
        <v>0</v>
      </c>
      <c r="BH142" s="15">
        <v>0</v>
      </c>
      <c r="BI142" s="15">
        <v>0</v>
      </c>
      <c r="BJ142" s="15">
        <v>0</v>
      </c>
      <c r="BK142" s="15">
        <v>0</v>
      </c>
      <c r="BL142" s="13">
        <f t="shared" si="13"/>
        <v>12</v>
      </c>
      <c r="BM142" s="31"/>
      <c r="BN142" s="31"/>
    </row>
    <row r="143" spans="1:66" ht="12.75" customHeight="1" x14ac:dyDescent="0.3">
      <c r="A143" s="19" t="s">
        <v>39</v>
      </c>
      <c r="B143" s="27"/>
      <c r="C143" s="28" t="s">
        <v>122</v>
      </c>
      <c r="D143" s="29"/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</v>
      </c>
      <c r="AY143" s="15">
        <v>1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1</v>
      </c>
      <c r="BL143" s="13">
        <f t="shared" si="13"/>
        <v>2</v>
      </c>
      <c r="BM143" s="5"/>
      <c r="BN143" s="5"/>
    </row>
    <row r="144" spans="1:66" ht="12.75" customHeight="1" x14ac:dyDescent="0.3">
      <c r="A144" s="14"/>
      <c r="B144" s="27"/>
      <c r="C144" s="28" t="s">
        <v>123</v>
      </c>
      <c r="D144" s="29"/>
      <c r="E144" s="15">
        <v>0</v>
      </c>
      <c r="F144" s="15">
        <v>1</v>
      </c>
      <c r="G144" s="15">
        <v>0</v>
      </c>
      <c r="H144" s="15">
        <v>0</v>
      </c>
      <c r="I144" s="15">
        <v>0</v>
      </c>
      <c r="J144" s="15">
        <v>1</v>
      </c>
      <c r="K144" s="15">
        <v>4</v>
      </c>
      <c r="L144" s="15">
        <v>0</v>
      </c>
      <c r="M144" s="15">
        <v>3</v>
      </c>
      <c r="N144" s="15">
        <v>2</v>
      </c>
      <c r="O144" s="15">
        <v>14</v>
      </c>
      <c r="P144" s="15">
        <v>6</v>
      </c>
      <c r="Q144" s="15">
        <v>0</v>
      </c>
      <c r="R144" s="15">
        <v>3</v>
      </c>
      <c r="S144" s="15">
        <v>0</v>
      </c>
      <c r="T144" s="15">
        <v>0</v>
      </c>
      <c r="U144" s="15">
        <v>0</v>
      </c>
      <c r="V144" s="15">
        <v>2</v>
      </c>
      <c r="W144" s="15">
        <v>3</v>
      </c>
      <c r="X144" s="15">
        <v>0</v>
      </c>
      <c r="Y144" s="15">
        <v>1</v>
      </c>
      <c r="Z144" s="15">
        <v>3</v>
      </c>
      <c r="AA144" s="15">
        <v>2</v>
      </c>
      <c r="AB144" s="15">
        <v>1</v>
      </c>
      <c r="AC144" s="15">
        <v>0</v>
      </c>
      <c r="AD144" s="15">
        <v>2</v>
      </c>
      <c r="AE144" s="15">
        <v>0</v>
      </c>
      <c r="AF144" s="15">
        <v>0</v>
      </c>
      <c r="AG144" s="15">
        <v>0</v>
      </c>
      <c r="AH144" s="15">
        <v>0</v>
      </c>
      <c r="AI144" s="15">
        <v>2</v>
      </c>
      <c r="AJ144" s="15">
        <v>0</v>
      </c>
      <c r="AK144" s="15">
        <v>0</v>
      </c>
      <c r="AL144" s="15">
        <v>1</v>
      </c>
      <c r="AM144" s="15">
        <v>0</v>
      </c>
      <c r="AN144" s="15">
        <v>0</v>
      </c>
      <c r="AO144" s="15">
        <v>0</v>
      </c>
      <c r="AP144" s="15">
        <v>1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1</v>
      </c>
      <c r="AX144" s="15">
        <v>0</v>
      </c>
      <c r="AY144" s="15">
        <v>0</v>
      </c>
      <c r="AZ144" s="15">
        <v>0</v>
      </c>
      <c r="BA144" s="15">
        <v>1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>
        <v>0</v>
      </c>
      <c r="BI144" s="15">
        <v>0</v>
      </c>
      <c r="BJ144" s="15">
        <v>0</v>
      </c>
      <c r="BK144" s="15">
        <v>0</v>
      </c>
      <c r="BL144" s="13">
        <f t="shared" si="13"/>
        <v>54</v>
      </c>
      <c r="BM144" s="5"/>
      <c r="BN144" s="5"/>
    </row>
    <row r="145" spans="1:66" ht="12.75" customHeight="1" x14ac:dyDescent="0.3">
      <c r="A145" s="14"/>
      <c r="B145" s="27"/>
      <c r="C145" s="28" t="s">
        <v>124</v>
      </c>
      <c r="D145" s="29"/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6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3">
        <f t="shared" si="13"/>
        <v>6</v>
      </c>
      <c r="BM145" s="5"/>
      <c r="BN145" s="5"/>
    </row>
    <row r="146" spans="1:66" ht="12.75" customHeight="1" x14ac:dyDescent="0.3">
      <c r="A146" s="14"/>
      <c r="B146" s="27"/>
      <c r="C146" s="28" t="s">
        <v>125</v>
      </c>
      <c r="D146" s="29"/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5">
        <v>0</v>
      </c>
      <c r="AX146" s="15">
        <v>0</v>
      </c>
      <c r="AY146" s="15">
        <v>0</v>
      </c>
      <c r="AZ146" s="15">
        <v>0</v>
      </c>
      <c r="BA146" s="15">
        <v>0</v>
      </c>
      <c r="BB146" s="15">
        <v>0</v>
      </c>
      <c r="BC146" s="15">
        <v>0</v>
      </c>
      <c r="BD146" s="15">
        <v>0</v>
      </c>
      <c r="BE146" s="15">
        <v>0</v>
      </c>
      <c r="BF146" s="15">
        <v>0</v>
      </c>
      <c r="BG146" s="15">
        <v>0</v>
      </c>
      <c r="BH146" s="15">
        <v>0</v>
      </c>
      <c r="BI146" s="15">
        <v>0</v>
      </c>
      <c r="BJ146" s="15">
        <v>0</v>
      </c>
      <c r="BK146" s="15">
        <v>0</v>
      </c>
      <c r="BL146" s="13">
        <f t="shared" si="13"/>
        <v>0</v>
      </c>
      <c r="BM146" s="5"/>
      <c r="BN146" s="5"/>
    </row>
    <row r="147" spans="1:66" ht="12.75" customHeight="1" x14ac:dyDescent="0.3">
      <c r="A147" s="14"/>
      <c r="B147" s="27"/>
      <c r="C147" s="28" t="s">
        <v>126</v>
      </c>
      <c r="D147" s="29"/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1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3">
        <f t="shared" si="13"/>
        <v>1</v>
      </c>
      <c r="BM147" s="5"/>
      <c r="BN147" s="5"/>
    </row>
    <row r="148" spans="1:66" ht="12.75" customHeight="1" x14ac:dyDescent="0.3">
      <c r="A148" s="14"/>
      <c r="B148" s="27"/>
      <c r="C148" s="28" t="s">
        <v>127</v>
      </c>
      <c r="D148" s="29"/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0</v>
      </c>
      <c r="BE148" s="15">
        <v>0</v>
      </c>
      <c r="BF148" s="15">
        <v>0</v>
      </c>
      <c r="BG148" s="15">
        <v>0</v>
      </c>
      <c r="BH148" s="15">
        <v>0</v>
      </c>
      <c r="BI148" s="15">
        <v>0</v>
      </c>
      <c r="BJ148" s="15">
        <v>0</v>
      </c>
      <c r="BK148" s="15">
        <v>0</v>
      </c>
      <c r="BL148" s="13">
        <f t="shared" si="13"/>
        <v>0</v>
      </c>
      <c r="BM148" s="5"/>
      <c r="BN148" s="5"/>
    </row>
    <row r="149" spans="1:66" ht="12.75" customHeight="1" x14ac:dyDescent="0.3">
      <c r="A149" s="14"/>
      <c r="B149" s="27"/>
      <c r="C149" s="28" t="s">
        <v>128</v>
      </c>
      <c r="D149" s="29"/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1</v>
      </c>
      <c r="BL149" s="13">
        <f t="shared" si="13"/>
        <v>1</v>
      </c>
      <c r="BM149" s="5"/>
      <c r="BN149" s="5"/>
    </row>
    <row r="150" spans="1:66" ht="12.75" customHeight="1" x14ac:dyDescent="0.3">
      <c r="A150" s="15" t="s">
        <v>15</v>
      </c>
      <c r="B150" s="45" t="s">
        <v>47</v>
      </c>
      <c r="C150" s="46"/>
      <c r="D150" s="47"/>
      <c r="E150" s="34">
        <f t="shared" ref="E150:BK150" si="26">SUM(E142:E149)</f>
        <v>0</v>
      </c>
      <c r="F150" s="34">
        <f t="shared" si="26"/>
        <v>1</v>
      </c>
      <c r="G150" s="34">
        <f t="shared" si="26"/>
        <v>0</v>
      </c>
      <c r="H150" s="34">
        <f t="shared" si="26"/>
        <v>0</v>
      </c>
      <c r="I150" s="34">
        <f t="shared" si="26"/>
        <v>0</v>
      </c>
      <c r="J150" s="34">
        <f t="shared" si="26"/>
        <v>2</v>
      </c>
      <c r="K150" s="34">
        <f t="shared" si="26"/>
        <v>4</v>
      </c>
      <c r="L150" s="34">
        <f t="shared" si="26"/>
        <v>0</v>
      </c>
      <c r="M150" s="34">
        <f t="shared" si="26"/>
        <v>4</v>
      </c>
      <c r="N150" s="34">
        <f t="shared" si="26"/>
        <v>2</v>
      </c>
      <c r="O150" s="34">
        <f t="shared" si="26"/>
        <v>16</v>
      </c>
      <c r="P150" s="34">
        <f t="shared" si="26"/>
        <v>6</v>
      </c>
      <c r="Q150" s="34">
        <f t="shared" si="26"/>
        <v>0</v>
      </c>
      <c r="R150" s="34">
        <f t="shared" si="26"/>
        <v>3</v>
      </c>
      <c r="S150" s="34">
        <f t="shared" si="26"/>
        <v>0</v>
      </c>
      <c r="T150" s="34">
        <f t="shared" si="26"/>
        <v>0</v>
      </c>
      <c r="U150" s="34">
        <f t="shared" si="26"/>
        <v>1</v>
      </c>
      <c r="V150" s="34">
        <f t="shared" si="26"/>
        <v>2</v>
      </c>
      <c r="W150" s="34">
        <f t="shared" si="26"/>
        <v>3</v>
      </c>
      <c r="X150" s="34">
        <f t="shared" si="26"/>
        <v>0</v>
      </c>
      <c r="Y150" s="34">
        <f t="shared" si="26"/>
        <v>2</v>
      </c>
      <c r="Z150" s="34">
        <f t="shared" si="26"/>
        <v>3</v>
      </c>
      <c r="AA150" s="34">
        <f t="shared" si="26"/>
        <v>2</v>
      </c>
      <c r="AB150" s="34">
        <f t="shared" si="26"/>
        <v>1</v>
      </c>
      <c r="AC150" s="34">
        <f t="shared" si="26"/>
        <v>9</v>
      </c>
      <c r="AD150" s="34">
        <f t="shared" si="26"/>
        <v>3</v>
      </c>
      <c r="AE150" s="34">
        <f t="shared" si="26"/>
        <v>0</v>
      </c>
      <c r="AF150" s="34">
        <f t="shared" si="26"/>
        <v>0</v>
      </c>
      <c r="AG150" s="34">
        <f t="shared" si="26"/>
        <v>0</v>
      </c>
      <c r="AH150" s="34">
        <f t="shared" si="26"/>
        <v>0</v>
      </c>
      <c r="AI150" s="34">
        <f t="shared" si="26"/>
        <v>2</v>
      </c>
      <c r="AJ150" s="34">
        <f t="shared" si="26"/>
        <v>0</v>
      </c>
      <c r="AK150" s="34">
        <f t="shared" si="26"/>
        <v>0</v>
      </c>
      <c r="AL150" s="34">
        <f t="shared" si="26"/>
        <v>1</v>
      </c>
      <c r="AM150" s="34">
        <f t="shared" si="26"/>
        <v>0</v>
      </c>
      <c r="AN150" s="34">
        <f t="shared" si="26"/>
        <v>0</v>
      </c>
      <c r="AO150" s="34">
        <f t="shared" si="26"/>
        <v>0</v>
      </c>
      <c r="AP150" s="34">
        <f t="shared" si="26"/>
        <v>1</v>
      </c>
      <c r="AQ150" s="34">
        <f t="shared" si="26"/>
        <v>1</v>
      </c>
      <c r="AR150" s="34">
        <f t="shared" si="26"/>
        <v>0</v>
      </c>
      <c r="AS150" s="34">
        <f t="shared" si="26"/>
        <v>0</v>
      </c>
      <c r="AT150" s="34">
        <f t="shared" si="26"/>
        <v>0</v>
      </c>
      <c r="AU150" s="34">
        <f t="shared" si="26"/>
        <v>0</v>
      </c>
      <c r="AV150" s="34">
        <f t="shared" si="26"/>
        <v>1</v>
      </c>
      <c r="AW150" s="34">
        <f t="shared" si="26"/>
        <v>1</v>
      </c>
      <c r="AX150" s="34">
        <f t="shared" si="26"/>
        <v>0</v>
      </c>
      <c r="AY150" s="34">
        <f t="shared" si="26"/>
        <v>1</v>
      </c>
      <c r="AZ150" s="34">
        <f t="shared" si="26"/>
        <v>0</v>
      </c>
      <c r="BA150" s="34">
        <f t="shared" si="26"/>
        <v>1</v>
      </c>
      <c r="BB150" s="34">
        <f t="shared" si="26"/>
        <v>0</v>
      </c>
      <c r="BC150" s="34">
        <f t="shared" si="26"/>
        <v>1</v>
      </c>
      <c r="BD150" s="34">
        <f t="shared" si="26"/>
        <v>0</v>
      </c>
      <c r="BE150" s="34">
        <f t="shared" si="26"/>
        <v>0</v>
      </c>
      <c r="BF150" s="34">
        <f t="shared" si="26"/>
        <v>0</v>
      </c>
      <c r="BG150" s="34">
        <f t="shared" si="26"/>
        <v>0</v>
      </c>
      <c r="BH150" s="34">
        <f t="shared" si="26"/>
        <v>0</v>
      </c>
      <c r="BI150" s="34">
        <f t="shared" si="26"/>
        <v>0</v>
      </c>
      <c r="BJ150" s="34">
        <f t="shared" si="26"/>
        <v>0</v>
      </c>
      <c r="BK150" s="34">
        <f t="shared" si="26"/>
        <v>2</v>
      </c>
      <c r="BL150" s="13">
        <f t="shared" si="13"/>
        <v>76</v>
      </c>
      <c r="BM150" s="5"/>
      <c r="BN150" s="5"/>
    </row>
    <row r="151" spans="1:66" ht="12.75" customHeight="1" x14ac:dyDescent="0.3">
      <c r="A151" s="35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13">
        <f t="shared" si="13"/>
        <v>0</v>
      </c>
      <c r="BM151" s="1"/>
      <c r="BN151" s="1"/>
    </row>
    <row r="152" spans="1:66" ht="12.75" customHeight="1" x14ac:dyDescent="0.3">
      <c r="A152" s="19" t="s">
        <v>37</v>
      </c>
      <c r="B152" s="26" t="s">
        <v>129</v>
      </c>
      <c r="C152" s="48" t="s">
        <v>130</v>
      </c>
      <c r="D152" s="47"/>
      <c r="E152" s="15">
        <v>3</v>
      </c>
      <c r="F152" s="15">
        <v>4</v>
      </c>
      <c r="G152" s="15">
        <v>1</v>
      </c>
      <c r="H152" s="15">
        <v>0</v>
      </c>
      <c r="I152" s="15">
        <v>0</v>
      </c>
      <c r="J152" s="15">
        <v>1</v>
      </c>
      <c r="K152" s="15">
        <v>5</v>
      </c>
      <c r="L152" s="15">
        <v>4</v>
      </c>
      <c r="M152" s="15">
        <v>5</v>
      </c>
      <c r="N152" s="15">
        <v>0</v>
      </c>
      <c r="O152" s="15">
        <v>4</v>
      </c>
      <c r="P152" s="15">
        <v>4</v>
      </c>
      <c r="Q152" s="15">
        <v>2</v>
      </c>
      <c r="R152" s="15">
        <v>1</v>
      </c>
      <c r="S152" s="15">
        <v>4</v>
      </c>
      <c r="T152" s="15">
        <v>2</v>
      </c>
      <c r="U152" s="15">
        <v>1</v>
      </c>
      <c r="V152" s="15">
        <v>1</v>
      </c>
      <c r="W152" s="15">
        <v>3</v>
      </c>
      <c r="X152" s="15">
        <v>2</v>
      </c>
      <c r="Y152" s="15">
        <v>2</v>
      </c>
      <c r="Z152" s="15">
        <v>0</v>
      </c>
      <c r="AA152" s="15">
        <v>3</v>
      </c>
      <c r="AB152" s="15">
        <v>0</v>
      </c>
      <c r="AC152" s="15">
        <v>3</v>
      </c>
      <c r="AD152" s="15">
        <v>1</v>
      </c>
      <c r="AE152" s="15">
        <v>1</v>
      </c>
      <c r="AF152" s="15">
        <v>0</v>
      </c>
      <c r="AG152" s="15">
        <v>0</v>
      </c>
      <c r="AH152" s="15">
        <v>0</v>
      </c>
      <c r="AI152" s="15">
        <v>1</v>
      </c>
      <c r="AJ152" s="15">
        <v>1</v>
      </c>
      <c r="AK152" s="15">
        <v>0</v>
      </c>
      <c r="AL152" s="15">
        <v>0</v>
      </c>
      <c r="AM152" s="15">
        <v>2</v>
      </c>
      <c r="AN152" s="15">
        <v>2</v>
      </c>
      <c r="AO152" s="15">
        <v>3</v>
      </c>
      <c r="AP152" s="15">
        <v>4</v>
      </c>
      <c r="AQ152" s="15">
        <v>4</v>
      </c>
      <c r="AR152" s="15">
        <v>2</v>
      </c>
      <c r="AS152" s="15">
        <v>3</v>
      </c>
      <c r="AT152" s="15">
        <v>0</v>
      </c>
      <c r="AU152" s="15">
        <v>5</v>
      </c>
      <c r="AV152" s="15">
        <v>6</v>
      </c>
      <c r="AW152" s="15">
        <v>0</v>
      </c>
      <c r="AX152" s="15">
        <v>1</v>
      </c>
      <c r="AY152" s="15">
        <v>1</v>
      </c>
      <c r="AZ152" s="15">
        <v>5</v>
      </c>
      <c r="BA152" s="15">
        <v>3</v>
      </c>
      <c r="BB152" s="15">
        <v>4</v>
      </c>
      <c r="BC152" s="15">
        <v>3</v>
      </c>
      <c r="BD152" s="15">
        <v>12</v>
      </c>
      <c r="BE152" s="15">
        <v>3</v>
      </c>
      <c r="BF152" s="15">
        <v>4</v>
      </c>
      <c r="BG152" s="15">
        <v>3</v>
      </c>
      <c r="BH152" s="15">
        <v>0</v>
      </c>
      <c r="BI152" s="15">
        <v>1</v>
      </c>
      <c r="BJ152" s="15">
        <v>1</v>
      </c>
      <c r="BK152" s="15">
        <v>3</v>
      </c>
      <c r="BL152" s="13">
        <f t="shared" si="13"/>
        <v>134</v>
      </c>
      <c r="BM152" s="31"/>
      <c r="BN152" s="31"/>
    </row>
    <row r="153" spans="1:66" ht="12.75" customHeight="1" x14ac:dyDescent="0.3">
      <c r="A153" s="19" t="s">
        <v>39</v>
      </c>
      <c r="B153" s="27"/>
      <c r="C153" s="28" t="s">
        <v>131</v>
      </c>
      <c r="D153" s="29"/>
      <c r="E153" s="15">
        <v>3</v>
      </c>
      <c r="F153" s="15">
        <v>3</v>
      </c>
      <c r="G153" s="15">
        <v>4</v>
      </c>
      <c r="H153" s="15">
        <v>4</v>
      </c>
      <c r="I153" s="15">
        <v>2</v>
      </c>
      <c r="J153" s="15">
        <v>0</v>
      </c>
      <c r="K153" s="15">
        <v>4</v>
      </c>
      <c r="L153" s="15">
        <v>1</v>
      </c>
      <c r="M153" s="15">
        <v>1</v>
      </c>
      <c r="N153" s="15">
        <v>1</v>
      </c>
      <c r="O153" s="15">
        <v>3</v>
      </c>
      <c r="P153" s="15">
        <v>0</v>
      </c>
      <c r="Q153" s="15">
        <v>2</v>
      </c>
      <c r="R153" s="15">
        <v>2</v>
      </c>
      <c r="S153" s="15">
        <v>0</v>
      </c>
      <c r="T153" s="15">
        <v>0</v>
      </c>
      <c r="U153" s="15">
        <v>3</v>
      </c>
      <c r="V153" s="15">
        <v>1</v>
      </c>
      <c r="W153" s="15">
        <v>2</v>
      </c>
      <c r="X153" s="15">
        <v>1</v>
      </c>
      <c r="Y153" s="15">
        <v>0</v>
      </c>
      <c r="Z153" s="15">
        <v>3</v>
      </c>
      <c r="AA153" s="15">
        <v>1</v>
      </c>
      <c r="AB153" s="15">
        <v>4</v>
      </c>
      <c r="AC153" s="15">
        <v>0</v>
      </c>
      <c r="AD153" s="15">
        <v>3</v>
      </c>
      <c r="AE153" s="15">
        <v>1</v>
      </c>
      <c r="AF153" s="15">
        <v>0</v>
      </c>
      <c r="AG153" s="15">
        <v>1</v>
      </c>
      <c r="AH153" s="15">
        <v>0</v>
      </c>
      <c r="AI153" s="15">
        <v>0</v>
      </c>
      <c r="AJ153" s="15">
        <v>3</v>
      </c>
      <c r="AK153" s="15">
        <v>1</v>
      </c>
      <c r="AL153" s="15">
        <v>12</v>
      </c>
      <c r="AM153" s="15">
        <v>0</v>
      </c>
      <c r="AN153" s="15">
        <v>0</v>
      </c>
      <c r="AO153" s="15">
        <v>6</v>
      </c>
      <c r="AP153" s="15">
        <v>3</v>
      </c>
      <c r="AQ153" s="15">
        <v>0</v>
      </c>
      <c r="AR153" s="15">
        <v>2</v>
      </c>
      <c r="AS153" s="15">
        <v>0</v>
      </c>
      <c r="AT153" s="15">
        <v>0</v>
      </c>
      <c r="AU153" s="15">
        <v>3</v>
      </c>
      <c r="AV153" s="15">
        <v>1</v>
      </c>
      <c r="AW153" s="15">
        <v>1</v>
      </c>
      <c r="AX153" s="15">
        <v>0</v>
      </c>
      <c r="AY153" s="15">
        <v>1</v>
      </c>
      <c r="AZ153" s="15">
        <v>3</v>
      </c>
      <c r="BA153" s="15">
        <v>6</v>
      </c>
      <c r="BB153" s="15">
        <v>6</v>
      </c>
      <c r="BC153" s="15">
        <v>14</v>
      </c>
      <c r="BD153" s="15">
        <v>47</v>
      </c>
      <c r="BE153" s="15">
        <v>2</v>
      </c>
      <c r="BF153" s="15">
        <v>3</v>
      </c>
      <c r="BG153" s="15">
        <v>0</v>
      </c>
      <c r="BH153" s="15">
        <v>3</v>
      </c>
      <c r="BI153" s="15">
        <v>2</v>
      </c>
      <c r="BJ153" s="15">
        <v>1</v>
      </c>
      <c r="BK153" s="15">
        <v>6</v>
      </c>
      <c r="BL153" s="13">
        <f t="shared" si="13"/>
        <v>176</v>
      </c>
      <c r="BM153" s="5"/>
      <c r="BN153" s="5"/>
    </row>
    <row r="154" spans="1:66" ht="12.75" customHeight="1" x14ac:dyDescent="0.3">
      <c r="A154" s="14"/>
      <c r="B154" s="27"/>
      <c r="C154" s="28" t="s">
        <v>132</v>
      </c>
      <c r="D154" s="29"/>
      <c r="E154" s="15">
        <v>1</v>
      </c>
      <c r="F154" s="15">
        <v>2</v>
      </c>
      <c r="G154" s="15">
        <v>2</v>
      </c>
      <c r="H154" s="15">
        <v>2</v>
      </c>
      <c r="I154" s="15">
        <v>3</v>
      </c>
      <c r="J154" s="15">
        <v>0</v>
      </c>
      <c r="K154" s="15">
        <v>3</v>
      </c>
      <c r="L154" s="15">
        <v>3</v>
      </c>
      <c r="M154" s="15">
        <v>1</v>
      </c>
      <c r="N154" s="15">
        <v>0</v>
      </c>
      <c r="O154" s="15">
        <v>1</v>
      </c>
      <c r="P154" s="15">
        <v>1</v>
      </c>
      <c r="Q154" s="15">
        <v>2</v>
      </c>
      <c r="R154" s="15">
        <v>2</v>
      </c>
      <c r="S154" s="15">
        <v>1</v>
      </c>
      <c r="T154" s="15">
        <v>0</v>
      </c>
      <c r="U154" s="15">
        <v>0</v>
      </c>
      <c r="V154" s="15">
        <v>1</v>
      </c>
      <c r="W154" s="15">
        <v>1</v>
      </c>
      <c r="X154" s="15">
        <v>0</v>
      </c>
      <c r="Y154" s="15">
        <v>2</v>
      </c>
      <c r="Z154" s="15">
        <v>1</v>
      </c>
      <c r="AA154" s="15">
        <v>2</v>
      </c>
      <c r="AB154" s="15">
        <v>2</v>
      </c>
      <c r="AC154" s="15">
        <v>0</v>
      </c>
      <c r="AD154" s="15">
        <v>2</v>
      </c>
      <c r="AE154" s="15">
        <v>0</v>
      </c>
      <c r="AF154" s="15">
        <v>0</v>
      </c>
      <c r="AG154" s="15">
        <v>1</v>
      </c>
      <c r="AH154" s="15">
        <v>2</v>
      </c>
      <c r="AI154" s="15">
        <v>0</v>
      </c>
      <c r="AJ154" s="15">
        <v>1</v>
      </c>
      <c r="AK154" s="15">
        <v>0</v>
      </c>
      <c r="AL154" s="15">
        <v>1</v>
      </c>
      <c r="AM154" s="15">
        <v>0</v>
      </c>
      <c r="AN154" s="15">
        <v>0</v>
      </c>
      <c r="AO154" s="15">
        <v>0</v>
      </c>
      <c r="AP154" s="15">
        <v>3</v>
      </c>
      <c r="AQ154" s="15">
        <v>2</v>
      </c>
      <c r="AR154" s="15">
        <v>1</v>
      </c>
      <c r="AS154" s="15">
        <v>1</v>
      </c>
      <c r="AT154" s="15">
        <v>1</v>
      </c>
      <c r="AU154" s="15">
        <v>1</v>
      </c>
      <c r="AV154" s="15">
        <v>0</v>
      </c>
      <c r="AW154" s="15">
        <v>0</v>
      </c>
      <c r="AX154" s="15">
        <v>0</v>
      </c>
      <c r="AY154" s="15">
        <v>1</v>
      </c>
      <c r="AZ154" s="15">
        <v>1</v>
      </c>
      <c r="BA154" s="15">
        <v>3</v>
      </c>
      <c r="BB154" s="15">
        <v>11</v>
      </c>
      <c r="BC154" s="15">
        <v>1</v>
      </c>
      <c r="BD154" s="15">
        <v>1</v>
      </c>
      <c r="BE154" s="15">
        <v>0</v>
      </c>
      <c r="BF154" s="15">
        <v>0</v>
      </c>
      <c r="BG154" s="15">
        <v>5</v>
      </c>
      <c r="BH154" s="15">
        <v>0</v>
      </c>
      <c r="BI154" s="15">
        <v>1</v>
      </c>
      <c r="BJ154" s="15">
        <v>0</v>
      </c>
      <c r="BK154" s="15">
        <v>2</v>
      </c>
      <c r="BL154" s="13">
        <f t="shared" si="13"/>
        <v>75</v>
      </c>
      <c r="BM154" s="5"/>
      <c r="BN154" s="5"/>
    </row>
    <row r="155" spans="1:66" ht="12.75" customHeight="1" x14ac:dyDescent="0.3">
      <c r="A155" s="14"/>
      <c r="B155" s="27"/>
      <c r="C155" s="28" t="s">
        <v>133</v>
      </c>
      <c r="D155" s="29"/>
      <c r="E155" s="15">
        <v>1</v>
      </c>
      <c r="F155" s="15">
        <v>2</v>
      </c>
      <c r="G155" s="15">
        <v>1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1</v>
      </c>
      <c r="Q155" s="15">
        <v>0</v>
      </c>
      <c r="R155" s="15">
        <v>1</v>
      </c>
      <c r="S155" s="15">
        <v>0</v>
      </c>
      <c r="T155" s="15">
        <v>0</v>
      </c>
      <c r="U155" s="15">
        <v>0</v>
      </c>
      <c r="V155" s="15">
        <v>0</v>
      </c>
      <c r="W155" s="15">
        <v>1</v>
      </c>
      <c r="X155" s="15">
        <v>0</v>
      </c>
      <c r="Y155" s="15">
        <v>1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1</v>
      </c>
      <c r="AL155" s="15">
        <v>0</v>
      </c>
      <c r="AM155" s="15">
        <v>0</v>
      </c>
      <c r="AN155" s="15">
        <v>0</v>
      </c>
      <c r="AO155" s="15">
        <v>0</v>
      </c>
      <c r="AP155" s="15">
        <v>0</v>
      </c>
      <c r="AQ155" s="15">
        <v>1</v>
      </c>
      <c r="AR155" s="15">
        <v>1</v>
      </c>
      <c r="AS155" s="15">
        <v>0</v>
      </c>
      <c r="AT155" s="15">
        <v>0</v>
      </c>
      <c r="AU155" s="15">
        <v>0</v>
      </c>
      <c r="AV155" s="15">
        <v>0</v>
      </c>
      <c r="AW155" s="15">
        <v>1</v>
      </c>
      <c r="AX155" s="15">
        <v>1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2</v>
      </c>
      <c r="BI155" s="15">
        <v>1</v>
      </c>
      <c r="BJ155" s="15">
        <v>1</v>
      </c>
      <c r="BK155" s="15">
        <v>2</v>
      </c>
      <c r="BL155" s="13">
        <f t="shared" si="13"/>
        <v>19</v>
      </c>
      <c r="BM155" s="5"/>
      <c r="BN155" s="5"/>
    </row>
    <row r="156" spans="1:66" ht="12.75" customHeight="1" x14ac:dyDescent="0.3">
      <c r="A156" s="14"/>
      <c r="B156" s="27"/>
      <c r="C156" s="28" t="s">
        <v>134</v>
      </c>
      <c r="D156" s="29"/>
      <c r="E156" s="15">
        <v>0</v>
      </c>
      <c r="F156" s="15">
        <v>0</v>
      </c>
      <c r="G156" s="15">
        <v>3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1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1</v>
      </c>
      <c r="X156" s="15">
        <v>1</v>
      </c>
      <c r="Y156" s="15">
        <v>0</v>
      </c>
      <c r="Z156" s="15">
        <v>1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2</v>
      </c>
      <c r="AH156" s="15">
        <v>0</v>
      </c>
      <c r="AI156" s="15">
        <v>0</v>
      </c>
      <c r="AJ156" s="15">
        <v>1</v>
      </c>
      <c r="AK156" s="15">
        <v>0</v>
      </c>
      <c r="AL156" s="15">
        <v>2</v>
      </c>
      <c r="AM156" s="15">
        <v>1</v>
      </c>
      <c r="AN156" s="15">
        <v>0</v>
      </c>
      <c r="AO156" s="15">
        <v>1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1</v>
      </c>
      <c r="AV156" s="15">
        <v>0</v>
      </c>
      <c r="AW156" s="15">
        <v>0</v>
      </c>
      <c r="AX156" s="15">
        <v>0</v>
      </c>
      <c r="AY156" s="15">
        <v>1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1</v>
      </c>
      <c r="BF156" s="15">
        <v>1</v>
      </c>
      <c r="BG156" s="15">
        <v>0</v>
      </c>
      <c r="BH156" s="15">
        <v>0</v>
      </c>
      <c r="BI156" s="15">
        <v>0</v>
      </c>
      <c r="BJ156" s="15">
        <v>0</v>
      </c>
      <c r="BK156" s="15">
        <v>0</v>
      </c>
      <c r="BL156" s="13">
        <f t="shared" si="13"/>
        <v>18</v>
      </c>
      <c r="BM156" s="5"/>
      <c r="BN156" s="5"/>
    </row>
    <row r="157" spans="1:66" ht="12.75" customHeight="1" x14ac:dyDescent="0.3">
      <c r="A157" s="14"/>
      <c r="B157" s="27"/>
      <c r="C157" s="28" t="s">
        <v>135</v>
      </c>
      <c r="D157" s="29"/>
      <c r="E157" s="15">
        <v>28</v>
      </c>
      <c r="F157" s="15">
        <v>8</v>
      </c>
      <c r="G157" s="15">
        <v>10</v>
      </c>
      <c r="H157" s="15">
        <v>28</v>
      </c>
      <c r="I157" s="15">
        <v>6</v>
      </c>
      <c r="J157" s="15">
        <v>7</v>
      </c>
      <c r="K157" s="15">
        <v>6</v>
      </c>
      <c r="L157" s="15">
        <v>18</v>
      </c>
      <c r="M157" s="15">
        <v>49</v>
      </c>
      <c r="N157" s="15">
        <v>27</v>
      </c>
      <c r="O157" s="15">
        <v>27</v>
      </c>
      <c r="P157" s="15">
        <v>23</v>
      </c>
      <c r="Q157" s="15">
        <v>39</v>
      </c>
      <c r="R157" s="15">
        <v>8</v>
      </c>
      <c r="S157" s="15">
        <v>4</v>
      </c>
      <c r="T157" s="15">
        <v>1</v>
      </c>
      <c r="U157" s="15">
        <v>0</v>
      </c>
      <c r="V157" s="15">
        <v>0</v>
      </c>
      <c r="W157" s="15">
        <v>2</v>
      </c>
      <c r="X157" s="15">
        <v>18</v>
      </c>
      <c r="Y157" s="15">
        <v>19</v>
      </c>
      <c r="Z157" s="15">
        <v>12</v>
      </c>
      <c r="AA157" s="15">
        <v>18</v>
      </c>
      <c r="AB157" s="15">
        <v>15</v>
      </c>
      <c r="AC157" s="15">
        <v>12</v>
      </c>
      <c r="AD157" s="15">
        <v>5</v>
      </c>
      <c r="AE157" s="15">
        <v>1</v>
      </c>
      <c r="AF157" s="15">
        <v>0</v>
      </c>
      <c r="AG157" s="15">
        <v>0</v>
      </c>
      <c r="AH157" s="15">
        <v>1</v>
      </c>
      <c r="AI157" s="15">
        <v>6</v>
      </c>
      <c r="AJ157" s="15">
        <v>0</v>
      </c>
      <c r="AK157" s="15">
        <v>0</v>
      </c>
      <c r="AL157" s="15">
        <v>6</v>
      </c>
      <c r="AM157" s="15">
        <v>0</v>
      </c>
      <c r="AN157" s="15">
        <v>1</v>
      </c>
      <c r="AO157" s="15">
        <v>2</v>
      </c>
      <c r="AP157" s="15">
        <v>17</v>
      </c>
      <c r="AQ157" s="15">
        <v>10</v>
      </c>
      <c r="AR157" s="15">
        <v>8</v>
      </c>
      <c r="AS157" s="15">
        <v>13</v>
      </c>
      <c r="AT157" s="15">
        <v>4</v>
      </c>
      <c r="AU157" s="15">
        <v>4</v>
      </c>
      <c r="AV157" s="15">
        <v>4</v>
      </c>
      <c r="AW157" s="15">
        <v>9</v>
      </c>
      <c r="AX157" s="15">
        <v>4</v>
      </c>
      <c r="AY157" s="15">
        <v>2</v>
      </c>
      <c r="AZ157" s="15">
        <v>26</v>
      </c>
      <c r="BA157" s="15">
        <v>3</v>
      </c>
      <c r="BB157" s="15">
        <v>11</v>
      </c>
      <c r="BC157" s="15">
        <v>1</v>
      </c>
      <c r="BD157" s="15">
        <v>6</v>
      </c>
      <c r="BE157" s="15">
        <v>2</v>
      </c>
      <c r="BF157" s="15">
        <v>1</v>
      </c>
      <c r="BG157" s="15">
        <v>15</v>
      </c>
      <c r="BH157" s="15">
        <v>7</v>
      </c>
      <c r="BI157" s="15">
        <v>1</v>
      </c>
      <c r="BJ157" s="15">
        <v>0</v>
      </c>
      <c r="BK157" s="15">
        <v>6</v>
      </c>
      <c r="BL157" s="13">
        <f t="shared" si="13"/>
        <v>561</v>
      </c>
      <c r="BM157" s="5"/>
      <c r="BN157" s="5"/>
    </row>
    <row r="158" spans="1:66" ht="12.75" customHeight="1" x14ac:dyDescent="0.3">
      <c r="A158" s="14"/>
      <c r="B158" s="27"/>
      <c r="C158" s="28" t="s">
        <v>136</v>
      </c>
      <c r="D158" s="29"/>
      <c r="E158" s="15">
        <v>0</v>
      </c>
      <c r="F158" s="15">
        <v>0</v>
      </c>
      <c r="G158" s="15">
        <v>1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1</v>
      </c>
      <c r="AM158" s="15">
        <v>0</v>
      </c>
      <c r="AN158" s="15">
        <v>0</v>
      </c>
      <c r="AO158" s="15">
        <v>1</v>
      </c>
      <c r="AP158" s="15">
        <v>0</v>
      </c>
      <c r="AQ158" s="15">
        <v>0</v>
      </c>
      <c r="AR158" s="15">
        <v>0</v>
      </c>
      <c r="AS158" s="15">
        <v>0</v>
      </c>
      <c r="AT158" s="15">
        <v>0</v>
      </c>
      <c r="AU158" s="15">
        <v>0</v>
      </c>
      <c r="AV158" s="15">
        <v>0</v>
      </c>
      <c r="AW158" s="15">
        <v>1</v>
      </c>
      <c r="AX158" s="15">
        <v>0</v>
      </c>
      <c r="AY158" s="15">
        <v>0</v>
      </c>
      <c r="AZ158" s="15">
        <v>0</v>
      </c>
      <c r="BA158" s="15">
        <v>0</v>
      </c>
      <c r="BB158" s="15">
        <v>0</v>
      </c>
      <c r="BC158" s="15">
        <v>0</v>
      </c>
      <c r="BD158" s="15">
        <v>0</v>
      </c>
      <c r="BE158" s="15">
        <v>0</v>
      </c>
      <c r="BF158" s="15">
        <v>1</v>
      </c>
      <c r="BG158" s="15">
        <v>0</v>
      </c>
      <c r="BH158" s="15">
        <v>1</v>
      </c>
      <c r="BI158" s="15">
        <v>0</v>
      </c>
      <c r="BJ158" s="15">
        <v>0</v>
      </c>
      <c r="BK158" s="15">
        <v>0</v>
      </c>
      <c r="BL158" s="13">
        <f t="shared" si="13"/>
        <v>6</v>
      </c>
      <c r="BM158" s="5"/>
      <c r="BN158" s="5"/>
    </row>
    <row r="159" spans="1:66" ht="12.75" customHeight="1" x14ac:dyDescent="0.3">
      <c r="A159" s="14"/>
      <c r="B159" s="27"/>
      <c r="C159" s="28" t="s">
        <v>137</v>
      </c>
      <c r="D159" s="29"/>
      <c r="E159" s="15">
        <v>3</v>
      </c>
      <c r="F159" s="15">
        <v>5</v>
      </c>
      <c r="G159" s="15">
        <v>8</v>
      </c>
      <c r="H159" s="15">
        <v>7</v>
      </c>
      <c r="I159" s="15">
        <v>9</v>
      </c>
      <c r="J159" s="15">
        <v>5</v>
      </c>
      <c r="K159" s="15">
        <v>1</v>
      </c>
      <c r="L159" s="15">
        <v>14</v>
      </c>
      <c r="M159" s="15">
        <v>10</v>
      </c>
      <c r="N159" s="15">
        <v>4</v>
      </c>
      <c r="O159" s="15">
        <v>1</v>
      </c>
      <c r="P159" s="15">
        <v>3</v>
      </c>
      <c r="Q159" s="15">
        <v>3</v>
      </c>
      <c r="R159" s="15">
        <v>3</v>
      </c>
      <c r="S159" s="15">
        <v>3</v>
      </c>
      <c r="T159" s="15">
        <v>0</v>
      </c>
      <c r="U159" s="15">
        <v>1</v>
      </c>
      <c r="V159" s="15">
        <v>5</v>
      </c>
      <c r="W159" s="15">
        <v>3</v>
      </c>
      <c r="X159" s="15">
        <v>0</v>
      </c>
      <c r="Y159" s="15">
        <v>0</v>
      </c>
      <c r="Z159" s="15">
        <v>2</v>
      </c>
      <c r="AA159" s="15">
        <v>4</v>
      </c>
      <c r="AB159" s="15">
        <v>2</v>
      </c>
      <c r="AC159" s="15">
        <v>0</v>
      </c>
      <c r="AD159" s="15">
        <v>1</v>
      </c>
      <c r="AE159" s="15">
        <v>0</v>
      </c>
      <c r="AF159" s="15">
        <v>1</v>
      </c>
      <c r="AG159" s="15">
        <v>2</v>
      </c>
      <c r="AH159" s="15">
        <v>9</v>
      </c>
      <c r="AI159" s="15">
        <v>2</v>
      </c>
      <c r="AJ159" s="15">
        <v>0</v>
      </c>
      <c r="AK159" s="15">
        <v>0</v>
      </c>
      <c r="AL159" s="15">
        <v>1</v>
      </c>
      <c r="AM159" s="15">
        <v>2</v>
      </c>
      <c r="AN159" s="15">
        <v>3</v>
      </c>
      <c r="AO159" s="15">
        <v>1</v>
      </c>
      <c r="AP159" s="15">
        <v>6</v>
      </c>
      <c r="AQ159" s="15">
        <v>10</v>
      </c>
      <c r="AR159" s="15">
        <v>10</v>
      </c>
      <c r="AS159" s="15">
        <v>5</v>
      </c>
      <c r="AT159" s="15">
        <v>2</v>
      </c>
      <c r="AU159" s="15">
        <v>3</v>
      </c>
      <c r="AV159" s="15">
        <v>2</v>
      </c>
      <c r="AW159" s="15">
        <v>0</v>
      </c>
      <c r="AX159" s="15">
        <v>0</v>
      </c>
      <c r="AY159" s="15">
        <v>0</v>
      </c>
      <c r="AZ159" s="15">
        <v>1</v>
      </c>
      <c r="BA159" s="15">
        <v>0</v>
      </c>
      <c r="BB159" s="15">
        <v>3</v>
      </c>
      <c r="BC159" s="15">
        <v>1</v>
      </c>
      <c r="BD159" s="15">
        <v>2</v>
      </c>
      <c r="BE159" s="15">
        <v>13</v>
      </c>
      <c r="BF159" s="15">
        <v>15</v>
      </c>
      <c r="BG159" s="15">
        <v>3</v>
      </c>
      <c r="BH159" s="15">
        <v>9</v>
      </c>
      <c r="BI159" s="15">
        <v>1</v>
      </c>
      <c r="BJ159" s="15">
        <v>0</v>
      </c>
      <c r="BK159" s="15">
        <v>6</v>
      </c>
      <c r="BL159" s="13">
        <f t="shared" si="13"/>
        <v>210</v>
      </c>
      <c r="BM159" s="5"/>
      <c r="BN159" s="5"/>
    </row>
    <row r="160" spans="1:66" ht="12.75" customHeight="1" x14ac:dyDescent="0.3">
      <c r="A160" s="15" t="s">
        <v>15</v>
      </c>
      <c r="B160" s="45" t="s">
        <v>47</v>
      </c>
      <c r="C160" s="46"/>
      <c r="D160" s="47"/>
      <c r="E160" s="34">
        <f t="shared" ref="E160:BK160" si="27">SUM(E152:E159)</f>
        <v>39</v>
      </c>
      <c r="F160" s="34">
        <f t="shared" si="27"/>
        <v>24</v>
      </c>
      <c r="G160" s="34">
        <f t="shared" si="27"/>
        <v>30</v>
      </c>
      <c r="H160" s="34">
        <f t="shared" si="27"/>
        <v>41</v>
      </c>
      <c r="I160" s="34">
        <f t="shared" si="27"/>
        <v>20</v>
      </c>
      <c r="J160" s="34">
        <f t="shared" si="27"/>
        <v>13</v>
      </c>
      <c r="K160" s="34">
        <f t="shared" si="27"/>
        <v>19</v>
      </c>
      <c r="L160" s="34">
        <f t="shared" si="27"/>
        <v>40</v>
      </c>
      <c r="M160" s="34">
        <f t="shared" si="27"/>
        <v>67</v>
      </c>
      <c r="N160" s="34">
        <f t="shared" si="27"/>
        <v>32</v>
      </c>
      <c r="O160" s="34">
        <f t="shared" si="27"/>
        <v>36</v>
      </c>
      <c r="P160" s="34">
        <f t="shared" si="27"/>
        <v>32</v>
      </c>
      <c r="Q160" s="34">
        <f t="shared" si="27"/>
        <v>48</v>
      </c>
      <c r="R160" s="34">
        <f t="shared" si="27"/>
        <v>17</v>
      </c>
      <c r="S160" s="34">
        <f t="shared" si="27"/>
        <v>12</v>
      </c>
      <c r="T160" s="34">
        <f t="shared" si="27"/>
        <v>3</v>
      </c>
      <c r="U160" s="34">
        <f t="shared" si="27"/>
        <v>5</v>
      </c>
      <c r="V160" s="34">
        <f t="shared" si="27"/>
        <v>8</v>
      </c>
      <c r="W160" s="34">
        <f t="shared" si="27"/>
        <v>13</v>
      </c>
      <c r="X160" s="34">
        <f t="shared" si="27"/>
        <v>22</v>
      </c>
      <c r="Y160" s="34">
        <f t="shared" si="27"/>
        <v>24</v>
      </c>
      <c r="Z160" s="34">
        <f t="shared" si="27"/>
        <v>19</v>
      </c>
      <c r="AA160" s="34">
        <f t="shared" si="27"/>
        <v>28</v>
      </c>
      <c r="AB160" s="34">
        <f t="shared" si="27"/>
        <v>23</v>
      </c>
      <c r="AC160" s="34">
        <f t="shared" si="27"/>
        <v>15</v>
      </c>
      <c r="AD160" s="34">
        <f t="shared" si="27"/>
        <v>12</v>
      </c>
      <c r="AE160" s="34">
        <f t="shared" si="27"/>
        <v>3</v>
      </c>
      <c r="AF160" s="34">
        <f t="shared" si="27"/>
        <v>1</v>
      </c>
      <c r="AG160" s="34">
        <f t="shared" si="27"/>
        <v>6</v>
      </c>
      <c r="AH160" s="34">
        <f t="shared" si="27"/>
        <v>12</v>
      </c>
      <c r="AI160" s="34">
        <f t="shared" si="27"/>
        <v>9</v>
      </c>
      <c r="AJ160" s="34">
        <f t="shared" si="27"/>
        <v>6</v>
      </c>
      <c r="AK160" s="34">
        <f t="shared" si="27"/>
        <v>2</v>
      </c>
      <c r="AL160" s="34">
        <f t="shared" si="27"/>
        <v>23</v>
      </c>
      <c r="AM160" s="34">
        <f t="shared" si="27"/>
        <v>5</v>
      </c>
      <c r="AN160" s="34">
        <f t="shared" si="27"/>
        <v>6</v>
      </c>
      <c r="AO160" s="34">
        <f t="shared" si="27"/>
        <v>14</v>
      </c>
      <c r="AP160" s="34">
        <f t="shared" si="27"/>
        <v>33</v>
      </c>
      <c r="AQ160" s="34">
        <f t="shared" si="27"/>
        <v>27</v>
      </c>
      <c r="AR160" s="34">
        <f t="shared" si="27"/>
        <v>24</v>
      </c>
      <c r="AS160" s="34">
        <f t="shared" si="27"/>
        <v>22</v>
      </c>
      <c r="AT160" s="34">
        <f t="shared" si="27"/>
        <v>7</v>
      </c>
      <c r="AU160" s="34">
        <f t="shared" si="27"/>
        <v>17</v>
      </c>
      <c r="AV160" s="34">
        <f t="shared" si="27"/>
        <v>13</v>
      </c>
      <c r="AW160" s="34">
        <f t="shared" si="27"/>
        <v>12</v>
      </c>
      <c r="AX160" s="34">
        <f t="shared" si="27"/>
        <v>6</v>
      </c>
      <c r="AY160" s="34">
        <f t="shared" si="27"/>
        <v>6</v>
      </c>
      <c r="AZ160" s="34">
        <f t="shared" si="27"/>
        <v>36</v>
      </c>
      <c r="BA160" s="34">
        <f t="shared" si="27"/>
        <v>15</v>
      </c>
      <c r="BB160" s="34">
        <f t="shared" si="27"/>
        <v>35</v>
      </c>
      <c r="BC160" s="34">
        <f t="shared" si="27"/>
        <v>20</v>
      </c>
      <c r="BD160" s="34">
        <f t="shared" si="27"/>
        <v>68</v>
      </c>
      <c r="BE160" s="34">
        <f t="shared" si="27"/>
        <v>21</v>
      </c>
      <c r="BF160" s="34">
        <f t="shared" si="27"/>
        <v>25</v>
      </c>
      <c r="BG160" s="34">
        <f t="shared" si="27"/>
        <v>26</v>
      </c>
      <c r="BH160" s="34">
        <f t="shared" si="27"/>
        <v>22</v>
      </c>
      <c r="BI160" s="34">
        <f t="shared" si="27"/>
        <v>7</v>
      </c>
      <c r="BJ160" s="34">
        <f t="shared" si="27"/>
        <v>3</v>
      </c>
      <c r="BK160" s="34">
        <f t="shared" si="27"/>
        <v>25</v>
      </c>
      <c r="BL160" s="13">
        <f t="shared" si="13"/>
        <v>1199</v>
      </c>
      <c r="BM160" s="5"/>
      <c r="BN160" s="5"/>
    </row>
    <row r="161" spans="1:66" ht="12.75" customHeight="1" x14ac:dyDescent="0.3">
      <c r="A161" s="35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13">
        <f t="shared" si="13"/>
        <v>0</v>
      </c>
      <c r="BM161" s="5"/>
      <c r="BN161" s="5"/>
    </row>
    <row r="162" spans="1:66" ht="12.75" customHeight="1" x14ac:dyDescent="0.3">
      <c r="A162" s="19" t="s">
        <v>37</v>
      </c>
      <c r="B162" s="26" t="s">
        <v>138</v>
      </c>
      <c r="C162" s="48" t="s">
        <v>139</v>
      </c>
      <c r="D162" s="47"/>
      <c r="E162" s="15">
        <v>2</v>
      </c>
      <c r="F162" s="15">
        <v>3</v>
      </c>
      <c r="G162" s="15">
        <v>2</v>
      </c>
      <c r="H162" s="15">
        <v>2</v>
      </c>
      <c r="I162" s="15">
        <v>0</v>
      </c>
      <c r="J162" s="15">
        <v>1</v>
      </c>
      <c r="K162" s="15">
        <v>1</v>
      </c>
      <c r="L162" s="15">
        <v>0</v>
      </c>
      <c r="M162" s="15">
        <v>2</v>
      </c>
      <c r="N162" s="15">
        <v>0</v>
      </c>
      <c r="O162" s="15">
        <v>2</v>
      </c>
      <c r="P162" s="15">
        <v>1</v>
      </c>
      <c r="Q162" s="15">
        <v>1</v>
      </c>
      <c r="R162" s="15">
        <v>0</v>
      </c>
      <c r="S162" s="15">
        <v>0</v>
      </c>
      <c r="T162" s="15">
        <v>0</v>
      </c>
      <c r="U162" s="15">
        <v>2</v>
      </c>
      <c r="V162" s="15">
        <v>1</v>
      </c>
      <c r="W162" s="15">
        <v>1</v>
      </c>
      <c r="X162" s="15">
        <v>0</v>
      </c>
      <c r="Y162" s="15">
        <v>2</v>
      </c>
      <c r="Z162" s="15">
        <v>1</v>
      </c>
      <c r="AA162" s="15">
        <v>4</v>
      </c>
      <c r="AB162" s="15">
        <v>2</v>
      </c>
      <c r="AC162" s="15">
        <v>1</v>
      </c>
      <c r="AD162" s="15">
        <v>3</v>
      </c>
      <c r="AE162" s="15">
        <v>0</v>
      </c>
      <c r="AF162" s="15">
        <v>0</v>
      </c>
      <c r="AG162" s="15">
        <v>1</v>
      </c>
      <c r="AH162" s="15">
        <v>2</v>
      </c>
      <c r="AI162" s="15">
        <v>2</v>
      </c>
      <c r="AJ162" s="15">
        <v>0</v>
      </c>
      <c r="AK162" s="15">
        <v>0</v>
      </c>
      <c r="AL162" s="15">
        <v>3</v>
      </c>
      <c r="AM162" s="15">
        <v>0</v>
      </c>
      <c r="AN162" s="15">
        <v>1</v>
      </c>
      <c r="AO162" s="15">
        <v>0</v>
      </c>
      <c r="AP162" s="15">
        <v>1</v>
      </c>
      <c r="AQ162" s="15">
        <v>3</v>
      </c>
      <c r="AR162" s="15">
        <v>3</v>
      </c>
      <c r="AS162" s="15">
        <v>1</v>
      </c>
      <c r="AT162" s="15">
        <v>0</v>
      </c>
      <c r="AU162" s="15">
        <v>1</v>
      </c>
      <c r="AV162" s="15">
        <v>1</v>
      </c>
      <c r="AW162" s="15">
        <v>2</v>
      </c>
      <c r="AX162" s="15">
        <v>1</v>
      </c>
      <c r="AY162" s="15">
        <v>1</v>
      </c>
      <c r="AZ162" s="15">
        <v>0</v>
      </c>
      <c r="BA162" s="15">
        <v>1</v>
      </c>
      <c r="BB162" s="15">
        <v>4</v>
      </c>
      <c r="BC162" s="15">
        <v>2</v>
      </c>
      <c r="BD162" s="15">
        <v>1</v>
      </c>
      <c r="BE162" s="15">
        <v>1</v>
      </c>
      <c r="BF162" s="15">
        <v>0</v>
      </c>
      <c r="BG162" s="15">
        <v>0</v>
      </c>
      <c r="BH162" s="15">
        <v>0</v>
      </c>
      <c r="BI162" s="15">
        <v>1</v>
      </c>
      <c r="BJ162" s="15">
        <v>0</v>
      </c>
      <c r="BK162" s="15">
        <v>2</v>
      </c>
      <c r="BL162" s="13">
        <f t="shared" si="13"/>
        <v>69</v>
      </c>
      <c r="BM162" s="5"/>
      <c r="BN162" s="5"/>
    </row>
    <row r="163" spans="1:66" ht="15" customHeight="1" x14ac:dyDescent="0.3">
      <c r="A163" s="19" t="s">
        <v>39</v>
      </c>
      <c r="B163" s="27"/>
      <c r="C163" s="28" t="s">
        <v>140</v>
      </c>
      <c r="D163" s="29"/>
      <c r="E163" s="15">
        <v>4</v>
      </c>
      <c r="F163" s="15">
        <v>7</v>
      </c>
      <c r="G163" s="15">
        <v>3</v>
      </c>
      <c r="H163" s="15">
        <v>5</v>
      </c>
      <c r="I163" s="15">
        <v>6</v>
      </c>
      <c r="J163" s="15">
        <v>3</v>
      </c>
      <c r="K163" s="15">
        <v>3</v>
      </c>
      <c r="L163" s="15">
        <v>6</v>
      </c>
      <c r="M163" s="15">
        <v>6</v>
      </c>
      <c r="N163" s="15">
        <v>2</v>
      </c>
      <c r="O163" s="15">
        <v>12</v>
      </c>
      <c r="P163" s="15">
        <v>8</v>
      </c>
      <c r="Q163" s="15">
        <v>7</v>
      </c>
      <c r="R163" s="15">
        <v>5</v>
      </c>
      <c r="S163" s="15">
        <v>1</v>
      </c>
      <c r="T163" s="15">
        <v>1</v>
      </c>
      <c r="U163" s="15">
        <v>2</v>
      </c>
      <c r="V163" s="15">
        <v>3</v>
      </c>
      <c r="W163" s="15">
        <v>4</v>
      </c>
      <c r="X163" s="15">
        <v>9</v>
      </c>
      <c r="Y163" s="15">
        <v>25</v>
      </c>
      <c r="Z163" s="15">
        <v>21</v>
      </c>
      <c r="AA163" s="15">
        <v>8</v>
      </c>
      <c r="AB163" s="15">
        <v>17</v>
      </c>
      <c r="AC163" s="15">
        <v>12</v>
      </c>
      <c r="AD163" s="15">
        <v>7</v>
      </c>
      <c r="AE163" s="15">
        <v>1</v>
      </c>
      <c r="AF163" s="15">
        <v>0</v>
      </c>
      <c r="AG163" s="15">
        <v>0</v>
      </c>
      <c r="AH163" s="15">
        <v>1</v>
      </c>
      <c r="AI163" s="15">
        <v>1</v>
      </c>
      <c r="AJ163" s="15">
        <v>2</v>
      </c>
      <c r="AK163" s="15">
        <v>1</v>
      </c>
      <c r="AL163" s="15">
        <v>2</v>
      </c>
      <c r="AM163" s="15">
        <v>1</v>
      </c>
      <c r="AN163" s="15">
        <v>1</v>
      </c>
      <c r="AO163" s="15">
        <v>0</v>
      </c>
      <c r="AP163" s="15">
        <v>1</v>
      </c>
      <c r="AQ163" s="15">
        <v>3</v>
      </c>
      <c r="AR163" s="15">
        <v>0</v>
      </c>
      <c r="AS163" s="15">
        <v>0</v>
      </c>
      <c r="AT163" s="15">
        <v>1</v>
      </c>
      <c r="AU163" s="15">
        <v>1</v>
      </c>
      <c r="AV163" s="15">
        <v>2</v>
      </c>
      <c r="AW163" s="15">
        <v>2</v>
      </c>
      <c r="AX163" s="15">
        <v>0</v>
      </c>
      <c r="AY163" s="15">
        <v>0</v>
      </c>
      <c r="AZ163" s="15">
        <v>0</v>
      </c>
      <c r="BA163" s="15">
        <v>1</v>
      </c>
      <c r="BB163" s="15">
        <v>2</v>
      </c>
      <c r="BC163" s="15">
        <v>0</v>
      </c>
      <c r="BD163" s="15">
        <v>4</v>
      </c>
      <c r="BE163" s="15">
        <v>1</v>
      </c>
      <c r="BF163" s="15">
        <v>5</v>
      </c>
      <c r="BG163" s="15">
        <v>0</v>
      </c>
      <c r="BH163" s="15">
        <v>1</v>
      </c>
      <c r="BI163" s="15">
        <v>0</v>
      </c>
      <c r="BJ163" s="15">
        <v>0</v>
      </c>
      <c r="BK163" s="15">
        <v>2</v>
      </c>
      <c r="BL163" s="13">
        <f t="shared" si="13"/>
        <v>223</v>
      </c>
      <c r="BM163" s="5"/>
      <c r="BN163" s="5"/>
    </row>
    <row r="164" spans="1:66" ht="12.75" customHeight="1" x14ac:dyDescent="0.3">
      <c r="A164" s="19"/>
      <c r="B164" s="27"/>
      <c r="C164" s="28" t="s">
        <v>141</v>
      </c>
      <c r="D164" s="29"/>
      <c r="E164" s="15">
        <v>0</v>
      </c>
      <c r="F164" s="15">
        <v>0</v>
      </c>
      <c r="G164" s="15">
        <v>1</v>
      </c>
      <c r="H164" s="15">
        <v>0</v>
      </c>
      <c r="I164" s="15">
        <v>0</v>
      </c>
      <c r="J164" s="15">
        <v>0</v>
      </c>
      <c r="K164" s="15">
        <v>0</v>
      </c>
      <c r="L164" s="15">
        <v>1</v>
      </c>
      <c r="M164" s="15">
        <v>0</v>
      </c>
      <c r="N164" s="15">
        <v>4</v>
      </c>
      <c r="O164" s="15">
        <v>1</v>
      </c>
      <c r="P164" s="15">
        <v>1</v>
      </c>
      <c r="Q164" s="15">
        <v>0</v>
      </c>
      <c r="R164" s="15">
        <v>0</v>
      </c>
      <c r="S164" s="15">
        <v>2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2</v>
      </c>
      <c r="AE164" s="15">
        <v>1</v>
      </c>
      <c r="AF164" s="15">
        <v>0</v>
      </c>
      <c r="AG164" s="15">
        <v>1</v>
      </c>
      <c r="AH164" s="15">
        <v>0</v>
      </c>
      <c r="AI164" s="15">
        <v>1</v>
      </c>
      <c r="AJ164" s="15">
        <v>1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15">
        <v>1</v>
      </c>
      <c r="AR164" s="15">
        <v>0</v>
      </c>
      <c r="AS164" s="15">
        <v>0</v>
      </c>
      <c r="AT164" s="15">
        <v>0</v>
      </c>
      <c r="AU164" s="15">
        <v>0</v>
      </c>
      <c r="AV164" s="15">
        <v>0</v>
      </c>
      <c r="AW164" s="15">
        <v>0</v>
      </c>
      <c r="AX164" s="15">
        <v>0</v>
      </c>
      <c r="AY164" s="15">
        <v>0</v>
      </c>
      <c r="AZ164" s="15">
        <v>0</v>
      </c>
      <c r="BA164" s="15">
        <v>0</v>
      </c>
      <c r="BB164" s="15">
        <v>0</v>
      </c>
      <c r="BC164" s="15">
        <v>3</v>
      </c>
      <c r="BD164" s="15">
        <v>1</v>
      </c>
      <c r="BE164" s="15">
        <v>1</v>
      </c>
      <c r="BF164" s="15">
        <v>1</v>
      </c>
      <c r="BG164" s="15">
        <v>0</v>
      </c>
      <c r="BH164" s="15">
        <v>0</v>
      </c>
      <c r="BI164" s="15">
        <v>0</v>
      </c>
      <c r="BJ164" s="15">
        <v>0</v>
      </c>
      <c r="BK164" s="15">
        <v>1</v>
      </c>
      <c r="BL164" s="13">
        <f t="shared" si="13"/>
        <v>24</v>
      </c>
      <c r="BM164" s="5"/>
      <c r="BN164" s="5"/>
    </row>
    <row r="165" spans="1:66" ht="12.75" customHeight="1" x14ac:dyDescent="0.3">
      <c r="A165" s="15" t="s">
        <v>15</v>
      </c>
      <c r="B165" s="45" t="s">
        <v>47</v>
      </c>
      <c r="C165" s="46"/>
      <c r="D165" s="47"/>
      <c r="E165" s="34">
        <f t="shared" ref="E165:BK165" si="28">SUM(E162:E164)</f>
        <v>6</v>
      </c>
      <c r="F165" s="34">
        <f t="shared" si="28"/>
        <v>10</v>
      </c>
      <c r="G165" s="34">
        <f t="shared" si="28"/>
        <v>6</v>
      </c>
      <c r="H165" s="34">
        <f t="shared" si="28"/>
        <v>7</v>
      </c>
      <c r="I165" s="34">
        <f t="shared" si="28"/>
        <v>6</v>
      </c>
      <c r="J165" s="34">
        <f t="shared" si="28"/>
        <v>4</v>
      </c>
      <c r="K165" s="34">
        <f t="shared" si="28"/>
        <v>4</v>
      </c>
      <c r="L165" s="34">
        <f t="shared" si="28"/>
        <v>7</v>
      </c>
      <c r="M165" s="34">
        <f t="shared" si="28"/>
        <v>8</v>
      </c>
      <c r="N165" s="34">
        <f t="shared" si="28"/>
        <v>6</v>
      </c>
      <c r="O165" s="34">
        <f t="shared" si="28"/>
        <v>15</v>
      </c>
      <c r="P165" s="34">
        <f t="shared" si="28"/>
        <v>10</v>
      </c>
      <c r="Q165" s="34">
        <f t="shared" si="28"/>
        <v>8</v>
      </c>
      <c r="R165" s="34">
        <f t="shared" si="28"/>
        <v>5</v>
      </c>
      <c r="S165" s="34">
        <f t="shared" si="28"/>
        <v>3</v>
      </c>
      <c r="T165" s="34">
        <f t="shared" si="28"/>
        <v>1</v>
      </c>
      <c r="U165" s="34">
        <f t="shared" si="28"/>
        <v>4</v>
      </c>
      <c r="V165" s="34">
        <f t="shared" si="28"/>
        <v>4</v>
      </c>
      <c r="W165" s="34">
        <f t="shared" si="28"/>
        <v>5</v>
      </c>
      <c r="X165" s="34">
        <f t="shared" si="28"/>
        <v>9</v>
      </c>
      <c r="Y165" s="34">
        <f t="shared" si="28"/>
        <v>27</v>
      </c>
      <c r="Z165" s="34">
        <f t="shared" si="28"/>
        <v>22</v>
      </c>
      <c r="AA165" s="34">
        <f t="shared" si="28"/>
        <v>12</v>
      </c>
      <c r="AB165" s="34">
        <f t="shared" si="28"/>
        <v>19</v>
      </c>
      <c r="AC165" s="34">
        <f t="shared" si="28"/>
        <v>13</v>
      </c>
      <c r="AD165" s="34">
        <f t="shared" si="28"/>
        <v>12</v>
      </c>
      <c r="AE165" s="34">
        <f t="shared" si="28"/>
        <v>2</v>
      </c>
      <c r="AF165" s="34">
        <f t="shared" si="28"/>
        <v>0</v>
      </c>
      <c r="AG165" s="34">
        <f t="shared" si="28"/>
        <v>2</v>
      </c>
      <c r="AH165" s="34">
        <f t="shared" si="28"/>
        <v>3</v>
      </c>
      <c r="AI165" s="34">
        <f t="shared" si="28"/>
        <v>4</v>
      </c>
      <c r="AJ165" s="34">
        <f t="shared" si="28"/>
        <v>3</v>
      </c>
      <c r="AK165" s="34">
        <f t="shared" si="28"/>
        <v>1</v>
      </c>
      <c r="AL165" s="34">
        <f t="shared" si="28"/>
        <v>5</v>
      </c>
      <c r="AM165" s="34">
        <f t="shared" si="28"/>
        <v>1</v>
      </c>
      <c r="AN165" s="34">
        <f t="shared" si="28"/>
        <v>2</v>
      </c>
      <c r="AO165" s="34">
        <f t="shared" si="28"/>
        <v>0</v>
      </c>
      <c r="AP165" s="34">
        <f t="shared" si="28"/>
        <v>2</v>
      </c>
      <c r="AQ165" s="34">
        <f t="shared" si="28"/>
        <v>7</v>
      </c>
      <c r="AR165" s="34">
        <f t="shared" si="28"/>
        <v>3</v>
      </c>
      <c r="AS165" s="34">
        <f t="shared" si="28"/>
        <v>1</v>
      </c>
      <c r="AT165" s="34">
        <f t="shared" si="28"/>
        <v>1</v>
      </c>
      <c r="AU165" s="34">
        <f t="shared" si="28"/>
        <v>2</v>
      </c>
      <c r="AV165" s="34">
        <f t="shared" si="28"/>
        <v>3</v>
      </c>
      <c r="AW165" s="34">
        <f t="shared" si="28"/>
        <v>4</v>
      </c>
      <c r="AX165" s="34">
        <f t="shared" si="28"/>
        <v>1</v>
      </c>
      <c r="AY165" s="34">
        <f t="shared" si="28"/>
        <v>1</v>
      </c>
      <c r="AZ165" s="34">
        <f t="shared" si="28"/>
        <v>0</v>
      </c>
      <c r="BA165" s="34">
        <f t="shared" si="28"/>
        <v>2</v>
      </c>
      <c r="BB165" s="34">
        <f t="shared" si="28"/>
        <v>6</v>
      </c>
      <c r="BC165" s="34">
        <f t="shared" si="28"/>
        <v>5</v>
      </c>
      <c r="BD165" s="34">
        <f t="shared" si="28"/>
        <v>6</v>
      </c>
      <c r="BE165" s="34">
        <f t="shared" si="28"/>
        <v>3</v>
      </c>
      <c r="BF165" s="34">
        <f t="shared" si="28"/>
        <v>6</v>
      </c>
      <c r="BG165" s="34">
        <f t="shared" si="28"/>
        <v>0</v>
      </c>
      <c r="BH165" s="34">
        <f t="shared" si="28"/>
        <v>1</v>
      </c>
      <c r="BI165" s="34">
        <f t="shared" si="28"/>
        <v>1</v>
      </c>
      <c r="BJ165" s="34">
        <f t="shared" si="28"/>
        <v>0</v>
      </c>
      <c r="BK165" s="34">
        <f t="shared" si="28"/>
        <v>5</v>
      </c>
      <c r="BL165" s="13">
        <f t="shared" si="13"/>
        <v>316</v>
      </c>
      <c r="BM165" s="1"/>
      <c r="BN165" s="1"/>
    </row>
    <row r="166" spans="1:66" ht="12.75" customHeight="1" x14ac:dyDescent="0.3">
      <c r="A166" s="35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13">
        <f t="shared" si="13"/>
        <v>0</v>
      </c>
      <c r="BM166" s="31"/>
      <c r="BN166" s="31"/>
    </row>
    <row r="167" spans="1:66" ht="12.75" customHeight="1" x14ac:dyDescent="0.3">
      <c r="A167" s="19" t="s">
        <v>37</v>
      </c>
      <c r="B167" s="26" t="s">
        <v>142</v>
      </c>
      <c r="C167" s="48" t="s">
        <v>143</v>
      </c>
      <c r="D167" s="47"/>
      <c r="E167" s="15">
        <v>1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1</v>
      </c>
      <c r="M167" s="15">
        <v>1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1</v>
      </c>
      <c r="U167" s="15">
        <v>2</v>
      </c>
      <c r="V167" s="15">
        <v>0</v>
      </c>
      <c r="W167" s="15">
        <v>0</v>
      </c>
      <c r="X167" s="15">
        <v>0</v>
      </c>
      <c r="Y167" s="15"/>
      <c r="Z167" s="15">
        <v>0</v>
      </c>
      <c r="AA167" s="15">
        <v>0</v>
      </c>
      <c r="AB167" s="15">
        <v>0</v>
      </c>
      <c r="AC167" s="15">
        <v>0</v>
      </c>
      <c r="AD167" s="15">
        <v>1</v>
      </c>
      <c r="AE167" s="15">
        <v>1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O167" s="15">
        <v>0</v>
      </c>
      <c r="AP167" s="15">
        <v>0</v>
      </c>
      <c r="AQ167" s="15">
        <v>1</v>
      </c>
      <c r="AR167" s="15">
        <v>1</v>
      </c>
      <c r="AS167" s="15">
        <v>2</v>
      </c>
      <c r="AT167" s="15">
        <v>0</v>
      </c>
      <c r="AU167" s="15">
        <v>0</v>
      </c>
      <c r="AV167" s="15">
        <v>2</v>
      </c>
      <c r="AW167" s="15">
        <v>0</v>
      </c>
      <c r="AX167" s="15">
        <v>1</v>
      </c>
      <c r="AY167" s="15">
        <v>0</v>
      </c>
      <c r="AZ167" s="15">
        <v>0</v>
      </c>
      <c r="BA167" s="15">
        <v>0</v>
      </c>
      <c r="BB167" s="15">
        <v>0</v>
      </c>
      <c r="BC167" s="15">
        <v>1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3">
        <f t="shared" si="13"/>
        <v>16</v>
      </c>
      <c r="BM167" s="5"/>
      <c r="BN167" s="5"/>
    </row>
    <row r="168" spans="1:66" ht="12.75" customHeight="1" x14ac:dyDescent="0.3">
      <c r="A168" s="19"/>
      <c r="B168" s="26"/>
      <c r="C168" s="28" t="s">
        <v>144</v>
      </c>
      <c r="D168" s="37"/>
      <c r="E168" s="15">
        <v>4</v>
      </c>
      <c r="F168" s="15">
        <v>2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1</v>
      </c>
      <c r="O168" s="15">
        <v>3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2</v>
      </c>
      <c r="W168" s="15">
        <v>2</v>
      </c>
      <c r="X168" s="15">
        <v>0</v>
      </c>
      <c r="Y168" s="15">
        <v>1</v>
      </c>
      <c r="Z168" s="15">
        <v>0</v>
      </c>
      <c r="AA168" s="15">
        <v>1</v>
      </c>
      <c r="AB168" s="15">
        <v>0</v>
      </c>
      <c r="AC168" s="15">
        <v>0</v>
      </c>
      <c r="AD168" s="15">
        <v>1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2</v>
      </c>
      <c r="AN168" s="15">
        <v>0</v>
      </c>
      <c r="AO168" s="15">
        <v>0</v>
      </c>
      <c r="AP168" s="15">
        <v>0</v>
      </c>
      <c r="AQ168" s="15">
        <v>1</v>
      </c>
      <c r="AR168" s="15">
        <v>1</v>
      </c>
      <c r="AS168" s="15">
        <v>1</v>
      </c>
      <c r="AT168" s="15">
        <v>4</v>
      </c>
      <c r="AU168" s="15">
        <v>2</v>
      </c>
      <c r="AV168" s="15">
        <v>2</v>
      </c>
      <c r="AW168" s="15">
        <v>2</v>
      </c>
      <c r="AX168" s="15">
        <v>1</v>
      </c>
      <c r="AY168" s="15">
        <v>0</v>
      </c>
      <c r="AZ168" s="15">
        <v>2</v>
      </c>
      <c r="BA168" s="15">
        <v>1</v>
      </c>
      <c r="BB168" s="15">
        <v>0</v>
      </c>
      <c r="BC168" s="15">
        <v>1</v>
      </c>
      <c r="BD168" s="15">
        <v>0</v>
      </c>
      <c r="BE168" s="15">
        <v>2</v>
      </c>
      <c r="BF168" s="15">
        <v>0</v>
      </c>
      <c r="BG168" s="15">
        <v>1</v>
      </c>
      <c r="BH168" s="15">
        <v>0</v>
      </c>
      <c r="BI168" s="15">
        <v>0</v>
      </c>
      <c r="BJ168" s="15">
        <v>0</v>
      </c>
      <c r="BK168" s="15">
        <v>2</v>
      </c>
      <c r="BL168" s="13">
        <f t="shared" si="13"/>
        <v>42</v>
      </c>
      <c r="BM168" s="5"/>
      <c r="BN168" s="5"/>
    </row>
    <row r="169" spans="1:66" ht="12.75" customHeight="1" x14ac:dyDescent="0.3">
      <c r="A169" s="19"/>
      <c r="B169" s="26"/>
      <c r="C169" s="28" t="s">
        <v>145</v>
      </c>
      <c r="D169" s="37"/>
      <c r="E169" s="15">
        <v>1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1</v>
      </c>
      <c r="V169" s="15">
        <v>0</v>
      </c>
      <c r="W169" s="15">
        <v>0</v>
      </c>
      <c r="X169" s="15">
        <v>0</v>
      </c>
      <c r="Y169" s="15"/>
      <c r="Z169" s="15">
        <v>0</v>
      </c>
      <c r="AA169" s="15">
        <v>1</v>
      </c>
      <c r="AB169" s="15">
        <v>1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>
        <v>1</v>
      </c>
      <c r="AT169" s="15">
        <v>0</v>
      </c>
      <c r="AU169" s="15">
        <v>0</v>
      </c>
      <c r="AV169" s="15">
        <v>0</v>
      </c>
      <c r="AW169" s="15">
        <v>0</v>
      </c>
      <c r="AX169" s="15">
        <v>0</v>
      </c>
      <c r="AY169" s="15">
        <v>0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3">
        <f t="shared" si="13"/>
        <v>5</v>
      </c>
      <c r="BM169" s="5"/>
      <c r="BN169" s="5"/>
    </row>
    <row r="170" spans="1:66" ht="12.75" customHeight="1" x14ac:dyDescent="0.3">
      <c r="A170" s="19"/>
      <c r="B170" s="26"/>
      <c r="C170" s="28" t="s">
        <v>146</v>
      </c>
      <c r="D170" s="37"/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1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/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1</v>
      </c>
      <c r="AF170" s="15">
        <v>0</v>
      </c>
      <c r="AG170" s="15">
        <v>0</v>
      </c>
      <c r="AH170" s="15">
        <v>1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1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  <c r="BB170" s="15">
        <v>0</v>
      </c>
      <c r="BC170" s="15">
        <v>0</v>
      </c>
      <c r="BD170" s="15">
        <v>0</v>
      </c>
      <c r="BE170" s="15">
        <v>0</v>
      </c>
      <c r="BF170" s="15">
        <v>0</v>
      </c>
      <c r="BG170" s="15">
        <v>0</v>
      </c>
      <c r="BH170" s="15">
        <v>0</v>
      </c>
      <c r="BI170" s="15">
        <v>0</v>
      </c>
      <c r="BJ170" s="15">
        <v>0</v>
      </c>
      <c r="BK170" s="15">
        <v>0</v>
      </c>
      <c r="BL170" s="13">
        <f t="shared" si="13"/>
        <v>4</v>
      </c>
      <c r="BM170" s="5"/>
      <c r="BN170" s="5"/>
    </row>
    <row r="171" spans="1:66" ht="12.75" customHeight="1" x14ac:dyDescent="0.3">
      <c r="A171" s="19" t="s">
        <v>39</v>
      </c>
      <c r="B171" s="27"/>
      <c r="C171" s="28" t="s">
        <v>147</v>
      </c>
      <c r="D171" s="29"/>
      <c r="E171" s="15">
        <v>0</v>
      </c>
      <c r="F171" s="15">
        <v>4</v>
      </c>
      <c r="G171" s="15">
        <v>0</v>
      </c>
      <c r="H171" s="15">
        <v>0</v>
      </c>
      <c r="I171" s="15">
        <v>0</v>
      </c>
      <c r="J171" s="15">
        <v>0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1</v>
      </c>
      <c r="R171" s="15">
        <v>0</v>
      </c>
      <c r="S171" s="15">
        <v>0</v>
      </c>
      <c r="T171" s="15">
        <v>1</v>
      </c>
      <c r="U171" s="15">
        <v>1</v>
      </c>
      <c r="V171" s="15">
        <v>0</v>
      </c>
      <c r="W171" s="15">
        <v>0</v>
      </c>
      <c r="X171" s="15">
        <v>0</v>
      </c>
      <c r="Y171" s="15"/>
      <c r="Z171" s="15">
        <v>0</v>
      </c>
      <c r="AA171" s="15">
        <v>1</v>
      </c>
      <c r="AB171" s="15">
        <v>2</v>
      </c>
      <c r="AC171" s="15">
        <v>0</v>
      </c>
      <c r="AD171" s="15">
        <v>0</v>
      </c>
      <c r="AE171" s="15">
        <v>7</v>
      </c>
      <c r="AF171" s="15">
        <v>4</v>
      </c>
      <c r="AG171" s="15">
        <v>5</v>
      </c>
      <c r="AH171" s="15">
        <v>0</v>
      </c>
      <c r="AI171" s="15">
        <v>2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1</v>
      </c>
      <c r="AQ171" s="15">
        <v>1</v>
      </c>
      <c r="AR171" s="15">
        <v>2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1</v>
      </c>
      <c r="BC171" s="15">
        <v>1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3">
        <f t="shared" si="13"/>
        <v>35</v>
      </c>
      <c r="BM171" s="5"/>
      <c r="BN171" s="5"/>
    </row>
    <row r="172" spans="1:66" ht="12.75" customHeight="1" x14ac:dyDescent="0.3">
      <c r="A172" s="15" t="s">
        <v>15</v>
      </c>
      <c r="B172" s="45" t="s">
        <v>47</v>
      </c>
      <c r="C172" s="46"/>
      <c r="D172" s="47"/>
      <c r="E172" s="34">
        <f t="shared" ref="E172:BK172" si="29">SUM(E167:E171)</f>
        <v>6</v>
      </c>
      <c r="F172" s="34">
        <f t="shared" si="29"/>
        <v>6</v>
      </c>
      <c r="G172" s="34">
        <f t="shared" si="29"/>
        <v>0</v>
      </c>
      <c r="H172" s="34">
        <f t="shared" si="29"/>
        <v>0</v>
      </c>
      <c r="I172" s="34">
        <f t="shared" si="29"/>
        <v>0</v>
      </c>
      <c r="J172" s="34">
        <f t="shared" si="29"/>
        <v>0</v>
      </c>
      <c r="K172" s="34">
        <f t="shared" si="29"/>
        <v>1</v>
      </c>
      <c r="L172" s="34">
        <f t="shared" si="29"/>
        <v>2</v>
      </c>
      <c r="M172" s="34">
        <f t="shared" si="29"/>
        <v>1</v>
      </c>
      <c r="N172" s="34">
        <f t="shared" si="29"/>
        <v>1</v>
      </c>
      <c r="O172" s="34">
        <f t="shared" si="29"/>
        <v>3</v>
      </c>
      <c r="P172" s="34">
        <f t="shared" si="29"/>
        <v>0</v>
      </c>
      <c r="Q172" s="34">
        <f t="shared" si="29"/>
        <v>1</v>
      </c>
      <c r="R172" s="34">
        <f t="shared" si="29"/>
        <v>0</v>
      </c>
      <c r="S172" s="34">
        <f t="shared" si="29"/>
        <v>0</v>
      </c>
      <c r="T172" s="34">
        <f t="shared" si="29"/>
        <v>2</v>
      </c>
      <c r="U172" s="34">
        <f t="shared" si="29"/>
        <v>4</v>
      </c>
      <c r="V172" s="34">
        <f t="shared" si="29"/>
        <v>2</v>
      </c>
      <c r="W172" s="34">
        <f t="shared" si="29"/>
        <v>2</v>
      </c>
      <c r="X172" s="34">
        <f t="shared" si="29"/>
        <v>0</v>
      </c>
      <c r="Y172" s="34">
        <f t="shared" si="29"/>
        <v>1</v>
      </c>
      <c r="Z172" s="34">
        <f t="shared" si="29"/>
        <v>0</v>
      </c>
      <c r="AA172" s="34">
        <f t="shared" si="29"/>
        <v>3</v>
      </c>
      <c r="AB172" s="34">
        <f t="shared" si="29"/>
        <v>3</v>
      </c>
      <c r="AC172" s="34">
        <f t="shared" si="29"/>
        <v>0</v>
      </c>
      <c r="AD172" s="34">
        <f t="shared" si="29"/>
        <v>2</v>
      </c>
      <c r="AE172" s="34">
        <f t="shared" si="29"/>
        <v>9</v>
      </c>
      <c r="AF172" s="34">
        <f t="shared" si="29"/>
        <v>4</v>
      </c>
      <c r="AG172" s="34">
        <f t="shared" si="29"/>
        <v>5</v>
      </c>
      <c r="AH172" s="34">
        <f t="shared" si="29"/>
        <v>1</v>
      </c>
      <c r="AI172" s="34">
        <f t="shared" si="29"/>
        <v>2</v>
      </c>
      <c r="AJ172" s="34">
        <f t="shared" si="29"/>
        <v>0</v>
      </c>
      <c r="AK172" s="34">
        <f t="shared" si="29"/>
        <v>0</v>
      </c>
      <c r="AL172" s="34">
        <f t="shared" si="29"/>
        <v>0</v>
      </c>
      <c r="AM172" s="34">
        <f t="shared" si="29"/>
        <v>2</v>
      </c>
      <c r="AN172" s="34">
        <f t="shared" si="29"/>
        <v>1</v>
      </c>
      <c r="AO172" s="34">
        <f t="shared" si="29"/>
        <v>0</v>
      </c>
      <c r="AP172" s="34">
        <f t="shared" si="29"/>
        <v>1</v>
      </c>
      <c r="AQ172" s="34">
        <f t="shared" si="29"/>
        <v>3</v>
      </c>
      <c r="AR172" s="34">
        <f t="shared" si="29"/>
        <v>4</v>
      </c>
      <c r="AS172" s="34">
        <f t="shared" si="29"/>
        <v>4</v>
      </c>
      <c r="AT172" s="34">
        <f t="shared" si="29"/>
        <v>4</v>
      </c>
      <c r="AU172" s="34">
        <f t="shared" si="29"/>
        <v>2</v>
      </c>
      <c r="AV172" s="34">
        <f t="shared" si="29"/>
        <v>4</v>
      </c>
      <c r="AW172" s="34">
        <f t="shared" si="29"/>
        <v>2</v>
      </c>
      <c r="AX172" s="34">
        <f t="shared" si="29"/>
        <v>2</v>
      </c>
      <c r="AY172" s="34">
        <f t="shared" si="29"/>
        <v>0</v>
      </c>
      <c r="AZ172" s="34">
        <f t="shared" si="29"/>
        <v>2</v>
      </c>
      <c r="BA172" s="34">
        <f t="shared" si="29"/>
        <v>1</v>
      </c>
      <c r="BB172" s="34">
        <f t="shared" si="29"/>
        <v>1</v>
      </c>
      <c r="BC172" s="34">
        <f t="shared" si="29"/>
        <v>3</v>
      </c>
      <c r="BD172" s="34">
        <f t="shared" si="29"/>
        <v>0</v>
      </c>
      <c r="BE172" s="34">
        <f t="shared" si="29"/>
        <v>2</v>
      </c>
      <c r="BF172" s="34">
        <f t="shared" si="29"/>
        <v>0</v>
      </c>
      <c r="BG172" s="34">
        <f t="shared" si="29"/>
        <v>1</v>
      </c>
      <c r="BH172" s="34">
        <f t="shared" si="29"/>
        <v>0</v>
      </c>
      <c r="BI172" s="34">
        <f t="shared" si="29"/>
        <v>0</v>
      </c>
      <c r="BJ172" s="34">
        <f t="shared" si="29"/>
        <v>0</v>
      </c>
      <c r="BK172" s="34">
        <f t="shared" si="29"/>
        <v>2</v>
      </c>
      <c r="BL172" s="13">
        <f t="shared" si="13"/>
        <v>102</v>
      </c>
      <c r="BM172" s="5"/>
      <c r="BN172" s="5"/>
    </row>
    <row r="173" spans="1:66" ht="12.75" customHeight="1" x14ac:dyDescent="0.3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13">
        <f t="shared" si="13"/>
        <v>0</v>
      </c>
      <c r="BM173" s="5"/>
      <c r="BN173" s="5"/>
    </row>
    <row r="174" spans="1:66" ht="12.75" customHeight="1" x14ac:dyDescent="0.3">
      <c r="A174" s="19" t="s">
        <v>37</v>
      </c>
      <c r="B174" s="26" t="s">
        <v>148</v>
      </c>
      <c r="C174" s="48" t="s">
        <v>149</v>
      </c>
      <c r="D174" s="47"/>
      <c r="E174" s="15">
        <v>1</v>
      </c>
      <c r="F174" s="15">
        <v>1</v>
      </c>
      <c r="G174" s="15">
        <v>0</v>
      </c>
      <c r="H174" s="15">
        <v>0</v>
      </c>
      <c r="I174" s="15">
        <v>1</v>
      </c>
      <c r="J174" s="15">
        <v>0</v>
      </c>
      <c r="K174" s="15">
        <v>1</v>
      </c>
      <c r="L174" s="15">
        <v>0</v>
      </c>
      <c r="M174" s="15">
        <v>0</v>
      </c>
      <c r="N174" s="15">
        <v>1</v>
      </c>
      <c r="O174" s="15">
        <v>3</v>
      </c>
      <c r="P174" s="15">
        <v>0</v>
      </c>
      <c r="Q174" s="15">
        <v>0</v>
      </c>
      <c r="R174" s="15">
        <v>0</v>
      </c>
      <c r="S174" s="15">
        <v>1</v>
      </c>
      <c r="T174" s="15">
        <v>0</v>
      </c>
      <c r="U174" s="15">
        <v>1</v>
      </c>
      <c r="V174" s="15">
        <v>0</v>
      </c>
      <c r="W174" s="15">
        <v>0</v>
      </c>
      <c r="X174" s="15">
        <v>2</v>
      </c>
      <c r="Y174" s="15">
        <v>0</v>
      </c>
      <c r="Z174" s="15">
        <v>2</v>
      </c>
      <c r="AA174" s="15">
        <v>0</v>
      </c>
      <c r="AB174" s="15">
        <v>4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1</v>
      </c>
      <c r="AR174" s="15">
        <v>0</v>
      </c>
      <c r="AS174" s="15">
        <v>1</v>
      </c>
      <c r="AT174" s="15">
        <v>0</v>
      </c>
      <c r="AU174" s="15">
        <v>1</v>
      </c>
      <c r="AV174" s="15">
        <v>2</v>
      </c>
      <c r="AW174" s="15">
        <v>2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1</v>
      </c>
      <c r="BF174" s="15">
        <v>2</v>
      </c>
      <c r="BG174" s="15">
        <v>0</v>
      </c>
      <c r="BH174" s="15">
        <v>1</v>
      </c>
      <c r="BI174" s="15">
        <v>1</v>
      </c>
      <c r="BJ174" s="15">
        <v>0</v>
      </c>
      <c r="BK174" s="15">
        <v>0</v>
      </c>
      <c r="BL174" s="13">
        <f t="shared" si="13"/>
        <v>30</v>
      </c>
      <c r="BM174" s="5"/>
      <c r="BN174" s="5"/>
    </row>
    <row r="175" spans="1:66" ht="15" customHeight="1" x14ac:dyDescent="0.3">
      <c r="A175" s="19" t="s">
        <v>39</v>
      </c>
      <c r="B175" s="27"/>
      <c r="C175" s="28" t="s">
        <v>150</v>
      </c>
      <c r="D175" s="29"/>
      <c r="E175" s="15">
        <v>1</v>
      </c>
      <c r="F175" s="15">
        <v>0</v>
      </c>
      <c r="G175" s="15">
        <v>0</v>
      </c>
      <c r="H175" s="15">
        <v>0</v>
      </c>
      <c r="I175" s="15">
        <v>0</v>
      </c>
      <c r="J175" s="15">
        <v>1</v>
      </c>
      <c r="K175" s="15">
        <v>0</v>
      </c>
      <c r="L175" s="15">
        <v>0</v>
      </c>
      <c r="M175" s="15">
        <v>0</v>
      </c>
      <c r="N175" s="15">
        <v>0</v>
      </c>
      <c r="O175" s="15">
        <v>2</v>
      </c>
      <c r="P175" s="15">
        <v>0</v>
      </c>
      <c r="Q175" s="15">
        <v>2</v>
      </c>
      <c r="R175" s="15">
        <v>2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1</v>
      </c>
      <c r="Y175" s="15">
        <v>0</v>
      </c>
      <c r="Z175" s="15">
        <v>1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1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15">
        <v>0</v>
      </c>
      <c r="AT175" s="15">
        <v>0</v>
      </c>
      <c r="AU175" s="15">
        <v>1</v>
      </c>
      <c r="AV175" s="15">
        <v>0</v>
      </c>
      <c r="AW175" s="15">
        <v>0</v>
      </c>
      <c r="AX175" s="15">
        <v>0</v>
      </c>
      <c r="AY175" s="15">
        <v>2</v>
      </c>
      <c r="AZ175" s="15">
        <v>1</v>
      </c>
      <c r="BA175" s="15">
        <v>0</v>
      </c>
      <c r="BB175" s="15">
        <v>0</v>
      </c>
      <c r="BC175" s="15">
        <v>1</v>
      </c>
      <c r="BD175" s="15">
        <v>0</v>
      </c>
      <c r="BE175" s="15">
        <v>0</v>
      </c>
      <c r="BF175" s="15">
        <v>2</v>
      </c>
      <c r="BG175" s="15">
        <v>0</v>
      </c>
      <c r="BH175" s="15">
        <v>0</v>
      </c>
      <c r="BI175" s="15">
        <v>0</v>
      </c>
      <c r="BJ175" s="15">
        <v>0</v>
      </c>
      <c r="BK175" s="15">
        <v>1</v>
      </c>
      <c r="BL175" s="13">
        <f t="shared" si="13"/>
        <v>19</v>
      </c>
      <c r="BM175" s="5"/>
      <c r="BN175" s="5"/>
    </row>
    <row r="176" spans="1:66" ht="12.75" customHeight="1" x14ac:dyDescent="0.3">
      <c r="A176" s="14"/>
      <c r="B176" s="27"/>
      <c r="C176" s="28" t="s">
        <v>151</v>
      </c>
      <c r="D176" s="29"/>
      <c r="E176" s="15">
        <v>1</v>
      </c>
      <c r="F176" s="15">
        <v>3</v>
      </c>
      <c r="G176" s="15">
        <v>1</v>
      </c>
      <c r="H176" s="15">
        <v>0</v>
      </c>
      <c r="I176" s="15">
        <v>5</v>
      </c>
      <c r="J176" s="15">
        <v>5</v>
      </c>
      <c r="K176" s="15">
        <v>5</v>
      </c>
      <c r="L176" s="15">
        <v>3</v>
      </c>
      <c r="M176" s="15">
        <v>2</v>
      </c>
      <c r="N176" s="15">
        <v>2</v>
      </c>
      <c r="O176" s="15">
        <v>4</v>
      </c>
      <c r="P176" s="15">
        <v>3</v>
      </c>
      <c r="Q176" s="15">
        <v>0</v>
      </c>
      <c r="R176" s="15">
        <v>0</v>
      </c>
      <c r="S176" s="15">
        <v>0</v>
      </c>
      <c r="T176" s="15">
        <v>5</v>
      </c>
      <c r="U176" s="15">
        <v>1</v>
      </c>
      <c r="V176" s="15">
        <v>0</v>
      </c>
      <c r="W176" s="15">
        <v>1</v>
      </c>
      <c r="X176" s="15">
        <v>1</v>
      </c>
      <c r="Y176" s="15">
        <v>0</v>
      </c>
      <c r="Z176" s="15">
        <v>0</v>
      </c>
      <c r="AA176" s="15">
        <v>0</v>
      </c>
      <c r="AB176" s="15">
        <v>1</v>
      </c>
      <c r="AC176" s="15">
        <v>1</v>
      </c>
      <c r="AD176" s="15">
        <v>8</v>
      </c>
      <c r="AE176" s="15">
        <v>2</v>
      </c>
      <c r="AF176" s="15">
        <v>1</v>
      </c>
      <c r="AG176" s="15">
        <v>1</v>
      </c>
      <c r="AH176" s="15">
        <v>0</v>
      </c>
      <c r="AI176" s="15">
        <v>0</v>
      </c>
      <c r="AJ176" s="15">
        <v>3</v>
      </c>
      <c r="AK176" s="15">
        <v>2</v>
      </c>
      <c r="AL176" s="15">
        <v>0</v>
      </c>
      <c r="AM176" s="15">
        <v>3</v>
      </c>
      <c r="AN176" s="15">
        <v>2</v>
      </c>
      <c r="AO176" s="15">
        <v>7</v>
      </c>
      <c r="AP176" s="15">
        <v>7</v>
      </c>
      <c r="AQ176" s="15">
        <v>0</v>
      </c>
      <c r="AR176" s="15">
        <v>0</v>
      </c>
      <c r="AS176" s="15">
        <v>1</v>
      </c>
      <c r="AT176" s="15">
        <v>0</v>
      </c>
      <c r="AU176" s="15">
        <v>1</v>
      </c>
      <c r="AV176" s="15">
        <v>4</v>
      </c>
      <c r="AW176" s="15">
        <v>0</v>
      </c>
      <c r="AX176" s="15">
        <v>1</v>
      </c>
      <c r="AY176" s="15">
        <v>1</v>
      </c>
      <c r="AZ176" s="15">
        <v>0</v>
      </c>
      <c r="BA176" s="15">
        <v>0</v>
      </c>
      <c r="BB176" s="15">
        <v>1</v>
      </c>
      <c r="BC176" s="15">
        <v>0</v>
      </c>
      <c r="BD176" s="15">
        <v>2</v>
      </c>
      <c r="BE176" s="15">
        <v>2</v>
      </c>
      <c r="BF176" s="15">
        <v>11</v>
      </c>
      <c r="BG176" s="15">
        <v>0</v>
      </c>
      <c r="BH176" s="15">
        <v>0</v>
      </c>
      <c r="BI176" s="15">
        <v>0</v>
      </c>
      <c r="BJ176" s="15">
        <v>0</v>
      </c>
      <c r="BK176" s="15">
        <v>0</v>
      </c>
      <c r="BL176" s="13">
        <f t="shared" si="13"/>
        <v>104</v>
      </c>
      <c r="BM176" s="1"/>
      <c r="BN176" s="1"/>
    </row>
    <row r="177" spans="1:66" ht="12.75" customHeight="1" x14ac:dyDescent="0.3">
      <c r="A177" s="14"/>
      <c r="B177" s="27"/>
      <c r="C177" s="28" t="s">
        <v>152</v>
      </c>
      <c r="D177" s="29"/>
      <c r="E177" s="15">
        <v>6</v>
      </c>
      <c r="F177" s="15">
        <v>2</v>
      </c>
      <c r="G177" s="15">
        <v>0</v>
      </c>
      <c r="H177" s="15">
        <v>2</v>
      </c>
      <c r="I177" s="15">
        <v>5</v>
      </c>
      <c r="J177" s="15">
        <v>2</v>
      </c>
      <c r="K177" s="15">
        <v>1</v>
      </c>
      <c r="L177" s="15">
        <v>2</v>
      </c>
      <c r="M177" s="15">
        <v>4</v>
      </c>
      <c r="N177" s="15">
        <v>3</v>
      </c>
      <c r="O177" s="15">
        <v>4</v>
      </c>
      <c r="P177" s="15">
        <v>4</v>
      </c>
      <c r="Q177" s="15">
        <v>6</v>
      </c>
      <c r="R177" s="15">
        <v>9</v>
      </c>
      <c r="S177" s="15">
        <v>1</v>
      </c>
      <c r="T177" s="15">
        <v>0</v>
      </c>
      <c r="U177" s="15">
        <v>14</v>
      </c>
      <c r="V177" s="15">
        <v>1</v>
      </c>
      <c r="W177" s="15">
        <v>5</v>
      </c>
      <c r="X177" s="15">
        <v>9</v>
      </c>
      <c r="Y177" s="15">
        <v>5</v>
      </c>
      <c r="Z177" s="15">
        <v>5</v>
      </c>
      <c r="AA177" s="15">
        <v>11</v>
      </c>
      <c r="AB177" s="15">
        <v>10</v>
      </c>
      <c r="AC177" s="15">
        <v>1</v>
      </c>
      <c r="AD177" s="15">
        <v>1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1</v>
      </c>
      <c r="AY177" s="15">
        <v>0</v>
      </c>
      <c r="AZ177" s="15">
        <v>2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2</v>
      </c>
      <c r="BI177" s="15">
        <v>0</v>
      </c>
      <c r="BJ177" s="15">
        <v>0</v>
      </c>
      <c r="BK177" s="15">
        <v>0</v>
      </c>
      <c r="BL177" s="13">
        <f t="shared" si="13"/>
        <v>118</v>
      </c>
    </row>
    <row r="178" spans="1:66" ht="12.75" customHeight="1" x14ac:dyDescent="0.3">
      <c r="A178" s="14"/>
      <c r="B178" s="27"/>
      <c r="C178" s="28" t="s">
        <v>153</v>
      </c>
      <c r="D178" s="29"/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1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2</v>
      </c>
      <c r="AN178" s="15">
        <v>0</v>
      </c>
      <c r="AO178" s="15">
        <v>0</v>
      </c>
      <c r="AP178" s="15">
        <v>1</v>
      </c>
      <c r="AQ178" s="15">
        <v>0</v>
      </c>
      <c r="AR178" s="15">
        <v>0</v>
      </c>
      <c r="AS178" s="15">
        <v>0</v>
      </c>
      <c r="AT178" s="15">
        <v>0</v>
      </c>
      <c r="AU178" s="15">
        <v>0</v>
      </c>
      <c r="AV178" s="15">
        <v>1</v>
      </c>
      <c r="AW178" s="15">
        <v>0</v>
      </c>
      <c r="AX178" s="15">
        <v>0</v>
      </c>
      <c r="AY178" s="15">
        <v>0</v>
      </c>
      <c r="AZ178" s="15">
        <v>0</v>
      </c>
      <c r="BA178" s="15">
        <v>0</v>
      </c>
      <c r="BB178" s="15">
        <v>0</v>
      </c>
      <c r="BC178" s="15">
        <v>2</v>
      </c>
      <c r="BD178" s="15">
        <v>0</v>
      </c>
      <c r="BE178" s="15">
        <v>0</v>
      </c>
      <c r="BF178" s="15">
        <v>0</v>
      </c>
      <c r="BG178" s="15">
        <v>0</v>
      </c>
      <c r="BH178" s="15">
        <v>0</v>
      </c>
      <c r="BI178" s="15">
        <v>0</v>
      </c>
      <c r="BJ178" s="15">
        <v>0</v>
      </c>
      <c r="BK178" s="15">
        <v>0</v>
      </c>
      <c r="BL178" s="13">
        <f t="shared" si="13"/>
        <v>7</v>
      </c>
      <c r="BM178" s="5"/>
      <c r="BN178" s="5"/>
    </row>
    <row r="179" spans="1:66" ht="12.75" customHeight="1" x14ac:dyDescent="0.3">
      <c r="A179" s="14"/>
      <c r="B179" s="27"/>
      <c r="C179" s="28" t="s">
        <v>154</v>
      </c>
      <c r="D179" s="29"/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1</v>
      </c>
      <c r="P179" s="15">
        <v>1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>
        <v>0</v>
      </c>
      <c r="AT179" s="15">
        <v>0</v>
      </c>
      <c r="AU179" s="15">
        <v>0</v>
      </c>
      <c r="AV179" s="15">
        <v>0</v>
      </c>
      <c r="AW179" s="15">
        <v>0</v>
      </c>
      <c r="AX179" s="15">
        <v>0</v>
      </c>
      <c r="AY179" s="15">
        <v>0</v>
      </c>
      <c r="AZ179" s="15">
        <v>0</v>
      </c>
      <c r="BA179" s="15">
        <v>0</v>
      </c>
      <c r="BB179" s="15">
        <v>0</v>
      </c>
      <c r="BC179" s="15">
        <v>0</v>
      </c>
      <c r="BD179" s="15">
        <v>1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3">
        <f t="shared" si="13"/>
        <v>3</v>
      </c>
      <c r="BM179" s="5"/>
      <c r="BN179" s="5"/>
    </row>
    <row r="180" spans="1:66" ht="12.75" customHeight="1" x14ac:dyDescent="0.3">
      <c r="A180" s="14"/>
      <c r="B180" s="27"/>
      <c r="C180" s="28" t="s">
        <v>155</v>
      </c>
      <c r="D180" s="29"/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1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1</v>
      </c>
      <c r="BA180" s="15">
        <v>0</v>
      </c>
      <c r="BB180" s="15">
        <v>0</v>
      </c>
      <c r="BC180" s="15">
        <v>0</v>
      </c>
      <c r="BD180" s="15">
        <v>0</v>
      </c>
      <c r="BE180" s="15">
        <v>0</v>
      </c>
      <c r="BF180" s="15">
        <v>0</v>
      </c>
      <c r="BG180" s="15">
        <v>0</v>
      </c>
      <c r="BH180" s="15">
        <v>1</v>
      </c>
      <c r="BI180" s="15">
        <v>0</v>
      </c>
      <c r="BJ180" s="15">
        <v>0</v>
      </c>
      <c r="BK180" s="15">
        <v>0</v>
      </c>
      <c r="BL180" s="13">
        <f t="shared" si="13"/>
        <v>3</v>
      </c>
      <c r="BM180" s="5"/>
      <c r="BN180" s="5"/>
    </row>
    <row r="181" spans="1:66" ht="12.75" customHeight="1" x14ac:dyDescent="0.3">
      <c r="A181" s="15" t="s">
        <v>15</v>
      </c>
      <c r="B181" s="45" t="s">
        <v>47</v>
      </c>
      <c r="C181" s="46"/>
      <c r="D181" s="47"/>
      <c r="E181" s="34">
        <f t="shared" ref="E181:BK181" si="30">SUM(E174:E180)</f>
        <v>9</v>
      </c>
      <c r="F181" s="34">
        <f t="shared" si="30"/>
        <v>6</v>
      </c>
      <c r="G181" s="34">
        <f t="shared" si="30"/>
        <v>1</v>
      </c>
      <c r="H181" s="34">
        <f t="shared" si="30"/>
        <v>2</v>
      </c>
      <c r="I181" s="34">
        <f t="shared" si="30"/>
        <v>11</v>
      </c>
      <c r="J181" s="34">
        <f t="shared" si="30"/>
        <v>8</v>
      </c>
      <c r="K181" s="34">
        <f t="shared" si="30"/>
        <v>7</v>
      </c>
      <c r="L181" s="34">
        <f t="shared" si="30"/>
        <v>5</v>
      </c>
      <c r="M181" s="34">
        <f t="shared" si="30"/>
        <v>6</v>
      </c>
      <c r="N181" s="34">
        <f t="shared" si="30"/>
        <v>6</v>
      </c>
      <c r="O181" s="34">
        <f t="shared" si="30"/>
        <v>14</v>
      </c>
      <c r="P181" s="34">
        <f t="shared" si="30"/>
        <v>8</v>
      </c>
      <c r="Q181" s="34">
        <f t="shared" si="30"/>
        <v>8</v>
      </c>
      <c r="R181" s="34">
        <f t="shared" si="30"/>
        <v>11</v>
      </c>
      <c r="S181" s="34">
        <f t="shared" si="30"/>
        <v>2</v>
      </c>
      <c r="T181" s="34">
        <f t="shared" si="30"/>
        <v>5</v>
      </c>
      <c r="U181" s="34">
        <f t="shared" si="30"/>
        <v>16</v>
      </c>
      <c r="V181" s="34">
        <f t="shared" si="30"/>
        <v>1</v>
      </c>
      <c r="W181" s="34">
        <f t="shared" si="30"/>
        <v>6</v>
      </c>
      <c r="X181" s="34">
        <f t="shared" si="30"/>
        <v>13</v>
      </c>
      <c r="Y181" s="34">
        <f t="shared" si="30"/>
        <v>6</v>
      </c>
      <c r="Z181" s="34">
        <f t="shared" si="30"/>
        <v>8</v>
      </c>
      <c r="AA181" s="34">
        <f t="shared" si="30"/>
        <v>11</v>
      </c>
      <c r="AB181" s="34">
        <f t="shared" si="30"/>
        <v>15</v>
      </c>
      <c r="AC181" s="34">
        <f t="shared" si="30"/>
        <v>2</v>
      </c>
      <c r="AD181" s="34">
        <f t="shared" si="30"/>
        <v>9</v>
      </c>
      <c r="AE181" s="34">
        <f t="shared" si="30"/>
        <v>2</v>
      </c>
      <c r="AF181" s="34">
        <f t="shared" si="30"/>
        <v>1</v>
      </c>
      <c r="AG181" s="34">
        <f t="shared" si="30"/>
        <v>2</v>
      </c>
      <c r="AH181" s="34">
        <f t="shared" si="30"/>
        <v>0</v>
      </c>
      <c r="AI181" s="34">
        <f t="shared" si="30"/>
        <v>0</v>
      </c>
      <c r="AJ181" s="34">
        <f t="shared" si="30"/>
        <v>3</v>
      </c>
      <c r="AK181" s="34">
        <f t="shared" si="30"/>
        <v>2</v>
      </c>
      <c r="AL181" s="34">
        <f t="shared" si="30"/>
        <v>0</v>
      </c>
      <c r="AM181" s="34">
        <f t="shared" si="30"/>
        <v>5</v>
      </c>
      <c r="AN181" s="34">
        <f t="shared" si="30"/>
        <v>2</v>
      </c>
      <c r="AO181" s="34">
        <f t="shared" si="30"/>
        <v>8</v>
      </c>
      <c r="AP181" s="34">
        <f t="shared" si="30"/>
        <v>8</v>
      </c>
      <c r="AQ181" s="34">
        <f t="shared" si="30"/>
        <v>1</v>
      </c>
      <c r="AR181" s="34">
        <f t="shared" si="30"/>
        <v>0</v>
      </c>
      <c r="AS181" s="34">
        <f t="shared" si="30"/>
        <v>2</v>
      </c>
      <c r="AT181" s="34">
        <f t="shared" si="30"/>
        <v>0</v>
      </c>
      <c r="AU181" s="34">
        <f t="shared" si="30"/>
        <v>3</v>
      </c>
      <c r="AV181" s="34">
        <f t="shared" si="30"/>
        <v>7</v>
      </c>
      <c r="AW181" s="34">
        <f t="shared" si="30"/>
        <v>2</v>
      </c>
      <c r="AX181" s="34">
        <f t="shared" si="30"/>
        <v>2</v>
      </c>
      <c r="AY181" s="34">
        <f t="shared" si="30"/>
        <v>3</v>
      </c>
      <c r="AZ181" s="34">
        <f t="shared" si="30"/>
        <v>4</v>
      </c>
      <c r="BA181" s="34">
        <f t="shared" si="30"/>
        <v>0</v>
      </c>
      <c r="BB181" s="34">
        <f t="shared" si="30"/>
        <v>1</v>
      </c>
      <c r="BC181" s="34">
        <f t="shared" si="30"/>
        <v>3</v>
      </c>
      <c r="BD181" s="34">
        <f t="shared" si="30"/>
        <v>3</v>
      </c>
      <c r="BE181" s="34">
        <f t="shared" si="30"/>
        <v>3</v>
      </c>
      <c r="BF181" s="34">
        <f t="shared" si="30"/>
        <v>15</v>
      </c>
      <c r="BG181" s="34">
        <f t="shared" si="30"/>
        <v>0</v>
      </c>
      <c r="BH181" s="34">
        <f t="shared" si="30"/>
        <v>4</v>
      </c>
      <c r="BI181" s="34">
        <f t="shared" si="30"/>
        <v>1</v>
      </c>
      <c r="BJ181" s="34">
        <f t="shared" si="30"/>
        <v>0</v>
      </c>
      <c r="BK181" s="34">
        <f t="shared" si="30"/>
        <v>1</v>
      </c>
      <c r="BL181" s="13">
        <f t="shared" si="13"/>
        <v>284</v>
      </c>
      <c r="BM181" s="5"/>
      <c r="BN181" s="5"/>
    </row>
    <row r="182" spans="1:66" ht="12.75" customHeight="1" x14ac:dyDescent="0.3">
      <c r="A182" s="35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13">
        <f t="shared" si="13"/>
        <v>0</v>
      </c>
      <c r="BM182" s="5"/>
      <c r="BN182" s="5"/>
    </row>
    <row r="183" spans="1:66" ht="12.75" customHeight="1" x14ac:dyDescent="0.3">
      <c r="A183" s="19" t="s">
        <v>37</v>
      </c>
      <c r="B183" s="26" t="s">
        <v>156</v>
      </c>
      <c r="C183" s="48" t="s">
        <v>157</v>
      </c>
      <c r="D183" s="47"/>
      <c r="E183" s="15">
        <v>0</v>
      </c>
      <c r="F183" s="15">
        <v>1</v>
      </c>
      <c r="G183" s="15">
        <v>0</v>
      </c>
      <c r="H183" s="15">
        <v>1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1</v>
      </c>
      <c r="AC183" s="15">
        <v>0</v>
      </c>
      <c r="AD183" s="15">
        <v>1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1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3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1</v>
      </c>
      <c r="AZ183" s="15">
        <v>0</v>
      </c>
      <c r="BA183" s="15">
        <v>0</v>
      </c>
      <c r="BB183" s="15">
        <v>0</v>
      </c>
      <c r="BC183" s="15">
        <v>1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1</v>
      </c>
      <c r="BL183" s="13">
        <f t="shared" si="13"/>
        <v>11</v>
      </c>
      <c r="BM183" s="5"/>
      <c r="BN183" s="5"/>
    </row>
    <row r="184" spans="1:66" ht="12.75" customHeight="1" x14ac:dyDescent="0.3">
      <c r="A184" s="19"/>
      <c r="B184" s="26"/>
      <c r="C184" s="28" t="s">
        <v>158</v>
      </c>
      <c r="D184" s="37"/>
      <c r="E184" s="15">
        <v>0</v>
      </c>
      <c r="F184" s="15">
        <v>0</v>
      </c>
      <c r="G184" s="15">
        <v>1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5">
        <v>1</v>
      </c>
      <c r="AP184" s="15">
        <v>0</v>
      </c>
      <c r="AQ184" s="15">
        <v>0</v>
      </c>
      <c r="AR184" s="15">
        <v>0</v>
      </c>
      <c r="AS184" s="15">
        <v>0</v>
      </c>
      <c r="AT184" s="15">
        <v>0</v>
      </c>
      <c r="AU184" s="15">
        <v>0</v>
      </c>
      <c r="AV184" s="15">
        <v>0</v>
      </c>
      <c r="AW184" s="15">
        <v>0</v>
      </c>
      <c r="AX184" s="15">
        <v>0</v>
      </c>
      <c r="AY184" s="15">
        <v>3</v>
      </c>
      <c r="AZ184" s="15">
        <v>0</v>
      </c>
      <c r="BA184" s="15">
        <v>0</v>
      </c>
      <c r="BB184" s="15">
        <v>0</v>
      </c>
      <c r="BC184" s="15">
        <v>0</v>
      </c>
      <c r="BD184" s="15">
        <v>0</v>
      </c>
      <c r="BE184" s="15">
        <v>0</v>
      </c>
      <c r="BF184" s="15">
        <v>1</v>
      </c>
      <c r="BG184" s="15">
        <v>0</v>
      </c>
      <c r="BH184" s="15">
        <v>0</v>
      </c>
      <c r="BI184" s="15">
        <v>0</v>
      </c>
      <c r="BJ184" s="15">
        <v>0</v>
      </c>
      <c r="BK184" s="15">
        <v>1</v>
      </c>
      <c r="BL184" s="13">
        <f t="shared" si="13"/>
        <v>7</v>
      </c>
      <c r="BM184" s="5"/>
      <c r="BN184" s="5"/>
    </row>
    <row r="185" spans="1:66" ht="12.75" customHeight="1" x14ac:dyDescent="0.3">
      <c r="A185" s="19"/>
      <c r="B185" s="26"/>
      <c r="C185" s="28" t="s">
        <v>159</v>
      </c>
      <c r="D185" s="37"/>
      <c r="E185" s="15">
        <v>0</v>
      </c>
      <c r="F185" s="15">
        <v>0</v>
      </c>
      <c r="G185" s="15">
        <v>1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2</v>
      </c>
      <c r="AE185" s="15">
        <v>0</v>
      </c>
      <c r="AF185" s="15">
        <v>0</v>
      </c>
      <c r="AG185" s="15">
        <v>2</v>
      </c>
      <c r="AH185" s="15">
        <v>0</v>
      </c>
      <c r="AI185" s="15">
        <v>1</v>
      </c>
      <c r="AJ185" s="15">
        <v>4</v>
      </c>
      <c r="AK185" s="15">
        <v>0</v>
      </c>
      <c r="AL185" s="15">
        <v>0</v>
      </c>
      <c r="AM185" s="15">
        <v>1</v>
      </c>
      <c r="AN185" s="15">
        <v>2</v>
      </c>
      <c r="AO185" s="15">
        <v>1</v>
      </c>
      <c r="AP185" s="15">
        <v>0</v>
      </c>
      <c r="AQ185" s="15">
        <v>6</v>
      </c>
      <c r="AR185" s="15">
        <v>0</v>
      </c>
      <c r="AS185" s="15">
        <v>0</v>
      </c>
      <c r="AT185" s="15">
        <v>0</v>
      </c>
      <c r="AU185" s="15">
        <v>0</v>
      </c>
      <c r="AV185" s="15">
        <v>4</v>
      </c>
      <c r="AW185" s="15">
        <v>2</v>
      </c>
      <c r="AX185" s="15">
        <v>0</v>
      </c>
      <c r="AY185" s="15">
        <v>0</v>
      </c>
      <c r="AZ185" s="15">
        <v>0</v>
      </c>
      <c r="BA185" s="15">
        <v>0</v>
      </c>
      <c r="BB185" s="15">
        <v>0</v>
      </c>
      <c r="BC185" s="15">
        <v>0</v>
      </c>
      <c r="BD185" s="15">
        <v>0</v>
      </c>
      <c r="BE185" s="15">
        <v>2</v>
      </c>
      <c r="BF185" s="15">
        <v>0</v>
      </c>
      <c r="BG185" s="15">
        <v>0</v>
      </c>
      <c r="BH185" s="15">
        <v>0</v>
      </c>
      <c r="BI185" s="15">
        <v>0</v>
      </c>
      <c r="BJ185" s="15">
        <v>3</v>
      </c>
      <c r="BK185" s="15">
        <v>6</v>
      </c>
      <c r="BL185" s="13">
        <f t="shared" si="13"/>
        <v>37</v>
      </c>
      <c r="BM185" s="5"/>
      <c r="BN185" s="5"/>
    </row>
    <row r="186" spans="1:66" ht="12.75" customHeight="1" x14ac:dyDescent="0.3">
      <c r="A186" s="19" t="s">
        <v>39</v>
      </c>
      <c r="B186" s="27"/>
      <c r="C186" s="28" t="s">
        <v>160</v>
      </c>
      <c r="D186" s="29"/>
      <c r="E186" s="15">
        <v>1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1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1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  <c r="AQ186" s="15">
        <v>0</v>
      </c>
      <c r="AR186" s="15">
        <v>0</v>
      </c>
      <c r="AS186" s="15">
        <v>0</v>
      </c>
      <c r="AT186" s="15">
        <v>0</v>
      </c>
      <c r="AU186" s="15">
        <v>0</v>
      </c>
      <c r="AV186" s="15">
        <v>0</v>
      </c>
      <c r="AW186" s="15">
        <v>0</v>
      </c>
      <c r="AX186" s="15">
        <v>0</v>
      </c>
      <c r="AY186" s="15">
        <v>0</v>
      </c>
      <c r="AZ186" s="15">
        <v>0</v>
      </c>
      <c r="BA186" s="15">
        <v>0</v>
      </c>
      <c r="BB186" s="15">
        <v>0</v>
      </c>
      <c r="BC186" s="15">
        <v>0</v>
      </c>
      <c r="BD186" s="15">
        <v>0</v>
      </c>
      <c r="BE186" s="15">
        <v>0</v>
      </c>
      <c r="BF186" s="15">
        <v>1</v>
      </c>
      <c r="BG186" s="15">
        <v>0</v>
      </c>
      <c r="BH186" s="15">
        <v>0</v>
      </c>
      <c r="BI186" s="15">
        <v>0</v>
      </c>
      <c r="BJ186" s="15">
        <v>0</v>
      </c>
      <c r="BK186" s="15">
        <v>0</v>
      </c>
      <c r="BL186" s="13">
        <f t="shared" si="13"/>
        <v>4</v>
      </c>
      <c r="BM186" s="5"/>
      <c r="BN186" s="5"/>
    </row>
    <row r="187" spans="1:66" ht="12.75" customHeight="1" x14ac:dyDescent="0.3">
      <c r="A187" s="15" t="s">
        <v>15</v>
      </c>
      <c r="B187" s="45" t="s">
        <v>47</v>
      </c>
      <c r="C187" s="46"/>
      <c r="D187" s="47"/>
      <c r="E187" s="34">
        <f t="shared" ref="E187:BK187" si="31">SUM(E183:E186)</f>
        <v>1</v>
      </c>
      <c r="F187" s="34">
        <f t="shared" si="31"/>
        <v>1</v>
      </c>
      <c r="G187" s="34">
        <f t="shared" si="31"/>
        <v>2</v>
      </c>
      <c r="H187" s="34">
        <f t="shared" si="31"/>
        <v>1</v>
      </c>
      <c r="I187" s="34">
        <f t="shared" si="31"/>
        <v>0</v>
      </c>
      <c r="J187" s="34">
        <f t="shared" si="31"/>
        <v>0</v>
      </c>
      <c r="K187" s="34">
        <f t="shared" si="31"/>
        <v>0</v>
      </c>
      <c r="L187" s="34">
        <f t="shared" si="31"/>
        <v>0</v>
      </c>
      <c r="M187" s="34">
        <f t="shared" si="31"/>
        <v>0</v>
      </c>
      <c r="N187" s="34">
        <f t="shared" si="31"/>
        <v>0</v>
      </c>
      <c r="O187" s="34">
        <f t="shared" si="31"/>
        <v>0</v>
      </c>
      <c r="P187" s="34">
        <f t="shared" si="31"/>
        <v>0</v>
      </c>
      <c r="Q187" s="34">
        <f t="shared" si="31"/>
        <v>0</v>
      </c>
      <c r="R187" s="34">
        <f t="shared" si="31"/>
        <v>0</v>
      </c>
      <c r="S187" s="34">
        <f t="shared" si="31"/>
        <v>0</v>
      </c>
      <c r="T187" s="34">
        <f t="shared" si="31"/>
        <v>0</v>
      </c>
      <c r="U187" s="34">
        <f t="shared" si="31"/>
        <v>0</v>
      </c>
      <c r="V187" s="34">
        <f t="shared" si="31"/>
        <v>1</v>
      </c>
      <c r="W187" s="34">
        <f t="shared" si="31"/>
        <v>0</v>
      </c>
      <c r="X187" s="34">
        <f t="shared" si="31"/>
        <v>0</v>
      </c>
      <c r="Y187" s="34">
        <f t="shared" si="31"/>
        <v>0</v>
      </c>
      <c r="Z187" s="34">
        <f t="shared" si="31"/>
        <v>0</v>
      </c>
      <c r="AA187" s="34">
        <f t="shared" si="31"/>
        <v>0</v>
      </c>
      <c r="AB187" s="34">
        <f t="shared" si="31"/>
        <v>1</v>
      </c>
      <c r="AC187" s="34">
        <f t="shared" si="31"/>
        <v>0</v>
      </c>
      <c r="AD187" s="34">
        <f t="shared" si="31"/>
        <v>3</v>
      </c>
      <c r="AE187" s="34">
        <f t="shared" si="31"/>
        <v>0</v>
      </c>
      <c r="AF187" s="34">
        <f t="shared" si="31"/>
        <v>0</v>
      </c>
      <c r="AG187" s="34">
        <f t="shared" si="31"/>
        <v>2</v>
      </c>
      <c r="AH187" s="34">
        <f t="shared" si="31"/>
        <v>0</v>
      </c>
      <c r="AI187" s="34">
        <f t="shared" si="31"/>
        <v>1</v>
      </c>
      <c r="AJ187" s="34">
        <f t="shared" si="31"/>
        <v>4</v>
      </c>
      <c r="AK187" s="34">
        <f t="shared" si="31"/>
        <v>2</v>
      </c>
      <c r="AL187" s="34">
        <f t="shared" si="31"/>
        <v>0</v>
      </c>
      <c r="AM187" s="34">
        <f t="shared" si="31"/>
        <v>1</v>
      </c>
      <c r="AN187" s="34">
        <f t="shared" si="31"/>
        <v>2</v>
      </c>
      <c r="AO187" s="34">
        <f t="shared" si="31"/>
        <v>2</v>
      </c>
      <c r="AP187" s="34">
        <f t="shared" si="31"/>
        <v>0</v>
      </c>
      <c r="AQ187" s="34">
        <f t="shared" si="31"/>
        <v>9</v>
      </c>
      <c r="AR187" s="34">
        <f t="shared" si="31"/>
        <v>0</v>
      </c>
      <c r="AS187" s="34">
        <f t="shared" si="31"/>
        <v>0</v>
      </c>
      <c r="AT187" s="34">
        <f t="shared" si="31"/>
        <v>0</v>
      </c>
      <c r="AU187" s="34">
        <f t="shared" si="31"/>
        <v>0</v>
      </c>
      <c r="AV187" s="34">
        <f t="shared" si="31"/>
        <v>4</v>
      </c>
      <c r="AW187" s="34">
        <f t="shared" si="31"/>
        <v>2</v>
      </c>
      <c r="AX187" s="34">
        <f t="shared" si="31"/>
        <v>0</v>
      </c>
      <c r="AY187" s="34">
        <f t="shared" si="31"/>
        <v>4</v>
      </c>
      <c r="AZ187" s="34">
        <f t="shared" si="31"/>
        <v>0</v>
      </c>
      <c r="BA187" s="34">
        <f t="shared" si="31"/>
        <v>0</v>
      </c>
      <c r="BB187" s="34">
        <f t="shared" si="31"/>
        <v>0</v>
      </c>
      <c r="BC187" s="34">
        <f t="shared" si="31"/>
        <v>1</v>
      </c>
      <c r="BD187" s="34">
        <f t="shared" si="31"/>
        <v>0</v>
      </c>
      <c r="BE187" s="34">
        <f t="shared" si="31"/>
        <v>2</v>
      </c>
      <c r="BF187" s="34">
        <f t="shared" si="31"/>
        <v>2</v>
      </c>
      <c r="BG187" s="34">
        <f t="shared" si="31"/>
        <v>0</v>
      </c>
      <c r="BH187" s="34">
        <f t="shared" si="31"/>
        <v>0</v>
      </c>
      <c r="BI187" s="34">
        <f t="shared" si="31"/>
        <v>0</v>
      </c>
      <c r="BJ187" s="34">
        <f t="shared" si="31"/>
        <v>3</v>
      </c>
      <c r="BK187" s="34">
        <f t="shared" si="31"/>
        <v>8</v>
      </c>
      <c r="BL187" s="13">
        <f t="shared" si="13"/>
        <v>59</v>
      </c>
      <c r="BM187" s="1"/>
      <c r="BN187" s="1"/>
    </row>
    <row r="188" spans="1:66" ht="12.75" customHeight="1" x14ac:dyDescent="0.3">
      <c r="A188" s="51"/>
      <c r="B188" s="52"/>
      <c r="C188" s="52"/>
      <c r="D188" s="53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3">
        <f t="shared" si="13"/>
        <v>0</v>
      </c>
    </row>
    <row r="189" spans="1:66" ht="12.75" customHeight="1" x14ac:dyDescent="0.3">
      <c r="A189" s="25" t="s">
        <v>161</v>
      </c>
      <c r="B189" s="49" t="s">
        <v>162</v>
      </c>
      <c r="C189" s="46"/>
      <c r="D189" s="47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3">
        <f t="shared" si="13"/>
        <v>0</v>
      </c>
      <c r="BM189" s="5"/>
      <c r="BN189" s="5"/>
    </row>
    <row r="190" spans="1:66" ht="12.75" customHeight="1" x14ac:dyDescent="0.3">
      <c r="A190" s="25"/>
      <c r="B190" s="38" t="s">
        <v>163</v>
      </c>
      <c r="C190" s="50" t="s">
        <v>164</v>
      </c>
      <c r="D190" s="47"/>
      <c r="E190" s="15">
        <f t="shared" ref="E190:BK190" si="32">E187+E181+E172+E165+E160+E150+E140+E130+E126+E116+E111+E101+E97+E93+E83+E73+E63+E53</f>
        <v>169</v>
      </c>
      <c r="F190" s="15">
        <f t="shared" si="32"/>
        <v>208</v>
      </c>
      <c r="G190" s="15">
        <f t="shared" si="32"/>
        <v>192</v>
      </c>
      <c r="H190" s="15">
        <f t="shared" si="32"/>
        <v>210</v>
      </c>
      <c r="I190" s="15">
        <f t="shared" si="32"/>
        <v>215</v>
      </c>
      <c r="J190" s="15">
        <f t="shared" si="32"/>
        <v>195</v>
      </c>
      <c r="K190" s="15">
        <f t="shared" si="32"/>
        <v>188</v>
      </c>
      <c r="L190" s="15">
        <f t="shared" si="32"/>
        <v>196</v>
      </c>
      <c r="M190" s="15">
        <f t="shared" si="32"/>
        <v>204</v>
      </c>
      <c r="N190" s="15">
        <f t="shared" si="32"/>
        <v>182</v>
      </c>
      <c r="O190" s="15">
        <f t="shared" si="32"/>
        <v>216</v>
      </c>
      <c r="P190" s="15">
        <f t="shared" si="32"/>
        <v>193</v>
      </c>
      <c r="Q190" s="15">
        <f t="shared" si="32"/>
        <v>219</v>
      </c>
      <c r="R190" s="15">
        <f t="shared" si="32"/>
        <v>189</v>
      </c>
      <c r="S190" s="15">
        <f t="shared" si="32"/>
        <v>200</v>
      </c>
      <c r="T190" s="15">
        <f t="shared" si="32"/>
        <v>216</v>
      </c>
      <c r="U190" s="15">
        <f t="shared" si="32"/>
        <v>199</v>
      </c>
      <c r="V190" s="15">
        <f t="shared" si="32"/>
        <v>212</v>
      </c>
      <c r="W190" s="15">
        <f t="shared" si="32"/>
        <v>212</v>
      </c>
      <c r="X190" s="15">
        <f t="shared" si="32"/>
        <v>222</v>
      </c>
      <c r="Y190" s="15">
        <f t="shared" si="32"/>
        <v>189</v>
      </c>
      <c r="Z190" s="15">
        <f t="shared" si="32"/>
        <v>202</v>
      </c>
      <c r="AA190" s="15">
        <f t="shared" si="32"/>
        <v>204</v>
      </c>
      <c r="AB190" s="15">
        <f t="shared" si="32"/>
        <v>209</v>
      </c>
      <c r="AC190" s="15">
        <f t="shared" si="32"/>
        <v>202</v>
      </c>
      <c r="AD190" s="15">
        <f t="shared" si="32"/>
        <v>199</v>
      </c>
      <c r="AE190" s="15">
        <f t="shared" si="32"/>
        <v>200</v>
      </c>
      <c r="AF190" s="15">
        <f t="shared" si="32"/>
        <v>201</v>
      </c>
      <c r="AG190" s="15">
        <f t="shared" si="32"/>
        <v>212</v>
      </c>
      <c r="AH190" s="15">
        <f t="shared" si="32"/>
        <v>190</v>
      </c>
      <c r="AI190" s="15">
        <f t="shared" si="32"/>
        <v>144</v>
      </c>
      <c r="AJ190" s="15">
        <f t="shared" si="32"/>
        <v>163</v>
      </c>
      <c r="AK190" s="15">
        <f t="shared" si="32"/>
        <v>158</v>
      </c>
      <c r="AL190" s="15">
        <f t="shared" si="32"/>
        <v>213</v>
      </c>
      <c r="AM190" s="15">
        <f t="shared" si="32"/>
        <v>169</v>
      </c>
      <c r="AN190" s="15">
        <f t="shared" si="32"/>
        <v>183</v>
      </c>
      <c r="AO190" s="15">
        <f t="shared" si="32"/>
        <v>178</v>
      </c>
      <c r="AP190" s="15">
        <f t="shared" si="32"/>
        <v>165</v>
      </c>
      <c r="AQ190" s="15">
        <f t="shared" si="32"/>
        <v>195</v>
      </c>
      <c r="AR190" s="15">
        <f t="shared" si="32"/>
        <v>195</v>
      </c>
      <c r="AS190" s="15">
        <f t="shared" si="32"/>
        <v>150</v>
      </c>
      <c r="AT190" s="15">
        <f t="shared" si="32"/>
        <v>146</v>
      </c>
      <c r="AU190" s="15">
        <f t="shared" si="32"/>
        <v>159</v>
      </c>
      <c r="AV190" s="15">
        <f t="shared" si="32"/>
        <v>186</v>
      </c>
      <c r="AW190" s="15">
        <f t="shared" si="32"/>
        <v>174</v>
      </c>
      <c r="AX190" s="15">
        <f t="shared" si="32"/>
        <v>213</v>
      </c>
      <c r="AY190" s="15">
        <f t="shared" si="32"/>
        <v>176</v>
      </c>
      <c r="AZ190" s="15">
        <f t="shared" si="32"/>
        <v>187</v>
      </c>
      <c r="BA190" s="15">
        <f t="shared" si="32"/>
        <v>204</v>
      </c>
      <c r="BB190" s="15">
        <f t="shared" si="32"/>
        <v>183</v>
      </c>
      <c r="BC190" s="15">
        <f t="shared" si="32"/>
        <v>163</v>
      </c>
      <c r="BD190" s="15">
        <f t="shared" si="32"/>
        <v>184</v>
      </c>
      <c r="BE190" s="15">
        <f t="shared" si="32"/>
        <v>150</v>
      </c>
      <c r="BF190" s="15">
        <f t="shared" si="32"/>
        <v>187</v>
      </c>
      <c r="BG190" s="15">
        <f t="shared" si="32"/>
        <v>175</v>
      </c>
      <c r="BH190" s="15">
        <f t="shared" si="32"/>
        <v>233</v>
      </c>
      <c r="BI190" s="15">
        <f t="shared" si="32"/>
        <v>204</v>
      </c>
      <c r="BJ190" s="15">
        <f t="shared" si="32"/>
        <v>186</v>
      </c>
      <c r="BK190" s="15">
        <f t="shared" si="32"/>
        <v>199</v>
      </c>
      <c r="BL190" s="13">
        <f t="shared" si="13"/>
        <v>11267</v>
      </c>
      <c r="BM190" s="5"/>
      <c r="BN190" s="5"/>
    </row>
    <row r="191" spans="1:66" ht="12.75" customHeight="1" x14ac:dyDescent="0.3">
      <c r="A191" s="21"/>
      <c r="B191" s="38" t="s">
        <v>165</v>
      </c>
      <c r="C191" s="50" t="s">
        <v>166</v>
      </c>
      <c r="D191" s="47"/>
      <c r="E191" s="15">
        <v>12</v>
      </c>
      <c r="F191" s="15">
        <v>18</v>
      </c>
      <c r="G191" s="15">
        <v>19</v>
      </c>
      <c r="H191" s="15">
        <v>11</v>
      </c>
      <c r="I191" s="15">
        <v>14</v>
      </c>
      <c r="J191" s="15">
        <v>18</v>
      </c>
      <c r="K191" s="15">
        <v>11</v>
      </c>
      <c r="L191" s="15">
        <v>25</v>
      </c>
      <c r="M191" s="15">
        <v>20</v>
      </c>
      <c r="N191" s="15">
        <v>12</v>
      </c>
      <c r="O191" s="15">
        <v>4</v>
      </c>
      <c r="P191" s="15">
        <v>10</v>
      </c>
      <c r="Q191" s="15">
        <v>11</v>
      </c>
      <c r="R191" s="15">
        <v>8</v>
      </c>
      <c r="S191" s="15">
        <v>9</v>
      </c>
      <c r="T191" s="15">
        <v>8</v>
      </c>
      <c r="U191" s="15">
        <v>15</v>
      </c>
      <c r="V191" s="15">
        <v>16</v>
      </c>
      <c r="W191" s="15">
        <v>16</v>
      </c>
      <c r="X191" s="15">
        <v>10</v>
      </c>
      <c r="Y191" s="15">
        <v>4</v>
      </c>
      <c r="Z191" s="15">
        <v>12</v>
      </c>
      <c r="AA191" s="15">
        <v>9</v>
      </c>
      <c r="AB191" s="15">
        <v>13</v>
      </c>
      <c r="AC191" s="15">
        <v>18</v>
      </c>
      <c r="AD191" s="15">
        <v>18</v>
      </c>
      <c r="AE191" s="15">
        <v>15</v>
      </c>
      <c r="AF191" s="15">
        <v>7</v>
      </c>
      <c r="AG191" s="15">
        <v>10</v>
      </c>
      <c r="AH191" s="15">
        <v>11</v>
      </c>
      <c r="AI191" s="15">
        <v>6</v>
      </c>
      <c r="AJ191" s="15">
        <v>16</v>
      </c>
      <c r="AK191" s="15">
        <v>13</v>
      </c>
      <c r="AL191" s="15">
        <v>7</v>
      </c>
      <c r="AM191" s="15">
        <v>18</v>
      </c>
      <c r="AN191" s="15">
        <v>10</v>
      </c>
      <c r="AO191" s="15">
        <v>10</v>
      </c>
      <c r="AP191" s="15">
        <v>10</v>
      </c>
      <c r="AQ191" s="15">
        <v>16</v>
      </c>
      <c r="AR191" s="15">
        <v>8</v>
      </c>
      <c r="AS191" s="15">
        <v>14</v>
      </c>
      <c r="AT191" s="15">
        <v>11</v>
      </c>
      <c r="AU191" s="15">
        <v>13</v>
      </c>
      <c r="AV191" s="15">
        <v>12</v>
      </c>
      <c r="AW191" s="15">
        <v>20</v>
      </c>
      <c r="AX191" s="15">
        <v>11</v>
      </c>
      <c r="AY191" s="15">
        <v>12</v>
      </c>
      <c r="AZ191" s="15">
        <v>24</v>
      </c>
      <c r="BA191" s="15">
        <v>11</v>
      </c>
      <c r="BB191" s="15">
        <v>22</v>
      </c>
      <c r="BC191" s="15">
        <v>22</v>
      </c>
      <c r="BD191" s="15">
        <v>19</v>
      </c>
      <c r="BE191" s="15">
        <v>14</v>
      </c>
      <c r="BF191" s="15">
        <v>7</v>
      </c>
      <c r="BG191" s="15">
        <v>9</v>
      </c>
      <c r="BH191" s="15">
        <v>7</v>
      </c>
      <c r="BI191" s="15">
        <v>7</v>
      </c>
      <c r="BJ191" s="15">
        <v>10</v>
      </c>
      <c r="BK191" s="15">
        <v>9</v>
      </c>
      <c r="BL191" s="13">
        <f t="shared" si="13"/>
        <v>752</v>
      </c>
      <c r="BM191" s="5"/>
      <c r="BN191" s="5"/>
    </row>
    <row r="192" spans="1:66" ht="12.75" customHeight="1" x14ac:dyDescent="0.3">
      <c r="A192" s="24"/>
      <c r="B192" s="38" t="s">
        <v>167</v>
      </c>
      <c r="C192" s="50" t="s">
        <v>168</v>
      </c>
      <c r="D192" s="47"/>
      <c r="E192" s="18">
        <f t="shared" ref="E192:BK192" si="33">SUM(E190:E191)</f>
        <v>181</v>
      </c>
      <c r="F192" s="18">
        <f t="shared" si="33"/>
        <v>226</v>
      </c>
      <c r="G192" s="18">
        <f t="shared" si="33"/>
        <v>211</v>
      </c>
      <c r="H192" s="18">
        <f t="shared" si="33"/>
        <v>221</v>
      </c>
      <c r="I192" s="18">
        <f t="shared" si="33"/>
        <v>229</v>
      </c>
      <c r="J192" s="18">
        <f t="shared" si="33"/>
        <v>213</v>
      </c>
      <c r="K192" s="18">
        <f t="shared" si="33"/>
        <v>199</v>
      </c>
      <c r="L192" s="18">
        <f t="shared" si="33"/>
        <v>221</v>
      </c>
      <c r="M192" s="18">
        <f t="shared" si="33"/>
        <v>224</v>
      </c>
      <c r="N192" s="18">
        <f t="shared" si="33"/>
        <v>194</v>
      </c>
      <c r="O192" s="18">
        <f t="shared" si="33"/>
        <v>220</v>
      </c>
      <c r="P192" s="18">
        <f t="shared" si="33"/>
        <v>203</v>
      </c>
      <c r="Q192" s="18">
        <f t="shared" si="33"/>
        <v>230</v>
      </c>
      <c r="R192" s="18">
        <f t="shared" si="33"/>
        <v>197</v>
      </c>
      <c r="S192" s="18">
        <f t="shared" si="33"/>
        <v>209</v>
      </c>
      <c r="T192" s="18">
        <f t="shared" si="33"/>
        <v>224</v>
      </c>
      <c r="U192" s="18">
        <f t="shared" si="33"/>
        <v>214</v>
      </c>
      <c r="V192" s="18">
        <f t="shared" si="33"/>
        <v>228</v>
      </c>
      <c r="W192" s="18">
        <f t="shared" si="33"/>
        <v>228</v>
      </c>
      <c r="X192" s="18">
        <f t="shared" si="33"/>
        <v>232</v>
      </c>
      <c r="Y192" s="18">
        <f t="shared" si="33"/>
        <v>193</v>
      </c>
      <c r="Z192" s="18">
        <f t="shared" si="33"/>
        <v>214</v>
      </c>
      <c r="AA192" s="18">
        <f t="shared" si="33"/>
        <v>213</v>
      </c>
      <c r="AB192" s="18">
        <f t="shared" si="33"/>
        <v>222</v>
      </c>
      <c r="AC192" s="18">
        <f t="shared" si="33"/>
        <v>220</v>
      </c>
      <c r="AD192" s="18">
        <f t="shared" si="33"/>
        <v>217</v>
      </c>
      <c r="AE192" s="18">
        <f t="shared" si="33"/>
        <v>215</v>
      </c>
      <c r="AF192" s="18">
        <f t="shared" si="33"/>
        <v>208</v>
      </c>
      <c r="AG192" s="18">
        <f t="shared" si="33"/>
        <v>222</v>
      </c>
      <c r="AH192" s="18">
        <f t="shared" si="33"/>
        <v>201</v>
      </c>
      <c r="AI192" s="18">
        <f t="shared" si="33"/>
        <v>150</v>
      </c>
      <c r="AJ192" s="18">
        <f t="shared" si="33"/>
        <v>179</v>
      </c>
      <c r="AK192" s="18">
        <f t="shared" si="33"/>
        <v>171</v>
      </c>
      <c r="AL192" s="18">
        <f t="shared" si="33"/>
        <v>220</v>
      </c>
      <c r="AM192" s="18">
        <f t="shared" si="33"/>
        <v>187</v>
      </c>
      <c r="AN192" s="18">
        <f t="shared" si="33"/>
        <v>193</v>
      </c>
      <c r="AO192" s="18">
        <f t="shared" si="33"/>
        <v>188</v>
      </c>
      <c r="AP192" s="18">
        <f t="shared" si="33"/>
        <v>175</v>
      </c>
      <c r="AQ192" s="18">
        <f t="shared" si="33"/>
        <v>211</v>
      </c>
      <c r="AR192" s="18">
        <f t="shared" si="33"/>
        <v>203</v>
      </c>
      <c r="AS192" s="18">
        <f t="shared" si="33"/>
        <v>164</v>
      </c>
      <c r="AT192" s="18">
        <f t="shared" si="33"/>
        <v>157</v>
      </c>
      <c r="AU192" s="18">
        <f t="shared" si="33"/>
        <v>172</v>
      </c>
      <c r="AV192" s="18">
        <f t="shared" si="33"/>
        <v>198</v>
      </c>
      <c r="AW192" s="18">
        <f t="shared" si="33"/>
        <v>194</v>
      </c>
      <c r="AX192" s="18">
        <f t="shared" si="33"/>
        <v>224</v>
      </c>
      <c r="AY192" s="18">
        <f t="shared" si="33"/>
        <v>188</v>
      </c>
      <c r="AZ192" s="18">
        <f t="shared" si="33"/>
        <v>211</v>
      </c>
      <c r="BA192" s="18">
        <f t="shared" si="33"/>
        <v>215</v>
      </c>
      <c r="BB192" s="18">
        <f t="shared" si="33"/>
        <v>205</v>
      </c>
      <c r="BC192" s="18">
        <f t="shared" si="33"/>
        <v>185</v>
      </c>
      <c r="BD192" s="18">
        <f t="shared" si="33"/>
        <v>203</v>
      </c>
      <c r="BE192" s="18">
        <f t="shared" si="33"/>
        <v>164</v>
      </c>
      <c r="BF192" s="18">
        <f t="shared" si="33"/>
        <v>194</v>
      </c>
      <c r="BG192" s="18">
        <f t="shared" si="33"/>
        <v>184</v>
      </c>
      <c r="BH192" s="18">
        <f t="shared" si="33"/>
        <v>240</v>
      </c>
      <c r="BI192" s="18">
        <f t="shared" si="33"/>
        <v>211</v>
      </c>
      <c r="BJ192" s="18">
        <f t="shared" si="33"/>
        <v>196</v>
      </c>
      <c r="BK192" s="18">
        <f t="shared" si="33"/>
        <v>208</v>
      </c>
      <c r="BL192" s="13">
        <f t="shared" si="13"/>
        <v>12019</v>
      </c>
      <c r="BM192" s="5"/>
      <c r="BN192" s="5"/>
    </row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70">
    <mergeCell ref="B97:D97"/>
    <mergeCell ref="C99:D99"/>
    <mergeCell ref="B101:D101"/>
    <mergeCell ref="C103:D103"/>
    <mergeCell ref="C75:D75"/>
    <mergeCell ref="B83:D83"/>
    <mergeCell ref="C85:D85"/>
    <mergeCell ref="B93:D93"/>
    <mergeCell ref="C95:D95"/>
    <mergeCell ref="B53:D53"/>
    <mergeCell ref="C55:D55"/>
    <mergeCell ref="B63:D63"/>
    <mergeCell ref="C65:D65"/>
    <mergeCell ref="B73:D7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A17:D17"/>
    <mergeCell ref="B18:D18"/>
    <mergeCell ref="B19:B21"/>
    <mergeCell ref="C19:C21"/>
    <mergeCell ref="B22:B24"/>
    <mergeCell ref="C22:C24"/>
    <mergeCell ref="B12:D12"/>
    <mergeCell ref="E12:BK12"/>
    <mergeCell ref="BL12:BL13"/>
    <mergeCell ref="B13:D13"/>
    <mergeCell ref="B14:C16"/>
    <mergeCell ref="B189:D189"/>
    <mergeCell ref="C190:D190"/>
    <mergeCell ref="C191:D191"/>
    <mergeCell ref="C192:D192"/>
    <mergeCell ref="B165:D165"/>
    <mergeCell ref="C167:D167"/>
    <mergeCell ref="B172:D172"/>
    <mergeCell ref="C174:D174"/>
    <mergeCell ref="B181:D181"/>
    <mergeCell ref="C183:D183"/>
    <mergeCell ref="B187:D187"/>
    <mergeCell ref="B150:D150"/>
    <mergeCell ref="C152:D152"/>
    <mergeCell ref="B160:D160"/>
    <mergeCell ref="C162:D162"/>
    <mergeCell ref="A188:D188"/>
    <mergeCell ref="C128:D128"/>
    <mergeCell ref="B130:D130"/>
    <mergeCell ref="C132:D132"/>
    <mergeCell ref="B140:D140"/>
    <mergeCell ref="C142:D142"/>
    <mergeCell ref="B111:D111"/>
    <mergeCell ref="C113:D113"/>
    <mergeCell ref="B116:D116"/>
    <mergeCell ref="C118:D118"/>
    <mergeCell ref="B126:D126"/>
  </mergeCells>
  <conditionalFormatting sqref="E14:BK15">
    <cfRule type="containsBlanks" dxfId="119" priority="1">
      <formula>LEN(TRIM(E14))=0</formula>
    </cfRule>
  </conditionalFormatting>
  <conditionalFormatting sqref="E19:BK20">
    <cfRule type="containsBlanks" dxfId="118" priority="2">
      <formula>LEN(TRIM(E19))=0</formula>
    </cfRule>
  </conditionalFormatting>
  <conditionalFormatting sqref="E22:BK23 E25:BK26 E33:BK33 E35:BK35 E39:BK40">
    <cfRule type="containsBlanks" dxfId="117" priority="3">
      <formula>LEN(TRIM(E22))=0</formula>
    </cfRule>
  </conditionalFormatting>
  <conditionalFormatting sqref="E30:BK30">
    <cfRule type="expression" dxfId="116" priority="4">
      <formula>E30&lt;&gt;E47</formula>
    </cfRule>
    <cfRule type="expression" dxfId="115" priority="5">
      <formula>E30&lt;&gt;E34</formula>
    </cfRule>
  </conditionalFormatting>
  <conditionalFormatting sqref="E34:BK34">
    <cfRule type="expression" dxfId="114" priority="6">
      <formula>E30&lt;&gt;E34</formula>
    </cfRule>
    <cfRule type="expression" dxfId="113" priority="7">
      <formula>E30=E34</formula>
    </cfRule>
    <cfRule type="expression" dxfId="112" priority="8">
      <formula>E34&lt;&gt;E30</formula>
    </cfRule>
    <cfRule type="expression" dxfId="111" priority="9">
      <formula>E34&lt;&gt;E64</formula>
    </cfRule>
  </conditionalFormatting>
  <conditionalFormatting sqref="E45:BK52">
    <cfRule type="containsBlanks" dxfId="110" priority="10">
      <formula>LEN(TRIM(E45))=0</formula>
    </cfRule>
  </conditionalFormatting>
  <conditionalFormatting sqref="E55:BK62">
    <cfRule type="containsBlanks" dxfId="109" priority="11">
      <formula>LEN(TRIM(E55))=0</formula>
    </cfRule>
  </conditionalFormatting>
  <conditionalFormatting sqref="E65:BK72">
    <cfRule type="containsBlanks" dxfId="108" priority="12">
      <formula>LEN(TRIM(E65))=0</formula>
    </cfRule>
  </conditionalFormatting>
  <conditionalFormatting sqref="E75:BK82">
    <cfRule type="containsBlanks" dxfId="107" priority="13">
      <formula>LEN(TRIM(E75))=0</formula>
    </cfRule>
  </conditionalFormatting>
  <conditionalFormatting sqref="E85:BK92">
    <cfRule type="containsBlanks" dxfId="106" priority="14">
      <formula>LEN(TRIM(E85))=0</formula>
    </cfRule>
  </conditionalFormatting>
  <conditionalFormatting sqref="E95:BK96">
    <cfRule type="containsBlanks" dxfId="105" priority="15">
      <formula>LEN(TRIM(E95))=0</formula>
    </cfRule>
  </conditionalFormatting>
  <conditionalFormatting sqref="E99:BK100">
    <cfRule type="containsBlanks" dxfId="104" priority="16">
      <formula>LEN(TRIM(E99))=0</formula>
    </cfRule>
  </conditionalFormatting>
  <conditionalFormatting sqref="E103:BK110">
    <cfRule type="containsBlanks" dxfId="103" priority="17">
      <formula>LEN(TRIM(E103))=0</formula>
    </cfRule>
  </conditionalFormatting>
  <conditionalFormatting sqref="E113:BK115">
    <cfRule type="containsBlanks" dxfId="102" priority="18">
      <formula>LEN(TRIM(E113))=0</formula>
    </cfRule>
  </conditionalFormatting>
  <conditionalFormatting sqref="E118:BK125">
    <cfRule type="containsBlanks" dxfId="101" priority="19">
      <formula>LEN(TRIM(E118))=0</formula>
    </cfRule>
  </conditionalFormatting>
  <conditionalFormatting sqref="E128:BK129">
    <cfRule type="containsBlanks" dxfId="100" priority="20">
      <formula>LEN(TRIM(E128))=0</formula>
    </cfRule>
  </conditionalFormatting>
  <conditionalFormatting sqref="E132:BK139">
    <cfRule type="containsBlanks" dxfId="99" priority="21">
      <formula>LEN(TRIM(E132))=0</formula>
    </cfRule>
  </conditionalFormatting>
  <conditionalFormatting sqref="E142:BK149">
    <cfRule type="containsBlanks" dxfId="98" priority="22">
      <formula>LEN(TRIM(E142))=0</formula>
    </cfRule>
  </conditionalFormatting>
  <conditionalFormatting sqref="E152:BK159">
    <cfRule type="containsBlanks" dxfId="97" priority="23">
      <formula>LEN(TRIM(E152))=0</formula>
    </cfRule>
  </conditionalFormatting>
  <conditionalFormatting sqref="E162:BK164">
    <cfRule type="containsBlanks" dxfId="96" priority="24">
      <formula>LEN(TRIM(E162))=0</formula>
    </cfRule>
  </conditionalFormatting>
  <conditionalFormatting sqref="E167:BK171">
    <cfRule type="containsBlanks" dxfId="95" priority="25">
      <formula>LEN(TRIM(E167))=0</formula>
    </cfRule>
  </conditionalFormatting>
  <conditionalFormatting sqref="E174:BK180">
    <cfRule type="containsBlanks" dxfId="94" priority="26">
      <formula>LEN(TRIM(E174))=0</formula>
    </cfRule>
  </conditionalFormatting>
  <conditionalFormatting sqref="E183:BK186">
    <cfRule type="containsBlanks" dxfId="93" priority="27">
      <formula>LEN(TRIM(E183))=0</formula>
    </cfRule>
  </conditionalFormatting>
  <conditionalFormatting sqref="E190:BK191">
    <cfRule type="containsBlanks" dxfId="92" priority="28">
      <formula>LEN(TRIM(E190))=0</formula>
    </cfRule>
  </conditionalFormatting>
  <conditionalFormatting sqref="E192:BK192">
    <cfRule type="expression" dxfId="91" priority="29">
      <formula>E192&lt;&gt;E30</formula>
    </cfRule>
    <cfRule type="expression" dxfId="90" priority="30">
      <formula>E192&lt;&gt;E34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BD1000"/>
  <sheetViews>
    <sheetView tabSelected="1" topLeftCell="AK187" workbookViewId="0">
      <selection activeCell="E191" sqref="E191:BA191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53" width="8.69921875" customWidth="1"/>
    <col min="54" max="54" width="13.296875" customWidth="1"/>
    <col min="55" max="56" width="8.69921875" customWidth="1"/>
  </cols>
  <sheetData>
    <row r="1" spans="1:54" ht="12.75" customHeight="1" x14ac:dyDescent="0.3"/>
    <row r="2" spans="1:54" ht="12.75" customHeight="1" x14ac:dyDescent="0.3">
      <c r="C2" s="8" t="s">
        <v>0</v>
      </c>
      <c r="D2" s="8" t="s">
        <v>1</v>
      </c>
    </row>
    <row r="3" spans="1:54" ht="12.75" customHeight="1" x14ac:dyDescent="0.3">
      <c r="C3" s="8" t="s">
        <v>2</v>
      </c>
      <c r="D3" s="8" t="s">
        <v>3</v>
      </c>
    </row>
    <row r="4" spans="1:54" ht="12.75" customHeight="1" x14ac:dyDescent="0.3">
      <c r="C4" s="8" t="s">
        <v>4</v>
      </c>
      <c r="D4" s="8" t="s">
        <v>5</v>
      </c>
    </row>
    <row r="5" spans="1:54" ht="12.75" customHeight="1" x14ac:dyDescent="0.3">
      <c r="C5" s="8"/>
      <c r="D5" s="8"/>
    </row>
    <row r="6" spans="1:54" ht="12.75" customHeight="1" x14ac:dyDescent="0.3">
      <c r="C6" s="8"/>
      <c r="D6" s="8"/>
    </row>
    <row r="7" spans="1:54" ht="12.75" customHeight="1" x14ac:dyDescent="0.3">
      <c r="C7" s="8"/>
      <c r="D7" s="8"/>
    </row>
    <row r="8" spans="1:54" ht="12.75" customHeight="1" x14ac:dyDescent="0.3">
      <c r="C8" s="8"/>
      <c r="D8" s="8"/>
    </row>
    <row r="9" spans="1:54" ht="12.75" customHeight="1" x14ac:dyDescent="0.3">
      <c r="C9" s="8" t="s">
        <v>169</v>
      </c>
      <c r="D9" s="8" t="s">
        <v>231</v>
      </c>
    </row>
    <row r="10" spans="1:54" ht="12.75" customHeight="1" x14ac:dyDescent="0.3"/>
    <row r="11" spans="1:54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</row>
    <row r="12" spans="1:54" ht="12.75" customHeight="1" x14ac:dyDescent="0.3">
      <c r="A12" s="13" t="s">
        <v>6</v>
      </c>
      <c r="B12" s="49" t="s">
        <v>7</v>
      </c>
      <c r="C12" s="46"/>
      <c r="D12" s="47"/>
      <c r="E12" s="71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72" t="s">
        <v>8</v>
      </c>
    </row>
    <row r="13" spans="1:54" ht="12.75" customHeight="1" x14ac:dyDescent="0.3">
      <c r="A13" s="15" t="s">
        <v>9</v>
      </c>
      <c r="B13" s="56" t="s">
        <v>10</v>
      </c>
      <c r="C13" s="46"/>
      <c r="D13" s="47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13" t="s">
        <v>189</v>
      </c>
      <c r="X13" s="13" t="s">
        <v>190</v>
      </c>
      <c r="Y13" s="13" t="s">
        <v>191</v>
      </c>
      <c r="Z13" s="13" t="s">
        <v>192</v>
      </c>
      <c r="AA13" s="13" t="s">
        <v>193</v>
      </c>
      <c r="AB13" s="13" t="s">
        <v>194</v>
      </c>
      <c r="AC13" s="13" t="s">
        <v>195</v>
      </c>
      <c r="AD13" s="13" t="s">
        <v>196</v>
      </c>
      <c r="AE13" s="13" t="s">
        <v>197</v>
      </c>
      <c r="AF13" s="13" t="s">
        <v>198</v>
      </c>
      <c r="AG13" s="13" t="s">
        <v>199</v>
      </c>
      <c r="AH13" s="13" t="s">
        <v>200</v>
      </c>
      <c r="AI13" s="13" t="s">
        <v>201</v>
      </c>
      <c r="AJ13" s="13" t="s">
        <v>202</v>
      </c>
      <c r="AK13" s="13" t="s">
        <v>203</v>
      </c>
      <c r="AL13" s="13" t="s">
        <v>204</v>
      </c>
      <c r="AM13" s="13" t="s">
        <v>205</v>
      </c>
      <c r="AN13" s="13" t="s">
        <v>206</v>
      </c>
      <c r="AO13" s="13" t="s">
        <v>207</v>
      </c>
      <c r="AP13" s="13" t="s">
        <v>208</v>
      </c>
      <c r="AQ13" s="13" t="s">
        <v>209</v>
      </c>
      <c r="AR13" s="13" t="s">
        <v>210</v>
      </c>
      <c r="AS13" s="13" t="s">
        <v>211</v>
      </c>
      <c r="AT13" s="13" t="s">
        <v>212</v>
      </c>
      <c r="AU13" s="13" t="s">
        <v>213</v>
      </c>
      <c r="AV13" s="13" t="s">
        <v>214</v>
      </c>
      <c r="AW13" s="13" t="s">
        <v>215</v>
      </c>
      <c r="AX13" s="13" t="s">
        <v>216</v>
      </c>
      <c r="AY13" s="13" t="s">
        <v>217</v>
      </c>
      <c r="AZ13" s="13" t="s">
        <v>218</v>
      </c>
      <c r="BA13" s="13" t="s">
        <v>219</v>
      </c>
      <c r="BB13" s="64"/>
    </row>
    <row r="14" spans="1:54" ht="12.75" customHeight="1" x14ac:dyDescent="0.3">
      <c r="A14" s="14"/>
      <c r="B14" s="57" t="s">
        <v>11</v>
      </c>
      <c r="C14" s="58"/>
      <c r="D14" s="15" t="s">
        <v>12</v>
      </c>
      <c r="E14" s="15">
        <v>96</v>
      </c>
      <c r="F14" s="15">
        <v>109</v>
      </c>
      <c r="G14" s="15">
        <v>105</v>
      </c>
      <c r="H14" s="15">
        <v>130</v>
      </c>
      <c r="I14" s="15">
        <v>123</v>
      </c>
      <c r="J14" s="15">
        <v>96</v>
      </c>
      <c r="K14" s="15">
        <v>115</v>
      </c>
      <c r="L14" s="15">
        <v>95</v>
      </c>
      <c r="M14" s="15">
        <v>114</v>
      </c>
      <c r="N14" s="15">
        <v>104</v>
      </c>
      <c r="O14" s="15">
        <v>110</v>
      </c>
      <c r="P14" s="15">
        <v>113</v>
      </c>
      <c r="Q14" s="15">
        <v>120</v>
      </c>
      <c r="R14" s="15">
        <v>86</v>
      </c>
      <c r="S14" s="15">
        <v>114</v>
      </c>
      <c r="T14" s="15">
        <v>114</v>
      </c>
      <c r="U14" s="15">
        <v>102</v>
      </c>
      <c r="V14" s="15">
        <v>125</v>
      </c>
      <c r="W14" s="15">
        <v>117</v>
      </c>
      <c r="X14" s="15">
        <v>90</v>
      </c>
      <c r="Y14" s="15">
        <v>112</v>
      </c>
      <c r="Z14" s="15">
        <v>88</v>
      </c>
      <c r="AA14" s="15">
        <v>87</v>
      </c>
      <c r="AB14" s="15">
        <v>130</v>
      </c>
      <c r="AC14" s="15">
        <v>106</v>
      </c>
      <c r="AD14" s="15">
        <v>116</v>
      </c>
      <c r="AE14" s="15">
        <v>119</v>
      </c>
      <c r="AF14" s="15">
        <v>120</v>
      </c>
      <c r="AG14" s="15">
        <v>105</v>
      </c>
      <c r="AH14" s="15">
        <v>102</v>
      </c>
      <c r="AI14" s="15">
        <v>101</v>
      </c>
      <c r="AJ14" s="15">
        <v>96</v>
      </c>
      <c r="AK14" s="15">
        <v>110</v>
      </c>
      <c r="AL14" s="15">
        <v>111</v>
      </c>
      <c r="AM14" s="15">
        <v>113</v>
      </c>
      <c r="AN14" s="15">
        <v>122</v>
      </c>
      <c r="AO14" s="15">
        <v>102</v>
      </c>
      <c r="AP14" s="15">
        <v>114</v>
      </c>
      <c r="AQ14" s="15">
        <v>105</v>
      </c>
      <c r="AR14" s="15">
        <v>94</v>
      </c>
      <c r="AS14" s="15">
        <v>109</v>
      </c>
      <c r="AT14" s="15">
        <v>109</v>
      </c>
      <c r="AU14" s="15">
        <v>107</v>
      </c>
      <c r="AV14" s="15">
        <v>121</v>
      </c>
      <c r="AW14" s="15">
        <v>132</v>
      </c>
      <c r="AX14" s="15">
        <v>119</v>
      </c>
      <c r="AY14" s="15">
        <v>132</v>
      </c>
      <c r="AZ14" s="15">
        <v>133</v>
      </c>
      <c r="BA14" s="15">
        <v>118</v>
      </c>
      <c r="BB14" s="13">
        <f t="shared" ref="BB14:BB16" si="0">SUM(E14:BA14)</f>
        <v>5411</v>
      </c>
    </row>
    <row r="15" spans="1:54" ht="12.75" customHeight="1" x14ac:dyDescent="0.3">
      <c r="A15" s="14"/>
      <c r="B15" s="59"/>
      <c r="C15" s="60"/>
      <c r="D15" s="15" t="s">
        <v>13</v>
      </c>
      <c r="E15" s="15">
        <v>117</v>
      </c>
      <c r="F15" s="15">
        <v>107</v>
      </c>
      <c r="G15" s="15">
        <v>98</v>
      </c>
      <c r="H15" s="15">
        <v>124</v>
      </c>
      <c r="I15" s="15">
        <v>124</v>
      </c>
      <c r="J15" s="15">
        <v>117</v>
      </c>
      <c r="K15" s="15">
        <v>108</v>
      </c>
      <c r="L15" s="15">
        <v>96</v>
      </c>
      <c r="M15" s="15">
        <v>121</v>
      </c>
      <c r="N15" s="15">
        <v>115</v>
      </c>
      <c r="O15" s="15">
        <v>105</v>
      </c>
      <c r="P15" s="15">
        <v>107</v>
      </c>
      <c r="Q15" s="15">
        <v>123</v>
      </c>
      <c r="R15" s="15">
        <v>79</v>
      </c>
      <c r="S15" s="15">
        <v>106</v>
      </c>
      <c r="T15" s="15">
        <v>114</v>
      </c>
      <c r="U15" s="15">
        <v>105</v>
      </c>
      <c r="V15" s="15">
        <v>114</v>
      </c>
      <c r="W15" s="15">
        <v>125</v>
      </c>
      <c r="X15" s="15">
        <v>108</v>
      </c>
      <c r="Y15" s="15">
        <v>120</v>
      </c>
      <c r="Z15" s="15">
        <v>90</v>
      </c>
      <c r="AA15" s="15">
        <v>87</v>
      </c>
      <c r="AB15" s="15">
        <v>107</v>
      </c>
      <c r="AC15" s="15">
        <v>117</v>
      </c>
      <c r="AD15" s="15">
        <v>111</v>
      </c>
      <c r="AE15" s="15">
        <v>120</v>
      </c>
      <c r="AF15" s="15">
        <v>120</v>
      </c>
      <c r="AG15" s="15">
        <v>98</v>
      </c>
      <c r="AH15" s="15">
        <v>101</v>
      </c>
      <c r="AI15" s="15">
        <v>101</v>
      </c>
      <c r="AJ15" s="15">
        <v>110</v>
      </c>
      <c r="AK15" s="15">
        <v>111</v>
      </c>
      <c r="AL15" s="15">
        <v>110</v>
      </c>
      <c r="AM15" s="15">
        <v>92</v>
      </c>
      <c r="AN15" s="15">
        <v>110</v>
      </c>
      <c r="AO15" s="15">
        <v>109</v>
      </c>
      <c r="AP15" s="15">
        <v>120</v>
      </c>
      <c r="AQ15" s="15">
        <v>97</v>
      </c>
      <c r="AR15" s="15">
        <v>103</v>
      </c>
      <c r="AS15" s="15">
        <v>101</v>
      </c>
      <c r="AT15" s="15">
        <v>143</v>
      </c>
      <c r="AU15" s="15">
        <v>106</v>
      </c>
      <c r="AV15" s="15">
        <v>124</v>
      </c>
      <c r="AW15" s="15">
        <v>133</v>
      </c>
      <c r="AX15" s="15">
        <v>118</v>
      </c>
      <c r="AY15" s="15">
        <v>139</v>
      </c>
      <c r="AZ15" s="15">
        <v>135</v>
      </c>
      <c r="BA15" s="15">
        <v>126</v>
      </c>
      <c r="BB15" s="13">
        <f t="shared" si="0"/>
        <v>5472</v>
      </c>
    </row>
    <row r="16" spans="1:54" ht="12.75" customHeight="1" x14ac:dyDescent="0.3">
      <c r="A16" s="17"/>
      <c r="B16" s="55"/>
      <c r="C16" s="53"/>
      <c r="D16" s="13" t="s">
        <v>14</v>
      </c>
      <c r="E16" s="13">
        <f t="shared" ref="E16:BA16" si="1">SUM(E14:E15)</f>
        <v>213</v>
      </c>
      <c r="F16" s="13">
        <f t="shared" si="1"/>
        <v>216</v>
      </c>
      <c r="G16" s="13">
        <f t="shared" si="1"/>
        <v>203</v>
      </c>
      <c r="H16" s="13">
        <f t="shared" si="1"/>
        <v>254</v>
      </c>
      <c r="I16" s="13">
        <f t="shared" si="1"/>
        <v>247</v>
      </c>
      <c r="J16" s="13">
        <f t="shared" si="1"/>
        <v>213</v>
      </c>
      <c r="K16" s="13">
        <f t="shared" si="1"/>
        <v>223</v>
      </c>
      <c r="L16" s="13">
        <f t="shared" si="1"/>
        <v>191</v>
      </c>
      <c r="M16" s="13">
        <f t="shared" si="1"/>
        <v>235</v>
      </c>
      <c r="N16" s="13">
        <f t="shared" si="1"/>
        <v>219</v>
      </c>
      <c r="O16" s="13">
        <f t="shared" si="1"/>
        <v>215</v>
      </c>
      <c r="P16" s="13">
        <f t="shared" si="1"/>
        <v>220</v>
      </c>
      <c r="Q16" s="13">
        <f t="shared" si="1"/>
        <v>243</v>
      </c>
      <c r="R16" s="13">
        <f t="shared" si="1"/>
        <v>165</v>
      </c>
      <c r="S16" s="13">
        <f t="shared" si="1"/>
        <v>220</v>
      </c>
      <c r="T16" s="13">
        <f t="shared" si="1"/>
        <v>228</v>
      </c>
      <c r="U16" s="13">
        <f t="shared" si="1"/>
        <v>207</v>
      </c>
      <c r="V16" s="13">
        <f t="shared" si="1"/>
        <v>239</v>
      </c>
      <c r="W16" s="13">
        <f t="shared" si="1"/>
        <v>242</v>
      </c>
      <c r="X16" s="13">
        <f t="shared" si="1"/>
        <v>198</v>
      </c>
      <c r="Y16" s="13">
        <f t="shared" si="1"/>
        <v>232</v>
      </c>
      <c r="Z16" s="13">
        <f t="shared" si="1"/>
        <v>178</v>
      </c>
      <c r="AA16" s="13">
        <f t="shared" si="1"/>
        <v>174</v>
      </c>
      <c r="AB16" s="13">
        <f t="shared" si="1"/>
        <v>237</v>
      </c>
      <c r="AC16" s="13">
        <f t="shared" si="1"/>
        <v>223</v>
      </c>
      <c r="AD16" s="13">
        <f t="shared" si="1"/>
        <v>227</v>
      </c>
      <c r="AE16" s="13">
        <f t="shared" si="1"/>
        <v>239</v>
      </c>
      <c r="AF16" s="13">
        <f t="shared" si="1"/>
        <v>240</v>
      </c>
      <c r="AG16" s="13">
        <f t="shared" si="1"/>
        <v>203</v>
      </c>
      <c r="AH16" s="13">
        <f t="shared" si="1"/>
        <v>203</v>
      </c>
      <c r="AI16" s="13">
        <f t="shared" si="1"/>
        <v>202</v>
      </c>
      <c r="AJ16" s="13">
        <f t="shared" si="1"/>
        <v>206</v>
      </c>
      <c r="AK16" s="13">
        <f t="shared" si="1"/>
        <v>221</v>
      </c>
      <c r="AL16" s="13">
        <f t="shared" si="1"/>
        <v>221</v>
      </c>
      <c r="AM16" s="13">
        <f t="shared" si="1"/>
        <v>205</v>
      </c>
      <c r="AN16" s="13">
        <f t="shared" si="1"/>
        <v>232</v>
      </c>
      <c r="AO16" s="13">
        <f t="shared" si="1"/>
        <v>211</v>
      </c>
      <c r="AP16" s="13">
        <f t="shared" si="1"/>
        <v>234</v>
      </c>
      <c r="AQ16" s="13">
        <f t="shared" si="1"/>
        <v>202</v>
      </c>
      <c r="AR16" s="13">
        <f t="shared" si="1"/>
        <v>197</v>
      </c>
      <c r="AS16" s="13">
        <f t="shared" si="1"/>
        <v>210</v>
      </c>
      <c r="AT16" s="13">
        <f t="shared" si="1"/>
        <v>252</v>
      </c>
      <c r="AU16" s="13">
        <f t="shared" si="1"/>
        <v>213</v>
      </c>
      <c r="AV16" s="13">
        <f t="shared" si="1"/>
        <v>245</v>
      </c>
      <c r="AW16" s="13">
        <f t="shared" si="1"/>
        <v>265</v>
      </c>
      <c r="AX16" s="13">
        <f t="shared" si="1"/>
        <v>237</v>
      </c>
      <c r="AY16" s="13">
        <f t="shared" si="1"/>
        <v>271</v>
      </c>
      <c r="AZ16" s="13">
        <f t="shared" si="1"/>
        <v>268</v>
      </c>
      <c r="BA16" s="13">
        <f t="shared" si="1"/>
        <v>244</v>
      </c>
      <c r="BB16" s="13">
        <f t="shared" si="0"/>
        <v>10883</v>
      </c>
    </row>
    <row r="17" spans="1:54" ht="12.75" customHeight="1" x14ac:dyDescent="0.3">
      <c r="A17" s="61"/>
      <c r="B17" s="46"/>
      <c r="C17" s="46"/>
      <c r="D17" s="47"/>
      <c r="E17" s="15"/>
      <c r="F17" s="15"/>
      <c r="G17" s="15"/>
      <c r="H17" s="15"/>
      <c r="I17" s="15"/>
      <c r="J17" s="15"/>
      <c r="K17" s="15"/>
      <c r="L17" s="15"/>
      <c r="M17" s="15"/>
      <c r="N17" s="41"/>
      <c r="O17" s="15"/>
      <c r="P17" s="15"/>
      <c r="Q17" s="15"/>
      <c r="R17" s="15"/>
      <c r="S17" s="41"/>
      <c r="T17" s="15"/>
      <c r="U17" s="15"/>
      <c r="V17" s="15"/>
      <c r="W17" s="15"/>
      <c r="X17" s="41"/>
      <c r="Y17" s="15"/>
      <c r="Z17" s="15"/>
      <c r="AA17" s="15"/>
      <c r="AB17" s="15"/>
      <c r="AC17" s="41"/>
      <c r="AD17" s="15"/>
      <c r="AE17" s="15"/>
      <c r="AF17" s="15"/>
      <c r="AG17" s="15"/>
      <c r="AH17" s="41"/>
      <c r="AI17" s="15"/>
      <c r="AJ17" s="15"/>
      <c r="AK17" s="15"/>
      <c r="AL17" s="15"/>
      <c r="AM17" s="41"/>
      <c r="AN17" s="15"/>
      <c r="AO17" s="15"/>
      <c r="AP17" s="15"/>
      <c r="AQ17" s="15"/>
      <c r="AR17" s="41"/>
      <c r="AS17" s="15"/>
      <c r="AT17" s="15"/>
      <c r="AU17" s="15"/>
      <c r="AV17" s="15"/>
      <c r="AW17" s="41"/>
      <c r="AX17" s="15"/>
      <c r="AY17" s="15"/>
      <c r="AZ17" s="15"/>
      <c r="BA17" s="15"/>
      <c r="BB17" s="42"/>
    </row>
    <row r="18" spans="1:54" ht="12.75" customHeight="1" x14ac:dyDescent="0.3">
      <c r="A18" s="19" t="s">
        <v>15</v>
      </c>
      <c r="B18" s="56" t="s">
        <v>16</v>
      </c>
      <c r="C18" s="46"/>
      <c r="D18" s="47"/>
      <c r="E18" s="15"/>
      <c r="F18" s="15"/>
      <c r="G18" s="15"/>
      <c r="H18" s="15"/>
      <c r="I18" s="15"/>
      <c r="J18" s="15"/>
      <c r="K18" s="15"/>
      <c r="L18" s="15"/>
      <c r="M18" s="15"/>
      <c r="N18" s="41"/>
      <c r="O18" s="15"/>
      <c r="P18" s="15"/>
      <c r="Q18" s="15"/>
      <c r="R18" s="15"/>
      <c r="S18" s="41"/>
      <c r="T18" s="15"/>
      <c r="U18" s="15"/>
      <c r="V18" s="15"/>
      <c r="W18" s="15"/>
      <c r="X18" s="41"/>
      <c r="Y18" s="15"/>
      <c r="Z18" s="15"/>
      <c r="AA18" s="15"/>
      <c r="AB18" s="15"/>
      <c r="AC18" s="41"/>
      <c r="AD18" s="15"/>
      <c r="AE18" s="15"/>
      <c r="AF18" s="15"/>
      <c r="AG18" s="15"/>
      <c r="AH18" s="41"/>
      <c r="AI18" s="15"/>
      <c r="AJ18" s="15"/>
      <c r="AK18" s="15"/>
      <c r="AL18" s="15"/>
      <c r="AM18" s="41"/>
      <c r="AN18" s="15"/>
      <c r="AO18" s="15"/>
      <c r="AP18" s="15"/>
      <c r="AQ18" s="15"/>
      <c r="AR18" s="41"/>
      <c r="AS18" s="15"/>
      <c r="AT18" s="15"/>
      <c r="AU18" s="15"/>
      <c r="AV18" s="15"/>
      <c r="AW18" s="41"/>
      <c r="AX18" s="15"/>
      <c r="AY18" s="15"/>
      <c r="AZ18" s="15"/>
      <c r="BA18" s="15"/>
      <c r="BB18" s="42"/>
    </row>
    <row r="19" spans="1:54" ht="12.75" customHeight="1" x14ac:dyDescent="0.3">
      <c r="A19" s="19"/>
      <c r="B19" s="65" t="s">
        <v>17</v>
      </c>
      <c r="C19" s="62" t="s">
        <v>18</v>
      </c>
      <c r="D19" s="15" t="s">
        <v>12</v>
      </c>
      <c r="E19" s="15">
        <v>64</v>
      </c>
      <c r="F19" s="15">
        <v>70</v>
      </c>
      <c r="G19" s="15">
        <v>64</v>
      </c>
      <c r="H19" s="15">
        <v>93</v>
      </c>
      <c r="I19" s="15">
        <v>94</v>
      </c>
      <c r="J19" s="15">
        <v>53</v>
      </c>
      <c r="K19" s="15">
        <v>76</v>
      </c>
      <c r="L19" s="15">
        <v>63</v>
      </c>
      <c r="M19" s="15">
        <v>87</v>
      </c>
      <c r="N19" s="15">
        <v>73</v>
      </c>
      <c r="O19" s="15">
        <v>70</v>
      </c>
      <c r="P19" s="15">
        <v>79</v>
      </c>
      <c r="Q19" s="15">
        <v>91</v>
      </c>
      <c r="R19" s="15">
        <v>60</v>
      </c>
      <c r="S19" s="15">
        <v>88</v>
      </c>
      <c r="T19" s="15">
        <v>87</v>
      </c>
      <c r="U19" s="15">
        <v>72</v>
      </c>
      <c r="V19" s="15">
        <v>81</v>
      </c>
      <c r="W19" s="15">
        <v>79</v>
      </c>
      <c r="X19" s="15">
        <v>70</v>
      </c>
      <c r="Y19" s="15">
        <v>92</v>
      </c>
      <c r="Z19" s="15">
        <v>60</v>
      </c>
      <c r="AA19" s="15">
        <v>52</v>
      </c>
      <c r="AB19" s="15">
        <v>100</v>
      </c>
      <c r="AC19" s="15">
        <v>86</v>
      </c>
      <c r="AD19" s="15">
        <v>88</v>
      </c>
      <c r="AE19" s="15">
        <v>92</v>
      </c>
      <c r="AF19" s="15">
        <v>87</v>
      </c>
      <c r="AG19" s="15">
        <v>76</v>
      </c>
      <c r="AH19" s="15">
        <v>76</v>
      </c>
      <c r="AI19" s="15">
        <v>77</v>
      </c>
      <c r="AJ19" s="15">
        <v>74</v>
      </c>
      <c r="AK19" s="15">
        <v>83</v>
      </c>
      <c r="AL19" s="15">
        <v>63</v>
      </c>
      <c r="AM19" s="15">
        <v>72</v>
      </c>
      <c r="AN19" s="15">
        <v>92</v>
      </c>
      <c r="AO19" s="15">
        <v>65</v>
      </c>
      <c r="AP19" s="15">
        <v>90</v>
      </c>
      <c r="AQ19" s="15">
        <v>77</v>
      </c>
      <c r="AR19" s="15">
        <v>65</v>
      </c>
      <c r="AS19" s="15">
        <v>81</v>
      </c>
      <c r="AT19" s="15">
        <v>79</v>
      </c>
      <c r="AU19" s="15">
        <v>78</v>
      </c>
      <c r="AV19" s="15">
        <v>93</v>
      </c>
      <c r="AW19" s="15">
        <v>97</v>
      </c>
      <c r="AX19" s="15">
        <v>87</v>
      </c>
      <c r="AY19" s="15">
        <v>102</v>
      </c>
      <c r="AZ19" s="15">
        <v>97</v>
      </c>
      <c r="BA19" s="15">
        <v>81</v>
      </c>
      <c r="BB19" s="13">
        <f t="shared" ref="BB19:BB30" si="2">SUM(E19:BA19)</f>
        <v>3876</v>
      </c>
    </row>
    <row r="20" spans="1:54" ht="12.75" customHeight="1" x14ac:dyDescent="0.3">
      <c r="A20" s="20"/>
      <c r="B20" s="60"/>
      <c r="C20" s="63"/>
      <c r="D20" s="15" t="s">
        <v>13</v>
      </c>
      <c r="E20" s="15">
        <v>96</v>
      </c>
      <c r="F20" s="15">
        <v>74</v>
      </c>
      <c r="G20" s="15">
        <v>72</v>
      </c>
      <c r="H20" s="15">
        <v>103</v>
      </c>
      <c r="I20" s="15">
        <v>93</v>
      </c>
      <c r="J20" s="15">
        <v>74</v>
      </c>
      <c r="K20" s="15">
        <v>79</v>
      </c>
      <c r="L20" s="15">
        <v>64</v>
      </c>
      <c r="M20" s="15">
        <v>89</v>
      </c>
      <c r="N20" s="15">
        <v>88</v>
      </c>
      <c r="O20" s="15">
        <v>78</v>
      </c>
      <c r="P20" s="15">
        <v>83</v>
      </c>
      <c r="Q20" s="15">
        <v>94</v>
      </c>
      <c r="R20" s="15">
        <v>62</v>
      </c>
      <c r="S20" s="15">
        <v>89</v>
      </c>
      <c r="T20" s="15">
        <v>94</v>
      </c>
      <c r="U20" s="15">
        <v>76</v>
      </c>
      <c r="V20" s="15">
        <v>86</v>
      </c>
      <c r="W20" s="15">
        <v>94</v>
      </c>
      <c r="X20" s="15">
        <v>76</v>
      </c>
      <c r="Y20" s="15">
        <v>91</v>
      </c>
      <c r="Z20" s="15">
        <v>72</v>
      </c>
      <c r="AA20" s="15">
        <v>68</v>
      </c>
      <c r="AB20" s="15">
        <v>89</v>
      </c>
      <c r="AC20" s="15">
        <v>89</v>
      </c>
      <c r="AD20" s="15">
        <v>85</v>
      </c>
      <c r="AE20" s="15">
        <v>103</v>
      </c>
      <c r="AF20" s="15">
        <v>92</v>
      </c>
      <c r="AG20" s="15">
        <v>76</v>
      </c>
      <c r="AH20" s="15">
        <v>76</v>
      </c>
      <c r="AI20" s="15">
        <v>78</v>
      </c>
      <c r="AJ20" s="15">
        <v>94</v>
      </c>
      <c r="AK20" s="15">
        <v>74</v>
      </c>
      <c r="AL20" s="15">
        <v>70</v>
      </c>
      <c r="AM20" s="15">
        <v>70</v>
      </c>
      <c r="AN20" s="15">
        <v>90</v>
      </c>
      <c r="AO20" s="15">
        <v>75</v>
      </c>
      <c r="AP20" s="15">
        <v>94</v>
      </c>
      <c r="AQ20" s="15">
        <v>76</v>
      </c>
      <c r="AR20" s="15">
        <v>84</v>
      </c>
      <c r="AS20" s="15">
        <v>81</v>
      </c>
      <c r="AT20" s="15">
        <v>105</v>
      </c>
      <c r="AU20" s="15">
        <v>84</v>
      </c>
      <c r="AV20" s="15">
        <v>103</v>
      </c>
      <c r="AW20" s="15">
        <v>96</v>
      </c>
      <c r="AX20" s="15">
        <v>90</v>
      </c>
      <c r="AY20" s="15">
        <v>109</v>
      </c>
      <c r="AZ20" s="15">
        <v>105</v>
      </c>
      <c r="BA20" s="15">
        <v>93</v>
      </c>
      <c r="BB20" s="13">
        <f t="shared" si="2"/>
        <v>4176</v>
      </c>
    </row>
    <row r="21" spans="1:54" ht="12.75" customHeight="1" x14ac:dyDescent="0.3">
      <c r="A21" s="21"/>
      <c r="B21" s="53"/>
      <c r="C21" s="64"/>
      <c r="D21" s="13" t="s">
        <v>14</v>
      </c>
      <c r="E21" s="13">
        <f t="shared" ref="E21:BA21" si="3">SUM(E19:E20)</f>
        <v>160</v>
      </c>
      <c r="F21" s="13">
        <f t="shared" si="3"/>
        <v>144</v>
      </c>
      <c r="G21" s="13">
        <f t="shared" si="3"/>
        <v>136</v>
      </c>
      <c r="H21" s="13">
        <f t="shared" si="3"/>
        <v>196</v>
      </c>
      <c r="I21" s="13">
        <f t="shared" si="3"/>
        <v>187</v>
      </c>
      <c r="J21" s="13">
        <f t="shared" si="3"/>
        <v>127</v>
      </c>
      <c r="K21" s="13">
        <f t="shared" si="3"/>
        <v>155</v>
      </c>
      <c r="L21" s="13">
        <f t="shared" si="3"/>
        <v>127</v>
      </c>
      <c r="M21" s="13">
        <f t="shared" si="3"/>
        <v>176</v>
      </c>
      <c r="N21" s="13">
        <f t="shared" si="3"/>
        <v>161</v>
      </c>
      <c r="O21" s="13">
        <f t="shared" si="3"/>
        <v>148</v>
      </c>
      <c r="P21" s="13">
        <f t="shared" si="3"/>
        <v>162</v>
      </c>
      <c r="Q21" s="13">
        <f t="shared" si="3"/>
        <v>185</v>
      </c>
      <c r="R21" s="13">
        <f t="shared" si="3"/>
        <v>122</v>
      </c>
      <c r="S21" s="13">
        <f t="shared" si="3"/>
        <v>177</v>
      </c>
      <c r="T21" s="13">
        <f t="shared" si="3"/>
        <v>181</v>
      </c>
      <c r="U21" s="13">
        <f t="shared" si="3"/>
        <v>148</v>
      </c>
      <c r="V21" s="13">
        <f t="shared" si="3"/>
        <v>167</v>
      </c>
      <c r="W21" s="13">
        <f t="shared" si="3"/>
        <v>173</v>
      </c>
      <c r="X21" s="13">
        <f t="shared" si="3"/>
        <v>146</v>
      </c>
      <c r="Y21" s="13">
        <f t="shared" si="3"/>
        <v>183</v>
      </c>
      <c r="Z21" s="13">
        <f t="shared" si="3"/>
        <v>132</v>
      </c>
      <c r="AA21" s="13">
        <f t="shared" si="3"/>
        <v>120</v>
      </c>
      <c r="AB21" s="13">
        <f t="shared" si="3"/>
        <v>189</v>
      </c>
      <c r="AC21" s="13">
        <f t="shared" si="3"/>
        <v>175</v>
      </c>
      <c r="AD21" s="13">
        <f t="shared" si="3"/>
        <v>173</v>
      </c>
      <c r="AE21" s="13">
        <f t="shared" si="3"/>
        <v>195</v>
      </c>
      <c r="AF21" s="13">
        <f t="shared" si="3"/>
        <v>179</v>
      </c>
      <c r="AG21" s="13">
        <f t="shared" si="3"/>
        <v>152</v>
      </c>
      <c r="AH21" s="13">
        <f t="shared" si="3"/>
        <v>152</v>
      </c>
      <c r="AI21" s="13">
        <f t="shared" si="3"/>
        <v>155</v>
      </c>
      <c r="AJ21" s="13">
        <f t="shared" si="3"/>
        <v>168</v>
      </c>
      <c r="AK21" s="13">
        <f t="shared" si="3"/>
        <v>157</v>
      </c>
      <c r="AL21" s="13">
        <f t="shared" si="3"/>
        <v>133</v>
      </c>
      <c r="AM21" s="13">
        <f t="shared" si="3"/>
        <v>142</v>
      </c>
      <c r="AN21" s="13">
        <f t="shared" si="3"/>
        <v>182</v>
      </c>
      <c r="AO21" s="13">
        <f t="shared" si="3"/>
        <v>140</v>
      </c>
      <c r="AP21" s="13">
        <f t="shared" si="3"/>
        <v>184</v>
      </c>
      <c r="AQ21" s="13">
        <f t="shared" si="3"/>
        <v>153</v>
      </c>
      <c r="AR21" s="13">
        <f t="shared" si="3"/>
        <v>149</v>
      </c>
      <c r="AS21" s="13">
        <f t="shared" si="3"/>
        <v>162</v>
      </c>
      <c r="AT21" s="13">
        <f t="shared" si="3"/>
        <v>184</v>
      </c>
      <c r="AU21" s="13">
        <f t="shared" si="3"/>
        <v>162</v>
      </c>
      <c r="AV21" s="13">
        <f t="shared" si="3"/>
        <v>196</v>
      </c>
      <c r="AW21" s="13">
        <f t="shared" si="3"/>
        <v>193</v>
      </c>
      <c r="AX21" s="13">
        <f t="shared" si="3"/>
        <v>177</v>
      </c>
      <c r="AY21" s="13">
        <f t="shared" si="3"/>
        <v>211</v>
      </c>
      <c r="AZ21" s="13">
        <f t="shared" si="3"/>
        <v>202</v>
      </c>
      <c r="BA21" s="13">
        <f t="shared" si="3"/>
        <v>174</v>
      </c>
      <c r="BB21" s="13">
        <f t="shared" si="2"/>
        <v>8052</v>
      </c>
    </row>
    <row r="22" spans="1:54" ht="12.75" customHeight="1" x14ac:dyDescent="0.3">
      <c r="A22" s="20"/>
      <c r="B22" s="65" t="s">
        <v>19</v>
      </c>
      <c r="C22" s="62" t="s">
        <v>20</v>
      </c>
      <c r="D22" s="15" t="s">
        <v>12</v>
      </c>
      <c r="E22" s="15"/>
      <c r="F22" s="15"/>
      <c r="G22" s="15">
        <v>1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>
        <v>1</v>
      </c>
      <c r="AH22" s="15"/>
      <c r="AI22" s="15">
        <v>2</v>
      </c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>
        <v>1</v>
      </c>
      <c r="AV22" s="15"/>
      <c r="AW22" s="15"/>
      <c r="AX22" s="15"/>
      <c r="AY22" s="15"/>
      <c r="AZ22" s="15"/>
      <c r="BA22" s="15"/>
      <c r="BB22" s="13">
        <f t="shared" si="2"/>
        <v>5</v>
      </c>
    </row>
    <row r="23" spans="1:54" ht="12.75" customHeight="1" x14ac:dyDescent="0.3">
      <c r="A23" s="20"/>
      <c r="B23" s="60"/>
      <c r="C23" s="63"/>
      <c r="D23" s="15" t="s">
        <v>13</v>
      </c>
      <c r="E23" s="15"/>
      <c r="F23" s="15"/>
      <c r="G23" s="15"/>
      <c r="H23" s="15"/>
      <c r="I23" s="15"/>
      <c r="J23" s="15"/>
      <c r="K23" s="15"/>
      <c r="L23" s="15"/>
      <c r="M23" s="15"/>
      <c r="N23" s="15">
        <v>1</v>
      </c>
      <c r="O23" s="15"/>
      <c r="P23" s="15">
        <v>1</v>
      </c>
      <c r="Q23" s="15"/>
      <c r="R23" s="15"/>
      <c r="S23" s="15"/>
      <c r="T23" s="15"/>
      <c r="U23" s="15"/>
      <c r="V23" s="15"/>
      <c r="W23" s="15">
        <v>1</v>
      </c>
      <c r="X23" s="15">
        <v>1</v>
      </c>
      <c r="Y23" s="15"/>
      <c r="Z23" s="15">
        <v>1</v>
      </c>
      <c r="AA23" s="15"/>
      <c r="AB23" s="15"/>
      <c r="AC23" s="15"/>
      <c r="AD23" s="15"/>
      <c r="AE23" s="15"/>
      <c r="AF23" s="15"/>
      <c r="AG23" s="15">
        <v>1</v>
      </c>
      <c r="AH23" s="15"/>
      <c r="AI23" s="15">
        <v>1</v>
      </c>
      <c r="AJ23" s="15"/>
      <c r="AK23" s="15"/>
      <c r="AL23" s="15"/>
      <c r="AM23" s="15"/>
      <c r="AN23" s="15">
        <v>1</v>
      </c>
      <c r="AO23" s="15"/>
      <c r="AP23" s="15"/>
      <c r="AQ23" s="15"/>
      <c r="AR23" s="15">
        <v>1</v>
      </c>
      <c r="AS23" s="15"/>
      <c r="AT23" s="15"/>
      <c r="AU23" s="15">
        <v>1</v>
      </c>
      <c r="AV23" s="15"/>
      <c r="AW23" s="15"/>
      <c r="AX23" s="15"/>
      <c r="AY23" s="15"/>
      <c r="AZ23" s="15"/>
      <c r="BA23" s="15"/>
      <c r="BB23" s="13">
        <f t="shared" si="2"/>
        <v>10</v>
      </c>
    </row>
    <row r="24" spans="1:54" ht="12.75" customHeight="1" x14ac:dyDescent="0.3">
      <c r="A24" s="21"/>
      <c r="B24" s="53"/>
      <c r="C24" s="64"/>
      <c r="D24" s="13" t="s">
        <v>14</v>
      </c>
      <c r="E24" s="13">
        <f t="shared" ref="E24:BA24" si="4">SUM(E22:E23)</f>
        <v>0</v>
      </c>
      <c r="F24" s="13">
        <f t="shared" si="4"/>
        <v>0</v>
      </c>
      <c r="G24" s="13">
        <f t="shared" si="4"/>
        <v>1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1</v>
      </c>
      <c r="O24" s="13">
        <f t="shared" si="4"/>
        <v>0</v>
      </c>
      <c r="P24" s="13">
        <f t="shared" si="4"/>
        <v>1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1</v>
      </c>
      <c r="X24" s="13">
        <f t="shared" si="4"/>
        <v>1</v>
      </c>
      <c r="Y24" s="13">
        <f t="shared" si="4"/>
        <v>0</v>
      </c>
      <c r="Z24" s="13">
        <f t="shared" si="4"/>
        <v>1</v>
      </c>
      <c r="AA24" s="13">
        <f t="shared" si="4"/>
        <v>0</v>
      </c>
      <c r="AB24" s="13">
        <f t="shared" si="4"/>
        <v>0</v>
      </c>
      <c r="AC24" s="13">
        <f t="shared" si="4"/>
        <v>0</v>
      </c>
      <c r="AD24" s="13">
        <f t="shared" si="4"/>
        <v>0</v>
      </c>
      <c r="AE24" s="13">
        <f t="shared" si="4"/>
        <v>0</v>
      </c>
      <c r="AF24" s="13">
        <f t="shared" si="4"/>
        <v>0</v>
      </c>
      <c r="AG24" s="13">
        <f t="shared" si="4"/>
        <v>2</v>
      </c>
      <c r="AH24" s="13">
        <f t="shared" si="4"/>
        <v>0</v>
      </c>
      <c r="AI24" s="13">
        <f t="shared" si="4"/>
        <v>3</v>
      </c>
      <c r="AJ24" s="13">
        <f t="shared" si="4"/>
        <v>0</v>
      </c>
      <c r="AK24" s="13">
        <f t="shared" si="4"/>
        <v>0</v>
      </c>
      <c r="AL24" s="13">
        <f t="shared" si="4"/>
        <v>0</v>
      </c>
      <c r="AM24" s="13">
        <f t="shared" si="4"/>
        <v>0</v>
      </c>
      <c r="AN24" s="13">
        <f t="shared" si="4"/>
        <v>1</v>
      </c>
      <c r="AO24" s="13">
        <f t="shared" si="4"/>
        <v>0</v>
      </c>
      <c r="AP24" s="13">
        <f t="shared" si="4"/>
        <v>0</v>
      </c>
      <c r="AQ24" s="13">
        <f t="shared" si="4"/>
        <v>0</v>
      </c>
      <c r="AR24" s="13">
        <f t="shared" si="4"/>
        <v>1</v>
      </c>
      <c r="AS24" s="13">
        <f t="shared" si="4"/>
        <v>0</v>
      </c>
      <c r="AT24" s="13">
        <f t="shared" si="4"/>
        <v>0</v>
      </c>
      <c r="AU24" s="13">
        <f t="shared" si="4"/>
        <v>2</v>
      </c>
      <c r="AV24" s="13">
        <f t="shared" si="4"/>
        <v>0</v>
      </c>
      <c r="AW24" s="13">
        <f t="shared" si="4"/>
        <v>0</v>
      </c>
      <c r="AX24" s="13">
        <f t="shared" si="4"/>
        <v>0</v>
      </c>
      <c r="AY24" s="13">
        <f t="shared" si="4"/>
        <v>0</v>
      </c>
      <c r="AZ24" s="13">
        <f t="shared" si="4"/>
        <v>0</v>
      </c>
      <c r="BA24" s="13">
        <f t="shared" si="4"/>
        <v>0</v>
      </c>
      <c r="BB24" s="13">
        <f t="shared" si="2"/>
        <v>15</v>
      </c>
    </row>
    <row r="25" spans="1:54" ht="12.75" customHeight="1" x14ac:dyDescent="0.3">
      <c r="A25" s="20"/>
      <c r="B25" s="65" t="s">
        <v>21</v>
      </c>
      <c r="C25" s="62" t="s">
        <v>22</v>
      </c>
      <c r="D25" s="15" t="s">
        <v>12</v>
      </c>
      <c r="E25" s="15"/>
      <c r="F25" s="15"/>
      <c r="G25" s="15"/>
      <c r="H25" s="15"/>
      <c r="I25" s="15"/>
      <c r="J25" s="15">
        <v>1</v>
      </c>
      <c r="K25" s="15">
        <v>1</v>
      </c>
      <c r="L25" s="15">
        <v>7</v>
      </c>
      <c r="M25" s="15">
        <v>1</v>
      </c>
      <c r="N25" s="15"/>
      <c r="O25" s="15"/>
      <c r="P25" s="15"/>
      <c r="Q25" s="15"/>
      <c r="R25" s="15">
        <v>1</v>
      </c>
      <c r="S25" s="15">
        <v>3</v>
      </c>
      <c r="T25" s="15"/>
      <c r="U25" s="15">
        <v>1</v>
      </c>
      <c r="V25" s="15">
        <v>2</v>
      </c>
      <c r="W25" s="15"/>
      <c r="X25" s="15"/>
      <c r="Y25" s="15"/>
      <c r="Z25" s="15">
        <v>3</v>
      </c>
      <c r="AA25" s="15"/>
      <c r="AB25" s="15">
        <v>1</v>
      </c>
      <c r="AC25" s="15"/>
      <c r="AD25" s="15"/>
      <c r="AE25" s="15">
        <v>1</v>
      </c>
      <c r="AF25" s="15"/>
      <c r="AG25" s="15">
        <v>2</v>
      </c>
      <c r="AH25" s="15">
        <v>3</v>
      </c>
      <c r="AI25" s="15">
        <v>1</v>
      </c>
      <c r="AJ25" s="15">
        <v>2</v>
      </c>
      <c r="AK25" s="15">
        <v>1</v>
      </c>
      <c r="AL25" s="15"/>
      <c r="AM25" s="15"/>
      <c r="AN25" s="15">
        <v>1</v>
      </c>
      <c r="AO25" s="15"/>
      <c r="AP25" s="15"/>
      <c r="AQ25" s="15">
        <v>1</v>
      </c>
      <c r="AR25" s="15">
        <v>2</v>
      </c>
      <c r="AS25" s="15">
        <v>2</v>
      </c>
      <c r="AT25" s="15">
        <v>1</v>
      </c>
      <c r="AU25" s="15"/>
      <c r="AV25" s="15"/>
      <c r="AW25" s="15"/>
      <c r="AX25" s="15"/>
      <c r="AY25" s="15"/>
      <c r="AZ25" s="15"/>
      <c r="BA25" s="15">
        <v>1</v>
      </c>
      <c r="BB25" s="13">
        <f t="shared" si="2"/>
        <v>39</v>
      </c>
    </row>
    <row r="26" spans="1:54" ht="12.75" customHeight="1" x14ac:dyDescent="0.3">
      <c r="A26" s="20"/>
      <c r="B26" s="60"/>
      <c r="C26" s="63"/>
      <c r="D26" s="15" t="s">
        <v>13</v>
      </c>
      <c r="E26" s="15"/>
      <c r="F26" s="15"/>
      <c r="G26" s="15"/>
      <c r="H26" s="15"/>
      <c r="I26" s="15"/>
      <c r="J26" s="15">
        <v>1</v>
      </c>
      <c r="K26" s="15">
        <v>1</v>
      </c>
      <c r="L26" s="15">
        <v>5</v>
      </c>
      <c r="M26" s="15">
        <v>1</v>
      </c>
      <c r="N26" s="15"/>
      <c r="O26" s="15">
        <v>1</v>
      </c>
      <c r="P26" s="15"/>
      <c r="Q26" s="15"/>
      <c r="R26" s="15">
        <v>3</v>
      </c>
      <c r="S26" s="15">
        <v>2</v>
      </c>
      <c r="T26" s="15">
        <v>2</v>
      </c>
      <c r="U26" s="15"/>
      <c r="V26" s="15">
        <v>2</v>
      </c>
      <c r="W26" s="15">
        <v>1</v>
      </c>
      <c r="X26" s="15"/>
      <c r="Y26" s="15"/>
      <c r="Z26" s="15">
        <v>5</v>
      </c>
      <c r="AA26" s="15">
        <v>1</v>
      </c>
      <c r="AB26" s="15">
        <v>1</v>
      </c>
      <c r="AC26" s="15"/>
      <c r="AD26" s="15"/>
      <c r="AE26" s="15">
        <v>2</v>
      </c>
      <c r="AF26" s="15"/>
      <c r="AG26" s="15">
        <v>2</v>
      </c>
      <c r="AH26" s="15">
        <v>1</v>
      </c>
      <c r="AI26" s="15">
        <v>2</v>
      </c>
      <c r="AJ26" s="15">
        <v>2</v>
      </c>
      <c r="AK26" s="15">
        <v>2</v>
      </c>
      <c r="AL26" s="15"/>
      <c r="AM26" s="15">
        <v>5</v>
      </c>
      <c r="AN26" s="15">
        <v>1</v>
      </c>
      <c r="AO26" s="15"/>
      <c r="AP26" s="15"/>
      <c r="AQ26" s="15">
        <v>4</v>
      </c>
      <c r="AR26" s="15">
        <v>1</v>
      </c>
      <c r="AS26" s="15">
        <v>2</v>
      </c>
      <c r="AT26" s="15">
        <v>4</v>
      </c>
      <c r="AU26" s="15"/>
      <c r="AV26" s="15"/>
      <c r="AW26" s="15"/>
      <c r="AX26" s="15">
        <v>1</v>
      </c>
      <c r="AY26" s="15"/>
      <c r="AZ26" s="15"/>
      <c r="BA26" s="15">
        <v>2</v>
      </c>
      <c r="BB26" s="13">
        <f t="shared" si="2"/>
        <v>57</v>
      </c>
    </row>
    <row r="27" spans="1:54" ht="12.75" customHeight="1" x14ac:dyDescent="0.3">
      <c r="A27" s="21"/>
      <c r="B27" s="53"/>
      <c r="C27" s="64"/>
      <c r="D27" s="13" t="s">
        <v>14</v>
      </c>
      <c r="E27" s="13">
        <f t="shared" ref="E27:BA27" si="5">SUM(E25:E26)</f>
        <v>0</v>
      </c>
      <c r="F27" s="13">
        <f t="shared" si="5"/>
        <v>0</v>
      </c>
      <c r="G27" s="13">
        <f t="shared" si="5"/>
        <v>0</v>
      </c>
      <c r="H27" s="13">
        <f t="shared" si="5"/>
        <v>0</v>
      </c>
      <c r="I27" s="13">
        <f t="shared" si="5"/>
        <v>0</v>
      </c>
      <c r="J27" s="13">
        <f t="shared" si="5"/>
        <v>2</v>
      </c>
      <c r="K27" s="13">
        <f t="shared" si="5"/>
        <v>2</v>
      </c>
      <c r="L27" s="13">
        <f t="shared" si="5"/>
        <v>12</v>
      </c>
      <c r="M27" s="13">
        <f t="shared" si="5"/>
        <v>2</v>
      </c>
      <c r="N27" s="13">
        <f t="shared" si="5"/>
        <v>0</v>
      </c>
      <c r="O27" s="13">
        <f t="shared" si="5"/>
        <v>1</v>
      </c>
      <c r="P27" s="13">
        <f t="shared" si="5"/>
        <v>0</v>
      </c>
      <c r="Q27" s="13">
        <f t="shared" si="5"/>
        <v>0</v>
      </c>
      <c r="R27" s="13">
        <f t="shared" si="5"/>
        <v>4</v>
      </c>
      <c r="S27" s="13">
        <f t="shared" si="5"/>
        <v>5</v>
      </c>
      <c r="T27" s="13">
        <f t="shared" si="5"/>
        <v>2</v>
      </c>
      <c r="U27" s="13">
        <f t="shared" si="5"/>
        <v>1</v>
      </c>
      <c r="V27" s="13">
        <f t="shared" si="5"/>
        <v>4</v>
      </c>
      <c r="W27" s="13">
        <f t="shared" si="5"/>
        <v>1</v>
      </c>
      <c r="X27" s="13">
        <f t="shared" si="5"/>
        <v>0</v>
      </c>
      <c r="Y27" s="13">
        <f t="shared" si="5"/>
        <v>0</v>
      </c>
      <c r="Z27" s="13">
        <f t="shared" si="5"/>
        <v>8</v>
      </c>
      <c r="AA27" s="13">
        <f t="shared" si="5"/>
        <v>1</v>
      </c>
      <c r="AB27" s="13">
        <f t="shared" si="5"/>
        <v>2</v>
      </c>
      <c r="AC27" s="13">
        <f t="shared" si="5"/>
        <v>0</v>
      </c>
      <c r="AD27" s="13">
        <f t="shared" si="5"/>
        <v>0</v>
      </c>
      <c r="AE27" s="13">
        <f t="shared" si="5"/>
        <v>3</v>
      </c>
      <c r="AF27" s="13">
        <f t="shared" si="5"/>
        <v>0</v>
      </c>
      <c r="AG27" s="13">
        <f t="shared" si="5"/>
        <v>4</v>
      </c>
      <c r="AH27" s="13">
        <f t="shared" si="5"/>
        <v>4</v>
      </c>
      <c r="AI27" s="13">
        <f t="shared" si="5"/>
        <v>3</v>
      </c>
      <c r="AJ27" s="13">
        <f t="shared" si="5"/>
        <v>4</v>
      </c>
      <c r="AK27" s="13">
        <f t="shared" si="5"/>
        <v>3</v>
      </c>
      <c r="AL27" s="13">
        <f t="shared" si="5"/>
        <v>0</v>
      </c>
      <c r="AM27" s="13">
        <f t="shared" si="5"/>
        <v>5</v>
      </c>
      <c r="AN27" s="13">
        <f t="shared" si="5"/>
        <v>2</v>
      </c>
      <c r="AO27" s="13">
        <f t="shared" si="5"/>
        <v>0</v>
      </c>
      <c r="AP27" s="13">
        <f t="shared" si="5"/>
        <v>0</v>
      </c>
      <c r="AQ27" s="13">
        <f t="shared" si="5"/>
        <v>5</v>
      </c>
      <c r="AR27" s="13">
        <f t="shared" si="5"/>
        <v>3</v>
      </c>
      <c r="AS27" s="13">
        <f t="shared" si="5"/>
        <v>4</v>
      </c>
      <c r="AT27" s="13">
        <f t="shared" si="5"/>
        <v>5</v>
      </c>
      <c r="AU27" s="13">
        <f t="shared" si="5"/>
        <v>0</v>
      </c>
      <c r="AV27" s="13">
        <f t="shared" si="5"/>
        <v>0</v>
      </c>
      <c r="AW27" s="13">
        <f t="shared" si="5"/>
        <v>0</v>
      </c>
      <c r="AX27" s="13">
        <f t="shared" si="5"/>
        <v>1</v>
      </c>
      <c r="AY27" s="13">
        <f t="shared" si="5"/>
        <v>0</v>
      </c>
      <c r="AZ27" s="13">
        <f t="shared" si="5"/>
        <v>0</v>
      </c>
      <c r="BA27" s="13">
        <f t="shared" si="5"/>
        <v>3</v>
      </c>
      <c r="BB27" s="13">
        <f t="shared" si="2"/>
        <v>96</v>
      </c>
    </row>
    <row r="28" spans="1:54" ht="12.75" customHeight="1" x14ac:dyDescent="0.3">
      <c r="A28" s="21"/>
      <c r="B28" s="66" t="s">
        <v>23</v>
      </c>
      <c r="C28" s="67" t="s">
        <v>24</v>
      </c>
      <c r="D28" s="13" t="s">
        <v>12</v>
      </c>
      <c r="E28" s="13">
        <f t="shared" ref="E28:BA28" si="6">SUM(E19,E22,E25)</f>
        <v>64</v>
      </c>
      <c r="F28" s="13">
        <f t="shared" si="6"/>
        <v>70</v>
      </c>
      <c r="G28" s="13">
        <f t="shared" si="6"/>
        <v>65</v>
      </c>
      <c r="H28" s="13">
        <f t="shared" si="6"/>
        <v>93</v>
      </c>
      <c r="I28" s="13">
        <f t="shared" si="6"/>
        <v>94</v>
      </c>
      <c r="J28" s="13">
        <f t="shared" si="6"/>
        <v>54</v>
      </c>
      <c r="K28" s="13">
        <f t="shared" si="6"/>
        <v>77</v>
      </c>
      <c r="L28" s="13">
        <f t="shared" si="6"/>
        <v>70</v>
      </c>
      <c r="M28" s="13">
        <f t="shared" si="6"/>
        <v>88</v>
      </c>
      <c r="N28" s="13">
        <f t="shared" si="6"/>
        <v>73</v>
      </c>
      <c r="O28" s="13">
        <f t="shared" si="6"/>
        <v>70</v>
      </c>
      <c r="P28" s="13">
        <f t="shared" si="6"/>
        <v>79</v>
      </c>
      <c r="Q28" s="13">
        <f t="shared" si="6"/>
        <v>91</v>
      </c>
      <c r="R28" s="13">
        <f t="shared" si="6"/>
        <v>61</v>
      </c>
      <c r="S28" s="13">
        <f t="shared" si="6"/>
        <v>91</v>
      </c>
      <c r="T28" s="13">
        <f t="shared" si="6"/>
        <v>87</v>
      </c>
      <c r="U28" s="13">
        <f t="shared" si="6"/>
        <v>73</v>
      </c>
      <c r="V28" s="13">
        <f t="shared" si="6"/>
        <v>83</v>
      </c>
      <c r="W28" s="13">
        <f t="shared" si="6"/>
        <v>79</v>
      </c>
      <c r="X28" s="13">
        <f t="shared" si="6"/>
        <v>70</v>
      </c>
      <c r="Y28" s="13">
        <f t="shared" si="6"/>
        <v>92</v>
      </c>
      <c r="Z28" s="13">
        <f t="shared" si="6"/>
        <v>63</v>
      </c>
      <c r="AA28" s="13">
        <f t="shared" si="6"/>
        <v>52</v>
      </c>
      <c r="AB28" s="13">
        <f t="shared" si="6"/>
        <v>101</v>
      </c>
      <c r="AC28" s="13">
        <f t="shared" si="6"/>
        <v>86</v>
      </c>
      <c r="AD28" s="13">
        <f t="shared" si="6"/>
        <v>88</v>
      </c>
      <c r="AE28" s="13">
        <f t="shared" si="6"/>
        <v>93</v>
      </c>
      <c r="AF28" s="13">
        <f t="shared" si="6"/>
        <v>87</v>
      </c>
      <c r="AG28" s="13">
        <f t="shared" si="6"/>
        <v>79</v>
      </c>
      <c r="AH28" s="13">
        <f t="shared" si="6"/>
        <v>79</v>
      </c>
      <c r="AI28" s="13">
        <f t="shared" si="6"/>
        <v>80</v>
      </c>
      <c r="AJ28" s="13">
        <f t="shared" si="6"/>
        <v>76</v>
      </c>
      <c r="AK28" s="13">
        <f t="shared" si="6"/>
        <v>84</v>
      </c>
      <c r="AL28" s="13">
        <f t="shared" si="6"/>
        <v>63</v>
      </c>
      <c r="AM28" s="13">
        <f t="shared" si="6"/>
        <v>72</v>
      </c>
      <c r="AN28" s="13">
        <f t="shared" si="6"/>
        <v>93</v>
      </c>
      <c r="AO28" s="13">
        <f t="shared" si="6"/>
        <v>65</v>
      </c>
      <c r="AP28" s="13">
        <f t="shared" si="6"/>
        <v>90</v>
      </c>
      <c r="AQ28" s="13">
        <f t="shared" si="6"/>
        <v>78</v>
      </c>
      <c r="AR28" s="13">
        <f t="shared" si="6"/>
        <v>67</v>
      </c>
      <c r="AS28" s="13">
        <f t="shared" si="6"/>
        <v>83</v>
      </c>
      <c r="AT28" s="13">
        <f t="shared" si="6"/>
        <v>80</v>
      </c>
      <c r="AU28" s="13">
        <f t="shared" si="6"/>
        <v>79</v>
      </c>
      <c r="AV28" s="13">
        <f t="shared" si="6"/>
        <v>93</v>
      </c>
      <c r="AW28" s="13">
        <f t="shared" si="6"/>
        <v>97</v>
      </c>
      <c r="AX28" s="13">
        <f t="shared" si="6"/>
        <v>87</v>
      </c>
      <c r="AY28" s="13">
        <f t="shared" si="6"/>
        <v>102</v>
      </c>
      <c r="AZ28" s="13">
        <f t="shared" si="6"/>
        <v>97</v>
      </c>
      <c r="BA28" s="13">
        <f t="shared" si="6"/>
        <v>82</v>
      </c>
      <c r="BB28" s="13">
        <f t="shared" si="2"/>
        <v>3920</v>
      </c>
    </row>
    <row r="29" spans="1:54" ht="12.75" customHeight="1" x14ac:dyDescent="0.3">
      <c r="A29" s="21"/>
      <c r="B29" s="60"/>
      <c r="C29" s="63"/>
      <c r="D29" s="13" t="s">
        <v>13</v>
      </c>
      <c r="E29" s="13">
        <f t="shared" ref="E29:BA29" si="7">SUM(E20,E23,E26)</f>
        <v>96</v>
      </c>
      <c r="F29" s="13">
        <f t="shared" si="7"/>
        <v>74</v>
      </c>
      <c r="G29" s="13">
        <f t="shared" si="7"/>
        <v>72</v>
      </c>
      <c r="H29" s="13">
        <f t="shared" si="7"/>
        <v>103</v>
      </c>
      <c r="I29" s="13">
        <f t="shared" si="7"/>
        <v>93</v>
      </c>
      <c r="J29" s="13">
        <f t="shared" si="7"/>
        <v>75</v>
      </c>
      <c r="K29" s="13">
        <f t="shared" si="7"/>
        <v>80</v>
      </c>
      <c r="L29" s="13">
        <f t="shared" si="7"/>
        <v>69</v>
      </c>
      <c r="M29" s="13">
        <f t="shared" si="7"/>
        <v>90</v>
      </c>
      <c r="N29" s="13">
        <f t="shared" si="7"/>
        <v>89</v>
      </c>
      <c r="O29" s="13">
        <f t="shared" si="7"/>
        <v>79</v>
      </c>
      <c r="P29" s="13">
        <f t="shared" si="7"/>
        <v>84</v>
      </c>
      <c r="Q29" s="13">
        <f t="shared" si="7"/>
        <v>94</v>
      </c>
      <c r="R29" s="13">
        <f t="shared" si="7"/>
        <v>65</v>
      </c>
      <c r="S29" s="13">
        <f t="shared" si="7"/>
        <v>91</v>
      </c>
      <c r="T29" s="13">
        <f t="shared" si="7"/>
        <v>96</v>
      </c>
      <c r="U29" s="13">
        <f t="shared" si="7"/>
        <v>76</v>
      </c>
      <c r="V29" s="13">
        <f t="shared" si="7"/>
        <v>88</v>
      </c>
      <c r="W29" s="13">
        <f t="shared" si="7"/>
        <v>96</v>
      </c>
      <c r="X29" s="13">
        <f t="shared" si="7"/>
        <v>77</v>
      </c>
      <c r="Y29" s="13">
        <f t="shared" si="7"/>
        <v>91</v>
      </c>
      <c r="Z29" s="13">
        <f t="shared" si="7"/>
        <v>78</v>
      </c>
      <c r="AA29" s="13">
        <f t="shared" si="7"/>
        <v>69</v>
      </c>
      <c r="AB29" s="13">
        <f t="shared" si="7"/>
        <v>90</v>
      </c>
      <c r="AC29" s="13">
        <f t="shared" si="7"/>
        <v>89</v>
      </c>
      <c r="AD29" s="13">
        <f t="shared" si="7"/>
        <v>85</v>
      </c>
      <c r="AE29" s="13">
        <f t="shared" si="7"/>
        <v>105</v>
      </c>
      <c r="AF29" s="13">
        <f t="shared" si="7"/>
        <v>92</v>
      </c>
      <c r="AG29" s="13">
        <f t="shared" si="7"/>
        <v>79</v>
      </c>
      <c r="AH29" s="13">
        <f t="shared" si="7"/>
        <v>77</v>
      </c>
      <c r="AI29" s="13">
        <f t="shared" si="7"/>
        <v>81</v>
      </c>
      <c r="AJ29" s="13">
        <f t="shared" si="7"/>
        <v>96</v>
      </c>
      <c r="AK29" s="13">
        <f t="shared" si="7"/>
        <v>76</v>
      </c>
      <c r="AL29" s="13">
        <f t="shared" si="7"/>
        <v>70</v>
      </c>
      <c r="AM29" s="13">
        <f t="shared" si="7"/>
        <v>75</v>
      </c>
      <c r="AN29" s="13">
        <f t="shared" si="7"/>
        <v>92</v>
      </c>
      <c r="AO29" s="13">
        <f t="shared" si="7"/>
        <v>75</v>
      </c>
      <c r="AP29" s="13">
        <f t="shared" si="7"/>
        <v>94</v>
      </c>
      <c r="AQ29" s="13">
        <f t="shared" si="7"/>
        <v>80</v>
      </c>
      <c r="AR29" s="13">
        <f t="shared" si="7"/>
        <v>86</v>
      </c>
      <c r="AS29" s="13">
        <f t="shared" si="7"/>
        <v>83</v>
      </c>
      <c r="AT29" s="13">
        <f t="shared" si="7"/>
        <v>109</v>
      </c>
      <c r="AU29" s="13">
        <f t="shared" si="7"/>
        <v>85</v>
      </c>
      <c r="AV29" s="13">
        <f t="shared" si="7"/>
        <v>103</v>
      </c>
      <c r="AW29" s="13">
        <f t="shared" si="7"/>
        <v>96</v>
      </c>
      <c r="AX29" s="13">
        <f t="shared" si="7"/>
        <v>91</v>
      </c>
      <c r="AY29" s="13">
        <f t="shared" si="7"/>
        <v>109</v>
      </c>
      <c r="AZ29" s="13">
        <f t="shared" si="7"/>
        <v>105</v>
      </c>
      <c r="BA29" s="13">
        <f t="shared" si="7"/>
        <v>95</v>
      </c>
      <c r="BB29" s="13">
        <f t="shared" si="2"/>
        <v>4243</v>
      </c>
    </row>
    <row r="30" spans="1:54" ht="12.75" customHeight="1" x14ac:dyDescent="0.3">
      <c r="A30" s="21"/>
      <c r="B30" s="53"/>
      <c r="C30" s="64"/>
      <c r="D30" s="13" t="s">
        <v>14</v>
      </c>
      <c r="E30" s="13">
        <f t="shared" ref="E30:BA30" si="8">SUM(E28:E29)</f>
        <v>160</v>
      </c>
      <c r="F30" s="13">
        <f t="shared" si="8"/>
        <v>144</v>
      </c>
      <c r="G30" s="13">
        <f t="shared" si="8"/>
        <v>137</v>
      </c>
      <c r="H30" s="13">
        <f t="shared" si="8"/>
        <v>196</v>
      </c>
      <c r="I30" s="13">
        <f t="shared" si="8"/>
        <v>187</v>
      </c>
      <c r="J30" s="13">
        <f t="shared" si="8"/>
        <v>129</v>
      </c>
      <c r="K30" s="13">
        <f t="shared" si="8"/>
        <v>157</v>
      </c>
      <c r="L30" s="13">
        <f t="shared" si="8"/>
        <v>139</v>
      </c>
      <c r="M30" s="13">
        <f t="shared" si="8"/>
        <v>178</v>
      </c>
      <c r="N30" s="13">
        <f t="shared" si="8"/>
        <v>162</v>
      </c>
      <c r="O30" s="13">
        <f t="shared" si="8"/>
        <v>149</v>
      </c>
      <c r="P30" s="13">
        <f t="shared" si="8"/>
        <v>163</v>
      </c>
      <c r="Q30" s="13">
        <f t="shared" si="8"/>
        <v>185</v>
      </c>
      <c r="R30" s="13">
        <f t="shared" si="8"/>
        <v>126</v>
      </c>
      <c r="S30" s="13">
        <f t="shared" si="8"/>
        <v>182</v>
      </c>
      <c r="T30" s="13">
        <f t="shared" si="8"/>
        <v>183</v>
      </c>
      <c r="U30" s="13">
        <f t="shared" si="8"/>
        <v>149</v>
      </c>
      <c r="V30" s="13">
        <f t="shared" si="8"/>
        <v>171</v>
      </c>
      <c r="W30" s="13">
        <f t="shared" si="8"/>
        <v>175</v>
      </c>
      <c r="X30" s="13">
        <f t="shared" si="8"/>
        <v>147</v>
      </c>
      <c r="Y30" s="13">
        <f t="shared" si="8"/>
        <v>183</v>
      </c>
      <c r="Z30" s="13">
        <f t="shared" si="8"/>
        <v>141</v>
      </c>
      <c r="AA30" s="13">
        <f t="shared" si="8"/>
        <v>121</v>
      </c>
      <c r="AB30" s="13">
        <f t="shared" si="8"/>
        <v>191</v>
      </c>
      <c r="AC30" s="13">
        <f t="shared" si="8"/>
        <v>175</v>
      </c>
      <c r="AD30" s="13">
        <f t="shared" si="8"/>
        <v>173</v>
      </c>
      <c r="AE30" s="13">
        <f t="shared" si="8"/>
        <v>198</v>
      </c>
      <c r="AF30" s="13">
        <f t="shared" si="8"/>
        <v>179</v>
      </c>
      <c r="AG30" s="13">
        <f t="shared" si="8"/>
        <v>158</v>
      </c>
      <c r="AH30" s="13">
        <f t="shared" si="8"/>
        <v>156</v>
      </c>
      <c r="AI30" s="13">
        <f t="shared" si="8"/>
        <v>161</v>
      </c>
      <c r="AJ30" s="13">
        <f t="shared" si="8"/>
        <v>172</v>
      </c>
      <c r="AK30" s="13">
        <f t="shared" si="8"/>
        <v>160</v>
      </c>
      <c r="AL30" s="13">
        <f t="shared" si="8"/>
        <v>133</v>
      </c>
      <c r="AM30" s="13">
        <f t="shared" si="8"/>
        <v>147</v>
      </c>
      <c r="AN30" s="13">
        <f t="shared" si="8"/>
        <v>185</v>
      </c>
      <c r="AO30" s="13">
        <f t="shared" si="8"/>
        <v>140</v>
      </c>
      <c r="AP30" s="13">
        <f t="shared" si="8"/>
        <v>184</v>
      </c>
      <c r="AQ30" s="13">
        <f t="shared" si="8"/>
        <v>158</v>
      </c>
      <c r="AR30" s="13">
        <f t="shared" si="8"/>
        <v>153</v>
      </c>
      <c r="AS30" s="13">
        <f t="shared" si="8"/>
        <v>166</v>
      </c>
      <c r="AT30" s="13">
        <f t="shared" si="8"/>
        <v>189</v>
      </c>
      <c r="AU30" s="13">
        <f t="shared" si="8"/>
        <v>164</v>
      </c>
      <c r="AV30" s="13">
        <f t="shared" si="8"/>
        <v>196</v>
      </c>
      <c r="AW30" s="13">
        <f t="shared" si="8"/>
        <v>193</v>
      </c>
      <c r="AX30" s="13">
        <f t="shared" si="8"/>
        <v>178</v>
      </c>
      <c r="AY30" s="13">
        <f t="shared" si="8"/>
        <v>211</v>
      </c>
      <c r="AZ30" s="13">
        <f t="shared" si="8"/>
        <v>202</v>
      </c>
      <c r="BA30" s="13">
        <f t="shared" si="8"/>
        <v>177</v>
      </c>
      <c r="BB30" s="13">
        <f t="shared" si="2"/>
        <v>8163</v>
      </c>
    </row>
    <row r="31" spans="1:54" ht="12.75" customHeight="1" x14ac:dyDescent="0.3">
      <c r="A31" s="61"/>
      <c r="B31" s="46"/>
      <c r="C31" s="46"/>
      <c r="D31" s="47"/>
      <c r="E31" s="15"/>
      <c r="F31" s="15"/>
      <c r="G31" s="15"/>
      <c r="H31" s="15"/>
      <c r="I31" s="15"/>
      <c r="J31" s="15"/>
      <c r="K31" s="15"/>
      <c r="L31" s="15"/>
      <c r="M31" s="15"/>
      <c r="N31" s="41"/>
      <c r="O31" s="15"/>
      <c r="P31" s="15"/>
      <c r="Q31" s="15"/>
      <c r="R31" s="15"/>
      <c r="S31" s="41"/>
      <c r="T31" s="15"/>
      <c r="U31" s="15"/>
      <c r="V31" s="15"/>
      <c r="W31" s="15"/>
      <c r="X31" s="41"/>
      <c r="Y31" s="15"/>
      <c r="Z31" s="15"/>
      <c r="AA31" s="15"/>
      <c r="AB31" s="15"/>
      <c r="AC31" s="41"/>
      <c r="AD31" s="15"/>
      <c r="AE31" s="15"/>
      <c r="AF31" s="15"/>
      <c r="AG31" s="15"/>
      <c r="AH31" s="41"/>
      <c r="AI31" s="15"/>
      <c r="AJ31" s="15"/>
      <c r="AK31" s="15"/>
      <c r="AL31" s="15"/>
      <c r="AM31" s="41"/>
      <c r="AN31" s="15"/>
      <c r="AO31" s="15"/>
      <c r="AP31" s="15"/>
      <c r="AQ31" s="15"/>
      <c r="AR31" s="41"/>
      <c r="AS31" s="15"/>
      <c r="AT31" s="15"/>
      <c r="AU31" s="15"/>
      <c r="AV31" s="15"/>
      <c r="AW31" s="41"/>
      <c r="AX31" s="15"/>
      <c r="AY31" s="15"/>
      <c r="AZ31" s="15"/>
      <c r="BA31" s="15"/>
      <c r="BB31" s="42"/>
    </row>
    <row r="32" spans="1:54" ht="12.75" customHeight="1" x14ac:dyDescent="0.3">
      <c r="A32" s="24" t="s">
        <v>25</v>
      </c>
      <c r="B32" s="49" t="s">
        <v>26</v>
      </c>
      <c r="C32" s="46"/>
      <c r="D32" s="47"/>
      <c r="E32" s="13"/>
      <c r="F32" s="13"/>
      <c r="G32" s="13"/>
      <c r="H32" s="13"/>
      <c r="I32" s="13"/>
      <c r="J32" s="13"/>
      <c r="K32" s="13"/>
      <c r="L32" s="13"/>
      <c r="M32" s="13"/>
      <c r="N32" s="43"/>
      <c r="O32" s="13"/>
      <c r="P32" s="13"/>
      <c r="Q32" s="13"/>
      <c r="R32" s="13"/>
      <c r="S32" s="43"/>
      <c r="T32" s="13"/>
      <c r="U32" s="13"/>
      <c r="V32" s="13"/>
      <c r="W32" s="13"/>
      <c r="X32" s="43"/>
      <c r="Y32" s="13"/>
      <c r="Z32" s="13"/>
      <c r="AA32" s="13"/>
      <c r="AB32" s="13"/>
      <c r="AC32" s="43"/>
      <c r="AD32" s="13"/>
      <c r="AE32" s="13"/>
      <c r="AF32" s="13"/>
      <c r="AG32" s="13"/>
      <c r="AH32" s="43"/>
      <c r="AI32" s="13"/>
      <c r="AJ32" s="13"/>
      <c r="AK32" s="13"/>
      <c r="AL32" s="13"/>
      <c r="AM32" s="43"/>
      <c r="AN32" s="13"/>
      <c r="AO32" s="13"/>
      <c r="AP32" s="13"/>
      <c r="AQ32" s="13"/>
      <c r="AR32" s="43"/>
      <c r="AS32" s="13"/>
      <c r="AT32" s="13"/>
      <c r="AU32" s="13"/>
      <c r="AV32" s="13"/>
      <c r="AW32" s="43"/>
      <c r="AX32" s="13"/>
      <c r="AY32" s="13"/>
      <c r="AZ32" s="13"/>
      <c r="BA32" s="13"/>
      <c r="BB32" s="42"/>
    </row>
    <row r="33" spans="1:54" ht="12.75" customHeight="1" x14ac:dyDescent="0.3">
      <c r="A33" s="15">
        <v>1</v>
      </c>
      <c r="B33" s="56" t="s">
        <v>27</v>
      </c>
      <c r="C33" s="46"/>
      <c r="D33" s="47"/>
      <c r="E33" s="15">
        <v>221</v>
      </c>
      <c r="F33" s="15">
        <v>221</v>
      </c>
      <c r="G33" s="15">
        <v>208</v>
      </c>
      <c r="H33" s="15">
        <v>260</v>
      </c>
      <c r="I33" s="15">
        <v>253</v>
      </c>
      <c r="J33" s="15">
        <v>218</v>
      </c>
      <c r="K33" s="15">
        <v>228</v>
      </c>
      <c r="L33" s="15">
        <v>195</v>
      </c>
      <c r="M33" s="15">
        <v>240</v>
      </c>
      <c r="N33" s="15">
        <v>221</v>
      </c>
      <c r="O33" s="15">
        <v>220</v>
      </c>
      <c r="P33" s="15">
        <v>225</v>
      </c>
      <c r="Q33" s="15">
        <v>246</v>
      </c>
      <c r="R33" s="15">
        <v>171</v>
      </c>
      <c r="S33" s="15">
        <v>225</v>
      </c>
      <c r="T33" s="15">
        <v>233</v>
      </c>
      <c r="U33" s="15">
        <v>212</v>
      </c>
      <c r="V33" s="15">
        <v>245</v>
      </c>
      <c r="W33" s="15">
        <v>247</v>
      </c>
      <c r="X33" s="15">
        <v>201</v>
      </c>
      <c r="Y33" s="15">
        <v>240</v>
      </c>
      <c r="Z33" s="15">
        <v>181</v>
      </c>
      <c r="AA33" s="15">
        <v>178</v>
      </c>
      <c r="AB33" s="15">
        <v>242</v>
      </c>
      <c r="AC33" s="15">
        <v>228</v>
      </c>
      <c r="AD33" s="15">
        <v>232</v>
      </c>
      <c r="AE33" s="15">
        <v>243</v>
      </c>
      <c r="AF33" s="15">
        <v>246</v>
      </c>
      <c r="AG33" s="15">
        <v>209</v>
      </c>
      <c r="AH33" s="15">
        <v>209</v>
      </c>
      <c r="AI33" s="15">
        <v>207</v>
      </c>
      <c r="AJ33" s="15">
        <v>211</v>
      </c>
      <c r="AK33" s="15">
        <v>236</v>
      </c>
      <c r="AL33" s="15">
        <v>244</v>
      </c>
      <c r="AM33" s="15">
        <v>211</v>
      </c>
      <c r="AN33" s="15">
        <v>237</v>
      </c>
      <c r="AO33" s="15">
        <v>215</v>
      </c>
      <c r="AP33" s="15">
        <v>240</v>
      </c>
      <c r="AQ33" s="15">
        <v>207</v>
      </c>
      <c r="AR33" s="15">
        <v>201</v>
      </c>
      <c r="AS33" s="15">
        <v>217</v>
      </c>
      <c r="AT33" s="15">
        <v>257</v>
      </c>
      <c r="AU33" s="15">
        <v>218</v>
      </c>
      <c r="AV33" s="15">
        <v>250</v>
      </c>
      <c r="AW33" s="15">
        <v>270</v>
      </c>
      <c r="AX33" s="15">
        <v>242</v>
      </c>
      <c r="AY33" s="15">
        <v>277</v>
      </c>
      <c r="AZ33" s="15">
        <v>274</v>
      </c>
      <c r="BA33" s="15">
        <v>250</v>
      </c>
      <c r="BB33" s="13">
        <f t="shared" ref="BB33:BB36" si="9">SUM(E33:BA33)</f>
        <v>11162</v>
      </c>
    </row>
    <row r="34" spans="1:54" ht="12.75" customHeight="1" x14ac:dyDescent="0.3">
      <c r="A34" s="15">
        <v>2</v>
      </c>
      <c r="B34" s="56" t="s">
        <v>28</v>
      </c>
      <c r="C34" s="46"/>
      <c r="D34" s="47"/>
      <c r="E34" s="13">
        <v>160</v>
      </c>
      <c r="F34" s="13">
        <v>144</v>
      </c>
      <c r="G34" s="13">
        <v>137</v>
      </c>
      <c r="H34" s="13">
        <v>196</v>
      </c>
      <c r="I34" s="13">
        <v>187</v>
      </c>
      <c r="J34" s="13">
        <v>129</v>
      </c>
      <c r="K34" s="13">
        <v>157</v>
      </c>
      <c r="L34" s="13">
        <v>139</v>
      </c>
      <c r="M34" s="13">
        <v>178</v>
      </c>
      <c r="N34" s="13">
        <v>162</v>
      </c>
      <c r="O34" s="13">
        <v>149</v>
      </c>
      <c r="P34" s="13">
        <v>163</v>
      </c>
      <c r="Q34" s="13">
        <v>185</v>
      </c>
      <c r="R34" s="13">
        <v>126</v>
      </c>
      <c r="S34" s="13">
        <v>182</v>
      </c>
      <c r="T34" s="13">
        <v>183</v>
      </c>
      <c r="U34" s="13">
        <v>149</v>
      </c>
      <c r="V34" s="13">
        <v>171</v>
      </c>
      <c r="W34" s="13">
        <v>175</v>
      </c>
      <c r="X34" s="13">
        <v>147</v>
      </c>
      <c r="Y34" s="13">
        <v>183</v>
      </c>
      <c r="Z34" s="13">
        <v>141</v>
      </c>
      <c r="AA34" s="13">
        <v>121</v>
      </c>
      <c r="AB34" s="13">
        <v>191</v>
      </c>
      <c r="AC34" s="13">
        <v>175</v>
      </c>
      <c r="AD34" s="13">
        <v>173</v>
      </c>
      <c r="AE34" s="13">
        <v>198</v>
      </c>
      <c r="AF34" s="13">
        <v>179</v>
      </c>
      <c r="AG34" s="13">
        <v>158</v>
      </c>
      <c r="AH34" s="13">
        <v>156</v>
      </c>
      <c r="AI34" s="13">
        <v>161</v>
      </c>
      <c r="AJ34" s="13">
        <v>172</v>
      </c>
      <c r="AK34" s="13">
        <v>160</v>
      </c>
      <c r="AL34" s="13">
        <v>133</v>
      </c>
      <c r="AM34" s="13">
        <v>147</v>
      </c>
      <c r="AN34" s="13">
        <v>185</v>
      </c>
      <c r="AO34" s="13">
        <v>140</v>
      </c>
      <c r="AP34" s="13">
        <v>184</v>
      </c>
      <c r="AQ34" s="13">
        <v>158</v>
      </c>
      <c r="AR34" s="13">
        <v>153</v>
      </c>
      <c r="AS34" s="13">
        <v>166</v>
      </c>
      <c r="AT34" s="13">
        <v>189</v>
      </c>
      <c r="AU34" s="13">
        <v>164</v>
      </c>
      <c r="AV34" s="13">
        <v>196</v>
      </c>
      <c r="AW34" s="13">
        <v>193</v>
      </c>
      <c r="AX34" s="13">
        <v>178</v>
      </c>
      <c r="AY34" s="13">
        <v>211</v>
      </c>
      <c r="AZ34" s="13">
        <v>202</v>
      </c>
      <c r="BA34" s="13">
        <v>177</v>
      </c>
      <c r="BB34" s="13">
        <f t="shared" si="9"/>
        <v>8163</v>
      </c>
    </row>
    <row r="35" spans="1:54" ht="12.75" customHeight="1" x14ac:dyDescent="0.3">
      <c r="A35" s="15">
        <v>3</v>
      </c>
      <c r="B35" s="56" t="s">
        <v>29</v>
      </c>
      <c r="C35" s="46"/>
      <c r="D35" s="47"/>
      <c r="E35" s="15"/>
      <c r="F35" s="15">
        <v>1</v>
      </c>
      <c r="G35" s="15"/>
      <c r="H35" s="15"/>
      <c r="I35" s="15"/>
      <c r="J35" s="15"/>
      <c r="K35" s="15"/>
      <c r="L35" s="15">
        <v>1</v>
      </c>
      <c r="M35" s="15">
        <v>1</v>
      </c>
      <c r="N35" s="15"/>
      <c r="O35" s="15"/>
      <c r="P35" s="15"/>
      <c r="Q35" s="15"/>
      <c r="R35" s="15"/>
      <c r="S35" s="15">
        <v>1</v>
      </c>
      <c r="T35" s="15"/>
      <c r="U35" s="15"/>
      <c r="V35" s="15">
        <v>1</v>
      </c>
      <c r="W35" s="15">
        <v>1</v>
      </c>
      <c r="X35" s="15"/>
      <c r="Y35" s="15"/>
      <c r="Z35" s="15"/>
      <c r="AA35" s="15"/>
      <c r="AB35" s="15">
        <v>2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>
        <v>7</v>
      </c>
      <c r="AN35" s="15"/>
      <c r="AO35" s="15"/>
      <c r="AP35" s="15"/>
      <c r="AQ35" s="15"/>
      <c r="AR35" s="15"/>
      <c r="AS35" s="15"/>
      <c r="AT35" s="15"/>
      <c r="AU35" s="15">
        <v>1</v>
      </c>
      <c r="AV35" s="15">
        <v>2</v>
      </c>
      <c r="AW35" s="15"/>
      <c r="AX35" s="15">
        <v>1</v>
      </c>
      <c r="AY35" s="15"/>
      <c r="AZ35" s="15"/>
      <c r="BA35" s="15"/>
      <c r="BB35" s="13">
        <f t="shared" si="9"/>
        <v>19</v>
      </c>
    </row>
    <row r="36" spans="1:54" ht="12.75" customHeight="1" x14ac:dyDescent="0.3">
      <c r="A36" s="15">
        <v>4</v>
      </c>
      <c r="B36" s="56" t="s">
        <v>30</v>
      </c>
      <c r="C36" s="46"/>
      <c r="D36" s="47"/>
      <c r="E36" s="13">
        <f t="shared" ref="E36:BA36" si="10">E33-(E34+E35)</f>
        <v>61</v>
      </c>
      <c r="F36" s="13">
        <f t="shared" si="10"/>
        <v>76</v>
      </c>
      <c r="G36" s="13">
        <f t="shared" si="10"/>
        <v>71</v>
      </c>
      <c r="H36" s="13">
        <f t="shared" si="10"/>
        <v>64</v>
      </c>
      <c r="I36" s="13">
        <f t="shared" si="10"/>
        <v>66</v>
      </c>
      <c r="J36" s="13">
        <f t="shared" si="10"/>
        <v>89</v>
      </c>
      <c r="K36" s="13">
        <f t="shared" si="10"/>
        <v>71</v>
      </c>
      <c r="L36" s="13">
        <f t="shared" si="10"/>
        <v>55</v>
      </c>
      <c r="M36" s="13">
        <f t="shared" si="10"/>
        <v>61</v>
      </c>
      <c r="N36" s="13">
        <f t="shared" si="10"/>
        <v>59</v>
      </c>
      <c r="O36" s="13">
        <f t="shared" si="10"/>
        <v>71</v>
      </c>
      <c r="P36" s="13">
        <f t="shared" si="10"/>
        <v>62</v>
      </c>
      <c r="Q36" s="13">
        <f t="shared" si="10"/>
        <v>61</v>
      </c>
      <c r="R36" s="13">
        <f t="shared" si="10"/>
        <v>45</v>
      </c>
      <c r="S36" s="13">
        <f t="shared" si="10"/>
        <v>42</v>
      </c>
      <c r="T36" s="13">
        <f t="shared" si="10"/>
        <v>50</v>
      </c>
      <c r="U36" s="13">
        <f t="shared" si="10"/>
        <v>63</v>
      </c>
      <c r="V36" s="13">
        <f t="shared" si="10"/>
        <v>73</v>
      </c>
      <c r="W36" s="13">
        <f t="shared" si="10"/>
        <v>71</v>
      </c>
      <c r="X36" s="13">
        <f t="shared" si="10"/>
        <v>54</v>
      </c>
      <c r="Y36" s="13">
        <f t="shared" si="10"/>
        <v>57</v>
      </c>
      <c r="Z36" s="13">
        <f t="shared" si="10"/>
        <v>40</v>
      </c>
      <c r="AA36" s="13">
        <f t="shared" si="10"/>
        <v>57</v>
      </c>
      <c r="AB36" s="13">
        <f t="shared" si="10"/>
        <v>49</v>
      </c>
      <c r="AC36" s="13">
        <f t="shared" si="10"/>
        <v>53</v>
      </c>
      <c r="AD36" s="13">
        <f t="shared" si="10"/>
        <v>59</v>
      </c>
      <c r="AE36" s="13">
        <f t="shared" si="10"/>
        <v>45</v>
      </c>
      <c r="AF36" s="13">
        <f t="shared" si="10"/>
        <v>67</v>
      </c>
      <c r="AG36" s="13">
        <f t="shared" si="10"/>
        <v>51</v>
      </c>
      <c r="AH36" s="13">
        <f t="shared" si="10"/>
        <v>53</v>
      </c>
      <c r="AI36" s="13">
        <f t="shared" si="10"/>
        <v>46</v>
      </c>
      <c r="AJ36" s="13">
        <f t="shared" si="10"/>
        <v>39</v>
      </c>
      <c r="AK36" s="13">
        <f t="shared" si="10"/>
        <v>76</v>
      </c>
      <c r="AL36" s="13">
        <f t="shared" si="10"/>
        <v>111</v>
      </c>
      <c r="AM36" s="13">
        <f t="shared" si="10"/>
        <v>57</v>
      </c>
      <c r="AN36" s="13">
        <f t="shared" si="10"/>
        <v>52</v>
      </c>
      <c r="AO36" s="13">
        <f t="shared" si="10"/>
        <v>75</v>
      </c>
      <c r="AP36" s="13">
        <f t="shared" si="10"/>
        <v>56</v>
      </c>
      <c r="AQ36" s="13">
        <f t="shared" si="10"/>
        <v>49</v>
      </c>
      <c r="AR36" s="13">
        <f t="shared" si="10"/>
        <v>48</v>
      </c>
      <c r="AS36" s="13">
        <f t="shared" si="10"/>
        <v>51</v>
      </c>
      <c r="AT36" s="13">
        <f t="shared" si="10"/>
        <v>68</v>
      </c>
      <c r="AU36" s="13">
        <f t="shared" si="10"/>
        <v>53</v>
      </c>
      <c r="AV36" s="13">
        <f t="shared" si="10"/>
        <v>52</v>
      </c>
      <c r="AW36" s="13">
        <f t="shared" si="10"/>
        <v>77</v>
      </c>
      <c r="AX36" s="13">
        <f t="shared" si="10"/>
        <v>63</v>
      </c>
      <c r="AY36" s="13">
        <f t="shared" si="10"/>
        <v>66</v>
      </c>
      <c r="AZ36" s="13">
        <f t="shared" si="10"/>
        <v>72</v>
      </c>
      <c r="BA36" s="13">
        <f t="shared" si="10"/>
        <v>73</v>
      </c>
      <c r="BB36" s="13">
        <f t="shared" si="9"/>
        <v>2980</v>
      </c>
    </row>
    <row r="37" spans="1:54" ht="12.75" customHeight="1" x14ac:dyDescent="0.3">
      <c r="A37" s="61"/>
      <c r="B37" s="46"/>
      <c r="C37" s="46"/>
      <c r="D37" s="46"/>
      <c r="E37" s="61"/>
      <c r="F37" s="46"/>
      <c r="G37" s="46"/>
      <c r="H37" s="46"/>
      <c r="I37" s="47"/>
      <c r="J37" s="15"/>
      <c r="K37" s="15"/>
      <c r="L37" s="15"/>
      <c r="M37" s="15"/>
      <c r="N37" s="41"/>
      <c r="O37" s="15"/>
      <c r="P37" s="15"/>
      <c r="Q37" s="15"/>
      <c r="R37" s="15"/>
      <c r="S37" s="41"/>
      <c r="T37" s="15"/>
      <c r="U37" s="15"/>
      <c r="V37" s="15"/>
      <c r="W37" s="15"/>
      <c r="X37" s="41"/>
      <c r="Y37" s="15"/>
      <c r="Z37" s="15"/>
      <c r="AA37" s="15"/>
      <c r="AB37" s="15"/>
      <c r="AC37" s="41"/>
      <c r="AD37" s="15"/>
      <c r="AE37" s="15"/>
      <c r="AF37" s="15"/>
      <c r="AG37" s="15"/>
      <c r="AH37" s="41"/>
      <c r="AI37" s="15"/>
      <c r="AJ37" s="15"/>
      <c r="AK37" s="15"/>
      <c r="AL37" s="15"/>
      <c r="AM37" s="41"/>
      <c r="AN37" s="15"/>
      <c r="AO37" s="15"/>
      <c r="AP37" s="15"/>
      <c r="AQ37" s="15"/>
      <c r="AR37" s="41"/>
      <c r="AS37" s="15"/>
      <c r="AT37" s="15"/>
      <c r="AU37" s="15"/>
      <c r="AV37" s="15"/>
      <c r="AW37" s="41"/>
      <c r="AX37" s="15"/>
      <c r="AY37" s="15"/>
      <c r="AZ37" s="15"/>
      <c r="BA37" s="15"/>
      <c r="BB37" s="42"/>
    </row>
    <row r="38" spans="1:54" ht="12.75" customHeight="1" x14ac:dyDescent="0.3">
      <c r="A38" s="25" t="s">
        <v>31</v>
      </c>
      <c r="B38" s="49" t="s">
        <v>32</v>
      </c>
      <c r="C38" s="46"/>
      <c r="D38" s="47"/>
      <c r="E38" s="13"/>
      <c r="F38" s="13"/>
      <c r="G38" s="13"/>
      <c r="H38" s="13"/>
      <c r="I38" s="13"/>
      <c r="J38" s="13"/>
      <c r="K38" s="13"/>
      <c r="L38" s="13"/>
      <c r="M38" s="13"/>
      <c r="N38" s="43"/>
      <c r="O38" s="13"/>
      <c r="P38" s="13"/>
      <c r="Q38" s="13"/>
      <c r="R38" s="13"/>
      <c r="S38" s="43"/>
      <c r="T38" s="13"/>
      <c r="U38" s="13"/>
      <c r="V38" s="13"/>
      <c r="W38" s="13"/>
      <c r="X38" s="43"/>
      <c r="Y38" s="13"/>
      <c r="Z38" s="13"/>
      <c r="AA38" s="13"/>
      <c r="AB38" s="13"/>
      <c r="AC38" s="43"/>
      <c r="AD38" s="13"/>
      <c r="AE38" s="13"/>
      <c r="AF38" s="13"/>
      <c r="AG38" s="13"/>
      <c r="AH38" s="43"/>
      <c r="AI38" s="13"/>
      <c r="AJ38" s="13"/>
      <c r="AK38" s="13"/>
      <c r="AL38" s="13"/>
      <c r="AM38" s="43"/>
      <c r="AN38" s="13"/>
      <c r="AO38" s="13"/>
      <c r="AP38" s="13"/>
      <c r="AQ38" s="13"/>
      <c r="AR38" s="43"/>
      <c r="AS38" s="13"/>
      <c r="AT38" s="13"/>
      <c r="AU38" s="13"/>
      <c r="AV38" s="13"/>
      <c r="AW38" s="43"/>
      <c r="AX38" s="13"/>
      <c r="AY38" s="13"/>
      <c r="AZ38" s="13"/>
      <c r="BA38" s="13"/>
      <c r="BB38" s="42"/>
    </row>
    <row r="39" spans="1:54" ht="12.75" customHeight="1" x14ac:dyDescent="0.3">
      <c r="A39" s="19"/>
      <c r="B39" s="68" t="s">
        <v>33</v>
      </c>
      <c r="C39" s="58"/>
      <c r="D39" s="15" t="s">
        <v>12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>
        <v>1</v>
      </c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3">
        <f t="shared" ref="BB39:BB41" si="11">SUM(E39:BA39)</f>
        <v>1</v>
      </c>
    </row>
    <row r="40" spans="1:54" ht="12.75" customHeight="1" x14ac:dyDescent="0.3">
      <c r="A40" s="20"/>
      <c r="B40" s="69"/>
      <c r="C40" s="60"/>
      <c r="D40" s="15" t="s">
        <v>13</v>
      </c>
      <c r="E40" s="15"/>
      <c r="F40" s="15"/>
      <c r="G40" s="15"/>
      <c r="H40" s="15"/>
      <c r="I40" s="15"/>
      <c r="J40" s="15"/>
      <c r="K40" s="15"/>
      <c r="L40" s="15">
        <v>1</v>
      </c>
      <c r="M40" s="15"/>
      <c r="N40" s="15"/>
      <c r="O40" s="15"/>
      <c r="P40" s="15">
        <v>1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3">
        <f t="shared" si="11"/>
        <v>2</v>
      </c>
    </row>
    <row r="41" spans="1:54" ht="12.75" customHeight="1" x14ac:dyDescent="0.3">
      <c r="A41" s="24"/>
      <c r="B41" s="52"/>
      <c r="C41" s="53"/>
      <c r="D41" s="13" t="s">
        <v>14</v>
      </c>
      <c r="E41" s="13">
        <f t="shared" ref="E41:BA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1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1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0</v>
      </c>
      <c r="W41" s="13">
        <f t="shared" si="12"/>
        <v>0</v>
      </c>
      <c r="X41" s="13">
        <f t="shared" si="12"/>
        <v>0</v>
      </c>
      <c r="Y41" s="13">
        <f t="shared" si="12"/>
        <v>0</v>
      </c>
      <c r="Z41" s="13">
        <f t="shared" si="12"/>
        <v>0</v>
      </c>
      <c r="AA41" s="13">
        <f t="shared" si="12"/>
        <v>0</v>
      </c>
      <c r="AB41" s="13">
        <f t="shared" si="12"/>
        <v>0</v>
      </c>
      <c r="AC41" s="13">
        <f t="shared" si="12"/>
        <v>0</v>
      </c>
      <c r="AD41" s="13">
        <f t="shared" si="12"/>
        <v>0</v>
      </c>
      <c r="AE41" s="13">
        <f t="shared" si="12"/>
        <v>0</v>
      </c>
      <c r="AF41" s="13">
        <f t="shared" si="12"/>
        <v>0</v>
      </c>
      <c r="AG41" s="13">
        <f t="shared" si="12"/>
        <v>0</v>
      </c>
      <c r="AH41" s="13">
        <f t="shared" si="12"/>
        <v>0</v>
      </c>
      <c r="AI41" s="13">
        <f t="shared" si="12"/>
        <v>0</v>
      </c>
      <c r="AJ41" s="13">
        <f t="shared" si="12"/>
        <v>0</v>
      </c>
      <c r="AK41" s="13">
        <f t="shared" si="12"/>
        <v>0</v>
      </c>
      <c r="AL41" s="13">
        <f t="shared" si="12"/>
        <v>0</v>
      </c>
      <c r="AM41" s="13">
        <f t="shared" si="12"/>
        <v>1</v>
      </c>
      <c r="AN41" s="13">
        <f t="shared" si="12"/>
        <v>0</v>
      </c>
      <c r="AO41" s="13">
        <f t="shared" si="12"/>
        <v>0</v>
      </c>
      <c r="AP41" s="13">
        <f t="shared" si="12"/>
        <v>0</v>
      </c>
      <c r="AQ41" s="13">
        <f t="shared" si="12"/>
        <v>0</v>
      </c>
      <c r="AR41" s="13">
        <f t="shared" si="12"/>
        <v>0</v>
      </c>
      <c r="AS41" s="13">
        <f t="shared" si="12"/>
        <v>0</v>
      </c>
      <c r="AT41" s="13">
        <f t="shared" si="12"/>
        <v>0</v>
      </c>
      <c r="AU41" s="13">
        <f t="shared" si="12"/>
        <v>0</v>
      </c>
      <c r="AV41" s="13">
        <f t="shared" si="12"/>
        <v>0</v>
      </c>
      <c r="AW41" s="13">
        <f t="shared" si="12"/>
        <v>0</v>
      </c>
      <c r="AX41" s="13">
        <f t="shared" si="12"/>
        <v>0</v>
      </c>
      <c r="AY41" s="13">
        <f t="shared" si="12"/>
        <v>0</v>
      </c>
      <c r="AZ41" s="13">
        <f t="shared" si="12"/>
        <v>0</v>
      </c>
      <c r="BA41" s="13">
        <f t="shared" si="12"/>
        <v>0</v>
      </c>
      <c r="BB41" s="13">
        <f t="shared" si="11"/>
        <v>3</v>
      </c>
    </row>
    <row r="42" spans="1:54" ht="12.75" customHeight="1" x14ac:dyDescent="0.3">
      <c r="A42" s="51"/>
      <c r="B42" s="52"/>
      <c r="C42" s="52"/>
      <c r="D42" s="53"/>
      <c r="E42" s="61"/>
      <c r="F42" s="46"/>
      <c r="G42" s="46"/>
      <c r="H42" s="46"/>
      <c r="I42" s="47"/>
      <c r="J42" s="15"/>
      <c r="K42" s="15"/>
      <c r="L42" s="15"/>
      <c r="M42" s="15"/>
      <c r="N42" s="41"/>
      <c r="O42" s="15"/>
      <c r="P42" s="15"/>
      <c r="Q42" s="15"/>
      <c r="R42" s="15"/>
      <c r="S42" s="41"/>
      <c r="T42" s="15"/>
      <c r="U42" s="15"/>
      <c r="V42" s="15"/>
      <c r="W42" s="15"/>
      <c r="X42" s="41"/>
      <c r="Y42" s="15"/>
      <c r="Z42" s="15"/>
      <c r="AA42" s="15"/>
      <c r="AB42" s="15"/>
      <c r="AC42" s="41"/>
      <c r="AD42" s="15"/>
      <c r="AE42" s="15"/>
      <c r="AF42" s="15"/>
      <c r="AG42" s="15"/>
      <c r="AH42" s="41"/>
      <c r="AI42" s="15"/>
      <c r="AJ42" s="15"/>
      <c r="AK42" s="15"/>
      <c r="AL42" s="15"/>
      <c r="AM42" s="41"/>
      <c r="AN42" s="15"/>
      <c r="AO42" s="15"/>
      <c r="AP42" s="15"/>
      <c r="AQ42" s="15"/>
      <c r="AR42" s="41"/>
      <c r="AS42" s="15"/>
      <c r="AT42" s="15"/>
      <c r="AU42" s="15"/>
      <c r="AV42" s="15"/>
      <c r="AW42" s="41"/>
      <c r="AX42" s="15"/>
      <c r="AY42" s="15"/>
      <c r="AZ42" s="15"/>
      <c r="BA42" s="15"/>
      <c r="BB42" s="13"/>
    </row>
    <row r="43" spans="1:54" ht="12.75" customHeight="1" x14ac:dyDescent="0.3">
      <c r="A43" s="25" t="s">
        <v>34</v>
      </c>
      <c r="B43" s="49" t="s">
        <v>35</v>
      </c>
      <c r="C43" s="46"/>
      <c r="D43" s="47"/>
      <c r="E43" s="18"/>
      <c r="F43" s="13"/>
      <c r="G43" s="13"/>
      <c r="H43" s="13"/>
      <c r="I43" s="13"/>
      <c r="J43" s="13"/>
      <c r="K43" s="13"/>
      <c r="L43" s="13"/>
      <c r="M43" s="13"/>
      <c r="N43" s="43"/>
      <c r="O43" s="13"/>
      <c r="P43" s="13"/>
      <c r="Q43" s="13"/>
      <c r="R43" s="13"/>
      <c r="S43" s="43"/>
      <c r="T43" s="13"/>
      <c r="U43" s="13"/>
      <c r="V43" s="13"/>
      <c r="W43" s="13"/>
      <c r="X43" s="43"/>
      <c r="Y43" s="13"/>
      <c r="Z43" s="13"/>
      <c r="AA43" s="13"/>
      <c r="AB43" s="13"/>
      <c r="AC43" s="43"/>
      <c r="AD43" s="13"/>
      <c r="AE43" s="13"/>
      <c r="AF43" s="13"/>
      <c r="AG43" s="13"/>
      <c r="AH43" s="43"/>
      <c r="AI43" s="13"/>
      <c r="AJ43" s="13"/>
      <c r="AK43" s="13"/>
      <c r="AL43" s="13"/>
      <c r="AM43" s="43"/>
      <c r="AN43" s="13"/>
      <c r="AO43" s="13"/>
      <c r="AP43" s="13"/>
      <c r="AQ43" s="13"/>
      <c r="AR43" s="43"/>
      <c r="AS43" s="13"/>
      <c r="AT43" s="13"/>
      <c r="AU43" s="13"/>
      <c r="AV43" s="13"/>
      <c r="AW43" s="43"/>
      <c r="AX43" s="13"/>
      <c r="AY43" s="13"/>
      <c r="AZ43" s="13"/>
      <c r="BA43" s="13"/>
      <c r="BB43" s="13"/>
    </row>
    <row r="44" spans="1:54" ht="12.75" customHeight="1" x14ac:dyDescent="0.3">
      <c r="A44" s="68" t="s">
        <v>36</v>
      </c>
      <c r="B44" s="70"/>
      <c r="C44" s="70"/>
      <c r="D44" s="58"/>
      <c r="E44" s="16"/>
      <c r="F44" s="15"/>
      <c r="G44" s="15"/>
      <c r="H44" s="15"/>
      <c r="I44" s="15"/>
      <c r="J44" s="15"/>
      <c r="K44" s="15"/>
      <c r="L44" s="15"/>
      <c r="M44" s="15"/>
      <c r="N44" s="41"/>
      <c r="O44" s="15"/>
      <c r="P44" s="15"/>
      <c r="Q44" s="15"/>
      <c r="R44" s="15"/>
      <c r="S44" s="41"/>
      <c r="T44" s="15"/>
      <c r="U44" s="15"/>
      <c r="V44" s="15"/>
      <c r="W44" s="15"/>
      <c r="X44" s="41"/>
      <c r="Y44" s="15"/>
      <c r="Z44" s="15"/>
      <c r="AA44" s="15"/>
      <c r="AB44" s="15"/>
      <c r="AC44" s="41"/>
      <c r="AD44" s="15"/>
      <c r="AE44" s="15"/>
      <c r="AF44" s="15"/>
      <c r="AG44" s="15"/>
      <c r="AH44" s="41"/>
      <c r="AI44" s="15"/>
      <c r="AJ44" s="15"/>
      <c r="AK44" s="15"/>
      <c r="AL44" s="15"/>
      <c r="AM44" s="41"/>
      <c r="AN44" s="15"/>
      <c r="AO44" s="15"/>
      <c r="AP44" s="15"/>
      <c r="AQ44" s="15"/>
      <c r="AR44" s="41"/>
      <c r="AS44" s="15"/>
      <c r="AT44" s="15"/>
      <c r="AU44" s="15"/>
      <c r="AV44" s="15"/>
      <c r="AW44" s="41"/>
      <c r="AX44" s="15"/>
      <c r="AY44" s="15"/>
      <c r="AZ44" s="15"/>
      <c r="BA44" s="15"/>
      <c r="BB44" s="13"/>
    </row>
    <row r="45" spans="1:54" ht="12.75" customHeight="1" x14ac:dyDescent="0.3">
      <c r="A45" s="19" t="s">
        <v>37</v>
      </c>
      <c r="B45" s="26" t="s">
        <v>17</v>
      </c>
      <c r="C45" s="48" t="s">
        <v>38</v>
      </c>
      <c r="D45" s="47"/>
      <c r="E45" s="15">
        <v>6</v>
      </c>
      <c r="F45" s="15">
        <v>4</v>
      </c>
      <c r="G45" s="15">
        <v>2</v>
      </c>
      <c r="H45" s="15">
        <v>2</v>
      </c>
      <c r="I45" s="15">
        <v>2</v>
      </c>
      <c r="J45" s="15">
        <v>8</v>
      </c>
      <c r="K45" s="15">
        <v>6</v>
      </c>
      <c r="L45" s="15">
        <v>3</v>
      </c>
      <c r="M45" s="15">
        <v>1</v>
      </c>
      <c r="N45" s="15">
        <v>7</v>
      </c>
      <c r="O45" s="15">
        <v>4</v>
      </c>
      <c r="P45" s="15">
        <v>2</v>
      </c>
      <c r="Q45" s="15">
        <v>3</v>
      </c>
      <c r="R45" s="15">
        <v>6</v>
      </c>
      <c r="S45" s="15">
        <v>2</v>
      </c>
      <c r="T45" s="15">
        <v>4</v>
      </c>
      <c r="U45" s="15">
        <v>1</v>
      </c>
      <c r="V45" s="15">
        <v>3</v>
      </c>
      <c r="W45" s="15">
        <v>7</v>
      </c>
      <c r="X45" s="15">
        <v>2</v>
      </c>
      <c r="Y45" s="15">
        <v>6</v>
      </c>
      <c r="Z45" s="15"/>
      <c r="AA45" s="15">
        <v>3</v>
      </c>
      <c r="AB45" s="15">
        <v>5</v>
      </c>
      <c r="AC45" s="15">
        <v>10</v>
      </c>
      <c r="AD45" s="15">
        <v>4</v>
      </c>
      <c r="AE45" s="15">
        <v>4</v>
      </c>
      <c r="AF45" s="15">
        <v>3</v>
      </c>
      <c r="AG45" s="15"/>
      <c r="AH45" s="15">
        <v>1</v>
      </c>
      <c r="AI45" s="15">
        <v>4</v>
      </c>
      <c r="AJ45" s="15">
        <v>2</v>
      </c>
      <c r="AK45" s="15"/>
      <c r="AL45" s="15"/>
      <c r="AM45" s="15">
        <v>4</v>
      </c>
      <c r="AN45" s="15">
        <v>3</v>
      </c>
      <c r="AO45" s="15"/>
      <c r="AP45" s="15">
        <v>2</v>
      </c>
      <c r="AQ45" s="15">
        <v>1</v>
      </c>
      <c r="AR45" s="15">
        <v>3</v>
      </c>
      <c r="AS45" s="15">
        <v>4</v>
      </c>
      <c r="AT45" s="15">
        <v>3</v>
      </c>
      <c r="AU45" s="15">
        <v>4</v>
      </c>
      <c r="AV45" s="15"/>
      <c r="AW45" s="15">
        <v>1</v>
      </c>
      <c r="AX45" s="15">
        <v>5</v>
      </c>
      <c r="AY45" s="15">
        <v>6</v>
      </c>
      <c r="AZ45" s="15">
        <v>4</v>
      </c>
      <c r="BA45" s="15">
        <v>1</v>
      </c>
      <c r="BB45" s="13">
        <f t="shared" ref="BB45:BB192" si="13">SUM(E45:BA45)</f>
        <v>158</v>
      </c>
    </row>
    <row r="46" spans="1:54" ht="12.75" customHeight="1" x14ac:dyDescent="0.3">
      <c r="A46" s="19" t="s">
        <v>39</v>
      </c>
      <c r="B46" s="27"/>
      <c r="C46" s="28" t="s">
        <v>40</v>
      </c>
      <c r="D46" s="29"/>
      <c r="E46" s="15">
        <v>1</v>
      </c>
      <c r="F46" s="15">
        <v>2</v>
      </c>
      <c r="G46" s="15"/>
      <c r="H46" s="15">
        <v>1</v>
      </c>
      <c r="I46" s="15">
        <v>2</v>
      </c>
      <c r="J46" s="15"/>
      <c r="K46" s="15">
        <v>4</v>
      </c>
      <c r="L46" s="15">
        <v>4</v>
      </c>
      <c r="M46" s="15">
        <v>3</v>
      </c>
      <c r="N46" s="15">
        <v>3</v>
      </c>
      <c r="O46" s="15">
        <v>1</v>
      </c>
      <c r="P46" s="15">
        <v>1</v>
      </c>
      <c r="Q46" s="15">
        <v>3</v>
      </c>
      <c r="R46" s="15">
        <v>6</v>
      </c>
      <c r="S46" s="15">
        <v>6</v>
      </c>
      <c r="T46" s="15"/>
      <c r="U46" s="15">
        <v>1</v>
      </c>
      <c r="V46" s="15">
        <v>3</v>
      </c>
      <c r="W46" s="15">
        <v>2</v>
      </c>
      <c r="X46" s="15">
        <v>7</v>
      </c>
      <c r="Y46" s="15">
        <v>10</v>
      </c>
      <c r="Z46" s="15"/>
      <c r="AA46" s="15"/>
      <c r="AB46" s="15">
        <v>3</v>
      </c>
      <c r="AC46" s="15">
        <v>9</v>
      </c>
      <c r="AD46" s="15">
        <v>9</v>
      </c>
      <c r="AE46" s="15">
        <v>2</v>
      </c>
      <c r="AF46" s="15">
        <v>2</v>
      </c>
      <c r="AG46" s="15"/>
      <c r="AH46" s="15">
        <v>5</v>
      </c>
      <c r="AI46" s="15">
        <v>4</v>
      </c>
      <c r="AJ46" s="15"/>
      <c r="AK46" s="15">
        <v>3</v>
      </c>
      <c r="AL46" s="15"/>
      <c r="AM46" s="15">
        <v>1</v>
      </c>
      <c r="AN46" s="15">
        <v>1</v>
      </c>
      <c r="AO46" s="15">
        <v>1</v>
      </c>
      <c r="AP46" s="15">
        <v>2</v>
      </c>
      <c r="AQ46" s="15"/>
      <c r="AR46" s="15">
        <v>1</v>
      </c>
      <c r="AS46" s="15">
        <v>4</v>
      </c>
      <c r="AT46" s="15">
        <v>1</v>
      </c>
      <c r="AU46" s="15">
        <v>1</v>
      </c>
      <c r="AV46" s="15"/>
      <c r="AW46" s="15"/>
      <c r="AX46" s="15"/>
      <c r="AY46" s="15">
        <v>3</v>
      </c>
      <c r="AZ46" s="15">
        <v>4</v>
      </c>
      <c r="BA46" s="15">
        <v>1</v>
      </c>
      <c r="BB46" s="13">
        <f t="shared" si="13"/>
        <v>117</v>
      </c>
    </row>
    <row r="47" spans="1:54" ht="12.75" customHeight="1" x14ac:dyDescent="0.3">
      <c r="A47" s="14"/>
      <c r="B47" s="27"/>
      <c r="C47" s="28" t="s">
        <v>41</v>
      </c>
      <c r="D47" s="29"/>
      <c r="E47" s="15">
        <v>2</v>
      </c>
      <c r="F47" s="15">
        <v>3</v>
      </c>
      <c r="G47" s="15">
        <v>4</v>
      </c>
      <c r="H47" s="15">
        <v>1</v>
      </c>
      <c r="I47" s="15">
        <v>1</v>
      </c>
      <c r="J47" s="15">
        <v>3</v>
      </c>
      <c r="K47" s="15">
        <v>7</v>
      </c>
      <c r="L47" s="15">
        <v>3</v>
      </c>
      <c r="M47" s="15">
        <v>3</v>
      </c>
      <c r="N47" s="15">
        <v>15</v>
      </c>
      <c r="O47" s="15"/>
      <c r="P47" s="15"/>
      <c r="Q47" s="15">
        <v>2</v>
      </c>
      <c r="R47" s="15">
        <v>1</v>
      </c>
      <c r="S47" s="15">
        <v>5</v>
      </c>
      <c r="T47" s="15">
        <v>7</v>
      </c>
      <c r="U47" s="15">
        <v>2</v>
      </c>
      <c r="V47" s="15">
        <v>1</v>
      </c>
      <c r="W47" s="15">
        <v>2</v>
      </c>
      <c r="X47" s="15">
        <v>1</v>
      </c>
      <c r="Y47" s="15">
        <v>1</v>
      </c>
      <c r="Z47" s="15"/>
      <c r="AA47" s="15"/>
      <c r="AB47" s="15">
        <v>2</v>
      </c>
      <c r="AC47" s="15">
        <v>2</v>
      </c>
      <c r="AD47" s="15">
        <v>4</v>
      </c>
      <c r="AE47" s="15"/>
      <c r="AF47" s="15"/>
      <c r="AG47" s="15">
        <v>2</v>
      </c>
      <c r="AH47" s="15">
        <v>2</v>
      </c>
      <c r="AI47" s="15">
        <v>1</v>
      </c>
      <c r="AJ47" s="15">
        <v>2</v>
      </c>
      <c r="AK47" s="15">
        <v>1</v>
      </c>
      <c r="AL47" s="15"/>
      <c r="AM47" s="15">
        <v>3</v>
      </c>
      <c r="AN47" s="15">
        <v>6</v>
      </c>
      <c r="AO47" s="15">
        <v>8</v>
      </c>
      <c r="AP47" s="15">
        <v>8</v>
      </c>
      <c r="AQ47" s="15">
        <v>3</v>
      </c>
      <c r="AR47" s="15">
        <v>2</v>
      </c>
      <c r="AS47" s="15"/>
      <c r="AT47" s="15">
        <v>3</v>
      </c>
      <c r="AU47" s="15"/>
      <c r="AV47" s="15">
        <v>1</v>
      </c>
      <c r="AW47" s="15"/>
      <c r="AX47" s="15">
        <v>1</v>
      </c>
      <c r="AY47" s="15">
        <v>14</v>
      </c>
      <c r="AZ47" s="15">
        <v>12</v>
      </c>
      <c r="BA47" s="15">
        <v>3</v>
      </c>
      <c r="BB47" s="13">
        <f t="shared" si="13"/>
        <v>144</v>
      </c>
    </row>
    <row r="48" spans="1:54" ht="12.75" customHeight="1" x14ac:dyDescent="0.3">
      <c r="A48" s="14"/>
      <c r="B48" s="27"/>
      <c r="C48" s="28" t="s">
        <v>42</v>
      </c>
      <c r="D48" s="29"/>
      <c r="E48" s="15">
        <v>2</v>
      </c>
      <c r="F48" s="15">
        <v>8</v>
      </c>
      <c r="G48" s="15">
        <v>6</v>
      </c>
      <c r="H48" s="15">
        <v>7</v>
      </c>
      <c r="I48" s="15">
        <v>1</v>
      </c>
      <c r="J48" s="15">
        <v>19</v>
      </c>
      <c r="K48" s="15">
        <v>5</v>
      </c>
      <c r="L48" s="15">
        <v>1</v>
      </c>
      <c r="M48" s="15">
        <v>12</v>
      </c>
      <c r="N48" s="15">
        <v>13</v>
      </c>
      <c r="O48" s="15">
        <v>16</v>
      </c>
      <c r="P48" s="15">
        <v>8</v>
      </c>
      <c r="Q48" s="15">
        <v>18</v>
      </c>
      <c r="R48" s="15"/>
      <c r="S48" s="15">
        <v>2</v>
      </c>
      <c r="T48" s="15">
        <v>1</v>
      </c>
      <c r="U48" s="15">
        <v>2</v>
      </c>
      <c r="V48" s="15">
        <v>3</v>
      </c>
      <c r="W48" s="15">
        <v>6</v>
      </c>
      <c r="X48" s="15">
        <v>4</v>
      </c>
      <c r="Y48" s="15">
        <v>5</v>
      </c>
      <c r="Z48" s="15"/>
      <c r="AA48" s="15">
        <v>3</v>
      </c>
      <c r="AB48" s="15">
        <v>11</v>
      </c>
      <c r="AC48" s="15">
        <v>11</v>
      </c>
      <c r="AD48" s="15">
        <v>10</v>
      </c>
      <c r="AE48" s="15">
        <v>9</v>
      </c>
      <c r="AF48" s="15">
        <v>1</v>
      </c>
      <c r="AG48" s="15">
        <v>7</v>
      </c>
      <c r="AH48" s="15">
        <v>15</v>
      </c>
      <c r="AI48" s="15">
        <v>11</v>
      </c>
      <c r="AJ48" s="15">
        <v>2</v>
      </c>
      <c r="AK48" s="15">
        <v>1</v>
      </c>
      <c r="AL48" s="15">
        <v>2</v>
      </c>
      <c r="AM48" s="15">
        <v>3</v>
      </c>
      <c r="AN48" s="15">
        <v>1</v>
      </c>
      <c r="AO48" s="15">
        <v>1</v>
      </c>
      <c r="AP48" s="15">
        <v>9</v>
      </c>
      <c r="AQ48" s="15"/>
      <c r="AR48" s="15">
        <v>3</v>
      </c>
      <c r="AS48" s="15">
        <v>7</v>
      </c>
      <c r="AT48" s="15">
        <v>5</v>
      </c>
      <c r="AU48" s="15">
        <v>12</v>
      </c>
      <c r="AV48" s="15">
        <v>6</v>
      </c>
      <c r="AW48" s="15">
        <v>2</v>
      </c>
      <c r="AX48" s="15">
        <v>3</v>
      </c>
      <c r="AY48" s="15">
        <v>8</v>
      </c>
      <c r="AZ48" s="15">
        <v>2</v>
      </c>
      <c r="BA48" s="15">
        <v>1</v>
      </c>
      <c r="BB48" s="13">
        <f t="shared" si="13"/>
        <v>285</v>
      </c>
    </row>
    <row r="49" spans="1:54" ht="12.75" customHeight="1" x14ac:dyDescent="0.3">
      <c r="A49" s="14"/>
      <c r="B49" s="27"/>
      <c r="C49" s="28" t="s">
        <v>43</v>
      </c>
      <c r="D49" s="29"/>
      <c r="E49" s="15">
        <v>1</v>
      </c>
      <c r="F49" s="15">
        <v>1</v>
      </c>
      <c r="G49" s="15"/>
      <c r="H49" s="15"/>
      <c r="I49" s="15">
        <v>1</v>
      </c>
      <c r="J49" s="15"/>
      <c r="K49" s="15"/>
      <c r="L49" s="15">
        <v>1</v>
      </c>
      <c r="M49" s="15"/>
      <c r="N49" s="15"/>
      <c r="O49" s="15"/>
      <c r="P49" s="15"/>
      <c r="Q49" s="15"/>
      <c r="R49" s="15"/>
      <c r="S49" s="15"/>
      <c r="T49" s="15"/>
      <c r="U49" s="15">
        <v>1</v>
      </c>
      <c r="V49" s="15">
        <v>1</v>
      </c>
      <c r="W49" s="15"/>
      <c r="X49" s="15"/>
      <c r="Y49" s="15">
        <v>2</v>
      </c>
      <c r="Z49" s="15"/>
      <c r="AA49" s="15"/>
      <c r="AB49" s="15"/>
      <c r="AC49" s="15">
        <v>1</v>
      </c>
      <c r="AD49" s="15"/>
      <c r="AE49" s="15">
        <v>1</v>
      </c>
      <c r="AF49" s="15"/>
      <c r="AG49" s="15"/>
      <c r="AH49" s="15"/>
      <c r="AI49" s="15">
        <v>2</v>
      </c>
      <c r="AJ49" s="15"/>
      <c r="AK49" s="15"/>
      <c r="AL49" s="15"/>
      <c r="AM49" s="15">
        <v>1</v>
      </c>
      <c r="AN49" s="15">
        <v>1</v>
      </c>
      <c r="AO49" s="15"/>
      <c r="AP49" s="15">
        <v>1</v>
      </c>
      <c r="AQ49" s="15">
        <v>1</v>
      </c>
      <c r="AR49" s="15">
        <v>1</v>
      </c>
      <c r="AS49" s="15">
        <v>1</v>
      </c>
      <c r="AT49" s="15"/>
      <c r="AU49" s="15">
        <v>1</v>
      </c>
      <c r="AV49" s="15"/>
      <c r="AW49" s="15">
        <v>1</v>
      </c>
      <c r="AX49" s="15"/>
      <c r="AY49" s="15"/>
      <c r="AZ49" s="15"/>
      <c r="BA49" s="15"/>
      <c r="BB49" s="13">
        <f t="shared" si="13"/>
        <v>20</v>
      </c>
    </row>
    <row r="50" spans="1:54" ht="12.75" customHeight="1" x14ac:dyDescent="0.3">
      <c r="A50" s="14"/>
      <c r="B50" s="27"/>
      <c r="C50" s="28" t="s">
        <v>44</v>
      </c>
      <c r="D50" s="29"/>
      <c r="E50" s="15"/>
      <c r="F50" s="15"/>
      <c r="G50" s="15"/>
      <c r="H50" s="15"/>
      <c r="I50" s="15"/>
      <c r="J50" s="15"/>
      <c r="K50" s="15"/>
      <c r="L50" s="15"/>
      <c r="M50" s="15">
        <v>1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>
        <v>1</v>
      </c>
      <c r="AQ50" s="15"/>
      <c r="AR50" s="15"/>
      <c r="AS50" s="15"/>
      <c r="AT50" s="15"/>
      <c r="AU50" s="15">
        <v>1</v>
      </c>
      <c r="AV50" s="15"/>
      <c r="AW50" s="15"/>
      <c r="AX50" s="15"/>
      <c r="AY50" s="15"/>
      <c r="AZ50" s="15"/>
      <c r="BA50" s="15"/>
      <c r="BB50" s="13">
        <f t="shared" si="13"/>
        <v>3</v>
      </c>
    </row>
    <row r="51" spans="1:54" ht="12.75" customHeight="1" x14ac:dyDescent="0.3">
      <c r="A51" s="14"/>
      <c r="B51" s="27"/>
      <c r="C51" s="28" t="s">
        <v>45</v>
      </c>
      <c r="D51" s="29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>
        <v>1</v>
      </c>
      <c r="AJ51" s="15"/>
      <c r="AK51" s="15"/>
      <c r="AL51" s="15"/>
      <c r="AM51" s="15"/>
      <c r="AN51" s="15"/>
      <c r="AO51" s="15"/>
      <c r="AP51" s="15">
        <v>1</v>
      </c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3">
        <f t="shared" si="13"/>
        <v>2</v>
      </c>
    </row>
    <row r="52" spans="1:54" ht="12.75" customHeight="1" x14ac:dyDescent="0.3">
      <c r="A52" s="14"/>
      <c r="B52" s="27"/>
      <c r="C52" s="28" t="s">
        <v>46</v>
      </c>
      <c r="D52" s="29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>
        <v>1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>
        <v>1</v>
      </c>
      <c r="AT52" s="15">
        <v>1</v>
      </c>
      <c r="AU52" s="15"/>
      <c r="AV52" s="15"/>
      <c r="AW52" s="15"/>
      <c r="AX52" s="15"/>
      <c r="AY52" s="15"/>
      <c r="AZ52" s="15"/>
      <c r="BA52" s="15"/>
      <c r="BB52" s="13">
        <f t="shared" si="13"/>
        <v>3</v>
      </c>
    </row>
    <row r="53" spans="1:54" ht="12.75" customHeight="1" x14ac:dyDescent="0.3">
      <c r="A53" s="15" t="s">
        <v>15</v>
      </c>
      <c r="B53" s="45" t="s">
        <v>47</v>
      </c>
      <c r="C53" s="46"/>
      <c r="D53" s="47"/>
      <c r="E53" s="34">
        <f t="shared" ref="E53:BA53" si="14">SUM(E45:E52)</f>
        <v>12</v>
      </c>
      <c r="F53" s="34">
        <f t="shared" si="14"/>
        <v>18</v>
      </c>
      <c r="G53" s="34">
        <f t="shared" si="14"/>
        <v>12</v>
      </c>
      <c r="H53" s="34">
        <f t="shared" si="14"/>
        <v>11</v>
      </c>
      <c r="I53" s="34">
        <f t="shared" si="14"/>
        <v>7</v>
      </c>
      <c r="J53" s="34">
        <f t="shared" si="14"/>
        <v>30</v>
      </c>
      <c r="K53" s="34">
        <f t="shared" si="14"/>
        <v>22</v>
      </c>
      <c r="L53" s="34">
        <f t="shared" si="14"/>
        <v>12</v>
      </c>
      <c r="M53" s="34">
        <f t="shared" si="14"/>
        <v>20</v>
      </c>
      <c r="N53" s="34">
        <f t="shared" si="14"/>
        <v>38</v>
      </c>
      <c r="O53" s="34">
        <f t="shared" si="14"/>
        <v>21</v>
      </c>
      <c r="P53" s="34">
        <f t="shared" si="14"/>
        <v>11</v>
      </c>
      <c r="Q53" s="34">
        <f t="shared" si="14"/>
        <v>26</v>
      </c>
      <c r="R53" s="34">
        <f t="shared" si="14"/>
        <v>13</v>
      </c>
      <c r="S53" s="34">
        <f t="shared" si="14"/>
        <v>15</v>
      </c>
      <c r="T53" s="34">
        <f t="shared" si="14"/>
        <v>12</v>
      </c>
      <c r="U53" s="34">
        <f t="shared" si="14"/>
        <v>7</v>
      </c>
      <c r="V53" s="34">
        <f t="shared" si="14"/>
        <v>11</v>
      </c>
      <c r="W53" s="34">
        <f t="shared" si="14"/>
        <v>17</v>
      </c>
      <c r="X53" s="34">
        <f t="shared" si="14"/>
        <v>14</v>
      </c>
      <c r="Y53" s="34">
        <f t="shared" si="14"/>
        <v>25</v>
      </c>
      <c r="Z53" s="34">
        <f t="shared" si="14"/>
        <v>0</v>
      </c>
      <c r="AA53" s="34">
        <f t="shared" si="14"/>
        <v>6</v>
      </c>
      <c r="AB53" s="34">
        <f t="shared" si="14"/>
        <v>21</v>
      </c>
      <c r="AC53" s="34">
        <f t="shared" si="14"/>
        <v>33</v>
      </c>
      <c r="AD53" s="34">
        <f t="shared" si="14"/>
        <v>27</v>
      </c>
      <c r="AE53" s="34">
        <f t="shared" si="14"/>
        <v>16</v>
      </c>
      <c r="AF53" s="34">
        <f t="shared" si="14"/>
        <v>6</v>
      </c>
      <c r="AG53" s="34">
        <f t="shared" si="14"/>
        <v>9</v>
      </c>
      <c r="AH53" s="34">
        <f t="shared" si="14"/>
        <v>23</v>
      </c>
      <c r="AI53" s="34">
        <f t="shared" si="14"/>
        <v>23</v>
      </c>
      <c r="AJ53" s="34">
        <f t="shared" si="14"/>
        <v>6</v>
      </c>
      <c r="AK53" s="34">
        <f t="shared" si="14"/>
        <v>5</v>
      </c>
      <c r="AL53" s="34">
        <f t="shared" si="14"/>
        <v>2</v>
      </c>
      <c r="AM53" s="34">
        <f t="shared" si="14"/>
        <v>12</v>
      </c>
      <c r="AN53" s="34">
        <f t="shared" si="14"/>
        <v>12</v>
      </c>
      <c r="AO53" s="34">
        <f t="shared" si="14"/>
        <v>10</v>
      </c>
      <c r="AP53" s="34">
        <f t="shared" si="14"/>
        <v>24</v>
      </c>
      <c r="AQ53" s="34">
        <f t="shared" si="14"/>
        <v>5</v>
      </c>
      <c r="AR53" s="34">
        <f t="shared" si="14"/>
        <v>10</v>
      </c>
      <c r="AS53" s="34">
        <f t="shared" si="14"/>
        <v>17</v>
      </c>
      <c r="AT53" s="34">
        <f t="shared" si="14"/>
        <v>13</v>
      </c>
      <c r="AU53" s="34">
        <f t="shared" si="14"/>
        <v>19</v>
      </c>
      <c r="AV53" s="34">
        <f t="shared" si="14"/>
        <v>7</v>
      </c>
      <c r="AW53" s="34">
        <f t="shared" si="14"/>
        <v>4</v>
      </c>
      <c r="AX53" s="34">
        <f t="shared" si="14"/>
        <v>9</v>
      </c>
      <c r="AY53" s="34">
        <f t="shared" si="14"/>
        <v>31</v>
      </c>
      <c r="AZ53" s="34">
        <f t="shared" si="14"/>
        <v>22</v>
      </c>
      <c r="BA53" s="34">
        <f t="shared" si="14"/>
        <v>6</v>
      </c>
      <c r="BB53" s="13">
        <f t="shared" si="13"/>
        <v>732</v>
      </c>
    </row>
    <row r="54" spans="1:54" ht="12.75" customHeight="1" x14ac:dyDescent="0.3">
      <c r="A54" s="35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13">
        <f t="shared" si="13"/>
        <v>0</v>
      </c>
    </row>
    <row r="55" spans="1:54" ht="15" customHeight="1" x14ac:dyDescent="0.3">
      <c r="A55" s="19" t="s">
        <v>37</v>
      </c>
      <c r="B55" s="26" t="s">
        <v>19</v>
      </c>
      <c r="C55" s="48" t="s">
        <v>48</v>
      </c>
      <c r="D55" s="47"/>
      <c r="E55" s="15">
        <v>8</v>
      </c>
      <c r="F55" s="15">
        <v>5</v>
      </c>
      <c r="G55" s="15">
        <v>1</v>
      </c>
      <c r="H55" s="15">
        <v>10</v>
      </c>
      <c r="I55" s="15">
        <v>7</v>
      </c>
      <c r="J55" s="15">
        <v>1</v>
      </c>
      <c r="K55" s="15">
        <v>3</v>
      </c>
      <c r="L55" s="15">
        <v>5</v>
      </c>
      <c r="M55" s="15">
        <v>1</v>
      </c>
      <c r="N55" s="15">
        <v>9</v>
      </c>
      <c r="O55" s="15">
        <v>7</v>
      </c>
      <c r="P55" s="15">
        <v>4</v>
      </c>
      <c r="Q55" s="15">
        <v>3</v>
      </c>
      <c r="R55" s="15">
        <v>5</v>
      </c>
      <c r="S55" s="15">
        <v>3</v>
      </c>
      <c r="T55" s="15">
        <v>1</v>
      </c>
      <c r="U55" s="15">
        <v>5</v>
      </c>
      <c r="V55" s="15">
        <v>2</v>
      </c>
      <c r="W55" s="15">
        <v>9</v>
      </c>
      <c r="X55" s="15">
        <v>1</v>
      </c>
      <c r="Y55" s="15">
        <v>1</v>
      </c>
      <c r="Z55" s="15">
        <v>1</v>
      </c>
      <c r="AA55" s="15">
        <v>4</v>
      </c>
      <c r="AB55" s="15">
        <v>8</v>
      </c>
      <c r="AC55" s="15">
        <v>12</v>
      </c>
      <c r="AD55" s="15">
        <v>12</v>
      </c>
      <c r="AE55" s="15">
        <v>6</v>
      </c>
      <c r="AF55" s="15">
        <v>7</v>
      </c>
      <c r="AG55" s="15">
        <v>6</v>
      </c>
      <c r="AH55" s="15">
        <v>3</v>
      </c>
      <c r="AI55" s="15">
        <v>4</v>
      </c>
      <c r="AJ55" s="15">
        <v>7</v>
      </c>
      <c r="AK55" s="15">
        <v>7</v>
      </c>
      <c r="AL55" s="15">
        <v>3</v>
      </c>
      <c r="AM55" s="15">
        <v>10</v>
      </c>
      <c r="AN55" s="15">
        <v>3</v>
      </c>
      <c r="AO55" s="15">
        <v>4</v>
      </c>
      <c r="AP55" s="15">
        <v>9</v>
      </c>
      <c r="AQ55" s="15">
        <v>3</v>
      </c>
      <c r="AR55" s="15">
        <v>6</v>
      </c>
      <c r="AS55" s="15">
        <v>2</v>
      </c>
      <c r="AT55" s="15">
        <v>1</v>
      </c>
      <c r="AU55" s="15">
        <v>1</v>
      </c>
      <c r="AV55" s="15"/>
      <c r="AW55" s="15">
        <v>9</v>
      </c>
      <c r="AX55" s="15">
        <v>5</v>
      </c>
      <c r="AY55" s="15">
        <v>1</v>
      </c>
      <c r="AZ55" s="15">
        <v>4</v>
      </c>
      <c r="BA55" s="15">
        <v>3</v>
      </c>
      <c r="BB55" s="13">
        <f t="shared" si="13"/>
        <v>232</v>
      </c>
    </row>
    <row r="56" spans="1:54" ht="12.75" customHeight="1" x14ac:dyDescent="0.3">
      <c r="A56" s="19" t="s">
        <v>39</v>
      </c>
      <c r="B56" s="27"/>
      <c r="C56" s="28" t="s">
        <v>49</v>
      </c>
      <c r="D56" s="29"/>
      <c r="E56" s="15"/>
      <c r="F56" s="15"/>
      <c r="G56" s="15"/>
      <c r="H56" s="15">
        <v>5</v>
      </c>
      <c r="I56" s="15">
        <v>3</v>
      </c>
      <c r="J56" s="15">
        <v>1</v>
      </c>
      <c r="K56" s="15">
        <v>7</v>
      </c>
      <c r="L56" s="15"/>
      <c r="M56" s="15">
        <v>2</v>
      </c>
      <c r="N56" s="15">
        <v>5</v>
      </c>
      <c r="O56" s="15">
        <v>5</v>
      </c>
      <c r="P56" s="15">
        <v>5</v>
      </c>
      <c r="Q56" s="15">
        <v>4</v>
      </c>
      <c r="R56" s="15">
        <v>1</v>
      </c>
      <c r="S56" s="15">
        <v>2</v>
      </c>
      <c r="T56" s="15">
        <v>2</v>
      </c>
      <c r="U56" s="15">
        <v>1</v>
      </c>
      <c r="V56" s="15">
        <v>3</v>
      </c>
      <c r="W56" s="15">
        <v>6</v>
      </c>
      <c r="X56" s="15">
        <v>3</v>
      </c>
      <c r="Y56" s="15">
        <v>2</v>
      </c>
      <c r="Z56" s="15">
        <v>1</v>
      </c>
      <c r="AA56" s="15">
        <v>1</v>
      </c>
      <c r="AB56" s="15">
        <v>1</v>
      </c>
      <c r="AC56" s="15">
        <v>6</v>
      </c>
      <c r="AD56" s="15">
        <v>1</v>
      </c>
      <c r="AE56" s="15">
        <v>1</v>
      </c>
      <c r="AF56" s="15">
        <v>4</v>
      </c>
      <c r="AG56" s="15">
        <v>2</v>
      </c>
      <c r="AH56" s="15">
        <v>1</v>
      </c>
      <c r="AI56" s="15"/>
      <c r="AJ56" s="15">
        <v>4</v>
      </c>
      <c r="AK56" s="15">
        <v>4</v>
      </c>
      <c r="AL56" s="15">
        <v>4</v>
      </c>
      <c r="AM56" s="15">
        <v>1</v>
      </c>
      <c r="AN56" s="15">
        <v>1</v>
      </c>
      <c r="AO56" s="15"/>
      <c r="AP56" s="15">
        <v>2</v>
      </c>
      <c r="AQ56" s="15">
        <v>1</v>
      </c>
      <c r="AR56" s="15">
        <v>1</v>
      </c>
      <c r="AS56" s="15">
        <v>2</v>
      </c>
      <c r="AT56" s="15">
        <v>3</v>
      </c>
      <c r="AU56" s="15">
        <v>2</v>
      </c>
      <c r="AV56" s="15">
        <v>2</v>
      </c>
      <c r="AW56" s="15"/>
      <c r="AX56" s="15">
        <v>3</v>
      </c>
      <c r="AY56" s="15">
        <v>1</v>
      </c>
      <c r="AZ56" s="15">
        <v>2</v>
      </c>
      <c r="BA56" s="15">
        <v>1</v>
      </c>
      <c r="BB56" s="13">
        <f t="shared" si="13"/>
        <v>109</v>
      </c>
    </row>
    <row r="57" spans="1:54" ht="12.75" customHeight="1" x14ac:dyDescent="0.3">
      <c r="A57" s="14"/>
      <c r="B57" s="27"/>
      <c r="C57" s="28" t="s">
        <v>50</v>
      </c>
      <c r="D57" s="29"/>
      <c r="E57" s="15">
        <v>2</v>
      </c>
      <c r="F57" s="15">
        <v>1</v>
      </c>
      <c r="G57" s="15">
        <v>1</v>
      </c>
      <c r="H57" s="15">
        <v>5</v>
      </c>
      <c r="I57" s="15"/>
      <c r="J57" s="15">
        <v>8</v>
      </c>
      <c r="K57" s="15">
        <v>2</v>
      </c>
      <c r="L57" s="15">
        <v>1</v>
      </c>
      <c r="M57" s="15">
        <v>1</v>
      </c>
      <c r="N57" s="15">
        <v>9</v>
      </c>
      <c r="O57" s="15">
        <v>2</v>
      </c>
      <c r="P57" s="15">
        <v>2</v>
      </c>
      <c r="Q57" s="15">
        <v>3</v>
      </c>
      <c r="R57" s="15"/>
      <c r="S57" s="15">
        <v>4</v>
      </c>
      <c r="T57" s="15">
        <v>1</v>
      </c>
      <c r="U57" s="15">
        <v>3</v>
      </c>
      <c r="V57" s="15">
        <v>2</v>
      </c>
      <c r="W57" s="15">
        <v>2</v>
      </c>
      <c r="X57" s="15">
        <v>2</v>
      </c>
      <c r="Y57" s="15"/>
      <c r="Z57" s="15">
        <v>3</v>
      </c>
      <c r="AA57" s="15">
        <v>3</v>
      </c>
      <c r="AB57" s="15">
        <v>3</v>
      </c>
      <c r="AC57" s="15">
        <v>1</v>
      </c>
      <c r="AD57" s="15">
        <v>2</v>
      </c>
      <c r="AE57" s="15">
        <v>6</v>
      </c>
      <c r="AF57" s="15"/>
      <c r="AG57" s="15">
        <v>8</v>
      </c>
      <c r="AH57" s="15">
        <v>4</v>
      </c>
      <c r="AI57" s="15">
        <v>3</v>
      </c>
      <c r="AJ57" s="15">
        <v>5</v>
      </c>
      <c r="AK57" s="15">
        <v>4</v>
      </c>
      <c r="AL57" s="15">
        <v>4</v>
      </c>
      <c r="AM57" s="15">
        <v>8</v>
      </c>
      <c r="AN57" s="15">
        <v>1</v>
      </c>
      <c r="AO57" s="15">
        <v>1</v>
      </c>
      <c r="AP57" s="15">
        <v>6</v>
      </c>
      <c r="AQ57" s="15">
        <v>6</v>
      </c>
      <c r="AR57" s="15">
        <v>6</v>
      </c>
      <c r="AS57" s="15">
        <v>3</v>
      </c>
      <c r="AT57" s="15">
        <v>5</v>
      </c>
      <c r="AU57" s="15">
        <v>6</v>
      </c>
      <c r="AV57" s="15"/>
      <c r="AW57" s="15"/>
      <c r="AX57" s="15">
        <v>2</v>
      </c>
      <c r="AY57" s="15"/>
      <c r="AZ57" s="15">
        <v>3</v>
      </c>
      <c r="BA57" s="15">
        <v>2</v>
      </c>
      <c r="BB57" s="13">
        <f t="shared" si="13"/>
        <v>146</v>
      </c>
    </row>
    <row r="58" spans="1:54" ht="12.75" customHeight="1" x14ac:dyDescent="0.3">
      <c r="A58" s="14"/>
      <c r="B58" s="27"/>
      <c r="C58" s="28" t="s">
        <v>51</v>
      </c>
      <c r="D58" s="29"/>
      <c r="E58" s="15"/>
      <c r="F58" s="15"/>
      <c r="G58" s="15"/>
      <c r="H58" s="15">
        <v>2</v>
      </c>
      <c r="I58" s="15"/>
      <c r="J58" s="15">
        <v>2</v>
      </c>
      <c r="K58" s="15"/>
      <c r="L58" s="15"/>
      <c r="M58" s="15">
        <v>1</v>
      </c>
      <c r="N58" s="15">
        <v>1</v>
      </c>
      <c r="O58" s="15"/>
      <c r="P58" s="15">
        <v>1</v>
      </c>
      <c r="Q58" s="15">
        <v>1</v>
      </c>
      <c r="R58" s="15"/>
      <c r="S58" s="15"/>
      <c r="T58" s="15"/>
      <c r="U58" s="15"/>
      <c r="V58" s="15">
        <v>1</v>
      </c>
      <c r="W58" s="15">
        <v>2</v>
      </c>
      <c r="X58" s="15"/>
      <c r="Y58" s="15">
        <v>1</v>
      </c>
      <c r="Z58" s="15">
        <v>1</v>
      </c>
      <c r="AA58" s="15">
        <v>2</v>
      </c>
      <c r="AB58" s="15">
        <v>1</v>
      </c>
      <c r="AC58" s="15">
        <v>2</v>
      </c>
      <c r="AD58" s="15">
        <v>1</v>
      </c>
      <c r="AE58" s="15">
        <v>2</v>
      </c>
      <c r="AF58" s="15"/>
      <c r="AG58" s="15">
        <v>1</v>
      </c>
      <c r="AH58" s="15"/>
      <c r="AI58" s="15"/>
      <c r="AJ58" s="15"/>
      <c r="AK58" s="15">
        <v>1</v>
      </c>
      <c r="AL58" s="15">
        <v>1</v>
      </c>
      <c r="AM58" s="15">
        <v>2</v>
      </c>
      <c r="AN58" s="15">
        <v>2</v>
      </c>
      <c r="AO58" s="15">
        <v>1</v>
      </c>
      <c r="AP58" s="15"/>
      <c r="AQ58" s="15">
        <v>2</v>
      </c>
      <c r="AR58" s="15">
        <v>1</v>
      </c>
      <c r="AS58" s="15"/>
      <c r="AT58" s="15">
        <v>1</v>
      </c>
      <c r="AU58" s="15"/>
      <c r="AV58" s="15"/>
      <c r="AW58" s="15"/>
      <c r="AX58" s="15">
        <v>1</v>
      </c>
      <c r="AY58" s="15"/>
      <c r="AZ58" s="15"/>
      <c r="BA58" s="15"/>
      <c r="BB58" s="13">
        <f t="shared" si="13"/>
        <v>34</v>
      </c>
    </row>
    <row r="59" spans="1:54" ht="12.75" customHeight="1" x14ac:dyDescent="0.3">
      <c r="A59" s="14"/>
      <c r="B59" s="27"/>
      <c r="C59" s="28" t="s">
        <v>52</v>
      </c>
      <c r="D59" s="29"/>
      <c r="E59" s="15"/>
      <c r="F59" s="15"/>
      <c r="G59" s="15"/>
      <c r="H59" s="15">
        <v>3</v>
      </c>
      <c r="I59" s="15"/>
      <c r="J59" s="15">
        <v>3</v>
      </c>
      <c r="K59" s="15">
        <v>1</v>
      </c>
      <c r="L59" s="15"/>
      <c r="M59" s="15"/>
      <c r="N59" s="15"/>
      <c r="O59" s="15">
        <v>1</v>
      </c>
      <c r="P59" s="15"/>
      <c r="Q59" s="15"/>
      <c r="R59" s="15">
        <v>1</v>
      </c>
      <c r="S59" s="15">
        <v>1</v>
      </c>
      <c r="T59" s="15"/>
      <c r="U59" s="15"/>
      <c r="V59" s="15"/>
      <c r="W59" s="15">
        <v>3</v>
      </c>
      <c r="X59" s="15"/>
      <c r="Y59" s="15">
        <v>2</v>
      </c>
      <c r="Z59" s="15">
        <v>1</v>
      </c>
      <c r="AA59" s="15">
        <v>1</v>
      </c>
      <c r="AB59" s="15">
        <v>2</v>
      </c>
      <c r="AC59" s="15">
        <v>3</v>
      </c>
      <c r="AD59" s="15"/>
      <c r="AE59" s="15"/>
      <c r="AF59" s="15"/>
      <c r="AG59" s="15">
        <v>1</v>
      </c>
      <c r="AH59" s="15"/>
      <c r="AI59" s="15"/>
      <c r="AJ59" s="15"/>
      <c r="AK59" s="15">
        <v>1</v>
      </c>
      <c r="AL59" s="15"/>
      <c r="AM59" s="15"/>
      <c r="AN59" s="15"/>
      <c r="AO59" s="15"/>
      <c r="AP59" s="15">
        <v>1</v>
      </c>
      <c r="AQ59" s="15"/>
      <c r="AR59" s="15">
        <v>1</v>
      </c>
      <c r="AS59" s="15"/>
      <c r="AT59" s="15"/>
      <c r="AU59" s="15"/>
      <c r="AV59" s="15"/>
      <c r="AW59" s="15"/>
      <c r="AX59" s="15">
        <v>1</v>
      </c>
      <c r="AY59" s="15"/>
      <c r="AZ59" s="15"/>
      <c r="BA59" s="15">
        <v>1</v>
      </c>
      <c r="BB59" s="13">
        <f t="shared" si="13"/>
        <v>28</v>
      </c>
    </row>
    <row r="60" spans="1:54" ht="12.75" customHeight="1" x14ac:dyDescent="0.3">
      <c r="A60" s="14"/>
      <c r="B60" s="27"/>
      <c r="C60" s="28" t="s">
        <v>53</v>
      </c>
      <c r="D60" s="29"/>
      <c r="E60" s="15">
        <v>1</v>
      </c>
      <c r="F60" s="15"/>
      <c r="G60" s="15">
        <v>1</v>
      </c>
      <c r="H60" s="15">
        <v>6</v>
      </c>
      <c r="I60" s="15">
        <v>1</v>
      </c>
      <c r="J60" s="15">
        <v>2</v>
      </c>
      <c r="K60" s="15">
        <v>2</v>
      </c>
      <c r="L60" s="15"/>
      <c r="M60" s="15">
        <v>7</v>
      </c>
      <c r="N60" s="15">
        <v>14</v>
      </c>
      <c r="O60" s="15">
        <v>2</v>
      </c>
      <c r="P60" s="15">
        <v>3</v>
      </c>
      <c r="Q60" s="15">
        <v>3</v>
      </c>
      <c r="R60" s="15">
        <v>1</v>
      </c>
      <c r="S60" s="15">
        <v>3</v>
      </c>
      <c r="T60" s="15">
        <v>3</v>
      </c>
      <c r="U60" s="15">
        <v>1</v>
      </c>
      <c r="V60" s="15"/>
      <c r="W60" s="15">
        <v>1</v>
      </c>
      <c r="X60" s="15">
        <v>1</v>
      </c>
      <c r="Y60" s="15">
        <v>1</v>
      </c>
      <c r="Z60" s="15">
        <v>2</v>
      </c>
      <c r="AA60" s="15"/>
      <c r="AB60" s="15">
        <v>7</v>
      </c>
      <c r="AC60" s="15">
        <v>11</v>
      </c>
      <c r="AD60" s="15">
        <v>3</v>
      </c>
      <c r="AE60" s="15">
        <v>9</v>
      </c>
      <c r="AF60" s="15">
        <v>3</v>
      </c>
      <c r="AG60" s="15">
        <v>2</v>
      </c>
      <c r="AH60" s="15">
        <v>4</v>
      </c>
      <c r="AI60" s="15">
        <v>5</v>
      </c>
      <c r="AJ60" s="15">
        <v>9</v>
      </c>
      <c r="AK60" s="15"/>
      <c r="AL60" s="15"/>
      <c r="AM60" s="15"/>
      <c r="AN60" s="15">
        <v>1</v>
      </c>
      <c r="AO60" s="15"/>
      <c r="AP60" s="15">
        <v>2</v>
      </c>
      <c r="AQ60" s="15">
        <v>4</v>
      </c>
      <c r="AR60" s="15"/>
      <c r="AS60" s="15"/>
      <c r="AT60" s="15">
        <v>1</v>
      </c>
      <c r="AU60" s="15">
        <v>2</v>
      </c>
      <c r="AV60" s="15"/>
      <c r="AW60" s="15">
        <v>1</v>
      </c>
      <c r="AX60" s="15">
        <v>3</v>
      </c>
      <c r="AY60" s="15"/>
      <c r="AZ60" s="15"/>
      <c r="BA60" s="15">
        <v>2</v>
      </c>
      <c r="BB60" s="13">
        <f t="shared" si="13"/>
        <v>124</v>
      </c>
    </row>
    <row r="61" spans="1:54" ht="12.75" customHeight="1" x14ac:dyDescent="0.3">
      <c r="A61" s="14"/>
      <c r="B61" s="27"/>
      <c r="C61" s="28" t="s">
        <v>54</v>
      </c>
      <c r="D61" s="29"/>
      <c r="E61" s="15"/>
      <c r="F61" s="15"/>
      <c r="G61" s="15"/>
      <c r="H61" s="15"/>
      <c r="I61" s="15"/>
      <c r="J61" s="15"/>
      <c r="K61" s="15">
        <v>1</v>
      </c>
      <c r="L61" s="15">
        <v>1</v>
      </c>
      <c r="M61" s="15"/>
      <c r="N61" s="15"/>
      <c r="O61" s="15"/>
      <c r="P61" s="15">
        <v>1</v>
      </c>
      <c r="Q61" s="15"/>
      <c r="R61" s="15"/>
      <c r="S61" s="15"/>
      <c r="T61" s="15"/>
      <c r="U61" s="15"/>
      <c r="V61" s="15"/>
      <c r="W61" s="15">
        <v>1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>
        <v>2</v>
      </c>
      <c r="AJ61" s="15">
        <v>1</v>
      </c>
      <c r="AK61" s="15"/>
      <c r="AL61" s="15">
        <v>1</v>
      </c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>
        <v>1</v>
      </c>
      <c r="BA61" s="15"/>
      <c r="BB61" s="13">
        <f t="shared" si="13"/>
        <v>9</v>
      </c>
    </row>
    <row r="62" spans="1:54" ht="12.75" customHeight="1" x14ac:dyDescent="0.3">
      <c r="A62" s="14"/>
      <c r="B62" s="27"/>
      <c r="C62" s="28" t="s">
        <v>55</v>
      </c>
      <c r="D62" s="29"/>
      <c r="E62" s="15"/>
      <c r="F62" s="15"/>
      <c r="G62" s="15"/>
      <c r="H62" s="15">
        <v>6</v>
      </c>
      <c r="I62" s="15"/>
      <c r="J62" s="15"/>
      <c r="K62" s="15"/>
      <c r="L62" s="15"/>
      <c r="M62" s="15"/>
      <c r="N62" s="15"/>
      <c r="O62" s="15">
        <v>1</v>
      </c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>
        <v>1</v>
      </c>
      <c r="AG62" s="15"/>
      <c r="AH62" s="15">
        <v>1</v>
      </c>
      <c r="AI62" s="15">
        <v>1</v>
      </c>
      <c r="AJ62" s="15"/>
      <c r="AK62" s="15"/>
      <c r="AL62" s="15"/>
      <c r="AM62" s="15"/>
      <c r="AN62" s="15">
        <v>1</v>
      </c>
      <c r="AO62" s="15"/>
      <c r="AP62" s="15"/>
      <c r="AQ62" s="15">
        <v>5</v>
      </c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3">
        <f t="shared" si="13"/>
        <v>16</v>
      </c>
    </row>
    <row r="63" spans="1:54" ht="12.75" customHeight="1" x14ac:dyDescent="0.3">
      <c r="A63" s="15" t="s">
        <v>15</v>
      </c>
      <c r="B63" s="45" t="s">
        <v>47</v>
      </c>
      <c r="C63" s="46"/>
      <c r="D63" s="47"/>
      <c r="E63" s="34">
        <f t="shared" ref="E63:BA63" si="15">SUM(E55:E62)</f>
        <v>11</v>
      </c>
      <c r="F63" s="34">
        <f t="shared" si="15"/>
        <v>6</v>
      </c>
      <c r="G63" s="34">
        <f t="shared" si="15"/>
        <v>3</v>
      </c>
      <c r="H63" s="34">
        <f t="shared" si="15"/>
        <v>37</v>
      </c>
      <c r="I63" s="34">
        <f t="shared" si="15"/>
        <v>11</v>
      </c>
      <c r="J63" s="34">
        <f t="shared" si="15"/>
        <v>17</v>
      </c>
      <c r="K63" s="34">
        <f t="shared" si="15"/>
        <v>16</v>
      </c>
      <c r="L63" s="34">
        <f t="shared" si="15"/>
        <v>7</v>
      </c>
      <c r="M63" s="34">
        <f t="shared" si="15"/>
        <v>12</v>
      </c>
      <c r="N63" s="34">
        <f t="shared" si="15"/>
        <v>38</v>
      </c>
      <c r="O63" s="34">
        <f t="shared" si="15"/>
        <v>18</v>
      </c>
      <c r="P63" s="34">
        <f t="shared" si="15"/>
        <v>16</v>
      </c>
      <c r="Q63" s="34">
        <f t="shared" si="15"/>
        <v>14</v>
      </c>
      <c r="R63" s="34">
        <f t="shared" si="15"/>
        <v>8</v>
      </c>
      <c r="S63" s="34">
        <f t="shared" si="15"/>
        <v>13</v>
      </c>
      <c r="T63" s="34">
        <f t="shared" si="15"/>
        <v>7</v>
      </c>
      <c r="U63" s="34">
        <f t="shared" si="15"/>
        <v>10</v>
      </c>
      <c r="V63" s="34">
        <f t="shared" si="15"/>
        <v>8</v>
      </c>
      <c r="W63" s="34">
        <f t="shared" si="15"/>
        <v>24</v>
      </c>
      <c r="X63" s="34">
        <f t="shared" si="15"/>
        <v>7</v>
      </c>
      <c r="Y63" s="34">
        <f t="shared" si="15"/>
        <v>7</v>
      </c>
      <c r="Z63" s="34">
        <f t="shared" si="15"/>
        <v>9</v>
      </c>
      <c r="AA63" s="34">
        <f t="shared" si="15"/>
        <v>11</v>
      </c>
      <c r="AB63" s="34">
        <f t="shared" si="15"/>
        <v>22</v>
      </c>
      <c r="AC63" s="34">
        <f t="shared" si="15"/>
        <v>35</v>
      </c>
      <c r="AD63" s="34">
        <f t="shared" si="15"/>
        <v>19</v>
      </c>
      <c r="AE63" s="34">
        <f t="shared" si="15"/>
        <v>24</v>
      </c>
      <c r="AF63" s="34">
        <f t="shared" si="15"/>
        <v>15</v>
      </c>
      <c r="AG63" s="34">
        <f t="shared" si="15"/>
        <v>20</v>
      </c>
      <c r="AH63" s="34">
        <f t="shared" si="15"/>
        <v>13</v>
      </c>
      <c r="AI63" s="34">
        <f t="shared" si="15"/>
        <v>15</v>
      </c>
      <c r="AJ63" s="34">
        <f t="shared" si="15"/>
        <v>26</v>
      </c>
      <c r="AK63" s="34">
        <f t="shared" si="15"/>
        <v>17</v>
      </c>
      <c r="AL63" s="34">
        <f t="shared" si="15"/>
        <v>13</v>
      </c>
      <c r="AM63" s="34">
        <f t="shared" si="15"/>
        <v>21</v>
      </c>
      <c r="AN63" s="34">
        <f t="shared" si="15"/>
        <v>9</v>
      </c>
      <c r="AO63" s="34">
        <f t="shared" si="15"/>
        <v>6</v>
      </c>
      <c r="AP63" s="34">
        <f t="shared" si="15"/>
        <v>20</v>
      </c>
      <c r="AQ63" s="34">
        <f t="shared" si="15"/>
        <v>21</v>
      </c>
      <c r="AR63" s="34">
        <f t="shared" si="15"/>
        <v>15</v>
      </c>
      <c r="AS63" s="34">
        <f t="shared" si="15"/>
        <v>7</v>
      </c>
      <c r="AT63" s="34">
        <f t="shared" si="15"/>
        <v>11</v>
      </c>
      <c r="AU63" s="34">
        <f t="shared" si="15"/>
        <v>11</v>
      </c>
      <c r="AV63" s="34">
        <f t="shared" si="15"/>
        <v>2</v>
      </c>
      <c r="AW63" s="34">
        <f t="shared" si="15"/>
        <v>10</v>
      </c>
      <c r="AX63" s="34">
        <f t="shared" si="15"/>
        <v>15</v>
      </c>
      <c r="AY63" s="34">
        <f t="shared" si="15"/>
        <v>2</v>
      </c>
      <c r="AZ63" s="34">
        <f t="shared" si="15"/>
        <v>10</v>
      </c>
      <c r="BA63" s="34">
        <f t="shared" si="15"/>
        <v>9</v>
      </c>
      <c r="BB63" s="13">
        <f t="shared" si="13"/>
        <v>698</v>
      </c>
    </row>
    <row r="64" spans="1:54" ht="12.75" customHeight="1" x14ac:dyDescent="0.3">
      <c r="A64" s="35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13">
        <f t="shared" si="13"/>
        <v>0</v>
      </c>
    </row>
    <row r="65" spans="1:54" ht="12.75" customHeight="1" x14ac:dyDescent="0.3">
      <c r="A65" s="19" t="s">
        <v>37</v>
      </c>
      <c r="B65" s="26" t="s">
        <v>21</v>
      </c>
      <c r="C65" s="48" t="s">
        <v>56</v>
      </c>
      <c r="D65" s="47"/>
      <c r="E65" s="15">
        <v>2</v>
      </c>
      <c r="F65" s="15">
        <v>1</v>
      </c>
      <c r="G65" s="15">
        <v>2</v>
      </c>
      <c r="H65" s="15">
        <v>9</v>
      </c>
      <c r="I65" s="15">
        <v>3</v>
      </c>
      <c r="J65" s="15">
        <v>6</v>
      </c>
      <c r="K65" s="15">
        <v>7</v>
      </c>
      <c r="L65" s="15">
        <v>1</v>
      </c>
      <c r="M65" s="15">
        <v>6</v>
      </c>
      <c r="N65" s="15">
        <v>6</v>
      </c>
      <c r="O65" s="15">
        <v>13</v>
      </c>
      <c r="P65" s="15">
        <v>6</v>
      </c>
      <c r="Q65" s="15">
        <v>17</v>
      </c>
      <c r="R65" s="15">
        <v>3</v>
      </c>
      <c r="S65" s="15">
        <v>4</v>
      </c>
      <c r="T65" s="15">
        <v>1</v>
      </c>
      <c r="U65" s="15">
        <v>4</v>
      </c>
      <c r="V65" s="15">
        <v>5</v>
      </c>
      <c r="W65" s="15">
        <v>14</v>
      </c>
      <c r="X65" s="15">
        <v>4</v>
      </c>
      <c r="Y65" s="15">
        <v>2</v>
      </c>
      <c r="Z65" s="15">
        <v>5</v>
      </c>
      <c r="AA65" s="15">
        <v>6</v>
      </c>
      <c r="AB65" s="15">
        <v>9</v>
      </c>
      <c r="AC65" s="15">
        <v>7</v>
      </c>
      <c r="AD65" s="15">
        <v>9</v>
      </c>
      <c r="AE65" s="15">
        <v>3</v>
      </c>
      <c r="AF65" s="15">
        <v>2</v>
      </c>
      <c r="AG65" s="15">
        <v>7</v>
      </c>
      <c r="AH65" s="15">
        <v>5</v>
      </c>
      <c r="AI65" s="15">
        <v>6</v>
      </c>
      <c r="AJ65" s="15">
        <v>7</v>
      </c>
      <c r="AK65" s="15">
        <v>8</v>
      </c>
      <c r="AL65" s="15">
        <v>2</v>
      </c>
      <c r="AM65" s="15">
        <v>10</v>
      </c>
      <c r="AN65" s="15"/>
      <c r="AO65" s="15">
        <v>12</v>
      </c>
      <c r="AP65" s="15">
        <v>6</v>
      </c>
      <c r="AQ65" s="15">
        <v>6</v>
      </c>
      <c r="AR65" s="15">
        <v>4</v>
      </c>
      <c r="AS65" s="15">
        <v>1</v>
      </c>
      <c r="AT65" s="15">
        <v>6</v>
      </c>
      <c r="AU65" s="15">
        <v>17</v>
      </c>
      <c r="AV65" s="15">
        <v>1</v>
      </c>
      <c r="AW65" s="15">
        <v>11</v>
      </c>
      <c r="AX65" s="15">
        <v>7</v>
      </c>
      <c r="AY65" s="15">
        <v>14</v>
      </c>
      <c r="AZ65" s="15">
        <v>4</v>
      </c>
      <c r="BA65" s="15">
        <v>4</v>
      </c>
      <c r="BB65" s="13">
        <f t="shared" si="13"/>
        <v>295</v>
      </c>
    </row>
    <row r="66" spans="1:54" ht="12.75" customHeight="1" x14ac:dyDescent="0.3">
      <c r="A66" s="19" t="s">
        <v>39</v>
      </c>
      <c r="B66" s="27"/>
      <c r="C66" s="28" t="s">
        <v>57</v>
      </c>
      <c r="D66" s="29"/>
      <c r="E66" s="15"/>
      <c r="F66" s="15">
        <v>1</v>
      </c>
      <c r="G66" s="15">
        <v>1</v>
      </c>
      <c r="H66" s="15">
        <v>6</v>
      </c>
      <c r="I66" s="15">
        <v>16</v>
      </c>
      <c r="J66" s="15">
        <v>10</v>
      </c>
      <c r="K66" s="15"/>
      <c r="L66" s="15">
        <v>1</v>
      </c>
      <c r="M66" s="15">
        <v>2</v>
      </c>
      <c r="N66" s="15">
        <v>14</v>
      </c>
      <c r="O66" s="15">
        <v>20</v>
      </c>
      <c r="P66" s="15">
        <v>32</v>
      </c>
      <c r="Q66" s="15">
        <v>10</v>
      </c>
      <c r="R66" s="15">
        <v>2</v>
      </c>
      <c r="S66" s="15">
        <v>3</v>
      </c>
      <c r="T66" s="15">
        <v>6</v>
      </c>
      <c r="U66" s="15">
        <v>25</v>
      </c>
      <c r="V66" s="15">
        <v>5</v>
      </c>
      <c r="W66" s="15">
        <v>13</v>
      </c>
      <c r="X66" s="15">
        <v>2</v>
      </c>
      <c r="Y66" s="15"/>
      <c r="Z66" s="15">
        <v>9</v>
      </c>
      <c r="AA66" s="15">
        <v>4</v>
      </c>
      <c r="AB66" s="15">
        <v>18</v>
      </c>
      <c r="AC66" s="15">
        <v>8</v>
      </c>
      <c r="AD66" s="15">
        <v>14</v>
      </c>
      <c r="AE66" s="15">
        <v>12</v>
      </c>
      <c r="AF66" s="15">
        <v>1</v>
      </c>
      <c r="AG66" s="15">
        <v>1</v>
      </c>
      <c r="AH66" s="15">
        <v>7</v>
      </c>
      <c r="AI66" s="15">
        <v>15</v>
      </c>
      <c r="AJ66" s="15">
        <v>8</v>
      </c>
      <c r="AK66" s="15">
        <v>8</v>
      </c>
      <c r="AL66" s="15">
        <v>3</v>
      </c>
      <c r="AM66" s="15">
        <v>9</v>
      </c>
      <c r="AN66" s="15">
        <v>3</v>
      </c>
      <c r="AO66" s="15">
        <v>39</v>
      </c>
      <c r="AP66" s="15">
        <v>13</v>
      </c>
      <c r="AQ66" s="15">
        <v>13</v>
      </c>
      <c r="AR66" s="15">
        <v>18</v>
      </c>
      <c r="AS66" s="15">
        <v>2</v>
      </c>
      <c r="AT66" s="15">
        <v>10</v>
      </c>
      <c r="AU66" s="15">
        <v>35</v>
      </c>
      <c r="AV66" s="15">
        <v>7</v>
      </c>
      <c r="AW66" s="15">
        <v>15</v>
      </c>
      <c r="AX66" s="15">
        <v>15</v>
      </c>
      <c r="AY66" s="15">
        <v>38</v>
      </c>
      <c r="AZ66" s="15">
        <v>33</v>
      </c>
      <c r="BA66" s="15">
        <v>33</v>
      </c>
      <c r="BB66" s="13">
        <f t="shared" si="13"/>
        <v>560</v>
      </c>
    </row>
    <row r="67" spans="1:54" ht="15" customHeight="1" x14ac:dyDescent="0.3">
      <c r="A67" s="14"/>
      <c r="B67" s="27"/>
      <c r="C67" s="28" t="s">
        <v>58</v>
      </c>
      <c r="D67" s="29"/>
      <c r="E67" s="15">
        <v>1</v>
      </c>
      <c r="F67" s="15"/>
      <c r="G67" s="15">
        <v>2</v>
      </c>
      <c r="H67" s="15"/>
      <c r="I67" s="15"/>
      <c r="J67" s="15">
        <v>3</v>
      </c>
      <c r="K67" s="15"/>
      <c r="L67" s="15"/>
      <c r="M67" s="15"/>
      <c r="N67" s="15"/>
      <c r="O67" s="15"/>
      <c r="P67" s="15"/>
      <c r="Q67" s="15">
        <v>1</v>
      </c>
      <c r="R67" s="15"/>
      <c r="S67" s="15">
        <v>1</v>
      </c>
      <c r="T67" s="15"/>
      <c r="U67" s="15"/>
      <c r="V67" s="15">
        <v>1</v>
      </c>
      <c r="W67" s="15"/>
      <c r="X67" s="15"/>
      <c r="Y67" s="15"/>
      <c r="Z67" s="15"/>
      <c r="AA67" s="15"/>
      <c r="AB67" s="15"/>
      <c r="AC67" s="15">
        <v>1</v>
      </c>
      <c r="AD67" s="15"/>
      <c r="AE67" s="15"/>
      <c r="AF67" s="15"/>
      <c r="AG67" s="15"/>
      <c r="AH67" s="15">
        <v>1</v>
      </c>
      <c r="AI67" s="15"/>
      <c r="AJ67" s="15"/>
      <c r="AK67" s="15">
        <v>1</v>
      </c>
      <c r="AL67" s="15">
        <v>1</v>
      </c>
      <c r="AM67" s="15">
        <v>1</v>
      </c>
      <c r="AN67" s="15"/>
      <c r="AO67" s="15"/>
      <c r="AP67" s="15">
        <v>1</v>
      </c>
      <c r="AQ67" s="15">
        <v>1</v>
      </c>
      <c r="AR67" s="15"/>
      <c r="AS67" s="15"/>
      <c r="AT67" s="15">
        <v>1</v>
      </c>
      <c r="AU67" s="15">
        <v>1</v>
      </c>
      <c r="AV67" s="15"/>
      <c r="AW67" s="15"/>
      <c r="AX67" s="15"/>
      <c r="AY67" s="15"/>
      <c r="AZ67" s="15"/>
      <c r="BA67" s="15"/>
      <c r="BB67" s="13">
        <f t="shared" si="13"/>
        <v>18</v>
      </c>
    </row>
    <row r="68" spans="1:54" ht="12.75" customHeight="1" x14ac:dyDescent="0.3">
      <c r="A68" s="14"/>
      <c r="B68" s="27"/>
      <c r="C68" s="28" t="s">
        <v>59</v>
      </c>
      <c r="D68" s="29"/>
      <c r="E68" s="15"/>
      <c r="F68" s="15">
        <v>1</v>
      </c>
      <c r="G68" s="15">
        <v>1</v>
      </c>
      <c r="H68" s="15"/>
      <c r="I68" s="15"/>
      <c r="J68" s="15">
        <v>1</v>
      </c>
      <c r="K68" s="15">
        <v>1</v>
      </c>
      <c r="L68" s="15">
        <v>2</v>
      </c>
      <c r="M68" s="15">
        <v>1</v>
      </c>
      <c r="N68" s="15"/>
      <c r="O68" s="15"/>
      <c r="P68" s="15"/>
      <c r="Q68" s="15">
        <v>1</v>
      </c>
      <c r="R68" s="15"/>
      <c r="S68" s="15"/>
      <c r="T68" s="15"/>
      <c r="U68" s="15"/>
      <c r="V68" s="15"/>
      <c r="W68" s="15">
        <v>1</v>
      </c>
      <c r="X68" s="15"/>
      <c r="Y68" s="15">
        <v>1</v>
      </c>
      <c r="Z68" s="15">
        <v>1</v>
      </c>
      <c r="AA68" s="15"/>
      <c r="AB68" s="15"/>
      <c r="AC68" s="15">
        <v>2</v>
      </c>
      <c r="AD68" s="15">
        <v>1</v>
      </c>
      <c r="AE68" s="15">
        <v>1</v>
      </c>
      <c r="AF68" s="15"/>
      <c r="AG68" s="15">
        <v>1</v>
      </c>
      <c r="AH68" s="15">
        <v>1</v>
      </c>
      <c r="AI68" s="15"/>
      <c r="AJ68" s="15"/>
      <c r="AK68" s="15"/>
      <c r="AL68" s="15">
        <v>1</v>
      </c>
      <c r="AM68" s="15">
        <v>3</v>
      </c>
      <c r="AN68" s="15">
        <v>1</v>
      </c>
      <c r="AO68" s="15">
        <v>2</v>
      </c>
      <c r="AP68" s="15"/>
      <c r="AQ68" s="15">
        <v>1</v>
      </c>
      <c r="AR68" s="15"/>
      <c r="AS68" s="15"/>
      <c r="AT68" s="15">
        <v>1</v>
      </c>
      <c r="AU68" s="15">
        <v>1</v>
      </c>
      <c r="AV68" s="15"/>
      <c r="AW68" s="15">
        <v>1</v>
      </c>
      <c r="AX68" s="15"/>
      <c r="AY68" s="15">
        <v>1</v>
      </c>
      <c r="AZ68" s="15">
        <v>1</v>
      </c>
      <c r="BA68" s="15"/>
      <c r="BB68" s="13">
        <f t="shared" si="13"/>
        <v>30</v>
      </c>
    </row>
    <row r="69" spans="1:54" ht="12.75" customHeight="1" x14ac:dyDescent="0.3">
      <c r="A69" s="14"/>
      <c r="B69" s="27"/>
      <c r="C69" s="28" t="s">
        <v>60</v>
      </c>
      <c r="D69" s="29"/>
      <c r="E69" s="15"/>
      <c r="F69" s="15">
        <v>2</v>
      </c>
      <c r="G69" s="15">
        <v>2</v>
      </c>
      <c r="H69" s="15"/>
      <c r="I69" s="15"/>
      <c r="J69" s="15"/>
      <c r="K69" s="15">
        <v>1</v>
      </c>
      <c r="L69" s="15"/>
      <c r="M69" s="15"/>
      <c r="N69" s="15">
        <v>2</v>
      </c>
      <c r="O69" s="15"/>
      <c r="P69" s="15">
        <v>1</v>
      </c>
      <c r="Q69" s="15">
        <v>3</v>
      </c>
      <c r="R69" s="15">
        <v>1</v>
      </c>
      <c r="S69" s="15">
        <v>2</v>
      </c>
      <c r="T69" s="15"/>
      <c r="U69" s="15">
        <v>3</v>
      </c>
      <c r="V69" s="15">
        <v>2</v>
      </c>
      <c r="W69" s="15">
        <v>1</v>
      </c>
      <c r="X69" s="15">
        <v>1</v>
      </c>
      <c r="Y69" s="15">
        <v>1</v>
      </c>
      <c r="Z69" s="15">
        <v>2</v>
      </c>
      <c r="AA69" s="15">
        <v>2</v>
      </c>
      <c r="AB69" s="15"/>
      <c r="AC69" s="15">
        <v>2</v>
      </c>
      <c r="AD69" s="15">
        <v>3</v>
      </c>
      <c r="AE69" s="15">
        <v>7</v>
      </c>
      <c r="AF69" s="15"/>
      <c r="AG69" s="15"/>
      <c r="AH69" s="15">
        <v>3</v>
      </c>
      <c r="AI69" s="15"/>
      <c r="AJ69" s="15">
        <v>1</v>
      </c>
      <c r="AK69" s="15">
        <v>1</v>
      </c>
      <c r="AL69" s="15"/>
      <c r="AM69" s="15">
        <v>4</v>
      </c>
      <c r="AN69" s="15">
        <v>2</v>
      </c>
      <c r="AO69" s="15">
        <v>1</v>
      </c>
      <c r="AP69" s="15"/>
      <c r="AQ69" s="15">
        <v>1</v>
      </c>
      <c r="AR69" s="15">
        <v>3</v>
      </c>
      <c r="AS69" s="15"/>
      <c r="AT69" s="15">
        <v>1</v>
      </c>
      <c r="AU69" s="15">
        <v>1</v>
      </c>
      <c r="AV69" s="15"/>
      <c r="AW69" s="15">
        <v>1</v>
      </c>
      <c r="AX69" s="15">
        <v>1</v>
      </c>
      <c r="AY69" s="15">
        <v>2</v>
      </c>
      <c r="AZ69" s="15"/>
      <c r="BA69" s="15">
        <v>1</v>
      </c>
      <c r="BB69" s="13">
        <f t="shared" si="13"/>
        <v>61</v>
      </c>
    </row>
    <row r="70" spans="1:54" ht="12.75" customHeight="1" x14ac:dyDescent="0.3">
      <c r="A70" s="14"/>
      <c r="B70" s="27"/>
      <c r="C70" s="28" t="s">
        <v>61</v>
      </c>
      <c r="D70" s="29"/>
      <c r="E70" s="15"/>
      <c r="F70" s="15"/>
      <c r="G70" s="15"/>
      <c r="H70" s="15">
        <v>2</v>
      </c>
      <c r="I70" s="15"/>
      <c r="J70" s="15"/>
      <c r="K70" s="15"/>
      <c r="L70" s="15">
        <v>1</v>
      </c>
      <c r="M70" s="15"/>
      <c r="N70" s="15"/>
      <c r="O70" s="15"/>
      <c r="P70" s="15"/>
      <c r="Q70" s="15"/>
      <c r="R70" s="15"/>
      <c r="S70" s="15"/>
      <c r="T70" s="15"/>
      <c r="U70" s="15">
        <v>1</v>
      </c>
      <c r="V70" s="15"/>
      <c r="W70" s="15">
        <v>2</v>
      </c>
      <c r="X70" s="15">
        <v>1</v>
      </c>
      <c r="Y70" s="15"/>
      <c r="Z70" s="15">
        <v>1</v>
      </c>
      <c r="AA70" s="15"/>
      <c r="AB70" s="15"/>
      <c r="AC70" s="15"/>
      <c r="AD70" s="15"/>
      <c r="AE70" s="15"/>
      <c r="AF70" s="15">
        <v>1</v>
      </c>
      <c r="AG70" s="15"/>
      <c r="AH70" s="15"/>
      <c r="AI70" s="15"/>
      <c r="AJ70" s="15">
        <v>1</v>
      </c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>
        <v>35</v>
      </c>
      <c r="AX70" s="15">
        <v>4</v>
      </c>
      <c r="AY70" s="15">
        <v>1</v>
      </c>
      <c r="AZ70" s="15"/>
      <c r="BA70" s="15"/>
      <c r="BB70" s="13">
        <f t="shared" si="13"/>
        <v>50</v>
      </c>
    </row>
    <row r="71" spans="1:54" ht="12.75" customHeight="1" x14ac:dyDescent="0.3">
      <c r="A71" s="14"/>
      <c r="B71" s="27"/>
      <c r="C71" s="28" t="s">
        <v>62</v>
      </c>
      <c r="D71" s="29"/>
      <c r="E71" s="15"/>
      <c r="F71" s="15"/>
      <c r="G71" s="15"/>
      <c r="H71" s="15"/>
      <c r="I71" s="15"/>
      <c r="J71" s="15"/>
      <c r="K71" s="15">
        <v>1</v>
      </c>
      <c r="L71" s="15"/>
      <c r="M71" s="15"/>
      <c r="N71" s="15"/>
      <c r="O71" s="15"/>
      <c r="P71" s="15">
        <v>1</v>
      </c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>
        <v>1</v>
      </c>
      <c r="AC71" s="15"/>
      <c r="AD71" s="15">
        <v>1</v>
      </c>
      <c r="AE71" s="15"/>
      <c r="AF71" s="15"/>
      <c r="AG71" s="15"/>
      <c r="AH71" s="15"/>
      <c r="AI71" s="15"/>
      <c r="AJ71" s="15"/>
      <c r="AK71" s="15"/>
      <c r="AL71" s="15"/>
      <c r="AM71" s="15">
        <v>1</v>
      </c>
      <c r="AN71" s="15"/>
      <c r="AO71" s="15"/>
      <c r="AP71" s="15"/>
      <c r="AQ71" s="15"/>
      <c r="AR71" s="15"/>
      <c r="AS71" s="15"/>
      <c r="AT71" s="15"/>
      <c r="AU71" s="15"/>
      <c r="AV71" s="15"/>
      <c r="AW71" s="15">
        <v>1</v>
      </c>
      <c r="AX71" s="15"/>
      <c r="AY71" s="15"/>
      <c r="AZ71" s="15"/>
      <c r="BA71" s="15"/>
      <c r="BB71" s="13">
        <f t="shared" si="13"/>
        <v>6</v>
      </c>
    </row>
    <row r="72" spans="1:54" ht="12.75" customHeight="1" x14ac:dyDescent="0.3">
      <c r="A72" s="14"/>
      <c r="B72" s="27"/>
      <c r="C72" s="28" t="s">
        <v>63</v>
      </c>
      <c r="D72" s="29"/>
      <c r="E72" s="15"/>
      <c r="F72" s="15"/>
      <c r="G72" s="15"/>
      <c r="H72" s="15"/>
      <c r="I72" s="15"/>
      <c r="J72" s="15"/>
      <c r="K72" s="15"/>
      <c r="L72" s="15"/>
      <c r="M72" s="15"/>
      <c r="N72" s="15">
        <v>2</v>
      </c>
      <c r="O72" s="15">
        <v>1</v>
      </c>
      <c r="P72" s="15">
        <v>2</v>
      </c>
      <c r="Q72" s="15">
        <v>1</v>
      </c>
      <c r="R72" s="15">
        <v>1</v>
      </c>
      <c r="S72" s="15"/>
      <c r="T72" s="15"/>
      <c r="U72" s="15">
        <v>1</v>
      </c>
      <c r="V72" s="15">
        <v>1</v>
      </c>
      <c r="W72" s="15"/>
      <c r="X72" s="15"/>
      <c r="Y72" s="15"/>
      <c r="Z72" s="15"/>
      <c r="AA72" s="15">
        <v>1</v>
      </c>
      <c r="AB72" s="15"/>
      <c r="AC72" s="15">
        <v>1</v>
      </c>
      <c r="AD72" s="15"/>
      <c r="AE72" s="15"/>
      <c r="AF72" s="15"/>
      <c r="AG72" s="15"/>
      <c r="AH72" s="15">
        <v>1</v>
      </c>
      <c r="AI72" s="15">
        <v>1</v>
      </c>
      <c r="AJ72" s="15"/>
      <c r="AK72" s="15">
        <v>1</v>
      </c>
      <c r="AL72" s="15"/>
      <c r="AM72" s="15">
        <v>1</v>
      </c>
      <c r="AN72" s="15"/>
      <c r="AO72" s="15"/>
      <c r="AP72" s="15"/>
      <c r="AQ72" s="15"/>
      <c r="AR72" s="15"/>
      <c r="AS72" s="15"/>
      <c r="AT72" s="15"/>
      <c r="AU72" s="15">
        <v>1</v>
      </c>
      <c r="AV72" s="15"/>
      <c r="AW72" s="15">
        <v>1</v>
      </c>
      <c r="AX72" s="15">
        <v>2</v>
      </c>
      <c r="AY72" s="15">
        <v>1</v>
      </c>
      <c r="AZ72" s="15"/>
      <c r="BA72" s="15"/>
      <c r="BB72" s="13">
        <f t="shared" si="13"/>
        <v>20</v>
      </c>
    </row>
    <row r="73" spans="1:54" ht="12.75" customHeight="1" x14ac:dyDescent="0.3">
      <c r="A73" s="15" t="s">
        <v>15</v>
      </c>
      <c r="B73" s="45" t="s">
        <v>47</v>
      </c>
      <c r="C73" s="46"/>
      <c r="D73" s="47"/>
      <c r="E73" s="34">
        <f t="shared" ref="E73:BA73" si="16">SUM(E65:E72)</f>
        <v>3</v>
      </c>
      <c r="F73" s="34">
        <f t="shared" si="16"/>
        <v>5</v>
      </c>
      <c r="G73" s="34">
        <f t="shared" si="16"/>
        <v>8</v>
      </c>
      <c r="H73" s="34">
        <f t="shared" si="16"/>
        <v>17</v>
      </c>
      <c r="I73" s="34">
        <f t="shared" si="16"/>
        <v>19</v>
      </c>
      <c r="J73" s="34">
        <f t="shared" si="16"/>
        <v>20</v>
      </c>
      <c r="K73" s="34">
        <f t="shared" si="16"/>
        <v>10</v>
      </c>
      <c r="L73" s="34">
        <f t="shared" si="16"/>
        <v>5</v>
      </c>
      <c r="M73" s="34">
        <f t="shared" si="16"/>
        <v>9</v>
      </c>
      <c r="N73" s="34">
        <f t="shared" si="16"/>
        <v>24</v>
      </c>
      <c r="O73" s="34">
        <f t="shared" si="16"/>
        <v>34</v>
      </c>
      <c r="P73" s="34">
        <f t="shared" si="16"/>
        <v>42</v>
      </c>
      <c r="Q73" s="34">
        <f t="shared" si="16"/>
        <v>33</v>
      </c>
      <c r="R73" s="34">
        <f t="shared" si="16"/>
        <v>7</v>
      </c>
      <c r="S73" s="34">
        <f t="shared" si="16"/>
        <v>10</v>
      </c>
      <c r="T73" s="34">
        <f t="shared" si="16"/>
        <v>7</v>
      </c>
      <c r="U73" s="34">
        <f t="shared" si="16"/>
        <v>34</v>
      </c>
      <c r="V73" s="34">
        <f t="shared" si="16"/>
        <v>14</v>
      </c>
      <c r="W73" s="34">
        <f t="shared" si="16"/>
        <v>31</v>
      </c>
      <c r="X73" s="34">
        <f t="shared" si="16"/>
        <v>8</v>
      </c>
      <c r="Y73" s="34">
        <f t="shared" si="16"/>
        <v>4</v>
      </c>
      <c r="Z73" s="34">
        <f t="shared" si="16"/>
        <v>18</v>
      </c>
      <c r="AA73" s="34">
        <f t="shared" si="16"/>
        <v>13</v>
      </c>
      <c r="AB73" s="34">
        <f t="shared" si="16"/>
        <v>28</v>
      </c>
      <c r="AC73" s="34">
        <f t="shared" si="16"/>
        <v>21</v>
      </c>
      <c r="AD73" s="34">
        <f t="shared" si="16"/>
        <v>28</v>
      </c>
      <c r="AE73" s="34">
        <f t="shared" si="16"/>
        <v>23</v>
      </c>
      <c r="AF73" s="34">
        <f t="shared" si="16"/>
        <v>4</v>
      </c>
      <c r="AG73" s="34">
        <f t="shared" si="16"/>
        <v>9</v>
      </c>
      <c r="AH73" s="34">
        <f t="shared" si="16"/>
        <v>18</v>
      </c>
      <c r="AI73" s="34">
        <f t="shared" si="16"/>
        <v>22</v>
      </c>
      <c r="AJ73" s="34">
        <f t="shared" si="16"/>
        <v>17</v>
      </c>
      <c r="AK73" s="34">
        <f t="shared" si="16"/>
        <v>19</v>
      </c>
      <c r="AL73" s="34">
        <f t="shared" si="16"/>
        <v>7</v>
      </c>
      <c r="AM73" s="34">
        <f t="shared" si="16"/>
        <v>29</v>
      </c>
      <c r="AN73" s="34">
        <f t="shared" si="16"/>
        <v>6</v>
      </c>
      <c r="AO73" s="34">
        <f t="shared" si="16"/>
        <v>54</v>
      </c>
      <c r="AP73" s="34">
        <f t="shared" si="16"/>
        <v>20</v>
      </c>
      <c r="AQ73" s="34">
        <f t="shared" si="16"/>
        <v>22</v>
      </c>
      <c r="AR73" s="34">
        <f t="shared" si="16"/>
        <v>25</v>
      </c>
      <c r="AS73" s="34">
        <f t="shared" si="16"/>
        <v>3</v>
      </c>
      <c r="AT73" s="34">
        <f t="shared" si="16"/>
        <v>19</v>
      </c>
      <c r="AU73" s="34">
        <f t="shared" si="16"/>
        <v>56</v>
      </c>
      <c r="AV73" s="34">
        <f t="shared" si="16"/>
        <v>8</v>
      </c>
      <c r="AW73" s="34">
        <f t="shared" si="16"/>
        <v>65</v>
      </c>
      <c r="AX73" s="34">
        <f t="shared" si="16"/>
        <v>29</v>
      </c>
      <c r="AY73" s="34">
        <f t="shared" si="16"/>
        <v>57</v>
      </c>
      <c r="AZ73" s="34">
        <f t="shared" si="16"/>
        <v>38</v>
      </c>
      <c r="BA73" s="34">
        <f t="shared" si="16"/>
        <v>38</v>
      </c>
      <c r="BB73" s="13">
        <f t="shared" si="13"/>
        <v>1040</v>
      </c>
    </row>
    <row r="74" spans="1:54" ht="12.75" customHeight="1" x14ac:dyDescent="0.3">
      <c r="A74" s="35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13">
        <f t="shared" si="13"/>
        <v>0</v>
      </c>
    </row>
    <row r="75" spans="1:54" ht="12.75" customHeight="1" x14ac:dyDescent="0.3">
      <c r="A75" s="19" t="s">
        <v>37</v>
      </c>
      <c r="B75" s="26" t="s">
        <v>23</v>
      </c>
      <c r="C75" s="48" t="s">
        <v>64</v>
      </c>
      <c r="D75" s="47"/>
      <c r="E75" s="15">
        <v>16</v>
      </c>
      <c r="F75" s="15">
        <v>18</v>
      </c>
      <c r="G75" s="15">
        <v>11</v>
      </c>
      <c r="H75" s="15">
        <v>18</v>
      </c>
      <c r="I75" s="15">
        <v>22</v>
      </c>
      <c r="J75" s="15">
        <v>4</v>
      </c>
      <c r="K75" s="15">
        <v>13</v>
      </c>
      <c r="L75" s="15">
        <v>11</v>
      </c>
      <c r="M75" s="15">
        <v>13</v>
      </c>
      <c r="N75" s="15">
        <v>1</v>
      </c>
      <c r="O75" s="15">
        <v>9</v>
      </c>
      <c r="P75" s="15">
        <v>9</v>
      </c>
      <c r="Q75" s="15">
        <v>11</v>
      </c>
      <c r="R75" s="15">
        <v>14</v>
      </c>
      <c r="S75" s="15">
        <v>5</v>
      </c>
      <c r="T75" s="15">
        <v>17</v>
      </c>
      <c r="U75" s="15">
        <v>11</v>
      </c>
      <c r="V75" s="15">
        <v>10</v>
      </c>
      <c r="W75" s="15">
        <v>12</v>
      </c>
      <c r="X75" s="15">
        <v>6</v>
      </c>
      <c r="Y75" s="15">
        <v>15</v>
      </c>
      <c r="Z75" s="15">
        <v>14</v>
      </c>
      <c r="AA75" s="15">
        <v>9</v>
      </c>
      <c r="AB75" s="15">
        <v>9</v>
      </c>
      <c r="AC75" s="15">
        <v>3</v>
      </c>
      <c r="AD75" s="15">
        <v>5</v>
      </c>
      <c r="AE75" s="15">
        <v>5</v>
      </c>
      <c r="AF75" s="15">
        <v>4</v>
      </c>
      <c r="AG75" s="15">
        <v>5</v>
      </c>
      <c r="AH75" s="15">
        <v>5</v>
      </c>
      <c r="AI75" s="15">
        <v>5</v>
      </c>
      <c r="AJ75" s="15">
        <v>1</v>
      </c>
      <c r="AK75" s="15">
        <v>3</v>
      </c>
      <c r="AL75" s="15">
        <v>12</v>
      </c>
      <c r="AM75" s="15">
        <v>4</v>
      </c>
      <c r="AN75" s="15"/>
      <c r="AO75" s="15">
        <v>5</v>
      </c>
      <c r="AP75" s="15">
        <v>13</v>
      </c>
      <c r="AQ75" s="15">
        <v>7</v>
      </c>
      <c r="AR75" s="15">
        <v>9</v>
      </c>
      <c r="AS75" s="15">
        <v>17</v>
      </c>
      <c r="AT75" s="15">
        <v>10</v>
      </c>
      <c r="AU75" s="15">
        <v>7</v>
      </c>
      <c r="AV75" s="15">
        <v>2</v>
      </c>
      <c r="AW75" s="15">
        <v>5</v>
      </c>
      <c r="AX75" s="15">
        <v>7</v>
      </c>
      <c r="AY75" s="15">
        <v>10</v>
      </c>
      <c r="AZ75" s="15">
        <v>13</v>
      </c>
      <c r="BA75" s="15">
        <v>12</v>
      </c>
      <c r="BB75" s="13">
        <f t="shared" si="13"/>
        <v>447</v>
      </c>
    </row>
    <row r="76" spans="1:54" ht="12.75" customHeight="1" x14ac:dyDescent="0.3">
      <c r="A76" s="19" t="s">
        <v>39</v>
      </c>
      <c r="B76" s="27"/>
      <c r="C76" s="28" t="s">
        <v>65</v>
      </c>
      <c r="D76" s="29"/>
      <c r="E76" s="15">
        <v>87</v>
      </c>
      <c r="F76" s="15">
        <v>52</v>
      </c>
      <c r="G76" s="15">
        <v>74</v>
      </c>
      <c r="H76" s="15">
        <v>78</v>
      </c>
      <c r="I76" s="15">
        <v>79</v>
      </c>
      <c r="J76" s="15">
        <v>16</v>
      </c>
      <c r="K76" s="15">
        <v>64</v>
      </c>
      <c r="L76" s="15">
        <v>64</v>
      </c>
      <c r="M76" s="15">
        <v>98</v>
      </c>
      <c r="N76" s="15">
        <v>28</v>
      </c>
      <c r="O76" s="15">
        <v>47</v>
      </c>
      <c r="P76" s="15">
        <v>67</v>
      </c>
      <c r="Q76" s="15">
        <v>72</v>
      </c>
      <c r="R76" s="15">
        <v>65</v>
      </c>
      <c r="S76" s="15">
        <v>105</v>
      </c>
      <c r="T76" s="15">
        <v>117</v>
      </c>
      <c r="U76" s="15">
        <v>60</v>
      </c>
      <c r="V76" s="15">
        <v>81</v>
      </c>
      <c r="W76" s="15">
        <v>58</v>
      </c>
      <c r="X76" s="15">
        <v>92</v>
      </c>
      <c r="Y76" s="15">
        <v>110</v>
      </c>
      <c r="Z76" s="15">
        <v>73</v>
      </c>
      <c r="AA76" s="15">
        <v>53</v>
      </c>
      <c r="AB76" s="15">
        <v>39</v>
      </c>
      <c r="AC76" s="15">
        <v>21</v>
      </c>
      <c r="AD76" s="15">
        <v>29</v>
      </c>
      <c r="AE76" s="15">
        <v>23</v>
      </c>
      <c r="AF76" s="15">
        <v>15</v>
      </c>
      <c r="AG76" s="15">
        <v>6</v>
      </c>
      <c r="AH76" s="15">
        <v>13</v>
      </c>
      <c r="AI76" s="15">
        <v>30</v>
      </c>
      <c r="AJ76" s="15">
        <v>12</v>
      </c>
      <c r="AK76" s="15">
        <v>16</v>
      </c>
      <c r="AL76" s="15">
        <v>16</v>
      </c>
      <c r="AM76" s="15">
        <v>11</v>
      </c>
      <c r="AN76" s="15">
        <v>13</v>
      </c>
      <c r="AO76" s="15">
        <v>21</v>
      </c>
      <c r="AP76" s="15">
        <v>59</v>
      </c>
      <c r="AQ76" s="15">
        <v>20</v>
      </c>
      <c r="AR76" s="15">
        <v>44</v>
      </c>
      <c r="AS76" s="15">
        <v>94</v>
      </c>
      <c r="AT76" s="15">
        <v>87</v>
      </c>
      <c r="AU76" s="15">
        <v>37</v>
      </c>
      <c r="AV76" s="15">
        <v>148</v>
      </c>
      <c r="AW76" s="15">
        <v>14</v>
      </c>
      <c r="AX76" s="15">
        <v>27</v>
      </c>
      <c r="AY76" s="15">
        <v>68</v>
      </c>
      <c r="AZ76" s="15">
        <v>77</v>
      </c>
      <c r="BA76" s="15">
        <v>66</v>
      </c>
      <c r="BB76" s="13">
        <f t="shared" si="13"/>
        <v>2646</v>
      </c>
    </row>
    <row r="77" spans="1:54" ht="12.75" customHeight="1" x14ac:dyDescent="0.3">
      <c r="A77" s="14"/>
      <c r="B77" s="27"/>
      <c r="C77" s="28" t="s">
        <v>66</v>
      </c>
      <c r="D77" s="29"/>
      <c r="E77" s="15">
        <v>1</v>
      </c>
      <c r="F77" s="15"/>
      <c r="G77" s="15"/>
      <c r="H77" s="15">
        <v>1</v>
      </c>
      <c r="I77" s="15">
        <v>1</v>
      </c>
      <c r="J77" s="15"/>
      <c r="K77" s="15">
        <v>1</v>
      </c>
      <c r="L77" s="15"/>
      <c r="M77" s="15">
        <v>1</v>
      </c>
      <c r="N77" s="15"/>
      <c r="O77" s="15"/>
      <c r="P77" s="15"/>
      <c r="Q77" s="15">
        <v>1</v>
      </c>
      <c r="R77" s="15">
        <v>1</v>
      </c>
      <c r="S77" s="15">
        <v>1</v>
      </c>
      <c r="T77" s="15"/>
      <c r="U77" s="15"/>
      <c r="V77" s="15"/>
      <c r="W77" s="15"/>
      <c r="X77" s="15">
        <v>1</v>
      </c>
      <c r="Y77" s="15"/>
      <c r="Z77" s="15">
        <v>1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>
        <v>3</v>
      </c>
      <c r="AM77" s="15">
        <v>2</v>
      </c>
      <c r="AN77" s="15"/>
      <c r="AO77" s="15"/>
      <c r="AP77" s="15">
        <v>1</v>
      </c>
      <c r="AQ77" s="15">
        <v>1</v>
      </c>
      <c r="AR77" s="15">
        <v>1</v>
      </c>
      <c r="AS77" s="15"/>
      <c r="AT77" s="15"/>
      <c r="AU77" s="15"/>
      <c r="AV77" s="15"/>
      <c r="AW77" s="15"/>
      <c r="AX77" s="15"/>
      <c r="AY77" s="15"/>
      <c r="AZ77" s="15">
        <v>1</v>
      </c>
      <c r="BA77" s="15"/>
      <c r="BB77" s="13">
        <f t="shared" si="13"/>
        <v>19</v>
      </c>
    </row>
    <row r="78" spans="1:54" ht="12.75" customHeight="1" x14ac:dyDescent="0.3">
      <c r="A78" s="14"/>
      <c r="B78" s="27"/>
      <c r="C78" s="28" t="s">
        <v>67</v>
      </c>
      <c r="D78" s="29"/>
      <c r="E78" s="15"/>
      <c r="F78" s="15">
        <v>1</v>
      </c>
      <c r="G78" s="15"/>
      <c r="H78" s="15"/>
      <c r="I78" s="15"/>
      <c r="J78" s="15"/>
      <c r="K78" s="15">
        <v>1</v>
      </c>
      <c r="L78" s="15"/>
      <c r="M78" s="15"/>
      <c r="N78" s="15"/>
      <c r="O78" s="15"/>
      <c r="P78" s="15"/>
      <c r="Q78" s="15"/>
      <c r="R78" s="15"/>
      <c r="S78" s="15">
        <v>1</v>
      </c>
      <c r="T78" s="15"/>
      <c r="U78" s="15">
        <v>1</v>
      </c>
      <c r="V78" s="15"/>
      <c r="W78" s="15"/>
      <c r="X78" s="15">
        <v>1</v>
      </c>
      <c r="Y78" s="15"/>
      <c r="Z78" s="15"/>
      <c r="AA78" s="15">
        <v>1</v>
      </c>
      <c r="AB78" s="15"/>
      <c r="AC78" s="15">
        <v>1</v>
      </c>
      <c r="AD78" s="15"/>
      <c r="AE78" s="15"/>
      <c r="AF78" s="15"/>
      <c r="AG78" s="15"/>
      <c r="AH78" s="15"/>
      <c r="AI78" s="15"/>
      <c r="AJ78" s="15"/>
      <c r="AK78" s="15">
        <v>1</v>
      </c>
      <c r="AL78" s="15">
        <v>1</v>
      </c>
      <c r="AM78" s="15"/>
      <c r="AN78" s="15">
        <v>1</v>
      </c>
      <c r="AO78" s="15"/>
      <c r="AP78" s="15"/>
      <c r="AQ78" s="15"/>
      <c r="AR78" s="15">
        <v>1</v>
      </c>
      <c r="AS78" s="15"/>
      <c r="AT78" s="15">
        <v>1</v>
      </c>
      <c r="AU78" s="15"/>
      <c r="AV78" s="15"/>
      <c r="AW78" s="15"/>
      <c r="AX78" s="15"/>
      <c r="AY78" s="15"/>
      <c r="AZ78" s="15"/>
      <c r="BA78" s="15">
        <v>1</v>
      </c>
      <c r="BB78" s="13">
        <f t="shared" si="13"/>
        <v>13</v>
      </c>
    </row>
    <row r="79" spans="1:54" ht="15" customHeight="1" x14ac:dyDescent="0.3">
      <c r="A79" s="14"/>
      <c r="B79" s="27"/>
      <c r="C79" s="28" t="s">
        <v>68</v>
      </c>
      <c r="D79" s="29"/>
      <c r="E79" s="15"/>
      <c r="F79" s="15">
        <v>1</v>
      </c>
      <c r="G79" s="15"/>
      <c r="H79" s="15"/>
      <c r="I79" s="15"/>
      <c r="J79" s="15">
        <v>5</v>
      </c>
      <c r="K79" s="15">
        <v>1</v>
      </c>
      <c r="L79" s="15"/>
      <c r="M79" s="15"/>
      <c r="N79" s="15"/>
      <c r="O79" s="15">
        <v>1</v>
      </c>
      <c r="P79" s="15">
        <v>1</v>
      </c>
      <c r="Q79" s="15"/>
      <c r="R79" s="15"/>
      <c r="S79" s="15">
        <v>1</v>
      </c>
      <c r="T79" s="15"/>
      <c r="U79" s="15">
        <v>2</v>
      </c>
      <c r="V79" s="15">
        <v>2</v>
      </c>
      <c r="W79" s="15"/>
      <c r="X79" s="15"/>
      <c r="Y79" s="15">
        <v>5</v>
      </c>
      <c r="Z79" s="15"/>
      <c r="AA79" s="15"/>
      <c r="AB79" s="15">
        <v>1</v>
      </c>
      <c r="AC79" s="15"/>
      <c r="AD79" s="15"/>
      <c r="AE79" s="15">
        <v>1</v>
      </c>
      <c r="AF79" s="15"/>
      <c r="AG79" s="15"/>
      <c r="AH79" s="15"/>
      <c r="AI79" s="15"/>
      <c r="AJ79" s="15"/>
      <c r="AK79" s="15"/>
      <c r="AL79" s="15">
        <v>1</v>
      </c>
      <c r="AM79" s="15"/>
      <c r="AN79" s="15"/>
      <c r="AO79" s="15">
        <v>1</v>
      </c>
      <c r="AP79" s="15">
        <v>8</v>
      </c>
      <c r="AQ79" s="15"/>
      <c r="AR79" s="15"/>
      <c r="AS79" s="15"/>
      <c r="AT79" s="15"/>
      <c r="AU79" s="15">
        <v>5</v>
      </c>
      <c r="AV79" s="15"/>
      <c r="AW79" s="15">
        <v>4</v>
      </c>
      <c r="AX79" s="15">
        <v>3</v>
      </c>
      <c r="AY79" s="15"/>
      <c r="AZ79" s="15">
        <v>1</v>
      </c>
      <c r="BA79" s="15"/>
      <c r="BB79" s="13">
        <f t="shared" si="13"/>
        <v>44</v>
      </c>
    </row>
    <row r="80" spans="1:54" ht="12.75" customHeight="1" x14ac:dyDescent="0.3">
      <c r="A80" s="14"/>
      <c r="B80" s="27"/>
      <c r="C80" s="28" t="s">
        <v>69</v>
      </c>
      <c r="D80" s="29"/>
      <c r="E80" s="15"/>
      <c r="F80" s="15"/>
      <c r="G80" s="15"/>
      <c r="H80" s="15"/>
      <c r="I80" s="15"/>
      <c r="J80" s="15"/>
      <c r="K80" s="15"/>
      <c r="L80" s="15"/>
      <c r="M80" s="15"/>
      <c r="N80" s="15">
        <v>1</v>
      </c>
      <c r="O80" s="15"/>
      <c r="P80" s="15"/>
      <c r="Q80" s="15"/>
      <c r="R80" s="15"/>
      <c r="S80" s="15"/>
      <c r="T80" s="15"/>
      <c r="U80" s="15"/>
      <c r="V80" s="15"/>
      <c r="W80" s="15"/>
      <c r="X80" s="15">
        <v>2</v>
      </c>
      <c r="Y80" s="15"/>
      <c r="Z80" s="15"/>
      <c r="AA80" s="15">
        <v>1</v>
      </c>
      <c r="AB80" s="15">
        <v>2</v>
      </c>
      <c r="AC80" s="15">
        <v>1</v>
      </c>
      <c r="AD80" s="15"/>
      <c r="AE80" s="15"/>
      <c r="AF80" s="15"/>
      <c r="AG80" s="15"/>
      <c r="AH80" s="15">
        <v>2</v>
      </c>
      <c r="AI80" s="15">
        <v>1</v>
      </c>
      <c r="AJ80" s="15">
        <v>3</v>
      </c>
      <c r="AK80" s="15">
        <v>1</v>
      </c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3">
        <f t="shared" si="13"/>
        <v>14</v>
      </c>
    </row>
    <row r="81" spans="1:54" ht="12.75" customHeight="1" x14ac:dyDescent="0.3">
      <c r="A81" s="14"/>
      <c r="B81" s="27"/>
      <c r="C81" s="28" t="s">
        <v>70</v>
      </c>
      <c r="D81" s="29"/>
      <c r="E81" s="15"/>
      <c r="F81" s="15"/>
      <c r="G81" s="15"/>
      <c r="H81" s="15"/>
      <c r="I81" s="15"/>
      <c r="J81" s="15">
        <v>1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>
        <v>1</v>
      </c>
      <c r="AR81" s="15">
        <v>1</v>
      </c>
      <c r="AS81" s="15"/>
      <c r="AT81" s="15"/>
      <c r="AU81" s="15"/>
      <c r="AV81" s="15"/>
      <c r="AW81" s="15"/>
      <c r="AX81" s="15"/>
      <c r="AY81" s="15"/>
      <c r="AZ81" s="15"/>
      <c r="BA81" s="15"/>
      <c r="BB81" s="13">
        <f t="shared" si="13"/>
        <v>3</v>
      </c>
    </row>
    <row r="82" spans="1:54" ht="12.75" customHeight="1" x14ac:dyDescent="0.3">
      <c r="A82" s="14"/>
      <c r="B82" s="27"/>
      <c r="C82" s="28" t="s">
        <v>71</v>
      </c>
      <c r="D82" s="29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>
        <v>1</v>
      </c>
      <c r="AU82" s="15"/>
      <c r="AV82" s="15"/>
      <c r="AW82" s="15"/>
      <c r="AX82" s="15"/>
      <c r="AY82" s="15"/>
      <c r="AZ82" s="15"/>
      <c r="BA82" s="15"/>
      <c r="BB82" s="13">
        <f t="shared" si="13"/>
        <v>1</v>
      </c>
    </row>
    <row r="83" spans="1:54" ht="12.75" customHeight="1" x14ac:dyDescent="0.3">
      <c r="A83" s="15" t="s">
        <v>15</v>
      </c>
      <c r="B83" s="45" t="s">
        <v>47</v>
      </c>
      <c r="C83" s="46"/>
      <c r="D83" s="47"/>
      <c r="E83" s="34">
        <f t="shared" ref="E83:BA83" si="17">SUM(E75:E82)</f>
        <v>104</v>
      </c>
      <c r="F83" s="34">
        <f t="shared" si="17"/>
        <v>72</v>
      </c>
      <c r="G83" s="34">
        <f t="shared" si="17"/>
        <v>85</v>
      </c>
      <c r="H83" s="34">
        <f t="shared" si="17"/>
        <v>97</v>
      </c>
      <c r="I83" s="34">
        <f t="shared" si="17"/>
        <v>102</v>
      </c>
      <c r="J83" s="34">
        <f t="shared" si="17"/>
        <v>26</v>
      </c>
      <c r="K83" s="34">
        <f t="shared" si="17"/>
        <v>80</v>
      </c>
      <c r="L83" s="34">
        <f t="shared" si="17"/>
        <v>75</v>
      </c>
      <c r="M83" s="34">
        <f t="shared" si="17"/>
        <v>112</v>
      </c>
      <c r="N83" s="34">
        <f t="shared" si="17"/>
        <v>30</v>
      </c>
      <c r="O83" s="34">
        <f t="shared" si="17"/>
        <v>57</v>
      </c>
      <c r="P83" s="34">
        <f t="shared" si="17"/>
        <v>77</v>
      </c>
      <c r="Q83" s="34">
        <f t="shared" si="17"/>
        <v>84</v>
      </c>
      <c r="R83" s="34">
        <f t="shared" si="17"/>
        <v>80</v>
      </c>
      <c r="S83" s="34">
        <f t="shared" si="17"/>
        <v>113</v>
      </c>
      <c r="T83" s="34">
        <f t="shared" si="17"/>
        <v>134</v>
      </c>
      <c r="U83" s="34">
        <f t="shared" si="17"/>
        <v>74</v>
      </c>
      <c r="V83" s="34">
        <f t="shared" si="17"/>
        <v>93</v>
      </c>
      <c r="W83" s="34">
        <f t="shared" si="17"/>
        <v>70</v>
      </c>
      <c r="X83" s="34">
        <f t="shared" si="17"/>
        <v>102</v>
      </c>
      <c r="Y83" s="34">
        <f t="shared" si="17"/>
        <v>130</v>
      </c>
      <c r="Z83" s="34">
        <f t="shared" si="17"/>
        <v>88</v>
      </c>
      <c r="AA83" s="34">
        <f t="shared" si="17"/>
        <v>64</v>
      </c>
      <c r="AB83" s="34">
        <f t="shared" si="17"/>
        <v>51</v>
      </c>
      <c r="AC83" s="34">
        <f t="shared" si="17"/>
        <v>26</v>
      </c>
      <c r="AD83" s="34">
        <f t="shared" si="17"/>
        <v>34</v>
      </c>
      <c r="AE83" s="34">
        <f t="shared" si="17"/>
        <v>29</v>
      </c>
      <c r="AF83" s="34">
        <f t="shared" si="17"/>
        <v>19</v>
      </c>
      <c r="AG83" s="34">
        <f t="shared" si="17"/>
        <v>11</v>
      </c>
      <c r="AH83" s="34">
        <f t="shared" si="17"/>
        <v>20</v>
      </c>
      <c r="AI83" s="34">
        <f t="shared" si="17"/>
        <v>36</v>
      </c>
      <c r="AJ83" s="34">
        <f t="shared" si="17"/>
        <v>16</v>
      </c>
      <c r="AK83" s="34">
        <f t="shared" si="17"/>
        <v>21</v>
      </c>
      <c r="AL83" s="34">
        <f t="shared" si="17"/>
        <v>33</v>
      </c>
      <c r="AM83" s="34">
        <f t="shared" si="17"/>
        <v>17</v>
      </c>
      <c r="AN83" s="34">
        <f t="shared" si="17"/>
        <v>14</v>
      </c>
      <c r="AO83" s="34">
        <f t="shared" si="17"/>
        <v>27</v>
      </c>
      <c r="AP83" s="34">
        <f t="shared" si="17"/>
        <v>81</v>
      </c>
      <c r="AQ83" s="34">
        <f t="shared" si="17"/>
        <v>29</v>
      </c>
      <c r="AR83" s="34">
        <f t="shared" si="17"/>
        <v>56</v>
      </c>
      <c r="AS83" s="34">
        <f t="shared" si="17"/>
        <v>111</v>
      </c>
      <c r="AT83" s="34">
        <f t="shared" si="17"/>
        <v>99</v>
      </c>
      <c r="AU83" s="34">
        <f t="shared" si="17"/>
        <v>49</v>
      </c>
      <c r="AV83" s="34">
        <f t="shared" si="17"/>
        <v>150</v>
      </c>
      <c r="AW83" s="34">
        <f t="shared" si="17"/>
        <v>23</v>
      </c>
      <c r="AX83" s="34">
        <f t="shared" si="17"/>
        <v>37</v>
      </c>
      <c r="AY83" s="34">
        <f t="shared" si="17"/>
        <v>78</v>
      </c>
      <c r="AZ83" s="34">
        <f t="shared" si="17"/>
        <v>92</v>
      </c>
      <c r="BA83" s="34">
        <f t="shared" si="17"/>
        <v>79</v>
      </c>
      <c r="BB83" s="13">
        <f t="shared" si="13"/>
        <v>3187</v>
      </c>
    </row>
    <row r="84" spans="1:54" ht="12.75" customHeight="1" x14ac:dyDescent="0.3">
      <c r="A84" s="35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13">
        <f t="shared" si="13"/>
        <v>0</v>
      </c>
    </row>
    <row r="85" spans="1:54" ht="12.75" customHeight="1" x14ac:dyDescent="0.3">
      <c r="A85" s="19" t="s">
        <v>37</v>
      </c>
      <c r="B85" s="26" t="s">
        <v>72</v>
      </c>
      <c r="C85" s="48" t="s">
        <v>73</v>
      </c>
      <c r="D85" s="47"/>
      <c r="E85" s="15"/>
      <c r="F85" s="15">
        <v>1</v>
      </c>
      <c r="G85" s="15"/>
      <c r="H85" s="15">
        <v>1</v>
      </c>
      <c r="I85" s="15">
        <v>1</v>
      </c>
      <c r="J85" s="15">
        <v>1</v>
      </c>
      <c r="K85" s="15"/>
      <c r="L85" s="15">
        <v>2</v>
      </c>
      <c r="M85" s="15">
        <v>1</v>
      </c>
      <c r="N85" s="15">
        <v>2</v>
      </c>
      <c r="O85" s="15">
        <v>2</v>
      </c>
      <c r="P85" s="15"/>
      <c r="Q85" s="15"/>
      <c r="R85" s="15">
        <v>1</v>
      </c>
      <c r="S85" s="15"/>
      <c r="T85" s="15"/>
      <c r="U85" s="15">
        <v>1</v>
      </c>
      <c r="V85" s="15">
        <v>1</v>
      </c>
      <c r="W85" s="15">
        <v>2</v>
      </c>
      <c r="X85" s="15"/>
      <c r="Y85" s="15">
        <v>1</v>
      </c>
      <c r="Z85" s="15"/>
      <c r="AA85" s="15"/>
      <c r="AB85" s="15">
        <v>2</v>
      </c>
      <c r="AC85" s="15">
        <v>2</v>
      </c>
      <c r="AD85" s="15">
        <v>2</v>
      </c>
      <c r="AE85" s="15">
        <v>2</v>
      </c>
      <c r="AF85" s="15"/>
      <c r="AG85" s="15">
        <v>5</v>
      </c>
      <c r="AH85" s="15">
        <v>3</v>
      </c>
      <c r="AI85" s="15"/>
      <c r="AJ85" s="15">
        <v>3</v>
      </c>
      <c r="AK85" s="15">
        <v>2</v>
      </c>
      <c r="AL85" s="15">
        <v>1</v>
      </c>
      <c r="AM85" s="15">
        <v>5</v>
      </c>
      <c r="AN85" s="15"/>
      <c r="AO85" s="15"/>
      <c r="AP85" s="15">
        <v>1</v>
      </c>
      <c r="AQ85" s="15"/>
      <c r="AR85" s="15"/>
      <c r="AS85" s="15"/>
      <c r="AT85" s="15">
        <v>1</v>
      </c>
      <c r="AU85" s="15">
        <v>2</v>
      </c>
      <c r="AV85" s="15">
        <v>1</v>
      </c>
      <c r="AW85" s="15">
        <v>4</v>
      </c>
      <c r="AX85" s="15">
        <v>2</v>
      </c>
      <c r="AY85" s="15"/>
      <c r="AZ85" s="15">
        <v>2</v>
      </c>
      <c r="BA85" s="15"/>
      <c r="BB85" s="13">
        <f t="shared" si="13"/>
        <v>57</v>
      </c>
    </row>
    <row r="86" spans="1:54" ht="12.75" customHeight="1" x14ac:dyDescent="0.3">
      <c r="A86" s="19" t="s">
        <v>39</v>
      </c>
      <c r="B86" s="27"/>
      <c r="C86" s="28" t="s">
        <v>74</v>
      </c>
      <c r="D86" s="29"/>
      <c r="E86" s="15"/>
      <c r="F86" s="15"/>
      <c r="G86" s="15"/>
      <c r="H86" s="15"/>
      <c r="I86" s="15">
        <v>1</v>
      </c>
      <c r="J86" s="15"/>
      <c r="K86" s="15">
        <v>1</v>
      </c>
      <c r="L86" s="15"/>
      <c r="M86" s="15"/>
      <c r="N86" s="15"/>
      <c r="O86" s="15"/>
      <c r="P86" s="15"/>
      <c r="Q86" s="15"/>
      <c r="R86" s="15"/>
      <c r="S86" s="15"/>
      <c r="T86" s="15"/>
      <c r="U86" s="15">
        <v>2</v>
      </c>
      <c r="V86" s="15"/>
      <c r="W86" s="15"/>
      <c r="X86" s="15"/>
      <c r="Y86" s="15"/>
      <c r="Z86" s="15"/>
      <c r="AA86" s="15"/>
      <c r="AB86" s="15"/>
      <c r="AC86" s="15">
        <v>2</v>
      </c>
      <c r="AD86" s="15"/>
      <c r="AE86" s="15"/>
      <c r="AF86" s="15"/>
      <c r="AG86" s="15">
        <v>3</v>
      </c>
      <c r="AH86" s="15"/>
      <c r="AI86" s="15"/>
      <c r="AJ86" s="15">
        <v>1</v>
      </c>
      <c r="AK86" s="15"/>
      <c r="AL86" s="15"/>
      <c r="AM86" s="15">
        <v>1</v>
      </c>
      <c r="AN86" s="15"/>
      <c r="AO86" s="15"/>
      <c r="AP86" s="15">
        <v>1</v>
      </c>
      <c r="AQ86" s="15"/>
      <c r="AR86" s="15">
        <v>1</v>
      </c>
      <c r="AS86" s="15"/>
      <c r="AT86" s="15">
        <v>2</v>
      </c>
      <c r="AU86" s="15"/>
      <c r="AV86" s="15"/>
      <c r="AW86" s="15">
        <v>2</v>
      </c>
      <c r="AX86" s="15">
        <v>2</v>
      </c>
      <c r="AY86" s="15">
        <v>1</v>
      </c>
      <c r="AZ86" s="15"/>
      <c r="BA86" s="15"/>
      <c r="BB86" s="13">
        <f t="shared" si="13"/>
        <v>20</v>
      </c>
    </row>
    <row r="87" spans="1:54" ht="12.75" customHeight="1" x14ac:dyDescent="0.3">
      <c r="A87" s="14"/>
      <c r="B87" s="27"/>
      <c r="C87" s="28" t="s">
        <v>75</v>
      </c>
      <c r="D87" s="29"/>
      <c r="E87" s="15"/>
      <c r="F87" s="15"/>
      <c r="G87" s="15"/>
      <c r="H87" s="15"/>
      <c r="I87" s="15">
        <v>2</v>
      </c>
      <c r="J87" s="15"/>
      <c r="K87" s="15">
        <v>3</v>
      </c>
      <c r="L87" s="15">
        <v>10</v>
      </c>
      <c r="M87" s="15"/>
      <c r="N87" s="15"/>
      <c r="O87" s="15"/>
      <c r="P87" s="15"/>
      <c r="Q87" s="15"/>
      <c r="R87" s="15"/>
      <c r="S87" s="15">
        <v>6</v>
      </c>
      <c r="T87" s="15"/>
      <c r="U87" s="15"/>
      <c r="V87" s="15">
        <v>3</v>
      </c>
      <c r="W87" s="15">
        <v>1</v>
      </c>
      <c r="X87" s="15"/>
      <c r="Y87" s="15"/>
      <c r="Z87" s="15">
        <v>1</v>
      </c>
      <c r="AA87" s="15">
        <v>7</v>
      </c>
      <c r="AB87" s="15">
        <v>31</v>
      </c>
      <c r="AC87" s="15">
        <v>6</v>
      </c>
      <c r="AD87" s="15">
        <v>12</v>
      </c>
      <c r="AE87" s="15">
        <v>6</v>
      </c>
      <c r="AF87" s="15">
        <v>2</v>
      </c>
      <c r="AG87" s="15">
        <v>48</v>
      </c>
      <c r="AH87" s="15">
        <v>30</v>
      </c>
      <c r="AI87" s="15">
        <v>7</v>
      </c>
      <c r="AJ87" s="15">
        <v>15</v>
      </c>
      <c r="AK87" s="15">
        <v>18</v>
      </c>
      <c r="AL87" s="15">
        <v>14</v>
      </c>
      <c r="AM87" s="15">
        <v>8</v>
      </c>
      <c r="AN87" s="15"/>
      <c r="AO87" s="15"/>
      <c r="AP87" s="15">
        <v>6</v>
      </c>
      <c r="AQ87" s="15">
        <v>1</v>
      </c>
      <c r="AR87" s="15">
        <v>2</v>
      </c>
      <c r="AS87" s="15"/>
      <c r="AT87" s="15">
        <v>15</v>
      </c>
      <c r="AU87" s="15">
        <v>4</v>
      </c>
      <c r="AV87" s="15">
        <v>4</v>
      </c>
      <c r="AW87" s="15">
        <v>45</v>
      </c>
      <c r="AX87" s="15">
        <v>39</v>
      </c>
      <c r="AY87" s="15"/>
      <c r="AZ87" s="15">
        <v>1</v>
      </c>
      <c r="BA87" s="15">
        <v>12</v>
      </c>
      <c r="BB87" s="13">
        <f t="shared" si="13"/>
        <v>359</v>
      </c>
    </row>
    <row r="88" spans="1:54" ht="12.75" customHeight="1" x14ac:dyDescent="0.3">
      <c r="A88" s="14"/>
      <c r="B88" s="27"/>
      <c r="C88" s="28" t="s">
        <v>76</v>
      </c>
      <c r="D88" s="29"/>
      <c r="E88" s="15">
        <v>1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>
        <v>1</v>
      </c>
      <c r="W88" s="15"/>
      <c r="X88" s="15"/>
      <c r="Y88" s="15"/>
      <c r="Z88" s="15">
        <v>1</v>
      </c>
      <c r="AA88" s="15"/>
      <c r="AB88" s="15"/>
      <c r="AC88" s="15"/>
      <c r="AD88" s="15"/>
      <c r="AE88" s="15"/>
      <c r="AF88" s="15"/>
      <c r="AG88" s="15">
        <v>1</v>
      </c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>
        <v>1</v>
      </c>
      <c r="AV88" s="15"/>
      <c r="AW88" s="15">
        <v>2</v>
      </c>
      <c r="AX88" s="15">
        <v>1</v>
      </c>
      <c r="AY88" s="15"/>
      <c r="AZ88" s="15"/>
      <c r="BA88" s="15"/>
      <c r="BB88" s="13">
        <f t="shared" si="13"/>
        <v>8</v>
      </c>
    </row>
    <row r="89" spans="1:54" ht="12.75" customHeight="1" x14ac:dyDescent="0.3">
      <c r="A89" s="14"/>
      <c r="B89" s="27"/>
      <c r="C89" s="28" t="s">
        <v>77</v>
      </c>
      <c r="D89" s="29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>
        <v>1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>
        <v>1</v>
      </c>
      <c r="AN89" s="15"/>
      <c r="AO89" s="15"/>
      <c r="AP89" s="15"/>
      <c r="AQ89" s="15">
        <v>4</v>
      </c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3">
        <f t="shared" si="13"/>
        <v>6</v>
      </c>
    </row>
    <row r="90" spans="1:54" ht="12.75" customHeight="1" x14ac:dyDescent="0.3">
      <c r="A90" s="14"/>
      <c r="B90" s="27"/>
      <c r="C90" s="28" t="s">
        <v>78</v>
      </c>
      <c r="D90" s="29"/>
      <c r="E90" s="15"/>
      <c r="F90" s="15"/>
      <c r="G90" s="15"/>
      <c r="H90" s="15"/>
      <c r="I90" s="15"/>
      <c r="J90" s="15"/>
      <c r="K90" s="15">
        <v>1</v>
      </c>
      <c r="L90" s="15"/>
      <c r="M90" s="15"/>
      <c r="N90" s="15">
        <v>3</v>
      </c>
      <c r="O90" s="15"/>
      <c r="P90" s="15"/>
      <c r="Q90" s="15"/>
      <c r="R90" s="15"/>
      <c r="S90" s="15">
        <v>1</v>
      </c>
      <c r="T90" s="15"/>
      <c r="U90" s="15"/>
      <c r="V90" s="15"/>
      <c r="W90" s="15"/>
      <c r="X90" s="15"/>
      <c r="Y90" s="15"/>
      <c r="Z90" s="15"/>
      <c r="AA90" s="15"/>
      <c r="AB90" s="15">
        <v>2</v>
      </c>
      <c r="AC90" s="15"/>
      <c r="AD90" s="15">
        <v>4</v>
      </c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>
        <v>2</v>
      </c>
      <c r="AW90" s="15"/>
      <c r="AX90" s="15"/>
      <c r="AY90" s="15"/>
      <c r="AZ90" s="15"/>
      <c r="BA90" s="15"/>
      <c r="BB90" s="13">
        <f t="shared" si="13"/>
        <v>13</v>
      </c>
    </row>
    <row r="91" spans="1:54" ht="15" customHeight="1" x14ac:dyDescent="0.3">
      <c r="A91" s="14"/>
      <c r="B91" s="27"/>
      <c r="C91" s="28" t="s">
        <v>79</v>
      </c>
      <c r="D91" s="29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>
        <v>1</v>
      </c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3">
        <f t="shared" si="13"/>
        <v>1</v>
      </c>
    </row>
    <row r="92" spans="1:54" ht="12.75" customHeight="1" x14ac:dyDescent="0.3">
      <c r="A92" s="14"/>
      <c r="B92" s="27"/>
      <c r="C92" s="28" t="s">
        <v>80</v>
      </c>
      <c r="D92" s="29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>
        <v>1</v>
      </c>
      <c r="AG92" s="15"/>
      <c r="AH92" s="15">
        <v>2</v>
      </c>
      <c r="AI92" s="15"/>
      <c r="AJ92" s="15"/>
      <c r="AK92" s="15"/>
      <c r="AL92" s="15">
        <v>1</v>
      </c>
      <c r="AM92" s="15"/>
      <c r="AN92" s="15">
        <v>1</v>
      </c>
      <c r="AO92" s="15"/>
      <c r="AP92" s="15">
        <v>1</v>
      </c>
      <c r="AQ92" s="15"/>
      <c r="AR92" s="15">
        <v>1</v>
      </c>
      <c r="AS92" s="15"/>
      <c r="AT92" s="15"/>
      <c r="AU92" s="15"/>
      <c r="AV92" s="15"/>
      <c r="AW92" s="15"/>
      <c r="AX92" s="15"/>
      <c r="AY92" s="15"/>
      <c r="AZ92" s="15"/>
      <c r="BA92" s="15"/>
      <c r="BB92" s="13">
        <f t="shared" si="13"/>
        <v>7</v>
      </c>
    </row>
    <row r="93" spans="1:54" ht="12.75" customHeight="1" x14ac:dyDescent="0.3">
      <c r="A93" s="15" t="s">
        <v>15</v>
      </c>
      <c r="B93" s="45" t="s">
        <v>47</v>
      </c>
      <c r="C93" s="46"/>
      <c r="D93" s="47"/>
      <c r="E93" s="34">
        <f t="shared" ref="E93:BA93" si="18">SUM(E85:E92)</f>
        <v>1</v>
      </c>
      <c r="F93" s="34">
        <f t="shared" si="18"/>
        <v>1</v>
      </c>
      <c r="G93" s="34">
        <f t="shared" si="18"/>
        <v>0</v>
      </c>
      <c r="H93" s="34">
        <f t="shared" si="18"/>
        <v>1</v>
      </c>
      <c r="I93" s="34">
        <f t="shared" si="18"/>
        <v>4</v>
      </c>
      <c r="J93" s="34">
        <f t="shared" si="18"/>
        <v>1</v>
      </c>
      <c r="K93" s="34">
        <f t="shared" si="18"/>
        <v>5</v>
      </c>
      <c r="L93" s="34">
        <f t="shared" si="18"/>
        <v>12</v>
      </c>
      <c r="M93" s="34">
        <f t="shared" si="18"/>
        <v>1</v>
      </c>
      <c r="N93" s="34">
        <f t="shared" si="18"/>
        <v>5</v>
      </c>
      <c r="O93" s="34">
        <f t="shared" si="18"/>
        <v>3</v>
      </c>
      <c r="P93" s="34">
        <f t="shared" si="18"/>
        <v>0</v>
      </c>
      <c r="Q93" s="34">
        <f t="shared" si="18"/>
        <v>0</v>
      </c>
      <c r="R93" s="34">
        <f t="shared" si="18"/>
        <v>1</v>
      </c>
      <c r="S93" s="34">
        <f t="shared" si="18"/>
        <v>7</v>
      </c>
      <c r="T93" s="34">
        <f t="shared" si="18"/>
        <v>0</v>
      </c>
      <c r="U93" s="34">
        <f t="shared" si="18"/>
        <v>3</v>
      </c>
      <c r="V93" s="34">
        <f t="shared" si="18"/>
        <v>5</v>
      </c>
      <c r="W93" s="34">
        <f t="shared" si="18"/>
        <v>3</v>
      </c>
      <c r="X93" s="34">
        <f t="shared" si="18"/>
        <v>0</v>
      </c>
      <c r="Y93" s="34">
        <f t="shared" si="18"/>
        <v>1</v>
      </c>
      <c r="Z93" s="34">
        <f t="shared" si="18"/>
        <v>2</v>
      </c>
      <c r="AA93" s="34">
        <f t="shared" si="18"/>
        <v>7</v>
      </c>
      <c r="AB93" s="34">
        <f t="shared" si="18"/>
        <v>35</v>
      </c>
      <c r="AC93" s="34">
        <f t="shared" si="18"/>
        <v>10</v>
      </c>
      <c r="AD93" s="34">
        <f t="shared" si="18"/>
        <v>18</v>
      </c>
      <c r="AE93" s="34">
        <f t="shared" si="18"/>
        <v>8</v>
      </c>
      <c r="AF93" s="34">
        <f t="shared" si="18"/>
        <v>3</v>
      </c>
      <c r="AG93" s="34">
        <f t="shared" si="18"/>
        <v>57</v>
      </c>
      <c r="AH93" s="34">
        <f t="shared" si="18"/>
        <v>36</v>
      </c>
      <c r="AI93" s="34">
        <f t="shared" si="18"/>
        <v>7</v>
      </c>
      <c r="AJ93" s="34">
        <f t="shared" si="18"/>
        <v>19</v>
      </c>
      <c r="AK93" s="34">
        <f t="shared" si="18"/>
        <v>20</v>
      </c>
      <c r="AL93" s="34">
        <f t="shared" si="18"/>
        <v>16</v>
      </c>
      <c r="AM93" s="34">
        <f t="shared" si="18"/>
        <v>15</v>
      </c>
      <c r="AN93" s="34">
        <f t="shared" si="18"/>
        <v>1</v>
      </c>
      <c r="AO93" s="34">
        <f t="shared" si="18"/>
        <v>0</v>
      </c>
      <c r="AP93" s="34">
        <f t="shared" si="18"/>
        <v>9</v>
      </c>
      <c r="AQ93" s="34">
        <f t="shared" si="18"/>
        <v>5</v>
      </c>
      <c r="AR93" s="34">
        <f t="shared" si="18"/>
        <v>4</v>
      </c>
      <c r="AS93" s="34">
        <f t="shared" si="18"/>
        <v>0</v>
      </c>
      <c r="AT93" s="34">
        <f t="shared" si="18"/>
        <v>18</v>
      </c>
      <c r="AU93" s="34">
        <f t="shared" si="18"/>
        <v>7</v>
      </c>
      <c r="AV93" s="34">
        <f t="shared" si="18"/>
        <v>7</v>
      </c>
      <c r="AW93" s="34">
        <f t="shared" si="18"/>
        <v>53</v>
      </c>
      <c r="AX93" s="34">
        <f t="shared" si="18"/>
        <v>44</v>
      </c>
      <c r="AY93" s="34">
        <f t="shared" si="18"/>
        <v>1</v>
      </c>
      <c r="AZ93" s="34">
        <f t="shared" si="18"/>
        <v>3</v>
      </c>
      <c r="BA93" s="34">
        <f t="shared" si="18"/>
        <v>12</v>
      </c>
      <c r="BB93" s="13">
        <f t="shared" si="13"/>
        <v>471</v>
      </c>
    </row>
    <row r="94" spans="1:54" ht="12.75" customHeight="1" x14ac:dyDescent="0.3">
      <c r="A94" s="35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13">
        <f t="shared" si="13"/>
        <v>0</v>
      </c>
    </row>
    <row r="95" spans="1:54" ht="12.75" customHeight="1" x14ac:dyDescent="0.3">
      <c r="A95" s="19" t="s">
        <v>37</v>
      </c>
      <c r="B95" s="26" t="s">
        <v>81</v>
      </c>
      <c r="C95" s="48" t="s">
        <v>82</v>
      </c>
      <c r="D95" s="47"/>
      <c r="E95" s="15"/>
      <c r="F95" s="15"/>
      <c r="G95" s="15"/>
      <c r="H95" s="15"/>
      <c r="I95" s="15"/>
      <c r="J95" s="15"/>
      <c r="K95" s="15"/>
      <c r="L95" s="15"/>
      <c r="M95" s="15"/>
      <c r="N95" s="15">
        <v>1</v>
      </c>
      <c r="O95" s="15"/>
      <c r="P95" s="15"/>
      <c r="Q95" s="15"/>
      <c r="R95" s="15"/>
      <c r="S95" s="15"/>
      <c r="T95" s="15"/>
      <c r="U95" s="15"/>
      <c r="V95" s="15"/>
      <c r="W95" s="15">
        <v>1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>
        <v>1</v>
      </c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3">
        <f t="shared" si="13"/>
        <v>3</v>
      </c>
    </row>
    <row r="96" spans="1:54" ht="12.75" customHeight="1" x14ac:dyDescent="0.3">
      <c r="A96" s="19" t="s">
        <v>39</v>
      </c>
      <c r="B96" s="27"/>
      <c r="C96" s="28" t="s">
        <v>83</v>
      </c>
      <c r="D96" s="37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>
        <v>1</v>
      </c>
      <c r="AF96" s="15"/>
      <c r="AG96" s="15"/>
      <c r="AH96" s="15"/>
      <c r="AI96" s="15"/>
      <c r="AJ96" s="15"/>
      <c r="AK96" s="15"/>
      <c r="AL96" s="15"/>
      <c r="AM96" s="15">
        <v>1</v>
      </c>
      <c r="AN96" s="15"/>
      <c r="AO96" s="15"/>
      <c r="AP96" s="15"/>
      <c r="AQ96" s="15">
        <v>2</v>
      </c>
      <c r="AR96" s="15"/>
      <c r="AS96" s="15"/>
      <c r="AT96" s="15"/>
      <c r="AU96" s="15"/>
      <c r="AV96" s="15"/>
      <c r="AW96" s="15">
        <v>2</v>
      </c>
      <c r="AX96" s="15">
        <v>1</v>
      </c>
      <c r="AY96" s="15"/>
      <c r="AZ96" s="15"/>
      <c r="BA96" s="15"/>
      <c r="BB96" s="13">
        <f t="shared" si="13"/>
        <v>7</v>
      </c>
    </row>
    <row r="97" spans="1:54" ht="12.75" customHeight="1" x14ac:dyDescent="0.3">
      <c r="A97" s="15" t="s">
        <v>15</v>
      </c>
      <c r="B97" s="45" t="s">
        <v>47</v>
      </c>
      <c r="C97" s="46"/>
      <c r="D97" s="47"/>
      <c r="E97" s="34">
        <f t="shared" ref="E97:BA97" si="19">SUM(E95:E96)</f>
        <v>0</v>
      </c>
      <c r="F97" s="34">
        <f t="shared" si="19"/>
        <v>0</v>
      </c>
      <c r="G97" s="34">
        <f t="shared" si="19"/>
        <v>0</v>
      </c>
      <c r="H97" s="34">
        <f t="shared" si="19"/>
        <v>0</v>
      </c>
      <c r="I97" s="34">
        <f t="shared" si="19"/>
        <v>0</v>
      </c>
      <c r="J97" s="34">
        <f t="shared" si="19"/>
        <v>0</v>
      </c>
      <c r="K97" s="34">
        <f t="shared" si="19"/>
        <v>0</v>
      </c>
      <c r="L97" s="34">
        <f t="shared" si="19"/>
        <v>0</v>
      </c>
      <c r="M97" s="34">
        <f t="shared" si="19"/>
        <v>0</v>
      </c>
      <c r="N97" s="34">
        <f t="shared" si="19"/>
        <v>1</v>
      </c>
      <c r="O97" s="34">
        <f t="shared" si="19"/>
        <v>0</v>
      </c>
      <c r="P97" s="34">
        <f t="shared" si="19"/>
        <v>0</v>
      </c>
      <c r="Q97" s="34">
        <f t="shared" si="19"/>
        <v>0</v>
      </c>
      <c r="R97" s="34">
        <f t="shared" si="19"/>
        <v>0</v>
      </c>
      <c r="S97" s="34">
        <f t="shared" si="19"/>
        <v>0</v>
      </c>
      <c r="T97" s="34">
        <f t="shared" si="19"/>
        <v>0</v>
      </c>
      <c r="U97" s="34">
        <f t="shared" si="19"/>
        <v>0</v>
      </c>
      <c r="V97" s="34">
        <f t="shared" si="19"/>
        <v>0</v>
      </c>
      <c r="W97" s="34">
        <f t="shared" si="19"/>
        <v>1</v>
      </c>
      <c r="X97" s="34">
        <f t="shared" si="19"/>
        <v>0</v>
      </c>
      <c r="Y97" s="34">
        <f t="shared" si="19"/>
        <v>0</v>
      </c>
      <c r="Z97" s="34">
        <f t="shared" si="19"/>
        <v>0</v>
      </c>
      <c r="AA97" s="34">
        <f t="shared" si="19"/>
        <v>0</v>
      </c>
      <c r="AB97" s="34">
        <f t="shared" si="19"/>
        <v>0</v>
      </c>
      <c r="AC97" s="34">
        <f t="shared" si="19"/>
        <v>0</v>
      </c>
      <c r="AD97" s="34">
        <f t="shared" si="19"/>
        <v>0</v>
      </c>
      <c r="AE97" s="34">
        <f t="shared" si="19"/>
        <v>1</v>
      </c>
      <c r="AF97" s="34">
        <f t="shared" si="19"/>
        <v>0</v>
      </c>
      <c r="AG97" s="34">
        <f t="shared" si="19"/>
        <v>1</v>
      </c>
      <c r="AH97" s="34">
        <f t="shared" si="19"/>
        <v>0</v>
      </c>
      <c r="AI97" s="34">
        <f t="shared" si="19"/>
        <v>0</v>
      </c>
      <c r="AJ97" s="34">
        <f t="shared" si="19"/>
        <v>0</v>
      </c>
      <c r="AK97" s="34">
        <f t="shared" si="19"/>
        <v>0</v>
      </c>
      <c r="AL97" s="34">
        <f t="shared" si="19"/>
        <v>0</v>
      </c>
      <c r="AM97" s="34">
        <f t="shared" si="19"/>
        <v>1</v>
      </c>
      <c r="AN97" s="34">
        <f t="shared" si="19"/>
        <v>0</v>
      </c>
      <c r="AO97" s="34">
        <f t="shared" si="19"/>
        <v>0</v>
      </c>
      <c r="AP97" s="34">
        <f t="shared" si="19"/>
        <v>0</v>
      </c>
      <c r="AQ97" s="34">
        <f t="shared" si="19"/>
        <v>2</v>
      </c>
      <c r="AR97" s="34">
        <f t="shared" si="19"/>
        <v>0</v>
      </c>
      <c r="AS97" s="34">
        <f t="shared" si="19"/>
        <v>0</v>
      </c>
      <c r="AT97" s="34">
        <f t="shared" si="19"/>
        <v>0</v>
      </c>
      <c r="AU97" s="34">
        <f t="shared" si="19"/>
        <v>0</v>
      </c>
      <c r="AV97" s="34">
        <f t="shared" si="19"/>
        <v>0</v>
      </c>
      <c r="AW97" s="34">
        <f t="shared" si="19"/>
        <v>2</v>
      </c>
      <c r="AX97" s="34">
        <f t="shared" si="19"/>
        <v>1</v>
      </c>
      <c r="AY97" s="34">
        <f t="shared" si="19"/>
        <v>0</v>
      </c>
      <c r="AZ97" s="34">
        <f t="shared" si="19"/>
        <v>0</v>
      </c>
      <c r="BA97" s="34">
        <f t="shared" si="19"/>
        <v>0</v>
      </c>
      <c r="BB97" s="13">
        <f t="shared" si="13"/>
        <v>10</v>
      </c>
    </row>
    <row r="98" spans="1:54" ht="12.75" customHeight="1" x14ac:dyDescent="0.3">
      <c r="A98" s="35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13">
        <f t="shared" si="13"/>
        <v>0</v>
      </c>
    </row>
    <row r="99" spans="1:54" ht="12.75" customHeight="1" x14ac:dyDescent="0.3">
      <c r="A99" s="19" t="s">
        <v>37</v>
      </c>
      <c r="B99" s="26" t="s">
        <v>84</v>
      </c>
      <c r="C99" s="48" t="s">
        <v>85</v>
      </c>
      <c r="D99" s="47"/>
      <c r="E99" s="15"/>
      <c r="F99" s="15"/>
      <c r="G99" s="15"/>
      <c r="H99" s="15">
        <v>1</v>
      </c>
      <c r="I99" s="15"/>
      <c r="J99" s="15"/>
      <c r="K99" s="15"/>
      <c r="L99" s="15"/>
      <c r="M99" s="15"/>
      <c r="N99" s="15"/>
      <c r="O99" s="15"/>
      <c r="P99" s="15">
        <v>1</v>
      </c>
      <c r="Q99" s="15"/>
      <c r="R99" s="15"/>
      <c r="S99" s="15"/>
      <c r="T99" s="15"/>
      <c r="U99" s="15"/>
      <c r="V99" s="15">
        <v>1</v>
      </c>
      <c r="W99" s="15"/>
      <c r="X99" s="15"/>
      <c r="Y99" s="15"/>
      <c r="Z99" s="15"/>
      <c r="AA99" s="15"/>
      <c r="AB99" s="15">
        <v>4</v>
      </c>
      <c r="AC99" s="15"/>
      <c r="AD99" s="15"/>
      <c r="AE99" s="15">
        <v>5</v>
      </c>
      <c r="AF99" s="15"/>
      <c r="AG99" s="15">
        <v>2</v>
      </c>
      <c r="AH99" s="15">
        <v>2</v>
      </c>
      <c r="AI99" s="15">
        <v>3</v>
      </c>
      <c r="AJ99" s="15">
        <v>6</v>
      </c>
      <c r="AK99" s="15">
        <v>2</v>
      </c>
      <c r="AL99" s="15"/>
      <c r="AM99" s="15"/>
      <c r="AN99" s="15">
        <v>5</v>
      </c>
      <c r="AO99" s="15"/>
      <c r="AP99" s="15">
        <v>2</v>
      </c>
      <c r="AQ99" s="15">
        <v>1</v>
      </c>
      <c r="AR99" s="15"/>
      <c r="AS99" s="15"/>
      <c r="AT99" s="15">
        <v>1</v>
      </c>
      <c r="AU99" s="15"/>
      <c r="AV99" s="15"/>
      <c r="AW99" s="15"/>
      <c r="AX99" s="15">
        <v>2</v>
      </c>
      <c r="AY99" s="15"/>
      <c r="AZ99" s="15">
        <v>2</v>
      </c>
      <c r="BA99" s="15"/>
      <c r="BB99" s="13">
        <f t="shared" si="13"/>
        <v>40</v>
      </c>
    </row>
    <row r="100" spans="1:54" ht="12.75" customHeight="1" x14ac:dyDescent="0.3">
      <c r="A100" s="19" t="s">
        <v>39</v>
      </c>
      <c r="B100" s="27"/>
      <c r="C100" s="28" t="s">
        <v>86</v>
      </c>
      <c r="D100" s="29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>
        <v>1</v>
      </c>
      <c r="X100" s="15"/>
      <c r="Y100" s="15"/>
      <c r="Z100" s="15"/>
      <c r="AA100" s="15"/>
      <c r="AB100" s="15"/>
      <c r="AC100" s="15">
        <v>1</v>
      </c>
      <c r="AD100" s="15"/>
      <c r="AE100" s="15"/>
      <c r="AF100" s="15">
        <v>1</v>
      </c>
      <c r="AG100" s="15"/>
      <c r="AH100" s="15"/>
      <c r="AI100" s="15">
        <v>1</v>
      </c>
      <c r="AJ100" s="15">
        <v>1</v>
      </c>
      <c r="AK100" s="15"/>
      <c r="AL100" s="15">
        <v>1</v>
      </c>
      <c r="AM100" s="15"/>
      <c r="AN100" s="15"/>
      <c r="AO100" s="15"/>
      <c r="AP100" s="15"/>
      <c r="AQ100" s="15"/>
      <c r="AR100" s="15">
        <v>1</v>
      </c>
      <c r="AS100" s="15"/>
      <c r="AT100" s="15"/>
      <c r="AU100" s="15"/>
      <c r="AV100" s="15"/>
      <c r="AW100" s="15">
        <v>1</v>
      </c>
      <c r="AX100" s="15"/>
      <c r="AY100" s="15"/>
      <c r="AZ100" s="15"/>
      <c r="BA100" s="15"/>
      <c r="BB100" s="13">
        <f t="shared" si="13"/>
        <v>8</v>
      </c>
    </row>
    <row r="101" spans="1:54" ht="12.75" customHeight="1" x14ac:dyDescent="0.3">
      <c r="A101" s="15" t="s">
        <v>15</v>
      </c>
      <c r="B101" s="45" t="s">
        <v>47</v>
      </c>
      <c r="C101" s="46"/>
      <c r="D101" s="47"/>
      <c r="E101" s="34">
        <f t="shared" ref="E101:BA101" si="20">SUM(E99:E100)</f>
        <v>0</v>
      </c>
      <c r="F101" s="34">
        <f t="shared" si="20"/>
        <v>0</v>
      </c>
      <c r="G101" s="34">
        <f t="shared" si="20"/>
        <v>0</v>
      </c>
      <c r="H101" s="34">
        <f t="shared" si="20"/>
        <v>1</v>
      </c>
      <c r="I101" s="34">
        <f t="shared" si="20"/>
        <v>0</v>
      </c>
      <c r="J101" s="34">
        <f t="shared" si="20"/>
        <v>0</v>
      </c>
      <c r="K101" s="34">
        <f t="shared" si="20"/>
        <v>0</v>
      </c>
      <c r="L101" s="34">
        <f t="shared" si="20"/>
        <v>0</v>
      </c>
      <c r="M101" s="34">
        <f t="shared" si="20"/>
        <v>0</v>
      </c>
      <c r="N101" s="34">
        <f t="shared" si="20"/>
        <v>0</v>
      </c>
      <c r="O101" s="34">
        <f t="shared" si="20"/>
        <v>0</v>
      </c>
      <c r="P101" s="34">
        <f t="shared" si="20"/>
        <v>1</v>
      </c>
      <c r="Q101" s="34">
        <f t="shared" si="20"/>
        <v>0</v>
      </c>
      <c r="R101" s="34">
        <f t="shared" si="20"/>
        <v>0</v>
      </c>
      <c r="S101" s="34">
        <f t="shared" si="20"/>
        <v>0</v>
      </c>
      <c r="T101" s="34">
        <f t="shared" si="20"/>
        <v>0</v>
      </c>
      <c r="U101" s="34">
        <f t="shared" si="20"/>
        <v>0</v>
      </c>
      <c r="V101" s="34">
        <f t="shared" si="20"/>
        <v>1</v>
      </c>
      <c r="W101" s="34">
        <f t="shared" si="20"/>
        <v>1</v>
      </c>
      <c r="X101" s="34">
        <f t="shared" si="20"/>
        <v>0</v>
      </c>
      <c r="Y101" s="34">
        <f t="shared" si="20"/>
        <v>0</v>
      </c>
      <c r="Z101" s="34">
        <f t="shared" si="20"/>
        <v>0</v>
      </c>
      <c r="AA101" s="34">
        <f t="shared" si="20"/>
        <v>0</v>
      </c>
      <c r="AB101" s="34">
        <f t="shared" si="20"/>
        <v>4</v>
      </c>
      <c r="AC101" s="34">
        <f t="shared" si="20"/>
        <v>1</v>
      </c>
      <c r="AD101" s="34">
        <f t="shared" si="20"/>
        <v>0</v>
      </c>
      <c r="AE101" s="34">
        <f t="shared" si="20"/>
        <v>5</v>
      </c>
      <c r="AF101" s="34">
        <f t="shared" si="20"/>
        <v>1</v>
      </c>
      <c r="AG101" s="34">
        <f t="shared" si="20"/>
        <v>2</v>
      </c>
      <c r="AH101" s="34">
        <f t="shared" si="20"/>
        <v>2</v>
      </c>
      <c r="AI101" s="34">
        <f t="shared" si="20"/>
        <v>4</v>
      </c>
      <c r="AJ101" s="34">
        <f t="shared" si="20"/>
        <v>7</v>
      </c>
      <c r="AK101" s="34">
        <f t="shared" si="20"/>
        <v>2</v>
      </c>
      <c r="AL101" s="34">
        <f t="shared" si="20"/>
        <v>1</v>
      </c>
      <c r="AM101" s="34">
        <f t="shared" si="20"/>
        <v>0</v>
      </c>
      <c r="AN101" s="34">
        <f t="shared" si="20"/>
        <v>5</v>
      </c>
      <c r="AO101" s="34">
        <f t="shared" si="20"/>
        <v>0</v>
      </c>
      <c r="AP101" s="34">
        <f t="shared" si="20"/>
        <v>2</v>
      </c>
      <c r="AQ101" s="34">
        <f t="shared" si="20"/>
        <v>1</v>
      </c>
      <c r="AR101" s="34">
        <f t="shared" si="20"/>
        <v>1</v>
      </c>
      <c r="AS101" s="34">
        <f t="shared" si="20"/>
        <v>0</v>
      </c>
      <c r="AT101" s="34">
        <f t="shared" si="20"/>
        <v>1</v>
      </c>
      <c r="AU101" s="34">
        <f t="shared" si="20"/>
        <v>0</v>
      </c>
      <c r="AV101" s="34">
        <f t="shared" si="20"/>
        <v>0</v>
      </c>
      <c r="AW101" s="34">
        <f t="shared" si="20"/>
        <v>1</v>
      </c>
      <c r="AX101" s="34">
        <f t="shared" si="20"/>
        <v>2</v>
      </c>
      <c r="AY101" s="34">
        <f t="shared" si="20"/>
        <v>0</v>
      </c>
      <c r="AZ101" s="34">
        <f t="shared" si="20"/>
        <v>2</v>
      </c>
      <c r="BA101" s="34">
        <f t="shared" si="20"/>
        <v>0</v>
      </c>
      <c r="BB101" s="13">
        <f t="shared" si="13"/>
        <v>48</v>
      </c>
    </row>
    <row r="102" spans="1:54" ht="12.75" customHeight="1" x14ac:dyDescent="0.3">
      <c r="A102" s="35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13">
        <f t="shared" si="13"/>
        <v>0</v>
      </c>
    </row>
    <row r="103" spans="1:54" ht="15" customHeight="1" x14ac:dyDescent="0.3">
      <c r="A103" s="19" t="s">
        <v>37</v>
      </c>
      <c r="B103" s="26" t="s">
        <v>87</v>
      </c>
      <c r="C103" s="48" t="s">
        <v>88</v>
      </c>
      <c r="D103" s="47"/>
      <c r="E103" s="15"/>
      <c r="F103" s="15">
        <v>2</v>
      </c>
      <c r="G103" s="15"/>
      <c r="H103" s="15">
        <v>3</v>
      </c>
      <c r="I103" s="15"/>
      <c r="J103" s="15"/>
      <c r="K103" s="15">
        <v>3</v>
      </c>
      <c r="L103" s="15">
        <v>1</v>
      </c>
      <c r="M103" s="15">
        <v>2</v>
      </c>
      <c r="N103" s="15"/>
      <c r="O103" s="15">
        <v>1</v>
      </c>
      <c r="P103" s="15"/>
      <c r="Q103" s="15"/>
      <c r="R103" s="15"/>
      <c r="S103" s="15"/>
      <c r="T103" s="15"/>
      <c r="U103" s="15">
        <v>1</v>
      </c>
      <c r="V103" s="15">
        <v>1</v>
      </c>
      <c r="W103" s="15"/>
      <c r="X103" s="15"/>
      <c r="Y103" s="15">
        <v>1</v>
      </c>
      <c r="Z103" s="15"/>
      <c r="AA103" s="15">
        <v>2</v>
      </c>
      <c r="AB103" s="15"/>
      <c r="AC103" s="15">
        <v>3</v>
      </c>
      <c r="AD103" s="15"/>
      <c r="AE103" s="15">
        <v>1</v>
      </c>
      <c r="AF103" s="15"/>
      <c r="AG103" s="15"/>
      <c r="AH103" s="15">
        <v>1</v>
      </c>
      <c r="AI103" s="15">
        <v>2</v>
      </c>
      <c r="AJ103" s="15"/>
      <c r="AK103" s="15"/>
      <c r="AL103" s="15">
        <v>3</v>
      </c>
      <c r="AM103" s="15">
        <v>1</v>
      </c>
      <c r="AN103" s="15"/>
      <c r="AO103" s="15"/>
      <c r="AP103" s="15"/>
      <c r="AQ103" s="15">
        <v>1</v>
      </c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3">
        <f t="shared" si="13"/>
        <v>29</v>
      </c>
    </row>
    <row r="104" spans="1:54" ht="12.75" customHeight="1" x14ac:dyDescent="0.3">
      <c r="A104" s="19" t="s">
        <v>39</v>
      </c>
      <c r="B104" s="27"/>
      <c r="C104" s="28" t="s">
        <v>89</v>
      </c>
      <c r="D104" s="29"/>
      <c r="E104" s="15">
        <v>1</v>
      </c>
      <c r="F104" s="15">
        <v>6</v>
      </c>
      <c r="G104" s="15">
        <v>5</v>
      </c>
      <c r="H104" s="15">
        <v>5</v>
      </c>
      <c r="I104" s="15">
        <v>5</v>
      </c>
      <c r="J104" s="15">
        <v>12</v>
      </c>
      <c r="K104" s="15">
        <v>5</v>
      </c>
      <c r="L104" s="15">
        <v>4</v>
      </c>
      <c r="M104" s="15"/>
      <c r="N104" s="15">
        <v>2</v>
      </c>
      <c r="O104" s="15">
        <v>3</v>
      </c>
      <c r="P104" s="15">
        <v>2</v>
      </c>
      <c r="Q104" s="15">
        <v>1</v>
      </c>
      <c r="R104" s="15">
        <v>1</v>
      </c>
      <c r="S104" s="15">
        <v>2</v>
      </c>
      <c r="T104" s="15">
        <v>2</v>
      </c>
      <c r="U104" s="15">
        <v>4</v>
      </c>
      <c r="V104" s="15">
        <v>1</v>
      </c>
      <c r="W104" s="15">
        <v>5</v>
      </c>
      <c r="X104" s="15"/>
      <c r="Y104" s="15"/>
      <c r="Z104" s="15">
        <v>3</v>
      </c>
      <c r="AA104" s="15"/>
      <c r="AB104" s="15"/>
      <c r="AC104" s="15">
        <v>3</v>
      </c>
      <c r="AD104" s="15"/>
      <c r="AE104" s="15">
        <v>1</v>
      </c>
      <c r="AF104" s="15"/>
      <c r="AG104" s="15">
        <v>6</v>
      </c>
      <c r="AH104" s="15">
        <v>2</v>
      </c>
      <c r="AI104" s="15">
        <v>1</v>
      </c>
      <c r="AJ104" s="15"/>
      <c r="AK104" s="15">
        <v>1</v>
      </c>
      <c r="AL104" s="15">
        <v>1</v>
      </c>
      <c r="AM104" s="15">
        <v>1</v>
      </c>
      <c r="AN104" s="15"/>
      <c r="AO104" s="15">
        <v>1</v>
      </c>
      <c r="AP104" s="15">
        <v>2</v>
      </c>
      <c r="AQ104" s="15">
        <v>24</v>
      </c>
      <c r="AR104" s="15">
        <v>2</v>
      </c>
      <c r="AS104" s="15"/>
      <c r="AT104" s="15"/>
      <c r="AU104" s="15"/>
      <c r="AV104" s="15"/>
      <c r="AW104" s="15"/>
      <c r="AX104" s="15">
        <v>1</v>
      </c>
      <c r="AY104" s="15"/>
      <c r="AZ104" s="15">
        <v>1</v>
      </c>
      <c r="BA104" s="15"/>
      <c r="BB104" s="13">
        <f t="shared" si="13"/>
        <v>116</v>
      </c>
    </row>
    <row r="105" spans="1:54" ht="12.75" customHeight="1" x14ac:dyDescent="0.3">
      <c r="A105" s="14"/>
      <c r="B105" s="27"/>
      <c r="C105" s="28" t="s">
        <v>90</v>
      </c>
      <c r="D105" s="29"/>
      <c r="E105" s="15"/>
      <c r="F105" s="15"/>
      <c r="G105" s="15"/>
      <c r="H105" s="15"/>
      <c r="I105" s="15">
        <v>1</v>
      </c>
      <c r="J105" s="15"/>
      <c r="K105" s="15"/>
      <c r="L105" s="15"/>
      <c r="M105" s="15">
        <v>1</v>
      </c>
      <c r="N105" s="15">
        <v>1</v>
      </c>
      <c r="O105" s="15"/>
      <c r="P105" s="15"/>
      <c r="Q105" s="15"/>
      <c r="R105" s="15"/>
      <c r="S105" s="15">
        <v>1</v>
      </c>
      <c r="T105" s="15"/>
      <c r="U105" s="15"/>
      <c r="V105" s="15">
        <v>1</v>
      </c>
      <c r="W105" s="15"/>
      <c r="X105" s="15"/>
      <c r="Y105" s="15"/>
      <c r="Z105" s="15"/>
      <c r="AA105" s="15"/>
      <c r="AB105" s="15">
        <v>1</v>
      </c>
      <c r="AC105" s="15"/>
      <c r="AD105" s="15"/>
      <c r="AE105" s="15"/>
      <c r="AF105" s="15">
        <v>2</v>
      </c>
      <c r="AG105" s="15"/>
      <c r="AH105" s="15"/>
      <c r="AI105" s="15">
        <v>1</v>
      </c>
      <c r="AJ105" s="15"/>
      <c r="AK105" s="15"/>
      <c r="AL105" s="15">
        <v>0</v>
      </c>
      <c r="AM105" s="15"/>
      <c r="AN105" s="15"/>
      <c r="AO105" s="15"/>
      <c r="AP105" s="15">
        <v>1</v>
      </c>
      <c r="AQ105" s="15"/>
      <c r="AR105" s="15"/>
      <c r="AS105" s="15">
        <v>1</v>
      </c>
      <c r="AT105" s="15"/>
      <c r="AU105" s="15"/>
      <c r="AV105" s="15"/>
      <c r="AW105" s="15"/>
      <c r="AX105" s="15"/>
      <c r="AY105" s="15"/>
      <c r="AZ105" s="15"/>
      <c r="BA105" s="15"/>
      <c r="BB105" s="13">
        <f t="shared" si="13"/>
        <v>11</v>
      </c>
    </row>
    <row r="106" spans="1:54" ht="12.75" customHeight="1" x14ac:dyDescent="0.3">
      <c r="A106" s="14"/>
      <c r="B106" s="27"/>
      <c r="C106" s="28" t="s">
        <v>91</v>
      </c>
      <c r="D106" s="29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3">
        <f t="shared" si="13"/>
        <v>0</v>
      </c>
    </row>
    <row r="107" spans="1:54" ht="12.75" customHeight="1" x14ac:dyDescent="0.3">
      <c r="A107" s="14"/>
      <c r="B107" s="27"/>
      <c r="C107" s="28" t="s">
        <v>92</v>
      </c>
      <c r="D107" s="29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>
        <v>1</v>
      </c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>
        <v>1</v>
      </c>
      <c r="AP107" s="15">
        <v>1</v>
      </c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3">
        <f t="shared" si="13"/>
        <v>3</v>
      </c>
    </row>
    <row r="108" spans="1:54" ht="12.75" customHeight="1" x14ac:dyDescent="0.3">
      <c r="A108" s="14"/>
      <c r="B108" s="27"/>
      <c r="C108" s="28" t="s">
        <v>93</v>
      </c>
      <c r="D108" s="29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>
        <v>1</v>
      </c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>
        <v>1</v>
      </c>
      <c r="AY108" s="15"/>
      <c r="AZ108" s="15"/>
      <c r="BA108" s="15"/>
      <c r="BB108" s="13">
        <f t="shared" si="13"/>
        <v>2</v>
      </c>
    </row>
    <row r="109" spans="1:54" ht="12.75" customHeight="1" x14ac:dyDescent="0.3">
      <c r="A109" s="14"/>
      <c r="B109" s="27"/>
      <c r="C109" s="28" t="s">
        <v>94</v>
      </c>
      <c r="D109" s="29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>
        <v>1</v>
      </c>
      <c r="R109" s="15"/>
      <c r="S109" s="15"/>
      <c r="T109" s="15"/>
      <c r="U109" s="15"/>
      <c r="V109" s="15">
        <v>1</v>
      </c>
      <c r="W109" s="15"/>
      <c r="X109" s="15"/>
      <c r="Y109" s="15"/>
      <c r="Z109" s="15"/>
      <c r="AA109" s="15"/>
      <c r="AB109" s="15"/>
      <c r="AC109" s="15"/>
      <c r="AD109" s="15"/>
      <c r="AE109" s="15">
        <v>2</v>
      </c>
      <c r="AF109" s="15"/>
      <c r="AG109" s="15"/>
      <c r="AH109" s="15">
        <v>3</v>
      </c>
      <c r="AI109" s="15">
        <v>3</v>
      </c>
      <c r="AJ109" s="15">
        <v>4</v>
      </c>
      <c r="AK109" s="15"/>
      <c r="AL109" s="15"/>
      <c r="AM109" s="15"/>
      <c r="AN109" s="15"/>
      <c r="AO109" s="15">
        <v>1</v>
      </c>
      <c r="AP109" s="15"/>
      <c r="AQ109" s="15">
        <v>1</v>
      </c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3">
        <f t="shared" si="13"/>
        <v>16</v>
      </c>
    </row>
    <row r="110" spans="1:54" ht="12.75" customHeight="1" x14ac:dyDescent="0.3">
      <c r="A110" s="14"/>
      <c r="B110" s="27"/>
      <c r="C110" s="28" t="s">
        <v>95</v>
      </c>
      <c r="D110" s="29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3">
        <f t="shared" si="13"/>
        <v>0</v>
      </c>
    </row>
    <row r="111" spans="1:54" ht="12.75" customHeight="1" x14ac:dyDescent="0.3">
      <c r="A111" s="15" t="s">
        <v>15</v>
      </c>
      <c r="B111" s="45" t="s">
        <v>47</v>
      </c>
      <c r="C111" s="46"/>
      <c r="D111" s="47"/>
      <c r="E111" s="34">
        <f t="shared" ref="E111:BA111" si="21">SUM(E103:E110)</f>
        <v>1</v>
      </c>
      <c r="F111" s="34">
        <f t="shared" si="21"/>
        <v>8</v>
      </c>
      <c r="G111" s="34">
        <f t="shared" si="21"/>
        <v>5</v>
      </c>
      <c r="H111" s="34">
        <f t="shared" si="21"/>
        <v>8</v>
      </c>
      <c r="I111" s="34">
        <f t="shared" si="21"/>
        <v>6</v>
      </c>
      <c r="J111" s="34">
        <f t="shared" si="21"/>
        <v>12</v>
      </c>
      <c r="K111" s="34">
        <f t="shared" si="21"/>
        <v>8</v>
      </c>
      <c r="L111" s="34">
        <f t="shared" si="21"/>
        <v>5</v>
      </c>
      <c r="M111" s="34">
        <f t="shared" si="21"/>
        <v>3</v>
      </c>
      <c r="N111" s="34">
        <f t="shared" si="21"/>
        <v>3</v>
      </c>
      <c r="O111" s="34">
        <f t="shared" si="21"/>
        <v>4</v>
      </c>
      <c r="P111" s="34">
        <f t="shared" si="21"/>
        <v>2</v>
      </c>
      <c r="Q111" s="34">
        <f t="shared" si="21"/>
        <v>3</v>
      </c>
      <c r="R111" s="34">
        <f t="shared" si="21"/>
        <v>1</v>
      </c>
      <c r="S111" s="34">
        <f t="shared" si="21"/>
        <v>3</v>
      </c>
      <c r="T111" s="34">
        <f t="shared" si="21"/>
        <v>2</v>
      </c>
      <c r="U111" s="34">
        <f t="shared" si="21"/>
        <v>5</v>
      </c>
      <c r="V111" s="34">
        <f t="shared" si="21"/>
        <v>4</v>
      </c>
      <c r="W111" s="34">
        <f t="shared" si="21"/>
        <v>5</v>
      </c>
      <c r="X111" s="34">
        <f t="shared" si="21"/>
        <v>0</v>
      </c>
      <c r="Y111" s="34">
        <f t="shared" si="21"/>
        <v>1</v>
      </c>
      <c r="Z111" s="34">
        <f t="shared" si="21"/>
        <v>3</v>
      </c>
      <c r="AA111" s="34">
        <f t="shared" si="21"/>
        <v>2</v>
      </c>
      <c r="AB111" s="34">
        <f t="shared" si="21"/>
        <v>1</v>
      </c>
      <c r="AC111" s="34">
        <f t="shared" si="21"/>
        <v>6</v>
      </c>
      <c r="AD111" s="34">
        <f t="shared" si="21"/>
        <v>0</v>
      </c>
      <c r="AE111" s="34">
        <f t="shared" si="21"/>
        <v>4</v>
      </c>
      <c r="AF111" s="34">
        <f t="shared" si="21"/>
        <v>3</v>
      </c>
      <c r="AG111" s="34">
        <f t="shared" si="21"/>
        <v>6</v>
      </c>
      <c r="AH111" s="34">
        <f t="shared" si="21"/>
        <v>6</v>
      </c>
      <c r="AI111" s="34">
        <f t="shared" si="21"/>
        <v>7</v>
      </c>
      <c r="AJ111" s="34">
        <f t="shared" si="21"/>
        <v>4</v>
      </c>
      <c r="AK111" s="34">
        <f t="shared" si="21"/>
        <v>1</v>
      </c>
      <c r="AL111" s="34">
        <f t="shared" si="21"/>
        <v>4</v>
      </c>
      <c r="AM111" s="34">
        <f t="shared" si="21"/>
        <v>2</v>
      </c>
      <c r="AN111" s="34">
        <f t="shared" si="21"/>
        <v>0</v>
      </c>
      <c r="AO111" s="34">
        <f t="shared" si="21"/>
        <v>3</v>
      </c>
      <c r="AP111" s="34">
        <f t="shared" si="21"/>
        <v>4</v>
      </c>
      <c r="AQ111" s="34">
        <f t="shared" si="21"/>
        <v>26</v>
      </c>
      <c r="AR111" s="34">
        <f t="shared" si="21"/>
        <v>2</v>
      </c>
      <c r="AS111" s="34">
        <f t="shared" si="21"/>
        <v>1</v>
      </c>
      <c r="AT111" s="34">
        <f t="shared" si="21"/>
        <v>0</v>
      </c>
      <c r="AU111" s="34">
        <f t="shared" si="21"/>
        <v>0</v>
      </c>
      <c r="AV111" s="34">
        <f t="shared" si="21"/>
        <v>0</v>
      </c>
      <c r="AW111" s="34">
        <f t="shared" si="21"/>
        <v>0</v>
      </c>
      <c r="AX111" s="34">
        <f t="shared" si="21"/>
        <v>2</v>
      </c>
      <c r="AY111" s="34">
        <f t="shared" si="21"/>
        <v>0</v>
      </c>
      <c r="AZ111" s="34">
        <f t="shared" si="21"/>
        <v>1</v>
      </c>
      <c r="BA111" s="34">
        <f t="shared" si="21"/>
        <v>0</v>
      </c>
      <c r="BB111" s="13">
        <f t="shared" si="13"/>
        <v>177</v>
      </c>
    </row>
    <row r="112" spans="1:54" ht="12.75" customHeight="1" x14ac:dyDescent="0.3">
      <c r="A112" s="35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13">
        <f t="shared" si="13"/>
        <v>0</v>
      </c>
    </row>
    <row r="113" spans="1:56" ht="12.75" customHeight="1" x14ac:dyDescent="0.3">
      <c r="A113" s="19" t="s">
        <v>37</v>
      </c>
      <c r="B113" s="26" t="s">
        <v>96</v>
      </c>
      <c r="C113" s="48" t="s">
        <v>97</v>
      </c>
      <c r="D113" s="47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>
        <v>1</v>
      </c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>
        <v>2</v>
      </c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3">
        <f t="shared" si="13"/>
        <v>3</v>
      </c>
    </row>
    <row r="114" spans="1:56" ht="12.75" customHeight="1" x14ac:dyDescent="0.3">
      <c r="A114" s="19" t="s">
        <v>39</v>
      </c>
      <c r="B114" s="26"/>
      <c r="C114" s="28" t="s">
        <v>98</v>
      </c>
      <c r="D114" s="37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>
        <v>1</v>
      </c>
      <c r="P114" s="15"/>
      <c r="Q114" s="15"/>
      <c r="R114" s="15"/>
      <c r="S114" s="15">
        <v>1</v>
      </c>
      <c r="T114" s="15">
        <v>1</v>
      </c>
      <c r="U114" s="15"/>
      <c r="V114" s="15"/>
      <c r="W114" s="15"/>
      <c r="X114" s="15"/>
      <c r="Y114" s="15"/>
      <c r="Z114" s="15"/>
      <c r="AA114" s="15">
        <v>1</v>
      </c>
      <c r="AB114" s="15"/>
      <c r="AC114" s="15"/>
      <c r="AD114" s="15">
        <v>2</v>
      </c>
      <c r="AE114" s="15">
        <v>1</v>
      </c>
      <c r="AF114" s="15"/>
      <c r="AG114" s="15"/>
      <c r="AH114" s="15"/>
      <c r="AI114" s="15">
        <v>1</v>
      </c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>
        <v>1</v>
      </c>
      <c r="AV114" s="15"/>
      <c r="AW114" s="15"/>
      <c r="AX114" s="15"/>
      <c r="AY114" s="15"/>
      <c r="AZ114" s="15"/>
      <c r="BA114" s="15">
        <v>1</v>
      </c>
      <c r="BB114" s="13">
        <f t="shared" si="13"/>
        <v>10</v>
      </c>
    </row>
    <row r="115" spans="1:56" ht="12.75" customHeight="1" x14ac:dyDescent="0.3">
      <c r="A115" s="19"/>
      <c r="B115" s="26"/>
      <c r="C115" s="28" t="s">
        <v>99</v>
      </c>
      <c r="D115" s="37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>
        <v>1</v>
      </c>
      <c r="R115" s="15"/>
      <c r="S115" s="15"/>
      <c r="T115" s="15">
        <v>1</v>
      </c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>
        <v>1</v>
      </c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3">
        <f t="shared" si="13"/>
        <v>3</v>
      </c>
    </row>
    <row r="116" spans="1:56" ht="12.75" customHeight="1" x14ac:dyDescent="0.3">
      <c r="A116" s="15" t="s">
        <v>15</v>
      </c>
      <c r="B116" s="45" t="s">
        <v>47</v>
      </c>
      <c r="C116" s="46"/>
      <c r="D116" s="47"/>
      <c r="E116" s="34">
        <f t="shared" ref="E116:BA116" si="22">SUM(E113:E115)</f>
        <v>0</v>
      </c>
      <c r="F116" s="34">
        <f t="shared" si="22"/>
        <v>0</v>
      </c>
      <c r="G116" s="34">
        <f t="shared" si="22"/>
        <v>0</v>
      </c>
      <c r="H116" s="34">
        <f t="shared" si="22"/>
        <v>0</v>
      </c>
      <c r="I116" s="34">
        <f t="shared" si="22"/>
        <v>0</v>
      </c>
      <c r="J116" s="34">
        <f t="shared" si="22"/>
        <v>0</v>
      </c>
      <c r="K116" s="34">
        <f t="shared" si="22"/>
        <v>0</v>
      </c>
      <c r="L116" s="34">
        <f t="shared" si="22"/>
        <v>0</v>
      </c>
      <c r="M116" s="34">
        <f t="shared" si="22"/>
        <v>0</v>
      </c>
      <c r="N116" s="34">
        <f t="shared" si="22"/>
        <v>0</v>
      </c>
      <c r="O116" s="34">
        <f t="shared" si="22"/>
        <v>1</v>
      </c>
      <c r="P116" s="34">
        <f t="shared" si="22"/>
        <v>0</v>
      </c>
      <c r="Q116" s="34">
        <f t="shared" si="22"/>
        <v>1</v>
      </c>
      <c r="R116" s="34">
        <f t="shared" si="22"/>
        <v>0</v>
      </c>
      <c r="S116" s="34">
        <f t="shared" si="22"/>
        <v>2</v>
      </c>
      <c r="T116" s="34">
        <f t="shared" si="22"/>
        <v>2</v>
      </c>
      <c r="U116" s="34">
        <f t="shared" si="22"/>
        <v>0</v>
      </c>
      <c r="V116" s="34">
        <f t="shared" si="22"/>
        <v>0</v>
      </c>
      <c r="W116" s="34">
        <f t="shared" si="22"/>
        <v>0</v>
      </c>
      <c r="X116" s="34">
        <f t="shared" si="22"/>
        <v>0</v>
      </c>
      <c r="Y116" s="34">
        <f t="shared" si="22"/>
        <v>0</v>
      </c>
      <c r="Z116" s="34">
        <f t="shared" si="22"/>
        <v>0</v>
      </c>
      <c r="AA116" s="34">
        <f t="shared" si="22"/>
        <v>1</v>
      </c>
      <c r="AB116" s="34">
        <f t="shared" si="22"/>
        <v>0</v>
      </c>
      <c r="AC116" s="34">
        <f t="shared" si="22"/>
        <v>0</v>
      </c>
      <c r="AD116" s="34">
        <f t="shared" si="22"/>
        <v>2</v>
      </c>
      <c r="AE116" s="34">
        <f t="shared" si="22"/>
        <v>1</v>
      </c>
      <c r="AF116" s="34">
        <f t="shared" si="22"/>
        <v>1</v>
      </c>
      <c r="AG116" s="34">
        <f t="shared" si="22"/>
        <v>0</v>
      </c>
      <c r="AH116" s="34">
        <f t="shared" si="22"/>
        <v>0</v>
      </c>
      <c r="AI116" s="34">
        <f t="shared" si="22"/>
        <v>1</v>
      </c>
      <c r="AJ116" s="34">
        <f t="shared" si="22"/>
        <v>0</v>
      </c>
      <c r="AK116" s="34">
        <f t="shared" si="22"/>
        <v>0</v>
      </c>
      <c r="AL116" s="34">
        <f t="shared" si="22"/>
        <v>0</v>
      </c>
      <c r="AM116" s="34">
        <f t="shared" si="22"/>
        <v>0</v>
      </c>
      <c r="AN116" s="34">
        <f t="shared" si="22"/>
        <v>0</v>
      </c>
      <c r="AO116" s="34">
        <f t="shared" si="22"/>
        <v>0</v>
      </c>
      <c r="AP116" s="34">
        <f t="shared" si="22"/>
        <v>0</v>
      </c>
      <c r="AQ116" s="34">
        <f t="shared" si="22"/>
        <v>2</v>
      </c>
      <c r="AR116" s="34">
        <f t="shared" si="22"/>
        <v>0</v>
      </c>
      <c r="AS116" s="34">
        <f t="shared" si="22"/>
        <v>0</v>
      </c>
      <c r="AT116" s="34">
        <f t="shared" si="22"/>
        <v>0</v>
      </c>
      <c r="AU116" s="34">
        <f t="shared" si="22"/>
        <v>1</v>
      </c>
      <c r="AV116" s="34">
        <f t="shared" si="22"/>
        <v>0</v>
      </c>
      <c r="AW116" s="34">
        <f t="shared" si="22"/>
        <v>0</v>
      </c>
      <c r="AX116" s="34">
        <f t="shared" si="22"/>
        <v>0</v>
      </c>
      <c r="AY116" s="34">
        <f t="shared" si="22"/>
        <v>0</v>
      </c>
      <c r="AZ116" s="34">
        <f t="shared" si="22"/>
        <v>0</v>
      </c>
      <c r="BA116" s="34">
        <f t="shared" si="22"/>
        <v>1</v>
      </c>
      <c r="BB116" s="13">
        <f t="shared" si="13"/>
        <v>16</v>
      </c>
    </row>
    <row r="117" spans="1:56" ht="12.75" customHeight="1" x14ac:dyDescent="0.3">
      <c r="A117" s="35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13">
        <f t="shared" si="13"/>
        <v>0</v>
      </c>
      <c r="BC117" s="5"/>
      <c r="BD117" s="5"/>
    </row>
    <row r="118" spans="1:56" ht="12.75" customHeight="1" x14ac:dyDescent="0.3">
      <c r="A118" s="19" t="s">
        <v>37</v>
      </c>
      <c r="B118" s="26" t="s">
        <v>100</v>
      </c>
      <c r="C118" s="48" t="s">
        <v>101</v>
      </c>
      <c r="D118" s="47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>
        <v>1</v>
      </c>
      <c r="X118" s="15"/>
      <c r="Y118" s="15"/>
      <c r="Z118" s="15"/>
      <c r="AA118" s="15">
        <v>1</v>
      </c>
      <c r="AB118" s="15"/>
      <c r="AC118" s="15"/>
      <c r="AD118" s="15"/>
      <c r="AE118" s="15">
        <v>1</v>
      </c>
      <c r="AF118" s="15">
        <v>2</v>
      </c>
      <c r="AG118" s="15"/>
      <c r="AH118" s="15">
        <v>1</v>
      </c>
      <c r="AI118" s="15"/>
      <c r="AJ118" s="15">
        <v>1</v>
      </c>
      <c r="AK118" s="15"/>
      <c r="AL118" s="15"/>
      <c r="AM118" s="15"/>
      <c r="AN118" s="15"/>
      <c r="AO118" s="15"/>
      <c r="AP118" s="15"/>
      <c r="AQ118" s="15"/>
      <c r="AR118" s="15"/>
      <c r="AS118" s="15">
        <v>1</v>
      </c>
      <c r="AT118" s="15"/>
      <c r="AU118" s="15"/>
      <c r="AV118" s="15"/>
      <c r="AW118" s="15">
        <v>1</v>
      </c>
      <c r="AX118" s="15"/>
      <c r="AY118" s="15">
        <v>1</v>
      </c>
      <c r="AZ118" s="15"/>
      <c r="BA118" s="15"/>
      <c r="BB118" s="13">
        <f t="shared" si="13"/>
        <v>10</v>
      </c>
      <c r="BC118" s="5"/>
      <c r="BD118" s="5"/>
    </row>
    <row r="119" spans="1:56" ht="12.75" customHeight="1" x14ac:dyDescent="0.3">
      <c r="A119" s="19" t="s">
        <v>39</v>
      </c>
      <c r="B119" s="27"/>
      <c r="C119" s="28" t="s">
        <v>102</v>
      </c>
      <c r="D119" s="29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3">
        <f t="shared" si="13"/>
        <v>0</v>
      </c>
      <c r="BC119" s="5"/>
      <c r="BD119" s="5"/>
    </row>
    <row r="120" spans="1:56" ht="12.75" customHeight="1" x14ac:dyDescent="0.3">
      <c r="A120" s="14"/>
      <c r="B120" s="27"/>
      <c r="C120" s="28" t="s">
        <v>103</v>
      </c>
      <c r="D120" s="29"/>
      <c r="E120" s="15"/>
      <c r="F120" s="15"/>
      <c r="G120" s="15"/>
      <c r="H120" s="15"/>
      <c r="I120" s="15">
        <v>1</v>
      </c>
      <c r="J120" s="15">
        <v>1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>
        <v>2</v>
      </c>
      <c r="AI120" s="15">
        <v>1</v>
      </c>
      <c r="AJ120" s="15"/>
      <c r="AK120" s="15"/>
      <c r="AL120" s="15"/>
      <c r="AM120" s="15"/>
      <c r="AN120" s="15"/>
      <c r="AO120" s="15"/>
      <c r="AP120" s="15"/>
      <c r="AQ120" s="15"/>
      <c r="AR120" s="15"/>
      <c r="AS120" s="15">
        <v>1</v>
      </c>
      <c r="AT120" s="15"/>
      <c r="AU120" s="15">
        <v>1</v>
      </c>
      <c r="AV120" s="15"/>
      <c r="AW120" s="15"/>
      <c r="AX120" s="15"/>
      <c r="AY120" s="15"/>
      <c r="AZ120" s="15"/>
      <c r="BA120" s="15"/>
      <c r="BB120" s="13">
        <f t="shared" si="13"/>
        <v>7</v>
      </c>
      <c r="BC120" s="5"/>
      <c r="BD120" s="5"/>
    </row>
    <row r="121" spans="1:56" ht="12.75" customHeight="1" x14ac:dyDescent="0.3">
      <c r="A121" s="14"/>
      <c r="B121" s="27"/>
      <c r="C121" s="28" t="s">
        <v>104</v>
      </c>
      <c r="D121" s="29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>
        <v>1</v>
      </c>
      <c r="AZ121" s="15"/>
      <c r="BA121" s="15"/>
      <c r="BB121" s="13">
        <f t="shared" si="13"/>
        <v>1</v>
      </c>
      <c r="BC121" s="5"/>
      <c r="BD121" s="5"/>
    </row>
    <row r="122" spans="1:56" ht="12.75" customHeight="1" x14ac:dyDescent="0.3">
      <c r="A122" s="14"/>
      <c r="B122" s="27"/>
      <c r="C122" s="28" t="s">
        <v>105</v>
      </c>
      <c r="D122" s="29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3">
        <f t="shared" si="13"/>
        <v>0</v>
      </c>
      <c r="BC122" s="5"/>
      <c r="BD122" s="5"/>
    </row>
    <row r="123" spans="1:56" ht="12.75" customHeight="1" x14ac:dyDescent="0.3">
      <c r="A123" s="14"/>
      <c r="B123" s="27"/>
      <c r="C123" s="28" t="s">
        <v>106</v>
      </c>
      <c r="D123" s="29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>
        <v>1</v>
      </c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3">
        <f t="shared" si="13"/>
        <v>1</v>
      </c>
      <c r="BC123" s="5"/>
      <c r="BD123" s="5"/>
    </row>
    <row r="124" spans="1:56" ht="12.75" customHeight="1" x14ac:dyDescent="0.3">
      <c r="A124" s="14"/>
      <c r="B124" s="27"/>
      <c r="C124" s="28" t="s">
        <v>107</v>
      </c>
      <c r="D124" s="29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>
        <v>0</v>
      </c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3">
        <f t="shared" si="13"/>
        <v>0</v>
      </c>
      <c r="BC124" s="5"/>
      <c r="BD124" s="5"/>
    </row>
    <row r="125" spans="1:56" ht="12.75" customHeight="1" x14ac:dyDescent="0.3">
      <c r="A125" s="14"/>
      <c r="B125" s="27"/>
      <c r="C125" s="28" t="s">
        <v>108</v>
      </c>
      <c r="D125" s="29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>
        <v>3</v>
      </c>
      <c r="AD125" s="15">
        <v>13</v>
      </c>
      <c r="AE125" s="15">
        <v>13</v>
      </c>
      <c r="AF125" s="15">
        <v>6</v>
      </c>
      <c r="AG125" s="15">
        <v>9</v>
      </c>
      <c r="AH125" s="15">
        <v>12</v>
      </c>
      <c r="AI125" s="15">
        <v>12</v>
      </c>
      <c r="AJ125" s="15">
        <v>16</v>
      </c>
      <c r="AK125" s="15">
        <v>1</v>
      </c>
      <c r="AL125" s="15">
        <v>6</v>
      </c>
      <c r="AM125" s="15"/>
      <c r="AN125" s="15"/>
      <c r="AO125" s="15"/>
      <c r="AP125" s="15"/>
      <c r="AQ125" s="15">
        <v>4</v>
      </c>
      <c r="AR125" s="15">
        <v>1</v>
      </c>
      <c r="AS125" s="15">
        <v>1</v>
      </c>
      <c r="AT125" s="15"/>
      <c r="AU125" s="15"/>
      <c r="AV125" s="15">
        <v>1</v>
      </c>
      <c r="AW125" s="15"/>
      <c r="AX125" s="15"/>
      <c r="AY125" s="15">
        <v>18</v>
      </c>
      <c r="AZ125" s="15">
        <v>22</v>
      </c>
      <c r="BA125" s="15">
        <v>17</v>
      </c>
      <c r="BB125" s="13">
        <f t="shared" si="13"/>
        <v>155</v>
      </c>
      <c r="BC125" s="5"/>
      <c r="BD125" s="5"/>
    </row>
    <row r="126" spans="1:56" ht="12.75" customHeight="1" x14ac:dyDescent="0.3">
      <c r="A126" s="15" t="s">
        <v>15</v>
      </c>
      <c r="B126" s="45" t="s">
        <v>47</v>
      </c>
      <c r="C126" s="46"/>
      <c r="D126" s="47"/>
      <c r="E126" s="34">
        <f t="shared" ref="E126:BA126" si="23">SUM(E118:E125)</f>
        <v>0</v>
      </c>
      <c r="F126" s="34">
        <f t="shared" si="23"/>
        <v>0</v>
      </c>
      <c r="G126" s="34">
        <f t="shared" si="23"/>
        <v>0</v>
      </c>
      <c r="H126" s="34">
        <f t="shared" si="23"/>
        <v>0</v>
      </c>
      <c r="I126" s="34">
        <f t="shared" si="23"/>
        <v>1</v>
      </c>
      <c r="J126" s="34">
        <f t="shared" si="23"/>
        <v>1</v>
      </c>
      <c r="K126" s="34">
        <f t="shared" si="23"/>
        <v>0</v>
      </c>
      <c r="L126" s="34">
        <f t="shared" si="23"/>
        <v>0</v>
      </c>
      <c r="M126" s="34">
        <f t="shared" si="23"/>
        <v>0</v>
      </c>
      <c r="N126" s="34">
        <f t="shared" si="23"/>
        <v>0</v>
      </c>
      <c r="O126" s="34">
        <f t="shared" si="23"/>
        <v>0</v>
      </c>
      <c r="P126" s="34">
        <f t="shared" si="23"/>
        <v>0</v>
      </c>
      <c r="Q126" s="34">
        <f t="shared" si="23"/>
        <v>0</v>
      </c>
      <c r="R126" s="34">
        <f t="shared" si="23"/>
        <v>0</v>
      </c>
      <c r="S126" s="34">
        <f t="shared" si="23"/>
        <v>0</v>
      </c>
      <c r="T126" s="34">
        <f t="shared" si="23"/>
        <v>0</v>
      </c>
      <c r="U126" s="34">
        <f t="shared" si="23"/>
        <v>0</v>
      </c>
      <c r="V126" s="34">
        <f t="shared" si="23"/>
        <v>0</v>
      </c>
      <c r="W126" s="34">
        <f t="shared" si="23"/>
        <v>1</v>
      </c>
      <c r="X126" s="34">
        <f t="shared" si="23"/>
        <v>0</v>
      </c>
      <c r="Y126" s="34">
        <f t="shared" si="23"/>
        <v>0</v>
      </c>
      <c r="Z126" s="34">
        <f t="shared" si="23"/>
        <v>0</v>
      </c>
      <c r="AA126" s="34">
        <f t="shared" si="23"/>
        <v>1</v>
      </c>
      <c r="AB126" s="34">
        <f t="shared" si="23"/>
        <v>0</v>
      </c>
      <c r="AC126" s="34">
        <f t="shared" si="23"/>
        <v>3</v>
      </c>
      <c r="AD126" s="34">
        <f t="shared" si="23"/>
        <v>13</v>
      </c>
      <c r="AE126" s="34">
        <f t="shared" si="23"/>
        <v>14</v>
      </c>
      <c r="AF126" s="34">
        <f t="shared" si="23"/>
        <v>8</v>
      </c>
      <c r="AG126" s="34">
        <f t="shared" si="23"/>
        <v>9</v>
      </c>
      <c r="AH126" s="34">
        <f t="shared" si="23"/>
        <v>15</v>
      </c>
      <c r="AI126" s="34">
        <f t="shared" si="23"/>
        <v>13</v>
      </c>
      <c r="AJ126" s="34">
        <f t="shared" si="23"/>
        <v>18</v>
      </c>
      <c r="AK126" s="34">
        <f t="shared" si="23"/>
        <v>1</v>
      </c>
      <c r="AL126" s="34">
        <f t="shared" si="23"/>
        <v>6</v>
      </c>
      <c r="AM126" s="34">
        <f t="shared" si="23"/>
        <v>0</v>
      </c>
      <c r="AN126" s="34">
        <f t="shared" si="23"/>
        <v>0</v>
      </c>
      <c r="AO126" s="34">
        <f t="shared" si="23"/>
        <v>0</v>
      </c>
      <c r="AP126" s="34">
        <f t="shared" si="23"/>
        <v>0</v>
      </c>
      <c r="AQ126" s="34">
        <f t="shared" si="23"/>
        <v>4</v>
      </c>
      <c r="AR126" s="34">
        <f t="shared" si="23"/>
        <v>1</v>
      </c>
      <c r="AS126" s="34">
        <f t="shared" si="23"/>
        <v>3</v>
      </c>
      <c r="AT126" s="34">
        <f t="shared" si="23"/>
        <v>0</v>
      </c>
      <c r="AU126" s="34">
        <f t="shared" si="23"/>
        <v>1</v>
      </c>
      <c r="AV126" s="34">
        <f t="shared" si="23"/>
        <v>1</v>
      </c>
      <c r="AW126" s="34">
        <f t="shared" si="23"/>
        <v>1</v>
      </c>
      <c r="AX126" s="34">
        <f t="shared" si="23"/>
        <v>0</v>
      </c>
      <c r="AY126" s="34">
        <f t="shared" si="23"/>
        <v>20</v>
      </c>
      <c r="AZ126" s="34">
        <f t="shared" si="23"/>
        <v>22</v>
      </c>
      <c r="BA126" s="34">
        <f t="shared" si="23"/>
        <v>17</v>
      </c>
      <c r="BB126" s="13">
        <f t="shared" si="13"/>
        <v>174</v>
      </c>
      <c r="BC126" s="5"/>
      <c r="BD126" s="5"/>
    </row>
    <row r="127" spans="1:56" ht="15" customHeight="1" x14ac:dyDescent="0.3">
      <c r="A127" s="35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13">
        <f t="shared" si="13"/>
        <v>0</v>
      </c>
      <c r="BC127" s="5"/>
      <c r="BD127" s="5"/>
    </row>
    <row r="128" spans="1:56" ht="12.75" customHeight="1" x14ac:dyDescent="0.3">
      <c r="A128" s="19" t="s">
        <v>37</v>
      </c>
      <c r="B128" s="26" t="s">
        <v>109</v>
      </c>
      <c r="C128" s="48" t="s">
        <v>110</v>
      </c>
      <c r="D128" s="47"/>
      <c r="E128" s="15"/>
      <c r="F128" s="15"/>
      <c r="G128" s="15"/>
      <c r="H128" s="15"/>
      <c r="I128" s="15"/>
      <c r="J128" s="15"/>
      <c r="K128" s="15">
        <v>1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>
        <v>1</v>
      </c>
      <c r="X128" s="15">
        <v>1</v>
      </c>
      <c r="Y128" s="15"/>
      <c r="Z128" s="15"/>
      <c r="AA128" s="15"/>
      <c r="AB128" s="15"/>
      <c r="AC128" s="15"/>
      <c r="AD128" s="15"/>
      <c r="AE128" s="15"/>
      <c r="AF128" s="15"/>
      <c r="AG128" s="15"/>
      <c r="AH128" s="15">
        <v>1</v>
      </c>
      <c r="AI128" s="15"/>
      <c r="AJ128" s="15"/>
      <c r="AK128" s="15">
        <v>1</v>
      </c>
      <c r="AL128" s="15"/>
      <c r="AM128" s="15">
        <v>2</v>
      </c>
      <c r="AN128" s="15"/>
      <c r="AO128" s="15"/>
      <c r="AP128" s="15"/>
      <c r="AQ128" s="15"/>
      <c r="AR128" s="15"/>
      <c r="AS128" s="15"/>
      <c r="AT128" s="15">
        <v>1</v>
      </c>
      <c r="AU128" s="15">
        <v>1</v>
      </c>
      <c r="AV128" s="15"/>
      <c r="AW128" s="15"/>
      <c r="AX128" s="15"/>
      <c r="AY128" s="15"/>
      <c r="AZ128" s="15"/>
      <c r="BA128" s="15"/>
      <c r="BB128" s="13">
        <f t="shared" si="13"/>
        <v>9</v>
      </c>
      <c r="BC128" s="5"/>
      <c r="BD128" s="5"/>
    </row>
    <row r="129" spans="1:56" ht="12.75" customHeight="1" x14ac:dyDescent="0.3">
      <c r="A129" s="19" t="s">
        <v>39</v>
      </c>
      <c r="B129" s="27"/>
      <c r="C129" s="28"/>
      <c r="D129" s="29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3">
        <f t="shared" si="13"/>
        <v>0</v>
      </c>
      <c r="BC129" s="5"/>
      <c r="BD129" s="5"/>
    </row>
    <row r="130" spans="1:56" ht="12.75" customHeight="1" x14ac:dyDescent="0.3">
      <c r="A130" s="15" t="s">
        <v>15</v>
      </c>
      <c r="B130" s="45" t="s">
        <v>47</v>
      </c>
      <c r="C130" s="46"/>
      <c r="D130" s="47"/>
      <c r="E130" s="34">
        <f t="shared" ref="E130:BA130" si="24">SUM(E128:E129)</f>
        <v>0</v>
      </c>
      <c r="F130" s="34">
        <f t="shared" si="24"/>
        <v>0</v>
      </c>
      <c r="G130" s="34">
        <f t="shared" si="24"/>
        <v>0</v>
      </c>
      <c r="H130" s="34">
        <f t="shared" si="24"/>
        <v>0</v>
      </c>
      <c r="I130" s="34">
        <f t="shared" si="24"/>
        <v>0</v>
      </c>
      <c r="J130" s="34">
        <f t="shared" si="24"/>
        <v>0</v>
      </c>
      <c r="K130" s="34">
        <f t="shared" si="24"/>
        <v>1</v>
      </c>
      <c r="L130" s="34">
        <f t="shared" si="24"/>
        <v>0</v>
      </c>
      <c r="M130" s="34">
        <f t="shared" si="24"/>
        <v>0</v>
      </c>
      <c r="N130" s="34">
        <f t="shared" si="24"/>
        <v>0</v>
      </c>
      <c r="O130" s="34">
        <f t="shared" si="24"/>
        <v>0</v>
      </c>
      <c r="P130" s="34">
        <f t="shared" si="24"/>
        <v>0</v>
      </c>
      <c r="Q130" s="34">
        <f t="shared" si="24"/>
        <v>0</v>
      </c>
      <c r="R130" s="34">
        <f t="shared" si="24"/>
        <v>0</v>
      </c>
      <c r="S130" s="34">
        <f t="shared" si="24"/>
        <v>0</v>
      </c>
      <c r="T130" s="34">
        <f t="shared" si="24"/>
        <v>0</v>
      </c>
      <c r="U130" s="34">
        <f t="shared" si="24"/>
        <v>0</v>
      </c>
      <c r="V130" s="34">
        <f t="shared" si="24"/>
        <v>0</v>
      </c>
      <c r="W130" s="34">
        <f t="shared" si="24"/>
        <v>1</v>
      </c>
      <c r="X130" s="34">
        <f t="shared" si="24"/>
        <v>1</v>
      </c>
      <c r="Y130" s="34">
        <f t="shared" si="24"/>
        <v>0</v>
      </c>
      <c r="Z130" s="34">
        <f t="shared" si="24"/>
        <v>0</v>
      </c>
      <c r="AA130" s="34">
        <f t="shared" si="24"/>
        <v>0</v>
      </c>
      <c r="AB130" s="34">
        <f t="shared" si="24"/>
        <v>0</v>
      </c>
      <c r="AC130" s="34">
        <f t="shared" si="24"/>
        <v>0</v>
      </c>
      <c r="AD130" s="34">
        <f t="shared" si="24"/>
        <v>0</v>
      </c>
      <c r="AE130" s="34">
        <f t="shared" si="24"/>
        <v>0</v>
      </c>
      <c r="AF130" s="34">
        <f t="shared" si="24"/>
        <v>0</v>
      </c>
      <c r="AG130" s="34">
        <f t="shared" si="24"/>
        <v>0</v>
      </c>
      <c r="AH130" s="34">
        <f t="shared" si="24"/>
        <v>1</v>
      </c>
      <c r="AI130" s="34">
        <f t="shared" si="24"/>
        <v>0</v>
      </c>
      <c r="AJ130" s="34">
        <f t="shared" si="24"/>
        <v>0</v>
      </c>
      <c r="AK130" s="34">
        <f t="shared" si="24"/>
        <v>1</v>
      </c>
      <c r="AL130" s="34">
        <f t="shared" si="24"/>
        <v>0</v>
      </c>
      <c r="AM130" s="34">
        <f t="shared" si="24"/>
        <v>2</v>
      </c>
      <c r="AN130" s="34">
        <f t="shared" si="24"/>
        <v>0</v>
      </c>
      <c r="AO130" s="34">
        <f t="shared" si="24"/>
        <v>0</v>
      </c>
      <c r="AP130" s="34">
        <f t="shared" si="24"/>
        <v>0</v>
      </c>
      <c r="AQ130" s="34">
        <f t="shared" si="24"/>
        <v>0</v>
      </c>
      <c r="AR130" s="34">
        <f t="shared" si="24"/>
        <v>0</v>
      </c>
      <c r="AS130" s="34">
        <f t="shared" si="24"/>
        <v>0</v>
      </c>
      <c r="AT130" s="34">
        <f t="shared" si="24"/>
        <v>1</v>
      </c>
      <c r="AU130" s="34">
        <f t="shared" si="24"/>
        <v>1</v>
      </c>
      <c r="AV130" s="34">
        <f t="shared" si="24"/>
        <v>0</v>
      </c>
      <c r="AW130" s="34">
        <f t="shared" si="24"/>
        <v>0</v>
      </c>
      <c r="AX130" s="34">
        <f t="shared" si="24"/>
        <v>0</v>
      </c>
      <c r="AY130" s="34">
        <f t="shared" si="24"/>
        <v>0</v>
      </c>
      <c r="AZ130" s="34">
        <f t="shared" si="24"/>
        <v>0</v>
      </c>
      <c r="BA130" s="34">
        <f t="shared" si="24"/>
        <v>0</v>
      </c>
      <c r="BB130" s="13">
        <f t="shared" si="13"/>
        <v>9</v>
      </c>
      <c r="BC130" s="1"/>
      <c r="BD130" s="1"/>
    </row>
    <row r="131" spans="1:56" ht="12.75" customHeight="1" x14ac:dyDescent="0.3">
      <c r="A131" s="35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13">
        <f t="shared" si="13"/>
        <v>0</v>
      </c>
      <c r="BC131" s="31"/>
      <c r="BD131" s="31"/>
    </row>
    <row r="132" spans="1:56" ht="12.75" customHeight="1" x14ac:dyDescent="0.3">
      <c r="A132" s="19" t="s">
        <v>37</v>
      </c>
      <c r="B132" s="26" t="s">
        <v>111</v>
      </c>
      <c r="C132" s="48" t="s">
        <v>112</v>
      </c>
      <c r="D132" s="47"/>
      <c r="E132" s="15">
        <v>2</v>
      </c>
      <c r="F132" s="15"/>
      <c r="G132" s="15"/>
      <c r="H132" s="15">
        <v>1</v>
      </c>
      <c r="I132" s="15"/>
      <c r="J132" s="15"/>
      <c r="K132" s="15"/>
      <c r="L132" s="15"/>
      <c r="M132" s="15"/>
      <c r="N132" s="15">
        <v>1</v>
      </c>
      <c r="O132" s="15"/>
      <c r="P132" s="15"/>
      <c r="Q132" s="15"/>
      <c r="R132" s="15"/>
      <c r="S132" s="15"/>
      <c r="T132" s="15"/>
      <c r="U132" s="15"/>
      <c r="V132" s="15"/>
      <c r="W132" s="15">
        <v>1</v>
      </c>
      <c r="X132" s="15"/>
      <c r="Y132" s="15"/>
      <c r="Z132" s="15">
        <v>1</v>
      </c>
      <c r="AA132" s="15"/>
      <c r="AB132" s="15"/>
      <c r="AC132" s="15">
        <v>1</v>
      </c>
      <c r="AD132" s="15"/>
      <c r="AE132" s="15"/>
      <c r="AF132" s="15"/>
      <c r="AG132" s="15">
        <v>1</v>
      </c>
      <c r="AH132" s="15"/>
      <c r="AI132" s="15"/>
      <c r="AJ132" s="15"/>
      <c r="AK132" s="15"/>
      <c r="AL132" s="15">
        <v>1</v>
      </c>
      <c r="AM132" s="15"/>
      <c r="AN132" s="15">
        <v>1</v>
      </c>
      <c r="AO132" s="15"/>
      <c r="AP132" s="15"/>
      <c r="AQ132" s="15"/>
      <c r="AR132" s="15">
        <v>1</v>
      </c>
      <c r="AS132" s="15"/>
      <c r="AT132" s="15"/>
      <c r="AU132" s="15"/>
      <c r="AV132" s="15"/>
      <c r="AW132" s="15"/>
      <c r="AX132" s="15"/>
      <c r="AY132" s="15">
        <v>1</v>
      </c>
      <c r="AZ132" s="15"/>
      <c r="BA132" s="15"/>
      <c r="BB132" s="13">
        <f t="shared" si="13"/>
        <v>12</v>
      </c>
      <c r="BC132" s="5"/>
      <c r="BD132" s="5"/>
    </row>
    <row r="133" spans="1:56" ht="12.75" customHeight="1" x14ac:dyDescent="0.3">
      <c r="A133" s="19" t="s">
        <v>39</v>
      </c>
      <c r="B133" s="27"/>
      <c r="C133" s="28" t="s">
        <v>113</v>
      </c>
      <c r="D133" s="29"/>
      <c r="E133" s="15"/>
      <c r="F133" s="15"/>
      <c r="G133" s="15"/>
      <c r="H133" s="15">
        <v>1</v>
      </c>
      <c r="I133" s="15">
        <v>1</v>
      </c>
      <c r="J133" s="15"/>
      <c r="K133" s="15">
        <v>1</v>
      </c>
      <c r="L133" s="15"/>
      <c r="M133" s="15"/>
      <c r="N133" s="15"/>
      <c r="O133" s="15"/>
      <c r="P133" s="15"/>
      <c r="Q133" s="15">
        <v>1</v>
      </c>
      <c r="R133" s="15"/>
      <c r="S133" s="15"/>
      <c r="T133" s="15"/>
      <c r="U133" s="15"/>
      <c r="V133" s="15"/>
      <c r="W133" s="15"/>
      <c r="X133" s="15">
        <v>1</v>
      </c>
      <c r="Y133" s="15"/>
      <c r="Z133" s="15"/>
      <c r="AA133" s="15"/>
      <c r="AB133" s="15">
        <v>2</v>
      </c>
      <c r="AC133" s="15">
        <v>2</v>
      </c>
      <c r="AD133" s="15"/>
      <c r="AE133" s="15"/>
      <c r="AF133" s="15"/>
      <c r="AG133" s="15">
        <v>6</v>
      </c>
      <c r="AH133" s="15"/>
      <c r="AI133" s="15"/>
      <c r="AJ133" s="15"/>
      <c r="AK133" s="15">
        <v>1</v>
      </c>
      <c r="AL133" s="15">
        <v>1</v>
      </c>
      <c r="AM133" s="15">
        <v>1</v>
      </c>
      <c r="AN133" s="15"/>
      <c r="AO133" s="15"/>
      <c r="AP133" s="15"/>
      <c r="AQ133" s="15">
        <v>6</v>
      </c>
      <c r="AR133" s="15">
        <v>7</v>
      </c>
      <c r="AS133" s="15"/>
      <c r="AT133" s="15">
        <v>2</v>
      </c>
      <c r="AU133" s="15"/>
      <c r="AV133" s="15">
        <v>2</v>
      </c>
      <c r="AW133" s="15"/>
      <c r="AX133" s="15"/>
      <c r="AY133" s="15"/>
      <c r="AZ133" s="15">
        <v>3</v>
      </c>
      <c r="BA133" s="15"/>
      <c r="BB133" s="13">
        <f t="shared" si="13"/>
        <v>38</v>
      </c>
      <c r="BC133" s="5"/>
      <c r="BD133" s="5"/>
    </row>
    <row r="134" spans="1:56" ht="12.75" customHeight="1" x14ac:dyDescent="0.3">
      <c r="A134" s="14"/>
      <c r="B134" s="27"/>
      <c r="C134" s="28" t="s">
        <v>114</v>
      </c>
      <c r="D134" s="29"/>
      <c r="E134" s="15"/>
      <c r="F134" s="15"/>
      <c r="G134" s="15"/>
      <c r="H134" s="15">
        <v>1</v>
      </c>
      <c r="I134" s="15"/>
      <c r="J134" s="15"/>
      <c r="K134" s="15"/>
      <c r="L134" s="15"/>
      <c r="M134" s="15"/>
      <c r="N134" s="15"/>
      <c r="O134" s="15"/>
      <c r="P134" s="15"/>
      <c r="Q134" s="15">
        <v>1</v>
      </c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>
        <v>1</v>
      </c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3">
        <f t="shared" si="13"/>
        <v>3</v>
      </c>
      <c r="BC134" s="5"/>
      <c r="BD134" s="5"/>
    </row>
    <row r="135" spans="1:56" ht="12.75" customHeight="1" x14ac:dyDescent="0.3">
      <c r="A135" s="14"/>
      <c r="B135" s="27"/>
      <c r="C135" s="28" t="s">
        <v>115</v>
      </c>
      <c r="D135" s="29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>
        <v>1</v>
      </c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>
        <v>1</v>
      </c>
      <c r="AX135" s="15"/>
      <c r="AY135" s="15"/>
      <c r="AZ135" s="15"/>
      <c r="BA135" s="15"/>
      <c r="BB135" s="13">
        <f t="shared" si="13"/>
        <v>2</v>
      </c>
      <c r="BC135" s="5"/>
      <c r="BD135" s="5"/>
    </row>
    <row r="136" spans="1:56" ht="12.75" customHeight="1" x14ac:dyDescent="0.3">
      <c r="A136" s="14"/>
      <c r="B136" s="27"/>
      <c r="C136" s="28" t="s">
        <v>116</v>
      </c>
      <c r="D136" s="29"/>
      <c r="E136" s="15"/>
      <c r="F136" s="15"/>
      <c r="G136" s="15"/>
      <c r="H136" s="15">
        <v>1</v>
      </c>
      <c r="I136" s="15">
        <v>1</v>
      </c>
      <c r="J136" s="15"/>
      <c r="K136" s="15">
        <v>1</v>
      </c>
      <c r="L136" s="15"/>
      <c r="M136" s="15"/>
      <c r="N136" s="15"/>
      <c r="O136" s="15"/>
      <c r="P136" s="15"/>
      <c r="Q136" s="15"/>
      <c r="R136" s="15"/>
      <c r="S136" s="15">
        <v>1</v>
      </c>
      <c r="T136" s="15"/>
      <c r="U136" s="15"/>
      <c r="V136" s="15">
        <v>2</v>
      </c>
      <c r="W136" s="15">
        <v>1</v>
      </c>
      <c r="X136" s="15"/>
      <c r="Y136" s="15"/>
      <c r="Z136" s="15"/>
      <c r="AA136" s="15"/>
      <c r="AB136" s="15">
        <v>1</v>
      </c>
      <c r="AC136" s="15"/>
      <c r="AD136" s="15"/>
      <c r="AE136" s="15"/>
      <c r="AF136" s="15">
        <v>1</v>
      </c>
      <c r="AG136" s="15"/>
      <c r="AH136" s="15"/>
      <c r="AI136" s="15"/>
      <c r="AJ136" s="15"/>
      <c r="AK136" s="15"/>
      <c r="AL136" s="15">
        <v>1</v>
      </c>
      <c r="AM136" s="15">
        <v>1</v>
      </c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3">
        <f t="shared" si="13"/>
        <v>11</v>
      </c>
      <c r="BC136" s="5"/>
      <c r="BD136" s="5"/>
    </row>
    <row r="137" spans="1:56" ht="12.75" customHeight="1" x14ac:dyDescent="0.3">
      <c r="A137" s="14"/>
      <c r="B137" s="27"/>
      <c r="C137" s="28" t="s">
        <v>117</v>
      </c>
      <c r="D137" s="29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>
        <v>1</v>
      </c>
      <c r="AE137" s="15"/>
      <c r="AF137" s="15"/>
      <c r="AG137" s="15">
        <v>1</v>
      </c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3">
        <f t="shared" si="13"/>
        <v>2</v>
      </c>
      <c r="BC137" s="5"/>
      <c r="BD137" s="5"/>
    </row>
    <row r="138" spans="1:56" ht="12.75" customHeight="1" x14ac:dyDescent="0.3">
      <c r="A138" s="14"/>
      <c r="B138" s="27"/>
      <c r="C138" s="28" t="s">
        <v>118</v>
      </c>
      <c r="D138" s="29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>
        <v>1</v>
      </c>
      <c r="BB138" s="13">
        <f t="shared" si="13"/>
        <v>1</v>
      </c>
      <c r="BC138" s="5"/>
      <c r="BD138" s="5"/>
    </row>
    <row r="139" spans="1:56" ht="15" customHeight="1" x14ac:dyDescent="0.3">
      <c r="A139" s="14"/>
      <c r="B139" s="27"/>
      <c r="C139" s="28" t="s">
        <v>119</v>
      </c>
      <c r="D139" s="29"/>
      <c r="E139" s="15"/>
      <c r="F139" s="15"/>
      <c r="G139" s="15"/>
      <c r="H139" s="15"/>
      <c r="I139" s="15"/>
      <c r="J139" s="15"/>
      <c r="K139" s="15"/>
      <c r="L139" s="15">
        <v>1</v>
      </c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>
        <v>1</v>
      </c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3">
        <f t="shared" si="13"/>
        <v>2</v>
      </c>
      <c r="BC139" s="5"/>
      <c r="BD139" s="5"/>
    </row>
    <row r="140" spans="1:56" ht="12.75" customHeight="1" x14ac:dyDescent="0.3">
      <c r="A140" s="15" t="s">
        <v>15</v>
      </c>
      <c r="B140" s="45" t="s">
        <v>47</v>
      </c>
      <c r="C140" s="46"/>
      <c r="D140" s="47"/>
      <c r="E140" s="34">
        <f t="shared" ref="E140:BA140" si="25">SUM(E132:E139)</f>
        <v>2</v>
      </c>
      <c r="F140" s="34">
        <f t="shared" si="25"/>
        <v>0</v>
      </c>
      <c r="G140" s="34">
        <f t="shared" si="25"/>
        <v>0</v>
      </c>
      <c r="H140" s="34">
        <f t="shared" si="25"/>
        <v>4</v>
      </c>
      <c r="I140" s="34">
        <f t="shared" si="25"/>
        <v>2</v>
      </c>
      <c r="J140" s="34">
        <f t="shared" si="25"/>
        <v>0</v>
      </c>
      <c r="K140" s="34">
        <f t="shared" si="25"/>
        <v>2</v>
      </c>
      <c r="L140" s="34">
        <f t="shared" si="25"/>
        <v>1</v>
      </c>
      <c r="M140" s="34">
        <f t="shared" si="25"/>
        <v>0</v>
      </c>
      <c r="N140" s="34">
        <f t="shared" si="25"/>
        <v>1</v>
      </c>
      <c r="O140" s="34">
        <f t="shared" si="25"/>
        <v>0</v>
      </c>
      <c r="P140" s="34">
        <f t="shared" si="25"/>
        <v>0</v>
      </c>
      <c r="Q140" s="34">
        <f t="shared" si="25"/>
        <v>2</v>
      </c>
      <c r="R140" s="34">
        <f t="shared" si="25"/>
        <v>0</v>
      </c>
      <c r="S140" s="34">
        <f t="shared" si="25"/>
        <v>1</v>
      </c>
      <c r="T140" s="34">
        <f t="shared" si="25"/>
        <v>0</v>
      </c>
      <c r="U140" s="34">
        <f t="shared" si="25"/>
        <v>0</v>
      </c>
      <c r="V140" s="34">
        <f t="shared" si="25"/>
        <v>3</v>
      </c>
      <c r="W140" s="34">
        <f t="shared" si="25"/>
        <v>2</v>
      </c>
      <c r="X140" s="34">
        <f t="shared" si="25"/>
        <v>1</v>
      </c>
      <c r="Y140" s="34">
        <f t="shared" si="25"/>
        <v>0</v>
      </c>
      <c r="Z140" s="34">
        <f t="shared" si="25"/>
        <v>1</v>
      </c>
      <c r="AA140" s="34">
        <f t="shared" si="25"/>
        <v>0</v>
      </c>
      <c r="AB140" s="34">
        <f t="shared" si="25"/>
        <v>3</v>
      </c>
      <c r="AC140" s="34">
        <f t="shared" si="25"/>
        <v>4</v>
      </c>
      <c r="AD140" s="34">
        <f t="shared" si="25"/>
        <v>1</v>
      </c>
      <c r="AE140" s="34">
        <f t="shared" si="25"/>
        <v>0</v>
      </c>
      <c r="AF140" s="34">
        <f t="shared" si="25"/>
        <v>1</v>
      </c>
      <c r="AG140" s="34">
        <f t="shared" si="25"/>
        <v>8</v>
      </c>
      <c r="AH140" s="34">
        <f t="shared" si="25"/>
        <v>0</v>
      </c>
      <c r="AI140" s="34">
        <f t="shared" si="25"/>
        <v>0</v>
      </c>
      <c r="AJ140" s="34">
        <f t="shared" si="25"/>
        <v>0</v>
      </c>
      <c r="AK140" s="34">
        <f t="shared" si="25"/>
        <v>2</v>
      </c>
      <c r="AL140" s="34">
        <f t="shared" si="25"/>
        <v>3</v>
      </c>
      <c r="AM140" s="34">
        <f t="shared" si="25"/>
        <v>2</v>
      </c>
      <c r="AN140" s="34">
        <f t="shared" si="25"/>
        <v>1</v>
      </c>
      <c r="AO140" s="34">
        <f t="shared" si="25"/>
        <v>0</v>
      </c>
      <c r="AP140" s="34">
        <f t="shared" si="25"/>
        <v>0</v>
      </c>
      <c r="AQ140" s="34">
        <f t="shared" si="25"/>
        <v>6</v>
      </c>
      <c r="AR140" s="34">
        <f t="shared" si="25"/>
        <v>8</v>
      </c>
      <c r="AS140" s="34">
        <f t="shared" si="25"/>
        <v>0</v>
      </c>
      <c r="AT140" s="34">
        <f t="shared" si="25"/>
        <v>2</v>
      </c>
      <c r="AU140" s="34">
        <f t="shared" si="25"/>
        <v>0</v>
      </c>
      <c r="AV140" s="34">
        <f t="shared" si="25"/>
        <v>2</v>
      </c>
      <c r="AW140" s="34">
        <f t="shared" si="25"/>
        <v>1</v>
      </c>
      <c r="AX140" s="34">
        <f t="shared" si="25"/>
        <v>0</v>
      </c>
      <c r="AY140" s="34">
        <f t="shared" si="25"/>
        <v>1</v>
      </c>
      <c r="AZ140" s="34">
        <f t="shared" si="25"/>
        <v>3</v>
      </c>
      <c r="BA140" s="34">
        <f t="shared" si="25"/>
        <v>1</v>
      </c>
      <c r="BB140" s="13">
        <f t="shared" si="13"/>
        <v>71</v>
      </c>
      <c r="BC140" s="5"/>
      <c r="BD140" s="5"/>
    </row>
    <row r="141" spans="1:56" ht="12.75" customHeight="1" x14ac:dyDescent="0.3">
      <c r="A141" s="35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13">
        <f t="shared" si="13"/>
        <v>0</v>
      </c>
      <c r="BC141" s="1"/>
      <c r="BD141" s="1"/>
    </row>
    <row r="142" spans="1:56" ht="12.75" customHeight="1" x14ac:dyDescent="0.3">
      <c r="A142" s="19" t="s">
        <v>37</v>
      </c>
      <c r="B142" s="26" t="s">
        <v>120</v>
      </c>
      <c r="C142" s="48" t="s">
        <v>121</v>
      </c>
      <c r="D142" s="47"/>
      <c r="E142" s="15"/>
      <c r="F142" s="15"/>
      <c r="G142" s="15"/>
      <c r="H142" s="15"/>
      <c r="I142" s="15"/>
      <c r="J142" s="15"/>
      <c r="K142" s="15"/>
      <c r="L142" s="15"/>
      <c r="M142" s="15"/>
      <c r="N142" s="15">
        <v>1</v>
      </c>
      <c r="O142" s="15"/>
      <c r="P142" s="15"/>
      <c r="Q142" s="15"/>
      <c r="R142" s="15"/>
      <c r="S142" s="15"/>
      <c r="T142" s="15"/>
      <c r="U142" s="15"/>
      <c r="V142" s="15">
        <v>1</v>
      </c>
      <c r="W142" s="15"/>
      <c r="X142" s="15"/>
      <c r="Y142" s="15"/>
      <c r="Z142" s="15"/>
      <c r="AA142" s="15"/>
      <c r="AB142" s="15"/>
      <c r="AC142" s="15"/>
      <c r="AD142" s="15"/>
      <c r="AE142" s="15">
        <v>1</v>
      </c>
      <c r="AF142" s="15"/>
      <c r="AG142" s="15"/>
      <c r="AH142" s="15"/>
      <c r="AI142" s="15"/>
      <c r="AJ142" s="15"/>
      <c r="AK142" s="15">
        <v>1</v>
      </c>
      <c r="AL142" s="15"/>
      <c r="AM142" s="15"/>
      <c r="AN142" s="15">
        <v>1</v>
      </c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3">
        <f t="shared" si="13"/>
        <v>5</v>
      </c>
      <c r="BC142" s="31"/>
      <c r="BD142" s="31"/>
    </row>
    <row r="143" spans="1:56" ht="12.75" customHeight="1" x14ac:dyDescent="0.3">
      <c r="A143" s="19" t="s">
        <v>39</v>
      </c>
      <c r="B143" s="27"/>
      <c r="C143" s="28" t="s">
        <v>122</v>
      </c>
      <c r="D143" s="29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>
        <v>1</v>
      </c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3">
        <f t="shared" si="13"/>
        <v>1</v>
      </c>
      <c r="BC143" s="5"/>
      <c r="BD143" s="5"/>
    </row>
    <row r="144" spans="1:56" ht="12.75" customHeight="1" x14ac:dyDescent="0.3">
      <c r="A144" s="14"/>
      <c r="B144" s="27"/>
      <c r="C144" s="28" t="s">
        <v>123</v>
      </c>
      <c r="D144" s="29"/>
      <c r="E144" s="15"/>
      <c r="F144" s="15"/>
      <c r="G144" s="15">
        <v>1</v>
      </c>
      <c r="H144" s="15"/>
      <c r="I144" s="15"/>
      <c r="J144" s="15">
        <v>3</v>
      </c>
      <c r="K144" s="15"/>
      <c r="L144" s="15"/>
      <c r="M144" s="15"/>
      <c r="N144" s="15"/>
      <c r="O144" s="15">
        <v>1</v>
      </c>
      <c r="P144" s="15"/>
      <c r="Q144" s="15"/>
      <c r="R144" s="15"/>
      <c r="S144" s="15"/>
      <c r="T144" s="15"/>
      <c r="U144" s="15"/>
      <c r="V144" s="15"/>
      <c r="W144" s="15"/>
      <c r="X144" s="15"/>
      <c r="Y144" s="15">
        <v>1</v>
      </c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3">
        <f t="shared" si="13"/>
        <v>6</v>
      </c>
      <c r="BC144" s="5"/>
      <c r="BD144" s="5"/>
    </row>
    <row r="145" spans="1:56" ht="12.75" customHeight="1" x14ac:dyDescent="0.3">
      <c r="A145" s="14"/>
      <c r="B145" s="27"/>
      <c r="C145" s="28" t="s">
        <v>124</v>
      </c>
      <c r="D145" s="29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3">
        <f t="shared" si="13"/>
        <v>0</v>
      </c>
      <c r="BC145" s="5"/>
      <c r="BD145" s="5"/>
    </row>
    <row r="146" spans="1:56" ht="12.75" customHeight="1" x14ac:dyDescent="0.3">
      <c r="A146" s="14"/>
      <c r="B146" s="27"/>
      <c r="C146" s="28" t="s">
        <v>125</v>
      </c>
      <c r="D146" s="29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3">
        <f t="shared" si="13"/>
        <v>0</v>
      </c>
      <c r="BC146" s="5"/>
      <c r="BD146" s="5"/>
    </row>
    <row r="147" spans="1:56" ht="12.75" customHeight="1" x14ac:dyDescent="0.3">
      <c r="A147" s="14"/>
      <c r="B147" s="27"/>
      <c r="C147" s="28" t="s">
        <v>126</v>
      </c>
      <c r="D147" s="29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3">
        <f t="shared" si="13"/>
        <v>0</v>
      </c>
      <c r="BC147" s="5"/>
      <c r="BD147" s="5"/>
    </row>
    <row r="148" spans="1:56" ht="12.75" customHeight="1" x14ac:dyDescent="0.3">
      <c r="A148" s="14"/>
      <c r="B148" s="27"/>
      <c r="C148" s="28" t="s">
        <v>127</v>
      </c>
      <c r="D148" s="29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3">
        <f t="shared" si="13"/>
        <v>0</v>
      </c>
      <c r="BC148" s="5"/>
      <c r="BD148" s="5"/>
    </row>
    <row r="149" spans="1:56" ht="12.75" customHeight="1" x14ac:dyDescent="0.3">
      <c r="A149" s="14"/>
      <c r="B149" s="27"/>
      <c r="C149" s="28" t="s">
        <v>128</v>
      </c>
      <c r="D149" s="29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3">
        <f t="shared" si="13"/>
        <v>0</v>
      </c>
      <c r="BC149" s="5"/>
      <c r="BD149" s="5"/>
    </row>
    <row r="150" spans="1:56" ht="12.75" customHeight="1" x14ac:dyDescent="0.3">
      <c r="A150" s="15" t="s">
        <v>15</v>
      </c>
      <c r="B150" s="45" t="s">
        <v>47</v>
      </c>
      <c r="C150" s="46"/>
      <c r="D150" s="47"/>
      <c r="E150" s="34">
        <f t="shared" ref="E150:BA150" si="26">SUM(E142:E149)</f>
        <v>0</v>
      </c>
      <c r="F150" s="34">
        <f t="shared" si="26"/>
        <v>0</v>
      </c>
      <c r="G150" s="34">
        <f t="shared" si="26"/>
        <v>1</v>
      </c>
      <c r="H150" s="34">
        <f t="shared" si="26"/>
        <v>0</v>
      </c>
      <c r="I150" s="34">
        <f t="shared" si="26"/>
        <v>0</v>
      </c>
      <c r="J150" s="34">
        <f t="shared" si="26"/>
        <v>3</v>
      </c>
      <c r="K150" s="34">
        <f t="shared" si="26"/>
        <v>0</v>
      </c>
      <c r="L150" s="34">
        <f t="shared" si="26"/>
        <v>0</v>
      </c>
      <c r="M150" s="34">
        <f t="shared" si="26"/>
        <v>0</v>
      </c>
      <c r="N150" s="34">
        <f t="shared" si="26"/>
        <v>1</v>
      </c>
      <c r="O150" s="34">
        <f t="shared" si="26"/>
        <v>1</v>
      </c>
      <c r="P150" s="34">
        <f t="shared" si="26"/>
        <v>0</v>
      </c>
      <c r="Q150" s="34">
        <f t="shared" si="26"/>
        <v>0</v>
      </c>
      <c r="R150" s="34">
        <f t="shared" si="26"/>
        <v>0</v>
      </c>
      <c r="S150" s="34">
        <f t="shared" si="26"/>
        <v>0</v>
      </c>
      <c r="T150" s="34">
        <f t="shared" si="26"/>
        <v>0</v>
      </c>
      <c r="U150" s="34">
        <f t="shared" si="26"/>
        <v>0</v>
      </c>
      <c r="V150" s="34">
        <f t="shared" si="26"/>
        <v>1</v>
      </c>
      <c r="W150" s="34">
        <f t="shared" si="26"/>
        <v>0</v>
      </c>
      <c r="X150" s="34">
        <f t="shared" si="26"/>
        <v>0</v>
      </c>
      <c r="Y150" s="34">
        <f t="shared" si="26"/>
        <v>1</v>
      </c>
      <c r="Z150" s="34">
        <f t="shared" si="26"/>
        <v>0</v>
      </c>
      <c r="AA150" s="34">
        <f t="shared" si="26"/>
        <v>1</v>
      </c>
      <c r="AB150" s="34">
        <f t="shared" si="26"/>
        <v>0</v>
      </c>
      <c r="AC150" s="34">
        <f t="shared" si="26"/>
        <v>0</v>
      </c>
      <c r="AD150" s="34">
        <f t="shared" si="26"/>
        <v>0</v>
      </c>
      <c r="AE150" s="34">
        <f t="shared" si="26"/>
        <v>1</v>
      </c>
      <c r="AF150" s="34">
        <f t="shared" si="26"/>
        <v>0</v>
      </c>
      <c r="AG150" s="34">
        <f t="shared" si="26"/>
        <v>0</v>
      </c>
      <c r="AH150" s="34">
        <f t="shared" si="26"/>
        <v>0</v>
      </c>
      <c r="AI150" s="34">
        <f t="shared" si="26"/>
        <v>0</v>
      </c>
      <c r="AJ150" s="34">
        <f t="shared" si="26"/>
        <v>0</v>
      </c>
      <c r="AK150" s="34">
        <f t="shared" si="26"/>
        <v>1</v>
      </c>
      <c r="AL150" s="34">
        <f t="shared" si="26"/>
        <v>0</v>
      </c>
      <c r="AM150" s="34">
        <f t="shared" si="26"/>
        <v>0</v>
      </c>
      <c r="AN150" s="34">
        <f t="shared" si="26"/>
        <v>1</v>
      </c>
      <c r="AO150" s="34">
        <f t="shared" si="26"/>
        <v>0</v>
      </c>
      <c r="AP150" s="34">
        <f t="shared" si="26"/>
        <v>0</v>
      </c>
      <c r="AQ150" s="34">
        <f t="shared" si="26"/>
        <v>0</v>
      </c>
      <c r="AR150" s="34">
        <f t="shared" si="26"/>
        <v>0</v>
      </c>
      <c r="AS150" s="34">
        <f t="shared" si="26"/>
        <v>0</v>
      </c>
      <c r="AT150" s="34">
        <f t="shared" si="26"/>
        <v>0</v>
      </c>
      <c r="AU150" s="34">
        <f t="shared" si="26"/>
        <v>0</v>
      </c>
      <c r="AV150" s="34">
        <f t="shared" si="26"/>
        <v>0</v>
      </c>
      <c r="AW150" s="34">
        <f t="shared" si="26"/>
        <v>0</v>
      </c>
      <c r="AX150" s="34">
        <f t="shared" si="26"/>
        <v>0</v>
      </c>
      <c r="AY150" s="34">
        <f t="shared" si="26"/>
        <v>0</v>
      </c>
      <c r="AZ150" s="34">
        <f t="shared" si="26"/>
        <v>0</v>
      </c>
      <c r="BA150" s="34">
        <f t="shared" si="26"/>
        <v>0</v>
      </c>
      <c r="BB150" s="13">
        <f t="shared" si="13"/>
        <v>12</v>
      </c>
      <c r="BC150" s="5"/>
      <c r="BD150" s="5"/>
    </row>
    <row r="151" spans="1:56" ht="12.75" customHeight="1" x14ac:dyDescent="0.3">
      <c r="A151" s="35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13">
        <f t="shared" si="13"/>
        <v>0</v>
      </c>
      <c r="BC151" s="1"/>
      <c r="BD151" s="1"/>
    </row>
    <row r="152" spans="1:56" ht="12.75" customHeight="1" x14ac:dyDescent="0.3">
      <c r="A152" s="19" t="s">
        <v>37</v>
      </c>
      <c r="B152" s="26" t="s">
        <v>129</v>
      </c>
      <c r="C152" s="48" t="s">
        <v>130</v>
      </c>
      <c r="D152" s="47"/>
      <c r="E152" s="15"/>
      <c r="F152" s="15">
        <v>4</v>
      </c>
      <c r="G152" s="15">
        <v>1</v>
      </c>
      <c r="H152" s="15">
        <v>1</v>
      </c>
      <c r="I152" s="15">
        <v>1</v>
      </c>
      <c r="J152" s="15">
        <v>1</v>
      </c>
      <c r="K152" s="15">
        <v>2</v>
      </c>
      <c r="L152" s="15"/>
      <c r="M152" s="15"/>
      <c r="N152" s="15">
        <v>1</v>
      </c>
      <c r="O152" s="15"/>
      <c r="P152" s="15">
        <v>1</v>
      </c>
      <c r="Q152" s="15"/>
      <c r="R152" s="15">
        <v>1</v>
      </c>
      <c r="S152" s="15">
        <v>1</v>
      </c>
      <c r="T152" s="15"/>
      <c r="U152" s="15"/>
      <c r="V152" s="15">
        <v>2</v>
      </c>
      <c r="W152" s="15">
        <v>1</v>
      </c>
      <c r="X152" s="15">
        <v>1</v>
      </c>
      <c r="Y152" s="15">
        <v>1</v>
      </c>
      <c r="Z152" s="15"/>
      <c r="AA152" s="15">
        <v>1</v>
      </c>
      <c r="AB152" s="15">
        <v>3</v>
      </c>
      <c r="AC152" s="15">
        <v>1</v>
      </c>
      <c r="AD152" s="15">
        <v>1</v>
      </c>
      <c r="AE152" s="15">
        <v>3</v>
      </c>
      <c r="AF152" s="15">
        <v>8</v>
      </c>
      <c r="AG152" s="15">
        <v>5</v>
      </c>
      <c r="AH152" s="15">
        <v>3</v>
      </c>
      <c r="AI152" s="15">
        <v>3</v>
      </c>
      <c r="AJ152" s="15">
        <v>8</v>
      </c>
      <c r="AK152" s="15">
        <v>7</v>
      </c>
      <c r="AL152" s="15">
        <v>2</v>
      </c>
      <c r="AM152" s="15">
        <v>4</v>
      </c>
      <c r="AN152" s="15">
        <v>2</v>
      </c>
      <c r="AO152" s="15">
        <v>4</v>
      </c>
      <c r="AP152" s="15">
        <v>2</v>
      </c>
      <c r="AQ152" s="15">
        <v>3</v>
      </c>
      <c r="AR152" s="15">
        <v>3</v>
      </c>
      <c r="AS152" s="15">
        <v>1</v>
      </c>
      <c r="AT152" s="15">
        <v>1</v>
      </c>
      <c r="AU152" s="15">
        <v>1</v>
      </c>
      <c r="AV152" s="15"/>
      <c r="AW152" s="15">
        <v>4</v>
      </c>
      <c r="AX152" s="15">
        <v>2</v>
      </c>
      <c r="AY152" s="15"/>
      <c r="AZ152" s="15"/>
      <c r="BA152" s="15">
        <v>1</v>
      </c>
      <c r="BB152" s="13">
        <f t="shared" si="13"/>
        <v>92</v>
      </c>
      <c r="BC152" s="31"/>
      <c r="BD152" s="31"/>
    </row>
    <row r="153" spans="1:56" ht="12.75" customHeight="1" x14ac:dyDescent="0.3">
      <c r="A153" s="19" t="s">
        <v>39</v>
      </c>
      <c r="B153" s="27"/>
      <c r="C153" s="28" t="s">
        <v>131</v>
      </c>
      <c r="D153" s="29"/>
      <c r="E153" s="15"/>
      <c r="F153" s="15">
        <v>1</v>
      </c>
      <c r="G153" s="15"/>
      <c r="H153" s="15">
        <v>1</v>
      </c>
      <c r="I153" s="15">
        <v>1</v>
      </c>
      <c r="J153" s="15"/>
      <c r="K153" s="15">
        <v>1</v>
      </c>
      <c r="L153" s="15">
        <v>1</v>
      </c>
      <c r="M153" s="15"/>
      <c r="N153" s="15">
        <v>1</v>
      </c>
      <c r="O153" s="15">
        <v>1</v>
      </c>
      <c r="P153" s="15"/>
      <c r="Q153" s="15"/>
      <c r="R153" s="15"/>
      <c r="S153" s="15"/>
      <c r="T153" s="15">
        <v>1</v>
      </c>
      <c r="U153" s="15"/>
      <c r="V153" s="15"/>
      <c r="W153" s="15">
        <v>1</v>
      </c>
      <c r="X153" s="15"/>
      <c r="Y153" s="15">
        <v>1</v>
      </c>
      <c r="Z153" s="15">
        <v>2</v>
      </c>
      <c r="AA153" s="15">
        <v>8</v>
      </c>
      <c r="AB153" s="15">
        <v>1</v>
      </c>
      <c r="AC153" s="15">
        <v>7</v>
      </c>
      <c r="AD153" s="15">
        <v>1</v>
      </c>
      <c r="AE153" s="15">
        <v>1</v>
      </c>
      <c r="AF153" s="15">
        <v>5</v>
      </c>
      <c r="AG153" s="15">
        <v>2</v>
      </c>
      <c r="AH153" s="15"/>
      <c r="AI153" s="15">
        <v>0</v>
      </c>
      <c r="AJ153" s="15">
        <v>3</v>
      </c>
      <c r="AK153" s="15">
        <v>1</v>
      </c>
      <c r="AL153" s="15">
        <v>1</v>
      </c>
      <c r="AM153" s="15"/>
      <c r="AN153" s="15">
        <v>1</v>
      </c>
      <c r="AO153" s="15">
        <v>1</v>
      </c>
      <c r="AP153" s="15">
        <v>3</v>
      </c>
      <c r="AQ153" s="15">
        <v>10</v>
      </c>
      <c r="AR153" s="15">
        <v>3</v>
      </c>
      <c r="AS153" s="15">
        <v>6</v>
      </c>
      <c r="AT153" s="15">
        <v>5</v>
      </c>
      <c r="AU153" s="15">
        <v>2</v>
      </c>
      <c r="AV153" s="15"/>
      <c r="AW153" s="15">
        <v>4</v>
      </c>
      <c r="AX153" s="15">
        <v>7</v>
      </c>
      <c r="AY153" s="15"/>
      <c r="AZ153" s="15"/>
      <c r="BA153" s="15"/>
      <c r="BB153" s="13">
        <f t="shared" si="13"/>
        <v>84</v>
      </c>
      <c r="BC153" s="5"/>
      <c r="BD153" s="5"/>
    </row>
    <row r="154" spans="1:56" ht="12.75" customHeight="1" x14ac:dyDescent="0.3">
      <c r="A154" s="14"/>
      <c r="B154" s="27"/>
      <c r="C154" s="28" t="s">
        <v>132</v>
      </c>
      <c r="D154" s="29"/>
      <c r="E154" s="15"/>
      <c r="F154" s="15">
        <v>1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>
        <v>1</v>
      </c>
      <c r="R154" s="15">
        <v>1</v>
      </c>
      <c r="S154" s="15"/>
      <c r="T154" s="15"/>
      <c r="U154" s="15"/>
      <c r="V154" s="15"/>
      <c r="W154" s="15">
        <v>2</v>
      </c>
      <c r="X154" s="15">
        <v>2</v>
      </c>
      <c r="Y154" s="15"/>
      <c r="Z154" s="15"/>
      <c r="AA154" s="15"/>
      <c r="AB154" s="15"/>
      <c r="AC154" s="15">
        <v>1</v>
      </c>
      <c r="AD154" s="15">
        <v>1</v>
      </c>
      <c r="AE154" s="15">
        <v>2</v>
      </c>
      <c r="AF154" s="15">
        <v>1</v>
      </c>
      <c r="AG154" s="15">
        <v>1</v>
      </c>
      <c r="AH154" s="15"/>
      <c r="AI154" s="15">
        <v>1</v>
      </c>
      <c r="AJ154" s="15">
        <v>1</v>
      </c>
      <c r="AK154" s="15">
        <v>1</v>
      </c>
      <c r="AL154" s="15">
        <v>1</v>
      </c>
      <c r="AM154" s="15">
        <v>4</v>
      </c>
      <c r="AN154" s="15">
        <v>1</v>
      </c>
      <c r="AO154" s="15">
        <v>1</v>
      </c>
      <c r="AP154" s="15"/>
      <c r="AQ154" s="15"/>
      <c r="AR154" s="15"/>
      <c r="AS154" s="15"/>
      <c r="AT154" s="15"/>
      <c r="AU154" s="15">
        <v>1</v>
      </c>
      <c r="AV154" s="15"/>
      <c r="AW154" s="15"/>
      <c r="AX154" s="15">
        <v>3</v>
      </c>
      <c r="AY154" s="15"/>
      <c r="AZ154" s="15"/>
      <c r="BA154" s="15"/>
      <c r="BB154" s="13">
        <f t="shared" si="13"/>
        <v>27</v>
      </c>
      <c r="BC154" s="5"/>
      <c r="BD154" s="5"/>
    </row>
    <row r="155" spans="1:56" ht="12.75" customHeight="1" x14ac:dyDescent="0.3">
      <c r="A155" s="14"/>
      <c r="B155" s="27"/>
      <c r="C155" s="28" t="s">
        <v>133</v>
      </c>
      <c r="D155" s="29"/>
      <c r="E155" s="15"/>
      <c r="F155" s="15"/>
      <c r="G155" s="15"/>
      <c r="H155" s="15"/>
      <c r="I155" s="15"/>
      <c r="J155" s="15"/>
      <c r="K155" s="15"/>
      <c r="L155" s="15">
        <v>1</v>
      </c>
      <c r="M155" s="15"/>
      <c r="N155" s="15">
        <v>1</v>
      </c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>
        <v>1</v>
      </c>
      <c r="AC155" s="15"/>
      <c r="AD155" s="15"/>
      <c r="AE155" s="15"/>
      <c r="AF155" s="15"/>
      <c r="AG155" s="15"/>
      <c r="AH155" s="15"/>
      <c r="AI155" s="15">
        <v>2</v>
      </c>
      <c r="AJ155" s="15"/>
      <c r="AK155" s="15">
        <v>1</v>
      </c>
      <c r="AL155" s="15"/>
      <c r="AM155" s="15"/>
      <c r="AN155" s="15">
        <v>2</v>
      </c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3">
        <f t="shared" si="13"/>
        <v>8</v>
      </c>
      <c r="BC155" s="5"/>
      <c r="BD155" s="5"/>
    </row>
    <row r="156" spans="1:56" ht="12.75" customHeight="1" x14ac:dyDescent="0.3">
      <c r="A156" s="14"/>
      <c r="B156" s="27"/>
      <c r="C156" s="28" t="s">
        <v>134</v>
      </c>
      <c r="D156" s="29"/>
      <c r="E156" s="15"/>
      <c r="F156" s="15"/>
      <c r="G156" s="15"/>
      <c r="H156" s="15"/>
      <c r="I156" s="15">
        <v>1</v>
      </c>
      <c r="J156" s="15"/>
      <c r="K156" s="15">
        <v>1</v>
      </c>
      <c r="L156" s="15"/>
      <c r="M156" s="15"/>
      <c r="N156" s="15"/>
      <c r="O156" s="15">
        <v>1</v>
      </c>
      <c r="P156" s="15"/>
      <c r="Q156" s="15"/>
      <c r="R156" s="15"/>
      <c r="S156" s="15">
        <v>1</v>
      </c>
      <c r="T156" s="15"/>
      <c r="U156" s="15"/>
      <c r="V156" s="15"/>
      <c r="W156" s="15">
        <v>1</v>
      </c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>
        <v>1</v>
      </c>
      <c r="AJ156" s="15"/>
      <c r="AK156" s="15"/>
      <c r="AL156" s="15">
        <v>1</v>
      </c>
      <c r="AM156" s="15"/>
      <c r="AN156" s="15"/>
      <c r="AO156" s="15"/>
      <c r="AP156" s="15"/>
      <c r="AQ156" s="15"/>
      <c r="AR156" s="15"/>
      <c r="AS156" s="15"/>
      <c r="AT156" s="15">
        <v>2</v>
      </c>
      <c r="AU156" s="15"/>
      <c r="AV156" s="15"/>
      <c r="AW156" s="15"/>
      <c r="AX156" s="15"/>
      <c r="AY156" s="15"/>
      <c r="AZ156" s="15"/>
      <c r="BA156" s="15"/>
      <c r="BB156" s="13">
        <f t="shared" si="13"/>
        <v>9</v>
      </c>
      <c r="BC156" s="5"/>
      <c r="BD156" s="5"/>
    </row>
    <row r="157" spans="1:56" ht="12.75" customHeight="1" x14ac:dyDescent="0.3">
      <c r="A157" s="14"/>
      <c r="B157" s="27"/>
      <c r="C157" s="28" t="s">
        <v>135</v>
      </c>
      <c r="D157" s="29"/>
      <c r="E157" s="15">
        <v>4</v>
      </c>
      <c r="F157" s="15">
        <v>10</v>
      </c>
      <c r="G157" s="15">
        <v>2</v>
      </c>
      <c r="H157" s="15"/>
      <c r="I157" s="15">
        <v>1</v>
      </c>
      <c r="J157" s="15"/>
      <c r="K157" s="15"/>
      <c r="L157" s="15"/>
      <c r="M157" s="15"/>
      <c r="N157" s="15">
        <v>2</v>
      </c>
      <c r="O157" s="15"/>
      <c r="P157" s="15"/>
      <c r="Q157" s="15"/>
      <c r="R157" s="15"/>
      <c r="S157" s="15"/>
      <c r="T157" s="15"/>
      <c r="U157" s="15">
        <v>2</v>
      </c>
      <c r="V157" s="15">
        <v>2</v>
      </c>
      <c r="W157" s="15"/>
      <c r="X157" s="15"/>
      <c r="Y157" s="15"/>
      <c r="Z157" s="15">
        <v>1</v>
      </c>
      <c r="AA157" s="15"/>
      <c r="AB157" s="15"/>
      <c r="AC157" s="15">
        <v>2</v>
      </c>
      <c r="AD157" s="15"/>
      <c r="AE157" s="15">
        <v>1</v>
      </c>
      <c r="AF157" s="15"/>
      <c r="AG157" s="15"/>
      <c r="AH157" s="15"/>
      <c r="AI157" s="15">
        <v>0</v>
      </c>
      <c r="AJ157" s="15"/>
      <c r="AK157" s="15"/>
      <c r="AL157" s="15">
        <v>1</v>
      </c>
      <c r="AM157" s="15">
        <v>5</v>
      </c>
      <c r="AN157" s="15">
        <v>2</v>
      </c>
      <c r="AO157" s="15">
        <v>3</v>
      </c>
      <c r="AP157" s="15"/>
      <c r="AQ157" s="15">
        <v>1</v>
      </c>
      <c r="AR157" s="15">
        <v>1</v>
      </c>
      <c r="AS157" s="15">
        <v>1</v>
      </c>
      <c r="AT157" s="15"/>
      <c r="AU157" s="15"/>
      <c r="AV157" s="15"/>
      <c r="AW157" s="15"/>
      <c r="AX157" s="15"/>
      <c r="AY157" s="15"/>
      <c r="AZ157" s="15"/>
      <c r="BA157" s="15"/>
      <c r="BB157" s="13">
        <f t="shared" si="13"/>
        <v>41</v>
      </c>
      <c r="BC157" s="5"/>
      <c r="BD157" s="5"/>
    </row>
    <row r="158" spans="1:56" ht="12.75" customHeight="1" x14ac:dyDescent="0.3">
      <c r="A158" s="14"/>
      <c r="B158" s="27"/>
      <c r="C158" s="28" t="s">
        <v>136</v>
      </c>
      <c r="D158" s="29"/>
      <c r="E158" s="15">
        <v>1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>
        <v>1</v>
      </c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3">
        <f t="shared" si="13"/>
        <v>2</v>
      </c>
      <c r="BC158" s="5"/>
      <c r="BD158" s="5"/>
    </row>
    <row r="159" spans="1:56" ht="12.75" customHeight="1" x14ac:dyDescent="0.3">
      <c r="A159" s="14"/>
      <c r="B159" s="27"/>
      <c r="C159" s="28" t="s">
        <v>137</v>
      </c>
      <c r="D159" s="29"/>
      <c r="E159" s="15">
        <v>3</v>
      </c>
      <c r="F159" s="15">
        <v>4</v>
      </c>
      <c r="G159" s="15"/>
      <c r="H159" s="15">
        <v>2</v>
      </c>
      <c r="I159" s="15">
        <v>2</v>
      </c>
      <c r="J159" s="15">
        <v>6</v>
      </c>
      <c r="K159" s="15"/>
      <c r="L159" s="15"/>
      <c r="M159" s="15">
        <v>1</v>
      </c>
      <c r="N159" s="15"/>
      <c r="O159" s="15">
        <v>1</v>
      </c>
      <c r="P159" s="15">
        <v>3</v>
      </c>
      <c r="Q159" s="15">
        <v>1</v>
      </c>
      <c r="R159" s="15"/>
      <c r="S159" s="15">
        <v>1</v>
      </c>
      <c r="T159" s="15">
        <v>1</v>
      </c>
      <c r="U159" s="15">
        <v>4</v>
      </c>
      <c r="V159" s="15">
        <v>13</v>
      </c>
      <c r="W159" s="15">
        <v>5</v>
      </c>
      <c r="X159" s="15">
        <v>3</v>
      </c>
      <c r="Y159" s="15">
        <v>1</v>
      </c>
      <c r="Z159" s="15">
        <v>2</v>
      </c>
      <c r="AA159" s="15">
        <v>2</v>
      </c>
      <c r="AB159" s="15">
        <v>13</v>
      </c>
      <c r="AC159" s="15">
        <v>13</v>
      </c>
      <c r="AD159" s="15">
        <v>11</v>
      </c>
      <c r="AE159" s="15">
        <v>54</v>
      </c>
      <c r="AF159" s="15">
        <v>91</v>
      </c>
      <c r="AG159" s="15">
        <v>9</v>
      </c>
      <c r="AH159" s="15">
        <v>10</v>
      </c>
      <c r="AI159" s="15">
        <v>15</v>
      </c>
      <c r="AJ159" s="15">
        <v>36</v>
      </c>
      <c r="AK159" s="15">
        <v>43</v>
      </c>
      <c r="AL159" s="15">
        <v>28</v>
      </c>
      <c r="AM159" s="15">
        <v>21</v>
      </c>
      <c r="AN159" s="15">
        <v>121</v>
      </c>
      <c r="AO159" s="15">
        <v>15</v>
      </c>
      <c r="AP159" s="15">
        <v>6</v>
      </c>
      <c r="AQ159" s="15">
        <v>9</v>
      </c>
      <c r="AR159" s="15">
        <v>10</v>
      </c>
      <c r="AS159" s="15">
        <v>1</v>
      </c>
      <c r="AT159" s="15">
        <v>1</v>
      </c>
      <c r="AU159" s="15">
        <v>7</v>
      </c>
      <c r="AV159" s="15">
        <v>2</v>
      </c>
      <c r="AW159" s="15">
        <v>14</v>
      </c>
      <c r="AX159" s="15">
        <v>13</v>
      </c>
      <c r="AY159" s="15">
        <v>10</v>
      </c>
      <c r="AZ159" s="15">
        <v>2</v>
      </c>
      <c r="BA159" s="15"/>
      <c r="BB159" s="13">
        <f t="shared" si="13"/>
        <v>610</v>
      </c>
      <c r="BC159" s="5"/>
      <c r="BD159" s="5"/>
    </row>
    <row r="160" spans="1:56" ht="12.75" customHeight="1" x14ac:dyDescent="0.3">
      <c r="A160" s="15" t="s">
        <v>15</v>
      </c>
      <c r="B160" s="45" t="s">
        <v>47</v>
      </c>
      <c r="C160" s="46"/>
      <c r="D160" s="47"/>
      <c r="E160" s="34">
        <f t="shared" ref="E160:BA160" si="27">SUM(E152:E159)</f>
        <v>8</v>
      </c>
      <c r="F160" s="34">
        <f t="shared" si="27"/>
        <v>20</v>
      </c>
      <c r="G160" s="34">
        <f t="shared" si="27"/>
        <v>3</v>
      </c>
      <c r="H160" s="34">
        <f t="shared" si="27"/>
        <v>4</v>
      </c>
      <c r="I160" s="34">
        <f t="shared" si="27"/>
        <v>6</v>
      </c>
      <c r="J160" s="34">
        <f t="shared" si="27"/>
        <v>7</v>
      </c>
      <c r="K160" s="34">
        <f t="shared" si="27"/>
        <v>4</v>
      </c>
      <c r="L160" s="34">
        <f t="shared" si="27"/>
        <v>2</v>
      </c>
      <c r="M160" s="34">
        <f t="shared" si="27"/>
        <v>1</v>
      </c>
      <c r="N160" s="34">
        <f t="shared" si="27"/>
        <v>5</v>
      </c>
      <c r="O160" s="34">
        <f t="shared" si="27"/>
        <v>3</v>
      </c>
      <c r="P160" s="34">
        <f t="shared" si="27"/>
        <v>4</v>
      </c>
      <c r="Q160" s="34">
        <f t="shared" si="27"/>
        <v>2</v>
      </c>
      <c r="R160" s="34">
        <f t="shared" si="27"/>
        <v>2</v>
      </c>
      <c r="S160" s="34">
        <f t="shared" si="27"/>
        <v>3</v>
      </c>
      <c r="T160" s="34">
        <f t="shared" si="27"/>
        <v>2</v>
      </c>
      <c r="U160" s="34">
        <f t="shared" si="27"/>
        <v>6</v>
      </c>
      <c r="V160" s="34">
        <f t="shared" si="27"/>
        <v>17</v>
      </c>
      <c r="W160" s="34">
        <f t="shared" si="27"/>
        <v>10</v>
      </c>
      <c r="X160" s="34">
        <f t="shared" si="27"/>
        <v>6</v>
      </c>
      <c r="Y160" s="34">
        <f t="shared" si="27"/>
        <v>3</v>
      </c>
      <c r="Z160" s="34">
        <f t="shared" si="27"/>
        <v>5</v>
      </c>
      <c r="AA160" s="34">
        <f t="shared" si="27"/>
        <v>11</v>
      </c>
      <c r="AB160" s="34">
        <f t="shared" si="27"/>
        <v>18</v>
      </c>
      <c r="AC160" s="34">
        <f t="shared" si="27"/>
        <v>24</v>
      </c>
      <c r="AD160" s="34">
        <f t="shared" si="27"/>
        <v>14</v>
      </c>
      <c r="AE160" s="34">
        <f t="shared" si="27"/>
        <v>61</v>
      </c>
      <c r="AF160" s="34">
        <f t="shared" si="27"/>
        <v>105</v>
      </c>
      <c r="AG160" s="34">
        <f t="shared" si="27"/>
        <v>17</v>
      </c>
      <c r="AH160" s="34">
        <f t="shared" si="27"/>
        <v>13</v>
      </c>
      <c r="AI160" s="34">
        <f t="shared" si="27"/>
        <v>22</v>
      </c>
      <c r="AJ160" s="34">
        <f t="shared" si="27"/>
        <v>48</v>
      </c>
      <c r="AK160" s="34">
        <f t="shared" si="27"/>
        <v>54</v>
      </c>
      <c r="AL160" s="34">
        <f t="shared" si="27"/>
        <v>34</v>
      </c>
      <c r="AM160" s="34">
        <f t="shared" si="27"/>
        <v>34</v>
      </c>
      <c r="AN160" s="34">
        <f t="shared" si="27"/>
        <v>129</v>
      </c>
      <c r="AO160" s="34">
        <f t="shared" si="27"/>
        <v>24</v>
      </c>
      <c r="AP160" s="34">
        <f t="shared" si="27"/>
        <v>11</v>
      </c>
      <c r="AQ160" s="34">
        <f t="shared" si="27"/>
        <v>23</v>
      </c>
      <c r="AR160" s="34">
        <f t="shared" si="27"/>
        <v>17</v>
      </c>
      <c r="AS160" s="34">
        <f t="shared" si="27"/>
        <v>9</v>
      </c>
      <c r="AT160" s="34">
        <f t="shared" si="27"/>
        <v>9</v>
      </c>
      <c r="AU160" s="34">
        <f t="shared" si="27"/>
        <v>11</v>
      </c>
      <c r="AV160" s="34">
        <f t="shared" si="27"/>
        <v>2</v>
      </c>
      <c r="AW160" s="34">
        <f t="shared" si="27"/>
        <v>22</v>
      </c>
      <c r="AX160" s="34">
        <f t="shared" si="27"/>
        <v>25</v>
      </c>
      <c r="AY160" s="34">
        <f t="shared" si="27"/>
        <v>10</v>
      </c>
      <c r="AZ160" s="34">
        <f t="shared" si="27"/>
        <v>2</v>
      </c>
      <c r="BA160" s="34">
        <f t="shared" si="27"/>
        <v>1</v>
      </c>
      <c r="BB160" s="13">
        <f t="shared" si="13"/>
        <v>873</v>
      </c>
      <c r="BC160" s="5"/>
      <c r="BD160" s="5"/>
    </row>
    <row r="161" spans="1:56" ht="12.75" customHeight="1" x14ac:dyDescent="0.3">
      <c r="A161" s="35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13">
        <f t="shared" si="13"/>
        <v>0</v>
      </c>
      <c r="BC161" s="5"/>
      <c r="BD161" s="5"/>
    </row>
    <row r="162" spans="1:56" ht="12.75" customHeight="1" x14ac:dyDescent="0.3">
      <c r="A162" s="19" t="s">
        <v>37</v>
      </c>
      <c r="B162" s="26" t="s">
        <v>138</v>
      </c>
      <c r="C162" s="48" t="s">
        <v>139</v>
      </c>
      <c r="D162" s="47"/>
      <c r="E162" s="15"/>
      <c r="F162" s="15"/>
      <c r="G162" s="15"/>
      <c r="H162" s="15">
        <v>1</v>
      </c>
      <c r="I162" s="15">
        <v>3</v>
      </c>
      <c r="J162" s="15"/>
      <c r="K162" s="15"/>
      <c r="L162" s="15"/>
      <c r="M162" s="15"/>
      <c r="N162" s="15"/>
      <c r="O162" s="15"/>
      <c r="P162" s="15"/>
      <c r="Q162" s="15">
        <v>1</v>
      </c>
      <c r="R162" s="15">
        <v>1</v>
      </c>
      <c r="S162" s="15">
        <v>2</v>
      </c>
      <c r="T162" s="15"/>
      <c r="U162" s="15">
        <v>2</v>
      </c>
      <c r="V162" s="15">
        <v>1</v>
      </c>
      <c r="W162" s="15"/>
      <c r="X162" s="15"/>
      <c r="Y162" s="15"/>
      <c r="Z162" s="15"/>
      <c r="AA162" s="15"/>
      <c r="AB162" s="15"/>
      <c r="AC162" s="15">
        <v>2</v>
      </c>
      <c r="AD162" s="15"/>
      <c r="AE162" s="15"/>
      <c r="AF162" s="15">
        <v>1</v>
      </c>
      <c r="AG162" s="15"/>
      <c r="AH162" s="15">
        <v>1</v>
      </c>
      <c r="AI162" s="15"/>
      <c r="AJ162" s="15"/>
      <c r="AK162" s="15"/>
      <c r="AL162" s="15"/>
      <c r="AM162" s="15">
        <v>2</v>
      </c>
      <c r="AN162" s="15"/>
      <c r="AO162" s="15"/>
      <c r="AP162" s="15">
        <v>1</v>
      </c>
      <c r="AQ162" s="15">
        <v>2</v>
      </c>
      <c r="AR162" s="15">
        <v>1</v>
      </c>
      <c r="AS162" s="15"/>
      <c r="AT162" s="15"/>
      <c r="AU162" s="15">
        <v>1</v>
      </c>
      <c r="AV162" s="15"/>
      <c r="AW162" s="15"/>
      <c r="AX162" s="15">
        <v>3</v>
      </c>
      <c r="AY162" s="15">
        <v>1</v>
      </c>
      <c r="AZ162" s="15"/>
      <c r="BA162" s="15"/>
      <c r="BB162" s="13">
        <f t="shared" si="13"/>
        <v>26</v>
      </c>
      <c r="BC162" s="5"/>
      <c r="BD162" s="5"/>
    </row>
    <row r="163" spans="1:56" ht="15" customHeight="1" x14ac:dyDescent="0.3">
      <c r="A163" s="19" t="s">
        <v>39</v>
      </c>
      <c r="B163" s="27"/>
      <c r="C163" s="28" t="s">
        <v>140</v>
      </c>
      <c r="D163" s="29"/>
      <c r="E163" s="15">
        <v>2</v>
      </c>
      <c r="F163" s="15"/>
      <c r="G163" s="15">
        <v>2</v>
      </c>
      <c r="H163" s="15">
        <v>1</v>
      </c>
      <c r="I163" s="15">
        <v>2</v>
      </c>
      <c r="J163" s="15">
        <v>3</v>
      </c>
      <c r="K163" s="15"/>
      <c r="L163" s="15">
        <v>1</v>
      </c>
      <c r="M163" s="15">
        <v>1</v>
      </c>
      <c r="N163" s="15"/>
      <c r="O163" s="15"/>
      <c r="P163" s="15"/>
      <c r="Q163" s="15">
        <v>1</v>
      </c>
      <c r="R163" s="15"/>
      <c r="S163" s="15">
        <v>2</v>
      </c>
      <c r="T163" s="15"/>
      <c r="U163" s="15"/>
      <c r="V163" s="15"/>
      <c r="W163" s="15">
        <v>1</v>
      </c>
      <c r="X163" s="15">
        <v>2</v>
      </c>
      <c r="Y163" s="15"/>
      <c r="Z163" s="15">
        <v>1</v>
      </c>
      <c r="AA163" s="15"/>
      <c r="AB163" s="15">
        <v>1</v>
      </c>
      <c r="AC163" s="15"/>
      <c r="AD163" s="15">
        <v>2</v>
      </c>
      <c r="AE163" s="15"/>
      <c r="AF163" s="15"/>
      <c r="AG163" s="15"/>
      <c r="AH163" s="15"/>
      <c r="AI163" s="15"/>
      <c r="AJ163" s="15"/>
      <c r="AK163" s="15">
        <v>1</v>
      </c>
      <c r="AL163" s="15"/>
      <c r="AM163" s="15">
        <v>1</v>
      </c>
      <c r="AN163" s="15"/>
      <c r="AO163" s="15"/>
      <c r="AP163" s="15">
        <v>1</v>
      </c>
      <c r="AQ163" s="15">
        <v>2</v>
      </c>
      <c r="AR163" s="15"/>
      <c r="AS163" s="15"/>
      <c r="AT163" s="15"/>
      <c r="AU163" s="15"/>
      <c r="AV163" s="15"/>
      <c r="AW163" s="15"/>
      <c r="AX163" s="15"/>
      <c r="AY163" s="15"/>
      <c r="AZ163" s="15">
        <v>2</v>
      </c>
      <c r="BA163" s="15"/>
      <c r="BB163" s="13">
        <f t="shared" si="13"/>
        <v>29</v>
      </c>
      <c r="BC163" s="5"/>
      <c r="BD163" s="5"/>
    </row>
    <row r="164" spans="1:56" ht="12.75" customHeight="1" x14ac:dyDescent="0.3">
      <c r="A164" s="19"/>
      <c r="B164" s="27"/>
      <c r="C164" s="28" t="s">
        <v>141</v>
      </c>
      <c r="D164" s="29"/>
      <c r="E164" s="15"/>
      <c r="F164" s="15"/>
      <c r="G164" s="15"/>
      <c r="H164" s="15"/>
      <c r="I164" s="15">
        <v>2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>
        <v>2</v>
      </c>
      <c r="Y164" s="15"/>
      <c r="Z164" s="15"/>
      <c r="AA164" s="15"/>
      <c r="AB164" s="15"/>
      <c r="AC164" s="15"/>
      <c r="AD164" s="15"/>
      <c r="AE164" s="15"/>
      <c r="AF164" s="15"/>
      <c r="AG164" s="15">
        <v>1</v>
      </c>
      <c r="AH164" s="15">
        <v>1</v>
      </c>
      <c r="AI164" s="15"/>
      <c r="AJ164" s="15"/>
      <c r="AK164" s="15"/>
      <c r="AL164" s="15"/>
      <c r="AM164" s="15">
        <v>1</v>
      </c>
      <c r="AN164" s="15"/>
      <c r="AO164" s="15"/>
      <c r="AP164" s="15"/>
      <c r="AQ164" s="15">
        <v>1</v>
      </c>
      <c r="AR164" s="15"/>
      <c r="AS164" s="15"/>
      <c r="AT164" s="15">
        <v>1</v>
      </c>
      <c r="AU164" s="15"/>
      <c r="AV164" s="15"/>
      <c r="AW164" s="15"/>
      <c r="AX164" s="15"/>
      <c r="AY164" s="15"/>
      <c r="AZ164" s="15"/>
      <c r="BA164" s="15">
        <v>1</v>
      </c>
      <c r="BB164" s="13">
        <f t="shared" si="13"/>
        <v>10</v>
      </c>
      <c r="BC164" s="5"/>
      <c r="BD164" s="5"/>
    </row>
    <row r="165" spans="1:56" ht="12.75" customHeight="1" x14ac:dyDescent="0.3">
      <c r="A165" s="15" t="s">
        <v>15</v>
      </c>
      <c r="B165" s="45" t="s">
        <v>47</v>
      </c>
      <c r="C165" s="46"/>
      <c r="D165" s="47"/>
      <c r="E165" s="34">
        <f t="shared" ref="E165:BA165" si="28">SUM(E162:E164)</f>
        <v>2</v>
      </c>
      <c r="F165" s="34">
        <f t="shared" si="28"/>
        <v>0</v>
      </c>
      <c r="G165" s="34">
        <f t="shared" si="28"/>
        <v>2</v>
      </c>
      <c r="H165" s="34">
        <f t="shared" si="28"/>
        <v>2</v>
      </c>
      <c r="I165" s="34">
        <f t="shared" si="28"/>
        <v>7</v>
      </c>
      <c r="J165" s="34">
        <f t="shared" si="28"/>
        <v>3</v>
      </c>
      <c r="K165" s="34">
        <f t="shared" si="28"/>
        <v>0</v>
      </c>
      <c r="L165" s="34">
        <f t="shared" si="28"/>
        <v>1</v>
      </c>
      <c r="M165" s="34">
        <f t="shared" si="28"/>
        <v>1</v>
      </c>
      <c r="N165" s="34">
        <f t="shared" si="28"/>
        <v>0</v>
      </c>
      <c r="O165" s="34">
        <f t="shared" si="28"/>
        <v>0</v>
      </c>
      <c r="P165" s="34">
        <f t="shared" si="28"/>
        <v>0</v>
      </c>
      <c r="Q165" s="34">
        <f t="shared" si="28"/>
        <v>2</v>
      </c>
      <c r="R165" s="34">
        <f t="shared" si="28"/>
        <v>1</v>
      </c>
      <c r="S165" s="34">
        <f t="shared" si="28"/>
        <v>4</v>
      </c>
      <c r="T165" s="34">
        <f t="shared" si="28"/>
        <v>0</v>
      </c>
      <c r="U165" s="34">
        <f t="shared" si="28"/>
        <v>2</v>
      </c>
      <c r="V165" s="34">
        <f t="shared" si="28"/>
        <v>1</v>
      </c>
      <c r="W165" s="34">
        <f t="shared" si="28"/>
        <v>1</v>
      </c>
      <c r="X165" s="34">
        <f t="shared" si="28"/>
        <v>4</v>
      </c>
      <c r="Y165" s="34">
        <f t="shared" si="28"/>
        <v>0</v>
      </c>
      <c r="Z165" s="34">
        <f t="shared" si="28"/>
        <v>1</v>
      </c>
      <c r="AA165" s="34">
        <f t="shared" si="28"/>
        <v>0</v>
      </c>
      <c r="AB165" s="34">
        <f t="shared" si="28"/>
        <v>1</v>
      </c>
      <c r="AC165" s="34">
        <f t="shared" si="28"/>
        <v>2</v>
      </c>
      <c r="AD165" s="34">
        <f t="shared" si="28"/>
        <v>2</v>
      </c>
      <c r="AE165" s="34">
        <f t="shared" si="28"/>
        <v>0</v>
      </c>
      <c r="AF165" s="34">
        <f t="shared" si="28"/>
        <v>1</v>
      </c>
      <c r="AG165" s="34">
        <f t="shared" si="28"/>
        <v>1</v>
      </c>
      <c r="AH165" s="34">
        <f t="shared" si="28"/>
        <v>2</v>
      </c>
      <c r="AI165" s="34">
        <f t="shared" si="28"/>
        <v>0</v>
      </c>
      <c r="AJ165" s="34">
        <f t="shared" si="28"/>
        <v>0</v>
      </c>
      <c r="AK165" s="34">
        <f t="shared" si="28"/>
        <v>1</v>
      </c>
      <c r="AL165" s="34">
        <f t="shared" si="28"/>
        <v>0</v>
      </c>
      <c r="AM165" s="34">
        <f t="shared" si="28"/>
        <v>4</v>
      </c>
      <c r="AN165" s="34">
        <f t="shared" si="28"/>
        <v>0</v>
      </c>
      <c r="AO165" s="34">
        <f t="shared" si="28"/>
        <v>0</v>
      </c>
      <c r="AP165" s="34">
        <f t="shared" si="28"/>
        <v>2</v>
      </c>
      <c r="AQ165" s="34">
        <f t="shared" si="28"/>
        <v>5</v>
      </c>
      <c r="AR165" s="34">
        <f t="shared" si="28"/>
        <v>1</v>
      </c>
      <c r="AS165" s="34">
        <f t="shared" si="28"/>
        <v>0</v>
      </c>
      <c r="AT165" s="34">
        <f t="shared" si="28"/>
        <v>1</v>
      </c>
      <c r="AU165" s="34">
        <f t="shared" si="28"/>
        <v>1</v>
      </c>
      <c r="AV165" s="34">
        <f t="shared" si="28"/>
        <v>0</v>
      </c>
      <c r="AW165" s="34">
        <f t="shared" si="28"/>
        <v>0</v>
      </c>
      <c r="AX165" s="34">
        <f t="shared" si="28"/>
        <v>3</v>
      </c>
      <c r="AY165" s="34">
        <f t="shared" si="28"/>
        <v>1</v>
      </c>
      <c r="AZ165" s="34">
        <f t="shared" si="28"/>
        <v>2</v>
      </c>
      <c r="BA165" s="34">
        <f t="shared" si="28"/>
        <v>1</v>
      </c>
      <c r="BB165" s="13">
        <f t="shared" si="13"/>
        <v>65</v>
      </c>
      <c r="BC165" s="1"/>
      <c r="BD165" s="1"/>
    </row>
    <row r="166" spans="1:56" ht="12.75" customHeight="1" x14ac:dyDescent="0.3">
      <c r="A166" s="35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13">
        <f t="shared" si="13"/>
        <v>0</v>
      </c>
      <c r="BC166" s="31"/>
      <c r="BD166" s="31"/>
    </row>
    <row r="167" spans="1:56" ht="12.75" customHeight="1" x14ac:dyDescent="0.3">
      <c r="A167" s="19" t="s">
        <v>37</v>
      </c>
      <c r="B167" s="26" t="s">
        <v>142</v>
      </c>
      <c r="C167" s="48" t="s">
        <v>143</v>
      </c>
      <c r="D167" s="47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>
        <v>1</v>
      </c>
      <c r="X167" s="15"/>
      <c r="Y167" s="15">
        <v>1</v>
      </c>
      <c r="Z167" s="15"/>
      <c r="AA167" s="15">
        <v>1</v>
      </c>
      <c r="AB167" s="15">
        <v>1</v>
      </c>
      <c r="AC167" s="15"/>
      <c r="AD167" s="15"/>
      <c r="AE167" s="15"/>
      <c r="AF167" s="15"/>
      <c r="AG167" s="15"/>
      <c r="AH167" s="15">
        <v>1</v>
      </c>
      <c r="AI167" s="15"/>
      <c r="AJ167" s="15"/>
      <c r="AK167" s="15"/>
      <c r="AL167" s="15">
        <v>2</v>
      </c>
      <c r="AM167" s="15"/>
      <c r="AN167" s="15"/>
      <c r="AO167" s="15"/>
      <c r="AP167" s="15">
        <v>1</v>
      </c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3">
        <f t="shared" si="13"/>
        <v>8</v>
      </c>
      <c r="BC167" s="5"/>
      <c r="BD167" s="5"/>
    </row>
    <row r="168" spans="1:56" ht="12.75" customHeight="1" x14ac:dyDescent="0.3">
      <c r="A168" s="19"/>
      <c r="B168" s="26"/>
      <c r="C168" s="28" t="s">
        <v>144</v>
      </c>
      <c r="D168" s="37"/>
      <c r="E168" s="15"/>
      <c r="F168" s="15"/>
      <c r="G168" s="15"/>
      <c r="H168" s="15"/>
      <c r="I168" s="15">
        <v>1</v>
      </c>
      <c r="J168" s="15">
        <v>1</v>
      </c>
      <c r="K168" s="15"/>
      <c r="L168" s="15"/>
      <c r="M168" s="15"/>
      <c r="N168" s="15">
        <v>3</v>
      </c>
      <c r="O168" s="15">
        <v>2</v>
      </c>
      <c r="P168" s="15"/>
      <c r="Q168" s="15"/>
      <c r="R168" s="15"/>
      <c r="S168" s="15"/>
      <c r="T168" s="15">
        <v>1</v>
      </c>
      <c r="U168" s="15"/>
      <c r="V168" s="15"/>
      <c r="W168" s="15"/>
      <c r="X168" s="15"/>
      <c r="Y168" s="15"/>
      <c r="Z168" s="15">
        <v>2</v>
      </c>
      <c r="AA168" s="15"/>
      <c r="AB168" s="15"/>
      <c r="AC168" s="15"/>
      <c r="AD168" s="15">
        <v>3</v>
      </c>
      <c r="AE168" s="15"/>
      <c r="AF168" s="15">
        <v>1</v>
      </c>
      <c r="AG168" s="15"/>
      <c r="AH168" s="15"/>
      <c r="AI168" s="15"/>
      <c r="AJ168" s="15"/>
      <c r="AK168" s="15"/>
      <c r="AL168" s="15"/>
      <c r="AM168" s="15">
        <v>1</v>
      </c>
      <c r="AN168" s="15">
        <v>2</v>
      </c>
      <c r="AO168" s="15"/>
      <c r="AP168" s="15"/>
      <c r="AQ168" s="15"/>
      <c r="AR168" s="15">
        <v>3</v>
      </c>
      <c r="AS168" s="15"/>
      <c r="AT168" s="15"/>
      <c r="AU168" s="15"/>
      <c r="AV168" s="15"/>
      <c r="AW168" s="15"/>
      <c r="AX168" s="15"/>
      <c r="AY168" s="15"/>
      <c r="AZ168" s="15"/>
      <c r="BA168" s="15"/>
      <c r="BB168" s="13">
        <f t="shared" si="13"/>
        <v>20</v>
      </c>
      <c r="BC168" s="5"/>
      <c r="BD168" s="5"/>
    </row>
    <row r="169" spans="1:56" ht="12.75" customHeight="1" x14ac:dyDescent="0.3">
      <c r="A169" s="19"/>
      <c r="B169" s="26"/>
      <c r="C169" s="28" t="s">
        <v>145</v>
      </c>
      <c r="D169" s="37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>
        <v>1</v>
      </c>
      <c r="AS169" s="15"/>
      <c r="AT169" s="15"/>
      <c r="AU169" s="15"/>
      <c r="AV169" s="15"/>
      <c r="AW169" s="15"/>
      <c r="AX169" s="15"/>
      <c r="AY169" s="15"/>
      <c r="AZ169" s="15"/>
      <c r="BA169" s="15"/>
      <c r="BB169" s="13">
        <f t="shared" si="13"/>
        <v>1</v>
      </c>
      <c r="BC169" s="5"/>
      <c r="BD169" s="5"/>
    </row>
    <row r="170" spans="1:56" ht="12.75" customHeight="1" x14ac:dyDescent="0.3">
      <c r="A170" s="19"/>
      <c r="B170" s="26"/>
      <c r="C170" s="28" t="s">
        <v>146</v>
      </c>
      <c r="D170" s="37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3">
        <f t="shared" si="13"/>
        <v>0</v>
      </c>
      <c r="BC170" s="5"/>
      <c r="BD170" s="5"/>
    </row>
    <row r="171" spans="1:56" ht="12.75" customHeight="1" x14ac:dyDescent="0.3">
      <c r="A171" s="19" t="s">
        <v>39</v>
      </c>
      <c r="B171" s="27"/>
      <c r="C171" s="28" t="s">
        <v>147</v>
      </c>
      <c r="D171" s="29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>
        <v>1</v>
      </c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3">
        <f t="shared" si="13"/>
        <v>1</v>
      </c>
      <c r="BC171" s="5"/>
      <c r="BD171" s="5"/>
    </row>
    <row r="172" spans="1:56" ht="12.75" customHeight="1" x14ac:dyDescent="0.3">
      <c r="A172" s="15" t="s">
        <v>15</v>
      </c>
      <c r="B172" s="45" t="s">
        <v>47</v>
      </c>
      <c r="C172" s="46"/>
      <c r="D172" s="47"/>
      <c r="E172" s="34">
        <f t="shared" ref="E172:BA172" si="29">SUM(E167:E171)</f>
        <v>0</v>
      </c>
      <c r="F172" s="34">
        <f t="shared" si="29"/>
        <v>0</v>
      </c>
      <c r="G172" s="34">
        <f t="shared" si="29"/>
        <v>0</v>
      </c>
      <c r="H172" s="34">
        <f t="shared" si="29"/>
        <v>0</v>
      </c>
      <c r="I172" s="34">
        <f t="shared" si="29"/>
        <v>1</v>
      </c>
      <c r="J172" s="34">
        <f t="shared" si="29"/>
        <v>1</v>
      </c>
      <c r="K172" s="34">
        <f t="shared" si="29"/>
        <v>0</v>
      </c>
      <c r="L172" s="34">
        <f t="shared" si="29"/>
        <v>0</v>
      </c>
      <c r="M172" s="34">
        <f t="shared" si="29"/>
        <v>0</v>
      </c>
      <c r="N172" s="34">
        <f t="shared" si="29"/>
        <v>3</v>
      </c>
      <c r="O172" s="34">
        <f t="shared" si="29"/>
        <v>2</v>
      </c>
      <c r="P172" s="34">
        <f t="shared" si="29"/>
        <v>0</v>
      </c>
      <c r="Q172" s="34">
        <f t="shared" si="29"/>
        <v>0</v>
      </c>
      <c r="R172" s="34">
        <f t="shared" si="29"/>
        <v>0</v>
      </c>
      <c r="S172" s="34">
        <f t="shared" si="29"/>
        <v>0</v>
      </c>
      <c r="T172" s="34">
        <f t="shared" si="29"/>
        <v>1</v>
      </c>
      <c r="U172" s="34">
        <f t="shared" si="29"/>
        <v>0</v>
      </c>
      <c r="V172" s="34">
        <f t="shared" si="29"/>
        <v>0</v>
      </c>
      <c r="W172" s="34">
        <f t="shared" si="29"/>
        <v>1</v>
      </c>
      <c r="X172" s="34">
        <f t="shared" si="29"/>
        <v>0</v>
      </c>
      <c r="Y172" s="34">
        <f t="shared" si="29"/>
        <v>1</v>
      </c>
      <c r="Z172" s="34">
        <f t="shared" si="29"/>
        <v>2</v>
      </c>
      <c r="AA172" s="34">
        <f t="shared" si="29"/>
        <v>1</v>
      </c>
      <c r="AB172" s="34">
        <f t="shared" si="29"/>
        <v>1</v>
      </c>
      <c r="AC172" s="34">
        <f t="shared" si="29"/>
        <v>0</v>
      </c>
      <c r="AD172" s="34">
        <f t="shared" si="29"/>
        <v>3</v>
      </c>
      <c r="AE172" s="34">
        <f t="shared" si="29"/>
        <v>1</v>
      </c>
      <c r="AF172" s="34">
        <f t="shared" si="29"/>
        <v>1</v>
      </c>
      <c r="AG172" s="34">
        <f t="shared" si="29"/>
        <v>0</v>
      </c>
      <c r="AH172" s="34">
        <f t="shared" si="29"/>
        <v>1</v>
      </c>
      <c r="AI172" s="34">
        <f t="shared" si="29"/>
        <v>0</v>
      </c>
      <c r="AJ172" s="34">
        <f t="shared" si="29"/>
        <v>0</v>
      </c>
      <c r="AK172" s="34">
        <f t="shared" si="29"/>
        <v>0</v>
      </c>
      <c r="AL172" s="34">
        <f t="shared" si="29"/>
        <v>2</v>
      </c>
      <c r="AM172" s="34">
        <f t="shared" si="29"/>
        <v>1</v>
      </c>
      <c r="AN172" s="34">
        <f t="shared" si="29"/>
        <v>2</v>
      </c>
      <c r="AO172" s="34">
        <f t="shared" si="29"/>
        <v>0</v>
      </c>
      <c r="AP172" s="34">
        <f t="shared" si="29"/>
        <v>1</v>
      </c>
      <c r="AQ172" s="34">
        <f t="shared" si="29"/>
        <v>0</v>
      </c>
      <c r="AR172" s="34">
        <f t="shared" si="29"/>
        <v>4</v>
      </c>
      <c r="AS172" s="34">
        <f t="shared" si="29"/>
        <v>0</v>
      </c>
      <c r="AT172" s="34">
        <f t="shared" si="29"/>
        <v>0</v>
      </c>
      <c r="AU172" s="34">
        <f t="shared" si="29"/>
        <v>0</v>
      </c>
      <c r="AV172" s="34">
        <f t="shared" si="29"/>
        <v>0</v>
      </c>
      <c r="AW172" s="34">
        <f t="shared" si="29"/>
        <v>0</v>
      </c>
      <c r="AX172" s="34">
        <f t="shared" si="29"/>
        <v>0</v>
      </c>
      <c r="AY172" s="34">
        <f t="shared" si="29"/>
        <v>0</v>
      </c>
      <c r="AZ172" s="34">
        <f t="shared" si="29"/>
        <v>0</v>
      </c>
      <c r="BA172" s="34">
        <f t="shared" si="29"/>
        <v>0</v>
      </c>
      <c r="BB172" s="13">
        <f t="shared" si="13"/>
        <v>30</v>
      </c>
      <c r="BC172" s="5"/>
      <c r="BD172" s="5"/>
    </row>
    <row r="173" spans="1:56" ht="12.75" customHeight="1" x14ac:dyDescent="0.3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13">
        <f t="shared" si="13"/>
        <v>0</v>
      </c>
      <c r="BC173" s="5"/>
      <c r="BD173" s="5"/>
    </row>
    <row r="174" spans="1:56" ht="12.75" customHeight="1" x14ac:dyDescent="0.3">
      <c r="A174" s="19" t="s">
        <v>37</v>
      </c>
      <c r="B174" s="26" t="s">
        <v>148</v>
      </c>
      <c r="C174" s="48" t="s">
        <v>149</v>
      </c>
      <c r="D174" s="47"/>
      <c r="E174" s="15"/>
      <c r="F174" s="15"/>
      <c r="G174" s="15">
        <v>2</v>
      </c>
      <c r="H174" s="15">
        <v>2</v>
      </c>
      <c r="I174" s="15">
        <v>1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>
        <v>1</v>
      </c>
      <c r="Z174" s="15"/>
      <c r="AA174" s="15"/>
      <c r="AB174" s="15"/>
      <c r="AC174" s="15"/>
      <c r="AD174" s="15">
        <v>1</v>
      </c>
      <c r="AE174" s="15"/>
      <c r="AF174" s="15">
        <v>1</v>
      </c>
      <c r="AG174" s="15"/>
      <c r="AH174" s="15">
        <v>1</v>
      </c>
      <c r="AI174" s="15"/>
      <c r="AJ174" s="15"/>
      <c r="AK174" s="15"/>
      <c r="AL174" s="15"/>
      <c r="AM174" s="15"/>
      <c r="AN174" s="15"/>
      <c r="AO174" s="15">
        <v>1</v>
      </c>
      <c r="AP174" s="15"/>
      <c r="AQ174" s="15"/>
      <c r="AR174" s="15">
        <v>1</v>
      </c>
      <c r="AS174" s="15"/>
      <c r="AT174" s="15"/>
      <c r="AU174" s="15"/>
      <c r="AV174" s="15"/>
      <c r="AW174" s="15"/>
      <c r="AX174" s="15">
        <v>1</v>
      </c>
      <c r="AY174" s="15"/>
      <c r="AZ174" s="15"/>
      <c r="BA174" s="15"/>
      <c r="BB174" s="13">
        <f t="shared" si="13"/>
        <v>12</v>
      </c>
      <c r="BC174" s="5"/>
      <c r="BD174" s="5"/>
    </row>
    <row r="175" spans="1:56" ht="15" customHeight="1" x14ac:dyDescent="0.3">
      <c r="A175" s="19" t="s">
        <v>39</v>
      </c>
      <c r="B175" s="27"/>
      <c r="C175" s="28" t="s">
        <v>150</v>
      </c>
      <c r="D175" s="29"/>
      <c r="E175" s="15"/>
      <c r="F175" s="15">
        <v>2</v>
      </c>
      <c r="G175" s="15"/>
      <c r="H175" s="15"/>
      <c r="I175" s="15">
        <v>1</v>
      </c>
      <c r="J175" s="15"/>
      <c r="K175" s="15">
        <v>1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>
        <v>1</v>
      </c>
      <c r="Y175" s="15"/>
      <c r="Z175" s="15"/>
      <c r="AA175" s="15"/>
      <c r="AB175" s="15"/>
      <c r="AC175" s="15">
        <v>1</v>
      </c>
      <c r="AD175" s="15"/>
      <c r="AE175" s="15"/>
      <c r="AF175" s="15"/>
      <c r="AG175" s="15"/>
      <c r="AH175" s="15"/>
      <c r="AI175" s="15"/>
      <c r="AJ175" s="15"/>
      <c r="AK175" s="15"/>
      <c r="AL175" s="15">
        <v>1</v>
      </c>
      <c r="AM175" s="15"/>
      <c r="AN175" s="15"/>
      <c r="AO175" s="15"/>
      <c r="AP175" s="15"/>
      <c r="AQ175" s="15"/>
      <c r="AR175" s="15">
        <v>3</v>
      </c>
      <c r="AS175" s="15"/>
      <c r="AT175" s="15"/>
      <c r="AU175" s="15"/>
      <c r="AV175" s="15"/>
      <c r="AW175" s="15"/>
      <c r="AX175" s="15">
        <v>2</v>
      </c>
      <c r="AY175" s="15"/>
      <c r="AZ175" s="15"/>
      <c r="BA175" s="15"/>
      <c r="BB175" s="13">
        <f t="shared" si="13"/>
        <v>12</v>
      </c>
      <c r="BC175" s="5"/>
      <c r="BD175" s="5"/>
    </row>
    <row r="176" spans="1:56" ht="12.75" customHeight="1" x14ac:dyDescent="0.3">
      <c r="A176" s="14"/>
      <c r="B176" s="27"/>
      <c r="C176" s="28" t="s">
        <v>151</v>
      </c>
      <c r="D176" s="29"/>
      <c r="E176" s="15">
        <v>1</v>
      </c>
      <c r="F176" s="15"/>
      <c r="G176" s="15"/>
      <c r="H176" s="15"/>
      <c r="I176" s="15">
        <v>1</v>
      </c>
      <c r="J176" s="15"/>
      <c r="K176" s="15"/>
      <c r="L176" s="15">
        <v>1</v>
      </c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>
        <v>1</v>
      </c>
      <c r="AL176" s="15"/>
      <c r="AM176" s="15"/>
      <c r="AN176" s="15"/>
      <c r="AO176" s="15"/>
      <c r="AP176" s="15"/>
      <c r="AQ176" s="15"/>
      <c r="AR176" s="15">
        <v>1</v>
      </c>
      <c r="AS176" s="15"/>
      <c r="AT176" s="15"/>
      <c r="AU176" s="15"/>
      <c r="AV176" s="15"/>
      <c r="AW176" s="15"/>
      <c r="AX176" s="15"/>
      <c r="AY176" s="15"/>
      <c r="AZ176" s="15"/>
      <c r="BA176" s="15"/>
      <c r="BB176" s="13">
        <f t="shared" si="13"/>
        <v>5</v>
      </c>
      <c r="BC176" s="1"/>
      <c r="BD176" s="1"/>
    </row>
    <row r="177" spans="1:56" ht="12.75" customHeight="1" x14ac:dyDescent="0.3">
      <c r="A177" s="14"/>
      <c r="B177" s="27"/>
      <c r="C177" s="28" t="s">
        <v>152</v>
      </c>
      <c r="D177" s="29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>
        <v>1</v>
      </c>
      <c r="AX177" s="15"/>
      <c r="AY177" s="15"/>
      <c r="AZ177" s="15"/>
      <c r="BA177" s="15"/>
      <c r="BB177" s="13">
        <f t="shared" si="13"/>
        <v>1</v>
      </c>
    </row>
    <row r="178" spans="1:56" ht="12.75" customHeight="1" x14ac:dyDescent="0.3">
      <c r="A178" s="14"/>
      <c r="B178" s="27"/>
      <c r="C178" s="28" t="s">
        <v>153</v>
      </c>
      <c r="D178" s="29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3">
        <f t="shared" si="13"/>
        <v>0</v>
      </c>
      <c r="BC178" s="5"/>
      <c r="BD178" s="5"/>
    </row>
    <row r="179" spans="1:56" ht="12.75" customHeight="1" x14ac:dyDescent="0.3">
      <c r="A179" s="14"/>
      <c r="B179" s="27"/>
      <c r="C179" s="28" t="s">
        <v>154</v>
      </c>
      <c r="D179" s="29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1</v>
      </c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>
        <v>1</v>
      </c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3">
        <f t="shared" si="13"/>
        <v>2</v>
      </c>
      <c r="BC179" s="5"/>
      <c r="BD179" s="5"/>
    </row>
    <row r="180" spans="1:56" ht="12.75" customHeight="1" x14ac:dyDescent="0.3">
      <c r="A180" s="14"/>
      <c r="B180" s="27"/>
      <c r="C180" s="28" t="s">
        <v>155</v>
      </c>
      <c r="D180" s="29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>
        <v>1</v>
      </c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3">
        <f t="shared" si="13"/>
        <v>1</v>
      </c>
      <c r="BC180" s="5"/>
      <c r="BD180" s="5"/>
    </row>
    <row r="181" spans="1:56" ht="12.75" customHeight="1" x14ac:dyDescent="0.3">
      <c r="A181" s="15" t="s">
        <v>15</v>
      </c>
      <c r="B181" s="45" t="s">
        <v>47</v>
      </c>
      <c r="C181" s="46"/>
      <c r="D181" s="47"/>
      <c r="E181" s="34">
        <f t="shared" ref="E181:BA181" si="30">SUM(E174:E180)</f>
        <v>1</v>
      </c>
      <c r="F181" s="34">
        <f t="shared" si="30"/>
        <v>2</v>
      </c>
      <c r="G181" s="34">
        <f t="shared" si="30"/>
        <v>2</v>
      </c>
      <c r="H181" s="34">
        <f t="shared" si="30"/>
        <v>2</v>
      </c>
      <c r="I181" s="34">
        <f t="shared" si="30"/>
        <v>3</v>
      </c>
      <c r="J181" s="34">
        <f t="shared" si="30"/>
        <v>0</v>
      </c>
      <c r="K181" s="34">
        <f t="shared" si="30"/>
        <v>1</v>
      </c>
      <c r="L181" s="34">
        <f t="shared" si="30"/>
        <v>1</v>
      </c>
      <c r="M181" s="34">
        <f t="shared" si="30"/>
        <v>0</v>
      </c>
      <c r="N181" s="34">
        <f t="shared" si="30"/>
        <v>0</v>
      </c>
      <c r="O181" s="34">
        <f t="shared" si="30"/>
        <v>0</v>
      </c>
      <c r="P181" s="34">
        <f t="shared" si="30"/>
        <v>1</v>
      </c>
      <c r="Q181" s="34">
        <f t="shared" si="30"/>
        <v>0</v>
      </c>
      <c r="R181" s="34">
        <f t="shared" si="30"/>
        <v>0</v>
      </c>
      <c r="S181" s="34">
        <f t="shared" si="30"/>
        <v>0</v>
      </c>
      <c r="T181" s="34">
        <f t="shared" si="30"/>
        <v>0</v>
      </c>
      <c r="U181" s="34">
        <f t="shared" si="30"/>
        <v>0</v>
      </c>
      <c r="V181" s="34">
        <f t="shared" si="30"/>
        <v>0</v>
      </c>
      <c r="W181" s="34">
        <f t="shared" si="30"/>
        <v>0</v>
      </c>
      <c r="X181" s="34">
        <f t="shared" si="30"/>
        <v>1</v>
      </c>
      <c r="Y181" s="34">
        <f t="shared" si="30"/>
        <v>1</v>
      </c>
      <c r="Z181" s="34">
        <f t="shared" si="30"/>
        <v>0</v>
      </c>
      <c r="AA181" s="34">
        <f t="shared" si="30"/>
        <v>0</v>
      </c>
      <c r="AB181" s="34">
        <f t="shared" si="30"/>
        <v>0</v>
      </c>
      <c r="AC181" s="34">
        <f t="shared" si="30"/>
        <v>1</v>
      </c>
      <c r="AD181" s="34">
        <f t="shared" si="30"/>
        <v>1</v>
      </c>
      <c r="AE181" s="34">
        <f t="shared" si="30"/>
        <v>0</v>
      </c>
      <c r="AF181" s="34">
        <f t="shared" si="30"/>
        <v>1</v>
      </c>
      <c r="AG181" s="34">
        <f t="shared" si="30"/>
        <v>0</v>
      </c>
      <c r="AH181" s="34">
        <f t="shared" si="30"/>
        <v>1</v>
      </c>
      <c r="AI181" s="34">
        <f t="shared" si="30"/>
        <v>0</v>
      </c>
      <c r="AJ181" s="34">
        <f t="shared" si="30"/>
        <v>1</v>
      </c>
      <c r="AK181" s="34">
        <f t="shared" si="30"/>
        <v>1</v>
      </c>
      <c r="AL181" s="34">
        <f t="shared" si="30"/>
        <v>1</v>
      </c>
      <c r="AM181" s="34">
        <f t="shared" si="30"/>
        <v>0</v>
      </c>
      <c r="AN181" s="34">
        <f t="shared" si="30"/>
        <v>0</v>
      </c>
      <c r="AO181" s="34">
        <f t="shared" si="30"/>
        <v>1</v>
      </c>
      <c r="AP181" s="34">
        <f t="shared" si="30"/>
        <v>0</v>
      </c>
      <c r="AQ181" s="34">
        <f t="shared" si="30"/>
        <v>1</v>
      </c>
      <c r="AR181" s="34">
        <f t="shared" si="30"/>
        <v>5</v>
      </c>
      <c r="AS181" s="34">
        <f t="shared" si="30"/>
        <v>0</v>
      </c>
      <c r="AT181" s="34">
        <f t="shared" si="30"/>
        <v>0</v>
      </c>
      <c r="AU181" s="34">
        <f t="shared" si="30"/>
        <v>0</v>
      </c>
      <c r="AV181" s="34">
        <f t="shared" si="30"/>
        <v>0</v>
      </c>
      <c r="AW181" s="34">
        <f t="shared" si="30"/>
        <v>1</v>
      </c>
      <c r="AX181" s="34">
        <f t="shared" si="30"/>
        <v>3</v>
      </c>
      <c r="AY181" s="34">
        <f t="shared" si="30"/>
        <v>0</v>
      </c>
      <c r="AZ181" s="34">
        <f t="shared" si="30"/>
        <v>0</v>
      </c>
      <c r="BA181" s="34">
        <f t="shared" si="30"/>
        <v>0</v>
      </c>
      <c r="BB181" s="13">
        <f t="shared" si="13"/>
        <v>33</v>
      </c>
      <c r="BC181" s="5"/>
      <c r="BD181" s="5"/>
    </row>
    <row r="182" spans="1:56" ht="12.75" customHeight="1" x14ac:dyDescent="0.3">
      <c r="A182" s="35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13">
        <f t="shared" si="13"/>
        <v>0</v>
      </c>
      <c r="BC182" s="5"/>
      <c r="BD182" s="5"/>
    </row>
    <row r="183" spans="1:56" ht="12.75" customHeight="1" x14ac:dyDescent="0.3">
      <c r="A183" s="19" t="s">
        <v>37</v>
      </c>
      <c r="B183" s="26" t="s">
        <v>156</v>
      </c>
      <c r="C183" s="48" t="s">
        <v>157</v>
      </c>
      <c r="D183" s="47"/>
      <c r="E183" s="15">
        <v>1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>
        <v>1</v>
      </c>
      <c r="R183" s="15"/>
      <c r="S183" s="15"/>
      <c r="T183" s="15">
        <v>1</v>
      </c>
      <c r="U183" s="15"/>
      <c r="V183" s="15">
        <v>1</v>
      </c>
      <c r="W183" s="15"/>
      <c r="X183" s="15">
        <v>1</v>
      </c>
      <c r="Y183" s="15"/>
      <c r="Z183" s="15"/>
      <c r="AA183" s="15"/>
      <c r="AB183" s="15"/>
      <c r="AC183" s="15"/>
      <c r="AD183" s="15"/>
      <c r="AE183" s="15"/>
      <c r="AF183" s="15">
        <v>1</v>
      </c>
      <c r="AG183" s="15">
        <v>2</v>
      </c>
      <c r="AH183" s="15"/>
      <c r="AI183" s="15"/>
      <c r="AJ183" s="15"/>
      <c r="AK183" s="15"/>
      <c r="AL183" s="15">
        <v>2</v>
      </c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>
        <v>1</v>
      </c>
      <c r="AY183" s="15"/>
      <c r="AZ183" s="15"/>
      <c r="BA183" s="15"/>
      <c r="BB183" s="13">
        <f t="shared" si="13"/>
        <v>11</v>
      </c>
      <c r="BC183" s="5"/>
      <c r="BD183" s="5"/>
    </row>
    <row r="184" spans="1:56" ht="12.75" customHeight="1" x14ac:dyDescent="0.3">
      <c r="A184" s="19"/>
      <c r="B184" s="26"/>
      <c r="C184" s="28" t="s">
        <v>158</v>
      </c>
      <c r="D184" s="37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>
        <v>1</v>
      </c>
      <c r="AA184" s="15"/>
      <c r="AB184" s="15">
        <v>1</v>
      </c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3">
        <f t="shared" si="13"/>
        <v>2</v>
      </c>
      <c r="BC184" s="5"/>
      <c r="BD184" s="5"/>
    </row>
    <row r="185" spans="1:56" ht="12.75" customHeight="1" x14ac:dyDescent="0.3">
      <c r="A185" s="19"/>
      <c r="B185" s="26"/>
      <c r="C185" s="28" t="s">
        <v>159</v>
      </c>
      <c r="D185" s="37"/>
      <c r="E185" s="15"/>
      <c r="F185" s="15"/>
      <c r="G185" s="15"/>
      <c r="H185" s="15"/>
      <c r="I185" s="15"/>
      <c r="J185" s="15"/>
      <c r="K185" s="15"/>
      <c r="L185" s="15">
        <v>1</v>
      </c>
      <c r="M185" s="15"/>
      <c r="N185" s="15"/>
      <c r="O185" s="15"/>
      <c r="P185" s="15"/>
      <c r="Q185" s="15"/>
      <c r="R185" s="15"/>
      <c r="S185" s="15">
        <v>4</v>
      </c>
      <c r="T185" s="15"/>
      <c r="U185" s="15"/>
      <c r="V185" s="15"/>
      <c r="W185" s="15"/>
      <c r="X185" s="15"/>
      <c r="Y185" s="15">
        <v>1</v>
      </c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>
        <v>1</v>
      </c>
      <c r="AM185" s="15"/>
      <c r="AN185" s="15"/>
      <c r="AO185" s="15">
        <v>1</v>
      </c>
      <c r="AP185" s="15"/>
      <c r="AQ185" s="15"/>
      <c r="AR185" s="15"/>
      <c r="AS185" s="15"/>
      <c r="AT185" s="15"/>
      <c r="AU185" s="15"/>
      <c r="AV185" s="15"/>
      <c r="AW185" s="15">
        <v>1</v>
      </c>
      <c r="AX185" s="15"/>
      <c r="AY185" s="15"/>
      <c r="AZ185" s="15"/>
      <c r="BA185" s="15"/>
      <c r="BB185" s="13">
        <f t="shared" si="13"/>
        <v>9</v>
      </c>
      <c r="BC185" s="5"/>
      <c r="BD185" s="5"/>
    </row>
    <row r="186" spans="1:56" ht="12.75" customHeight="1" x14ac:dyDescent="0.3">
      <c r="A186" s="19" t="s">
        <v>39</v>
      </c>
      <c r="B186" s="27"/>
      <c r="C186" s="28" t="s">
        <v>160</v>
      </c>
      <c r="D186" s="29"/>
      <c r="E186" s="15"/>
      <c r="F186" s="15"/>
      <c r="G186" s="15"/>
      <c r="H186" s="15"/>
      <c r="I186" s="15"/>
      <c r="J186" s="15"/>
      <c r="K186" s="15"/>
      <c r="L186" s="15">
        <v>2</v>
      </c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>
        <v>1</v>
      </c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3">
        <f t="shared" si="13"/>
        <v>3</v>
      </c>
      <c r="BC186" s="5"/>
      <c r="BD186" s="5"/>
    </row>
    <row r="187" spans="1:56" ht="12.75" customHeight="1" x14ac:dyDescent="0.3">
      <c r="A187" s="15" t="s">
        <v>15</v>
      </c>
      <c r="B187" s="45" t="s">
        <v>47</v>
      </c>
      <c r="C187" s="46"/>
      <c r="D187" s="47"/>
      <c r="E187" s="34">
        <f t="shared" ref="E187:BA187" si="31">SUM(E183:E186)</f>
        <v>1</v>
      </c>
      <c r="F187" s="34">
        <f t="shared" si="31"/>
        <v>0</v>
      </c>
      <c r="G187" s="34">
        <f t="shared" si="31"/>
        <v>0</v>
      </c>
      <c r="H187" s="34">
        <f t="shared" si="31"/>
        <v>0</v>
      </c>
      <c r="I187" s="34">
        <f t="shared" si="31"/>
        <v>0</v>
      </c>
      <c r="J187" s="34">
        <f t="shared" si="31"/>
        <v>0</v>
      </c>
      <c r="K187" s="34">
        <f t="shared" si="31"/>
        <v>0</v>
      </c>
      <c r="L187" s="34">
        <f t="shared" si="31"/>
        <v>3</v>
      </c>
      <c r="M187" s="34">
        <f t="shared" si="31"/>
        <v>0</v>
      </c>
      <c r="N187" s="34">
        <f t="shared" si="31"/>
        <v>0</v>
      </c>
      <c r="O187" s="34">
        <f t="shared" si="31"/>
        <v>0</v>
      </c>
      <c r="P187" s="34">
        <f t="shared" si="31"/>
        <v>0</v>
      </c>
      <c r="Q187" s="34">
        <f t="shared" si="31"/>
        <v>1</v>
      </c>
      <c r="R187" s="34">
        <f t="shared" si="31"/>
        <v>0</v>
      </c>
      <c r="S187" s="34">
        <f t="shared" si="31"/>
        <v>4</v>
      </c>
      <c r="T187" s="34">
        <f t="shared" si="31"/>
        <v>1</v>
      </c>
      <c r="U187" s="34">
        <f t="shared" si="31"/>
        <v>0</v>
      </c>
      <c r="V187" s="34">
        <f t="shared" si="31"/>
        <v>1</v>
      </c>
      <c r="W187" s="34">
        <f t="shared" si="31"/>
        <v>0</v>
      </c>
      <c r="X187" s="34">
        <f t="shared" si="31"/>
        <v>1</v>
      </c>
      <c r="Y187" s="34">
        <f t="shared" si="31"/>
        <v>2</v>
      </c>
      <c r="Z187" s="34">
        <f t="shared" si="31"/>
        <v>1</v>
      </c>
      <c r="AA187" s="34">
        <f t="shared" si="31"/>
        <v>0</v>
      </c>
      <c r="AB187" s="34">
        <f t="shared" si="31"/>
        <v>1</v>
      </c>
      <c r="AC187" s="34">
        <f t="shared" si="31"/>
        <v>0</v>
      </c>
      <c r="AD187" s="34">
        <f t="shared" si="31"/>
        <v>0</v>
      </c>
      <c r="AE187" s="34">
        <f t="shared" si="31"/>
        <v>0</v>
      </c>
      <c r="AF187" s="34">
        <f t="shared" si="31"/>
        <v>1</v>
      </c>
      <c r="AG187" s="34">
        <f t="shared" si="31"/>
        <v>2</v>
      </c>
      <c r="AH187" s="34">
        <f t="shared" si="31"/>
        <v>0</v>
      </c>
      <c r="AI187" s="34">
        <f t="shared" si="31"/>
        <v>0</v>
      </c>
      <c r="AJ187" s="34">
        <f t="shared" si="31"/>
        <v>0</v>
      </c>
      <c r="AK187" s="34">
        <f t="shared" si="31"/>
        <v>0</v>
      </c>
      <c r="AL187" s="34">
        <f t="shared" si="31"/>
        <v>3</v>
      </c>
      <c r="AM187" s="34">
        <f t="shared" si="31"/>
        <v>0</v>
      </c>
      <c r="AN187" s="34">
        <f t="shared" si="31"/>
        <v>0</v>
      </c>
      <c r="AO187" s="34">
        <f t="shared" si="31"/>
        <v>1</v>
      </c>
      <c r="AP187" s="34">
        <f t="shared" si="31"/>
        <v>0</v>
      </c>
      <c r="AQ187" s="34">
        <f t="shared" si="31"/>
        <v>0</v>
      </c>
      <c r="AR187" s="34">
        <f t="shared" si="31"/>
        <v>0</v>
      </c>
      <c r="AS187" s="34">
        <f t="shared" si="31"/>
        <v>0</v>
      </c>
      <c r="AT187" s="34">
        <f t="shared" si="31"/>
        <v>0</v>
      </c>
      <c r="AU187" s="34">
        <f t="shared" si="31"/>
        <v>0</v>
      </c>
      <c r="AV187" s="34">
        <f t="shared" si="31"/>
        <v>0</v>
      </c>
      <c r="AW187" s="34">
        <f t="shared" si="31"/>
        <v>1</v>
      </c>
      <c r="AX187" s="34">
        <f t="shared" si="31"/>
        <v>1</v>
      </c>
      <c r="AY187" s="34">
        <f t="shared" si="31"/>
        <v>0</v>
      </c>
      <c r="AZ187" s="34">
        <f t="shared" si="31"/>
        <v>0</v>
      </c>
      <c r="BA187" s="34">
        <f t="shared" si="31"/>
        <v>0</v>
      </c>
      <c r="BB187" s="13">
        <f t="shared" si="13"/>
        <v>25</v>
      </c>
      <c r="BC187" s="1"/>
      <c r="BD187" s="1"/>
    </row>
    <row r="188" spans="1:56" ht="12.75" customHeight="1" x14ac:dyDescent="0.3">
      <c r="A188" s="51"/>
      <c r="B188" s="52"/>
      <c r="C188" s="52"/>
      <c r="D188" s="53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3">
        <f t="shared" si="13"/>
        <v>0</v>
      </c>
    </row>
    <row r="189" spans="1:56" ht="12.75" customHeight="1" x14ac:dyDescent="0.3">
      <c r="A189" s="25" t="s">
        <v>161</v>
      </c>
      <c r="B189" s="49" t="s">
        <v>162</v>
      </c>
      <c r="C189" s="46"/>
      <c r="D189" s="47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3">
        <f t="shared" si="13"/>
        <v>0</v>
      </c>
      <c r="BC189" s="5"/>
      <c r="BD189" s="5"/>
    </row>
    <row r="190" spans="1:56" ht="12.75" customHeight="1" x14ac:dyDescent="0.3">
      <c r="A190" s="25"/>
      <c r="B190" s="38" t="s">
        <v>163</v>
      </c>
      <c r="C190" s="50" t="s">
        <v>164</v>
      </c>
      <c r="D190" s="47"/>
      <c r="E190" s="15">
        <f t="shared" ref="E190:BA190" si="32">E187+E181+E172+E165+E160+E150+E140+E130+E126+E116+E111+E101+E97+E93+E83+E73+E63+E53</f>
        <v>146</v>
      </c>
      <c r="F190" s="15">
        <f t="shared" si="32"/>
        <v>132</v>
      </c>
      <c r="G190" s="15">
        <f t="shared" si="32"/>
        <v>121</v>
      </c>
      <c r="H190" s="15">
        <f t="shared" si="32"/>
        <v>184</v>
      </c>
      <c r="I190" s="15">
        <f t="shared" si="32"/>
        <v>169</v>
      </c>
      <c r="J190" s="15">
        <f t="shared" si="32"/>
        <v>121</v>
      </c>
      <c r="K190" s="15">
        <f t="shared" si="32"/>
        <v>149</v>
      </c>
      <c r="L190" s="15">
        <f t="shared" si="32"/>
        <v>124</v>
      </c>
      <c r="M190" s="15">
        <f t="shared" si="32"/>
        <v>159</v>
      </c>
      <c r="N190" s="15">
        <f t="shared" si="32"/>
        <v>149</v>
      </c>
      <c r="O190" s="15">
        <f t="shared" si="32"/>
        <v>144</v>
      </c>
      <c r="P190" s="15">
        <f t="shared" si="32"/>
        <v>154</v>
      </c>
      <c r="Q190" s="15">
        <f t="shared" si="32"/>
        <v>168</v>
      </c>
      <c r="R190" s="15">
        <f t="shared" si="32"/>
        <v>113</v>
      </c>
      <c r="S190" s="15">
        <f t="shared" si="32"/>
        <v>175</v>
      </c>
      <c r="T190" s="15">
        <f t="shared" si="32"/>
        <v>168</v>
      </c>
      <c r="U190" s="15">
        <f t="shared" si="32"/>
        <v>141</v>
      </c>
      <c r="V190" s="15">
        <f t="shared" si="32"/>
        <v>159</v>
      </c>
      <c r="W190" s="15">
        <f t="shared" si="32"/>
        <v>168</v>
      </c>
      <c r="X190" s="15">
        <f t="shared" si="32"/>
        <v>145</v>
      </c>
      <c r="Y190" s="15">
        <f t="shared" si="32"/>
        <v>176</v>
      </c>
      <c r="Z190" s="15">
        <f t="shared" si="32"/>
        <v>130</v>
      </c>
      <c r="AA190" s="15">
        <f t="shared" si="32"/>
        <v>118</v>
      </c>
      <c r="AB190" s="15">
        <f t="shared" si="32"/>
        <v>186</v>
      </c>
      <c r="AC190" s="15">
        <f t="shared" si="32"/>
        <v>166</v>
      </c>
      <c r="AD190" s="15">
        <f t="shared" si="32"/>
        <v>162</v>
      </c>
      <c r="AE190" s="15">
        <f t="shared" si="32"/>
        <v>188</v>
      </c>
      <c r="AF190" s="15">
        <f t="shared" si="32"/>
        <v>170</v>
      </c>
      <c r="AG190" s="15">
        <f t="shared" si="32"/>
        <v>152</v>
      </c>
      <c r="AH190" s="15">
        <f t="shared" si="32"/>
        <v>151</v>
      </c>
      <c r="AI190" s="15">
        <f t="shared" si="32"/>
        <v>150</v>
      </c>
      <c r="AJ190" s="15">
        <f t="shared" si="32"/>
        <v>162</v>
      </c>
      <c r="AK190" s="15">
        <f t="shared" si="32"/>
        <v>146</v>
      </c>
      <c r="AL190" s="15">
        <f t="shared" si="32"/>
        <v>125</v>
      </c>
      <c r="AM190" s="15">
        <f t="shared" si="32"/>
        <v>140</v>
      </c>
      <c r="AN190" s="15">
        <f t="shared" si="32"/>
        <v>180</v>
      </c>
      <c r="AO190" s="15">
        <f t="shared" si="32"/>
        <v>126</v>
      </c>
      <c r="AP190" s="15">
        <f t="shared" si="32"/>
        <v>174</v>
      </c>
      <c r="AQ190" s="15">
        <f t="shared" si="32"/>
        <v>152</v>
      </c>
      <c r="AR190" s="15">
        <f t="shared" si="32"/>
        <v>149</v>
      </c>
      <c r="AS190" s="15">
        <f t="shared" si="32"/>
        <v>151</v>
      </c>
      <c r="AT190" s="15">
        <f t="shared" si="32"/>
        <v>174</v>
      </c>
      <c r="AU190" s="15">
        <f t="shared" si="32"/>
        <v>157</v>
      </c>
      <c r="AV190" s="15">
        <f t="shared" si="32"/>
        <v>179</v>
      </c>
      <c r="AW190" s="15">
        <f t="shared" si="32"/>
        <v>184</v>
      </c>
      <c r="AX190" s="15">
        <f t="shared" si="32"/>
        <v>171</v>
      </c>
      <c r="AY190" s="15">
        <f t="shared" si="32"/>
        <v>201</v>
      </c>
      <c r="AZ190" s="15">
        <f t="shared" si="32"/>
        <v>197</v>
      </c>
      <c r="BA190" s="15">
        <f t="shared" si="32"/>
        <v>165</v>
      </c>
      <c r="BB190" s="13">
        <f t="shared" si="13"/>
        <v>7671</v>
      </c>
      <c r="BC190" s="5"/>
      <c r="BD190" s="5"/>
    </row>
    <row r="191" spans="1:56" ht="12.75" customHeight="1" x14ac:dyDescent="0.3">
      <c r="A191" s="21"/>
      <c r="B191" s="38" t="s">
        <v>165</v>
      </c>
      <c r="C191" s="50" t="s">
        <v>166</v>
      </c>
      <c r="D191" s="47"/>
      <c r="E191" s="15">
        <v>14</v>
      </c>
      <c r="F191" s="15">
        <v>12</v>
      </c>
      <c r="G191" s="15">
        <v>16</v>
      </c>
      <c r="H191" s="15">
        <v>12</v>
      </c>
      <c r="I191" s="15">
        <v>18</v>
      </c>
      <c r="J191" s="15">
        <v>8</v>
      </c>
      <c r="K191" s="15">
        <v>8</v>
      </c>
      <c r="L191" s="15">
        <v>15</v>
      </c>
      <c r="M191" s="15">
        <v>19</v>
      </c>
      <c r="N191" s="15">
        <v>13</v>
      </c>
      <c r="O191" s="15">
        <v>5</v>
      </c>
      <c r="P191" s="15">
        <v>9</v>
      </c>
      <c r="Q191" s="15">
        <v>17</v>
      </c>
      <c r="R191" s="15">
        <v>13</v>
      </c>
      <c r="S191" s="15">
        <v>7</v>
      </c>
      <c r="T191" s="15">
        <v>15</v>
      </c>
      <c r="U191" s="15">
        <v>8</v>
      </c>
      <c r="V191" s="15">
        <v>12</v>
      </c>
      <c r="W191" s="15">
        <v>7</v>
      </c>
      <c r="X191" s="15">
        <v>2</v>
      </c>
      <c r="Y191" s="15">
        <v>7</v>
      </c>
      <c r="Z191" s="15">
        <v>11</v>
      </c>
      <c r="AA191" s="15">
        <v>3</v>
      </c>
      <c r="AB191" s="15">
        <v>5</v>
      </c>
      <c r="AC191" s="15">
        <v>9</v>
      </c>
      <c r="AD191" s="15">
        <v>11</v>
      </c>
      <c r="AE191" s="15">
        <v>10</v>
      </c>
      <c r="AF191" s="15">
        <v>9</v>
      </c>
      <c r="AG191" s="15">
        <v>6</v>
      </c>
      <c r="AH191" s="15">
        <v>5</v>
      </c>
      <c r="AI191" s="15">
        <v>11</v>
      </c>
      <c r="AJ191" s="15">
        <v>10</v>
      </c>
      <c r="AK191" s="15">
        <v>14</v>
      </c>
      <c r="AL191" s="15">
        <v>8</v>
      </c>
      <c r="AM191" s="15">
        <v>7</v>
      </c>
      <c r="AN191" s="15">
        <v>5</v>
      </c>
      <c r="AO191" s="15">
        <v>14</v>
      </c>
      <c r="AP191" s="15">
        <v>10</v>
      </c>
      <c r="AQ191" s="15">
        <v>6</v>
      </c>
      <c r="AR191" s="15">
        <v>4</v>
      </c>
      <c r="AS191" s="15">
        <v>15</v>
      </c>
      <c r="AT191" s="15">
        <v>15</v>
      </c>
      <c r="AU191" s="15">
        <v>7</v>
      </c>
      <c r="AV191" s="15">
        <v>17</v>
      </c>
      <c r="AW191" s="15">
        <v>9</v>
      </c>
      <c r="AX191" s="15">
        <v>7</v>
      </c>
      <c r="AY191" s="15">
        <v>10</v>
      </c>
      <c r="AZ191" s="15">
        <v>5</v>
      </c>
      <c r="BA191" s="15">
        <v>12</v>
      </c>
      <c r="BB191" s="13">
        <f t="shared" si="13"/>
        <v>492</v>
      </c>
      <c r="BC191" s="5"/>
      <c r="BD191" s="5"/>
    </row>
    <row r="192" spans="1:56" ht="12.75" customHeight="1" x14ac:dyDescent="0.3">
      <c r="A192" s="24"/>
      <c r="B192" s="38" t="s">
        <v>167</v>
      </c>
      <c r="C192" s="50" t="s">
        <v>168</v>
      </c>
      <c r="D192" s="47"/>
      <c r="E192" s="18">
        <f t="shared" ref="E192:BA192" si="33">SUM(E190:E191)</f>
        <v>160</v>
      </c>
      <c r="F192" s="18">
        <f t="shared" si="33"/>
        <v>144</v>
      </c>
      <c r="G192" s="18">
        <f t="shared" si="33"/>
        <v>137</v>
      </c>
      <c r="H192" s="18">
        <f t="shared" si="33"/>
        <v>196</v>
      </c>
      <c r="I192" s="18">
        <f t="shared" si="33"/>
        <v>187</v>
      </c>
      <c r="J192" s="18">
        <f t="shared" si="33"/>
        <v>129</v>
      </c>
      <c r="K192" s="18">
        <f t="shared" si="33"/>
        <v>157</v>
      </c>
      <c r="L192" s="18">
        <f t="shared" si="33"/>
        <v>139</v>
      </c>
      <c r="M192" s="18">
        <f t="shared" si="33"/>
        <v>178</v>
      </c>
      <c r="N192" s="18">
        <f t="shared" si="33"/>
        <v>162</v>
      </c>
      <c r="O192" s="18">
        <f t="shared" si="33"/>
        <v>149</v>
      </c>
      <c r="P192" s="18">
        <f t="shared" si="33"/>
        <v>163</v>
      </c>
      <c r="Q192" s="18">
        <f t="shared" si="33"/>
        <v>185</v>
      </c>
      <c r="R192" s="18">
        <f t="shared" si="33"/>
        <v>126</v>
      </c>
      <c r="S192" s="18">
        <f t="shared" si="33"/>
        <v>182</v>
      </c>
      <c r="T192" s="18">
        <f t="shared" si="33"/>
        <v>183</v>
      </c>
      <c r="U192" s="18">
        <f t="shared" si="33"/>
        <v>149</v>
      </c>
      <c r="V192" s="18">
        <f t="shared" si="33"/>
        <v>171</v>
      </c>
      <c r="W192" s="18">
        <f t="shared" si="33"/>
        <v>175</v>
      </c>
      <c r="X192" s="18">
        <f t="shared" si="33"/>
        <v>147</v>
      </c>
      <c r="Y192" s="18">
        <f t="shared" si="33"/>
        <v>183</v>
      </c>
      <c r="Z192" s="18">
        <f t="shared" si="33"/>
        <v>141</v>
      </c>
      <c r="AA192" s="18">
        <f t="shared" si="33"/>
        <v>121</v>
      </c>
      <c r="AB192" s="18">
        <f t="shared" si="33"/>
        <v>191</v>
      </c>
      <c r="AC192" s="18">
        <f t="shared" si="33"/>
        <v>175</v>
      </c>
      <c r="AD192" s="18">
        <f t="shared" si="33"/>
        <v>173</v>
      </c>
      <c r="AE192" s="18">
        <f t="shared" si="33"/>
        <v>198</v>
      </c>
      <c r="AF192" s="18">
        <f t="shared" si="33"/>
        <v>179</v>
      </c>
      <c r="AG192" s="18">
        <f t="shared" si="33"/>
        <v>158</v>
      </c>
      <c r="AH192" s="18">
        <f t="shared" si="33"/>
        <v>156</v>
      </c>
      <c r="AI192" s="18">
        <f t="shared" si="33"/>
        <v>161</v>
      </c>
      <c r="AJ192" s="18">
        <f t="shared" si="33"/>
        <v>172</v>
      </c>
      <c r="AK192" s="18">
        <f t="shared" si="33"/>
        <v>160</v>
      </c>
      <c r="AL192" s="18">
        <f t="shared" si="33"/>
        <v>133</v>
      </c>
      <c r="AM192" s="18">
        <f t="shared" si="33"/>
        <v>147</v>
      </c>
      <c r="AN192" s="18">
        <f t="shared" si="33"/>
        <v>185</v>
      </c>
      <c r="AO192" s="18">
        <f t="shared" si="33"/>
        <v>140</v>
      </c>
      <c r="AP192" s="18">
        <f t="shared" si="33"/>
        <v>184</v>
      </c>
      <c r="AQ192" s="18">
        <f t="shared" si="33"/>
        <v>158</v>
      </c>
      <c r="AR192" s="18">
        <f t="shared" si="33"/>
        <v>153</v>
      </c>
      <c r="AS192" s="18">
        <f t="shared" si="33"/>
        <v>166</v>
      </c>
      <c r="AT192" s="18">
        <f t="shared" si="33"/>
        <v>189</v>
      </c>
      <c r="AU192" s="18">
        <f t="shared" si="33"/>
        <v>164</v>
      </c>
      <c r="AV192" s="18">
        <f t="shared" si="33"/>
        <v>196</v>
      </c>
      <c r="AW192" s="18">
        <f t="shared" si="33"/>
        <v>193</v>
      </c>
      <c r="AX192" s="18">
        <f t="shared" si="33"/>
        <v>178</v>
      </c>
      <c r="AY192" s="18">
        <f t="shared" si="33"/>
        <v>211</v>
      </c>
      <c r="AZ192" s="18">
        <f t="shared" si="33"/>
        <v>202</v>
      </c>
      <c r="BA192" s="18">
        <f t="shared" si="33"/>
        <v>177</v>
      </c>
      <c r="BB192" s="13">
        <f t="shared" si="13"/>
        <v>8163</v>
      </c>
      <c r="BC192" s="5"/>
      <c r="BD192" s="5"/>
    </row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70">
    <mergeCell ref="B97:D97"/>
    <mergeCell ref="C99:D99"/>
    <mergeCell ref="B101:D101"/>
    <mergeCell ref="C103:D103"/>
    <mergeCell ref="C75:D75"/>
    <mergeCell ref="B83:D83"/>
    <mergeCell ref="C85:D85"/>
    <mergeCell ref="B93:D93"/>
    <mergeCell ref="C95:D95"/>
    <mergeCell ref="B53:D53"/>
    <mergeCell ref="C55:D55"/>
    <mergeCell ref="B63:D63"/>
    <mergeCell ref="C65:D65"/>
    <mergeCell ref="B73:D7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A17:D17"/>
    <mergeCell ref="B18:D18"/>
    <mergeCell ref="B19:B21"/>
    <mergeCell ref="C19:C21"/>
    <mergeCell ref="B22:B24"/>
    <mergeCell ref="C22:C24"/>
    <mergeCell ref="B12:D12"/>
    <mergeCell ref="E12:BA12"/>
    <mergeCell ref="BB12:BB13"/>
    <mergeCell ref="B13:D13"/>
    <mergeCell ref="B14:C16"/>
    <mergeCell ref="B189:D189"/>
    <mergeCell ref="C190:D190"/>
    <mergeCell ref="C191:D191"/>
    <mergeCell ref="C192:D192"/>
    <mergeCell ref="B165:D165"/>
    <mergeCell ref="C167:D167"/>
    <mergeCell ref="B172:D172"/>
    <mergeCell ref="C174:D174"/>
    <mergeCell ref="B181:D181"/>
    <mergeCell ref="C183:D183"/>
    <mergeCell ref="B187:D187"/>
    <mergeCell ref="B150:D150"/>
    <mergeCell ref="C152:D152"/>
    <mergeCell ref="B160:D160"/>
    <mergeCell ref="C162:D162"/>
    <mergeCell ref="A188:D188"/>
    <mergeCell ref="C128:D128"/>
    <mergeCell ref="B130:D130"/>
    <mergeCell ref="C132:D132"/>
    <mergeCell ref="B140:D140"/>
    <mergeCell ref="C142:D142"/>
    <mergeCell ref="B111:D111"/>
    <mergeCell ref="C113:D113"/>
    <mergeCell ref="B116:D116"/>
    <mergeCell ref="C118:D118"/>
    <mergeCell ref="B126:D126"/>
  </mergeCells>
  <conditionalFormatting sqref="E14:BA15">
    <cfRule type="containsBlanks" dxfId="89" priority="1">
      <formula>LEN(TRIM(E14))=0</formula>
    </cfRule>
  </conditionalFormatting>
  <conditionalFormatting sqref="E19:BA20">
    <cfRule type="containsBlanks" dxfId="88" priority="2">
      <formula>LEN(TRIM(E19))=0</formula>
    </cfRule>
  </conditionalFormatting>
  <conditionalFormatting sqref="E22:BA23 E25:BA26 E33:BA33 E35:BA35 E39:BA40">
    <cfRule type="containsBlanks" dxfId="87" priority="3">
      <formula>LEN(TRIM(E22))=0</formula>
    </cfRule>
  </conditionalFormatting>
  <conditionalFormatting sqref="E30:BA30">
    <cfRule type="expression" dxfId="86" priority="4">
      <formula>E30&lt;&gt;E47</formula>
    </cfRule>
    <cfRule type="expression" dxfId="85" priority="5">
      <formula>E30&lt;&gt;E34</formula>
    </cfRule>
  </conditionalFormatting>
  <conditionalFormatting sqref="E34:BA34">
    <cfRule type="expression" dxfId="84" priority="6">
      <formula>E30&lt;&gt;E34</formula>
    </cfRule>
    <cfRule type="expression" dxfId="83" priority="7">
      <formula>E30=E34</formula>
    </cfRule>
    <cfRule type="expression" dxfId="82" priority="8">
      <formula>E34&lt;&gt;E30</formula>
    </cfRule>
    <cfRule type="expression" dxfId="81" priority="9">
      <formula>E34&lt;&gt;E64</formula>
    </cfRule>
  </conditionalFormatting>
  <conditionalFormatting sqref="E45:BA52">
    <cfRule type="containsBlanks" dxfId="80" priority="10">
      <formula>LEN(TRIM(E45))=0</formula>
    </cfRule>
  </conditionalFormatting>
  <conditionalFormatting sqref="E55:BA62">
    <cfRule type="containsBlanks" dxfId="79" priority="11">
      <formula>LEN(TRIM(E55))=0</formula>
    </cfRule>
  </conditionalFormatting>
  <conditionalFormatting sqref="E65:BA72">
    <cfRule type="containsBlanks" dxfId="78" priority="12">
      <formula>LEN(TRIM(E65))=0</formula>
    </cfRule>
  </conditionalFormatting>
  <conditionalFormatting sqref="E75:BA82">
    <cfRule type="containsBlanks" dxfId="77" priority="13">
      <formula>LEN(TRIM(E75))=0</formula>
    </cfRule>
  </conditionalFormatting>
  <conditionalFormatting sqref="E85:BA92">
    <cfRule type="containsBlanks" dxfId="76" priority="14">
      <formula>LEN(TRIM(E85))=0</formula>
    </cfRule>
  </conditionalFormatting>
  <conditionalFormatting sqref="E95:BA96">
    <cfRule type="containsBlanks" dxfId="75" priority="15">
      <formula>LEN(TRIM(E95))=0</formula>
    </cfRule>
  </conditionalFormatting>
  <conditionalFormatting sqref="E99:BA100">
    <cfRule type="containsBlanks" dxfId="74" priority="16">
      <formula>LEN(TRIM(E99))=0</formula>
    </cfRule>
  </conditionalFormatting>
  <conditionalFormatting sqref="E103:BA110">
    <cfRule type="containsBlanks" dxfId="73" priority="17">
      <formula>LEN(TRIM(E103))=0</formula>
    </cfRule>
  </conditionalFormatting>
  <conditionalFormatting sqref="E113:BA115">
    <cfRule type="containsBlanks" dxfId="72" priority="18">
      <formula>LEN(TRIM(E113))=0</formula>
    </cfRule>
  </conditionalFormatting>
  <conditionalFormatting sqref="E118:BA125">
    <cfRule type="containsBlanks" dxfId="71" priority="19">
      <formula>LEN(TRIM(E118))=0</formula>
    </cfRule>
  </conditionalFormatting>
  <conditionalFormatting sqref="E128:BA129">
    <cfRule type="containsBlanks" dxfId="70" priority="20">
      <formula>LEN(TRIM(E128))=0</formula>
    </cfRule>
  </conditionalFormatting>
  <conditionalFormatting sqref="E132:BA139">
    <cfRule type="containsBlanks" dxfId="69" priority="21">
      <formula>LEN(TRIM(E132))=0</formula>
    </cfRule>
  </conditionalFormatting>
  <conditionalFormatting sqref="E142:BA149">
    <cfRule type="containsBlanks" dxfId="68" priority="22">
      <formula>LEN(TRIM(E142))=0</formula>
    </cfRule>
  </conditionalFormatting>
  <conditionalFormatting sqref="E152:BA159">
    <cfRule type="containsBlanks" dxfId="67" priority="23">
      <formula>LEN(TRIM(E152))=0</formula>
    </cfRule>
  </conditionalFormatting>
  <conditionalFormatting sqref="E162:BA164">
    <cfRule type="containsBlanks" dxfId="66" priority="24">
      <formula>LEN(TRIM(E162))=0</formula>
    </cfRule>
  </conditionalFormatting>
  <conditionalFormatting sqref="E167:BA171">
    <cfRule type="containsBlanks" dxfId="65" priority="25">
      <formula>LEN(TRIM(E167))=0</formula>
    </cfRule>
  </conditionalFormatting>
  <conditionalFormatting sqref="E174:BA180">
    <cfRule type="containsBlanks" dxfId="64" priority="26">
      <formula>LEN(TRIM(E174))=0</formula>
    </cfRule>
  </conditionalFormatting>
  <conditionalFormatting sqref="E183:BA186">
    <cfRule type="containsBlanks" dxfId="63" priority="27">
      <formula>LEN(TRIM(E183))=0</formula>
    </cfRule>
  </conditionalFormatting>
  <conditionalFormatting sqref="E190:BA191">
    <cfRule type="containsBlanks" dxfId="62" priority="28">
      <formula>LEN(TRIM(E190))=0</formula>
    </cfRule>
  </conditionalFormatting>
  <conditionalFormatting sqref="E192:BA192">
    <cfRule type="expression" dxfId="61" priority="29">
      <formula>E192&lt;&gt;E30</formula>
    </cfRule>
    <cfRule type="expression" dxfId="60" priority="30">
      <formula>E192&lt;&gt;E34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S1000"/>
  <sheetViews>
    <sheetView topLeftCell="B175" zoomScale="90" zoomScaleNormal="90" workbookViewId="0">
      <selection activeCell="B192" sqref="B192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68" width="8.69921875" customWidth="1"/>
    <col min="69" max="69" width="13.296875" customWidth="1"/>
    <col min="70" max="71" width="8.69921875" customWidth="1"/>
  </cols>
  <sheetData>
    <row r="1" spans="1:69" ht="12.75" customHeight="1" x14ac:dyDescent="0.3"/>
    <row r="2" spans="1:69" ht="12.75" customHeight="1" x14ac:dyDescent="0.3">
      <c r="C2" s="8" t="s">
        <v>0</v>
      </c>
      <c r="D2" s="8" t="s">
        <v>1</v>
      </c>
    </row>
    <row r="3" spans="1:69" ht="12.75" customHeight="1" x14ac:dyDescent="0.3">
      <c r="C3" s="8" t="s">
        <v>2</v>
      </c>
      <c r="D3" s="8" t="s">
        <v>3</v>
      </c>
    </row>
    <row r="4" spans="1:69" ht="12.75" customHeight="1" x14ac:dyDescent="0.3">
      <c r="C4" s="8" t="s">
        <v>4</v>
      </c>
      <c r="D4" s="8" t="s">
        <v>5</v>
      </c>
    </row>
    <row r="5" spans="1:69" ht="12.75" customHeight="1" x14ac:dyDescent="0.3">
      <c r="C5" s="8"/>
      <c r="D5" s="8"/>
    </row>
    <row r="6" spans="1:69" ht="12.75" customHeight="1" x14ac:dyDescent="0.3">
      <c r="C6" s="8"/>
      <c r="D6" s="8"/>
    </row>
    <row r="7" spans="1:69" ht="12.75" customHeight="1" x14ac:dyDescent="0.3">
      <c r="C7" s="8"/>
      <c r="D7" s="8"/>
    </row>
    <row r="8" spans="1:69" ht="12.75" customHeight="1" x14ac:dyDescent="0.3">
      <c r="C8" s="8"/>
      <c r="D8" s="8"/>
    </row>
    <row r="9" spans="1:69" ht="12.75" customHeight="1" x14ac:dyDescent="0.3">
      <c r="C9" s="8" t="s">
        <v>169</v>
      </c>
      <c r="D9" s="8" t="s">
        <v>232</v>
      </c>
    </row>
    <row r="10" spans="1:69" ht="12.75" customHeight="1" x14ac:dyDescent="0.3"/>
    <row r="11" spans="1:69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  <c r="BL11" s="2"/>
    </row>
    <row r="12" spans="1:69" ht="12.75" customHeight="1" x14ac:dyDescent="0.3">
      <c r="A12" s="13" t="s">
        <v>6</v>
      </c>
      <c r="B12" s="49" t="s">
        <v>7</v>
      </c>
      <c r="C12" s="46"/>
      <c r="D12" s="47"/>
      <c r="E12" s="71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72" t="s">
        <v>8</v>
      </c>
    </row>
    <row r="13" spans="1:69" ht="12.75" customHeight="1" x14ac:dyDescent="0.3">
      <c r="A13" s="15" t="s">
        <v>9</v>
      </c>
      <c r="B13" s="56" t="s">
        <v>10</v>
      </c>
      <c r="C13" s="46"/>
      <c r="D13" s="47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13" t="s">
        <v>189</v>
      </c>
      <c r="X13" s="13" t="s">
        <v>190</v>
      </c>
      <c r="Y13" s="13" t="s">
        <v>191</v>
      </c>
      <c r="Z13" s="13" t="s">
        <v>192</v>
      </c>
      <c r="AA13" s="13" t="s">
        <v>193</v>
      </c>
      <c r="AB13" s="13" t="s">
        <v>194</v>
      </c>
      <c r="AC13" s="13" t="s">
        <v>195</v>
      </c>
      <c r="AD13" s="13" t="s">
        <v>196</v>
      </c>
      <c r="AE13" s="13" t="s">
        <v>197</v>
      </c>
      <c r="AF13" s="13" t="s">
        <v>198</v>
      </c>
      <c r="AG13" s="13" t="s">
        <v>199</v>
      </c>
      <c r="AH13" s="13" t="s">
        <v>200</v>
      </c>
      <c r="AI13" s="13" t="s">
        <v>201</v>
      </c>
      <c r="AJ13" s="13" t="s">
        <v>202</v>
      </c>
      <c r="AK13" s="13" t="s">
        <v>203</v>
      </c>
      <c r="AL13" s="13" t="s">
        <v>204</v>
      </c>
      <c r="AM13" s="13" t="s">
        <v>205</v>
      </c>
      <c r="AN13" s="13" t="s">
        <v>206</v>
      </c>
      <c r="AO13" s="13" t="s">
        <v>207</v>
      </c>
      <c r="AP13" s="13" t="s">
        <v>208</v>
      </c>
      <c r="AQ13" s="13" t="s">
        <v>209</v>
      </c>
      <c r="AR13" s="13" t="s">
        <v>210</v>
      </c>
      <c r="AS13" s="13" t="s">
        <v>211</v>
      </c>
      <c r="AT13" s="13" t="s">
        <v>212</v>
      </c>
      <c r="AU13" s="13" t="s">
        <v>213</v>
      </c>
      <c r="AV13" s="13" t="s">
        <v>214</v>
      </c>
      <c r="AW13" s="13" t="s">
        <v>215</v>
      </c>
      <c r="AX13" s="13" t="s">
        <v>216</v>
      </c>
      <c r="AY13" s="13" t="s">
        <v>217</v>
      </c>
      <c r="AZ13" s="13" t="s">
        <v>218</v>
      </c>
      <c r="BA13" s="13" t="s">
        <v>219</v>
      </c>
      <c r="BB13" s="13" t="s">
        <v>220</v>
      </c>
      <c r="BC13" s="13" t="s">
        <v>221</v>
      </c>
      <c r="BD13" s="13" t="s">
        <v>222</v>
      </c>
      <c r="BE13" s="13" t="s">
        <v>223</v>
      </c>
      <c r="BF13" s="13" t="s">
        <v>224</v>
      </c>
      <c r="BG13" s="13" t="s">
        <v>225</v>
      </c>
      <c r="BH13" s="13" t="s">
        <v>226</v>
      </c>
      <c r="BI13" s="13" t="s">
        <v>227</v>
      </c>
      <c r="BJ13" s="13" t="s">
        <v>228</v>
      </c>
      <c r="BK13" s="13" t="s">
        <v>230</v>
      </c>
      <c r="BL13" s="13" t="s">
        <v>233</v>
      </c>
      <c r="BM13" s="13" t="s">
        <v>234</v>
      </c>
      <c r="BN13" s="13" t="s">
        <v>235</v>
      </c>
      <c r="BO13" s="13" t="s">
        <v>236</v>
      </c>
      <c r="BP13" s="13" t="s">
        <v>237</v>
      </c>
      <c r="BQ13" s="64"/>
    </row>
    <row r="14" spans="1:69" ht="12.75" customHeight="1" x14ac:dyDescent="0.3">
      <c r="A14" s="14"/>
      <c r="B14" s="57" t="s">
        <v>11</v>
      </c>
      <c r="C14" s="58"/>
      <c r="D14" s="15" t="s">
        <v>12</v>
      </c>
      <c r="E14" s="15">
        <v>129</v>
      </c>
      <c r="F14" s="15">
        <v>130</v>
      </c>
      <c r="G14" s="15">
        <v>147</v>
      </c>
      <c r="H14" s="15">
        <v>138</v>
      </c>
      <c r="I14" s="15">
        <v>120</v>
      </c>
      <c r="J14" s="15">
        <v>116</v>
      </c>
      <c r="K14" s="15">
        <v>110</v>
      </c>
      <c r="L14" s="15">
        <v>116</v>
      </c>
      <c r="M14" s="15">
        <v>115</v>
      </c>
      <c r="N14" s="15">
        <v>118</v>
      </c>
      <c r="O14" s="15">
        <v>135</v>
      </c>
      <c r="P14" s="15">
        <v>139</v>
      </c>
      <c r="Q14" s="15">
        <v>147</v>
      </c>
      <c r="R14" s="15">
        <v>119</v>
      </c>
      <c r="S14" s="15">
        <v>151</v>
      </c>
      <c r="T14" s="15">
        <v>127</v>
      </c>
      <c r="U14" s="15">
        <v>128</v>
      </c>
      <c r="V14" s="15">
        <v>135</v>
      </c>
      <c r="W14" s="15">
        <v>132</v>
      </c>
      <c r="X14" s="15">
        <v>126</v>
      </c>
      <c r="Y14" s="15">
        <v>137</v>
      </c>
      <c r="Z14" s="15">
        <v>123</v>
      </c>
      <c r="AA14" s="15">
        <v>137</v>
      </c>
      <c r="AB14" s="15">
        <v>115</v>
      </c>
      <c r="AC14" s="15">
        <v>125</v>
      </c>
      <c r="AD14" s="15">
        <v>116</v>
      </c>
      <c r="AE14" s="15">
        <v>130</v>
      </c>
      <c r="AF14" s="15">
        <v>135</v>
      </c>
      <c r="AG14" s="15">
        <v>141</v>
      </c>
      <c r="AH14" s="15">
        <v>141</v>
      </c>
      <c r="AI14" s="15">
        <v>141</v>
      </c>
      <c r="AJ14" s="15">
        <v>143</v>
      </c>
      <c r="AK14" s="15">
        <v>136</v>
      </c>
      <c r="AL14" s="15">
        <v>132</v>
      </c>
      <c r="AM14" s="15">
        <v>139</v>
      </c>
      <c r="AN14" s="15">
        <v>135</v>
      </c>
      <c r="AO14" s="15">
        <v>141</v>
      </c>
      <c r="AP14" s="15">
        <v>131</v>
      </c>
      <c r="AQ14" s="15">
        <v>136</v>
      </c>
      <c r="AR14" s="15">
        <v>138</v>
      </c>
      <c r="AS14" s="15">
        <v>154</v>
      </c>
      <c r="AT14" s="15">
        <v>138</v>
      </c>
      <c r="AU14" s="15">
        <v>114</v>
      </c>
      <c r="AV14" s="15">
        <v>148</v>
      </c>
      <c r="AW14" s="15">
        <v>147</v>
      </c>
      <c r="AX14" s="15">
        <v>151</v>
      </c>
      <c r="AY14" s="15">
        <v>147</v>
      </c>
      <c r="AZ14" s="15">
        <v>134</v>
      </c>
      <c r="BA14" s="15">
        <v>146</v>
      </c>
      <c r="BB14" s="15">
        <v>139</v>
      </c>
      <c r="BC14" s="15">
        <v>141</v>
      </c>
      <c r="BD14" s="15">
        <v>133</v>
      </c>
      <c r="BE14" s="15">
        <v>129</v>
      </c>
      <c r="BF14" s="15">
        <v>145</v>
      </c>
      <c r="BG14" s="15">
        <v>143</v>
      </c>
      <c r="BH14" s="15">
        <v>157</v>
      </c>
      <c r="BI14" s="15">
        <v>126</v>
      </c>
      <c r="BJ14" s="15">
        <v>138</v>
      </c>
      <c r="BK14" s="15">
        <v>118</v>
      </c>
      <c r="BL14" s="15">
        <v>139</v>
      </c>
      <c r="BM14" s="15">
        <v>126</v>
      </c>
      <c r="BN14" s="15">
        <v>123</v>
      </c>
      <c r="BO14" s="15">
        <v>122</v>
      </c>
      <c r="BP14" s="15">
        <v>126</v>
      </c>
      <c r="BQ14" s="13">
        <f>SUM(E14:BP14)</f>
        <v>8534</v>
      </c>
    </row>
    <row r="15" spans="1:69" ht="12.75" customHeight="1" x14ac:dyDescent="0.3">
      <c r="A15" s="14"/>
      <c r="B15" s="59"/>
      <c r="C15" s="60"/>
      <c r="D15" s="15" t="s">
        <v>13</v>
      </c>
      <c r="E15" s="15">
        <v>137</v>
      </c>
      <c r="F15" s="15">
        <v>134</v>
      </c>
      <c r="G15" s="15">
        <v>134</v>
      </c>
      <c r="H15" s="15">
        <v>117</v>
      </c>
      <c r="I15" s="15">
        <v>115</v>
      </c>
      <c r="J15" s="15">
        <v>119</v>
      </c>
      <c r="K15" s="15">
        <v>115</v>
      </c>
      <c r="L15" s="15">
        <v>117</v>
      </c>
      <c r="M15" s="15">
        <v>108</v>
      </c>
      <c r="N15" s="15">
        <v>119</v>
      </c>
      <c r="O15" s="15">
        <v>125</v>
      </c>
      <c r="P15" s="15">
        <v>132</v>
      </c>
      <c r="Q15" s="15">
        <v>124</v>
      </c>
      <c r="R15" s="15">
        <v>123</v>
      </c>
      <c r="S15" s="15">
        <v>138</v>
      </c>
      <c r="T15" s="15">
        <v>136</v>
      </c>
      <c r="U15" s="15">
        <v>133</v>
      </c>
      <c r="V15" s="15">
        <v>132</v>
      </c>
      <c r="W15" s="15">
        <v>138</v>
      </c>
      <c r="X15" s="15">
        <v>129</v>
      </c>
      <c r="Y15" s="15">
        <v>118</v>
      </c>
      <c r="Z15" s="15">
        <v>135</v>
      </c>
      <c r="AA15" s="15">
        <v>122</v>
      </c>
      <c r="AB15" s="15">
        <v>113</v>
      </c>
      <c r="AC15" s="15">
        <v>117</v>
      </c>
      <c r="AD15" s="15">
        <v>122</v>
      </c>
      <c r="AE15" s="15">
        <v>131</v>
      </c>
      <c r="AF15" s="15">
        <v>127</v>
      </c>
      <c r="AG15" s="15">
        <v>135</v>
      </c>
      <c r="AH15" s="15">
        <v>133</v>
      </c>
      <c r="AI15" s="15">
        <v>134</v>
      </c>
      <c r="AJ15" s="15">
        <v>133</v>
      </c>
      <c r="AK15" s="15">
        <v>133</v>
      </c>
      <c r="AL15" s="15">
        <v>137</v>
      </c>
      <c r="AM15" s="15">
        <v>142</v>
      </c>
      <c r="AN15" s="15">
        <v>127</v>
      </c>
      <c r="AO15" s="15">
        <v>128</v>
      </c>
      <c r="AP15" s="15">
        <v>142</v>
      </c>
      <c r="AQ15" s="15">
        <v>127</v>
      </c>
      <c r="AR15" s="15">
        <v>120</v>
      </c>
      <c r="AS15" s="15">
        <v>124</v>
      </c>
      <c r="AT15" s="15">
        <v>121</v>
      </c>
      <c r="AU15" s="15">
        <v>116</v>
      </c>
      <c r="AV15" s="15">
        <v>149</v>
      </c>
      <c r="AW15" s="15">
        <v>144</v>
      </c>
      <c r="AX15" s="15">
        <v>142</v>
      </c>
      <c r="AY15" s="15">
        <v>144</v>
      </c>
      <c r="AZ15" s="15">
        <v>147</v>
      </c>
      <c r="BA15" s="15">
        <v>140</v>
      </c>
      <c r="BB15" s="15">
        <v>151</v>
      </c>
      <c r="BC15" s="15">
        <v>146</v>
      </c>
      <c r="BD15" s="15">
        <v>155</v>
      </c>
      <c r="BE15" s="15">
        <v>145</v>
      </c>
      <c r="BF15" s="15">
        <v>151</v>
      </c>
      <c r="BG15" s="15">
        <v>152</v>
      </c>
      <c r="BH15" s="15">
        <v>137</v>
      </c>
      <c r="BI15" s="15">
        <v>129</v>
      </c>
      <c r="BJ15" s="15">
        <v>126</v>
      </c>
      <c r="BK15" s="15">
        <v>127</v>
      </c>
      <c r="BL15" s="15">
        <v>136</v>
      </c>
      <c r="BM15" s="15">
        <v>137</v>
      </c>
      <c r="BN15" s="15">
        <v>125</v>
      </c>
      <c r="BO15" s="15">
        <v>122</v>
      </c>
      <c r="BP15" s="15">
        <v>119</v>
      </c>
      <c r="BQ15" s="13">
        <f t="shared" ref="BQ15:BQ16" si="0">SUM(E15:BP15)</f>
        <v>8386</v>
      </c>
    </row>
    <row r="16" spans="1:69" ht="12.75" customHeight="1" x14ac:dyDescent="0.3">
      <c r="A16" s="17"/>
      <c r="B16" s="55"/>
      <c r="C16" s="53"/>
      <c r="D16" s="13" t="s">
        <v>14</v>
      </c>
      <c r="E16" s="13">
        <f t="shared" ref="E16:BP16" si="1">SUM(E14:E15)</f>
        <v>266</v>
      </c>
      <c r="F16" s="13">
        <f t="shared" si="1"/>
        <v>264</v>
      </c>
      <c r="G16" s="13">
        <f t="shared" si="1"/>
        <v>281</v>
      </c>
      <c r="H16" s="13">
        <f t="shared" si="1"/>
        <v>255</v>
      </c>
      <c r="I16" s="13">
        <f t="shared" si="1"/>
        <v>235</v>
      </c>
      <c r="J16" s="13">
        <f t="shared" si="1"/>
        <v>235</v>
      </c>
      <c r="K16" s="13">
        <f t="shared" si="1"/>
        <v>225</v>
      </c>
      <c r="L16" s="13">
        <f t="shared" si="1"/>
        <v>233</v>
      </c>
      <c r="M16" s="13">
        <f t="shared" si="1"/>
        <v>223</v>
      </c>
      <c r="N16" s="13">
        <f t="shared" si="1"/>
        <v>237</v>
      </c>
      <c r="O16" s="13">
        <f t="shared" si="1"/>
        <v>260</v>
      </c>
      <c r="P16" s="13">
        <f t="shared" si="1"/>
        <v>271</v>
      </c>
      <c r="Q16" s="13">
        <f t="shared" si="1"/>
        <v>271</v>
      </c>
      <c r="R16" s="13">
        <f t="shared" si="1"/>
        <v>242</v>
      </c>
      <c r="S16" s="13">
        <f t="shared" si="1"/>
        <v>289</v>
      </c>
      <c r="T16" s="13">
        <f t="shared" si="1"/>
        <v>263</v>
      </c>
      <c r="U16" s="13">
        <f t="shared" si="1"/>
        <v>261</v>
      </c>
      <c r="V16" s="13">
        <f t="shared" si="1"/>
        <v>267</v>
      </c>
      <c r="W16" s="13">
        <f t="shared" si="1"/>
        <v>270</v>
      </c>
      <c r="X16" s="13">
        <f t="shared" si="1"/>
        <v>255</v>
      </c>
      <c r="Y16" s="13">
        <f t="shared" si="1"/>
        <v>255</v>
      </c>
      <c r="Z16" s="13">
        <f t="shared" si="1"/>
        <v>258</v>
      </c>
      <c r="AA16" s="13">
        <f t="shared" si="1"/>
        <v>259</v>
      </c>
      <c r="AB16" s="13">
        <f t="shared" si="1"/>
        <v>228</v>
      </c>
      <c r="AC16" s="13">
        <f t="shared" si="1"/>
        <v>242</v>
      </c>
      <c r="AD16" s="13">
        <f t="shared" si="1"/>
        <v>238</v>
      </c>
      <c r="AE16" s="13">
        <f t="shared" si="1"/>
        <v>261</v>
      </c>
      <c r="AF16" s="13">
        <f t="shared" si="1"/>
        <v>262</v>
      </c>
      <c r="AG16" s="13">
        <f t="shared" si="1"/>
        <v>276</v>
      </c>
      <c r="AH16" s="13">
        <f t="shared" si="1"/>
        <v>274</v>
      </c>
      <c r="AI16" s="13">
        <f t="shared" si="1"/>
        <v>275</v>
      </c>
      <c r="AJ16" s="13">
        <f t="shared" si="1"/>
        <v>276</v>
      </c>
      <c r="AK16" s="13">
        <f t="shared" si="1"/>
        <v>269</v>
      </c>
      <c r="AL16" s="13">
        <f t="shared" si="1"/>
        <v>269</v>
      </c>
      <c r="AM16" s="13">
        <f t="shared" si="1"/>
        <v>281</v>
      </c>
      <c r="AN16" s="13">
        <f t="shared" si="1"/>
        <v>262</v>
      </c>
      <c r="AO16" s="13">
        <f t="shared" si="1"/>
        <v>269</v>
      </c>
      <c r="AP16" s="13">
        <f t="shared" si="1"/>
        <v>273</v>
      </c>
      <c r="AQ16" s="13">
        <f t="shared" si="1"/>
        <v>263</v>
      </c>
      <c r="AR16" s="13">
        <f t="shared" si="1"/>
        <v>258</v>
      </c>
      <c r="AS16" s="13">
        <f t="shared" si="1"/>
        <v>278</v>
      </c>
      <c r="AT16" s="13">
        <f t="shared" si="1"/>
        <v>259</v>
      </c>
      <c r="AU16" s="13">
        <f t="shared" si="1"/>
        <v>230</v>
      </c>
      <c r="AV16" s="13">
        <f t="shared" si="1"/>
        <v>297</v>
      </c>
      <c r="AW16" s="13">
        <f t="shared" si="1"/>
        <v>291</v>
      </c>
      <c r="AX16" s="13">
        <f t="shared" si="1"/>
        <v>293</v>
      </c>
      <c r="AY16" s="13">
        <f t="shared" si="1"/>
        <v>291</v>
      </c>
      <c r="AZ16" s="13">
        <f t="shared" si="1"/>
        <v>281</v>
      </c>
      <c r="BA16" s="13">
        <f t="shared" si="1"/>
        <v>286</v>
      </c>
      <c r="BB16" s="13">
        <f t="shared" si="1"/>
        <v>290</v>
      </c>
      <c r="BC16" s="13">
        <f t="shared" si="1"/>
        <v>287</v>
      </c>
      <c r="BD16" s="13">
        <f t="shared" si="1"/>
        <v>288</v>
      </c>
      <c r="BE16" s="13">
        <f t="shared" si="1"/>
        <v>274</v>
      </c>
      <c r="BF16" s="13">
        <f t="shared" si="1"/>
        <v>296</v>
      </c>
      <c r="BG16" s="13">
        <f t="shared" si="1"/>
        <v>295</v>
      </c>
      <c r="BH16" s="13">
        <f t="shared" si="1"/>
        <v>294</v>
      </c>
      <c r="BI16" s="13">
        <f t="shared" si="1"/>
        <v>255</v>
      </c>
      <c r="BJ16" s="13">
        <f t="shared" si="1"/>
        <v>264</v>
      </c>
      <c r="BK16" s="13">
        <f t="shared" si="1"/>
        <v>245</v>
      </c>
      <c r="BL16" s="13">
        <f t="shared" si="1"/>
        <v>275</v>
      </c>
      <c r="BM16" s="13">
        <f t="shared" si="1"/>
        <v>263</v>
      </c>
      <c r="BN16" s="13">
        <f t="shared" si="1"/>
        <v>248</v>
      </c>
      <c r="BO16" s="13">
        <f t="shared" si="1"/>
        <v>244</v>
      </c>
      <c r="BP16" s="13">
        <f t="shared" si="1"/>
        <v>245</v>
      </c>
      <c r="BQ16" s="13">
        <f t="shared" si="0"/>
        <v>16920</v>
      </c>
    </row>
    <row r="17" spans="1:69" ht="12.75" customHeight="1" x14ac:dyDescent="0.3">
      <c r="A17" s="61"/>
      <c r="B17" s="46"/>
      <c r="C17" s="46"/>
      <c r="D17" s="47"/>
      <c r="E17" s="15"/>
      <c r="F17" s="15"/>
      <c r="G17" s="15"/>
      <c r="H17" s="15"/>
      <c r="I17" s="15"/>
      <c r="J17" s="15"/>
      <c r="K17" s="15"/>
      <c r="L17" s="15"/>
      <c r="M17" s="15"/>
      <c r="N17" s="41"/>
      <c r="O17" s="15"/>
      <c r="P17" s="15"/>
      <c r="Q17" s="15"/>
      <c r="R17" s="15"/>
      <c r="S17" s="41"/>
      <c r="T17" s="15"/>
      <c r="U17" s="15"/>
      <c r="V17" s="15"/>
      <c r="W17" s="15"/>
      <c r="X17" s="41"/>
      <c r="Y17" s="15"/>
      <c r="Z17" s="15"/>
      <c r="AA17" s="15"/>
      <c r="AB17" s="15"/>
      <c r="AC17" s="41"/>
      <c r="AD17" s="15"/>
      <c r="AE17" s="15"/>
      <c r="AF17" s="15"/>
      <c r="AG17" s="15"/>
      <c r="AH17" s="41"/>
      <c r="AI17" s="15"/>
      <c r="AJ17" s="15"/>
      <c r="AK17" s="15"/>
      <c r="AL17" s="15"/>
      <c r="AM17" s="41"/>
      <c r="AN17" s="15"/>
      <c r="AO17" s="15"/>
      <c r="AP17" s="15"/>
      <c r="AQ17" s="15"/>
      <c r="AR17" s="41"/>
      <c r="AS17" s="15"/>
      <c r="AT17" s="15"/>
      <c r="AU17" s="15"/>
      <c r="AV17" s="15"/>
      <c r="AW17" s="41"/>
      <c r="AX17" s="15"/>
      <c r="AY17" s="15"/>
      <c r="AZ17" s="15"/>
      <c r="BA17" s="15"/>
      <c r="BB17" s="41"/>
      <c r="BC17" s="15"/>
      <c r="BD17" s="15"/>
      <c r="BE17" s="15"/>
      <c r="BF17" s="15"/>
      <c r="BG17" s="41"/>
      <c r="BH17" s="15"/>
      <c r="BI17" s="15"/>
      <c r="BJ17" s="15"/>
      <c r="BK17" s="15"/>
      <c r="BL17" s="41"/>
      <c r="BM17" s="41"/>
      <c r="BN17" s="41"/>
      <c r="BO17" s="41"/>
      <c r="BP17" s="41"/>
      <c r="BQ17" s="42"/>
    </row>
    <row r="18" spans="1:69" ht="12.75" customHeight="1" x14ac:dyDescent="0.3">
      <c r="A18" s="19" t="s">
        <v>15</v>
      </c>
      <c r="B18" s="56" t="s">
        <v>16</v>
      </c>
      <c r="C18" s="46"/>
      <c r="D18" s="47"/>
      <c r="E18" s="15"/>
      <c r="F18" s="15"/>
      <c r="G18" s="15"/>
      <c r="H18" s="15"/>
      <c r="I18" s="15"/>
      <c r="J18" s="15"/>
      <c r="K18" s="15"/>
      <c r="L18" s="15"/>
      <c r="M18" s="15"/>
      <c r="N18" s="41"/>
      <c r="O18" s="15"/>
      <c r="P18" s="15"/>
      <c r="Q18" s="15"/>
      <c r="R18" s="15"/>
      <c r="S18" s="41"/>
      <c r="T18" s="15"/>
      <c r="U18" s="15"/>
      <c r="V18" s="15"/>
      <c r="W18" s="15"/>
      <c r="X18" s="41"/>
      <c r="Y18" s="15"/>
      <c r="Z18" s="15"/>
      <c r="AA18" s="15"/>
      <c r="AB18" s="15"/>
      <c r="AC18" s="41"/>
      <c r="AD18" s="15"/>
      <c r="AE18" s="15"/>
      <c r="AF18" s="15"/>
      <c r="AG18" s="15"/>
      <c r="AH18" s="41"/>
      <c r="AI18" s="15"/>
      <c r="AJ18" s="15"/>
      <c r="AK18" s="15"/>
      <c r="AL18" s="15"/>
      <c r="AM18" s="41"/>
      <c r="AN18" s="15"/>
      <c r="AO18" s="15"/>
      <c r="AP18" s="15"/>
      <c r="AQ18" s="15"/>
      <c r="AR18" s="41"/>
      <c r="AS18" s="15"/>
      <c r="AT18" s="15"/>
      <c r="AU18" s="15"/>
      <c r="AV18" s="15"/>
      <c r="AW18" s="41"/>
      <c r="AX18" s="15"/>
      <c r="AY18" s="15"/>
      <c r="AZ18" s="15"/>
      <c r="BA18" s="15"/>
      <c r="BB18" s="41"/>
      <c r="BC18" s="15"/>
      <c r="BD18" s="15"/>
      <c r="BE18" s="15"/>
      <c r="BF18" s="15"/>
      <c r="BG18" s="41"/>
      <c r="BH18" s="15"/>
      <c r="BI18" s="15"/>
      <c r="BJ18" s="15"/>
      <c r="BK18" s="15"/>
      <c r="BL18" s="41"/>
      <c r="BM18" s="41"/>
      <c r="BN18" s="41"/>
      <c r="BO18" s="41"/>
      <c r="BP18" s="41"/>
      <c r="BQ18" s="42"/>
    </row>
    <row r="19" spans="1:69" ht="12.75" customHeight="1" x14ac:dyDescent="0.3">
      <c r="A19" s="19"/>
      <c r="B19" s="65" t="s">
        <v>17</v>
      </c>
      <c r="C19" s="62" t="s">
        <v>18</v>
      </c>
      <c r="D19" s="15" t="s">
        <v>12</v>
      </c>
      <c r="E19" s="15">
        <v>92</v>
      </c>
      <c r="F19" s="15">
        <v>90</v>
      </c>
      <c r="G19" s="15">
        <v>93</v>
      </c>
      <c r="H19" s="15">
        <v>94</v>
      </c>
      <c r="I19" s="15">
        <v>78</v>
      </c>
      <c r="J19" s="15">
        <v>91</v>
      </c>
      <c r="K19" s="15">
        <v>74</v>
      </c>
      <c r="L19" s="15">
        <v>99</v>
      </c>
      <c r="M19" s="15">
        <v>98</v>
      </c>
      <c r="N19" s="15">
        <v>92</v>
      </c>
      <c r="O19" s="15">
        <v>108</v>
      </c>
      <c r="P19" s="15">
        <v>105</v>
      </c>
      <c r="Q19" s="15">
        <v>101</v>
      </c>
      <c r="R19" s="15">
        <v>88</v>
      </c>
      <c r="S19" s="15">
        <v>115</v>
      </c>
      <c r="T19" s="15">
        <v>90</v>
      </c>
      <c r="U19" s="15">
        <v>83</v>
      </c>
      <c r="V19" s="15">
        <v>91</v>
      </c>
      <c r="W19" s="15">
        <v>94</v>
      </c>
      <c r="X19" s="15">
        <v>80</v>
      </c>
      <c r="Y19" s="15">
        <v>95</v>
      </c>
      <c r="Z19" s="15">
        <v>98</v>
      </c>
      <c r="AA19" s="15">
        <v>99</v>
      </c>
      <c r="AB19" s="15">
        <v>90</v>
      </c>
      <c r="AC19" s="15">
        <v>96</v>
      </c>
      <c r="AD19" s="15">
        <v>90</v>
      </c>
      <c r="AE19" s="15">
        <v>94</v>
      </c>
      <c r="AF19" s="15">
        <v>110</v>
      </c>
      <c r="AG19" s="15">
        <v>104</v>
      </c>
      <c r="AH19" s="15">
        <v>93</v>
      </c>
      <c r="AI19" s="15">
        <v>89</v>
      </c>
      <c r="AJ19" s="15">
        <v>97</v>
      </c>
      <c r="AK19" s="15">
        <v>91</v>
      </c>
      <c r="AL19" s="15">
        <v>96</v>
      </c>
      <c r="AM19" s="15">
        <v>95</v>
      </c>
      <c r="AN19" s="15">
        <v>89</v>
      </c>
      <c r="AO19" s="15">
        <v>93</v>
      </c>
      <c r="AP19" s="15">
        <v>90</v>
      </c>
      <c r="AQ19" s="15">
        <v>89</v>
      </c>
      <c r="AR19" s="15">
        <v>95</v>
      </c>
      <c r="AS19" s="15">
        <v>107</v>
      </c>
      <c r="AT19" s="15">
        <v>91</v>
      </c>
      <c r="AU19" s="15">
        <v>73</v>
      </c>
      <c r="AV19" s="15">
        <v>103</v>
      </c>
      <c r="AW19" s="15">
        <v>98</v>
      </c>
      <c r="AX19" s="15">
        <v>114</v>
      </c>
      <c r="AY19" s="15">
        <v>111</v>
      </c>
      <c r="AZ19" s="15">
        <v>99</v>
      </c>
      <c r="BA19" s="15">
        <v>114</v>
      </c>
      <c r="BB19" s="15">
        <v>106</v>
      </c>
      <c r="BC19" s="15">
        <v>111</v>
      </c>
      <c r="BD19" s="15">
        <v>104</v>
      </c>
      <c r="BE19" s="15">
        <v>98</v>
      </c>
      <c r="BF19" s="15">
        <v>98</v>
      </c>
      <c r="BG19" s="15">
        <v>92</v>
      </c>
      <c r="BH19" s="15">
        <v>108</v>
      </c>
      <c r="BI19" s="15">
        <v>75</v>
      </c>
      <c r="BJ19" s="15">
        <v>98</v>
      </c>
      <c r="BK19" s="15">
        <v>89</v>
      </c>
      <c r="BL19" s="15">
        <v>108</v>
      </c>
      <c r="BM19" s="15">
        <v>86</v>
      </c>
      <c r="BN19" s="15">
        <v>95</v>
      </c>
      <c r="BO19" s="15">
        <v>103</v>
      </c>
      <c r="BP19" s="15">
        <v>100</v>
      </c>
      <c r="BQ19" s="13">
        <f t="shared" ref="BQ19:BQ30" si="2">SUM(E19:BP19)</f>
        <v>6130</v>
      </c>
    </row>
    <row r="20" spans="1:69" ht="12.75" customHeight="1" x14ac:dyDescent="0.3">
      <c r="A20" s="20"/>
      <c r="B20" s="60"/>
      <c r="C20" s="63"/>
      <c r="D20" s="15" t="s">
        <v>13</v>
      </c>
      <c r="E20" s="15">
        <v>105</v>
      </c>
      <c r="F20" s="15">
        <v>99</v>
      </c>
      <c r="G20" s="15">
        <v>109</v>
      </c>
      <c r="H20" s="15">
        <v>94</v>
      </c>
      <c r="I20" s="15">
        <v>82</v>
      </c>
      <c r="J20" s="15">
        <v>93</v>
      </c>
      <c r="K20" s="15">
        <v>93</v>
      </c>
      <c r="L20" s="15">
        <v>92</v>
      </c>
      <c r="M20" s="15">
        <v>84</v>
      </c>
      <c r="N20" s="15">
        <v>104</v>
      </c>
      <c r="O20" s="15">
        <v>97</v>
      </c>
      <c r="P20" s="15">
        <v>118</v>
      </c>
      <c r="Q20" s="15">
        <v>95</v>
      </c>
      <c r="R20" s="15">
        <v>103</v>
      </c>
      <c r="S20" s="15">
        <v>113</v>
      </c>
      <c r="T20" s="15">
        <v>109</v>
      </c>
      <c r="U20" s="15">
        <v>99</v>
      </c>
      <c r="V20" s="15">
        <v>104</v>
      </c>
      <c r="W20" s="15">
        <v>109</v>
      </c>
      <c r="X20" s="15">
        <v>105</v>
      </c>
      <c r="Y20" s="15">
        <v>88</v>
      </c>
      <c r="Z20" s="15">
        <v>116</v>
      </c>
      <c r="AA20" s="15">
        <v>104</v>
      </c>
      <c r="AB20" s="15">
        <v>96</v>
      </c>
      <c r="AC20" s="15">
        <v>83</v>
      </c>
      <c r="AD20" s="15">
        <v>87</v>
      </c>
      <c r="AE20" s="15">
        <v>99</v>
      </c>
      <c r="AF20" s="15">
        <v>100</v>
      </c>
      <c r="AG20" s="15">
        <v>114</v>
      </c>
      <c r="AH20" s="15">
        <v>108</v>
      </c>
      <c r="AI20" s="15">
        <v>120</v>
      </c>
      <c r="AJ20" s="15">
        <v>104</v>
      </c>
      <c r="AK20" s="15">
        <v>106</v>
      </c>
      <c r="AL20" s="15">
        <v>99</v>
      </c>
      <c r="AM20" s="15">
        <v>106</v>
      </c>
      <c r="AN20" s="15">
        <v>94</v>
      </c>
      <c r="AO20" s="15">
        <v>104</v>
      </c>
      <c r="AP20" s="15">
        <v>114</v>
      </c>
      <c r="AQ20" s="15">
        <v>94</v>
      </c>
      <c r="AR20" s="15">
        <v>95</v>
      </c>
      <c r="AS20" s="15">
        <v>99</v>
      </c>
      <c r="AT20" s="15">
        <v>92</v>
      </c>
      <c r="AU20" s="15">
        <v>78</v>
      </c>
      <c r="AV20" s="15">
        <v>110</v>
      </c>
      <c r="AW20" s="15">
        <v>103</v>
      </c>
      <c r="AX20" s="15">
        <v>98</v>
      </c>
      <c r="AY20" s="15">
        <v>117</v>
      </c>
      <c r="AZ20" s="15">
        <v>102</v>
      </c>
      <c r="BA20" s="15">
        <v>119</v>
      </c>
      <c r="BB20" s="15">
        <v>117</v>
      </c>
      <c r="BC20" s="15">
        <v>122</v>
      </c>
      <c r="BD20" s="15">
        <v>123</v>
      </c>
      <c r="BE20" s="15">
        <v>122</v>
      </c>
      <c r="BF20" s="15">
        <v>110</v>
      </c>
      <c r="BG20" s="15">
        <v>108</v>
      </c>
      <c r="BH20" s="15">
        <v>117</v>
      </c>
      <c r="BI20" s="15">
        <v>102</v>
      </c>
      <c r="BJ20" s="15">
        <v>99</v>
      </c>
      <c r="BK20" s="15">
        <v>110</v>
      </c>
      <c r="BL20" s="15">
        <v>108</v>
      </c>
      <c r="BM20" s="15">
        <v>109</v>
      </c>
      <c r="BN20" s="15">
        <v>102</v>
      </c>
      <c r="BO20" s="15">
        <v>103</v>
      </c>
      <c r="BP20" s="15">
        <v>102</v>
      </c>
      <c r="BQ20" s="13">
        <f t="shared" si="2"/>
        <v>6610</v>
      </c>
    </row>
    <row r="21" spans="1:69" ht="12.75" customHeight="1" x14ac:dyDescent="0.3">
      <c r="A21" s="21"/>
      <c r="B21" s="53"/>
      <c r="C21" s="64"/>
      <c r="D21" s="13" t="s">
        <v>14</v>
      </c>
      <c r="E21" s="13">
        <f t="shared" ref="E21:BP21" si="3">SUM(E19:E20)</f>
        <v>197</v>
      </c>
      <c r="F21" s="13">
        <f t="shared" si="3"/>
        <v>189</v>
      </c>
      <c r="G21" s="13">
        <f t="shared" si="3"/>
        <v>202</v>
      </c>
      <c r="H21" s="13">
        <f>SUM(H19:H20)</f>
        <v>188</v>
      </c>
      <c r="I21" s="13">
        <f t="shared" si="3"/>
        <v>160</v>
      </c>
      <c r="J21" s="13">
        <f t="shared" si="3"/>
        <v>184</v>
      </c>
      <c r="K21" s="13">
        <f t="shared" si="3"/>
        <v>167</v>
      </c>
      <c r="L21" s="13">
        <f t="shared" si="3"/>
        <v>191</v>
      </c>
      <c r="M21" s="13">
        <f t="shared" si="3"/>
        <v>182</v>
      </c>
      <c r="N21" s="13">
        <f t="shared" si="3"/>
        <v>196</v>
      </c>
      <c r="O21" s="13">
        <f t="shared" si="3"/>
        <v>205</v>
      </c>
      <c r="P21" s="13">
        <f t="shared" si="3"/>
        <v>223</v>
      </c>
      <c r="Q21" s="13">
        <f t="shared" si="3"/>
        <v>196</v>
      </c>
      <c r="R21" s="13">
        <f t="shared" si="3"/>
        <v>191</v>
      </c>
      <c r="S21" s="13">
        <f t="shared" si="3"/>
        <v>228</v>
      </c>
      <c r="T21" s="13">
        <f t="shared" si="3"/>
        <v>199</v>
      </c>
      <c r="U21" s="13">
        <f t="shared" si="3"/>
        <v>182</v>
      </c>
      <c r="V21" s="13">
        <f t="shared" si="3"/>
        <v>195</v>
      </c>
      <c r="W21" s="13">
        <f t="shared" si="3"/>
        <v>203</v>
      </c>
      <c r="X21" s="13">
        <f t="shared" si="3"/>
        <v>185</v>
      </c>
      <c r="Y21" s="13">
        <f t="shared" si="3"/>
        <v>183</v>
      </c>
      <c r="Z21" s="13">
        <f t="shared" si="3"/>
        <v>214</v>
      </c>
      <c r="AA21" s="13">
        <f t="shared" si="3"/>
        <v>203</v>
      </c>
      <c r="AB21" s="13">
        <f t="shared" si="3"/>
        <v>186</v>
      </c>
      <c r="AC21" s="13">
        <f t="shared" si="3"/>
        <v>179</v>
      </c>
      <c r="AD21" s="13">
        <f t="shared" si="3"/>
        <v>177</v>
      </c>
      <c r="AE21" s="13">
        <f t="shared" si="3"/>
        <v>193</v>
      </c>
      <c r="AF21" s="13">
        <f t="shared" si="3"/>
        <v>210</v>
      </c>
      <c r="AG21" s="13">
        <f t="shared" si="3"/>
        <v>218</v>
      </c>
      <c r="AH21" s="13">
        <f t="shared" si="3"/>
        <v>201</v>
      </c>
      <c r="AI21" s="13">
        <f t="shared" si="3"/>
        <v>209</v>
      </c>
      <c r="AJ21" s="13">
        <f t="shared" si="3"/>
        <v>201</v>
      </c>
      <c r="AK21" s="13">
        <f t="shared" si="3"/>
        <v>197</v>
      </c>
      <c r="AL21" s="13">
        <f t="shared" si="3"/>
        <v>195</v>
      </c>
      <c r="AM21" s="13">
        <f t="shared" si="3"/>
        <v>201</v>
      </c>
      <c r="AN21" s="13">
        <f t="shared" si="3"/>
        <v>183</v>
      </c>
      <c r="AO21" s="13">
        <f t="shared" si="3"/>
        <v>197</v>
      </c>
      <c r="AP21" s="13">
        <f t="shared" si="3"/>
        <v>204</v>
      </c>
      <c r="AQ21" s="13">
        <f t="shared" si="3"/>
        <v>183</v>
      </c>
      <c r="AR21" s="13">
        <f t="shared" si="3"/>
        <v>190</v>
      </c>
      <c r="AS21" s="13">
        <f t="shared" si="3"/>
        <v>206</v>
      </c>
      <c r="AT21" s="13">
        <f t="shared" si="3"/>
        <v>183</v>
      </c>
      <c r="AU21" s="13">
        <f t="shared" si="3"/>
        <v>151</v>
      </c>
      <c r="AV21" s="13">
        <f t="shared" si="3"/>
        <v>213</v>
      </c>
      <c r="AW21" s="13">
        <f t="shared" si="3"/>
        <v>201</v>
      </c>
      <c r="AX21" s="13">
        <f t="shared" si="3"/>
        <v>212</v>
      </c>
      <c r="AY21" s="13">
        <f t="shared" si="3"/>
        <v>228</v>
      </c>
      <c r="AZ21" s="13">
        <f t="shared" si="3"/>
        <v>201</v>
      </c>
      <c r="BA21" s="13">
        <f t="shared" si="3"/>
        <v>233</v>
      </c>
      <c r="BB21" s="13">
        <f t="shared" si="3"/>
        <v>223</v>
      </c>
      <c r="BC21" s="13">
        <f t="shared" si="3"/>
        <v>233</v>
      </c>
      <c r="BD21" s="13">
        <f t="shared" si="3"/>
        <v>227</v>
      </c>
      <c r="BE21" s="13">
        <f t="shared" si="3"/>
        <v>220</v>
      </c>
      <c r="BF21" s="13">
        <f t="shared" si="3"/>
        <v>208</v>
      </c>
      <c r="BG21" s="13">
        <f t="shared" si="3"/>
        <v>200</v>
      </c>
      <c r="BH21" s="13">
        <f t="shared" si="3"/>
        <v>225</v>
      </c>
      <c r="BI21" s="13">
        <f t="shared" si="3"/>
        <v>177</v>
      </c>
      <c r="BJ21" s="13">
        <f t="shared" si="3"/>
        <v>197</v>
      </c>
      <c r="BK21" s="13">
        <f t="shared" si="3"/>
        <v>199</v>
      </c>
      <c r="BL21" s="13">
        <f t="shared" si="3"/>
        <v>216</v>
      </c>
      <c r="BM21" s="13">
        <f t="shared" si="3"/>
        <v>195</v>
      </c>
      <c r="BN21" s="13">
        <f t="shared" si="3"/>
        <v>197</v>
      </c>
      <c r="BO21" s="13">
        <f t="shared" si="3"/>
        <v>206</v>
      </c>
      <c r="BP21" s="13">
        <f t="shared" si="3"/>
        <v>202</v>
      </c>
      <c r="BQ21" s="13">
        <f t="shared" si="2"/>
        <v>12740</v>
      </c>
    </row>
    <row r="22" spans="1:69" ht="12.75" customHeight="1" x14ac:dyDescent="0.3">
      <c r="A22" s="20"/>
      <c r="B22" s="65" t="s">
        <v>19</v>
      </c>
      <c r="C22" s="62" t="s">
        <v>20</v>
      </c>
      <c r="D22" s="15" t="s">
        <v>12</v>
      </c>
      <c r="E22" s="15">
        <v>0</v>
      </c>
      <c r="F22" s="15">
        <v>0</v>
      </c>
      <c r="G22" s="15">
        <v>0</v>
      </c>
      <c r="H22" s="15">
        <v>0</v>
      </c>
      <c r="I22" s="15">
        <v>4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1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2</v>
      </c>
      <c r="AG22" s="15">
        <v>0</v>
      </c>
      <c r="AH22" s="15">
        <v>0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2</v>
      </c>
      <c r="AR22" s="15">
        <v>0</v>
      </c>
      <c r="AS22" s="15">
        <v>1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1</v>
      </c>
      <c r="AZ22" s="15">
        <v>0</v>
      </c>
      <c r="BA22" s="15">
        <v>0</v>
      </c>
      <c r="BB22" s="15">
        <v>0</v>
      </c>
      <c r="BC22" s="15">
        <v>0</v>
      </c>
      <c r="BD22" s="15">
        <v>1</v>
      </c>
      <c r="BE22" s="15">
        <v>2</v>
      </c>
      <c r="BF22" s="15">
        <v>1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6</v>
      </c>
      <c r="BM22" s="15">
        <v>0</v>
      </c>
      <c r="BN22" s="15">
        <v>0</v>
      </c>
      <c r="BO22" s="15">
        <v>0</v>
      </c>
      <c r="BP22" s="15">
        <v>0</v>
      </c>
      <c r="BQ22" s="13">
        <f t="shared" si="2"/>
        <v>22</v>
      </c>
    </row>
    <row r="23" spans="1:69" ht="12.75" customHeight="1" x14ac:dyDescent="0.3">
      <c r="A23" s="20"/>
      <c r="B23" s="60"/>
      <c r="C23" s="63"/>
      <c r="D23" s="15" t="s">
        <v>13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1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1</v>
      </c>
      <c r="U23" s="15">
        <v>0</v>
      </c>
      <c r="V23" s="15">
        <v>1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1</v>
      </c>
      <c r="AL23" s="15">
        <v>0</v>
      </c>
      <c r="AM23" s="15">
        <v>1</v>
      </c>
      <c r="AN23" s="15">
        <v>0</v>
      </c>
      <c r="AO23" s="15">
        <v>0</v>
      </c>
      <c r="AP23" s="15">
        <v>0</v>
      </c>
      <c r="AQ23" s="15">
        <v>0</v>
      </c>
      <c r="AR23" s="15">
        <v>1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1</v>
      </c>
      <c r="AZ23" s="15">
        <v>0</v>
      </c>
      <c r="BA23" s="15">
        <v>1</v>
      </c>
      <c r="BB23" s="15">
        <v>0</v>
      </c>
      <c r="BC23" s="15">
        <v>0</v>
      </c>
      <c r="BD23" s="15">
        <v>1</v>
      </c>
      <c r="BE23" s="15">
        <v>1</v>
      </c>
      <c r="BF23" s="15">
        <v>2</v>
      </c>
      <c r="BG23" s="15">
        <v>0</v>
      </c>
      <c r="BH23" s="15">
        <v>1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1</v>
      </c>
      <c r="BQ23" s="13">
        <f t="shared" si="2"/>
        <v>15</v>
      </c>
    </row>
    <row r="24" spans="1:69" ht="12.75" customHeight="1" x14ac:dyDescent="0.3">
      <c r="A24" s="21"/>
      <c r="B24" s="53"/>
      <c r="C24" s="64"/>
      <c r="D24" s="13" t="s">
        <v>14</v>
      </c>
      <c r="E24" s="13">
        <f t="shared" ref="E24:BP24" si="4">SUM(E22:E23)</f>
        <v>0</v>
      </c>
      <c r="F24" s="13">
        <f t="shared" si="4"/>
        <v>0</v>
      </c>
      <c r="G24" s="13">
        <f t="shared" si="4"/>
        <v>0</v>
      </c>
      <c r="H24" s="13">
        <f t="shared" si="4"/>
        <v>0</v>
      </c>
      <c r="I24" s="13">
        <f t="shared" si="4"/>
        <v>5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1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1</v>
      </c>
      <c r="U24" s="13">
        <f t="shared" si="4"/>
        <v>0</v>
      </c>
      <c r="V24" s="13">
        <f t="shared" si="4"/>
        <v>2</v>
      </c>
      <c r="W24" s="13">
        <f t="shared" si="4"/>
        <v>0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0</v>
      </c>
      <c r="AC24" s="13">
        <f t="shared" si="4"/>
        <v>0</v>
      </c>
      <c r="AD24" s="13">
        <f t="shared" si="4"/>
        <v>0</v>
      </c>
      <c r="AE24" s="13">
        <f t="shared" si="4"/>
        <v>0</v>
      </c>
      <c r="AF24" s="13">
        <f t="shared" si="4"/>
        <v>2</v>
      </c>
      <c r="AG24" s="13">
        <f t="shared" si="4"/>
        <v>0</v>
      </c>
      <c r="AH24" s="13">
        <f t="shared" si="4"/>
        <v>0</v>
      </c>
      <c r="AI24" s="13">
        <f t="shared" si="4"/>
        <v>0</v>
      </c>
      <c r="AJ24" s="13">
        <f t="shared" si="4"/>
        <v>0</v>
      </c>
      <c r="AK24" s="13">
        <f t="shared" si="4"/>
        <v>2</v>
      </c>
      <c r="AL24" s="13">
        <f t="shared" si="4"/>
        <v>0</v>
      </c>
      <c r="AM24" s="13">
        <f t="shared" si="4"/>
        <v>1</v>
      </c>
      <c r="AN24" s="13">
        <f t="shared" si="4"/>
        <v>0</v>
      </c>
      <c r="AO24" s="13">
        <f t="shared" si="4"/>
        <v>0</v>
      </c>
      <c r="AP24" s="13">
        <f t="shared" si="4"/>
        <v>0</v>
      </c>
      <c r="AQ24" s="13">
        <f t="shared" si="4"/>
        <v>2</v>
      </c>
      <c r="AR24" s="13">
        <f t="shared" si="4"/>
        <v>1</v>
      </c>
      <c r="AS24" s="13">
        <f t="shared" si="4"/>
        <v>1</v>
      </c>
      <c r="AT24" s="13">
        <f t="shared" si="4"/>
        <v>0</v>
      </c>
      <c r="AU24" s="13">
        <f t="shared" si="4"/>
        <v>0</v>
      </c>
      <c r="AV24" s="13">
        <f t="shared" si="4"/>
        <v>0</v>
      </c>
      <c r="AW24" s="13">
        <f t="shared" si="4"/>
        <v>0</v>
      </c>
      <c r="AX24" s="13">
        <f t="shared" si="4"/>
        <v>0</v>
      </c>
      <c r="AY24" s="13">
        <f t="shared" si="4"/>
        <v>2</v>
      </c>
      <c r="AZ24" s="13">
        <f t="shared" si="4"/>
        <v>0</v>
      </c>
      <c r="BA24" s="13">
        <f t="shared" si="4"/>
        <v>1</v>
      </c>
      <c r="BB24" s="13">
        <f t="shared" si="4"/>
        <v>0</v>
      </c>
      <c r="BC24" s="13">
        <f t="shared" si="4"/>
        <v>0</v>
      </c>
      <c r="BD24" s="13">
        <f t="shared" si="4"/>
        <v>2</v>
      </c>
      <c r="BE24" s="13">
        <f t="shared" si="4"/>
        <v>3</v>
      </c>
      <c r="BF24" s="13">
        <f t="shared" si="4"/>
        <v>3</v>
      </c>
      <c r="BG24" s="13">
        <f t="shared" si="4"/>
        <v>0</v>
      </c>
      <c r="BH24" s="13">
        <f t="shared" si="4"/>
        <v>1</v>
      </c>
      <c r="BI24" s="13">
        <f t="shared" si="4"/>
        <v>0</v>
      </c>
      <c r="BJ24" s="13">
        <f t="shared" si="4"/>
        <v>0</v>
      </c>
      <c r="BK24" s="13">
        <f t="shared" si="4"/>
        <v>0</v>
      </c>
      <c r="BL24" s="13">
        <f t="shared" si="4"/>
        <v>6</v>
      </c>
      <c r="BM24" s="13">
        <f t="shared" si="4"/>
        <v>0</v>
      </c>
      <c r="BN24" s="13">
        <f t="shared" si="4"/>
        <v>0</v>
      </c>
      <c r="BO24" s="13">
        <f t="shared" si="4"/>
        <v>0</v>
      </c>
      <c r="BP24" s="13">
        <f t="shared" si="4"/>
        <v>1</v>
      </c>
      <c r="BQ24" s="13">
        <f t="shared" si="2"/>
        <v>37</v>
      </c>
    </row>
    <row r="25" spans="1:69" ht="12.75" customHeight="1" x14ac:dyDescent="0.3">
      <c r="A25" s="20"/>
      <c r="B25" s="65" t="s">
        <v>21</v>
      </c>
      <c r="C25" s="62" t="s">
        <v>22</v>
      </c>
      <c r="D25" s="15" t="s">
        <v>12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1</v>
      </c>
      <c r="N25" s="15">
        <v>0</v>
      </c>
      <c r="O25" s="15">
        <v>0</v>
      </c>
      <c r="P25" s="15">
        <v>0</v>
      </c>
      <c r="Q25" s="15">
        <v>0</v>
      </c>
      <c r="R25" s="15">
        <v>2</v>
      </c>
      <c r="S25" s="15">
        <v>0</v>
      </c>
      <c r="T25" s="15">
        <v>0</v>
      </c>
      <c r="U25" s="15">
        <v>1</v>
      </c>
      <c r="V25" s="15">
        <v>0</v>
      </c>
      <c r="W25" s="15">
        <v>2</v>
      </c>
      <c r="X25" s="15">
        <v>0</v>
      </c>
      <c r="Y25" s="15">
        <v>0</v>
      </c>
      <c r="Z25" s="15">
        <v>0</v>
      </c>
      <c r="AA25" s="15">
        <v>4</v>
      </c>
      <c r="AB25" s="15">
        <v>0</v>
      </c>
      <c r="AC25" s="15">
        <v>2</v>
      </c>
      <c r="AD25" s="15">
        <v>0</v>
      </c>
      <c r="AE25" s="15">
        <v>1</v>
      </c>
      <c r="AF25" s="15">
        <v>1</v>
      </c>
      <c r="AG25" s="15">
        <v>0</v>
      </c>
      <c r="AH25" s="15">
        <v>1</v>
      </c>
      <c r="AI25" s="15">
        <v>2</v>
      </c>
      <c r="AJ25" s="15">
        <v>2</v>
      </c>
      <c r="AK25" s="15">
        <v>7</v>
      </c>
      <c r="AL25" s="15">
        <v>1</v>
      </c>
      <c r="AM25" s="15">
        <v>0</v>
      </c>
      <c r="AN25" s="15">
        <v>0</v>
      </c>
      <c r="AO25" s="15">
        <v>2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2</v>
      </c>
      <c r="AV25" s="15">
        <v>0</v>
      </c>
      <c r="AW25" s="15">
        <v>1</v>
      </c>
      <c r="AX25" s="15">
        <v>0</v>
      </c>
      <c r="AY25" s="15">
        <v>1</v>
      </c>
      <c r="AZ25" s="15">
        <v>2</v>
      </c>
      <c r="BA25" s="15">
        <v>4</v>
      </c>
      <c r="BB25" s="15">
        <v>2</v>
      </c>
      <c r="BC25" s="15">
        <v>0</v>
      </c>
      <c r="BD25" s="15">
        <v>0</v>
      </c>
      <c r="BE25" s="15">
        <v>2</v>
      </c>
      <c r="BF25" s="15">
        <v>1</v>
      </c>
      <c r="BG25" s="15">
        <v>0</v>
      </c>
      <c r="BH25" s="15">
        <v>1</v>
      </c>
      <c r="BI25" s="15">
        <v>0</v>
      </c>
      <c r="BJ25" s="15">
        <v>3</v>
      </c>
      <c r="BK25" s="15">
        <v>0</v>
      </c>
      <c r="BL25" s="15">
        <v>2</v>
      </c>
      <c r="BM25" s="15">
        <v>0</v>
      </c>
      <c r="BN25" s="15">
        <v>0</v>
      </c>
      <c r="BO25" s="15">
        <v>0</v>
      </c>
      <c r="BP25" s="15">
        <v>0</v>
      </c>
      <c r="BQ25" s="13">
        <f t="shared" si="2"/>
        <v>50</v>
      </c>
    </row>
    <row r="26" spans="1:69" ht="12.75" customHeight="1" x14ac:dyDescent="0.3">
      <c r="A26" s="20"/>
      <c r="B26" s="60"/>
      <c r="C26" s="63"/>
      <c r="D26" s="15" t="s">
        <v>13</v>
      </c>
      <c r="E26" s="15">
        <v>0</v>
      </c>
      <c r="F26" s="15">
        <v>0</v>
      </c>
      <c r="G26" s="15">
        <v>0</v>
      </c>
      <c r="H26" s="15">
        <v>1</v>
      </c>
      <c r="I26" s="15">
        <v>2</v>
      </c>
      <c r="J26" s="15">
        <v>0</v>
      </c>
      <c r="K26" s="15">
        <v>0</v>
      </c>
      <c r="L26" s="15">
        <v>1</v>
      </c>
      <c r="M26" s="15">
        <v>2</v>
      </c>
      <c r="N26" s="15">
        <v>5</v>
      </c>
      <c r="O26" s="15">
        <v>1</v>
      </c>
      <c r="P26" s="15">
        <v>0</v>
      </c>
      <c r="Q26" s="15">
        <v>0</v>
      </c>
      <c r="R26" s="15">
        <v>4</v>
      </c>
      <c r="S26" s="15">
        <v>0</v>
      </c>
      <c r="T26" s="15">
        <v>0</v>
      </c>
      <c r="U26" s="15">
        <v>0</v>
      </c>
      <c r="V26" s="15">
        <v>0</v>
      </c>
      <c r="W26" s="15">
        <v>2</v>
      </c>
      <c r="X26" s="15">
        <v>0</v>
      </c>
      <c r="Y26" s="15">
        <v>0</v>
      </c>
      <c r="Z26" s="15">
        <v>0</v>
      </c>
      <c r="AA26" s="15">
        <v>3</v>
      </c>
      <c r="AB26" s="15">
        <v>0</v>
      </c>
      <c r="AC26" s="15">
        <v>3</v>
      </c>
      <c r="AD26" s="15">
        <v>1</v>
      </c>
      <c r="AE26" s="15">
        <v>3</v>
      </c>
      <c r="AF26" s="15">
        <v>3</v>
      </c>
      <c r="AG26" s="15">
        <v>0</v>
      </c>
      <c r="AH26" s="15">
        <v>2</v>
      </c>
      <c r="AI26" s="15">
        <v>1</v>
      </c>
      <c r="AJ26" s="15">
        <v>7</v>
      </c>
      <c r="AK26" s="15">
        <v>6</v>
      </c>
      <c r="AL26" s="15">
        <v>6</v>
      </c>
      <c r="AM26" s="15">
        <v>0</v>
      </c>
      <c r="AN26" s="15">
        <v>0</v>
      </c>
      <c r="AO26" s="15">
        <v>3</v>
      </c>
      <c r="AP26" s="15">
        <v>0</v>
      </c>
      <c r="AQ26" s="15">
        <v>0</v>
      </c>
      <c r="AR26" s="15">
        <v>1</v>
      </c>
      <c r="AS26" s="15">
        <v>2</v>
      </c>
      <c r="AT26" s="15">
        <v>0</v>
      </c>
      <c r="AU26" s="15">
        <v>4</v>
      </c>
      <c r="AV26" s="15">
        <v>2</v>
      </c>
      <c r="AW26" s="15">
        <v>5</v>
      </c>
      <c r="AX26" s="15">
        <v>0</v>
      </c>
      <c r="AY26" s="15">
        <v>1</v>
      </c>
      <c r="AZ26" s="15">
        <v>1</v>
      </c>
      <c r="BA26" s="15">
        <v>3</v>
      </c>
      <c r="BB26" s="15">
        <v>1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3</v>
      </c>
      <c r="BI26" s="15">
        <v>0</v>
      </c>
      <c r="BJ26" s="15">
        <v>3</v>
      </c>
      <c r="BK26" s="15">
        <v>0</v>
      </c>
      <c r="BL26" s="15">
        <v>2</v>
      </c>
      <c r="BM26" s="15">
        <v>1</v>
      </c>
      <c r="BN26" s="15">
        <v>0</v>
      </c>
      <c r="BO26" s="15">
        <v>1</v>
      </c>
      <c r="BP26" s="15">
        <v>0</v>
      </c>
      <c r="BQ26" s="13">
        <f t="shared" si="2"/>
        <v>86</v>
      </c>
    </row>
    <row r="27" spans="1:69" ht="12.75" customHeight="1" x14ac:dyDescent="0.3">
      <c r="A27" s="21"/>
      <c r="B27" s="53"/>
      <c r="C27" s="64"/>
      <c r="D27" s="13" t="s">
        <v>14</v>
      </c>
      <c r="E27" s="13">
        <f t="shared" ref="E27:BP27" si="5">SUM(E25:E26)</f>
        <v>0</v>
      </c>
      <c r="F27" s="13">
        <f t="shared" si="5"/>
        <v>0</v>
      </c>
      <c r="G27" s="13">
        <f t="shared" si="5"/>
        <v>0</v>
      </c>
      <c r="H27" s="13">
        <f t="shared" si="5"/>
        <v>1</v>
      </c>
      <c r="I27" s="13">
        <f t="shared" si="5"/>
        <v>2</v>
      </c>
      <c r="J27" s="13">
        <f t="shared" si="5"/>
        <v>0</v>
      </c>
      <c r="K27" s="13">
        <f t="shared" si="5"/>
        <v>0</v>
      </c>
      <c r="L27" s="13">
        <f t="shared" si="5"/>
        <v>1</v>
      </c>
      <c r="M27" s="13">
        <f t="shared" si="5"/>
        <v>3</v>
      </c>
      <c r="N27" s="13">
        <f t="shared" si="5"/>
        <v>5</v>
      </c>
      <c r="O27" s="13">
        <f t="shared" si="5"/>
        <v>1</v>
      </c>
      <c r="P27" s="13">
        <f t="shared" si="5"/>
        <v>0</v>
      </c>
      <c r="Q27" s="13">
        <f t="shared" si="5"/>
        <v>0</v>
      </c>
      <c r="R27" s="13">
        <f t="shared" si="5"/>
        <v>6</v>
      </c>
      <c r="S27" s="13">
        <f t="shared" si="5"/>
        <v>0</v>
      </c>
      <c r="T27" s="13">
        <f t="shared" si="5"/>
        <v>0</v>
      </c>
      <c r="U27" s="13">
        <f t="shared" si="5"/>
        <v>1</v>
      </c>
      <c r="V27" s="13">
        <f t="shared" si="5"/>
        <v>0</v>
      </c>
      <c r="W27" s="13">
        <f t="shared" si="5"/>
        <v>4</v>
      </c>
      <c r="X27" s="13">
        <f t="shared" si="5"/>
        <v>0</v>
      </c>
      <c r="Y27" s="13">
        <f t="shared" si="5"/>
        <v>0</v>
      </c>
      <c r="Z27" s="13">
        <f t="shared" si="5"/>
        <v>0</v>
      </c>
      <c r="AA27" s="13">
        <f t="shared" si="5"/>
        <v>7</v>
      </c>
      <c r="AB27" s="13">
        <f t="shared" si="5"/>
        <v>0</v>
      </c>
      <c r="AC27" s="13">
        <f t="shared" si="5"/>
        <v>5</v>
      </c>
      <c r="AD27" s="13">
        <f t="shared" si="5"/>
        <v>1</v>
      </c>
      <c r="AE27" s="13">
        <f t="shared" si="5"/>
        <v>4</v>
      </c>
      <c r="AF27" s="13">
        <f t="shared" si="5"/>
        <v>4</v>
      </c>
      <c r="AG27" s="13">
        <f t="shared" si="5"/>
        <v>0</v>
      </c>
      <c r="AH27" s="13">
        <f t="shared" si="5"/>
        <v>3</v>
      </c>
      <c r="AI27" s="13">
        <f t="shared" si="5"/>
        <v>3</v>
      </c>
      <c r="AJ27" s="13">
        <f t="shared" si="5"/>
        <v>9</v>
      </c>
      <c r="AK27" s="13">
        <f t="shared" si="5"/>
        <v>13</v>
      </c>
      <c r="AL27" s="13">
        <f t="shared" si="5"/>
        <v>7</v>
      </c>
      <c r="AM27" s="13">
        <f t="shared" si="5"/>
        <v>0</v>
      </c>
      <c r="AN27" s="13">
        <f t="shared" si="5"/>
        <v>0</v>
      </c>
      <c r="AO27" s="13">
        <f t="shared" si="5"/>
        <v>5</v>
      </c>
      <c r="AP27" s="13">
        <f t="shared" si="5"/>
        <v>0</v>
      </c>
      <c r="AQ27" s="13">
        <f t="shared" si="5"/>
        <v>0</v>
      </c>
      <c r="AR27" s="13">
        <f t="shared" si="5"/>
        <v>1</v>
      </c>
      <c r="AS27" s="13">
        <f t="shared" si="5"/>
        <v>2</v>
      </c>
      <c r="AT27" s="13">
        <f t="shared" si="5"/>
        <v>0</v>
      </c>
      <c r="AU27" s="13">
        <f t="shared" si="5"/>
        <v>6</v>
      </c>
      <c r="AV27" s="13">
        <f t="shared" si="5"/>
        <v>2</v>
      </c>
      <c r="AW27" s="13">
        <f t="shared" si="5"/>
        <v>6</v>
      </c>
      <c r="AX27" s="13">
        <f t="shared" si="5"/>
        <v>0</v>
      </c>
      <c r="AY27" s="13">
        <f t="shared" si="5"/>
        <v>2</v>
      </c>
      <c r="AZ27" s="13">
        <f t="shared" si="5"/>
        <v>3</v>
      </c>
      <c r="BA27" s="13">
        <f t="shared" si="5"/>
        <v>7</v>
      </c>
      <c r="BB27" s="13">
        <f t="shared" si="5"/>
        <v>3</v>
      </c>
      <c r="BC27" s="13">
        <f t="shared" si="5"/>
        <v>0</v>
      </c>
      <c r="BD27" s="13">
        <f t="shared" si="5"/>
        <v>0</v>
      </c>
      <c r="BE27" s="13">
        <f t="shared" si="5"/>
        <v>2</v>
      </c>
      <c r="BF27" s="13">
        <f t="shared" si="5"/>
        <v>1</v>
      </c>
      <c r="BG27" s="13">
        <f t="shared" si="5"/>
        <v>0</v>
      </c>
      <c r="BH27" s="13">
        <f t="shared" si="5"/>
        <v>4</v>
      </c>
      <c r="BI27" s="13">
        <f t="shared" si="5"/>
        <v>0</v>
      </c>
      <c r="BJ27" s="13">
        <f t="shared" si="5"/>
        <v>6</v>
      </c>
      <c r="BK27" s="13">
        <f t="shared" si="5"/>
        <v>0</v>
      </c>
      <c r="BL27" s="13">
        <f t="shared" si="5"/>
        <v>4</v>
      </c>
      <c r="BM27" s="13">
        <f t="shared" si="5"/>
        <v>1</v>
      </c>
      <c r="BN27" s="13">
        <f t="shared" si="5"/>
        <v>0</v>
      </c>
      <c r="BO27" s="13">
        <f t="shared" si="5"/>
        <v>1</v>
      </c>
      <c r="BP27" s="13">
        <f t="shared" si="5"/>
        <v>0</v>
      </c>
      <c r="BQ27" s="13">
        <f t="shared" si="2"/>
        <v>136</v>
      </c>
    </row>
    <row r="28" spans="1:69" ht="12.75" customHeight="1" x14ac:dyDescent="0.3">
      <c r="A28" s="21"/>
      <c r="B28" s="66" t="s">
        <v>23</v>
      </c>
      <c r="C28" s="67" t="s">
        <v>24</v>
      </c>
      <c r="D28" s="13" t="s">
        <v>12</v>
      </c>
      <c r="E28" s="13">
        <f t="shared" ref="E28:BP28" si="6">SUM(E19,E22,E25)</f>
        <v>92</v>
      </c>
      <c r="F28" s="13">
        <f t="shared" si="6"/>
        <v>90</v>
      </c>
      <c r="G28" s="13">
        <f t="shared" si="6"/>
        <v>93</v>
      </c>
      <c r="H28" s="13">
        <v>95</v>
      </c>
      <c r="I28" s="13">
        <f t="shared" si="6"/>
        <v>82</v>
      </c>
      <c r="J28" s="13">
        <f t="shared" si="6"/>
        <v>91</v>
      </c>
      <c r="K28" s="13">
        <f t="shared" si="6"/>
        <v>74</v>
      </c>
      <c r="L28" s="13">
        <f t="shared" si="6"/>
        <v>99</v>
      </c>
      <c r="M28" s="13">
        <f t="shared" si="6"/>
        <v>99</v>
      </c>
      <c r="N28" s="13">
        <f t="shared" si="6"/>
        <v>92</v>
      </c>
      <c r="O28" s="13">
        <f t="shared" si="6"/>
        <v>108</v>
      </c>
      <c r="P28" s="13">
        <f t="shared" si="6"/>
        <v>105</v>
      </c>
      <c r="Q28" s="13">
        <f t="shared" si="6"/>
        <v>101</v>
      </c>
      <c r="R28" s="13">
        <f t="shared" si="6"/>
        <v>90</v>
      </c>
      <c r="S28" s="13">
        <f t="shared" si="6"/>
        <v>115</v>
      </c>
      <c r="T28" s="13">
        <f t="shared" si="6"/>
        <v>90</v>
      </c>
      <c r="U28" s="13">
        <f t="shared" si="6"/>
        <v>84</v>
      </c>
      <c r="V28" s="13">
        <f t="shared" si="6"/>
        <v>92</v>
      </c>
      <c r="W28" s="13">
        <f t="shared" si="6"/>
        <v>96</v>
      </c>
      <c r="X28" s="13">
        <f t="shared" si="6"/>
        <v>80</v>
      </c>
      <c r="Y28" s="13">
        <f t="shared" si="6"/>
        <v>95</v>
      </c>
      <c r="Z28" s="13">
        <f t="shared" si="6"/>
        <v>98</v>
      </c>
      <c r="AA28" s="13">
        <f t="shared" si="6"/>
        <v>103</v>
      </c>
      <c r="AB28" s="13">
        <f t="shared" si="6"/>
        <v>90</v>
      </c>
      <c r="AC28" s="13">
        <f t="shared" si="6"/>
        <v>98</v>
      </c>
      <c r="AD28" s="13">
        <f t="shared" si="6"/>
        <v>90</v>
      </c>
      <c r="AE28" s="13">
        <f t="shared" si="6"/>
        <v>95</v>
      </c>
      <c r="AF28" s="13">
        <f t="shared" si="6"/>
        <v>113</v>
      </c>
      <c r="AG28" s="13">
        <f t="shared" si="6"/>
        <v>104</v>
      </c>
      <c r="AH28" s="13">
        <f t="shared" si="6"/>
        <v>94</v>
      </c>
      <c r="AI28" s="13">
        <f t="shared" si="6"/>
        <v>91</v>
      </c>
      <c r="AJ28" s="13">
        <f t="shared" si="6"/>
        <v>99</v>
      </c>
      <c r="AK28" s="13">
        <f t="shared" si="6"/>
        <v>99</v>
      </c>
      <c r="AL28" s="13">
        <f t="shared" si="6"/>
        <v>97</v>
      </c>
      <c r="AM28" s="13">
        <f t="shared" si="6"/>
        <v>95</v>
      </c>
      <c r="AN28" s="13">
        <f t="shared" si="6"/>
        <v>89</v>
      </c>
      <c r="AO28" s="13">
        <f t="shared" si="6"/>
        <v>95</v>
      </c>
      <c r="AP28" s="13">
        <f t="shared" si="6"/>
        <v>90</v>
      </c>
      <c r="AQ28" s="13">
        <f t="shared" si="6"/>
        <v>91</v>
      </c>
      <c r="AR28" s="13">
        <f t="shared" si="6"/>
        <v>95</v>
      </c>
      <c r="AS28" s="13">
        <f t="shared" si="6"/>
        <v>108</v>
      </c>
      <c r="AT28" s="13">
        <f t="shared" si="6"/>
        <v>91</v>
      </c>
      <c r="AU28" s="13">
        <f t="shared" si="6"/>
        <v>75</v>
      </c>
      <c r="AV28" s="13">
        <f t="shared" si="6"/>
        <v>103</v>
      </c>
      <c r="AW28" s="13">
        <f t="shared" si="6"/>
        <v>99</v>
      </c>
      <c r="AX28" s="13">
        <f t="shared" si="6"/>
        <v>114</v>
      </c>
      <c r="AY28" s="13">
        <f t="shared" si="6"/>
        <v>113</v>
      </c>
      <c r="AZ28" s="13">
        <f t="shared" si="6"/>
        <v>101</v>
      </c>
      <c r="BA28" s="13">
        <f t="shared" si="6"/>
        <v>118</v>
      </c>
      <c r="BB28" s="13">
        <f t="shared" si="6"/>
        <v>108</v>
      </c>
      <c r="BC28" s="13">
        <f t="shared" si="6"/>
        <v>111</v>
      </c>
      <c r="BD28" s="13">
        <f t="shared" si="6"/>
        <v>105</v>
      </c>
      <c r="BE28" s="13">
        <f t="shared" si="6"/>
        <v>102</v>
      </c>
      <c r="BF28" s="13">
        <f t="shared" si="6"/>
        <v>100</v>
      </c>
      <c r="BG28" s="13">
        <f t="shared" si="6"/>
        <v>92</v>
      </c>
      <c r="BH28" s="13">
        <f t="shared" si="6"/>
        <v>109</v>
      </c>
      <c r="BI28" s="13">
        <f t="shared" si="6"/>
        <v>75</v>
      </c>
      <c r="BJ28" s="13">
        <f t="shared" si="6"/>
        <v>101</v>
      </c>
      <c r="BK28" s="13">
        <f t="shared" si="6"/>
        <v>89</v>
      </c>
      <c r="BL28" s="13">
        <f t="shared" si="6"/>
        <v>116</v>
      </c>
      <c r="BM28" s="13">
        <f t="shared" si="6"/>
        <v>86</v>
      </c>
      <c r="BN28" s="13">
        <f t="shared" si="6"/>
        <v>95</v>
      </c>
      <c r="BO28" s="13">
        <f t="shared" si="6"/>
        <v>103</v>
      </c>
      <c r="BP28" s="13">
        <f t="shared" si="6"/>
        <v>100</v>
      </c>
      <c r="BQ28" s="13">
        <f t="shared" si="2"/>
        <v>6203</v>
      </c>
    </row>
    <row r="29" spans="1:69" ht="12.75" customHeight="1" x14ac:dyDescent="0.3">
      <c r="A29" s="21"/>
      <c r="B29" s="60"/>
      <c r="C29" s="63"/>
      <c r="D29" s="13" t="s">
        <v>13</v>
      </c>
      <c r="E29" s="13">
        <f t="shared" ref="E29:BP29" si="7">SUM(E20,E23,E26)</f>
        <v>105</v>
      </c>
      <c r="F29" s="13">
        <f t="shared" si="7"/>
        <v>99</v>
      </c>
      <c r="G29" s="13">
        <f t="shared" si="7"/>
        <v>109</v>
      </c>
      <c r="H29" s="13">
        <v>96</v>
      </c>
      <c r="I29" s="13">
        <f t="shared" si="7"/>
        <v>85</v>
      </c>
      <c r="J29" s="13">
        <f t="shared" si="7"/>
        <v>93</v>
      </c>
      <c r="K29" s="13">
        <f t="shared" si="7"/>
        <v>93</v>
      </c>
      <c r="L29" s="13">
        <f t="shared" si="7"/>
        <v>93</v>
      </c>
      <c r="M29" s="13">
        <f t="shared" si="7"/>
        <v>86</v>
      </c>
      <c r="N29" s="13">
        <f t="shared" si="7"/>
        <v>110</v>
      </c>
      <c r="O29" s="13">
        <f t="shared" si="7"/>
        <v>98</v>
      </c>
      <c r="P29" s="13">
        <f t="shared" si="7"/>
        <v>118</v>
      </c>
      <c r="Q29" s="13">
        <f t="shared" si="7"/>
        <v>95</v>
      </c>
      <c r="R29" s="13">
        <f t="shared" si="7"/>
        <v>107</v>
      </c>
      <c r="S29" s="13">
        <f t="shared" si="7"/>
        <v>113</v>
      </c>
      <c r="T29" s="13">
        <f t="shared" si="7"/>
        <v>110</v>
      </c>
      <c r="U29" s="13">
        <f t="shared" si="7"/>
        <v>99</v>
      </c>
      <c r="V29" s="13">
        <f t="shared" si="7"/>
        <v>105</v>
      </c>
      <c r="W29" s="13">
        <f t="shared" si="7"/>
        <v>111</v>
      </c>
      <c r="X29" s="13">
        <f t="shared" si="7"/>
        <v>105</v>
      </c>
      <c r="Y29" s="13">
        <f t="shared" si="7"/>
        <v>88</v>
      </c>
      <c r="Z29" s="13">
        <f t="shared" si="7"/>
        <v>116</v>
      </c>
      <c r="AA29" s="13">
        <f t="shared" si="7"/>
        <v>107</v>
      </c>
      <c r="AB29" s="13">
        <f t="shared" si="7"/>
        <v>96</v>
      </c>
      <c r="AC29" s="13">
        <f t="shared" si="7"/>
        <v>86</v>
      </c>
      <c r="AD29" s="13">
        <f t="shared" si="7"/>
        <v>88</v>
      </c>
      <c r="AE29" s="13">
        <f t="shared" si="7"/>
        <v>102</v>
      </c>
      <c r="AF29" s="13">
        <f t="shared" si="7"/>
        <v>103</v>
      </c>
      <c r="AG29" s="13">
        <f t="shared" si="7"/>
        <v>114</v>
      </c>
      <c r="AH29" s="13">
        <f t="shared" si="7"/>
        <v>110</v>
      </c>
      <c r="AI29" s="13">
        <f t="shared" si="7"/>
        <v>121</v>
      </c>
      <c r="AJ29" s="13">
        <f t="shared" si="7"/>
        <v>111</v>
      </c>
      <c r="AK29" s="13">
        <f t="shared" si="7"/>
        <v>113</v>
      </c>
      <c r="AL29" s="13">
        <f t="shared" si="7"/>
        <v>105</v>
      </c>
      <c r="AM29" s="13">
        <f t="shared" si="7"/>
        <v>107</v>
      </c>
      <c r="AN29" s="13">
        <f t="shared" si="7"/>
        <v>94</v>
      </c>
      <c r="AO29" s="13">
        <f t="shared" si="7"/>
        <v>107</v>
      </c>
      <c r="AP29" s="13">
        <f t="shared" si="7"/>
        <v>114</v>
      </c>
      <c r="AQ29" s="13">
        <f t="shared" si="7"/>
        <v>94</v>
      </c>
      <c r="AR29" s="13">
        <f t="shared" si="7"/>
        <v>97</v>
      </c>
      <c r="AS29" s="13">
        <f t="shared" si="7"/>
        <v>101</v>
      </c>
      <c r="AT29" s="13">
        <f t="shared" si="7"/>
        <v>92</v>
      </c>
      <c r="AU29" s="13">
        <f t="shared" si="7"/>
        <v>82</v>
      </c>
      <c r="AV29" s="13">
        <f t="shared" si="7"/>
        <v>112</v>
      </c>
      <c r="AW29" s="13">
        <f t="shared" si="7"/>
        <v>108</v>
      </c>
      <c r="AX29" s="13">
        <f t="shared" si="7"/>
        <v>98</v>
      </c>
      <c r="AY29" s="13">
        <f t="shared" si="7"/>
        <v>119</v>
      </c>
      <c r="AZ29" s="13">
        <f t="shared" si="7"/>
        <v>103</v>
      </c>
      <c r="BA29" s="13">
        <f t="shared" si="7"/>
        <v>123</v>
      </c>
      <c r="BB29" s="13">
        <f t="shared" si="7"/>
        <v>118</v>
      </c>
      <c r="BC29" s="13">
        <f t="shared" si="7"/>
        <v>122</v>
      </c>
      <c r="BD29" s="13">
        <f t="shared" si="7"/>
        <v>124</v>
      </c>
      <c r="BE29" s="13">
        <f t="shared" si="7"/>
        <v>123</v>
      </c>
      <c r="BF29" s="13">
        <f t="shared" si="7"/>
        <v>112</v>
      </c>
      <c r="BG29" s="13">
        <f t="shared" si="7"/>
        <v>108</v>
      </c>
      <c r="BH29" s="13">
        <f t="shared" si="7"/>
        <v>121</v>
      </c>
      <c r="BI29" s="13">
        <f t="shared" si="7"/>
        <v>102</v>
      </c>
      <c r="BJ29" s="13">
        <f t="shared" si="7"/>
        <v>102</v>
      </c>
      <c r="BK29" s="13">
        <f t="shared" si="7"/>
        <v>110</v>
      </c>
      <c r="BL29" s="13">
        <f t="shared" si="7"/>
        <v>110</v>
      </c>
      <c r="BM29" s="13">
        <f t="shared" si="7"/>
        <v>110</v>
      </c>
      <c r="BN29" s="13">
        <f t="shared" si="7"/>
        <v>102</v>
      </c>
      <c r="BO29" s="13">
        <f t="shared" si="7"/>
        <v>104</v>
      </c>
      <c r="BP29" s="13">
        <f t="shared" si="7"/>
        <v>103</v>
      </c>
      <c r="BQ29" s="13">
        <f t="shared" si="2"/>
        <v>6712</v>
      </c>
    </row>
    <row r="30" spans="1:69" ht="12.75" customHeight="1" x14ac:dyDescent="0.3">
      <c r="A30" s="21"/>
      <c r="B30" s="53"/>
      <c r="C30" s="64"/>
      <c r="D30" s="13" t="s">
        <v>14</v>
      </c>
      <c r="E30" s="13">
        <f t="shared" ref="E30:BP30" si="8">SUM(E28:E29)</f>
        <v>197</v>
      </c>
      <c r="F30" s="13">
        <f t="shared" si="8"/>
        <v>189</v>
      </c>
      <c r="G30" s="13">
        <f t="shared" si="8"/>
        <v>202</v>
      </c>
      <c r="H30" s="13">
        <f t="shared" si="8"/>
        <v>191</v>
      </c>
      <c r="I30" s="13">
        <f t="shared" si="8"/>
        <v>167</v>
      </c>
      <c r="J30" s="13">
        <f t="shared" si="8"/>
        <v>184</v>
      </c>
      <c r="K30" s="13">
        <f t="shared" si="8"/>
        <v>167</v>
      </c>
      <c r="L30" s="13">
        <f t="shared" si="8"/>
        <v>192</v>
      </c>
      <c r="M30" s="13">
        <f t="shared" si="8"/>
        <v>185</v>
      </c>
      <c r="N30" s="13">
        <f t="shared" si="8"/>
        <v>202</v>
      </c>
      <c r="O30" s="13">
        <f t="shared" si="8"/>
        <v>206</v>
      </c>
      <c r="P30" s="13">
        <f t="shared" si="8"/>
        <v>223</v>
      </c>
      <c r="Q30" s="13">
        <f t="shared" si="8"/>
        <v>196</v>
      </c>
      <c r="R30" s="13">
        <f t="shared" si="8"/>
        <v>197</v>
      </c>
      <c r="S30" s="13">
        <f t="shared" si="8"/>
        <v>228</v>
      </c>
      <c r="T30" s="13">
        <f t="shared" si="8"/>
        <v>200</v>
      </c>
      <c r="U30" s="13">
        <f t="shared" si="8"/>
        <v>183</v>
      </c>
      <c r="V30" s="13">
        <f t="shared" si="8"/>
        <v>197</v>
      </c>
      <c r="W30" s="13">
        <f t="shared" si="8"/>
        <v>207</v>
      </c>
      <c r="X30" s="13">
        <f t="shared" si="8"/>
        <v>185</v>
      </c>
      <c r="Y30" s="13">
        <f t="shared" si="8"/>
        <v>183</v>
      </c>
      <c r="Z30" s="13">
        <f t="shared" si="8"/>
        <v>214</v>
      </c>
      <c r="AA30" s="13">
        <f t="shared" si="8"/>
        <v>210</v>
      </c>
      <c r="AB30" s="13">
        <f t="shared" si="8"/>
        <v>186</v>
      </c>
      <c r="AC30" s="13">
        <f t="shared" si="8"/>
        <v>184</v>
      </c>
      <c r="AD30" s="13">
        <f t="shared" si="8"/>
        <v>178</v>
      </c>
      <c r="AE30" s="13">
        <f t="shared" si="8"/>
        <v>197</v>
      </c>
      <c r="AF30" s="13">
        <f t="shared" si="8"/>
        <v>216</v>
      </c>
      <c r="AG30" s="13">
        <f t="shared" si="8"/>
        <v>218</v>
      </c>
      <c r="AH30" s="13">
        <f t="shared" si="8"/>
        <v>204</v>
      </c>
      <c r="AI30" s="13">
        <f t="shared" si="8"/>
        <v>212</v>
      </c>
      <c r="AJ30" s="13">
        <f t="shared" si="8"/>
        <v>210</v>
      </c>
      <c r="AK30" s="13">
        <f t="shared" si="8"/>
        <v>212</v>
      </c>
      <c r="AL30" s="13">
        <f t="shared" si="8"/>
        <v>202</v>
      </c>
      <c r="AM30" s="13">
        <f t="shared" si="8"/>
        <v>202</v>
      </c>
      <c r="AN30" s="13">
        <f t="shared" si="8"/>
        <v>183</v>
      </c>
      <c r="AO30" s="13">
        <f t="shared" si="8"/>
        <v>202</v>
      </c>
      <c r="AP30" s="13">
        <f t="shared" si="8"/>
        <v>204</v>
      </c>
      <c r="AQ30" s="13">
        <f t="shared" si="8"/>
        <v>185</v>
      </c>
      <c r="AR30" s="13">
        <f t="shared" si="8"/>
        <v>192</v>
      </c>
      <c r="AS30" s="13">
        <f t="shared" si="8"/>
        <v>209</v>
      </c>
      <c r="AT30" s="13">
        <f t="shared" si="8"/>
        <v>183</v>
      </c>
      <c r="AU30" s="13">
        <f t="shared" si="8"/>
        <v>157</v>
      </c>
      <c r="AV30" s="13">
        <f t="shared" si="8"/>
        <v>215</v>
      </c>
      <c r="AW30" s="13">
        <f t="shared" si="8"/>
        <v>207</v>
      </c>
      <c r="AX30" s="13">
        <f t="shared" si="8"/>
        <v>212</v>
      </c>
      <c r="AY30" s="13">
        <f t="shared" si="8"/>
        <v>232</v>
      </c>
      <c r="AZ30" s="13">
        <f t="shared" si="8"/>
        <v>204</v>
      </c>
      <c r="BA30" s="13">
        <f t="shared" si="8"/>
        <v>241</v>
      </c>
      <c r="BB30" s="13">
        <f t="shared" si="8"/>
        <v>226</v>
      </c>
      <c r="BC30" s="13">
        <f t="shared" si="8"/>
        <v>233</v>
      </c>
      <c r="BD30" s="13">
        <f t="shared" si="8"/>
        <v>229</v>
      </c>
      <c r="BE30" s="13">
        <f t="shared" si="8"/>
        <v>225</v>
      </c>
      <c r="BF30" s="13">
        <f t="shared" si="8"/>
        <v>212</v>
      </c>
      <c r="BG30" s="13">
        <f t="shared" si="8"/>
        <v>200</v>
      </c>
      <c r="BH30" s="13">
        <f t="shared" si="8"/>
        <v>230</v>
      </c>
      <c r="BI30" s="13">
        <f t="shared" si="8"/>
        <v>177</v>
      </c>
      <c r="BJ30" s="13">
        <f t="shared" si="8"/>
        <v>203</v>
      </c>
      <c r="BK30" s="13">
        <f t="shared" si="8"/>
        <v>199</v>
      </c>
      <c r="BL30" s="13">
        <f t="shared" si="8"/>
        <v>226</v>
      </c>
      <c r="BM30" s="13">
        <f t="shared" si="8"/>
        <v>196</v>
      </c>
      <c r="BN30" s="13">
        <f t="shared" si="8"/>
        <v>197</v>
      </c>
      <c r="BO30" s="13">
        <f t="shared" si="8"/>
        <v>207</v>
      </c>
      <c r="BP30" s="13">
        <f t="shared" si="8"/>
        <v>203</v>
      </c>
      <c r="BQ30" s="13">
        <f t="shared" si="2"/>
        <v>12915</v>
      </c>
    </row>
    <row r="31" spans="1:69" ht="12.75" customHeight="1" x14ac:dyDescent="0.3">
      <c r="A31" s="61"/>
      <c r="B31" s="46"/>
      <c r="C31" s="46"/>
      <c r="D31" s="47"/>
      <c r="E31" s="15"/>
      <c r="F31" s="15"/>
      <c r="G31" s="15"/>
      <c r="H31" s="15"/>
      <c r="I31" s="15"/>
      <c r="J31" s="15"/>
      <c r="K31" s="15"/>
      <c r="L31" s="15"/>
      <c r="M31" s="15"/>
      <c r="N31" s="41"/>
      <c r="O31" s="15"/>
      <c r="P31" s="15"/>
      <c r="Q31" s="15"/>
      <c r="R31" s="15"/>
      <c r="S31" s="41"/>
      <c r="T31" s="15"/>
      <c r="U31" s="15"/>
      <c r="V31" s="15"/>
      <c r="W31" s="15"/>
      <c r="X31" s="41"/>
      <c r="Y31" s="15"/>
      <c r="Z31" s="15"/>
      <c r="AA31" s="15"/>
      <c r="AB31" s="15"/>
      <c r="AC31" s="41"/>
      <c r="AD31" s="15"/>
      <c r="AE31" s="15"/>
      <c r="AF31" s="15"/>
      <c r="AG31" s="15"/>
      <c r="AH31" s="41"/>
      <c r="AI31" s="15"/>
      <c r="AJ31" s="15"/>
      <c r="AK31" s="15"/>
      <c r="AL31" s="15"/>
      <c r="AM31" s="41"/>
      <c r="AN31" s="15"/>
      <c r="AO31" s="15"/>
      <c r="AP31" s="15"/>
      <c r="AQ31" s="15"/>
      <c r="AR31" s="41"/>
      <c r="AS31" s="15"/>
      <c r="AT31" s="15"/>
      <c r="AU31" s="15"/>
      <c r="AV31" s="15"/>
      <c r="AW31" s="41"/>
      <c r="AX31" s="15"/>
      <c r="AY31" s="15"/>
      <c r="AZ31" s="15"/>
      <c r="BA31" s="15"/>
      <c r="BB31" s="41"/>
      <c r="BC31" s="15"/>
      <c r="BD31" s="15"/>
      <c r="BE31" s="15"/>
      <c r="BF31" s="15"/>
      <c r="BG31" s="41"/>
      <c r="BH31" s="15"/>
      <c r="BI31" s="15"/>
      <c r="BJ31" s="15"/>
      <c r="BK31" s="15"/>
      <c r="BL31" s="41"/>
      <c r="BM31" s="41"/>
      <c r="BN31" s="41"/>
      <c r="BO31" s="41"/>
      <c r="BP31" s="41"/>
      <c r="BQ31" s="42"/>
    </row>
    <row r="32" spans="1:69" ht="12.75" customHeight="1" x14ac:dyDescent="0.3">
      <c r="A32" s="24" t="s">
        <v>25</v>
      </c>
      <c r="B32" s="49" t="s">
        <v>26</v>
      </c>
      <c r="C32" s="46"/>
      <c r="D32" s="47"/>
      <c r="E32" s="13"/>
      <c r="F32" s="13"/>
      <c r="G32" s="13"/>
      <c r="H32" s="13"/>
      <c r="I32" s="13"/>
      <c r="J32" s="13"/>
      <c r="K32" s="13"/>
      <c r="L32" s="13"/>
      <c r="M32" s="13"/>
      <c r="N32" s="43"/>
      <c r="O32" s="13"/>
      <c r="P32" s="13"/>
      <c r="Q32" s="13"/>
      <c r="R32" s="13"/>
      <c r="S32" s="43"/>
      <c r="T32" s="13"/>
      <c r="U32" s="13"/>
      <c r="V32" s="13"/>
      <c r="W32" s="13"/>
      <c r="X32" s="43"/>
      <c r="Y32" s="13"/>
      <c r="Z32" s="13"/>
      <c r="AA32" s="13"/>
      <c r="AB32" s="13"/>
      <c r="AC32" s="43"/>
      <c r="AD32" s="13"/>
      <c r="AE32" s="13"/>
      <c r="AF32" s="13"/>
      <c r="AG32" s="13"/>
      <c r="AH32" s="43"/>
      <c r="AI32" s="13"/>
      <c r="AJ32" s="13"/>
      <c r="AK32" s="13"/>
      <c r="AL32" s="13"/>
      <c r="AM32" s="43"/>
      <c r="AN32" s="13"/>
      <c r="AO32" s="13"/>
      <c r="AP32" s="13"/>
      <c r="AQ32" s="13"/>
      <c r="AR32" s="43"/>
      <c r="AS32" s="13"/>
      <c r="AT32" s="13"/>
      <c r="AU32" s="13"/>
      <c r="AV32" s="13"/>
      <c r="AW32" s="43"/>
      <c r="AX32" s="13"/>
      <c r="AY32" s="13"/>
      <c r="AZ32" s="13"/>
      <c r="BA32" s="13"/>
      <c r="BB32" s="43"/>
      <c r="BC32" s="13"/>
      <c r="BD32" s="13"/>
      <c r="BE32" s="13"/>
      <c r="BF32" s="13"/>
      <c r="BG32" s="43"/>
      <c r="BH32" s="13"/>
      <c r="BI32" s="13"/>
      <c r="BJ32" s="13"/>
      <c r="BK32" s="13"/>
      <c r="BL32" s="43"/>
      <c r="BM32" s="43"/>
      <c r="BN32" s="43"/>
      <c r="BO32" s="43"/>
      <c r="BP32" s="43"/>
      <c r="BQ32" s="42"/>
    </row>
    <row r="33" spans="1:69" ht="12.75" customHeight="1" x14ac:dyDescent="0.3">
      <c r="A33" s="15">
        <v>1</v>
      </c>
      <c r="B33" s="56" t="s">
        <v>27</v>
      </c>
      <c r="C33" s="46"/>
      <c r="D33" s="47"/>
      <c r="E33" s="15">
        <v>272</v>
      </c>
      <c r="F33" s="15">
        <v>270</v>
      </c>
      <c r="G33" s="15">
        <v>289</v>
      </c>
      <c r="H33" s="15">
        <v>261</v>
      </c>
      <c r="I33" s="15">
        <v>240</v>
      </c>
      <c r="J33" s="15">
        <v>240</v>
      </c>
      <c r="K33" s="15">
        <v>231</v>
      </c>
      <c r="L33" s="15">
        <v>238</v>
      </c>
      <c r="M33" s="15">
        <v>229</v>
      </c>
      <c r="N33" s="15">
        <v>242</v>
      </c>
      <c r="O33" s="15">
        <v>266</v>
      </c>
      <c r="P33" s="15">
        <v>277</v>
      </c>
      <c r="Q33" s="15">
        <v>277</v>
      </c>
      <c r="R33" s="15">
        <v>247</v>
      </c>
      <c r="S33" s="15">
        <v>295</v>
      </c>
      <c r="T33" s="15">
        <v>269</v>
      </c>
      <c r="U33" s="15">
        <v>267</v>
      </c>
      <c r="V33" s="15">
        <v>273</v>
      </c>
      <c r="W33" s="15">
        <v>276</v>
      </c>
      <c r="X33" s="15">
        <v>261</v>
      </c>
      <c r="Y33" s="15">
        <v>261</v>
      </c>
      <c r="Z33" s="15">
        <v>264</v>
      </c>
      <c r="AA33" s="15">
        <v>265</v>
      </c>
      <c r="AB33" s="15">
        <v>234</v>
      </c>
      <c r="AC33" s="15">
        <v>247</v>
      </c>
      <c r="AD33" s="15">
        <v>253</v>
      </c>
      <c r="AE33" s="15">
        <v>267</v>
      </c>
      <c r="AF33" s="15">
        <v>268</v>
      </c>
      <c r="AG33" s="15">
        <v>282</v>
      </c>
      <c r="AH33" s="15">
        <v>280</v>
      </c>
      <c r="AI33" s="15">
        <v>281</v>
      </c>
      <c r="AJ33" s="15">
        <v>282</v>
      </c>
      <c r="AK33" s="15">
        <v>275</v>
      </c>
      <c r="AL33" s="15">
        <v>275</v>
      </c>
      <c r="AM33" s="15">
        <v>287</v>
      </c>
      <c r="AN33" s="15">
        <v>268</v>
      </c>
      <c r="AO33" s="15">
        <v>275</v>
      </c>
      <c r="AP33" s="15">
        <v>279</v>
      </c>
      <c r="AQ33" s="15">
        <v>269</v>
      </c>
      <c r="AR33" s="15">
        <v>263</v>
      </c>
      <c r="AS33" s="15">
        <v>282</v>
      </c>
      <c r="AT33" s="15">
        <v>273</v>
      </c>
      <c r="AU33" s="15">
        <v>235</v>
      </c>
      <c r="AV33" s="15">
        <v>303</v>
      </c>
      <c r="AW33" s="15">
        <v>297</v>
      </c>
      <c r="AX33" s="15">
        <v>299</v>
      </c>
      <c r="AY33" s="15">
        <v>297</v>
      </c>
      <c r="AZ33" s="15">
        <v>287</v>
      </c>
      <c r="BA33" s="15">
        <v>292</v>
      </c>
      <c r="BB33" s="15">
        <v>296</v>
      </c>
      <c r="BC33" s="15">
        <v>293</v>
      </c>
      <c r="BD33" s="15">
        <v>294</v>
      </c>
      <c r="BE33" s="15">
        <v>280</v>
      </c>
      <c r="BF33" s="15">
        <v>302</v>
      </c>
      <c r="BG33" s="15">
        <v>302</v>
      </c>
      <c r="BH33" s="15">
        <v>300</v>
      </c>
      <c r="BI33" s="15">
        <v>261</v>
      </c>
      <c r="BJ33" s="15">
        <v>270</v>
      </c>
      <c r="BK33" s="15">
        <v>250</v>
      </c>
      <c r="BL33" s="15">
        <v>281</v>
      </c>
      <c r="BM33" s="15">
        <v>269</v>
      </c>
      <c r="BN33" s="15">
        <v>253</v>
      </c>
      <c r="BO33" s="15">
        <v>249</v>
      </c>
      <c r="BP33" s="15">
        <v>250</v>
      </c>
      <c r="BQ33" s="13">
        <f t="shared" ref="BQ33:BQ36" si="9">SUM(E33:BP33)</f>
        <v>17310</v>
      </c>
    </row>
    <row r="34" spans="1:69" ht="12.75" customHeight="1" x14ac:dyDescent="0.3">
      <c r="A34" s="15">
        <v>2</v>
      </c>
      <c r="B34" s="56" t="s">
        <v>28</v>
      </c>
      <c r="C34" s="46"/>
      <c r="D34" s="47"/>
      <c r="E34" s="13">
        <v>197</v>
      </c>
      <c r="F34" s="13">
        <v>189</v>
      </c>
      <c r="G34" s="13">
        <v>202</v>
      </c>
      <c r="H34" s="13">
        <v>191</v>
      </c>
      <c r="I34" s="13">
        <v>167</v>
      </c>
      <c r="J34" s="13">
        <v>184</v>
      </c>
      <c r="K34" s="13">
        <v>167</v>
      </c>
      <c r="L34" s="13">
        <v>192</v>
      </c>
      <c r="M34" s="13">
        <v>185</v>
      </c>
      <c r="N34" s="13">
        <v>202</v>
      </c>
      <c r="O34" s="13">
        <v>206</v>
      </c>
      <c r="P34" s="13">
        <v>223</v>
      </c>
      <c r="Q34" s="13">
        <v>196</v>
      </c>
      <c r="R34" s="13">
        <v>197</v>
      </c>
      <c r="S34" s="13">
        <v>228</v>
      </c>
      <c r="T34" s="13">
        <v>200</v>
      </c>
      <c r="U34" s="13">
        <v>183</v>
      </c>
      <c r="V34" s="13">
        <v>197</v>
      </c>
      <c r="W34" s="13">
        <v>207</v>
      </c>
      <c r="X34" s="13">
        <v>185</v>
      </c>
      <c r="Y34" s="13">
        <v>183</v>
      </c>
      <c r="Z34" s="13">
        <v>214</v>
      </c>
      <c r="AA34" s="13">
        <v>210</v>
      </c>
      <c r="AB34" s="13">
        <v>186</v>
      </c>
      <c r="AC34" s="13">
        <v>184</v>
      </c>
      <c r="AD34" s="13">
        <v>178</v>
      </c>
      <c r="AE34" s="13">
        <v>197</v>
      </c>
      <c r="AF34" s="13">
        <v>216</v>
      </c>
      <c r="AG34" s="13">
        <v>218</v>
      </c>
      <c r="AH34" s="13">
        <v>204</v>
      </c>
      <c r="AI34" s="13">
        <v>212</v>
      </c>
      <c r="AJ34" s="13">
        <v>210</v>
      </c>
      <c r="AK34" s="13">
        <v>212</v>
      </c>
      <c r="AL34" s="13">
        <v>202</v>
      </c>
      <c r="AM34" s="13">
        <v>202</v>
      </c>
      <c r="AN34" s="13">
        <v>183</v>
      </c>
      <c r="AO34" s="13">
        <v>202</v>
      </c>
      <c r="AP34" s="13">
        <v>204</v>
      </c>
      <c r="AQ34" s="13">
        <v>185</v>
      </c>
      <c r="AR34" s="13">
        <v>192</v>
      </c>
      <c r="AS34" s="13">
        <v>209</v>
      </c>
      <c r="AT34" s="13">
        <v>183</v>
      </c>
      <c r="AU34" s="13">
        <v>157</v>
      </c>
      <c r="AV34" s="13">
        <v>215</v>
      </c>
      <c r="AW34" s="13">
        <v>207</v>
      </c>
      <c r="AX34" s="13">
        <v>212</v>
      </c>
      <c r="AY34" s="13">
        <v>232</v>
      </c>
      <c r="AZ34" s="13">
        <v>204</v>
      </c>
      <c r="BA34" s="13">
        <v>241</v>
      </c>
      <c r="BB34" s="13">
        <v>226</v>
      </c>
      <c r="BC34" s="13">
        <v>233</v>
      </c>
      <c r="BD34" s="13">
        <v>229</v>
      </c>
      <c r="BE34" s="13">
        <v>225</v>
      </c>
      <c r="BF34" s="13">
        <v>212</v>
      </c>
      <c r="BG34" s="13">
        <v>200</v>
      </c>
      <c r="BH34" s="13">
        <v>230</v>
      </c>
      <c r="BI34" s="13">
        <v>177</v>
      </c>
      <c r="BJ34" s="13">
        <v>203</v>
      </c>
      <c r="BK34" s="13">
        <v>199</v>
      </c>
      <c r="BL34" s="13">
        <v>226</v>
      </c>
      <c r="BM34" s="13">
        <v>196</v>
      </c>
      <c r="BN34" s="13">
        <v>197</v>
      </c>
      <c r="BO34" s="13">
        <v>207</v>
      </c>
      <c r="BP34" s="13">
        <v>203</v>
      </c>
      <c r="BQ34" s="13">
        <f t="shared" si="9"/>
        <v>12915</v>
      </c>
    </row>
    <row r="35" spans="1:69" ht="12.75" customHeight="1" x14ac:dyDescent="0.3">
      <c r="A35" s="15">
        <v>3</v>
      </c>
      <c r="B35" s="56" t="s">
        <v>29</v>
      </c>
      <c r="C35" s="46"/>
      <c r="D35" s="47"/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1</v>
      </c>
      <c r="AA35" s="15">
        <v>3</v>
      </c>
      <c r="AB35" s="15">
        <v>2</v>
      </c>
      <c r="AC35" s="15">
        <v>0</v>
      </c>
      <c r="AD35" s="15">
        <v>0</v>
      </c>
      <c r="AE35" s="15">
        <v>2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1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8</v>
      </c>
      <c r="AU35" s="15">
        <v>0</v>
      </c>
      <c r="AV35" s="15">
        <v>0</v>
      </c>
      <c r="AW35" s="15">
        <v>0</v>
      </c>
      <c r="AX35" s="15">
        <v>0</v>
      </c>
      <c r="AY35" s="15">
        <v>1</v>
      </c>
      <c r="AZ35" s="15">
        <v>0</v>
      </c>
      <c r="BA35" s="15">
        <v>0</v>
      </c>
      <c r="BB35" s="15">
        <v>0</v>
      </c>
      <c r="BC35" s="15">
        <v>1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3">
        <f t="shared" si="9"/>
        <v>19</v>
      </c>
    </row>
    <row r="36" spans="1:69" ht="12.75" customHeight="1" x14ac:dyDescent="0.3">
      <c r="A36" s="15">
        <v>4</v>
      </c>
      <c r="B36" s="56" t="s">
        <v>30</v>
      </c>
      <c r="C36" s="46"/>
      <c r="D36" s="47"/>
      <c r="E36" s="13">
        <f t="shared" ref="E36:BP36" si="10">E33-(E34+E35)</f>
        <v>75</v>
      </c>
      <c r="F36" s="13">
        <f t="shared" si="10"/>
        <v>81</v>
      </c>
      <c r="G36" s="13">
        <f t="shared" si="10"/>
        <v>87</v>
      </c>
      <c r="H36" s="13">
        <f t="shared" si="10"/>
        <v>70</v>
      </c>
      <c r="I36" s="13">
        <f t="shared" si="10"/>
        <v>73</v>
      </c>
      <c r="J36" s="13">
        <f t="shared" si="10"/>
        <v>56</v>
      </c>
      <c r="K36" s="13">
        <f t="shared" si="10"/>
        <v>64</v>
      </c>
      <c r="L36" s="13">
        <f t="shared" si="10"/>
        <v>46</v>
      </c>
      <c r="M36" s="13">
        <f t="shared" si="10"/>
        <v>44</v>
      </c>
      <c r="N36" s="13">
        <f t="shared" si="10"/>
        <v>40</v>
      </c>
      <c r="O36" s="13">
        <f t="shared" si="10"/>
        <v>60</v>
      </c>
      <c r="P36" s="13">
        <f t="shared" si="10"/>
        <v>54</v>
      </c>
      <c r="Q36" s="13">
        <f t="shared" si="10"/>
        <v>81</v>
      </c>
      <c r="R36" s="13">
        <f t="shared" si="10"/>
        <v>50</v>
      </c>
      <c r="S36" s="13">
        <f t="shared" si="10"/>
        <v>67</v>
      </c>
      <c r="T36" s="13">
        <f t="shared" si="10"/>
        <v>69</v>
      </c>
      <c r="U36" s="13">
        <f t="shared" si="10"/>
        <v>84</v>
      </c>
      <c r="V36" s="13">
        <f t="shared" si="10"/>
        <v>76</v>
      </c>
      <c r="W36" s="13">
        <f t="shared" si="10"/>
        <v>69</v>
      </c>
      <c r="X36" s="13">
        <f t="shared" si="10"/>
        <v>76</v>
      </c>
      <c r="Y36" s="13">
        <f t="shared" si="10"/>
        <v>78</v>
      </c>
      <c r="Z36" s="13">
        <f t="shared" si="10"/>
        <v>49</v>
      </c>
      <c r="AA36" s="13">
        <f t="shared" si="10"/>
        <v>52</v>
      </c>
      <c r="AB36" s="13">
        <f t="shared" si="10"/>
        <v>46</v>
      </c>
      <c r="AC36" s="13">
        <f t="shared" si="10"/>
        <v>63</v>
      </c>
      <c r="AD36" s="13">
        <f t="shared" si="10"/>
        <v>75</v>
      </c>
      <c r="AE36" s="13">
        <f t="shared" si="10"/>
        <v>68</v>
      </c>
      <c r="AF36" s="13">
        <f t="shared" si="10"/>
        <v>52</v>
      </c>
      <c r="AG36" s="13">
        <f t="shared" si="10"/>
        <v>64</v>
      </c>
      <c r="AH36" s="13">
        <f t="shared" si="10"/>
        <v>76</v>
      </c>
      <c r="AI36" s="13">
        <f t="shared" si="10"/>
        <v>69</v>
      </c>
      <c r="AJ36" s="13">
        <f t="shared" si="10"/>
        <v>72</v>
      </c>
      <c r="AK36" s="13">
        <f t="shared" si="10"/>
        <v>63</v>
      </c>
      <c r="AL36" s="13">
        <f t="shared" si="10"/>
        <v>73</v>
      </c>
      <c r="AM36" s="13">
        <f t="shared" si="10"/>
        <v>84</v>
      </c>
      <c r="AN36" s="13">
        <f t="shared" si="10"/>
        <v>85</v>
      </c>
      <c r="AO36" s="13">
        <f t="shared" si="10"/>
        <v>73</v>
      </c>
      <c r="AP36" s="13">
        <f t="shared" si="10"/>
        <v>75</v>
      </c>
      <c r="AQ36" s="13">
        <f t="shared" si="10"/>
        <v>84</v>
      </c>
      <c r="AR36" s="13">
        <f t="shared" si="10"/>
        <v>71</v>
      </c>
      <c r="AS36" s="13">
        <f t="shared" si="10"/>
        <v>73</v>
      </c>
      <c r="AT36" s="13">
        <f t="shared" si="10"/>
        <v>82</v>
      </c>
      <c r="AU36" s="13">
        <f t="shared" si="10"/>
        <v>78</v>
      </c>
      <c r="AV36" s="13">
        <f t="shared" si="10"/>
        <v>88</v>
      </c>
      <c r="AW36" s="13">
        <f t="shared" si="10"/>
        <v>90</v>
      </c>
      <c r="AX36" s="13">
        <f t="shared" si="10"/>
        <v>87</v>
      </c>
      <c r="AY36" s="13">
        <f t="shared" si="10"/>
        <v>64</v>
      </c>
      <c r="AZ36" s="13">
        <f t="shared" si="10"/>
        <v>83</v>
      </c>
      <c r="BA36" s="13">
        <f t="shared" si="10"/>
        <v>51</v>
      </c>
      <c r="BB36" s="13">
        <f t="shared" si="10"/>
        <v>70</v>
      </c>
      <c r="BC36" s="13">
        <f t="shared" si="10"/>
        <v>59</v>
      </c>
      <c r="BD36" s="13">
        <f t="shared" si="10"/>
        <v>65</v>
      </c>
      <c r="BE36" s="13">
        <f t="shared" si="10"/>
        <v>55</v>
      </c>
      <c r="BF36" s="13">
        <f t="shared" si="10"/>
        <v>90</v>
      </c>
      <c r="BG36" s="13">
        <f t="shared" si="10"/>
        <v>102</v>
      </c>
      <c r="BH36" s="13">
        <f t="shared" si="10"/>
        <v>70</v>
      </c>
      <c r="BI36" s="13">
        <f t="shared" si="10"/>
        <v>84</v>
      </c>
      <c r="BJ36" s="13">
        <f t="shared" si="10"/>
        <v>67</v>
      </c>
      <c r="BK36" s="13">
        <f t="shared" si="10"/>
        <v>51</v>
      </c>
      <c r="BL36" s="13">
        <f t="shared" si="10"/>
        <v>55</v>
      </c>
      <c r="BM36" s="13">
        <f t="shared" si="10"/>
        <v>73</v>
      </c>
      <c r="BN36" s="13">
        <f t="shared" si="10"/>
        <v>56</v>
      </c>
      <c r="BO36" s="13">
        <f t="shared" si="10"/>
        <v>42</v>
      </c>
      <c r="BP36" s="13">
        <f t="shared" si="10"/>
        <v>47</v>
      </c>
      <c r="BQ36" s="13">
        <f t="shared" si="9"/>
        <v>4376</v>
      </c>
    </row>
    <row r="37" spans="1:69" ht="12.75" customHeight="1" x14ac:dyDescent="0.3">
      <c r="A37" s="61"/>
      <c r="B37" s="46"/>
      <c r="C37" s="46"/>
      <c r="D37" s="46"/>
      <c r="E37" s="61"/>
      <c r="F37" s="46"/>
      <c r="G37" s="46"/>
      <c r="H37" s="46"/>
      <c r="I37" s="47"/>
      <c r="J37" s="15"/>
      <c r="K37" s="15"/>
      <c r="L37" s="15"/>
      <c r="M37" s="15"/>
      <c r="N37" s="41"/>
      <c r="O37" s="15"/>
      <c r="P37" s="15"/>
      <c r="Q37" s="15"/>
      <c r="R37" s="15"/>
      <c r="S37" s="41"/>
      <c r="T37" s="15"/>
      <c r="U37" s="15"/>
      <c r="V37" s="15"/>
      <c r="W37" s="15"/>
      <c r="X37" s="41"/>
      <c r="Y37" s="15"/>
      <c r="Z37" s="15"/>
      <c r="AA37" s="15"/>
      <c r="AB37" s="15"/>
      <c r="AC37" s="41"/>
      <c r="AD37" s="15"/>
      <c r="AE37" s="15"/>
      <c r="AF37" s="15"/>
      <c r="AG37" s="15"/>
      <c r="AH37" s="41"/>
      <c r="AI37" s="15"/>
      <c r="AJ37" s="15"/>
      <c r="AK37" s="15"/>
      <c r="AL37" s="15"/>
      <c r="AM37" s="41"/>
      <c r="AN37" s="15"/>
      <c r="AO37" s="15"/>
      <c r="AP37" s="15"/>
      <c r="AQ37" s="15"/>
      <c r="AR37" s="41"/>
      <c r="AS37" s="15"/>
      <c r="AT37" s="15"/>
      <c r="AU37" s="15"/>
      <c r="AV37" s="15"/>
      <c r="AW37" s="41"/>
      <c r="AX37" s="15"/>
      <c r="AY37" s="15"/>
      <c r="AZ37" s="15"/>
      <c r="BA37" s="15"/>
      <c r="BB37" s="41"/>
      <c r="BC37" s="15"/>
      <c r="BD37" s="15"/>
      <c r="BE37" s="15"/>
      <c r="BF37" s="15"/>
      <c r="BG37" s="41"/>
      <c r="BH37" s="15"/>
      <c r="BI37" s="15"/>
      <c r="BJ37" s="15"/>
      <c r="BK37" s="15"/>
      <c r="BL37" s="41"/>
      <c r="BM37" s="44"/>
      <c r="BN37" s="44"/>
      <c r="BO37" s="44"/>
      <c r="BP37" s="44"/>
      <c r="BQ37" s="42"/>
    </row>
    <row r="38" spans="1:69" ht="12.75" customHeight="1" x14ac:dyDescent="0.3">
      <c r="A38" s="25" t="s">
        <v>31</v>
      </c>
      <c r="B38" s="49" t="s">
        <v>32</v>
      </c>
      <c r="C38" s="46"/>
      <c r="D38" s="47"/>
      <c r="E38" s="13"/>
      <c r="F38" s="13"/>
      <c r="G38" s="13"/>
      <c r="H38" s="13"/>
      <c r="I38" s="13"/>
      <c r="J38" s="13"/>
      <c r="K38" s="13"/>
      <c r="L38" s="13"/>
      <c r="M38" s="13"/>
      <c r="N38" s="43"/>
      <c r="O38" s="13"/>
      <c r="P38" s="13"/>
      <c r="Q38" s="13"/>
      <c r="R38" s="13"/>
      <c r="S38" s="43"/>
      <c r="T38" s="13"/>
      <c r="U38" s="13"/>
      <c r="V38" s="13"/>
      <c r="W38" s="13"/>
      <c r="X38" s="43"/>
      <c r="Y38" s="13"/>
      <c r="Z38" s="13"/>
      <c r="AA38" s="13"/>
      <c r="AB38" s="13"/>
      <c r="AC38" s="43"/>
      <c r="AD38" s="13"/>
      <c r="AE38" s="13"/>
      <c r="AF38" s="13"/>
      <c r="AG38" s="13"/>
      <c r="AH38" s="43"/>
      <c r="AI38" s="13"/>
      <c r="AJ38" s="13"/>
      <c r="AK38" s="13"/>
      <c r="AL38" s="13"/>
      <c r="AM38" s="43"/>
      <c r="AN38" s="13"/>
      <c r="AO38" s="13"/>
      <c r="AP38" s="13"/>
      <c r="AQ38" s="13"/>
      <c r="AR38" s="43"/>
      <c r="AS38" s="13"/>
      <c r="AT38" s="13"/>
      <c r="AU38" s="13"/>
      <c r="AV38" s="13"/>
      <c r="AW38" s="43"/>
      <c r="AX38" s="13"/>
      <c r="AY38" s="13"/>
      <c r="AZ38" s="13"/>
      <c r="BA38" s="13"/>
      <c r="BB38" s="43"/>
      <c r="BC38" s="13"/>
      <c r="BD38" s="13"/>
      <c r="BE38" s="13"/>
      <c r="BF38" s="13"/>
      <c r="BG38" s="43"/>
      <c r="BH38" s="13"/>
      <c r="BI38" s="13"/>
      <c r="BJ38" s="13"/>
      <c r="BK38" s="13"/>
      <c r="BL38" s="43"/>
      <c r="BM38" s="43"/>
      <c r="BN38" s="43"/>
      <c r="BO38" s="43"/>
      <c r="BP38" s="43"/>
      <c r="BQ38" s="42"/>
    </row>
    <row r="39" spans="1:69" ht="12.75" customHeight="1" x14ac:dyDescent="0.3">
      <c r="A39" s="19"/>
      <c r="B39" s="68" t="s">
        <v>33</v>
      </c>
      <c r="C39" s="58"/>
      <c r="D39" s="15" t="s">
        <v>12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1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1</v>
      </c>
      <c r="V39" s="15">
        <v>0</v>
      </c>
      <c r="W39" s="15">
        <v>0</v>
      </c>
      <c r="X39" s="15">
        <v>1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1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2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3">
        <f t="shared" ref="BQ39:BQ41" si="11">SUM(E39:BP39)</f>
        <v>6</v>
      </c>
    </row>
    <row r="40" spans="1:69" ht="12.75" customHeight="1" x14ac:dyDescent="0.3">
      <c r="A40" s="20"/>
      <c r="B40" s="69"/>
      <c r="C40" s="60"/>
      <c r="D40" s="15" t="s">
        <v>13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1</v>
      </c>
      <c r="V40" s="15">
        <v>0</v>
      </c>
      <c r="W40" s="15">
        <v>1</v>
      </c>
      <c r="X40" s="15">
        <v>2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2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1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1</v>
      </c>
      <c r="BF40" s="15">
        <v>0</v>
      </c>
      <c r="BG40" s="15">
        <v>0</v>
      </c>
      <c r="BH40" s="15">
        <v>0</v>
      </c>
      <c r="BI40" s="15">
        <v>0</v>
      </c>
      <c r="BJ40" s="15">
        <v>2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1</v>
      </c>
      <c r="BQ40" s="13">
        <f t="shared" si="11"/>
        <v>11</v>
      </c>
    </row>
    <row r="41" spans="1:69" ht="12.75" customHeight="1" x14ac:dyDescent="0.3">
      <c r="A41" s="24"/>
      <c r="B41" s="52"/>
      <c r="C41" s="53"/>
      <c r="D41" s="13" t="s">
        <v>14</v>
      </c>
      <c r="E41" s="13">
        <f t="shared" ref="E41:BP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1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2</v>
      </c>
      <c r="V41" s="13">
        <f t="shared" si="12"/>
        <v>0</v>
      </c>
      <c r="W41" s="13">
        <f t="shared" si="12"/>
        <v>1</v>
      </c>
      <c r="X41" s="13">
        <f t="shared" si="12"/>
        <v>3</v>
      </c>
      <c r="Y41" s="13">
        <f t="shared" si="12"/>
        <v>0</v>
      </c>
      <c r="Z41" s="13">
        <f t="shared" si="12"/>
        <v>0</v>
      </c>
      <c r="AA41" s="13">
        <f t="shared" si="12"/>
        <v>0</v>
      </c>
      <c r="AB41" s="13">
        <f t="shared" si="12"/>
        <v>0</v>
      </c>
      <c r="AC41" s="13">
        <f t="shared" si="12"/>
        <v>0</v>
      </c>
      <c r="AD41" s="13">
        <f t="shared" si="12"/>
        <v>0</v>
      </c>
      <c r="AE41" s="13">
        <f t="shared" si="12"/>
        <v>0</v>
      </c>
      <c r="AF41" s="13">
        <f t="shared" si="12"/>
        <v>0</v>
      </c>
      <c r="AG41" s="13">
        <f t="shared" si="12"/>
        <v>0</v>
      </c>
      <c r="AH41" s="13">
        <f t="shared" si="12"/>
        <v>0</v>
      </c>
      <c r="AI41" s="13">
        <f t="shared" si="12"/>
        <v>0</v>
      </c>
      <c r="AJ41" s="13">
        <f t="shared" si="12"/>
        <v>3</v>
      </c>
      <c r="AK41" s="13">
        <f t="shared" si="12"/>
        <v>0</v>
      </c>
      <c r="AL41" s="13">
        <f t="shared" si="12"/>
        <v>0</v>
      </c>
      <c r="AM41" s="13">
        <f t="shared" si="12"/>
        <v>0</v>
      </c>
      <c r="AN41" s="13">
        <f t="shared" si="12"/>
        <v>0</v>
      </c>
      <c r="AO41" s="13">
        <f t="shared" si="12"/>
        <v>0</v>
      </c>
      <c r="AP41" s="13">
        <f t="shared" si="12"/>
        <v>0</v>
      </c>
      <c r="AQ41" s="13">
        <f t="shared" si="12"/>
        <v>0</v>
      </c>
      <c r="AR41" s="13">
        <f t="shared" si="12"/>
        <v>0</v>
      </c>
      <c r="AS41" s="13">
        <f t="shared" si="12"/>
        <v>0</v>
      </c>
      <c r="AT41" s="13">
        <f t="shared" si="12"/>
        <v>0</v>
      </c>
      <c r="AU41" s="13">
        <f t="shared" si="12"/>
        <v>0</v>
      </c>
      <c r="AV41" s="13">
        <f t="shared" si="12"/>
        <v>0</v>
      </c>
      <c r="AW41" s="13">
        <f t="shared" si="12"/>
        <v>1</v>
      </c>
      <c r="AX41" s="13">
        <f t="shared" si="12"/>
        <v>0</v>
      </c>
      <c r="AY41" s="13">
        <f t="shared" si="12"/>
        <v>0</v>
      </c>
      <c r="AZ41" s="13">
        <f t="shared" si="12"/>
        <v>0</v>
      </c>
      <c r="BA41" s="13">
        <f t="shared" si="12"/>
        <v>0</v>
      </c>
      <c r="BB41" s="13">
        <f t="shared" si="12"/>
        <v>0</v>
      </c>
      <c r="BC41" s="13">
        <f t="shared" si="12"/>
        <v>0</v>
      </c>
      <c r="BD41" s="13">
        <f t="shared" si="12"/>
        <v>0</v>
      </c>
      <c r="BE41" s="13">
        <f t="shared" si="12"/>
        <v>3</v>
      </c>
      <c r="BF41" s="13">
        <f t="shared" si="12"/>
        <v>0</v>
      </c>
      <c r="BG41" s="13">
        <f t="shared" si="12"/>
        <v>0</v>
      </c>
      <c r="BH41" s="13">
        <f t="shared" si="12"/>
        <v>0</v>
      </c>
      <c r="BI41" s="13">
        <f t="shared" si="12"/>
        <v>0</v>
      </c>
      <c r="BJ41" s="13">
        <f t="shared" si="12"/>
        <v>2</v>
      </c>
      <c r="BK41" s="13">
        <f t="shared" si="12"/>
        <v>0</v>
      </c>
      <c r="BL41" s="13">
        <f t="shared" si="12"/>
        <v>0</v>
      </c>
      <c r="BM41" s="13">
        <f t="shared" si="12"/>
        <v>0</v>
      </c>
      <c r="BN41" s="13">
        <f t="shared" si="12"/>
        <v>0</v>
      </c>
      <c r="BO41" s="13">
        <f t="shared" si="12"/>
        <v>0</v>
      </c>
      <c r="BP41" s="13">
        <f t="shared" si="12"/>
        <v>1</v>
      </c>
      <c r="BQ41" s="13">
        <f t="shared" si="11"/>
        <v>17</v>
      </c>
    </row>
    <row r="42" spans="1:69" ht="12.75" customHeight="1" x14ac:dyDescent="0.3">
      <c r="A42" s="51"/>
      <c r="B42" s="52"/>
      <c r="C42" s="52"/>
      <c r="D42" s="53"/>
      <c r="E42" s="61"/>
      <c r="F42" s="46"/>
      <c r="G42" s="46"/>
      <c r="H42" s="46"/>
      <c r="I42" s="47"/>
      <c r="J42" s="15"/>
      <c r="K42" s="15"/>
      <c r="L42" s="15"/>
      <c r="M42" s="15"/>
      <c r="N42" s="41"/>
      <c r="O42" s="15"/>
      <c r="P42" s="15"/>
      <c r="Q42" s="15"/>
      <c r="R42" s="15"/>
      <c r="S42" s="41"/>
      <c r="T42" s="15"/>
      <c r="U42" s="15"/>
      <c r="V42" s="15"/>
      <c r="W42" s="15"/>
      <c r="X42" s="41"/>
      <c r="Y42" s="15"/>
      <c r="Z42" s="15"/>
      <c r="AA42" s="15"/>
      <c r="AB42" s="15"/>
      <c r="AC42" s="41"/>
      <c r="AD42" s="15"/>
      <c r="AE42" s="15"/>
      <c r="AF42" s="15"/>
      <c r="AG42" s="15"/>
      <c r="AH42" s="41"/>
      <c r="AI42" s="15"/>
      <c r="AJ42" s="15"/>
      <c r="AK42" s="15"/>
      <c r="AL42" s="15"/>
      <c r="AM42" s="41"/>
      <c r="AN42" s="15"/>
      <c r="AO42" s="15"/>
      <c r="AP42" s="15"/>
      <c r="AQ42" s="15"/>
      <c r="AR42" s="41"/>
      <c r="AS42" s="15"/>
      <c r="AT42" s="15"/>
      <c r="AU42" s="15"/>
      <c r="AV42" s="15"/>
      <c r="AW42" s="41"/>
      <c r="AX42" s="15"/>
      <c r="AY42" s="15"/>
      <c r="AZ42" s="15"/>
      <c r="BA42" s="15"/>
      <c r="BB42" s="41"/>
      <c r="BC42" s="15"/>
      <c r="BD42" s="15"/>
      <c r="BE42" s="15"/>
      <c r="BF42" s="15"/>
      <c r="BG42" s="41"/>
      <c r="BH42" s="15"/>
      <c r="BI42" s="15"/>
      <c r="BJ42" s="15"/>
      <c r="BK42" s="15"/>
      <c r="BL42" s="41"/>
      <c r="BM42" s="15"/>
      <c r="BN42" s="41"/>
      <c r="BO42" s="15"/>
      <c r="BP42" s="41"/>
      <c r="BQ42" s="13"/>
    </row>
    <row r="43" spans="1:69" ht="12.75" customHeight="1" x14ac:dyDescent="0.3">
      <c r="A43" s="25" t="s">
        <v>34</v>
      </c>
      <c r="B43" s="49" t="s">
        <v>35</v>
      </c>
      <c r="C43" s="46"/>
      <c r="D43" s="47"/>
      <c r="E43" s="18"/>
      <c r="F43" s="13"/>
      <c r="G43" s="13"/>
      <c r="H43" s="13"/>
      <c r="I43" s="13"/>
      <c r="J43" s="13"/>
      <c r="K43" s="13"/>
      <c r="L43" s="13"/>
      <c r="M43" s="13"/>
      <c r="N43" s="43"/>
      <c r="O43" s="13"/>
      <c r="P43" s="13"/>
      <c r="Q43" s="13"/>
      <c r="R43" s="13"/>
      <c r="S43" s="43"/>
      <c r="T43" s="13"/>
      <c r="U43" s="13"/>
      <c r="V43" s="13"/>
      <c r="W43" s="13"/>
      <c r="X43" s="43"/>
      <c r="Y43" s="13"/>
      <c r="Z43" s="13"/>
      <c r="AA43" s="13"/>
      <c r="AB43" s="13"/>
      <c r="AC43" s="43"/>
      <c r="AD43" s="13"/>
      <c r="AE43" s="13"/>
      <c r="AF43" s="13"/>
      <c r="AG43" s="13"/>
      <c r="AH43" s="43"/>
      <c r="AI43" s="13"/>
      <c r="AJ43" s="13"/>
      <c r="AK43" s="13"/>
      <c r="AL43" s="13"/>
      <c r="AM43" s="43"/>
      <c r="AN43" s="13"/>
      <c r="AO43" s="13"/>
      <c r="AP43" s="13"/>
      <c r="AQ43" s="13"/>
      <c r="AR43" s="43"/>
      <c r="AS43" s="13"/>
      <c r="AT43" s="13"/>
      <c r="AU43" s="13"/>
      <c r="AV43" s="13"/>
      <c r="AW43" s="43"/>
      <c r="AX43" s="13"/>
      <c r="AY43" s="13"/>
      <c r="AZ43" s="13"/>
      <c r="BA43" s="13"/>
      <c r="BB43" s="43"/>
      <c r="BC43" s="13"/>
      <c r="BD43" s="13"/>
      <c r="BE43" s="13"/>
      <c r="BF43" s="13"/>
      <c r="BG43" s="43"/>
      <c r="BH43" s="13"/>
      <c r="BI43" s="13"/>
      <c r="BJ43" s="13"/>
      <c r="BK43" s="13"/>
      <c r="BL43" s="43"/>
      <c r="BM43" s="13"/>
      <c r="BN43" s="43"/>
      <c r="BO43" s="13"/>
      <c r="BP43" s="43"/>
      <c r="BQ43" s="13"/>
    </row>
    <row r="44" spans="1:69" ht="12.75" customHeight="1" x14ac:dyDescent="0.3">
      <c r="A44" s="68" t="s">
        <v>36</v>
      </c>
      <c r="B44" s="70"/>
      <c r="C44" s="70"/>
      <c r="D44" s="58"/>
      <c r="E44" s="16"/>
      <c r="F44" s="15"/>
      <c r="G44" s="15"/>
      <c r="H44" s="15"/>
      <c r="I44" s="15"/>
      <c r="J44" s="15"/>
      <c r="K44" s="15"/>
      <c r="L44" s="15"/>
      <c r="M44" s="15"/>
      <c r="N44" s="41"/>
      <c r="O44" s="15"/>
      <c r="P44" s="15"/>
      <c r="Q44" s="15"/>
      <c r="R44" s="15"/>
      <c r="S44" s="41"/>
      <c r="T44" s="15"/>
      <c r="U44" s="15"/>
      <c r="V44" s="15"/>
      <c r="W44" s="15"/>
      <c r="X44" s="41"/>
      <c r="Y44" s="15"/>
      <c r="Z44" s="15"/>
      <c r="AA44" s="15"/>
      <c r="AB44" s="15"/>
      <c r="AC44" s="41"/>
      <c r="AD44" s="15"/>
      <c r="AE44" s="15"/>
      <c r="AF44" s="15"/>
      <c r="AG44" s="15"/>
      <c r="AH44" s="41"/>
      <c r="AI44" s="15"/>
      <c r="AJ44" s="15"/>
      <c r="AK44" s="15"/>
      <c r="AL44" s="15"/>
      <c r="AM44" s="41"/>
      <c r="AN44" s="15"/>
      <c r="AO44" s="15"/>
      <c r="AP44" s="15"/>
      <c r="AQ44" s="15"/>
      <c r="AR44" s="41"/>
      <c r="AS44" s="15"/>
      <c r="AT44" s="15"/>
      <c r="AU44" s="15"/>
      <c r="AV44" s="15"/>
      <c r="AW44" s="41"/>
      <c r="AX44" s="15"/>
      <c r="AY44" s="15"/>
      <c r="AZ44" s="15"/>
      <c r="BA44" s="15"/>
      <c r="BB44" s="41"/>
      <c r="BC44" s="15"/>
      <c r="BD44" s="15"/>
      <c r="BE44" s="15"/>
      <c r="BF44" s="15"/>
      <c r="BG44" s="41"/>
      <c r="BH44" s="15"/>
      <c r="BI44" s="15"/>
      <c r="BJ44" s="15"/>
      <c r="BK44" s="15"/>
      <c r="BL44" s="41"/>
      <c r="BM44" s="15"/>
      <c r="BN44" s="41"/>
      <c r="BO44" s="15"/>
      <c r="BP44" s="41"/>
      <c r="BQ44" s="13"/>
    </row>
    <row r="45" spans="1:69" ht="12.75" customHeight="1" x14ac:dyDescent="0.3">
      <c r="A45" s="19" t="s">
        <v>37</v>
      </c>
      <c r="B45" s="26" t="s">
        <v>17</v>
      </c>
      <c r="C45" s="48" t="s">
        <v>38</v>
      </c>
      <c r="D45" s="47"/>
      <c r="E45" s="15">
        <v>11</v>
      </c>
      <c r="F45" s="15">
        <v>8</v>
      </c>
      <c r="G45" s="15">
        <v>7</v>
      </c>
      <c r="H45" s="15">
        <v>7</v>
      </c>
      <c r="I45" s="15">
        <v>3</v>
      </c>
      <c r="J45" s="15">
        <v>10</v>
      </c>
      <c r="K45" s="15">
        <v>3</v>
      </c>
      <c r="L45" s="15">
        <v>0</v>
      </c>
      <c r="M45" s="15">
        <v>3</v>
      </c>
      <c r="N45" s="15">
        <v>2</v>
      </c>
      <c r="O45" s="15">
        <v>3</v>
      </c>
      <c r="P45" s="15">
        <v>5</v>
      </c>
      <c r="Q45" s="15">
        <v>6</v>
      </c>
      <c r="R45" s="15">
        <v>8</v>
      </c>
      <c r="S45" s="15">
        <v>4</v>
      </c>
      <c r="T45" s="15">
        <v>1</v>
      </c>
      <c r="U45" s="15">
        <v>1</v>
      </c>
      <c r="V45" s="15">
        <v>9</v>
      </c>
      <c r="W45" s="15">
        <v>2</v>
      </c>
      <c r="X45" s="15">
        <v>6</v>
      </c>
      <c r="Y45" s="15">
        <v>4</v>
      </c>
      <c r="Z45" s="15">
        <v>2</v>
      </c>
      <c r="AA45" s="15">
        <v>2</v>
      </c>
      <c r="AB45" s="15">
        <v>4</v>
      </c>
      <c r="AC45" s="15">
        <v>0</v>
      </c>
      <c r="AD45" s="15">
        <v>4</v>
      </c>
      <c r="AE45" s="15">
        <v>1</v>
      </c>
      <c r="AF45" s="15">
        <v>2</v>
      </c>
      <c r="AG45" s="15">
        <v>3</v>
      </c>
      <c r="AH45" s="15">
        <v>4</v>
      </c>
      <c r="AI45" s="15">
        <v>9</v>
      </c>
      <c r="AJ45" s="15">
        <v>9</v>
      </c>
      <c r="AK45" s="15">
        <v>3</v>
      </c>
      <c r="AL45" s="15">
        <v>4</v>
      </c>
      <c r="AM45" s="15">
        <v>3</v>
      </c>
      <c r="AN45" s="15">
        <v>3</v>
      </c>
      <c r="AO45" s="15">
        <v>6</v>
      </c>
      <c r="AP45" s="15">
        <v>5</v>
      </c>
      <c r="AQ45" s="15">
        <v>3</v>
      </c>
      <c r="AR45" s="15">
        <v>10</v>
      </c>
      <c r="AS45" s="15">
        <v>11</v>
      </c>
      <c r="AT45" s="15">
        <v>7</v>
      </c>
      <c r="AU45" s="15">
        <v>19</v>
      </c>
      <c r="AV45" s="15">
        <v>5</v>
      </c>
      <c r="AW45" s="15">
        <v>2</v>
      </c>
      <c r="AX45" s="15">
        <v>6</v>
      </c>
      <c r="AY45" s="15">
        <v>0</v>
      </c>
      <c r="AZ45" s="15">
        <v>13</v>
      </c>
      <c r="BA45" s="15">
        <v>4</v>
      </c>
      <c r="BB45" s="15">
        <v>2</v>
      </c>
      <c r="BC45" s="15">
        <v>6</v>
      </c>
      <c r="BD45" s="15">
        <v>12</v>
      </c>
      <c r="BE45" s="15">
        <v>9</v>
      </c>
      <c r="BF45" s="15">
        <v>15</v>
      </c>
      <c r="BG45" s="15">
        <v>7</v>
      </c>
      <c r="BH45" s="15">
        <v>9</v>
      </c>
      <c r="BI45" s="15">
        <v>3</v>
      </c>
      <c r="BJ45" s="15">
        <v>5</v>
      </c>
      <c r="BK45" s="15">
        <v>9</v>
      </c>
      <c r="BL45" s="15">
        <v>9</v>
      </c>
      <c r="BM45" s="15">
        <v>7</v>
      </c>
      <c r="BN45" s="15">
        <v>2</v>
      </c>
      <c r="BO45" s="15">
        <v>6</v>
      </c>
      <c r="BP45" s="15">
        <v>3</v>
      </c>
      <c r="BQ45" s="13">
        <f>SUM(E45:BP45)</f>
        <v>351</v>
      </c>
    </row>
    <row r="46" spans="1:69" ht="12.75" customHeight="1" x14ac:dyDescent="0.3">
      <c r="A46" s="19" t="s">
        <v>39</v>
      </c>
      <c r="B46" s="27"/>
      <c r="C46" s="28" t="s">
        <v>40</v>
      </c>
      <c r="D46" s="29"/>
      <c r="E46" s="15">
        <v>17</v>
      </c>
      <c r="F46" s="15">
        <v>17</v>
      </c>
      <c r="G46" s="15">
        <v>14</v>
      </c>
      <c r="H46" s="15">
        <v>3</v>
      </c>
      <c r="I46" s="15">
        <v>3</v>
      </c>
      <c r="J46" s="15">
        <v>6</v>
      </c>
      <c r="K46" s="15">
        <v>0</v>
      </c>
      <c r="L46" s="15">
        <v>4</v>
      </c>
      <c r="M46" s="15">
        <v>2</v>
      </c>
      <c r="N46" s="15">
        <v>1</v>
      </c>
      <c r="O46" s="15">
        <v>5</v>
      </c>
      <c r="P46" s="15">
        <v>6</v>
      </c>
      <c r="Q46" s="15">
        <v>2</v>
      </c>
      <c r="R46" s="15">
        <v>6</v>
      </c>
      <c r="S46" s="15">
        <v>3</v>
      </c>
      <c r="T46" s="15">
        <v>2</v>
      </c>
      <c r="U46" s="15">
        <v>2</v>
      </c>
      <c r="V46" s="15">
        <v>4</v>
      </c>
      <c r="W46" s="15">
        <v>2</v>
      </c>
      <c r="X46" s="15">
        <v>2</v>
      </c>
      <c r="Y46" s="15">
        <v>4</v>
      </c>
      <c r="Z46" s="15">
        <v>1</v>
      </c>
      <c r="AA46" s="15">
        <v>2</v>
      </c>
      <c r="AB46" s="15">
        <v>3</v>
      </c>
      <c r="AC46" s="15">
        <v>1</v>
      </c>
      <c r="AD46" s="15">
        <v>3</v>
      </c>
      <c r="AE46" s="15">
        <v>1</v>
      </c>
      <c r="AF46" s="15">
        <v>1</v>
      </c>
      <c r="AG46" s="15">
        <v>1</v>
      </c>
      <c r="AH46" s="15">
        <v>4</v>
      </c>
      <c r="AI46" s="15">
        <v>4</v>
      </c>
      <c r="AJ46" s="15">
        <v>12</v>
      </c>
      <c r="AK46" s="15">
        <v>3</v>
      </c>
      <c r="AL46" s="15">
        <v>7</v>
      </c>
      <c r="AM46" s="15">
        <v>3</v>
      </c>
      <c r="AN46" s="15">
        <v>0</v>
      </c>
      <c r="AO46" s="15">
        <v>5</v>
      </c>
      <c r="AP46" s="15">
        <v>3</v>
      </c>
      <c r="AQ46" s="15">
        <v>3</v>
      </c>
      <c r="AR46" s="15">
        <v>0</v>
      </c>
      <c r="AS46" s="15">
        <v>32</v>
      </c>
      <c r="AT46" s="15">
        <v>6</v>
      </c>
      <c r="AU46" s="15">
        <v>59</v>
      </c>
      <c r="AV46" s="15">
        <v>4</v>
      </c>
      <c r="AW46" s="15">
        <v>2</v>
      </c>
      <c r="AX46" s="15">
        <v>17</v>
      </c>
      <c r="AY46" s="15">
        <v>7</v>
      </c>
      <c r="AZ46" s="15">
        <v>4</v>
      </c>
      <c r="BA46" s="15">
        <v>3</v>
      </c>
      <c r="BB46" s="15">
        <v>2</v>
      </c>
      <c r="BC46" s="15">
        <v>4</v>
      </c>
      <c r="BD46" s="15">
        <v>75</v>
      </c>
      <c r="BE46" s="15">
        <v>44</v>
      </c>
      <c r="BF46" s="15">
        <v>45</v>
      </c>
      <c r="BG46" s="15">
        <v>8</v>
      </c>
      <c r="BH46" s="15">
        <v>23</v>
      </c>
      <c r="BI46" s="15">
        <v>6</v>
      </c>
      <c r="BJ46" s="15">
        <v>7</v>
      </c>
      <c r="BK46" s="15">
        <v>3</v>
      </c>
      <c r="BL46" s="15">
        <v>26</v>
      </c>
      <c r="BM46" s="15">
        <v>21</v>
      </c>
      <c r="BN46" s="15">
        <v>1</v>
      </c>
      <c r="BO46" s="15">
        <v>5</v>
      </c>
      <c r="BP46" s="15">
        <v>1</v>
      </c>
      <c r="BQ46" s="13">
        <f t="shared" ref="BQ46:BQ192" si="13">SUM(E46:BP46)</f>
        <v>567</v>
      </c>
    </row>
    <row r="47" spans="1:69" ht="12.75" customHeight="1" x14ac:dyDescent="0.3">
      <c r="A47" s="14"/>
      <c r="B47" s="27"/>
      <c r="C47" s="28" t="s">
        <v>41</v>
      </c>
      <c r="D47" s="29"/>
      <c r="E47" s="15">
        <v>1</v>
      </c>
      <c r="F47" s="15">
        <v>0</v>
      </c>
      <c r="G47" s="15">
        <v>4</v>
      </c>
      <c r="H47" s="15">
        <v>1</v>
      </c>
      <c r="I47" s="15">
        <v>0</v>
      </c>
      <c r="J47" s="15">
        <v>0</v>
      </c>
      <c r="K47" s="15">
        <v>4</v>
      </c>
      <c r="L47" s="15">
        <v>1</v>
      </c>
      <c r="M47" s="15">
        <v>0</v>
      </c>
      <c r="N47" s="15">
        <v>12</v>
      </c>
      <c r="O47" s="15">
        <v>2</v>
      </c>
      <c r="P47" s="15">
        <v>5</v>
      </c>
      <c r="Q47" s="15">
        <v>4</v>
      </c>
      <c r="R47" s="15">
        <v>1</v>
      </c>
      <c r="S47" s="15">
        <v>1</v>
      </c>
      <c r="T47" s="15">
        <v>1</v>
      </c>
      <c r="U47" s="15">
        <v>0</v>
      </c>
      <c r="V47" s="15">
        <v>2</v>
      </c>
      <c r="W47" s="15">
        <v>0</v>
      </c>
      <c r="X47" s="15">
        <v>1</v>
      </c>
      <c r="Y47" s="15">
        <v>0</v>
      </c>
      <c r="Z47" s="15">
        <v>0</v>
      </c>
      <c r="AA47" s="15">
        <v>2</v>
      </c>
      <c r="AB47" s="15">
        <v>1</v>
      </c>
      <c r="AC47" s="15">
        <v>0</v>
      </c>
      <c r="AD47" s="15">
        <v>1</v>
      </c>
      <c r="AE47" s="15">
        <v>2</v>
      </c>
      <c r="AF47" s="15">
        <v>0</v>
      </c>
      <c r="AG47" s="15">
        <v>2</v>
      </c>
      <c r="AH47" s="15">
        <v>2</v>
      </c>
      <c r="AI47" s="15">
        <v>2</v>
      </c>
      <c r="AJ47" s="15">
        <v>2</v>
      </c>
      <c r="AK47" s="15">
        <v>2</v>
      </c>
      <c r="AL47" s="15">
        <v>1</v>
      </c>
      <c r="AM47" s="15">
        <v>4</v>
      </c>
      <c r="AN47" s="15">
        <v>1</v>
      </c>
      <c r="AO47" s="15">
        <v>3</v>
      </c>
      <c r="AP47" s="15">
        <v>5</v>
      </c>
      <c r="AQ47" s="15">
        <v>4</v>
      </c>
      <c r="AR47" s="15">
        <v>2</v>
      </c>
      <c r="AS47" s="15">
        <v>4</v>
      </c>
      <c r="AT47" s="15">
        <v>7</v>
      </c>
      <c r="AU47" s="15">
        <v>0</v>
      </c>
      <c r="AV47" s="15">
        <v>0</v>
      </c>
      <c r="AW47" s="15">
        <v>1</v>
      </c>
      <c r="AX47" s="15">
        <v>0</v>
      </c>
      <c r="AY47" s="15">
        <v>2</v>
      </c>
      <c r="AZ47" s="15">
        <v>1</v>
      </c>
      <c r="BA47" s="15">
        <v>3</v>
      </c>
      <c r="BB47" s="15">
        <v>1</v>
      </c>
      <c r="BC47" s="15">
        <v>2</v>
      </c>
      <c r="BD47" s="15">
        <v>6</v>
      </c>
      <c r="BE47" s="15">
        <v>2</v>
      </c>
      <c r="BF47" s="15">
        <v>2</v>
      </c>
      <c r="BG47" s="15">
        <v>2</v>
      </c>
      <c r="BH47" s="15">
        <v>1</v>
      </c>
      <c r="BI47" s="15">
        <v>1</v>
      </c>
      <c r="BJ47" s="15">
        <v>2</v>
      </c>
      <c r="BK47" s="15">
        <v>0</v>
      </c>
      <c r="BL47" s="15">
        <v>4</v>
      </c>
      <c r="BM47" s="15">
        <v>2</v>
      </c>
      <c r="BN47" s="15">
        <v>2</v>
      </c>
      <c r="BO47" s="15">
        <v>1</v>
      </c>
      <c r="BP47" s="15">
        <v>0</v>
      </c>
      <c r="BQ47" s="13">
        <f t="shared" si="13"/>
        <v>122</v>
      </c>
    </row>
    <row r="48" spans="1:69" ht="12.75" customHeight="1" x14ac:dyDescent="0.3">
      <c r="A48" s="14"/>
      <c r="B48" s="27"/>
      <c r="C48" s="28" t="s">
        <v>42</v>
      </c>
      <c r="D48" s="29"/>
      <c r="E48" s="15">
        <v>0</v>
      </c>
      <c r="F48" s="15">
        <v>2</v>
      </c>
      <c r="G48" s="15">
        <v>2</v>
      </c>
      <c r="H48" s="15">
        <v>0</v>
      </c>
      <c r="I48" s="15">
        <v>0</v>
      </c>
      <c r="J48" s="15">
        <v>1</v>
      </c>
      <c r="K48" s="15">
        <v>10</v>
      </c>
      <c r="L48" s="15">
        <v>8</v>
      </c>
      <c r="M48" s="15">
        <v>7</v>
      </c>
      <c r="N48" s="15">
        <v>13</v>
      </c>
      <c r="O48" s="15">
        <v>1</v>
      </c>
      <c r="P48" s="15">
        <v>28</v>
      </c>
      <c r="Q48" s="15">
        <v>30</v>
      </c>
      <c r="R48" s="15">
        <v>27</v>
      </c>
      <c r="S48" s="15">
        <v>24</v>
      </c>
      <c r="T48" s="15">
        <v>3</v>
      </c>
      <c r="U48" s="15">
        <v>0</v>
      </c>
      <c r="V48" s="15">
        <v>17</v>
      </c>
      <c r="W48" s="15">
        <v>1</v>
      </c>
      <c r="X48" s="15">
        <v>3</v>
      </c>
      <c r="Y48" s="15">
        <v>5</v>
      </c>
      <c r="Z48" s="15">
        <v>4</v>
      </c>
      <c r="AA48" s="15">
        <v>9</v>
      </c>
      <c r="AB48" s="15">
        <v>11</v>
      </c>
      <c r="AC48" s="15">
        <v>5</v>
      </c>
      <c r="AD48" s="15">
        <v>1</v>
      </c>
      <c r="AE48" s="15">
        <v>2</v>
      </c>
      <c r="AF48" s="15">
        <v>0</v>
      </c>
      <c r="AG48" s="15">
        <v>0</v>
      </c>
      <c r="AH48" s="15">
        <v>6</v>
      </c>
      <c r="AI48" s="15">
        <v>14</v>
      </c>
      <c r="AJ48" s="15">
        <v>2</v>
      </c>
      <c r="AK48" s="15">
        <v>3</v>
      </c>
      <c r="AL48" s="15">
        <v>5</v>
      </c>
      <c r="AM48" s="15">
        <v>0</v>
      </c>
      <c r="AN48" s="15">
        <v>7</v>
      </c>
      <c r="AO48" s="15">
        <v>6</v>
      </c>
      <c r="AP48" s="15">
        <v>0</v>
      </c>
      <c r="AQ48" s="15">
        <v>1</v>
      </c>
      <c r="AR48" s="15">
        <v>8</v>
      </c>
      <c r="AS48" s="15">
        <v>0</v>
      </c>
      <c r="AT48" s="15">
        <v>4</v>
      </c>
      <c r="AU48" s="15">
        <v>2</v>
      </c>
      <c r="AV48" s="15">
        <v>2</v>
      </c>
      <c r="AW48" s="15">
        <v>1</v>
      </c>
      <c r="AX48" s="15">
        <v>0</v>
      </c>
      <c r="AY48" s="15">
        <v>0</v>
      </c>
      <c r="AZ48" s="15">
        <v>0</v>
      </c>
      <c r="BA48" s="15">
        <v>3</v>
      </c>
      <c r="BB48" s="15">
        <v>1</v>
      </c>
      <c r="BC48" s="15">
        <v>1</v>
      </c>
      <c r="BD48" s="15">
        <v>3</v>
      </c>
      <c r="BE48" s="15">
        <v>5</v>
      </c>
      <c r="BF48" s="15">
        <v>3</v>
      </c>
      <c r="BG48" s="15">
        <v>0</v>
      </c>
      <c r="BH48" s="15">
        <v>8</v>
      </c>
      <c r="BI48" s="15">
        <v>3</v>
      </c>
      <c r="BJ48" s="15">
        <v>4</v>
      </c>
      <c r="BK48" s="15">
        <v>4</v>
      </c>
      <c r="BL48" s="15">
        <v>2</v>
      </c>
      <c r="BM48" s="15">
        <v>1</v>
      </c>
      <c r="BN48" s="15">
        <v>2</v>
      </c>
      <c r="BO48" s="15">
        <v>1</v>
      </c>
      <c r="BP48" s="15">
        <v>4</v>
      </c>
      <c r="BQ48" s="13">
        <f t="shared" si="13"/>
        <v>320</v>
      </c>
    </row>
    <row r="49" spans="1:69" ht="12.75" customHeight="1" x14ac:dyDescent="0.3">
      <c r="A49" s="14"/>
      <c r="B49" s="27"/>
      <c r="C49" s="28" t="s">
        <v>43</v>
      </c>
      <c r="D49" s="29"/>
      <c r="E49" s="15">
        <v>1</v>
      </c>
      <c r="F49" s="15">
        <v>0</v>
      </c>
      <c r="G49" s="15">
        <v>4</v>
      </c>
      <c r="H49" s="15">
        <v>0</v>
      </c>
      <c r="I49" s="15">
        <v>4</v>
      </c>
      <c r="J49" s="15">
        <v>0</v>
      </c>
      <c r="K49" s="15">
        <v>0</v>
      </c>
      <c r="L49" s="15">
        <v>1</v>
      </c>
      <c r="M49" s="15">
        <v>0</v>
      </c>
      <c r="N49" s="15">
        <v>4</v>
      </c>
      <c r="O49" s="15">
        <v>2</v>
      </c>
      <c r="P49" s="15">
        <v>8</v>
      </c>
      <c r="Q49" s="15">
        <v>2</v>
      </c>
      <c r="R49" s="15">
        <v>1</v>
      </c>
      <c r="S49" s="15">
        <v>0</v>
      </c>
      <c r="T49" s="15">
        <v>0</v>
      </c>
      <c r="U49" s="15">
        <v>1</v>
      </c>
      <c r="V49" s="15">
        <v>1</v>
      </c>
      <c r="W49" s="15">
        <v>2</v>
      </c>
      <c r="X49" s="15">
        <v>0</v>
      </c>
      <c r="Y49" s="15">
        <v>0</v>
      </c>
      <c r="Z49" s="15">
        <v>1</v>
      </c>
      <c r="AA49" s="15">
        <v>0</v>
      </c>
      <c r="AB49" s="15">
        <v>0</v>
      </c>
      <c r="AC49" s="15">
        <v>2</v>
      </c>
      <c r="AD49" s="15">
        <v>0</v>
      </c>
      <c r="AE49" s="15">
        <v>2</v>
      </c>
      <c r="AF49" s="15">
        <v>1</v>
      </c>
      <c r="AG49" s="15">
        <v>1</v>
      </c>
      <c r="AH49" s="15">
        <v>3</v>
      </c>
      <c r="AI49" s="15">
        <v>0</v>
      </c>
      <c r="AJ49" s="15">
        <v>4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2</v>
      </c>
      <c r="AV49" s="15">
        <v>1</v>
      </c>
      <c r="AW49" s="15">
        <v>1</v>
      </c>
      <c r="AX49" s="15">
        <v>0</v>
      </c>
      <c r="AY49" s="15">
        <v>1</v>
      </c>
      <c r="AZ49" s="15">
        <v>0</v>
      </c>
      <c r="BA49" s="15">
        <v>7</v>
      </c>
      <c r="BB49" s="15">
        <v>0</v>
      </c>
      <c r="BC49" s="15">
        <v>2</v>
      </c>
      <c r="BD49" s="15">
        <v>1</v>
      </c>
      <c r="BE49" s="15">
        <v>7</v>
      </c>
      <c r="BF49" s="15">
        <v>0</v>
      </c>
      <c r="BG49" s="15">
        <v>1</v>
      </c>
      <c r="BH49" s="15">
        <v>0</v>
      </c>
      <c r="BI49" s="15">
        <v>1</v>
      </c>
      <c r="BJ49" s="15">
        <v>3</v>
      </c>
      <c r="BK49" s="15">
        <v>1</v>
      </c>
      <c r="BL49" s="15">
        <v>4</v>
      </c>
      <c r="BM49" s="15">
        <v>3</v>
      </c>
      <c r="BN49" s="15">
        <v>0</v>
      </c>
      <c r="BO49" s="15">
        <v>1</v>
      </c>
      <c r="BP49" s="15">
        <v>2</v>
      </c>
      <c r="BQ49" s="13">
        <f t="shared" si="13"/>
        <v>83</v>
      </c>
    </row>
    <row r="50" spans="1:69" ht="12.75" customHeight="1" x14ac:dyDescent="0.3">
      <c r="A50" s="14"/>
      <c r="B50" s="27"/>
      <c r="C50" s="28" t="s">
        <v>44</v>
      </c>
      <c r="D50" s="29"/>
      <c r="E50" s="15">
        <v>0</v>
      </c>
      <c r="F50" s="15">
        <v>0</v>
      </c>
      <c r="G50" s="15">
        <v>0</v>
      </c>
      <c r="H50" s="15">
        <v>0</v>
      </c>
      <c r="I50" s="15">
        <v>1</v>
      </c>
      <c r="J50" s="15">
        <v>0</v>
      </c>
      <c r="K50" s="15">
        <v>0</v>
      </c>
      <c r="L50" s="15">
        <v>0</v>
      </c>
      <c r="M50" s="15">
        <v>0</v>
      </c>
      <c r="N50" s="15">
        <v>1</v>
      </c>
      <c r="O50" s="15">
        <v>0</v>
      </c>
      <c r="P50" s="15">
        <v>0</v>
      </c>
      <c r="Q50" s="15">
        <v>1</v>
      </c>
      <c r="R50" s="15">
        <v>1</v>
      </c>
      <c r="S50" s="15">
        <v>1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1</v>
      </c>
      <c r="AI50" s="15">
        <v>0</v>
      </c>
      <c r="AJ50" s="15">
        <v>1</v>
      </c>
      <c r="AK50" s="15">
        <v>0</v>
      </c>
      <c r="AL50" s="15">
        <v>1</v>
      </c>
      <c r="AM50" s="15">
        <v>0</v>
      </c>
      <c r="AN50" s="15">
        <v>0</v>
      </c>
      <c r="AO50" s="15">
        <v>0</v>
      </c>
      <c r="AP50" s="15">
        <v>1</v>
      </c>
      <c r="AQ50" s="15">
        <v>0</v>
      </c>
      <c r="AR50" s="15">
        <v>2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1</v>
      </c>
      <c r="AZ50" s="15">
        <v>0</v>
      </c>
      <c r="BA50" s="15">
        <v>0</v>
      </c>
      <c r="BB50" s="15">
        <v>1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1</v>
      </c>
      <c r="BK50" s="15">
        <v>0</v>
      </c>
      <c r="BL50" s="15">
        <v>0</v>
      </c>
      <c r="BM50" s="15">
        <v>0</v>
      </c>
      <c r="BN50" s="15">
        <v>0</v>
      </c>
      <c r="BO50" s="15">
        <v>1</v>
      </c>
      <c r="BP50" s="15">
        <v>1</v>
      </c>
      <c r="BQ50" s="13">
        <f t="shared" si="13"/>
        <v>16</v>
      </c>
    </row>
    <row r="51" spans="1:69" ht="12.75" customHeight="1" x14ac:dyDescent="0.3">
      <c r="A51" s="14"/>
      <c r="B51" s="27"/>
      <c r="C51" s="28" t="s">
        <v>45</v>
      </c>
      <c r="D51" s="29"/>
      <c r="E51" s="15">
        <v>0</v>
      </c>
      <c r="F51" s="15">
        <v>0</v>
      </c>
      <c r="G51" s="15">
        <v>0</v>
      </c>
      <c r="H51" s="15">
        <v>1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1</v>
      </c>
      <c r="AH51" s="15">
        <v>0</v>
      </c>
      <c r="AI51" s="15">
        <v>0</v>
      </c>
      <c r="AJ51" s="15">
        <v>2</v>
      </c>
      <c r="AK51" s="15">
        <v>1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1</v>
      </c>
      <c r="BN51" s="15">
        <v>0</v>
      </c>
      <c r="BO51" s="15">
        <v>1</v>
      </c>
      <c r="BP51" s="15">
        <v>0</v>
      </c>
      <c r="BQ51" s="13">
        <f t="shared" si="13"/>
        <v>7</v>
      </c>
    </row>
    <row r="52" spans="1:69" ht="12.75" customHeight="1" x14ac:dyDescent="0.3">
      <c r="A52" s="14"/>
      <c r="B52" s="27"/>
      <c r="C52" s="28" t="s">
        <v>46</v>
      </c>
      <c r="D52" s="29"/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2</v>
      </c>
      <c r="W52" s="15">
        <v>5</v>
      </c>
      <c r="X52" s="15">
        <v>9</v>
      </c>
      <c r="Y52" s="15">
        <v>0</v>
      </c>
      <c r="Z52" s="15">
        <v>2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/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3">
        <f t="shared" si="13"/>
        <v>18</v>
      </c>
    </row>
    <row r="53" spans="1:69" ht="12.75" customHeight="1" x14ac:dyDescent="0.3">
      <c r="A53" s="15" t="s">
        <v>15</v>
      </c>
      <c r="B53" s="45" t="s">
        <v>47</v>
      </c>
      <c r="C53" s="46"/>
      <c r="D53" s="47"/>
      <c r="E53" s="34">
        <f>SUM(E45:E52)</f>
        <v>30</v>
      </c>
      <c r="F53" s="34">
        <f t="shared" ref="F53:BP53" si="14">SUM(F45:F52)</f>
        <v>27</v>
      </c>
      <c r="G53" s="34">
        <f t="shared" si="14"/>
        <v>31</v>
      </c>
      <c r="H53" s="34">
        <f t="shared" si="14"/>
        <v>12</v>
      </c>
      <c r="I53" s="34">
        <f t="shared" si="14"/>
        <v>11</v>
      </c>
      <c r="J53" s="34">
        <f t="shared" si="14"/>
        <v>17</v>
      </c>
      <c r="K53" s="34">
        <f t="shared" si="14"/>
        <v>17</v>
      </c>
      <c r="L53" s="34">
        <f t="shared" si="14"/>
        <v>14</v>
      </c>
      <c r="M53" s="34">
        <f t="shared" si="14"/>
        <v>12</v>
      </c>
      <c r="N53" s="34">
        <f t="shared" si="14"/>
        <v>33</v>
      </c>
      <c r="O53" s="34">
        <f t="shared" si="14"/>
        <v>13</v>
      </c>
      <c r="P53" s="34">
        <f t="shared" si="14"/>
        <v>52</v>
      </c>
      <c r="Q53" s="34">
        <f t="shared" si="14"/>
        <v>45</v>
      </c>
      <c r="R53" s="34">
        <f t="shared" si="14"/>
        <v>44</v>
      </c>
      <c r="S53" s="34">
        <f t="shared" si="14"/>
        <v>33</v>
      </c>
      <c r="T53" s="34">
        <f t="shared" si="14"/>
        <v>7</v>
      </c>
      <c r="U53" s="34">
        <f t="shared" si="14"/>
        <v>4</v>
      </c>
      <c r="V53" s="34">
        <f t="shared" si="14"/>
        <v>35</v>
      </c>
      <c r="W53" s="34">
        <f t="shared" si="14"/>
        <v>12</v>
      </c>
      <c r="X53" s="34">
        <f t="shared" si="14"/>
        <v>21</v>
      </c>
      <c r="Y53" s="34">
        <f t="shared" si="14"/>
        <v>13</v>
      </c>
      <c r="Z53" s="34">
        <f t="shared" si="14"/>
        <v>10</v>
      </c>
      <c r="AA53" s="34">
        <f t="shared" si="14"/>
        <v>15</v>
      </c>
      <c r="AB53" s="34">
        <f t="shared" si="14"/>
        <v>19</v>
      </c>
      <c r="AC53" s="34">
        <f t="shared" si="14"/>
        <v>8</v>
      </c>
      <c r="AD53" s="34">
        <f t="shared" si="14"/>
        <v>9</v>
      </c>
      <c r="AE53" s="34">
        <f t="shared" si="14"/>
        <v>8</v>
      </c>
      <c r="AF53" s="34">
        <f t="shared" si="14"/>
        <v>4</v>
      </c>
      <c r="AG53" s="34">
        <f t="shared" si="14"/>
        <v>8</v>
      </c>
      <c r="AH53" s="34">
        <f t="shared" si="14"/>
        <v>20</v>
      </c>
      <c r="AI53" s="34">
        <f t="shared" si="14"/>
        <v>29</v>
      </c>
      <c r="AJ53" s="34">
        <f t="shared" si="14"/>
        <v>32</v>
      </c>
      <c r="AK53" s="34">
        <f t="shared" si="14"/>
        <v>12</v>
      </c>
      <c r="AL53" s="34">
        <f t="shared" si="14"/>
        <v>18</v>
      </c>
      <c r="AM53" s="34">
        <f t="shared" si="14"/>
        <v>10</v>
      </c>
      <c r="AN53" s="34">
        <f t="shared" si="14"/>
        <v>11</v>
      </c>
      <c r="AO53" s="34">
        <f t="shared" si="14"/>
        <v>20</v>
      </c>
      <c r="AP53" s="34">
        <f t="shared" si="14"/>
        <v>14</v>
      </c>
      <c r="AQ53" s="34">
        <f t="shared" si="14"/>
        <v>11</v>
      </c>
      <c r="AR53" s="34">
        <f t="shared" si="14"/>
        <v>22</v>
      </c>
      <c r="AS53" s="34">
        <f t="shared" si="14"/>
        <v>47</v>
      </c>
      <c r="AT53" s="34">
        <f t="shared" si="14"/>
        <v>24</v>
      </c>
      <c r="AU53" s="34">
        <f t="shared" si="14"/>
        <v>82</v>
      </c>
      <c r="AV53" s="34">
        <f t="shared" si="14"/>
        <v>12</v>
      </c>
      <c r="AW53" s="34">
        <f t="shared" si="14"/>
        <v>7</v>
      </c>
      <c r="AX53" s="34">
        <f t="shared" si="14"/>
        <v>23</v>
      </c>
      <c r="AY53" s="34">
        <f t="shared" si="14"/>
        <v>11</v>
      </c>
      <c r="AZ53" s="34">
        <f t="shared" si="14"/>
        <v>18</v>
      </c>
      <c r="BA53" s="34">
        <f t="shared" si="14"/>
        <v>20</v>
      </c>
      <c r="BB53" s="34">
        <f t="shared" si="14"/>
        <v>7</v>
      </c>
      <c r="BC53" s="34">
        <f t="shared" si="14"/>
        <v>15</v>
      </c>
      <c r="BD53" s="34">
        <f t="shared" si="14"/>
        <v>97</v>
      </c>
      <c r="BE53" s="34">
        <f t="shared" si="14"/>
        <v>67</v>
      </c>
      <c r="BF53" s="34">
        <f t="shared" si="14"/>
        <v>65</v>
      </c>
      <c r="BG53" s="34">
        <f t="shared" si="14"/>
        <v>18</v>
      </c>
      <c r="BH53" s="34">
        <f t="shared" si="14"/>
        <v>41</v>
      </c>
      <c r="BI53" s="34">
        <f t="shared" si="14"/>
        <v>14</v>
      </c>
      <c r="BJ53" s="34">
        <f t="shared" si="14"/>
        <v>22</v>
      </c>
      <c r="BK53" s="34">
        <f t="shared" si="14"/>
        <v>17</v>
      </c>
      <c r="BL53" s="34">
        <f t="shared" si="14"/>
        <v>45</v>
      </c>
      <c r="BM53" s="34">
        <f t="shared" si="14"/>
        <v>35</v>
      </c>
      <c r="BN53" s="34">
        <f t="shared" si="14"/>
        <v>7</v>
      </c>
      <c r="BO53" s="34">
        <f t="shared" si="14"/>
        <v>16</v>
      </c>
      <c r="BP53" s="34">
        <f t="shared" si="14"/>
        <v>11</v>
      </c>
      <c r="BQ53" s="13">
        <f t="shared" si="13"/>
        <v>1484</v>
      </c>
    </row>
    <row r="54" spans="1:69" ht="12.75" customHeight="1" x14ac:dyDescent="0.3">
      <c r="A54" s="35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13">
        <f t="shared" si="13"/>
        <v>0</v>
      </c>
    </row>
    <row r="55" spans="1:69" ht="15" customHeight="1" x14ac:dyDescent="0.3">
      <c r="A55" s="19" t="s">
        <v>37</v>
      </c>
      <c r="B55" s="26" t="s">
        <v>19</v>
      </c>
      <c r="C55" s="48" t="s">
        <v>48</v>
      </c>
      <c r="D55" s="47"/>
      <c r="E55" s="15">
        <v>16</v>
      </c>
      <c r="F55" s="15">
        <v>15</v>
      </c>
      <c r="G55" s="15">
        <v>15</v>
      </c>
      <c r="H55" s="15">
        <v>14</v>
      </c>
      <c r="I55" s="15">
        <v>11</v>
      </c>
      <c r="J55" s="15">
        <v>15</v>
      </c>
      <c r="K55" s="15">
        <v>13</v>
      </c>
      <c r="L55" s="15">
        <v>9</v>
      </c>
      <c r="M55" s="15">
        <v>7</v>
      </c>
      <c r="N55" s="15">
        <v>7</v>
      </c>
      <c r="O55" s="15">
        <v>6</v>
      </c>
      <c r="P55" s="15">
        <v>8</v>
      </c>
      <c r="Q55" s="15">
        <v>11</v>
      </c>
      <c r="R55" s="15">
        <v>3</v>
      </c>
      <c r="S55" s="15">
        <v>3</v>
      </c>
      <c r="T55" s="15">
        <v>3</v>
      </c>
      <c r="U55" s="15">
        <v>9</v>
      </c>
      <c r="V55" s="15">
        <v>11</v>
      </c>
      <c r="W55" s="15">
        <v>9</v>
      </c>
      <c r="X55" s="15">
        <v>4</v>
      </c>
      <c r="Y55" s="15">
        <v>8</v>
      </c>
      <c r="Z55" s="15">
        <v>5</v>
      </c>
      <c r="AA55" s="15">
        <v>6</v>
      </c>
      <c r="AB55" s="15">
        <v>4</v>
      </c>
      <c r="AC55" s="15">
        <v>3</v>
      </c>
      <c r="AD55" s="15">
        <v>4</v>
      </c>
      <c r="AE55" s="15">
        <v>4</v>
      </c>
      <c r="AF55" s="15">
        <v>2</v>
      </c>
      <c r="AG55" s="15">
        <v>3</v>
      </c>
      <c r="AH55" s="15">
        <v>11</v>
      </c>
      <c r="AI55" s="15">
        <v>11</v>
      </c>
      <c r="AJ55" s="15">
        <v>5</v>
      </c>
      <c r="AK55" s="15">
        <v>6</v>
      </c>
      <c r="AL55" s="15">
        <v>10</v>
      </c>
      <c r="AM55" s="15">
        <v>23</v>
      </c>
      <c r="AN55" s="15">
        <v>12</v>
      </c>
      <c r="AO55" s="15">
        <v>8</v>
      </c>
      <c r="AP55" s="15">
        <v>3</v>
      </c>
      <c r="AQ55" s="15">
        <v>3</v>
      </c>
      <c r="AR55" s="15">
        <v>6</v>
      </c>
      <c r="AS55" s="15">
        <v>4</v>
      </c>
      <c r="AT55" s="15">
        <v>5</v>
      </c>
      <c r="AU55" s="15">
        <v>1</v>
      </c>
      <c r="AV55" s="15">
        <v>3</v>
      </c>
      <c r="AW55" s="15">
        <v>7</v>
      </c>
      <c r="AX55" s="15">
        <v>5</v>
      </c>
      <c r="AY55" s="15">
        <v>6</v>
      </c>
      <c r="AZ55" s="15">
        <v>10</v>
      </c>
      <c r="BA55" s="15">
        <v>15</v>
      </c>
      <c r="BB55" s="15">
        <v>6</v>
      </c>
      <c r="BC55" s="15">
        <v>5</v>
      </c>
      <c r="BD55" s="15">
        <v>5</v>
      </c>
      <c r="BE55" s="15">
        <v>8</v>
      </c>
      <c r="BF55" s="15">
        <v>4</v>
      </c>
      <c r="BG55" s="15">
        <v>11</v>
      </c>
      <c r="BH55" s="15">
        <v>7</v>
      </c>
      <c r="BI55" s="15">
        <v>11</v>
      </c>
      <c r="BJ55" s="15">
        <v>4</v>
      </c>
      <c r="BK55" s="15">
        <v>9</v>
      </c>
      <c r="BL55" s="15">
        <v>12</v>
      </c>
      <c r="BM55" s="15">
        <v>12</v>
      </c>
      <c r="BN55" s="15">
        <v>8</v>
      </c>
      <c r="BO55" s="15">
        <v>6</v>
      </c>
      <c r="BP55" s="15">
        <v>6</v>
      </c>
      <c r="BQ55" s="13">
        <f>SUM(E55:BP55)</f>
        <v>496</v>
      </c>
    </row>
    <row r="56" spans="1:69" ht="12.75" customHeight="1" x14ac:dyDescent="0.3">
      <c r="A56" s="19" t="s">
        <v>39</v>
      </c>
      <c r="B56" s="27"/>
      <c r="C56" s="28" t="s">
        <v>49</v>
      </c>
      <c r="D56" s="29"/>
      <c r="E56" s="15">
        <v>37</v>
      </c>
      <c r="F56" s="15">
        <v>39</v>
      </c>
      <c r="G56" s="15">
        <v>55</v>
      </c>
      <c r="H56" s="15">
        <v>55</v>
      </c>
      <c r="I56" s="15">
        <v>8</v>
      </c>
      <c r="J56" s="15">
        <v>78</v>
      </c>
      <c r="K56" s="15">
        <v>10</v>
      </c>
      <c r="L56" s="15">
        <v>7</v>
      </c>
      <c r="M56" s="15">
        <v>4</v>
      </c>
      <c r="N56" s="15">
        <v>10</v>
      </c>
      <c r="O56" s="15">
        <v>8</v>
      </c>
      <c r="P56" s="15">
        <v>1</v>
      </c>
      <c r="Q56" s="15">
        <v>0</v>
      </c>
      <c r="R56" s="15">
        <v>1</v>
      </c>
      <c r="S56" s="15">
        <v>3</v>
      </c>
      <c r="T56" s="15">
        <v>1</v>
      </c>
      <c r="U56" s="15">
        <v>0</v>
      </c>
      <c r="V56" s="15">
        <v>6</v>
      </c>
      <c r="W56" s="15">
        <v>8</v>
      </c>
      <c r="X56" s="15">
        <v>4</v>
      </c>
      <c r="Y56" s="15">
        <v>3</v>
      </c>
      <c r="Z56" s="15">
        <v>5</v>
      </c>
      <c r="AA56" s="15">
        <v>1</v>
      </c>
      <c r="AB56" s="15">
        <v>3</v>
      </c>
      <c r="AC56" s="15">
        <v>2</v>
      </c>
      <c r="AD56" s="15">
        <v>1</v>
      </c>
      <c r="AE56" s="15">
        <v>5</v>
      </c>
      <c r="AF56" s="15">
        <v>2</v>
      </c>
      <c r="AG56" s="15">
        <v>2</v>
      </c>
      <c r="AH56" s="15">
        <v>1</v>
      </c>
      <c r="AI56" s="15">
        <v>3</v>
      </c>
      <c r="AJ56" s="15">
        <v>1</v>
      </c>
      <c r="AK56" s="15">
        <v>5</v>
      </c>
      <c r="AL56" s="15">
        <v>3</v>
      </c>
      <c r="AM56" s="15">
        <v>3</v>
      </c>
      <c r="AN56" s="15">
        <v>2</v>
      </c>
      <c r="AO56" s="15">
        <v>5</v>
      </c>
      <c r="AP56" s="15">
        <v>0</v>
      </c>
      <c r="AQ56" s="15">
        <v>2</v>
      </c>
      <c r="AR56" s="15">
        <v>2</v>
      </c>
      <c r="AS56" s="15">
        <v>0</v>
      </c>
      <c r="AT56" s="15">
        <v>2</v>
      </c>
      <c r="AU56" s="15">
        <v>2</v>
      </c>
      <c r="AV56" s="15">
        <v>5</v>
      </c>
      <c r="AW56" s="15">
        <v>4</v>
      </c>
      <c r="AX56" s="15">
        <v>4</v>
      </c>
      <c r="AY56" s="15">
        <v>3</v>
      </c>
      <c r="AZ56" s="15">
        <v>3</v>
      </c>
      <c r="BA56" s="15">
        <v>4</v>
      </c>
      <c r="BB56" s="15">
        <v>1</v>
      </c>
      <c r="BC56" s="15">
        <v>1</v>
      </c>
      <c r="BD56" s="15">
        <v>0</v>
      </c>
      <c r="BE56" s="15">
        <v>1</v>
      </c>
      <c r="BF56" s="15">
        <v>2</v>
      </c>
      <c r="BG56" s="15">
        <v>2</v>
      </c>
      <c r="BH56" s="15">
        <v>1</v>
      </c>
      <c r="BI56" s="15">
        <v>4</v>
      </c>
      <c r="BJ56" s="15">
        <v>6</v>
      </c>
      <c r="BK56" s="15">
        <v>5</v>
      </c>
      <c r="BL56" s="15">
        <v>1</v>
      </c>
      <c r="BM56" s="15">
        <v>3</v>
      </c>
      <c r="BN56" s="15">
        <v>2</v>
      </c>
      <c r="BO56" s="15">
        <v>3</v>
      </c>
      <c r="BP56" s="15">
        <v>2</v>
      </c>
      <c r="BQ56" s="13">
        <f t="shared" si="13"/>
        <v>447</v>
      </c>
    </row>
    <row r="57" spans="1:69" ht="12.75" customHeight="1" x14ac:dyDescent="0.3">
      <c r="A57" s="14"/>
      <c r="B57" s="27"/>
      <c r="C57" s="28" t="s">
        <v>50</v>
      </c>
      <c r="D57" s="29"/>
      <c r="E57" s="15">
        <v>3</v>
      </c>
      <c r="F57" s="15">
        <v>2</v>
      </c>
      <c r="G57" s="15">
        <v>4</v>
      </c>
      <c r="H57" s="15">
        <v>3</v>
      </c>
      <c r="I57" s="15">
        <v>5</v>
      </c>
      <c r="J57" s="15">
        <v>1</v>
      </c>
      <c r="K57" s="15">
        <v>4</v>
      </c>
      <c r="L57" s="15">
        <v>2</v>
      </c>
      <c r="M57" s="15">
        <v>4</v>
      </c>
      <c r="N57" s="15">
        <v>6</v>
      </c>
      <c r="O57" s="15">
        <v>3</v>
      </c>
      <c r="P57" s="15">
        <v>6</v>
      </c>
      <c r="Q57" s="15">
        <v>8</v>
      </c>
      <c r="R57" s="15">
        <v>2</v>
      </c>
      <c r="S57" s="15">
        <v>5</v>
      </c>
      <c r="T57" s="15">
        <v>8</v>
      </c>
      <c r="U57" s="15">
        <v>3</v>
      </c>
      <c r="V57" s="15">
        <v>5</v>
      </c>
      <c r="W57" s="15">
        <v>12</v>
      </c>
      <c r="X57" s="15">
        <v>11</v>
      </c>
      <c r="Y57" s="15">
        <v>1</v>
      </c>
      <c r="Z57" s="15">
        <v>2</v>
      </c>
      <c r="AA57" s="15">
        <v>3</v>
      </c>
      <c r="AB57" s="15">
        <v>1</v>
      </c>
      <c r="AC57" s="15">
        <v>1</v>
      </c>
      <c r="AD57" s="15">
        <v>3</v>
      </c>
      <c r="AE57" s="15">
        <v>2</v>
      </c>
      <c r="AF57" s="15">
        <v>0</v>
      </c>
      <c r="AG57" s="15">
        <v>3</v>
      </c>
      <c r="AH57" s="15">
        <v>4</v>
      </c>
      <c r="AI57" s="15">
        <v>6</v>
      </c>
      <c r="AJ57" s="15">
        <v>6</v>
      </c>
      <c r="AK57" s="15">
        <v>5</v>
      </c>
      <c r="AL57" s="15">
        <v>2</v>
      </c>
      <c r="AM57" s="15">
        <v>4</v>
      </c>
      <c r="AN57" s="15">
        <v>2</v>
      </c>
      <c r="AO57" s="15">
        <v>10</v>
      </c>
      <c r="AP57" s="15">
        <v>0</v>
      </c>
      <c r="AQ57" s="15">
        <v>3</v>
      </c>
      <c r="AR57" s="15">
        <v>3</v>
      </c>
      <c r="AS57" s="15">
        <v>2</v>
      </c>
      <c r="AT57" s="15">
        <v>0</v>
      </c>
      <c r="AU57" s="15">
        <v>3</v>
      </c>
      <c r="AV57" s="15">
        <v>3</v>
      </c>
      <c r="AW57" s="15">
        <v>4</v>
      </c>
      <c r="AX57" s="15">
        <v>3</v>
      </c>
      <c r="AY57" s="15">
        <v>6</v>
      </c>
      <c r="AZ57" s="15">
        <v>1</v>
      </c>
      <c r="BA57" s="15">
        <v>1</v>
      </c>
      <c r="BB57" s="15">
        <v>2</v>
      </c>
      <c r="BC57" s="15">
        <v>6</v>
      </c>
      <c r="BD57" s="15">
        <v>2</v>
      </c>
      <c r="BE57" s="15">
        <v>4</v>
      </c>
      <c r="BF57" s="15">
        <v>3</v>
      </c>
      <c r="BG57" s="15">
        <v>1</v>
      </c>
      <c r="BH57" s="15">
        <v>9</v>
      </c>
      <c r="BI57" s="15">
        <v>2</v>
      </c>
      <c r="BJ57" s="15">
        <v>7</v>
      </c>
      <c r="BK57" s="15">
        <v>3</v>
      </c>
      <c r="BL57" s="15">
        <v>6</v>
      </c>
      <c r="BM57" s="15">
        <v>10</v>
      </c>
      <c r="BN57" s="15">
        <v>9</v>
      </c>
      <c r="BO57" s="15">
        <v>12</v>
      </c>
      <c r="BP57" s="15">
        <v>1</v>
      </c>
      <c r="BQ57" s="13">
        <f t="shared" si="13"/>
        <v>258</v>
      </c>
    </row>
    <row r="58" spans="1:69" ht="12.75" customHeight="1" x14ac:dyDescent="0.3">
      <c r="A58" s="14"/>
      <c r="B58" s="27"/>
      <c r="C58" s="28" t="s">
        <v>51</v>
      </c>
      <c r="D58" s="29"/>
      <c r="E58" s="15">
        <v>3</v>
      </c>
      <c r="F58" s="15">
        <v>1</v>
      </c>
      <c r="G58" s="15">
        <v>1</v>
      </c>
      <c r="H58" s="15">
        <v>0</v>
      </c>
      <c r="I58" s="15">
        <v>2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2</v>
      </c>
      <c r="P58" s="15">
        <v>2</v>
      </c>
      <c r="Q58" s="15">
        <v>0</v>
      </c>
      <c r="R58" s="15">
        <v>0</v>
      </c>
      <c r="S58" s="15">
        <v>0</v>
      </c>
      <c r="T58" s="15">
        <v>1</v>
      </c>
      <c r="U58" s="15">
        <v>1</v>
      </c>
      <c r="V58" s="15">
        <v>1</v>
      </c>
      <c r="W58" s="15">
        <v>0</v>
      </c>
      <c r="X58" s="15">
        <v>1</v>
      </c>
      <c r="Y58" s="15">
        <v>1</v>
      </c>
      <c r="Z58" s="15">
        <v>0</v>
      </c>
      <c r="AA58" s="15">
        <v>1</v>
      </c>
      <c r="AB58" s="15">
        <v>0</v>
      </c>
      <c r="AC58" s="15">
        <v>0</v>
      </c>
      <c r="AD58" s="15">
        <v>0</v>
      </c>
      <c r="AE58" s="15">
        <v>1</v>
      </c>
      <c r="AF58" s="15">
        <v>0</v>
      </c>
      <c r="AG58" s="15">
        <v>2</v>
      </c>
      <c r="AH58" s="15">
        <v>1</v>
      </c>
      <c r="AI58" s="15">
        <v>0</v>
      </c>
      <c r="AJ58" s="15">
        <v>1</v>
      </c>
      <c r="AK58" s="15">
        <v>0</v>
      </c>
      <c r="AL58" s="15">
        <v>0</v>
      </c>
      <c r="AM58" s="15">
        <v>2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1</v>
      </c>
      <c r="AT58" s="15">
        <v>0</v>
      </c>
      <c r="AU58" s="15">
        <v>0</v>
      </c>
      <c r="AV58" s="15">
        <v>0</v>
      </c>
      <c r="AW58" s="15">
        <v>2</v>
      </c>
      <c r="AX58" s="15">
        <v>2</v>
      </c>
      <c r="AY58" s="15">
        <v>2</v>
      </c>
      <c r="AZ58" s="15">
        <v>0</v>
      </c>
      <c r="BA58" s="15">
        <v>1</v>
      </c>
      <c r="BB58" s="15">
        <v>1</v>
      </c>
      <c r="BC58" s="15">
        <v>0</v>
      </c>
      <c r="BD58" s="15">
        <v>1</v>
      </c>
      <c r="BE58" s="15">
        <v>3</v>
      </c>
      <c r="BF58" s="15">
        <v>0</v>
      </c>
      <c r="BG58" s="15">
        <v>1</v>
      </c>
      <c r="BH58" s="15">
        <v>0</v>
      </c>
      <c r="BI58" s="15">
        <v>1</v>
      </c>
      <c r="BJ58" s="15">
        <v>2</v>
      </c>
      <c r="BK58" s="15">
        <v>0</v>
      </c>
      <c r="BL58" s="15">
        <v>1</v>
      </c>
      <c r="BM58" s="15">
        <v>0</v>
      </c>
      <c r="BN58" s="15">
        <v>2</v>
      </c>
      <c r="BO58" s="15">
        <v>1</v>
      </c>
      <c r="BP58" s="15">
        <v>0</v>
      </c>
      <c r="BQ58" s="13">
        <f t="shared" si="13"/>
        <v>45</v>
      </c>
    </row>
    <row r="59" spans="1:69" ht="12.75" customHeight="1" x14ac:dyDescent="0.3">
      <c r="A59" s="14"/>
      <c r="B59" s="27"/>
      <c r="C59" s="28" t="s">
        <v>52</v>
      </c>
      <c r="D59" s="29"/>
      <c r="E59" s="15">
        <v>12</v>
      </c>
      <c r="F59" s="15">
        <v>5</v>
      </c>
      <c r="G59" s="15">
        <v>1</v>
      </c>
      <c r="H59" s="15">
        <v>5</v>
      </c>
      <c r="I59" s="15">
        <v>4</v>
      </c>
      <c r="J59" s="15">
        <v>0</v>
      </c>
      <c r="K59" s="15">
        <v>4</v>
      </c>
      <c r="L59" s="15">
        <v>10</v>
      </c>
      <c r="M59" s="15">
        <v>6</v>
      </c>
      <c r="N59" s="15">
        <v>33</v>
      </c>
      <c r="O59" s="15">
        <v>7</v>
      </c>
      <c r="P59" s="15">
        <v>11</v>
      </c>
      <c r="Q59" s="15">
        <v>22</v>
      </c>
      <c r="R59" s="15">
        <v>34</v>
      </c>
      <c r="S59" s="15">
        <v>48</v>
      </c>
      <c r="T59" s="15">
        <v>1</v>
      </c>
      <c r="U59" s="15">
        <v>10</v>
      </c>
      <c r="V59" s="15">
        <v>41</v>
      </c>
      <c r="W59" s="15">
        <v>19</v>
      </c>
      <c r="X59" s="15">
        <v>1</v>
      </c>
      <c r="Y59" s="15">
        <v>4</v>
      </c>
      <c r="Z59" s="15">
        <v>1</v>
      </c>
      <c r="AA59" s="15">
        <v>4</v>
      </c>
      <c r="AB59" s="15">
        <v>5</v>
      </c>
      <c r="AC59" s="15">
        <v>2</v>
      </c>
      <c r="AD59" s="15">
        <v>3</v>
      </c>
      <c r="AE59" s="15">
        <v>14</v>
      </c>
      <c r="AF59" s="15">
        <v>13</v>
      </c>
      <c r="AG59" s="15">
        <v>7</v>
      </c>
      <c r="AH59" s="15">
        <v>10</v>
      </c>
      <c r="AI59" s="15">
        <v>16</v>
      </c>
      <c r="AJ59" s="15">
        <v>7</v>
      </c>
      <c r="AK59" s="15">
        <v>8</v>
      </c>
      <c r="AL59" s="15">
        <v>2</v>
      </c>
      <c r="AM59" s="15">
        <v>14</v>
      </c>
      <c r="AN59" s="15">
        <v>13</v>
      </c>
      <c r="AO59" s="15">
        <v>5</v>
      </c>
      <c r="AP59" s="15">
        <v>11</v>
      </c>
      <c r="AQ59" s="15">
        <v>10</v>
      </c>
      <c r="AR59" s="15">
        <v>15</v>
      </c>
      <c r="AS59" s="15">
        <v>8</v>
      </c>
      <c r="AT59" s="15">
        <v>0</v>
      </c>
      <c r="AU59" s="15">
        <v>0</v>
      </c>
      <c r="AV59" s="15">
        <v>0</v>
      </c>
      <c r="AW59" s="15">
        <v>1</v>
      </c>
      <c r="AX59" s="15">
        <v>2</v>
      </c>
      <c r="AY59" s="15">
        <v>0</v>
      </c>
      <c r="AZ59" s="15">
        <v>2</v>
      </c>
      <c r="BA59" s="15">
        <v>0</v>
      </c>
      <c r="BB59" s="15">
        <v>0</v>
      </c>
      <c r="BC59" s="15">
        <v>3</v>
      </c>
      <c r="BD59" s="15">
        <v>4</v>
      </c>
      <c r="BE59" s="15">
        <v>1</v>
      </c>
      <c r="BF59" s="15">
        <v>0</v>
      </c>
      <c r="BG59" s="15">
        <v>0</v>
      </c>
      <c r="BH59" s="15">
        <v>1</v>
      </c>
      <c r="BI59" s="15">
        <v>7</v>
      </c>
      <c r="BJ59" s="15">
        <v>7</v>
      </c>
      <c r="BK59" s="15">
        <v>2</v>
      </c>
      <c r="BL59" s="15">
        <v>0</v>
      </c>
      <c r="BM59" s="15">
        <v>1</v>
      </c>
      <c r="BN59" s="15">
        <v>0</v>
      </c>
      <c r="BO59" s="15">
        <v>1</v>
      </c>
      <c r="BP59" s="15">
        <v>3</v>
      </c>
      <c r="BQ59" s="13">
        <f t="shared" si="13"/>
        <v>481</v>
      </c>
    </row>
    <row r="60" spans="1:69" ht="12.75" customHeight="1" x14ac:dyDescent="0.3">
      <c r="A60" s="14"/>
      <c r="B60" s="27"/>
      <c r="C60" s="28" t="s">
        <v>53</v>
      </c>
      <c r="D60" s="29"/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1</v>
      </c>
      <c r="N60" s="15">
        <v>2</v>
      </c>
      <c r="O60" s="15">
        <v>1</v>
      </c>
      <c r="P60" s="15">
        <v>1</v>
      </c>
      <c r="Q60" s="15">
        <v>1</v>
      </c>
      <c r="R60" s="15">
        <v>2</v>
      </c>
      <c r="S60" s="15">
        <v>0</v>
      </c>
      <c r="T60" s="15">
        <v>1</v>
      </c>
      <c r="U60" s="15">
        <v>0</v>
      </c>
      <c r="V60" s="15">
        <v>1</v>
      </c>
      <c r="W60" s="15">
        <v>2</v>
      </c>
      <c r="X60" s="15"/>
      <c r="Y60" s="15">
        <v>1</v>
      </c>
      <c r="Z60" s="15">
        <v>2</v>
      </c>
      <c r="AA60" s="15">
        <v>0</v>
      </c>
      <c r="AB60" s="15">
        <v>0</v>
      </c>
      <c r="AC60" s="15">
        <v>0</v>
      </c>
      <c r="AD60" s="15">
        <v>0</v>
      </c>
      <c r="AE60" s="15">
        <v>2</v>
      </c>
      <c r="AF60" s="15">
        <v>0</v>
      </c>
      <c r="AG60" s="15">
        <v>0</v>
      </c>
      <c r="AH60" s="15">
        <v>0</v>
      </c>
      <c r="AI60" s="15">
        <v>0</v>
      </c>
      <c r="AJ60" s="15">
        <v>2</v>
      </c>
      <c r="AK60" s="15">
        <v>1</v>
      </c>
      <c r="AL60" s="15">
        <v>2</v>
      </c>
      <c r="AM60" s="15">
        <v>0</v>
      </c>
      <c r="AN60" s="15">
        <v>0</v>
      </c>
      <c r="AO60" s="15">
        <v>1</v>
      </c>
      <c r="AP60" s="15">
        <v>0</v>
      </c>
      <c r="AQ60" s="15">
        <v>0</v>
      </c>
      <c r="AR60" s="15">
        <v>3</v>
      </c>
      <c r="AS60" s="15">
        <v>1</v>
      </c>
      <c r="AT60" s="15">
        <v>4</v>
      </c>
      <c r="AU60" s="15">
        <v>4</v>
      </c>
      <c r="AV60" s="15">
        <v>2</v>
      </c>
      <c r="AW60" s="15">
        <v>0</v>
      </c>
      <c r="AX60" s="15">
        <v>0</v>
      </c>
      <c r="AY60" s="15">
        <v>2</v>
      </c>
      <c r="AZ60" s="15">
        <v>0</v>
      </c>
      <c r="BA60" s="15">
        <v>0</v>
      </c>
      <c r="BB60" s="15">
        <v>1</v>
      </c>
      <c r="BC60" s="15">
        <v>1</v>
      </c>
      <c r="BD60" s="15">
        <v>0</v>
      </c>
      <c r="BE60" s="15">
        <v>1</v>
      </c>
      <c r="BF60" s="15">
        <v>0</v>
      </c>
      <c r="BG60" s="15">
        <v>1</v>
      </c>
      <c r="BH60" s="15">
        <v>0</v>
      </c>
      <c r="BI60" s="15">
        <v>0</v>
      </c>
      <c r="BJ60" s="15">
        <v>0</v>
      </c>
      <c r="BK60" s="15">
        <v>0</v>
      </c>
      <c r="BL60" s="15">
        <v>1</v>
      </c>
      <c r="BM60" s="15">
        <v>0</v>
      </c>
      <c r="BN60" s="15">
        <v>1</v>
      </c>
      <c r="BO60" s="15">
        <v>0</v>
      </c>
      <c r="BP60" s="15">
        <v>0</v>
      </c>
      <c r="BQ60" s="13">
        <f t="shared" si="13"/>
        <v>45</v>
      </c>
    </row>
    <row r="61" spans="1:69" ht="12.75" customHeight="1" x14ac:dyDescent="0.3">
      <c r="A61" s="14"/>
      <c r="B61" s="27"/>
      <c r="C61" s="28" t="s">
        <v>54</v>
      </c>
      <c r="D61" s="29"/>
      <c r="E61" s="15">
        <v>1</v>
      </c>
      <c r="F61" s="15">
        <v>0</v>
      </c>
      <c r="G61" s="15">
        <v>1</v>
      </c>
      <c r="H61" s="15">
        <v>0</v>
      </c>
      <c r="I61" s="15">
        <v>0</v>
      </c>
      <c r="J61" s="15">
        <v>0</v>
      </c>
      <c r="K61" s="15">
        <v>1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  <c r="Q61" s="15">
        <v>1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1</v>
      </c>
      <c r="X61" s="15"/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1</v>
      </c>
      <c r="AL61" s="15">
        <v>0</v>
      </c>
      <c r="AM61" s="15">
        <v>0</v>
      </c>
      <c r="AN61" s="15">
        <v>0</v>
      </c>
      <c r="AO61" s="15">
        <v>0</v>
      </c>
      <c r="AP61" s="15">
        <v>1</v>
      </c>
      <c r="AQ61" s="15">
        <v>2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1</v>
      </c>
      <c r="AZ61" s="15">
        <v>0</v>
      </c>
      <c r="BA61" s="15">
        <v>1</v>
      </c>
      <c r="BB61" s="15">
        <v>0</v>
      </c>
      <c r="BC61" s="15">
        <v>0</v>
      </c>
      <c r="BD61" s="15">
        <v>1</v>
      </c>
      <c r="BE61" s="15">
        <v>1</v>
      </c>
      <c r="BF61" s="15">
        <v>0</v>
      </c>
      <c r="BG61" s="15">
        <v>0</v>
      </c>
      <c r="BH61" s="15">
        <v>0</v>
      </c>
      <c r="BI61" s="15">
        <v>0</v>
      </c>
      <c r="BJ61" s="15">
        <v>1</v>
      </c>
      <c r="BK61" s="15">
        <v>2</v>
      </c>
      <c r="BL61" s="15">
        <v>0</v>
      </c>
      <c r="BM61" s="15">
        <v>0</v>
      </c>
      <c r="BN61" s="15">
        <v>0</v>
      </c>
      <c r="BO61" s="15">
        <v>0</v>
      </c>
      <c r="BP61" s="15">
        <v>1</v>
      </c>
      <c r="BQ61" s="13">
        <f t="shared" si="13"/>
        <v>18</v>
      </c>
    </row>
    <row r="62" spans="1:69" ht="12.75" customHeight="1" x14ac:dyDescent="0.3">
      <c r="A62" s="14"/>
      <c r="B62" s="27"/>
      <c r="C62" s="28" t="s">
        <v>55</v>
      </c>
      <c r="D62" s="29"/>
      <c r="E62" s="15">
        <v>0</v>
      </c>
      <c r="F62" s="15">
        <v>0</v>
      </c>
      <c r="G62" s="15">
        <v>0</v>
      </c>
      <c r="H62" s="15">
        <v>0</v>
      </c>
      <c r="I62" s="15">
        <v>1</v>
      </c>
      <c r="J62" s="15">
        <v>1</v>
      </c>
      <c r="K62" s="15">
        <v>0</v>
      </c>
      <c r="L62" s="15">
        <v>0</v>
      </c>
      <c r="M62" s="15">
        <v>4</v>
      </c>
      <c r="N62" s="15">
        <v>5</v>
      </c>
      <c r="O62" s="15">
        <v>48</v>
      </c>
      <c r="P62" s="15">
        <v>5</v>
      </c>
      <c r="Q62" s="15">
        <v>3</v>
      </c>
      <c r="R62" s="15">
        <v>5</v>
      </c>
      <c r="S62" s="15">
        <v>5</v>
      </c>
      <c r="T62" s="15">
        <v>1</v>
      </c>
      <c r="U62" s="15">
        <v>16</v>
      </c>
      <c r="V62" s="15">
        <v>1</v>
      </c>
      <c r="W62" s="15">
        <v>4</v>
      </c>
      <c r="X62" s="15">
        <v>12</v>
      </c>
      <c r="Y62" s="15">
        <v>5</v>
      </c>
      <c r="Z62" s="15">
        <v>37</v>
      </c>
      <c r="AA62" s="15">
        <v>15</v>
      </c>
      <c r="AB62" s="15">
        <v>3</v>
      </c>
      <c r="AC62" s="15">
        <v>0</v>
      </c>
      <c r="AD62" s="15">
        <v>6</v>
      </c>
      <c r="AE62" s="15">
        <v>4</v>
      </c>
      <c r="AF62" s="15">
        <v>4</v>
      </c>
      <c r="AG62" s="15">
        <v>4</v>
      </c>
      <c r="AH62" s="15">
        <v>27</v>
      </c>
      <c r="AI62" s="15">
        <v>4</v>
      </c>
      <c r="AJ62" s="15">
        <v>1</v>
      </c>
      <c r="AK62" s="15">
        <v>10</v>
      </c>
      <c r="AL62" s="15">
        <v>0</v>
      </c>
      <c r="AM62" s="15">
        <v>4</v>
      </c>
      <c r="AN62" s="15">
        <v>15</v>
      </c>
      <c r="AO62" s="15">
        <v>3</v>
      </c>
      <c r="AP62" s="15">
        <v>1</v>
      </c>
      <c r="AQ62" s="15">
        <v>6</v>
      </c>
      <c r="AR62" s="15">
        <v>2</v>
      </c>
      <c r="AS62" s="15">
        <v>0</v>
      </c>
      <c r="AT62" s="15">
        <v>1</v>
      </c>
      <c r="AU62" s="15">
        <v>0</v>
      </c>
      <c r="AV62" s="15">
        <v>6</v>
      </c>
      <c r="AW62" s="15">
        <v>2</v>
      </c>
      <c r="AX62" s="15">
        <v>7</v>
      </c>
      <c r="AY62" s="15">
        <v>0</v>
      </c>
      <c r="AZ62" s="15">
        <v>0</v>
      </c>
      <c r="BA62" s="15">
        <v>6</v>
      </c>
      <c r="BB62" s="15">
        <v>2</v>
      </c>
      <c r="BC62" s="15">
        <v>0</v>
      </c>
      <c r="BD62" s="15">
        <v>0</v>
      </c>
      <c r="BE62" s="15">
        <v>2</v>
      </c>
      <c r="BF62" s="15">
        <v>0</v>
      </c>
      <c r="BG62" s="15">
        <v>2</v>
      </c>
      <c r="BH62" s="15">
        <v>3</v>
      </c>
      <c r="BI62" s="15">
        <v>0</v>
      </c>
      <c r="BJ62" s="15">
        <v>4</v>
      </c>
      <c r="BK62" s="15">
        <v>2</v>
      </c>
      <c r="BL62" s="15">
        <v>0</v>
      </c>
      <c r="BM62" s="15">
        <v>7</v>
      </c>
      <c r="BN62" s="15">
        <v>0</v>
      </c>
      <c r="BO62" s="15">
        <v>5</v>
      </c>
      <c r="BP62" s="15">
        <v>0</v>
      </c>
      <c r="BQ62" s="13">
        <f t="shared" si="13"/>
        <v>311</v>
      </c>
    </row>
    <row r="63" spans="1:69" ht="12.75" customHeight="1" x14ac:dyDescent="0.3">
      <c r="A63" s="15" t="s">
        <v>15</v>
      </c>
      <c r="B63" s="45" t="s">
        <v>47</v>
      </c>
      <c r="C63" s="46"/>
      <c r="D63" s="47"/>
      <c r="E63" s="34">
        <f>SUM(E55:E62)</f>
        <v>72</v>
      </c>
      <c r="F63" s="34">
        <f t="shared" ref="F63:BP63" si="15">SUM(F55:F62)</f>
        <v>62</v>
      </c>
      <c r="G63" s="34">
        <f t="shared" si="15"/>
        <v>77</v>
      </c>
      <c r="H63" s="34">
        <f t="shared" si="15"/>
        <v>77</v>
      </c>
      <c r="I63" s="34">
        <f t="shared" si="15"/>
        <v>31</v>
      </c>
      <c r="J63" s="34">
        <f t="shared" si="15"/>
        <v>95</v>
      </c>
      <c r="K63" s="34">
        <f t="shared" si="15"/>
        <v>32</v>
      </c>
      <c r="L63" s="34">
        <f t="shared" si="15"/>
        <v>28</v>
      </c>
      <c r="M63" s="34">
        <f t="shared" si="15"/>
        <v>26</v>
      </c>
      <c r="N63" s="34">
        <f t="shared" si="15"/>
        <v>63</v>
      </c>
      <c r="O63" s="34">
        <f t="shared" si="15"/>
        <v>75</v>
      </c>
      <c r="P63" s="34">
        <f t="shared" si="15"/>
        <v>35</v>
      </c>
      <c r="Q63" s="34">
        <f t="shared" si="15"/>
        <v>46</v>
      </c>
      <c r="R63" s="34">
        <f t="shared" si="15"/>
        <v>47</v>
      </c>
      <c r="S63" s="34">
        <f t="shared" si="15"/>
        <v>64</v>
      </c>
      <c r="T63" s="34">
        <f t="shared" si="15"/>
        <v>16</v>
      </c>
      <c r="U63" s="34">
        <f t="shared" si="15"/>
        <v>39</v>
      </c>
      <c r="V63" s="34">
        <f t="shared" si="15"/>
        <v>66</v>
      </c>
      <c r="W63" s="34">
        <f t="shared" si="15"/>
        <v>55</v>
      </c>
      <c r="X63" s="34">
        <f t="shared" si="15"/>
        <v>33</v>
      </c>
      <c r="Y63" s="34">
        <f t="shared" si="15"/>
        <v>23</v>
      </c>
      <c r="Z63" s="34">
        <f t="shared" si="15"/>
        <v>52</v>
      </c>
      <c r="AA63" s="34">
        <f t="shared" si="15"/>
        <v>30</v>
      </c>
      <c r="AB63" s="34">
        <f t="shared" si="15"/>
        <v>16</v>
      </c>
      <c r="AC63" s="34">
        <f t="shared" si="15"/>
        <v>8</v>
      </c>
      <c r="AD63" s="34">
        <f t="shared" si="15"/>
        <v>17</v>
      </c>
      <c r="AE63" s="34">
        <f t="shared" si="15"/>
        <v>32</v>
      </c>
      <c r="AF63" s="34">
        <f t="shared" si="15"/>
        <v>21</v>
      </c>
      <c r="AG63" s="34">
        <f t="shared" si="15"/>
        <v>21</v>
      </c>
      <c r="AH63" s="34">
        <f t="shared" si="15"/>
        <v>54</v>
      </c>
      <c r="AI63" s="34">
        <f t="shared" si="15"/>
        <v>40</v>
      </c>
      <c r="AJ63" s="34">
        <f t="shared" si="15"/>
        <v>23</v>
      </c>
      <c r="AK63" s="34">
        <f t="shared" si="15"/>
        <v>36</v>
      </c>
      <c r="AL63" s="34">
        <f t="shared" si="15"/>
        <v>19</v>
      </c>
      <c r="AM63" s="34">
        <f t="shared" si="15"/>
        <v>50</v>
      </c>
      <c r="AN63" s="34">
        <f t="shared" si="15"/>
        <v>44</v>
      </c>
      <c r="AO63" s="34">
        <f t="shared" si="15"/>
        <v>32</v>
      </c>
      <c r="AP63" s="34">
        <f t="shared" si="15"/>
        <v>16</v>
      </c>
      <c r="AQ63" s="34">
        <f t="shared" si="15"/>
        <v>26</v>
      </c>
      <c r="AR63" s="34">
        <f t="shared" si="15"/>
        <v>31</v>
      </c>
      <c r="AS63" s="34">
        <f t="shared" si="15"/>
        <v>16</v>
      </c>
      <c r="AT63" s="34">
        <f t="shared" si="15"/>
        <v>12</v>
      </c>
      <c r="AU63" s="34">
        <f t="shared" si="15"/>
        <v>10</v>
      </c>
      <c r="AV63" s="34">
        <f t="shared" si="15"/>
        <v>19</v>
      </c>
      <c r="AW63" s="34">
        <f t="shared" si="15"/>
        <v>20</v>
      </c>
      <c r="AX63" s="34">
        <f t="shared" si="15"/>
        <v>23</v>
      </c>
      <c r="AY63" s="34">
        <f t="shared" si="15"/>
        <v>20</v>
      </c>
      <c r="AZ63" s="34">
        <f t="shared" si="15"/>
        <v>16</v>
      </c>
      <c r="BA63" s="34">
        <f t="shared" si="15"/>
        <v>28</v>
      </c>
      <c r="BB63" s="34">
        <f t="shared" si="15"/>
        <v>13</v>
      </c>
      <c r="BC63" s="34">
        <f t="shared" si="15"/>
        <v>16</v>
      </c>
      <c r="BD63" s="34">
        <f t="shared" si="15"/>
        <v>13</v>
      </c>
      <c r="BE63" s="34">
        <f t="shared" si="15"/>
        <v>21</v>
      </c>
      <c r="BF63" s="34">
        <f t="shared" si="15"/>
        <v>9</v>
      </c>
      <c r="BG63" s="34">
        <f t="shared" si="15"/>
        <v>18</v>
      </c>
      <c r="BH63" s="34">
        <f t="shared" si="15"/>
        <v>21</v>
      </c>
      <c r="BI63" s="34">
        <f t="shared" si="15"/>
        <v>25</v>
      </c>
      <c r="BJ63" s="34">
        <f t="shared" si="15"/>
        <v>31</v>
      </c>
      <c r="BK63" s="34">
        <f t="shared" si="15"/>
        <v>23</v>
      </c>
      <c r="BL63" s="34">
        <f t="shared" si="15"/>
        <v>21</v>
      </c>
      <c r="BM63" s="34">
        <f t="shared" si="15"/>
        <v>33</v>
      </c>
      <c r="BN63" s="34">
        <f t="shared" si="15"/>
        <v>22</v>
      </c>
      <c r="BO63" s="34">
        <f t="shared" si="15"/>
        <v>28</v>
      </c>
      <c r="BP63" s="34">
        <f t="shared" si="15"/>
        <v>13</v>
      </c>
      <c r="BQ63" s="13">
        <f t="shared" si="13"/>
        <v>2101</v>
      </c>
    </row>
    <row r="64" spans="1:69" ht="12.75" customHeight="1" x14ac:dyDescent="0.3">
      <c r="A64" s="35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13">
        <f t="shared" si="13"/>
        <v>0</v>
      </c>
    </row>
    <row r="65" spans="1:69" ht="12.75" customHeight="1" x14ac:dyDescent="0.3">
      <c r="A65" s="19" t="s">
        <v>37</v>
      </c>
      <c r="B65" s="26" t="s">
        <v>21</v>
      </c>
      <c r="C65" s="48" t="s">
        <v>56</v>
      </c>
      <c r="D65" s="47"/>
      <c r="E65" s="15">
        <v>10</v>
      </c>
      <c r="F65" s="15">
        <v>4</v>
      </c>
      <c r="G65" s="15">
        <v>9</v>
      </c>
      <c r="H65" s="15">
        <v>7</v>
      </c>
      <c r="I65" s="15">
        <v>6</v>
      </c>
      <c r="J65" s="15">
        <v>5</v>
      </c>
      <c r="K65" s="15">
        <v>5</v>
      </c>
      <c r="L65" s="15">
        <v>1</v>
      </c>
      <c r="M65" s="15">
        <v>1</v>
      </c>
      <c r="N65" s="15">
        <v>0</v>
      </c>
      <c r="O65" s="15">
        <v>0</v>
      </c>
      <c r="P65" s="15">
        <v>5</v>
      </c>
      <c r="Q65" s="15">
        <v>2</v>
      </c>
      <c r="R65" s="15">
        <v>4</v>
      </c>
      <c r="S65" s="15">
        <v>3</v>
      </c>
      <c r="T65" s="15">
        <v>6</v>
      </c>
      <c r="U65" s="15">
        <v>4</v>
      </c>
      <c r="V65" s="15">
        <v>2</v>
      </c>
      <c r="W65" s="15">
        <v>4</v>
      </c>
      <c r="X65" s="15">
        <v>1</v>
      </c>
      <c r="Y65" s="15">
        <v>1</v>
      </c>
      <c r="Z65" s="15">
        <v>2</v>
      </c>
      <c r="AA65" s="15">
        <v>1</v>
      </c>
      <c r="AB65" s="15">
        <v>4</v>
      </c>
      <c r="AC65" s="15">
        <v>5</v>
      </c>
      <c r="AD65" s="15">
        <v>0</v>
      </c>
      <c r="AE65" s="15">
        <v>0</v>
      </c>
      <c r="AF65" s="15">
        <v>0</v>
      </c>
      <c r="AG65" s="15">
        <v>3</v>
      </c>
      <c r="AH65" s="15">
        <v>6</v>
      </c>
      <c r="AI65" s="15">
        <v>8</v>
      </c>
      <c r="AJ65" s="15">
        <v>11</v>
      </c>
      <c r="AK65" s="15">
        <v>6</v>
      </c>
      <c r="AL65" s="15">
        <v>8</v>
      </c>
      <c r="AM65" s="15">
        <v>4</v>
      </c>
      <c r="AN65" s="15">
        <v>10</v>
      </c>
      <c r="AO65" s="15">
        <v>8</v>
      </c>
      <c r="AP65" s="15">
        <v>9</v>
      </c>
      <c r="AQ65" s="15">
        <v>19</v>
      </c>
      <c r="AR65" s="15">
        <v>11</v>
      </c>
      <c r="AS65" s="15">
        <v>9</v>
      </c>
      <c r="AT65" s="15">
        <v>0</v>
      </c>
      <c r="AU65" s="15">
        <v>2</v>
      </c>
      <c r="AV65" s="15">
        <v>13</v>
      </c>
      <c r="AW65" s="15">
        <v>17</v>
      </c>
      <c r="AX65" s="15">
        <v>8</v>
      </c>
      <c r="AY65" s="15">
        <v>9</v>
      </c>
      <c r="AZ65" s="15">
        <v>10</v>
      </c>
      <c r="BA65" s="15">
        <v>5</v>
      </c>
      <c r="BB65" s="15">
        <v>13</v>
      </c>
      <c r="BC65" s="15">
        <v>12</v>
      </c>
      <c r="BD65" s="15">
        <v>5</v>
      </c>
      <c r="BE65" s="15">
        <v>4</v>
      </c>
      <c r="BF65" s="15">
        <v>3</v>
      </c>
      <c r="BG65" s="15">
        <v>7</v>
      </c>
      <c r="BH65" s="15">
        <v>4</v>
      </c>
      <c r="BI65" s="15">
        <v>4</v>
      </c>
      <c r="BJ65" s="15">
        <v>8</v>
      </c>
      <c r="BK65" s="15">
        <v>9</v>
      </c>
      <c r="BL65" s="15">
        <v>4</v>
      </c>
      <c r="BM65" s="15">
        <v>5</v>
      </c>
      <c r="BN65" s="15">
        <v>3</v>
      </c>
      <c r="BO65" s="15">
        <v>1</v>
      </c>
      <c r="BP65" s="15">
        <v>6</v>
      </c>
      <c r="BQ65" s="13">
        <f t="shared" si="13"/>
        <v>356</v>
      </c>
    </row>
    <row r="66" spans="1:69" ht="12.75" customHeight="1" x14ac:dyDescent="0.3">
      <c r="A66" s="19" t="s">
        <v>39</v>
      </c>
      <c r="B66" s="27"/>
      <c r="C66" s="28" t="s">
        <v>57</v>
      </c>
      <c r="D66" s="29"/>
      <c r="E66" s="15">
        <v>1</v>
      </c>
      <c r="F66" s="15">
        <v>2</v>
      </c>
      <c r="G66" s="15">
        <v>2</v>
      </c>
      <c r="H66" s="15">
        <v>4</v>
      </c>
      <c r="I66" s="15">
        <v>4</v>
      </c>
      <c r="J66" s="15">
        <v>0</v>
      </c>
      <c r="K66" s="15">
        <v>2</v>
      </c>
      <c r="L66" s="15">
        <v>1</v>
      </c>
      <c r="M66" s="15">
        <v>0</v>
      </c>
      <c r="N66" s="15">
        <v>2</v>
      </c>
      <c r="O66" s="15">
        <v>4</v>
      </c>
      <c r="P66" s="15">
        <v>3</v>
      </c>
      <c r="Q66" s="15">
        <v>0</v>
      </c>
      <c r="R66" s="15">
        <v>3</v>
      </c>
      <c r="S66" s="15">
        <v>4</v>
      </c>
      <c r="T66" s="15">
        <v>14</v>
      </c>
      <c r="U66" s="15">
        <v>5</v>
      </c>
      <c r="V66" s="15">
        <v>2</v>
      </c>
      <c r="W66" s="15">
        <v>2</v>
      </c>
      <c r="X66" s="15">
        <v>3</v>
      </c>
      <c r="Y66" s="15">
        <v>2</v>
      </c>
      <c r="Z66" s="15">
        <v>1</v>
      </c>
      <c r="AA66" s="15">
        <v>0</v>
      </c>
      <c r="AB66" s="15">
        <v>1</v>
      </c>
      <c r="AC66" s="15">
        <v>3</v>
      </c>
      <c r="AD66" s="15">
        <v>4</v>
      </c>
      <c r="AE66" s="15">
        <v>0</v>
      </c>
      <c r="AF66" s="15">
        <v>18</v>
      </c>
      <c r="AG66" s="15">
        <v>19</v>
      </c>
      <c r="AH66" s="15">
        <v>18</v>
      </c>
      <c r="AI66" s="15">
        <v>13</v>
      </c>
      <c r="AJ66" s="15">
        <v>6</v>
      </c>
      <c r="AK66" s="15">
        <v>4</v>
      </c>
      <c r="AL66" s="15">
        <v>9</v>
      </c>
      <c r="AM66" s="15">
        <v>6</v>
      </c>
      <c r="AN66" s="15">
        <v>14</v>
      </c>
      <c r="AO66" s="15">
        <v>13</v>
      </c>
      <c r="AP66" s="15">
        <v>13</v>
      </c>
      <c r="AQ66" s="15">
        <v>20</v>
      </c>
      <c r="AR66" s="15">
        <v>14</v>
      </c>
      <c r="AS66" s="15">
        <v>14</v>
      </c>
      <c r="AT66" s="15">
        <v>13</v>
      </c>
      <c r="AU66" s="15">
        <v>2</v>
      </c>
      <c r="AV66" s="15">
        <v>55</v>
      </c>
      <c r="AW66" s="15">
        <v>33</v>
      </c>
      <c r="AX66" s="15">
        <v>16</v>
      </c>
      <c r="AY66" s="15">
        <v>4</v>
      </c>
      <c r="AZ66" s="15">
        <v>0</v>
      </c>
      <c r="BA66" s="15">
        <v>2</v>
      </c>
      <c r="BB66" s="15">
        <v>10</v>
      </c>
      <c r="BC66" s="15">
        <v>5</v>
      </c>
      <c r="BD66" s="15">
        <v>4</v>
      </c>
      <c r="BE66" s="15">
        <v>1</v>
      </c>
      <c r="BF66" s="15">
        <v>17</v>
      </c>
      <c r="BG66" s="15">
        <v>29</v>
      </c>
      <c r="BH66" s="15">
        <v>1</v>
      </c>
      <c r="BI66" s="15">
        <v>5</v>
      </c>
      <c r="BJ66" s="15">
        <v>8</v>
      </c>
      <c r="BK66" s="15">
        <v>4</v>
      </c>
      <c r="BL66" s="15">
        <v>18</v>
      </c>
      <c r="BM66" s="15">
        <v>1</v>
      </c>
      <c r="BN66" s="15">
        <v>0</v>
      </c>
      <c r="BO66" s="15">
        <v>10</v>
      </c>
      <c r="BP66" s="15">
        <v>3</v>
      </c>
      <c r="BQ66" s="13">
        <f t="shared" si="13"/>
        <v>491</v>
      </c>
    </row>
    <row r="67" spans="1:69" ht="15" customHeight="1" x14ac:dyDescent="0.3">
      <c r="A67" s="14"/>
      <c r="B67" s="27"/>
      <c r="C67" s="28" t="s">
        <v>58</v>
      </c>
      <c r="D67" s="29"/>
      <c r="E67" s="15">
        <v>0</v>
      </c>
      <c r="F67" s="15">
        <v>0</v>
      </c>
      <c r="G67" s="15">
        <v>2</v>
      </c>
      <c r="H67" s="15">
        <v>2</v>
      </c>
      <c r="I67" s="15">
        <v>0</v>
      </c>
      <c r="J67" s="15">
        <v>0</v>
      </c>
      <c r="K67" s="15">
        <v>1</v>
      </c>
      <c r="L67" s="15">
        <v>0</v>
      </c>
      <c r="M67" s="15">
        <v>0</v>
      </c>
      <c r="N67" s="15">
        <v>1</v>
      </c>
      <c r="O67" s="15">
        <v>1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1</v>
      </c>
      <c r="W67" s="15">
        <v>1</v>
      </c>
      <c r="X67" s="15">
        <v>1</v>
      </c>
      <c r="Y67" s="15">
        <v>0</v>
      </c>
      <c r="Z67" s="15">
        <v>1</v>
      </c>
      <c r="AA67" s="15">
        <v>1</v>
      </c>
      <c r="AB67" s="15">
        <v>0</v>
      </c>
      <c r="AC67" s="15">
        <v>0</v>
      </c>
      <c r="AD67" s="15">
        <v>1</v>
      </c>
      <c r="AE67" s="15">
        <v>0</v>
      </c>
      <c r="AF67" s="15">
        <v>1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1</v>
      </c>
      <c r="AN67" s="15">
        <v>0</v>
      </c>
      <c r="AO67" s="15">
        <v>0</v>
      </c>
      <c r="AP67" s="15">
        <v>0</v>
      </c>
      <c r="AQ67" s="15">
        <v>0</v>
      </c>
      <c r="AR67" s="15">
        <v>1</v>
      </c>
      <c r="AS67" s="15">
        <v>1</v>
      </c>
      <c r="AT67" s="15">
        <v>1</v>
      </c>
      <c r="AU67" s="15">
        <v>0</v>
      </c>
      <c r="AV67" s="15">
        <v>1</v>
      </c>
      <c r="AW67" s="15">
        <v>0</v>
      </c>
      <c r="AX67" s="15">
        <v>1</v>
      </c>
      <c r="AY67" s="15">
        <v>1</v>
      </c>
      <c r="AZ67" s="15">
        <v>0</v>
      </c>
      <c r="BA67" s="15">
        <v>2</v>
      </c>
      <c r="BB67" s="15">
        <v>4</v>
      </c>
      <c r="BC67" s="15">
        <v>0</v>
      </c>
      <c r="BD67" s="15"/>
      <c r="BE67" s="15">
        <v>3</v>
      </c>
      <c r="BF67" s="15">
        <v>1</v>
      </c>
      <c r="BG67" s="15">
        <v>1</v>
      </c>
      <c r="BH67" s="15">
        <v>0</v>
      </c>
      <c r="BI67" s="15">
        <v>0</v>
      </c>
      <c r="BJ67" s="15">
        <v>1</v>
      </c>
      <c r="BK67" s="15">
        <v>0</v>
      </c>
      <c r="BL67" s="15">
        <v>0</v>
      </c>
      <c r="BM67" s="15">
        <v>0</v>
      </c>
      <c r="BN67" s="15">
        <v>0</v>
      </c>
      <c r="BO67" s="15">
        <v>0</v>
      </c>
      <c r="BP67" s="15">
        <v>0</v>
      </c>
      <c r="BQ67" s="13">
        <f t="shared" si="13"/>
        <v>33</v>
      </c>
    </row>
    <row r="68" spans="1:69" ht="12.75" customHeight="1" x14ac:dyDescent="0.3">
      <c r="A68" s="14"/>
      <c r="B68" s="27"/>
      <c r="C68" s="28" t="s">
        <v>59</v>
      </c>
      <c r="D68" s="29"/>
      <c r="E68" s="15">
        <v>7</v>
      </c>
      <c r="F68" s="15">
        <v>1</v>
      </c>
      <c r="G68" s="15">
        <v>13</v>
      </c>
      <c r="H68" s="15">
        <v>19</v>
      </c>
      <c r="I68" s="15">
        <v>18</v>
      </c>
      <c r="J68" s="15">
        <v>4</v>
      </c>
      <c r="K68" s="15">
        <v>1</v>
      </c>
      <c r="L68" s="15">
        <v>8</v>
      </c>
      <c r="M68" s="15">
        <v>1</v>
      </c>
      <c r="N68" s="15">
        <v>0</v>
      </c>
      <c r="O68" s="15">
        <v>3</v>
      </c>
      <c r="P68" s="15">
        <v>3</v>
      </c>
      <c r="Q68" s="15">
        <v>2</v>
      </c>
      <c r="R68" s="15">
        <v>2</v>
      </c>
      <c r="S68" s="15">
        <v>2</v>
      </c>
      <c r="T68" s="15">
        <v>3</v>
      </c>
      <c r="U68" s="15">
        <v>13</v>
      </c>
      <c r="V68" s="15">
        <v>6</v>
      </c>
      <c r="W68" s="15">
        <v>5</v>
      </c>
      <c r="X68" s="15">
        <v>0</v>
      </c>
      <c r="Y68" s="15">
        <v>2</v>
      </c>
      <c r="Z68" s="15">
        <v>2</v>
      </c>
      <c r="AA68" s="15">
        <v>1</v>
      </c>
      <c r="AB68" s="15">
        <v>15</v>
      </c>
      <c r="AC68" s="15">
        <v>4</v>
      </c>
      <c r="AD68" s="15">
        <v>0</v>
      </c>
      <c r="AE68" s="15">
        <v>3</v>
      </c>
      <c r="AF68" s="15">
        <v>2</v>
      </c>
      <c r="AG68" s="15">
        <v>0</v>
      </c>
      <c r="AH68" s="15">
        <v>3</v>
      </c>
      <c r="AI68" s="15">
        <v>6</v>
      </c>
      <c r="AJ68" s="15">
        <v>2</v>
      </c>
      <c r="AK68" s="15">
        <v>2</v>
      </c>
      <c r="AL68" s="15">
        <v>1</v>
      </c>
      <c r="AM68" s="15">
        <v>7</v>
      </c>
      <c r="AN68" s="15">
        <v>0</v>
      </c>
      <c r="AO68" s="15">
        <v>3</v>
      </c>
      <c r="AP68" s="15">
        <v>2</v>
      </c>
      <c r="AQ68" s="15">
        <v>0</v>
      </c>
      <c r="AR68" s="15">
        <v>7</v>
      </c>
      <c r="AS68" s="15">
        <v>4</v>
      </c>
      <c r="AT68" s="15">
        <v>1</v>
      </c>
      <c r="AU68" s="15">
        <v>1</v>
      </c>
      <c r="AV68" s="15">
        <v>72</v>
      </c>
      <c r="AW68" s="15">
        <v>19</v>
      </c>
      <c r="AX68" s="15">
        <v>18</v>
      </c>
      <c r="AY68" s="15">
        <v>4</v>
      </c>
      <c r="AZ68" s="15">
        <v>10</v>
      </c>
      <c r="BA68" s="15">
        <v>8</v>
      </c>
      <c r="BB68" s="15">
        <v>31</v>
      </c>
      <c r="BC68" s="15">
        <v>17</v>
      </c>
      <c r="BD68" s="15">
        <v>6</v>
      </c>
      <c r="BE68" s="15">
        <v>3</v>
      </c>
      <c r="BF68" s="15">
        <v>0</v>
      </c>
      <c r="BG68" s="15">
        <v>3</v>
      </c>
      <c r="BH68" s="15">
        <v>0</v>
      </c>
      <c r="BI68" s="15">
        <v>1</v>
      </c>
      <c r="BJ68" s="15">
        <v>3</v>
      </c>
      <c r="BK68" s="15">
        <v>3</v>
      </c>
      <c r="BL68" s="15">
        <v>3</v>
      </c>
      <c r="BM68" s="15">
        <v>17</v>
      </c>
      <c r="BN68" s="15">
        <v>6</v>
      </c>
      <c r="BO68" s="15">
        <v>4</v>
      </c>
      <c r="BP68" s="15">
        <v>22</v>
      </c>
      <c r="BQ68" s="13">
        <f t="shared" si="13"/>
        <v>429</v>
      </c>
    </row>
    <row r="69" spans="1:69" ht="12.75" customHeight="1" x14ac:dyDescent="0.3">
      <c r="A69" s="14"/>
      <c r="B69" s="27"/>
      <c r="C69" s="28" t="s">
        <v>60</v>
      </c>
      <c r="D69" s="29"/>
      <c r="E69" s="15">
        <v>4</v>
      </c>
      <c r="F69" s="15">
        <v>0</v>
      </c>
      <c r="G69" s="15">
        <v>1</v>
      </c>
      <c r="H69" s="15">
        <v>3</v>
      </c>
      <c r="I69" s="15">
        <v>0</v>
      </c>
      <c r="J69" s="15">
        <v>1</v>
      </c>
      <c r="K69" s="15">
        <v>0</v>
      </c>
      <c r="L69" s="15">
        <v>0</v>
      </c>
      <c r="M69" s="15">
        <v>2</v>
      </c>
      <c r="N69" s="15">
        <v>1</v>
      </c>
      <c r="O69" s="15">
        <v>5</v>
      </c>
      <c r="P69" s="15">
        <v>1</v>
      </c>
      <c r="Q69" s="15">
        <v>0</v>
      </c>
      <c r="R69" s="15">
        <v>2</v>
      </c>
      <c r="S69" s="15">
        <v>1</v>
      </c>
      <c r="T69" s="15">
        <v>2</v>
      </c>
      <c r="U69" s="15">
        <v>2</v>
      </c>
      <c r="V69" s="15">
        <v>2</v>
      </c>
      <c r="W69" s="15">
        <v>0</v>
      </c>
      <c r="X69" s="15">
        <v>0</v>
      </c>
      <c r="Y69" s="15">
        <v>0</v>
      </c>
      <c r="Z69" s="15">
        <v>1</v>
      </c>
      <c r="AA69" s="15">
        <v>0</v>
      </c>
      <c r="AB69" s="15">
        <v>0</v>
      </c>
      <c r="AC69" s="15">
        <v>0</v>
      </c>
      <c r="AD69" s="15">
        <v>1</v>
      </c>
      <c r="AE69" s="15">
        <v>1</v>
      </c>
      <c r="AF69" s="15">
        <v>3</v>
      </c>
      <c r="AG69" s="15">
        <v>1</v>
      </c>
      <c r="AH69" s="15">
        <v>3</v>
      </c>
      <c r="AI69" s="15">
        <v>1</v>
      </c>
      <c r="AJ69" s="15">
        <v>2</v>
      </c>
      <c r="AK69" s="15">
        <v>2</v>
      </c>
      <c r="AL69" s="15">
        <v>2</v>
      </c>
      <c r="AM69" s="15">
        <v>0</v>
      </c>
      <c r="AN69" s="15">
        <v>0</v>
      </c>
      <c r="AO69" s="15">
        <v>2</v>
      </c>
      <c r="AP69" s="15">
        <v>0</v>
      </c>
      <c r="AQ69" s="15">
        <v>2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1</v>
      </c>
      <c r="AX69" s="15">
        <v>0</v>
      </c>
      <c r="AY69" s="15">
        <v>2</v>
      </c>
      <c r="AZ69" s="15">
        <v>2</v>
      </c>
      <c r="BA69" s="15">
        <v>1</v>
      </c>
      <c r="BB69" s="15">
        <v>3</v>
      </c>
      <c r="BC69" s="15">
        <v>0</v>
      </c>
      <c r="BD69" s="15">
        <v>0</v>
      </c>
      <c r="BE69" s="15">
        <v>1</v>
      </c>
      <c r="BF69" s="15">
        <v>1</v>
      </c>
      <c r="BG69" s="15">
        <v>0</v>
      </c>
      <c r="BH69" s="15">
        <v>1</v>
      </c>
      <c r="BI69" s="15">
        <v>0</v>
      </c>
      <c r="BJ69" s="15">
        <v>1</v>
      </c>
      <c r="BK69" s="15">
        <v>0</v>
      </c>
      <c r="BL69" s="15">
        <v>2</v>
      </c>
      <c r="BM69" s="15">
        <v>0</v>
      </c>
      <c r="BN69" s="15">
        <v>2</v>
      </c>
      <c r="BO69" s="15">
        <v>3</v>
      </c>
      <c r="BP69" s="15">
        <v>0</v>
      </c>
      <c r="BQ69" s="13">
        <f t="shared" si="13"/>
        <v>68</v>
      </c>
    </row>
    <row r="70" spans="1:69" ht="12.75" customHeight="1" x14ac:dyDescent="0.3">
      <c r="A70" s="14"/>
      <c r="B70" s="27"/>
      <c r="C70" s="28" t="s">
        <v>61</v>
      </c>
      <c r="D70" s="29"/>
      <c r="E70" s="15">
        <v>0</v>
      </c>
      <c r="F70" s="15">
        <v>0</v>
      </c>
      <c r="G70" s="15">
        <v>0</v>
      </c>
      <c r="H70" s="15">
        <v>0</v>
      </c>
      <c r="I70" s="15">
        <v>2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1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1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1</v>
      </c>
      <c r="AI70" s="15">
        <v>1</v>
      </c>
      <c r="AJ70" s="15">
        <v>0</v>
      </c>
      <c r="AK70" s="15">
        <v>2</v>
      </c>
      <c r="AL70" s="15">
        <v>0</v>
      </c>
      <c r="AM70" s="15">
        <v>0</v>
      </c>
      <c r="AN70" s="15">
        <v>1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1</v>
      </c>
      <c r="AV70" s="15">
        <v>1</v>
      </c>
      <c r="AW70" s="15">
        <v>0</v>
      </c>
      <c r="AX70" s="15">
        <v>0</v>
      </c>
      <c r="AY70" s="15">
        <v>0</v>
      </c>
      <c r="AZ70" s="15">
        <v>0</v>
      </c>
      <c r="BA70" s="15">
        <v>1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0</v>
      </c>
      <c r="BL70" s="15">
        <v>1</v>
      </c>
      <c r="BM70" s="15">
        <v>0</v>
      </c>
      <c r="BN70" s="15">
        <v>1</v>
      </c>
      <c r="BO70" s="15">
        <v>0</v>
      </c>
      <c r="BP70" s="15">
        <v>0</v>
      </c>
      <c r="BQ70" s="13">
        <f t="shared" si="13"/>
        <v>14</v>
      </c>
    </row>
    <row r="71" spans="1:69" ht="12.75" customHeight="1" x14ac:dyDescent="0.3">
      <c r="A71" s="14"/>
      <c r="B71" s="27"/>
      <c r="C71" s="28" t="s">
        <v>62</v>
      </c>
      <c r="D71" s="29"/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1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1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1</v>
      </c>
      <c r="AT71" s="15">
        <v>0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1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3">
        <f t="shared" si="13"/>
        <v>4</v>
      </c>
    </row>
    <row r="72" spans="1:69" ht="12.75" customHeight="1" x14ac:dyDescent="0.3">
      <c r="A72" s="14"/>
      <c r="B72" s="27"/>
      <c r="C72" s="28" t="s">
        <v>63</v>
      </c>
      <c r="D72" s="29"/>
      <c r="E72" s="15">
        <v>1</v>
      </c>
      <c r="F72" s="15">
        <v>0</v>
      </c>
      <c r="G72" s="15">
        <v>2</v>
      </c>
      <c r="H72" s="15">
        <v>0</v>
      </c>
      <c r="I72" s="15">
        <v>1</v>
      </c>
      <c r="J72" s="15">
        <v>0</v>
      </c>
      <c r="K72" s="15">
        <v>0</v>
      </c>
      <c r="L72" s="15">
        <v>1</v>
      </c>
      <c r="M72" s="15">
        <v>0</v>
      </c>
      <c r="N72" s="15">
        <v>0</v>
      </c>
      <c r="O72" s="15">
        <v>0</v>
      </c>
      <c r="P72" s="15">
        <v>2</v>
      </c>
      <c r="Q72" s="15">
        <v>0</v>
      </c>
      <c r="R72" s="15">
        <v>0</v>
      </c>
      <c r="S72" s="15">
        <v>0</v>
      </c>
      <c r="T72" s="15">
        <v>1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2</v>
      </c>
      <c r="AA72" s="15">
        <v>0</v>
      </c>
      <c r="AB72" s="15">
        <v>0</v>
      </c>
      <c r="AC72" s="15">
        <v>0</v>
      </c>
      <c r="AD72" s="15">
        <v>0</v>
      </c>
      <c r="AE72" s="15">
        <v>1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1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1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1</v>
      </c>
      <c r="BA72" s="15">
        <v>0</v>
      </c>
      <c r="BB72" s="15">
        <v>0</v>
      </c>
      <c r="BC72" s="15">
        <v>0</v>
      </c>
      <c r="BD72" s="15">
        <v>0</v>
      </c>
      <c r="BE72" s="15">
        <v>1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1</v>
      </c>
      <c r="BM72" s="15">
        <v>0</v>
      </c>
      <c r="BN72" s="15"/>
      <c r="BO72" s="15">
        <v>0</v>
      </c>
      <c r="BP72" s="15">
        <v>0</v>
      </c>
      <c r="BQ72" s="13">
        <f t="shared" si="13"/>
        <v>16</v>
      </c>
    </row>
    <row r="73" spans="1:69" ht="12.75" customHeight="1" x14ac:dyDescent="0.3">
      <c r="A73" s="15" t="s">
        <v>15</v>
      </c>
      <c r="B73" s="45" t="s">
        <v>47</v>
      </c>
      <c r="C73" s="46"/>
      <c r="D73" s="47"/>
      <c r="E73" s="34">
        <f>SUM(E65:E72)</f>
        <v>23</v>
      </c>
      <c r="F73" s="34">
        <f t="shared" ref="F73:BP73" si="16">SUM(F65:F72)</f>
        <v>7</v>
      </c>
      <c r="G73" s="34">
        <f t="shared" si="16"/>
        <v>29</v>
      </c>
      <c r="H73" s="34">
        <f t="shared" si="16"/>
        <v>35</v>
      </c>
      <c r="I73" s="34">
        <f t="shared" si="16"/>
        <v>31</v>
      </c>
      <c r="J73" s="34">
        <f t="shared" si="16"/>
        <v>10</v>
      </c>
      <c r="K73" s="34">
        <f t="shared" si="16"/>
        <v>9</v>
      </c>
      <c r="L73" s="34">
        <f t="shared" si="16"/>
        <v>11</v>
      </c>
      <c r="M73" s="34">
        <f t="shared" si="16"/>
        <v>4</v>
      </c>
      <c r="N73" s="34">
        <f t="shared" si="16"/>
        <v>4</v>
      </c>
      <c r="O73" s="34">
        <f t="shared" si="16"/>
        <v>13</v>
      </c>
      <c r="P73" s="34">
        <f t="shared" si="16"/>
        <v>14</v>
      </c>
      <c r="Q73" s="34">
        <f t="shared" si="16"/>
        <v>4</v>
      </c>
      <c r="R73" s="34">
        <f t="shared" si="16"/>
        <v>12</v>
      </c>
      <c r="S73" s="34">
        <f t="shared" si="16"/>
        <v>11</v>
      </c>
      <c r="T73" s="34">
        <f t="shared" si="16"/>
        <v>26</v>
      </c>
      <c r="U73" s="34">
        <f t="shared" si="16"/>
        <v>24</v>
      </c>
      <c r="V73" s="34">
        <f t="shared" si="16"/>
        <v>13</v>
      </c>
      <c r="W73" s="34">
        <f t="shared" si="16"/>
        <v>12</v>
      </c>
      <c r="X73" s="34">
        <f t="shared" si="16"/>
        <v>5</v>
      </c>
      <c r="Y73" s="34">
        <f t="shared" si="16"/>
        <v>5</v>
      </c>
      <c r="Z73" s="34">
        <f t="shared" si="16"/>
        <v>9</v>
      </c>
      <c r="AA73" s="34">
        <f t="shared" si="16"/>
        <v>4</v>
      </c>
      <c r="AB73" s="34">
        <f t="shared" si="16"/>
        <v>20</v>
      </c>
      <c r="AC73" s="34">
        <f t="shared" si="16"/>
        <v>12</v>
      </c>
      <c r="AD73" s="34">
        <f t="shared" si="16"/>
        <v>7</v>
      </c>
      <c r="AE73" s="34">
        <f t="shared" si="16"/>
        <v>5</v>
      </c>
      <c r="AF73" s="34">
        <f t="shared" si="16"/>
        <v>24</v>
      </c>
      <c r="AG73" s="34">
        <f t="shared" si="16"/>
        <v>23</v>
      </c>
      <c r="AH73" s="34">
        <f t="shared" si="16"/>
        <v>31</v>
      </c>
      <c r="AI73" s="34">
        <f t="shared" si="16"/>
        <v>29</v>
      </c>
      <c r="AJ73" s="34">
        <f t="shared" si="16"/>
        <v>21</v>
      </c>
      <c r="AK73" s="34">
        <f t="shared" si="16"/>
        <v>16</v>
      </c>
      <c r="AL73" s="34">
        <f t="shared" si="16"/>
        <v>21</v>
      </c>
      <c r="AM73" s="34">
        <f t="shared" si="16"/>
        <v>18</v>
      </c>
      <c r="AN73" s="34">
        <f t="shared" si="16"/>
        <v>25</v>
      </c>
      <c r="AO73" s="34">
        <f t="shared" si="16"/>
        <v>26</v>
      </c>
      <c r="AP73" s="34">
        <f t="shared" si="16"/>
        <v>24</v>
      </c>
      <c r="AQ73" s="34">
        <f t="shared" si="16"/>
        <v>41</v>
      </c>
      <c r="AR73" s="34">
        <f t="shared" si="16"/>
        <v>33</v>
      </c>
      <c r="AS73" s="34">
        <f t="shared" si="16"/>
        <v>30</v>
      </c>
      <c r="AT73" s="34">
        <f t="shared" si="16"/>
        <v>15</v>
      </c>
      <c r="AU73" s="34">
        <f t="shared" si="16"/>
        <v>6</v>
      </c>
      <c r="AV73" s="34">
        <f t="shared" si="16"/>
        <v>142</v>
      </c>
      <c r="AW73" s="34">
        <f t="shared" si="16"/>
        <v>70</v>
      </c>
      <c r="AX73" s="34">
        <f t="shared" si="16"/>
        <v>43</v>
      </c>
      <c r="AY73" s="34">
        <f t="shared" si="16"/>
        <v>20</v>
      </c>
      <c r="AZ73" s="34">
        <f t="shared" si="16"/>
        <v>23</v>
      </c>
      <c r="BA73" s="34">
        <f t="shared" si="16"/>
        <v>19</v>
      </c>
      <c r="BB73" s="34">
        <f t="shared" si="16"/>
        <v>61</v>
      </c>
      <c r="BC73" s="34">
        <f t="shared" si="16"/>
        <v>34</v>
      </c>
      <c r="BD73" s="34">
        <f t="shared" si="16"/>
        <v>16</v>
      </c>
      <c r="BE73" s="34">
        <f t="shared" si="16"/>
        <v>13</v>
      </c>
      <c r="BF73" s="34">
        <f t="shared" si="16"/>
        <v>22</v>
      </c>
      <c r="BG73" s="34">
        <f t="shared" si="16"/>
        <v>40</v>
      </c>
      <c r="BH73" s="34">
        <f t="shared" si="16"/>
        <v>6</v>
      </c>
      <c r="BI73" s="34">
        <f t="shared" si="16"/>
        <v>10</v>
      </c>
      <c r="BJ73" s="34">
        <f t="shared" si="16"/>
        <v>21</v>
      </c>
      <c r="BK73" s="34">
        <f t="shared" si="16"/>
        <v>16</v>
      </c>
      <c r="BL73" s="34">
        <f t="shared" si="16"/>
        <v>29</v>
      </c>
      <c r="BM73" s="34">
        <f t="shared" si="16"/>
        <v>23</v>
      </c>
      <c r="BN73" s="34">
        <f t="shared" si="16"/>
        <v>12</v>
      </c>
      <c r="BO73" s="34">
        <f t="shared" si="16"/>
        <v>18</v>
      </c>
      <c r="BP73" s="34">
        <f t="shared" si="16"/>
        <v>31</v>
      </c>
      <c r="BQ73" s="13">
        <f t="shared" si="13"/>
        <v>1411</v>
      </c>
    </row>
    <row r="74" spans="1:69" ht="12.75" customHeight="1" x14ac:dyDescent="0.3">
      <c r="A74" s="35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13">
        <f t="shared" si="13"/>
        <v>0</v>
      </c>
    </row>
    <row r="75" spans="1:69" ht="12.75" customHeight="1" x14ac:dyDescent="0.3">
      <c r="A75" s="19" t="s">
        <v>37</v>
      </c>
      <c r="B75" s="26" t="s">
        <v>23</v>
      </c>
      <c r="C75" s="48" t="s">
        <v>64</v>
      </c>
      <c r="D75" s="47"/>
      <c r="E75" s="15">
        <v>3</v>
      </c>
      <c r="F75" s="15">
        <v>6</v>
      </c>
      <c r="G75" s="15">
        <v>3</v>
      </c>
      <c r="H75" s="15">
        <v>3</v>
      </c>
      <c r="I75" s="15">
        <v>3</v>
      </c>
      <c r="J75" s="15">
        <v>4</v>
      </c>
      <c r="K75" s="15">
        <v>10</v>
      </c>
      <c r="L75" s="15">
        <v>3</v>
      </c>
      <c r="M75" s="15">
        <v>3</v>
      </c>
      <c r="N75" s="15">
        <v>3</v>
      </c>
      <c r="O75" s="15">
        <v>1</v>
      </c>
      <c r="P75" s="15">
        <v>2</v>
      </c>
      <c r="Q75" s="15">
        <v>2</v>
      </c>
      <c r="R75" s="15">
        <v>3</v>
      </c>
      <c r="S75" s="15">
        <v>6</v>
      </c>
      <c r="T75" s="15">
        <v>5</v>
      </c>
      <c r="U75" s="15">
        <v>4</v>
      </c>
      <c r="V75" s="15">
        <v>0</v>
      </c>
      <c r="W75" s="15">
        <v>6</v>
      </c>
      <c r="X75" s="15">
        <v>4</v>
      </c>
      <c r="Y75" s="15">
        <v>1</v>
      </c>
      <c r="Z75" s="15">
        <v>1</v>
      </c>
      <c r="AA75" s="15">
        <v>9</v>
      </c>
      <c r="AB75" s="15">
        <v>0</v>
      </c>
      <c r="AC75" s="15">
        <v>0</v>
      </c>
      <c r="AD75" s="15">
        <v>4</v>
      </c>
      <c r="AE75" s="15">
        <v>4</v>
      </c>
      <c r="AF75" s="15">
        <v>4</v>
      </c>
      <c r="AG75" s="15">
        <v>3</v>
      </c>
      <c r="AH75" s="15">
        <v>5</v>
      </c>
      <c r="AI75" s="15">
        <v>9</v>
      </c>
      <c r="AJ75" s="15">
        <v>4</v>
      </c>
      <c r="AK75" s="15">
        <v>10</v>
      </c>
      <c r="AL75" s="15">
        <v>10</v>
      </c>
      <c r="AM75" s="15">
        <v>4</v>
      </c>
      <c r="AN75" s="15">
        <v>3</v>
      </c>
      <c r="AO75" s="15">
        <v>2</v>
      </c>
      <c r="AP75" s="15">
        <v>3</v>
      </c>
      <c r="AQ75" s="15">
        <v>2</v>
      </c>
      <c r="AR75" s="15">
        <v>3</v>
      </c>
      <c r="AS75" s="15">
        <v>4</v>
      </c>
      <c r="AT75" s="15">
        <v>3</v>
      </c>
      <c r="AU75" s="15">
        <v>1</v>
      </c>
      <c r="AV75" s="15">
        <v>1</v>
      </c>
      <c r="AW75" s="15">
        <v>3</v>
      </c>
      <c r="AX75" s="15">
        <v>5</v>
      </c>
      <c r="AY75" s="15">
        <v>1</v>
      </c>
      <c r="AZ75" s="15">
        <v>13</v>
      </c>
      <c r="BA75" s="15">
        <v>9</v>
      </c>
      <c r="BB75" s="15">
        <v>7</v>
      </c>
      <c r="BC75" s="15">
        <v>3</v>
      </c>
      <c r="BD75" s="15">
        <v>0</v>
      </c>
      <c r="BE75" s="15">
        <v>6</v>
      </c>
      <c r="BF75" s="15">
        <v>12</v>
      </c>
      <c r="BG75" s="15">
        <v>8</v>
      </c>
      <c r="BH75" s="15">
        <v>2</v>
      </c>
      <c r="BI75" s="15">
        <v>10</v>
      </c>
      <c r="BJ75" s="15">
        <v>8</v>
      </c>
      <c r="BK75" s="15">
        <v>8</v>
      </c>
      <c r="BL75" s="15">
        <v>6</v>
      </c>
      <c r="BM75" s="15">
        <v>2</v>
      </c>
      <c r="BN75" s="15">
        <v>4</v>
      </c>
      <c r="BO75" s="15">
        <v>11</v>
      </c>
      <c r="BP75" s="15">
        <v>5</v>
      </c>
      <c r="BQ75" s="13">
        <f t="shared" si="13"/>
        <v>287</v>
      </c>
    </row>
    <row r="76" spans="1:69" ht="12.75" customHeight="1" x14ac:dyDescent="0.3">
      <c r="A76" s="19" t="s">
        <v>39</v>
      </c>
      <c r="B76" s="27"/>
      <c r="C76" s="28" t="s">
        <v>65</v>
      </c>
      <c r="D76" s="29"/>
      <c r="E76" s="15">
        <v>1</v>
      </c>
      <c r="F76" s="15">
        <v>1</v>
      </c>
      <c r="G76" s="15">
        <v>1</v>
      </c>
      <c r="H76" s="15">
        <v>4</v>
      </c>
      <c r="I76" s="15">
        <v>2</v>
      </c>
      <c r="J76" s="15">
        <v>2</v>
      </c>
      <c r="K76" s="15">
        <v>8</v>
      </c>
      <c r="L76" s="15">
        <v>2</v>
      </c>
      <c r="M76" s="15">
        <v>6</v>
      </c>
      <c r="N76" s="15">
        <v>4</v>
      </c>
      <c r="O76" s="15">
        <v>6</v>
      </c>
      <c r="P76" s="15">
        <v>0</v>
      </c>
      <c r="Q76" s="15">
        <v>0</v>
      </c>
      <c r="R76" s="15">
        <v>3</v>
      </c>
      <c r="S76" s="15">
        <v>4</v>
      </c>
      <c r="T76" s="15">
        <v>2</v>
      </c>
      <c r="U76" s="15">
        <v>1</v>
      </c>
      <c r="V76" s="15">
        <v>1</v>
      </c>
      <c r="W76" s="15">
        <v>1</v>
      </c>
      <c r="X76" s="15">
        <v>3</v>
      </c>
      <c r="Y76" s="15">
        <v>1</v>
      </c>
      <c r="Z76" s="15">
        <v>1</v>
      </c>
      <c r="AA76" s="15">
        <v>2</v>
      </c>
      <c r="AB76" s="15">
        <v>1</v>
      </c>
      <c r="AC76" s="15">
        <v>0</v>
      </c>
      <c r="AD76" s="15">
        <v>3</v>
      </c>
      <c r="AE76" s="15">
        <v>3</v>
      </c>
      <c r="AF76" s="15">
        <v>3</v>
      </c>
      <c r="AG76" s="15">
        <v>3</v>
      </c>
      <c r="AH76" s="15">
        <v>2</v>
      </c>
      <c r="AI76" s="15">
        <v>6</v>
      </c>
      <c r="AJ76" s="15">
        <v>1</v>
      </c>
      <c r="AK76" s="15">
        <v>5</v>
      </c>
      <c r="AL76" s="15">
        <v>5</v>
      </c>
      <c r="AM76" s="15">
        <v>1</v>
      </c>
      <c r="AN76" s="15">
        <v>0</v>
      </c>
      <c r="AO76" s="15">
        <v>0</v>
      </c>
      <c r="AP76" s="15">
        <v>3</v>
      </c>
      <c r="AQ76" s="15">
        <v>3</v>
      </c>
      <c r="AR76" s="15">
        <v>1</v>
      </c>
      <c r="AS76" s="15">
        <v>0</v>
      </c>
      <c r="AT76" s="15">
        <v>2</v>
      </c>
      <c r="AU76" s="15">
        <v>2</v>
      </c>
      <c r="AV76" s="15">
        <v>1</v>
      </c>
      <c r="AW76" s="15">
        <v>0</v>
      </c>
      <c r="AX76" s="15">
        <v>2</v>
      </c>
      <c r="AY76" s="15">
        <v>4</v>
      </c>
      <c r="AZ76" s="15">
        <v>4</v>
      </c>
      <c r="BA76" s="15">
        <v>3</v>
      </c>
      <c r="BB76" s="15">
        <v>1</v>
      </c>
      <c r="BC76" s="15">
        <v>5</v>
      </c>
      <c r="BD76" s="15">
        <v>1</v>
      </c>
      <c r="BE76" s="15">
        <v>1</v>
      </c>
      <c r="BF76" s="15">
        <v>2</v>
      </c>
      <c r="BG76" s="15">
        <v>1</v>
      </c>
      <c r="BH76" s="15">
        <v>7</v>
      </c>
      <c r="BI76" s="15">
        <v>15</v>
      </c>
      <c r="BJ76" s="15">
        <v>5</v>
      </c>
      <c r="BK76" s="15">
        <v>7</v>
      </c>
      <c r="BL76" s="15">
        <v>1</v>
      </c>
      <c r="BM76" s="15">
        <v>5</v>
      </c>
      <c r="BN76" s="15">
        <v>5</v>
      </c>
      <c r="BO76" s="15">
        <v>0</v>
      </c>
      <c r="BP76" s="15">
        <v>2</v>
      </c>
      <c r="BQ76" s="13">
        <f t="shared" si="13"/>
        <v>172</v>
      </c>
    </row>
    <row r="77" spans="1:69" ht="12.75" customHeight="1" x14ac:dyDescent="0.3">
      <c r="A77" s="14"/>
      <c r="B77" s="27"/>
      <c r="C77" s="28" t="s">
        <v>66</v>
      </c>
      <c r="D77" s="29"/>
      <c r="E77" s="15">
        <v>18</v>
      </c>
      <c r="F77" s="15">
        <v>59</v>
      </c>
      <c r="G77" s="15">
        <v>28</v>
      </c>
      <c r="H77" s="15">
        <v>36</v>
      </c>
      <c r="I77" s="15">
        <v>21</v>
      </c>
      <c r="J77" s="15">
        <v>6</v>
      </c>
      <c r="K77" s="15">
        <v>32</v>
      </c>
      <c r="L77" s="15">
        <v>26</v>
      </c>
      <c r="M77" s="15">
        <v>26</v>
      </c>
      <c r="N77" s="15">
        <v>8</v>
      </c>
      <c r="O77" s="15">
        <v>28</v>
      </c>
      <c r="P77" s="15">
        <v>42</v>
      </c>
      <c r="Q77" s="15">
        <v>20</v>
      </c>
      <c r="R77" s="15">
        <v>28</v>
      </c>
      <c r="S77" s="15">
        <v>44</v>
      </c>
      <c r="T77" s="15">
        <v>75</v>
      </c>
      <c r="U77" s="15">
        <v>42</v>
      </c>
      <c r="V77" s="15">
        <v>11</v>
      </c>
      <c r="W77" s="15">
        <v>43</v>
      </c>
      <c r="X77" s="15">
        <v>52</v>
      </c>
      <c r="Y77" s="15">
        <v>28</v>
      </c>
      <c r="Z77" s="15">
        <v>36</v>
      </c>
      <c r="AA77" s="15">
        <v>89</v>
      </c>
      <c r="AB77" s="15">
        <v>42</v>
      </c>
      <c r="AC77" s="15">
        <v>33</v>
      </c>
      <c r="AD77" s="15">
        <v>55</v>
      </c>
      <c r="AE77" s="15">
        <v>21</v>
      </c>
      <c r="AF77" s="15">
        <v>56</v>
      </c>
      <c r="AG77" s="15">
        <v>22</v>
      </c>
      <c r="AH77" s="15">
        <v>38</v>
      </c>
      <c r="AI77" s="15">
        <v>41</v>
      </c>
      <c r="AJ77" s="15">
        <v>22</v>
      </c>
      <c r="AK77" s="15">
        <v>64</v>
      </c>
      <c r="AL77" s="15">
        <v>51</v>
      </c>
      <c r="AM77" s="15">
        <v>49</v>
      </c>
      <c r="AN77" s="15">
        <v>17</v>
      </c>
      <c r="AO77" s="15">
        <v>21</v>
      </c>
      <c r="AP77" s="15">
        <v>37</v>
      </c>
      <c r="AQ77" s="15">
        <v>8</v>
      </c>
      <c r="AR77" s="15">
        <v>12</v>
      </c>
      <c r="AS77" s="15">
        <v>10</v>
      </c>
      <c r="AT77" s="15">
        <v>12</v>
      </c>
      <c r="AU77" s="15">
        <v>10</v>
      </c>
      <c r="AV77" s="15">
        <v>11</v>
      </c>
      <c r="AW77" s="15">
        <v>18</v>
      </c>
      <c r="AX77" s="15">
        <v>55</v>
      </c>
      <c r="AY77" s="15">
        <v>81</v>
      </c>
      <c r="AZ77" s="15">
        <v>71</v>
      </c>
      <c r="BA77" s="15">
        <v>82</v>
      </c>
      <c r="BB77" s="15">
        <v>45</v>
      </c>
      <c r="BC77" s="15">
        <v>26</v>
      </c>
      <c r="BD77" s="15">
        <v>17</v>
      </c>
      <c r="BE77" s="15">
        <v>36</v>
      </c>
      <c r="BF77" s="15">
        <v>83</v>
      </c>
      <c r="BG77" s="15">
        <v>60</v>
      </c>
      <c r="BH77" s="15">
        <v>35</v>
      </c>
      <c r="BI77" s="15">
        <v>72</v>
      </c>
      <c r="BJ77" s="15">
        <v>49</v>
      </c>
      <c r="BK77" s="15">
        <v>56</v>
      </c>
      <c r="BL77" s="15">
        <v>59</v>
      </c>
      <c r="BM77" s="15">
        <v>17</v>
      </c>
      <c r="BN77" s="15">
        <v>69</v>
      </c>
      <c r="BO77" s="15">
        <v>51</v>
      </c>
      <c r="BP77" s="15">
        <v>16</v>
      </c>
      <c r="BQ77" s="13">
        <f t="shared" si="13"/>
        <v>2428</v>
      </c>
    </row>
    <row r="78" spans="1:69" ht="12.75" customHeight="1" x14ac:dyDescent="0.3">
      <c r="A78" s="14"/>
      <c r="B78" s="27"/>
      <c r="C78" s="28" t="s">
        <v>67</v>
      </c>
      <c r="D78" s="29"/>
      <c r="E78" s="15">
        <v>0</v>
      </c>
      <c r="F78" s="15">
        <v>1</v>
      </c>
      <c r="G78" s="15">
        <v>0</v>
      </c>
      <c r="H78" s="15">
        <v>3</v>
      </c>
      <c r="I78" s="15">
        <v>1</v>
      </c>
      <c r="J78" s="15">
        <v>1</v>
      </c>
      <c r="K78" s="15">
        <v>0</v>
      </c>
      <c r="L78" s="15">
        <v>0</v>
      </c>
      <c r="M78" s="15">
        <v>1</v>
      </c>
      <c r="N78" s="15">
        <v>0</v>
      </c>
      <c r="O78" s="15">
        <v>1</v>
      </c>
      <c r="P78" s="15">
        <v>2</v>
      </c>
      <c r="Q78" s="15">
        <v>0</v>
      </c>
      <c r="R78" s="15">
        <v>0</v>
      </c>
      <c r="S78" s="15">
        <v>2</v>
      </c>
      <c r="T78" s="15">
        <v>0</v>
      </c>
      <c r="U78" s="15">
        <v>1</v>
      </c>
      <c r="V78" s="15">
        <v>0</v>
      </c>
      <c r="W78" s="15">
        <v>1</v>
      </c>
      <c r="X78" s="15">
        <v>2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1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3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1</v>
      </c>
      <c r="AX78" s="15">
        <v>2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1</v>
      </c>
      <c r="BG78" s="15">
        <v>0</v>
      </c>
      <c r="BH78" s="15">
        <v>1</v>
      </c>
      <c r="BI78" s="15">
        <v>1</v>
      </c>
      <c r="BJ78" s="15">
        <v>2</v>
      </c>
      <c r="BK78" s="15">
        <v>1</v>
      </c>
      <c r="BL78" s="15">
        <v>0</v>
      </c>
      <c r="BM78" s="15">
        <v>0</v>
      </c>
      <c r="BN78" s="15">
        <v>2</v>
      </c>
      <c r="BO78" s="15">
        <v>2</v>
      </c>
      <c r="BP78" s="15">
        <v>0</v>
      </c>
      <c r="BQ78" s="13">
        <f t="shared" si="13"/>
        <v>33</v>
      </c>
    </row>
    <row r="79" spans="1:69" ht="15" customHeight="1" x14ac:dyDescent="0.3">
      <c r="A79" s="14"/>
      <c r="B79" s="27"/>
      <c r="C79" s="28" t="s">
        <v>68</v>
      </c>
      <c r="D79" s="29"/>
      <c r="E79" s="15">
        <v>1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0</v>
      </c>
      <c r="N79" s="15">
        <v>0</v>
      </c>
      <c r="O79" s="15">
        <v>1</v>
      </c>
      <c r="P79" s="15">
        <v>3</v>
      </c>
      <c r="Q79" s="15">
        <v>0</v>
      </c>
      <c r="R79" s="15">
        <v>2</v>
      </c>
      <c r="S79" s="15">
        <v>4</v>
      </c>
      <c r="T79" s="15">
        <v>7</v>
      </c>
      <c r="U79" s="15">
        <v>2</v>
      </c>
      <c r="V79" s="15">
        <v>0</v>
      </c>
      <c r="W79" s="15">
        <v>4</v>
      </c>
      <c r="X79" s="15">
        <v>2</v>
      </c>
      <c r="Y79" s="15">
        <v>2</v>
      </c>
      <c r="Z79" s="15">
        <v>0</v>
      </c>
      <c r="AA79" s="15">
        <v>0</v>
      </c>
      <c r="AB79" s="15">
        <v>1</v>
      </c>
      <c r="AC79" s="15">
        <v>0</v>
      </c>
      <c r="AD79" s="15">
        <v>0</v>
      </c>
      <c r="AE79" s="15">
        <v>2</v>
      </c>
      <c r="AF79" s="15">
        <v>2</v>
      </c>
      <c r="AG79" s="15">
        <v>0</v>
      </c>
      <c r="AH79" s="15">
        <v>1</v>
      </c>
      <c r="AI79" s="15">
        <v>5</v>
      </c>
      <c r="AJ79" s="15">
        <v>10</v>
      </c>
      <c r="AK79" s="15">
        <v>3</v>
      </c>
      <c r="AL79" s="15">
        <v>0</v>
      </c>
      <c r="AM79" s="15">
        <v>1</v>
      </c>
      <c r="AN79" s="15">
        <v>2</v>
      </c>
      <c r="AO79" s="15">
        <v>0</v>
      </c>
      <c r="AP79" s="15">
        <v>2</v>
      </c>
      <c r="AQ79" s="15">
        <v>0</v>
      </c>
      <c r="AR79" s="15">
        <v>1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1</v>
      </c>
      <c r="AY79" s="15">
        <v>2</v>
      </c>
      <c r="AZ79" s="15">
        <v>2</v>
      </c>
      <c r="BA79" s="15">
        <v>1</v>
      </c>
      <c r="BB79" s="15">
        <v>1</v>
      </c>
      <c r="BC79" s="15">
        <v>0</v>
      </c>
      <c r="BD79" s="15">
        <v>0</v>
      </c>
      <c r="BE79" s="15">
        <v>0</v>
      </c>
      <c r="BF79" s="15">
        <v>2</v>
      </c>
      <c r="BG79" s="15">
        <v>12</v>
      </c>
      <c r="BH79" s="15">
        <v>0</v>
      </c>
      <c r="BI79" s="15">
        <v>2</v>
      </c>
      <c r="BJ79" s="15">
        <v>3</v>
      </c>
      <c r="BK79" s="15">
        <v>0</v>
      </c>
      <c r="BL79" s="15">
        <v>2</v>
      </c>
      <c r="BM79" s="15">
        <v>0</v>
      </c>
      <c r="BN79" s="15">
        <v>0</v>
      </c>
      <c r="BO79" s="15">
        <v>1</v>
      </c>
      <c r="BP79" s="15">
        <v>0</v>
      </c>
      <c r="BQ79" s="13">
        <f t="shared" si="13"/>
        <v>88</v>
      </c>
    </row>
    <row r="80" spans="1:69" ht="12.75" customHeight="1" x14ac:dyDescent="0.3">
      <c r="A80" s="14"/>
      <c r="B80" s="27"/>
      <c r="C80" s="28" t="s">
        <v>69</v>
      </c>
      <c r="D80" s="29"/>
      <c r="E80" s="15">
        <v>0</v>
      </c>
      <c r="F80" s="15">
        <v>0</v>
      </c>
      <c r="G80" s="15">
        <v>0</v>
      </c>
      <c r="H80" s="15">
        <v>0</v>
      </c>
      <c r="I80" s="15">
        <v>1</v>
      </c>
      <c r="J80" s="15">
        <v>4</v>
      </c>
      <c r="K80" s="15">
        <v>13</v>
      </c>
      <c r="L80" s="15">
        <v>0</v>
      </c>
      <c r="M80" s="15">
        <v>0</v>
      </c>
      <c r="N80" s="15">
        <v>0</v>
      </c>
      <c r="O80" s="15">
        <v>1</v>
      </c>
      <c r="P80" s="15">
        <v>2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1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1</v>
      </c>
      <c r="AC80" s="15">
        <v>1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1</v>
      </c>
      <c r="AM80" s="15">
        <v>0</v>
      </c>
      <c r="AN80" s="15">
        <v>0</v>
      </c>
      <c r="AO80" s="15">
        <v>2</v>
      </c>
      <c r="AP80" s="15">
        <v>0</v>
      </c>
      <c r="AQ80" s="15">
        <v>1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1</v>
      </c>
      <c r="AY80" s="15">
        <v>0</v>
      </c>
      <c r="AZ80" s="15">
        <v>0</v>
      </c>
      <c r="BA80" s="15">
        <v>2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0</v>
      </c>
      <c r="BJ80" s="15">
        <v>1</v>
      </c>
      <c r="BK80" s="15">
        <v>0</v>
      </c>
      <c r="BL80" s="15">
        <v>0</v>
      </c>
      <c r="BM80" s="15">
        <v>0</v>
      </c>
      <c r="BN80" s="15">
        <v>0</v>
      </c>
      <c r="BO80" s="15">
        <v>0</v>
      </c>
      <c r="BP80" s="15">
        <v>0</v>
      </c>
      <c r="BQ80" s="13">
        <f t="shared" si="13"/>
        <v>32</v>
      </c>
    </row>
    <row r="81" spans="1:69" ht="12.75" customHeight="1" x14ac:dyDescent="0.3">
      <c r="A81" s="14"/>
      <c r="B81" s="27"/>
      <c r="C81" s="28" t="s">
        <v>70</v>
      </c>
      <c r="D81" s="29"/>
      <c r="E81" s="15">
        <v>0</v>
      </c>
      <c r="F81" s="15">
        <v>1</v>
      </c>
      <c r="G81" s="15">
        <v>0</v>
      </c>
      <c r="H81" s="15">
        <v>1</v>
      </c>
      <c r="I81" s="15">
        <v>0</v>
      </c>
      <c r="J81" s="15">
        <v>0</v>
      </c>
      <c r="K81" s="15">
        <v>0</v>
      </c>
      <c r="L81" s="15">
        <v>1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1</v>
      </c>
      <c r="AG81" s="15">
        <v>1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1</v>
      </c>
      <c r="AP81" s="15">
        <v>0</v>
      </c>
      <c r="AQ81" s="15">
        <v>0</v>
      </c>
      <c r="AR81" s="15">
        <v>1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1</v>
      </c>
      <c r="AZ81" s="15">
        <v>0</v>
      </c>
      <c r="BA81" s="15">
        <v>0</v>
      </c>
      <c r="BB81" s="15">
        <v>2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1</v>
      </c>
      <c r="BK81" s="15">
        <v>1</v>
      </c>
      <c r="BL81" s="15">
        <v>0</v>
      </c>
      <c r="BM81" s="15">
        <v>0</v>
      </c>
      <c r="BN81" s="15">
        <v>0</v>
      </c>
      <c r="BO81" s="15">
        <v>1</v>
      </c>
      <c r="BP81" s="15">
        <v>0</v>
      </c>
      <c r="BQ81" s="13">
        <f t="shared" si="13"/>
        <v>13</v>
      </c>
    </row>
    <row r="82" spans="1:69" ht="12.75" customHeight="1" x14ac:dyDescent="0.3">
      <c r="A82" s="14"/>
      <c r="B82" s="27"/>
      <c r="C82" s="28" t="s">
        <v>71</v>
      </c>
      <c r="D82" s="29"/>
      <c r="E82" s="15">
        <v>0</v>
      </c>
      <c r="F82" s="15">
        <v>0</v>
      </c>
      <c r="G82" s="15">
        <v>0</v>
      </c>
      <c r="H82" s="15">
        <v>0</v>
      </c>
      <c r="I82" s="15">
        <v>1</v>
      </c>
      <c r="J82" s="15">
        <v>1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1</v>
      </c>
      <c r="AG82" s="15">
        <v>0</v>
      </c>
      <c r="AH82" s="15">
        <v>0</v>
      </c>
      <c r="AI82" s="15">
        <v>1</v>
      </c>
      <c r="AJ82" s="15">
        <v>0</v>
      </c>
      <c r="AK82" s="15">
        <v>0</v>
      </c>
      <c r="AL82" s="15">
        <v>0</v>
      </c>
      <c r="AM82" s="15">
        <v>1</v>
      </c>
      <c r="AN82" s="15">
        <v>0</v>
      </c>
      <c r="AO82" s="15">
        <v>1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1</v>
      </c>
      <c r="AV82" s="15">
        <v>0</v>
      </c>
      <c r="AW82" s="15">
        <v>0</v>
      </c>
      <c r="AX82" s="15">
        <v>0</v>
      </c>
      <c r="AY82" s="15">
        <v>1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0</v>
      </c>
      <c r="BP82" s="15">
        <v>0</v>
      </c>
      <c r="BQ82" s="13">
        <f t="shared" si="13"/>
        <v>8</v>
      </c>
    </row>
    <row r="83" spans="1:69" ht="12.75" customHeight="1" x14ac:dyDescent="0.3">
      <c r="A83" s="15" t="s">
        <v>15</v>
      </c>
      <c r="B83" s="45" t="s">
        <v>47</v>
      </c>
      <c r="C83" s="46"/>
      <c r="D83" s="47"/>
      <c r="E83" s="34">
        <f>SUM(E75:E82)</f>
        <v>23</v>
      </c>
      <c r="F83" s="34">
        <f t="shared" ref="F83:BP83" si="17">SUM(F75:F82)</f>
        <v>68</v>
      </c>
      <c r="G83" s="34">
        <f t="shared" si="17"/>
        <v>32</v>
      </c>
      <c r="H83" s="34">
        <f t="shared" si="17"/>
        <v>47</v>
      </c>
      <c r="I83" s="34">
        <f t="shared" si="17"/>
        <v>29</v>
      </c>
      <c r="J83" s="34">
        <f t="shared" si="17"/>
        <v>18</v>
      </c>
      <c r="K83" s="34">
        <f t="shared" si="17"/>
        <v>63</v>
      </c>
      <c r="L83" s="34">
        <f t="shared" si="17"/>
        <v>33</v>
      </c>
      <c r="M83" s="34">
        <f t="shared" si="17"/>
        <v>36</v>
      </c>
      <c r="N83" s="34">
        <f t="shared" si="17"/>
        <v>15</v>
      </c>
      <c r="O83" s="34">
        <f t="shared" si="17"/>
        <v>38</v>
      </c>
      <c r="P83" s="34">
        <f t="shared" si="17"/>
        <v>51</v>
      </c>
      <c r="Q83" s="34">
        <f t="shared" si="17"/>
        <v>22</v>
      </c>
      <c r="R83" s="34">
        <f t="shared" si="17"/>
        <v>36</v>
      </c>
      <c r="S83" s="34">
        <f t="shared" si="17"/>
        <v>60</v>
      </c>
      <c r="T83" s="34">
        <f t="shared" si="17"/>
        <v>89</v>
      </c>
      <c r="U83" s="34">
        <f t="shared" si="17"/>
        <v>50</v>
      </c>
      <c r="V83" s="34">
        <f t="shared" si="17"/>
        <v>13</v>
      </c>
      <c r="W83" s="34">
        <f t="shared" si="17"/>
        <v>55</v>
      </c>
      <c r="X83" s="34">
        <f t="shared" si="17"/>
        <v>63</v>
      </c>
      <c r="Y83" s="34">
        <f t="shared" si="17"/>
        <v>32</v>
      </c>
      <c r="Z83" s="34">
        <f t="shared" si="17"/>
        <v>38</v>
      </c>
      <c r="AA83" s="34">
        <f t="shared" si="17"/>
        <v>100</v>
      </c>
      <c r="AB83" s="34">
        <f t="shared" si="17"/>
        <v>45</v>
      </c>
      <c r="AC83" s="34">
        <f t="shared" si="17"/>
        <v>34</v>
      </c>
      <c r="AD83" s="34">
        <f t="shared" si="17"/>
        <v>62</v>
      </c>
      <c r="AE83" s="34">
        <f t="shared" si="17"/>
        <v>30</v>
      </c>
      <c r="AF83" s="34">
        <f t="shared" si="17"/>
        <v>67</v>
      </c>
      <c r="AG83" s="34">
        <f t="shared" si="17"/>
        <v>30</v>
      </c>
      <c r="AH83" s="34">
        <f t="shared" si="17"/>
        <v>46</v>
      </c>
      <c r="AI83" s="34">
        <f t="shared" si="17"/>
        <v>62</v>
      </c>
      <c r="AJ83" s="34">
        <f t="shared" si="17"/>
        <v>37</v>
      </c>
      <c r="AK83" s="34">
        <f t="shared" si="17"/>
        <v>82</v>
      </c>
      <c r="AL83" s="34">
        <f t="shared" si="17"/>
        <v>67</v>
      </c>
      <c r="AM83" s="34">
        <f t="shared" si="17"/>
        <v>56</v>
      </c>
      <c r="AN83" s="34">
        <f t="shared" si="17"/>
        <v>25</v>
      </c>
      <c r="AO83" s="34">
        <f t="shared" si="17"/>
        <v>27</v>
      </c>
      <c r="AP83" s="34">
        <f t="shared" si="17"/>
        <v>45</v>
      </c>
      <c r="AQ83" s="34">
        <f t="shared" si="17"/>
        <v>14</v>
      </c>
      <c r="AR83" s="34">
        <f t="shared" si="17"/>
        <v>18</v>
      </c>
      <c r="AS83" s="34">
        <f t="shared" si="17"/>
        <v>14</v>
      </c>
      <c r="AT83" s="34">
        <f t="shared" si="17"/>
        <v>17</v>
      </c>
      <c r="AU83" s="34">
        <f t="shared" si="17"/>
        <v>14</v>
      </c>
      <c r="AV83" s="34">
        <f t="shared" si="17"/>
        <v>13</v>
      </c>
      <c r="AW83" s="34">
        <f t="shared" si="17"/>
        <v>22</v>
      </c>
      <c r="AX83" s="34">
        <f t="shared" si="17"/>
        <v>66</v>
      </c>
      <c r="AY83" s="34">
        <f t="shared" si="17"/>
        <v>90</v>
      </c>
      <c r="AZ83" s="34">
        <f t="shared" si="17"/>
        <v>90</v>
      </c>
      <c r="BA83" s="34">
        <f t="shared" si="17"/>
        <v>97</v>
      </c>
      <c r="BB83" s="34">
        <f t="shared" si="17"/>
        <v>56</v>
      </c>
      <c r="BC83" s="34">
        <f t="shared" si="17"/>
        <v>34</v>
      </c>
      <c r="BD83" s="34">
        <f t="shared" si="17"/>
        <v>18</v>
      </c>
      <c r="BE83" s="34">
        <f t="shared" si="17"/>
        <v>43</v>
      </c>
      <c r="BF83" s="34">
        <f t="shared" si="17"/>
        <v>100</v>
      </c>
      <c r="BG83" s="34">
        <f t="shared" si="17"/>
        <v>81</v>
      </c>
      <c r="BH83" s="34">
        <f t="shared" si="17"/>
        <v>45</v>
      </c>
      <c r="BI83" s="34">
        <f t="shared" si="17"/>
        <v>100</v>
      </c>
      <c r="BJ83" s="34">
        <f t="shared" si="17"/>
        <v>69</v>
      </c>
      <c r="BK83" s="34">
        <f t="shared" si="17"/>
        <v>73</v>
      </c>
      <c r="BL83" s="34">
        <f t="shared" si="17"/>
        <v>68</v>
      </c>
      <c r="BM83" s="34">
        <f t="shared" si="17"/>
        <v>24</v>
      </c>
      <c r="BN83" s="34">
        <f t="shared" si="17"/>
        <v>80</v>
      </c>
      <c r="BO83" s="34">
        <f t="shared" si="17"/>
        <v>66</v>
      </c>
      <c r="BP83" s="34">
        <f t="shared" si="17"/>
        <v>23</v>
      </c>
      <c r="BQ83" s="13">
        <f t="shared" si="13"/>
        <v>3061</v>
      </c>
    </row>
    <row r="84" spans="1:69" ht="12.75" customHeight="1" x14ac:dyDescent="0.3">
      <c r="A84" s="35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13">
        <f t="shared" si="13"/>
        <v>0</v>
      </c>
    </row>
    <row r="85" spans="1:69" ht="12.75" customHeight="1" x14ac:dyDescent="0.3">
      <c r="A85" s="19" t="s">
        <v>37</v>
      </c>
      <c r="B85" s="26" t="s">
        <v>72</v>
      </c>
      <c r="C85" s="48" t="s">
        <v>73</v>
      </c>
      <c r="D85" s="47"/>
      <c r="E85" s="15">
        <v>1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1</v>
      </c>
      <c r="L85" s="15">
        <v>2</v>
      </c>
      <c r="M85" s="15">
        <v>4</v>
      </c>
      <c r="N85" s="15">
        <v>4</v>
      </c>
      <c r="O85" s="15">
        <v>1</v>
      </c>
      <c r="P85" s="15">
        <v>0</v>
      </c>
      <c r="Q85" s="15">
        <v>3</v>
      </c>
      <c r="R85" s="15">
        <v>1</v>
      </c>
      <c r="S85" s="15">
        <v>2</v>
      </c>
      <c r="T85" s="15">
        <v>2</v>
      </c>
      <c r="U85" s="15">
        <v>1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1</v>
      </c>
      <c r="AC85" s="15">
        <v>1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2</v>
      </c>
      <c r="AM85" s="15">
        <v>1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1</v>
      </c>
      <c r="AT85" s="15">
        <v>4</v>
      </c>
      <c r="AU85" s="15">
        <v>4</v>
      </c>
      <c r="AV85" s="15">
        <v>0</v>
      </c>
      <c r="AW85" s="15">
        <v>3</v>
      </c>
      <c r="AX85" s="15">
        <v>3</v>
      </c>
      <c r="AY85" s="15">
        <v>0</v>
      </c>
      <c r="AZ85" s="15">
        <v>0</v>
      </c>
      <c r="BA85" s="15">
        <v>1</v>
      </c>
      <c r="BB85" s="15">
        <v>1</v>
      </c>
      <c r="BC85" s="15">
        <v>0</v>
      </c>
      <c r="BD85" s="15">
        <v>1</v>
      </c>
      <c r="BE85" s="15">
        <v>2</v>
      </c>
      <c r="BF85" s="15">
        <v>0</v>
      </c>
      <c r="BG85" s="15">
        <v>0</v>
      </c>
      <c r="BH85" s="15">
        <v>1</v>
      </c>
      <c r="BI85" s="15">
        <v>0</v>
      </c>
      <c r="BJ85" s="15">
        <v>0</v>
      </c>
      <c r="BK85" s="15">
        <v>2</v>
      </c>
      <c r="BL85" s="15">
        <v>0</v>
      </c>
      <c r="BM85" s="15">
        <v>0</v>
      </c>
      <c r="BN85" s="15">
        <v>1</v>
      </c>
      <c r="BO85" s="15">
        <v>0</v>
      </c>
      <c r="BP85" s="15">
        <v>0</v>
      </c>
      <c r="BQ85" s="13">
        <f>SUM(E85:BP85)</f>
        <v>51</v>
      </c>
    </row>
    <row r="86" spans="1:69" ht="12.75" customHeight="1" x14ac:dyDescent="0.3">
      <c r="A86" s="19" t="s">
        <v>39</v>
      </c>
      <c r="B86" s="27"/>
      <c r="C86" s="28" t="s">
        <v>74</v>
      </c>
      <c r="D86" s="29"/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1</v>
      </c>
      <c r="M86" s="15">
        <v>2</v>
      </c>
      <c r="N86" s="15">
        <v>2</v>
      </c>
      <c r="O86" s="15">
        <v>0</v>
      </c>
      <c r="P86" s="15">
        <v>0</v>
      </c>
      <c r="Q86" s="15">
        <v>0</v>
      </c>
      <c r="R86" s="15">
        <v>1</v>
      </c>
      <c r="S86" s="15">
        <v>1</v>
      </c>
      <c r="T86" s="15">
        <v>1</v>
      </c>
      <c r="U86" s="15">
        <v>0</v>
      </c>
      <c r="V86" s="15">
        <v>1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1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2</v>
      </c>
      <c r="AJ86" s="15">
        <v>0</v>
      </c>
      <c r="AK86" s="15">
        <v>0</v>
      </c>
      <c r="AL86" s="15">
        <v>0</v>
      </c>
      <c r="AM86" s="15">
        <v>0</v>
      </c>
      <c r="AN86" s="15">
        <v>2</v>
      </c>
      <c r="AO86" s="15">
        <v>0</v>
      </c>
      <c r="AP86" s="15">
        <v>0</v>
      </c>
      <c r="AQ86" s="15">
        <v>1</v>
      </c>
      <c r="AR86" s="15">
        <v>1</v>
      </c>
      <c r="AS86" s="15">
        <v>0</v>
      </c>
      <c r="AT86" s="15">
        <v>1</v>
      </c>
      <c r="AU86" s="15">
        <v>1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1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2</v>
      </c>
      <c r="BK86" s="15">
        <v>0</v>
      </c>
      <c r="BL86" s="15">
        <v>0</v>
      </c>
      <c r="BM86" s="15">
        <v>0</v>
      </c>
      <c r="BN86" s="15">
        <v>0</v>
      </c>
      <c r="BO86" s="15">
        <v>1</v>
      </c>
      <c r="BP86" s="15">
        <v>0</v>
      </c>
      <c r="BQ86" s="13">
        <f t="shared" si="13"/>
        <v>22</v>
      </c>
    </row>
    <row r="87" spans="1:69" ht="12.75" customHeight="1" x14ac:dyDescent="0.3">
      <c r="A87" s="14"/>
      <c r="B87" s="27"/>
      <c r="C87" s="28" t="s">
        <v>75</v>
      </c>
      <c r="D87" s="29"/>
      <c r="E87" s="15">
        <v>0</v>
      </c>
      <c r="F87" s="15">
        <v>0</v>
      </c>
      <c r="G87" s="15">
        <v>0</v>
      </c>
      <c r="H87" s="15">
        <v>0</v>
      </c>
      <c r="I87" s="15">
        <v>3</v>
      </c>
      <c r="J87" s="15">
        <v>9</v>
      </c>
      <c r="K87" s="15">
        <v>14</v>
      </c>
      <c r="L87" s="15">
        <v>82</v>
      </c>
      <c r="M87" s="15">
        <v>83</v>
      </c>
      <c r="N87" s="15">
        <v>69</v>
      </c>
      <c r="O87" s="15">
        <v>7</v>
      </c>
      <c r="P87" s="15">
        <v>2</v>
      </c>
      <c r="Q87" s="15">
        <v>1</v>
      </c>
      <c r="R87" s="15">
        <v>2</v>
      </c>
      <c r="S87" s="15">
        <v>1</v>
      </c>
      <c r="T87" s="15">
        <v>0</v>
      </c>
      <c r="U87" s="15">
        <v>0</v>
      </c>
      <c r="V87" s="15">
        <v>1</v>
      </c>
      <c r="W87" s="15">
        <v>0</v>
      </c>
      <c r="X87" s="15">
        <v>1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1</v>
      </c>
      <c r="AG87" s="15">
        <v>0</v>
      </c>
      <c r="AH87" s="15">
        <v>1</v>
      </c>
      <c r="AI87" s="15">
        <v>0</v>
      </c>
      <c r="AJ87" s="15">
        <v>0</v>
      </c>
      <c r="AK87" s="15">
        <v>1</v>
      </c>
      <c r="AL87" s="15">
        <v>0</v>
      </c>
      <c r="AM87" s="15">
        <v>0</v>
      </c>
      <c r="AN87" s="15">
        <v>3</v>
      </c>
      <c r="AO87" s="15">
        <v>2</v>
      </c>
      <c r="AP87" s="15">
        <v>5</v>
      </c>
      <c r="AQ87" s="15">
        <v>0</v>
      </c>
      <c r="AR87" s="15">
        <v>2</v>
      </c>
      <c r="AS87" s="15">
        <v>0</v>
      </c>
      <c r="AT87" s="15">
        <v>47</v>
      </c>
      <c r="AU87" s="15">
        <v>23</v>
      </c>
      <c r="AV87" s="15">
        <v>0</v>
      </c>
      <c r="AW87" s="15">
        <v>1</v>
      </c>
      <c r="AX87" s="15">
        <v>1</v>
      </c>
      <c r="AY87" s="15">
        <v>0</v>
      </c>
      <c r="AZ87" s="15">
        <v>3</v>
      </c>
      <c r="BA87" s="15">
        <v>14</v>
      </c>
      <c r="BB87" s="15">
        <v>1</v>
      </c>
      <c r="BC87" s="15">
        <v>1</v>
      </c>
      <c r="BD87" s="15">
        <v>0</v>
      </c>
      <c r="BE87" s="15">
        <v>0</v>
      </c>
      <c r="BF87" s="15">
        <v>0</v>
      </c>
      <c r="BG87" s="15">
        <v>0</v>
      </c>
      <c r="BH87" s="15">
        <v>2</v>
      </c>
      <c r="BI87" s="15">
        <v>1</v>
      </c>
      <c r="BJ87" s="15">
        <v>10</v>
      </c>
      <c r="BK87" s="15">
        <v>18</v>
      </c>
      <c r="BL87" s="15">
        <v>0</v>
      </c>
      <c r="BM87" s="15">
        <v>0</v>
      </c>
      <c r="BN87" s="15">
        <v>7</v>
      </c>
      <c r="BO87" s="15">
        <v>1</v>
      </c>
      <c r="BP87" s="15">
        <v>0</v>
      </c>
      <c r="BQ87" s="13">
        <f t="shared" si="13"/>
        <v>420</v>
      </c>
    </row>
    <row r="88" spans="1:69" ht="12.75" customHeight="1" x14ac:dyDescent="0.3">
      <c r="A88" s="14"/>
      <c r="B88" s="27"/>
      <c r="C88" s="28" t="s">
        <v>76</v>
      </c>
      <c r="D88" s="29"/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1</v>
      </c>
      <c r="O88" s="15">
        <v>0</v>
      </c>
      <c r="P88" s="15">
        <v>1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1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1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3">
        <f t="shared" si="13"/>
        <v>4</v>
      </c>
    </row>
    <row r="89" spans="1:69" ht="12.75" customHeight="1" x14ac:dyDescent="0.3">
      <c r="A89" s="14"/>
      <c r="B89" s="27"/>
      <c r="C89" s="28" t="s">
        <v>77</v>
      </c>
      <c r="D89" s="29"/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1</v>
      </c>
      <c r="R89" s="15">
        <v>0</v>
      </c>
      <c r="S89" s="15">
        <v>0</v>
      </c>
      <c r="T89" s="15">
        <v>0</v>
      </c>
      <c r="U89" s="15">
        <v>0</v>
      </c>
      <c r="V89" s="15">
        <v>1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1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1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1</v>
      </c>
      <c r="BO89" s="15">
        <v>0</v>
      </c>
      <c r="BP89" s="15">
        <v>0</v>
      </c>
      <c r="BQ89" s="13">
        <f t="shared" si="13"/>
        <v>5</v>
      </c>
    </row>
    <row r="90" spans="1:69" ht="12.75" customHeight="1" x14ac:dyDescent="0.3">
      <c r="A90" s="14"/>
      <c r="B90" s="27"/>
      <c r="C90" s="28" t="s">
        <v>78</v>
      </c>
      <c r="D90" s="29"/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1</v>
      </c>
      <c r="R90" s="15">
        <v>0</v>
      </c>
      <c r="S90" s="15">
        <v>0</v>
      </c>
      <c r="T90" s="15">
        <v>0</v>
      </c>
      <c r="U90" s="15">
        <v>1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1</v>
      </c>
      <c r="AK90" s="15">
        <v>0</v>
      </c>
      <c r="AL90" s="15">
        <v>2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0</v>
      </c>
      <c r="BP90" s="15">
        <v>0</v>
      </c>
      <c r="BQ90" s="13">
        <f t="shared" si="13"/>
        <v>5</v>
      </c>
    </row>
    <row r="91" spans="1:69" ht="15" customHeight="1" x14ac:dyDescent="0.3">
      <c r="A91" s="14"/>
      <c r="B91" s="27"/>
      <c r="C91" s="28" t="s">
        <v>79</v>
      </c>
      <c r="D91" s="29"/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1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3">
        <f t="shared" si="13"/>
        <v>1</v>
      </c>
    </row>
    <row r="92" spans="1:69" ht="12.75" customHeight="1" x14ac:dyDescent="0.3">
      <c r="A92" s="14"/>
      <c r="B92" s="27"/>
      <c r="C92" s="28" t="s">
        <v>80</v>
      </c>
      <c r="D92" s="29"/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1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1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0</v>
      </c>
      <c r="BQ92" s="13">
        <f t="shared" si="13"/>
        <v>2</v>
      </c>
    </row>
    <row r="93" spans="1:69" ht="12.75" customHeight="1" x14ac:dyDescent="0.3">
      <c r="A93" s="15" t="s">
        <v>15</v>
      </c>
      <c r="B93" s="45" t="s">
        <v>47</v>
      </c>
      <c r="C93" s="46"/>
      <c r="D93" s="47"/>
      <c r="E93" s="34">
        <f t="shared" ref="E93:BP93" si="18">SUM(E85:E92)</f>
        <v>1</v>
      </c>
      <c r="F93" s="34">
        <f t="shared" si="18"/>
        <v>0</v>
      </c>
      <c r="G93" s="34">
        <f t="shared" si="18"/>
        <v>0</v>
      </c>
      <c r="H93" s="34">
        <f t="shared" si="18"/>
        <v>0</v>
      </c>
      <c r="I93" s="34">
        <f t="shared" si="18"/>
        <v>3</v>
      </c>
      <c r="J93" s="34">
        <f t="shared" si="18"/>
        <v>9</v>
      </c>
      <c r="K93" s="34">
        <f t="shared" si="18"/>
        <v>15</v>
      </c>
      <c r="L93" s="34">
        <f t="shared" si="18"/>
        <v>85</v>
      </c>
      <c r="M93" s="34">
        <f t="shared" si="18"/>
        <v>89</v>
      </c>
      <c r="N93" s="34">
        <f t="shared" si="18"/>
        <v>76</v>
      </c>
      <c r="O93" s="34">
        <f t="shared" si="18"/>
        <v>8</v>
      </c>
      <c r="P93" s="34">
        <f t="shared" si="18"/>
        <v>3</v>
      </c>
      <c r="Q93" s="34">
        <f t="shared" si="18"/>
        <v>6</v>
      </c>
      <c r="R93" s="34">
        <f t="shared" si="18"/>
        <v>4</v>
      </c>
      <c r="S93" s="34">
        <f t="shared" si="18"/>
        <v>4</v>
      </c>
      <c r="T93" s="34">
        <f t="shared" si="18"/>
        <v>3</v>
      </c>
      <c r="U93" s="34">
        <f t="shared" si="18"/>
        <v>2</v>
      </c>
      <c r="V93" s="34">
        <f t="shared" si="18"/>
        <v>3</v>
      </c>
      <c r="W93" s="34">
        <f t="shared" si="18"/>
        <v>0</v>
      </c>
      <c r="X93" s="34">
        <f t="shared" si="18"/>
        <v>1</v>
      </c>
      <c r="Y93" s="34">
        <f t="shared" si="18"/>
        <v>0</v>
      </c>
      <c r="Z93" s="34">
        <f t="shared" si="18"/>
        <v>0</v>
      </c>
      <c r="AA93" s="34">
        <f t="shared" si="18"/>
        <v>0</v>
      </c>
      <c r="AB93" s="34">
        <f t="shared" si="18"/>
        <v>1</v>
      </c>
      <c r="AC93" s="34">
        <f t="shared" si="18"/>
        <v>2</v>
      </c>
      <c r="AD93" s="34">
        <f t="shared" si="18"/>
        <v>1</v>
      </c>
      <c r="AE93" s="34">
        <f t="shared" si="18"/>
        <v>0</v>
      </c>
      <c r="AF93" s="34">
        <f t="shared" si="18"/>
        <v>1</v>
      </c>
      <c r="AG93" s="34">
        <f t="shared" si="18"/>
        <v>0</v>
      </c>
      <c r="AH93" s="34">
        <f t="shared" si="18"/>
        <v>1</v>
      </c>
      <c r="AI93" s="34">
        <f t="shared" si="18"/>
        <v>2</v>
      </c>
      <c r="AJ93" s="34">
        <f t="shared" si="18"/>
        <v>1</v>
      </c>
      <c r="AK93" s="34">
        <f t="shared" si="18"/>
        <v>3</v>
      </c>
      <c r="AL93" s="34">
        <f t="shared" si="18"/>
        <v>4</v>
      </c>
      <c r="AM93" s="34">
        <f t="shared" si="18"/>
        <v>1</v>
      </c>
      <c r="AN93" s="34">
        <f t="shared" si="18"/>
        <v>5</v>
      </c>
      <c r="AO93" s="34">
        <f t="shared" si="18"/>
        <v>2</v>
      </c>
      <c r="AP93" s="34">
        <f t="shared" si="18"/>
        <v>6</v>
      </c>
      <c r="AQ93" s="34">
        <f t="shared" si="18"/>
        <v>1</v>
      </c>
      <c r="AR93" s="34">
        <f t="shared" si="18"/>
        <v>4</v>
      </c>
      <c r="AS93" s="34">
        <f t="shared" si="18"/>
        <v>1</v>
      </c>
      <c r="AT93" s="34">
        <f t="shared" si="18"/>
        <v>52</v>
      </c>
      <c r="AU93" s="34">
        <f t="shared" si="18"/>
        <v>28</v>
      </c>
      <c r="AV93" s="34">
        <f t="shared" si="18"/>
        <v>0</v>
      </c>
      <c r="AW93" s="34">
        <f t="shared" si="18"/>
        <v>4</v>
      </c>
      <c r="AX93" s="34">
        <f t="shared" si="18"/>
        <v>4</v>
      </c>
      <c r="AY93" s="34">
        <f t="shared" si="18"/>
        <v>1</v>
      </c>
      <c r="AZ93" s="34">
        <f t="shared" si="18"/>
        <v>3</v>
      </c>
      <c r="BA93" s="34">
        <f t="shared" si="18"/>
        <v>15</v>
      </c>
      <c r="BB93" s="34">
        <f t="shared" si="18"/>
        <v>2</v>
      </c>
      <c r="BC93" s="34">
        <f t="shared" si="18"/>
        <v>1</v>
      </c>
      <c r="BD93" s="34">
        <f t="shared" si="18"/>
        <v>2</v>
      </c>
      <c r="BE93" s="34">
        <f t="shared" si="18"/>
        <v>2</v>
      </c>
      <c r="BF93" s="34">
        <f t="shared" si="18"/>
        <v>0</v>
      </c>
      <c r="BG93" s="34">
        <f t="shared" si="18"/>
        <v>0</v>
      </c>
      <c r="BH93" s="34">
        <f t="shared" si="18"/>
        <v>3</v>
      </c>
      <c r="BI93" s="34">
        <f t="shared" si="18"/>
        <v>1</v>
      </c>
      <c r="BJ93" s="34">
        <f t="shared" si="18"/>
        <v>13</v>
      </c>
      <c r="BK93" s="34">
        <f t="shared" si="18"/>
        <v>20</v>
      </c>
      <c r="BL93" s="34">
        <f t="shared" si="18"/>
        <v>0</v>
      </c>
      <c r="BM93" s="34">
        <f t="shared" si="18"/>
        <v>0</v>
      </c>
      <c r="BN93" s="34">
        <f t="shared" si="18"/>
        <v>9</v>
      </c>
      <c r="BO93" s="34">
        <f t="shared" si="18"/>
        <v>2</v>
      </c>
      <c r="BP93" s="34">
        <f t="shared" si="18"/>
        <v>0</v>
      </c>
      <c r="BQ93" s="13">
        <f t="shared" si="13"/>
        <v>510</v>
      </c>
    </row>
    <row r="94" spans="1:69" ht="12.75" customHeight="1" x14ac:dyDescent="0.3">
      <c r="A94" s="35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13">
        <f t="shared" si="13"/>
        <v>0</v>
      </c>
    </row>
    <row r="95" spans="1:69" ht="12.75" customHeight="1" x14ac:dyDescent="0.3">
      <c r="A95" s="19" t="s">
        <v>37</v>
      </c>
      <c r="B95" s="26" t="s">
        <v>81</v>
      </c>
      <c r="C95" s="48" t="s">
        <v>82</v>
      </c>
      <c r="D95" s="47"/>
      <c r="E95" s="15">
        <v>1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1</v>
      </c>
      <c r="P95" s="15">
        <v>0</v>
      </c>
      <c r="Q95" s="15">
        <v>1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1</v>
      </c>
      <c r="AH95" s="15">
        <v>1</v>
      </c>
      <c r="AI95" s="15">
        <v>0</v>
      </c>
      <c r="AJ95" s="15">
        <v>1</v>
      </c>
      <c r="AK95" s="15">
        <v>0</v>
      </c>
      <c r="AL95" s="15">
        <v>0</v>
      </c>
      <c r="AM95" s="15">
        <v>1</v>
      </c>
      <c r="AN95" s="15">
        <v>0</v>
      </c>
      <c r="AO95" s="15">
        <v>1</v>
      </c>
      <c r="AP95" s="15">
        <v>0</v>
      </c>
      <c r="AQ95" s="15">
        <v>0</v>
      </c>
      <c r="AR95" s="15">
        <v>1</v>
      </c>
      <c r="AS95" s="15">
        <v>1</v>
      </c>
      <c r="AT95" s="15">
        <v>0</v>
      </c>
      <c r="AU95" s="15">
        <v>0</v>
      </c>
      <c r="AV95" s="15">
        <v>0</v>
      </c>
      <c r="AW95" s="15">
        <v>1</v>
      </c>
      <c r="AX95" s="15">
        <v>0</v>
      </c>
      <c r="AY95" s="15">
        <v>0</v>
      </c>
      <c r="AZ95" s="15">
        <v>0</v>
      </c>
      <c r="BA95" s="15">
        <v>1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1</v>
      </c>
      <c r="BJ95" s="15">
        <v>0</v>
      </c>
      <c r="BK95" s="15">
        <v>0</v>
      </c>
      <c r="BL95" s="15">
        <v>0</v>
      </c>
      <c r="BM95" s="15">
        <v>1</v>
      </c>
      <c r="BN95" s="15">
        <v>1</v>
      </c>
      <c r="BO95" s="15">
        <v>0</v>
      </c>
      <c r="BP95" s="15">
        <v>0</v>
      </c>
      <c r="BQ95" s="13">
        <f>SUM(E95:BP95)</f>
        <v>15</v>
      </c>
    </row>
    <row r="96" spans="1:69" ht="12.75" customHeight="1" x14ac:dyDescent="0.3">
      <c r="A96" s="19" t="s">
        <v>39</v>
      </c>
      <c r="B96" s="27"/>
      <c r="C96" s="28" t="s">
        <v>83</v>
      </c>
      <c r="D96" s="37"/>
      <c r="E96" s="15">
        <v>0</v>
      </c>
      <c r="F96" s="15">
        <v>0</v>
      </c>
      <c r="G96" s="15">
        <v>0</v>
      </c>
      <c r="H96" s="15">
        <v>0</v>
      </c>
      <c r="I96" s="15">
        <v>1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1</v>
      </c>
      <c r="S96" s="15">
        <v>0</v>
      </c>
      <c r="T96" s="15">
        <v>0</v>
      </c>
      <c r="U96" s="15">
        <v>0</v>
      </c>
      <c r="V96" s="15">
        <v>1</v>
      </c>
      <c r="W96" s="15">
        <v>1</v>
      </c>
      <c r="X96" s="15">
        <v>0</v>
      </c>
      <c r="Y96" s="15">
        <v>1</v>
      </c>
      <c r="Z96" s="15">
        <v>0</v>
      </c>
      <c r="AA96" s="15">
        <v>0</v>
      </c>
      <c r="AB96" s="15"/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1</v>
      </c>
      <c r="AN96" s="15">
        <v>0</v>
      </c>
      <c r="AO96" s="15">
        <v>0</v>
      </c>
      <c r="AP96" s="15">
        <v>1</v>
      </c>
      <c r="AQ96" s="15">
        <v>1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2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3">
        <f t="shared" si="13"/>
        <v>10</v>
      </c>
    </row>
    <row r="97" spans="1:69" ht="12.75" customHeight="1" x14ac:dyDescent="0.3">
      <c r="A97" s="15" t="s">
        <v>15</v>
      </c>
      <c r="B97" s="45" t="s">
        <v>47</v>
      </c>
      <c r="C97" s="46"/>
      <c r="D97" s="47"/>
      <c r="E97" s="34">
        <f t="shared" ref="E97:BP97" si="19">SUM(E95:E96)</f>
        <v>1</v>
      </c>
      <c r="F97" s="34">
        <f t="shared" si="19"/>
        <v>0</v>
      </c>
      <c r="G97" s="34">
        <f t="shared" si="19"/>
        <v>0</v>
      </c>
      <c r="H97" s="34">
        <f t="shared" si="19"/>
        <v>0</v>
      </c>
      <c r="I97" s="34">
        <f t="shared" si="19"/>
        <v>1</v>
      </c>
      <c r="J97" s="34">
        <f t="shared" si="19"/>
        <v>0</v>
      </c>
      <c r="K97" s="34">
        <f t="shared" si="19"/>
        <v>0</v>
      </c>
      <c r="L97" s="34">
        <f t="shared" si="19"/>
        <v>0</v>
      </c>
      <c r="M97" s="34">
        <f t="shared" si="19"/>
        <v>0</v>
      </c>
      <c r="N97" s="34">
        <f t="shared" si="19"/>
        <v>0</v>
      </c>
      <c r="O97" s="34">
        <f t="shared" si="19"/>
        <v>1</v>
      </c>
      <c r="P97" s="34">
        <f t="shared" si="19"/>
        <v>0</v>
      </c>
      <c r="Q97" s="34">
        <f t="shared" si="19"/>
        <v>1</v>
      </c>
      <c r="R97" s="34">
        <f t="shared" si="19"/>
        <v>1</v>
      </c>
      <c r="S97" s="34">
        <f t="shared" si="19"/>
        <v>0</v>
      </c>
      <c r="T97" s="34">
        <f t="shared" si="19"/>
        <v>0</v>
      </c>
      <c r="U97" s="34">
        <f t="shared" si="19"/>
        <v>0</v>
      </c>
      <c r="V97" s="34">
        <f t="shared" si="19"/>
        <v>1</v>
      </c>
      <c r="W97" s="34">
        <f t="shared" si="19"/>
        <v>1</v>
      </c>
      <c r="X97" s="34">
        <f t="shared" si="19"/>
        <v>0</v>
      </c>
      <c r="Y97" s="34">
        <f t="shared" si="19"/>
        <v>1</v>
      </c>
      <c r="Z97" s="34">
        <f t="shared" si="19"/>
        <v>0</v>
      </c>
      <c r="AA97" s="34">
        <f t="shared" si="19"/>
        <v>0</v>
      </c>
      <c r="AB97" s="34">
        <f t="shared" si="19"/>
        <v>0</v>
      </c>
      <c r="AC97" s="34">
        <f t="shared" si="19"/>
        <v>0</v>
      </c>
      <c r="AD97" s="34">
        <f t="shared" si="19"/>
        <v>0</v>
      </c>
      <c r="AE97" s="34">
        <f t="shared" si="19"/>
        <v>0</v>
      </c>
      <c r="AF97" s="34">
        <f t="shared" si="19"/>
        <v>0</v>
      </c>
      <c r="AG97" s="34">
        <f t="shared" si="19"/>
        <v>1</v>
      </c>
      <c r="AH97" s="34">
        <f t="shared" si="19"/>
        <v>1</v>
      </c>
      <c r="AI97" s="34">
        <f t="shared" si="19"/>
        <v>0</v>
      </c>
      <c r="AJ97" s="34">
        <f t="shared" si="19"/>
        <v>1</v>
      </c>
      <c r="AK97" s="34">
        <f t="shared" si="19"/>
        <v>0</v>
      </c>
      <c r="AL97" s="34">
        <f t="shared" si="19"/>
        <v>0</v>
      </c>
      <c r="AM97" s="34">
        <f t="shared" si="19"/>
        <v>2</v>
      </c>
      <c r="AN97" s="34">
        <f t="shared" si="19"/>
        <v>0</v>
      </c>
      <c r="AO97" s="34">
        <f t="shared" si="19"/>
        <v>1</v>
      </c>
      <c r="AP97" s="34">
        <f t="shared" si="19"/>
        <v>1</v>
      </c>
      <c r="AQ97" s="34">
        <f t="shared" si="19"/>
        <v>1</v>
      </c>
      <c r="AR97" s="34">
        <f t="shared" si="19"/>
        <v>1</v>
      </c>
      <c r="AS97" s="34">
        <f t="shared" si="19"/>
        <v>1</v>
      </c>
      <c r="AT97" s="34">
        <f t="shared" si="19"/>
        <v>0</v>
      </c>
      <c r="AU97" s="34">
        <f t="shared" si="19"/>
        <v>0</v>
      </c>
      <c r="AV97" s="34">
        <f t="shared" si="19"/>
        <v>0</v>
      </c>
      <c r="AW97" s="34">
        <f t="shared" si="19"/>
        <v>1</v>
      </c>
      <c r="AX97" s="34">
        <f t="shared" si="19"/>
        <v>0</v>
      </c>
      <c r="AY97" s="34">
        <f t="shared" si="19"/>
        <v>0</v>
      </c>
      <c r="AZ97" s="34">
        <f t="shared" si="19"/>
        <v>0</v>
      </c>
      <c r="BA97" s="34">
        <f t="shared" si="19"/>
        <v>1</v>
      </c>
      <c r="BB97" s="34">
        <f t="shared" si="19"/>
        <v>2</v>
      </c>
      <c r="BC97" s="34">
        <f t="shared" si="19"/>
        <v>0</v>
      </c>
      <c r="BD97" s="34">
        <f t="shared" si="19"/>
        <v>0</v>
      </c>
      <c r="BE97" s="34">
        <f t="shared" si="19"/>
        <v>0</v>
      </c>
      <c r="BF97" s="34">
        <f t="shared" si="19"/>
        <v>0</v>
      </c>
      <c r="BG97" s="34">
        <f t="shared" si="19"/>
        <v>0</v>
      </c>
      <c r="BH97" s="34">
        <f t="shared" si="19"/>
        <v>0</v>
      </c>
      <c r="BI97" s="34">
        <f t="shared" si="19"/>
        <v>1</v>
      </c>
      <c r="BJ97" s="34">
        <f t="shared" si="19"/>
        <v>0</v>
      </c>
      <c r="BK97" s="34">
        <f t="shared" si="19"/>
        <v>0</v>
      </c>
      <c r="BL97" s="34">
        <f t="shared" si="19"/>
        <v>0</v>
      </c>
      <c r="BM97" s="34">
        <f t="shared" si="19"/>
        <v>1</v>
      </c>
      <c r="BN97" s="34">
        <f t="shared" si="19"/>
        <v>1</v>
      </c>
      <c r="BO97" s="34">
        <f t="shared" si="19"/>
        <v>0</v>
      </c>
      <c r="BP97" s="34">
        <f t="shared" si="19"/>
        <v>0</v>
      </c>
      <c r="BQ97" s="13">
        <f t="shared" si="13"/>
        <v>25</v>
      </c>
    </row>
    <row r="98" spans="1:69" ht="12.75" customHeight="1" x14ac:dyDescent="0.3">
      <c r="A98" s="35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13">
        <f t="shared" si="13"/>
        <v>0</v>
      </c>
    </row>
    <row r="99" spans="1:69" ht="12.75" customHeight="1" x14ac:dyDescent="0.3">
      <c r="A99" s="19" t="s">
        <v>37</v>
      </c>
      <c r="B99" s="26" t="s">
        <v>84</v>
      </c>
      <c r="C99" s="48" t="s">
        <v>85</v>
      </c>
      <c r="D99" s="47"/>
      <c r="E99" s="15">
        <v>1</v>
      </c>
      <c r="F99" s="15">
        <v>0</v>
      </c>
      <c r="G99" s="15">
        <v>1</v>
      </c>
      <c r="H99" s="15">
        <v>2</v>
      </c>
      <c r="I99" s="15">
        <v>0</v>
      </c>
      <c r="J99" s="15">
        <v>0</v>
      </c>
      <c r="K99" s="15">
        <v>2</v>
      </c>
      <c r="L99" s="15">
        <v>1</v>
      </c>
      <c r="M99" s="15">
        <v>0</v>
      </c>
      <c r="N99" s="15">
        <v>0</v>
      </c>
      <c r="O99" s="15">
        <v>2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1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1</v>
      </c>
      <c r="AG99" s="15">
        <v>1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2</v>
      </c>
      <c r="AN99" s="15">
        <v>4</v>
      </c>
      <c r="AO99" s="15">
        <v>1</v>
      </c>
      <c r="AP99" s="15">
        <v>0</v>
      </c>
      <c r="AQ99" s="15">
        <v>0</v>
      </c>
      <c r="AR99" s="15">
        <v>0</v>
      </c>
      <c r="AS99" s="15">
        <v>1</v>
      </c>
      <c r="AT99" s="15">
        <v>1</v>
      </c>
      <c r="AU99" s="15">
        <v>1</v>
      </c>
      <c r="AV99" s="15">
        <v>1</v>
      </c>
      <c r="AW99" s="15">
        <v>1</v>
      </c>
      <c r="AX99" s="15">
        <v>0</v>
      </c>
      <c r="AY99" s="15">
        <v>0</v>
      </c>
      <c r="AZ99" s="15">
        <v>0</v>
      </c>
      <c r="BA99" s="15">
        <v>1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2</v>
      </c>
      <c r="BH99" s="15">
        <v>0</v>
      </c>
      <c r="BI99" s="15">
        <v>0</v>
      </c>
      <c r="BJ99" s="15">
        <v>2</v>
      </c>
      <c r="BK99" s="15">
        <v>1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3">
        <f t="shared" si="13"/>
        <v>30</v>
      </c>
    </row>
    <row r="100" spans="1:69" ht="12.75" customHeight="1" x14ac:dyDescent="0.3">
      <c r="A100" s="19" t="s">
        <v>39</v>
      </c>
      <c r="B100" s="27"/>
      <c r="C100" s="28" t="s">
        <v>86</v>
      </c>
      <c r="D100" s="29"/>
      <c r="E100" s="15">
        <v>0</v>
      </c>
      <c r="F100" s="15">
        <v>0</v>
      </c>
      <c r="G100" s="15">
        <v>0</v>
      </c>
      <c r="H100" s="15">
        <v>2</v>
      </c>
      <c r="I100" s="15">
        <v>1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2</v>
      </c>
      <c r="P100" s="15">
        <v>0</v>
      </c>
      <c r="Q100" s="15">
        <v>1</v>
      </c>
      <c r="R100" s="15">
        <v>1</v>
      </c>
      <c r="S100" s="15">
        <v>1</v>
      </c>
      <c r="T100" s="15">
        <v>0</v>
      </c>
      <c r="U100" s="15">
        <v>0</v>
      </c>
      <c r="V100" s="15">
        <v>0</v>
      </c>
      <c r="W100" s="15">
        <v>1</v>
      </c>
      <c r="X100" s="15">
        <v>1</v>
      </c>
      <c r="Y100" s="15">
        <v>0</v>
      </c>
      <c r="Z100" s="15">
        <v>0</v>
      </c>
      <c r="AA100" s="15">
        <v>1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1</v>
      </c>
      <c r="AJ100" s="15">
        <v>0</v>
      </c>
      <c r="AK100" s="15">
        <v>2</v>
      </c>
      <c r="AL100" s="15"/>
      <c r="AM100" s="15">
        <v>0</v>
      </c>
      <c r="AN100" s="15">
        <v>0</v>
      </c>
      <c r="AO100" s="15">
        <v>1</v>
      </c>
      <c r="AP100" s="15">
        <v>0</v>
      </c>
      <c r="AQ100" s="15">
        <v>1</v>
      </c>
      <c r="AR100" s="15">
        <v>1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1</v>
      </c>
      <c r="BO100" s="15">
        <v>0</v>
      </c>
      <c r="BP100" s="15">
        <v>1</v>
      </c>
      <c r="BQ100" s="13">
        <f t="shared" si="13"/>
        <v>19</v>
      </c>
    </row>
    <row r="101" spans="1:69" ht="12.75" customHeight="1" x14ac:dyDescent="0.3">
      <c r="A101" s="15" t="s">
        <v>15</v>
      </c>
      <c r="B101" s="45" t="s">
        <v>47</v>
      </c>
      <c r="C101" s="46"/>
      <c r="D101" s="47"/>
      <c r="E101" s="34">
        <f t="shared" ref="E101:BP101" si="20">SUM(E99:E100)</f>
        <v>1</v>
      </c>
      <c r="F101" s="34">
        <f t="shared" si="20"/>
        <v>0</v>
      </c>
      <c r="G101" s="34">
        <f t="shared" si="20"/>
        <v>1</v>
      </c>
      <c r="H101" s="34">
        <f t="shared" si="20"/>
        <v>4</v>
      </c>
      <c r="I101" s="34">
        <f t="shared" si="20"/>
        <v>1</v>
      </c>
      <c r="J101" s="34">
        <f t="shared" si="20"/>
        <v>0</v>
      </c>
      <c r="K101" s="34">
        <f t="shared" si="20"/>
        <v>2</v>
      </c>
      <c r="L101" s="34">
        <f t="shared" si="20"/>
        <v>1</v>
      </c>
      <c r="M101" s="34">
        <f t="shared" si="20"/>
        <v>0</v>
      </c>
      <c r="N101" s="34">
        <f t="shared" si="20"/>
        <v>0</v>
      </c>
      <c r="O101" s="34">
        <f t="shared" si="20"/>
        <v>4</v>
      </c>
      <c r="P101" s="34">
        <f t="shared" si="20"/>
        <v>0</v>
      </c>
      <c r="Q101" s="34">
        <f t="shared" si="20"/>
        <v>1</v>
      </c>
      <c r="R101" s="34">
        <f t="shared" si="20"/>
        <v>1</v>
      </c>
      <c r="S101" s="34">
        <f t="shared" si="20"/>
        <v>1</v>
      </c>
      <c r="T101" s="34">
        <f t="shared" si="20"/>
        <v>0</v>
      </c>
      <c r="U101" s="34">
        <f t="shared" si="20"/>
        <v>0</v>
      </c>
      <c r="V101" s="34">
        <f t="shared" si="20"/>
        <v>1</v>
      </c>
      <c r="W101" s="34">
        <f t="shared" si="20"/>
        <v>1</v>
      </c>
      <c r="X101" s="34">
        <f t="shared" si="20"/>
        <v>1</v>
      </c>
      <c r="Y101" s="34">
        <f t="shared" si="20"/>
        <v>0</v>
      </c>
      <c r="Z101" s="34">
        <f t="shared" si="20"/>
        <v>0</v>
      </c>
      <c r="AA101" s="34">
        <f t="shared" si="20"/>
        <v>1</v>
      </c>
      <c r="AB101" s="34">
        <f t="shared" si="20"/>
        <v>0</v>
      </c>
      <c r="AC101" s="34">
        <f t="shared" si="20"/>
        <v>0</v>
      </c>
      <c r="AD101" s="34">
        <f t="shared" si="20"/>
        <v>0</v>
      </c>
      <c r="AE101" s="34">
        <f t="shared" si="20"/>
        <v>0</v>
      </c>
      <c r="AF101" s="34">
        <f t="shared" si="20"/>
        <v>1</v>
      </c>
      <c r="AG101" s="34">
        <f t="shared" si="20"/>
        <v>1</v>
      </c>
      <c r="AH101" s="34">
        <f t="shared" si="20"/>
        <v>0</v>
      </c>
      <c r="AI101" s="34">
        <f t="shared" si="20"/>
        <v>1</v>
      </c>
      <c r="AJ101" s="34">
        <f t="shared" si="20"/>
        <v>0</v>
      </c>
      <c r="AK101" s="34">
        <f t="shared" si="20"/>
        <v>2</v>
      </c>
      <c r="AL101" s="34">
        <f t="shared" si="20"/>
        <v>0</v>
      </c>
      <c r="AM101" s="34">
        <f t="shared" si="20"/>
        <v>2</v>
      </c>
      <c r="AN101" s="34">
        <f t="shared" si="20"/>
        <v>4</v>
      </c>
      <c r="AO101" s="34">
        <f t="shared" si="20"/>
        <v>2</v>
      </c>
      <c r="AP101" s="34">
        <f t="shared" si="20"/>
        <v>0</v>
      </c>
      <c r="AQ101" s="34">
        <f t="shared" si="20"/>
        <v>1</v>
      </c>
      <c r="AR101" s="34">
        <f t="shared" si="20"/>
        <v>1</v>
      </c>
      <c r="AS101" s="34">
        <f t="shared" si="20"/>
        <v>1</v>
      </c>
      <c r="AT101" s="34">
        <f t="shared" si="20"/>
        <v>1</v>
      </c>
      <c r="AU101" s="34">
        <f t="shared" si="20"/>
        <v>1</v>
      </c>
      <c r="AV101" s="34">
        <f t="shared" si="20"/>
        <v>1</v>
      </c>
      <c r="AW101" s="34">
        <f t="shared" si="20"/>
        <v>1</v>
      </c>
      <c r="AX101" s="34">
        <f t="shared" si="20"/>
        <v>0</v>
      </c>
      <c r="AY101" s="34">
        <f t="shared" si="20"/>
        <v>0</v>
      </c>
      <c r="AZ101" s="34">
        <f t="shared" si="20"/>
        <v>0</v>
      </c>
      <c r="BA101" s="34">
        <f t="shared" si="20"/>
        <v>1</v>
      </c>
      <c r="BB101" s="34">
        <f t="shared" si="20"/>
        <v>0</v>
      </c>
      <c r="BC101" s="34">
        <f t="shared" si="20"/>
        <v>0</v>
      </c>
      <c r="BD101" s="34">
        <f t="shared" si="20"/>
        <v>0</v>
      </c>
      <c r="BE101" s="34">
        <f t="shared" si="20"/>
        <v>0</v>
      </c>
      <c r="BF101" s="34">
        <f t="shared" si="20"/>
        <v>0</v>
      </c>
      <c r="BG101" s="34">
        <f t="shared" si="20"/>
        <v>2</v>
      </c>
      <c r="BH101" s="34">
        <f t="shared" si="20"/>
        <v>0</v>
      </c>
      <c r="BI101" s="34">
        <f t="shared" si="20"/>
        <v>0</v>
      </c>
      <c r="BJ101" s="34">
        <f t="shared" si="20"/>
        <v>2</v>
      </c>
      <c r="BK101" s="34">
        <f t="shared" si="20"/>
        <v>1</v>
      </c>
      <c r="BL101" s="34">
        <f t="shared" si="20"/>
        <v>0</v>
      </c>
      <c r="BM101" s="34">
        <f t="shared" si="20"/>
        <v>0</v>
      </c>
      <c r="BN101" s="34">
        <f t="shared" si="20"/>
        <v>1</v>
      </c>
      <c r="BO101" s="34">
        <f t="shared" si="20"/>
        <v>0</v>
      </c>
      <c r="BP101" s="34">
        <f t="shared" si="20"/>
        <v>1</v>
      </c>
      <c r="BQ101" s="13">
        <f t="shared" si="13"/>
        <v>49</v>
      </c>
    </row>
    <row r="102" spans="1:69" ht="12.75" customHeight="1" x14ac:dyDescent="0.3">
      <c r="A102" s="35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13">
        <f t="shared" si="13"/>
        <v>0</v>
      </c>
    </row>
    <row r="103" spans="1:69" ht="15" customHeight="1" x14ac:dyDescent="0.3">
      <c r="A103" s="19" t="s">
        <v>37</v>
      </c>
      <c r="B103" s="26" t="s">
        <v>87</v>
      </c>
      <c r="C103" s="48" t="s">
        <v>88</v>
      </c>
      <c r="D103" s="47"/>
      <c r="E103" s="15">
        <v>1</v>
      </c>
      <c r="F103" s="15">
        <v>1</v>
      </c>
      <c r="G103" s="15">
        <v>0</v>
      </c>
      <c r="H103" s="15">
        <v>0</v>
      </c>
      <c r="I103" s="15">
        <v>2</v>
      </c>
      <c r="J103" s="15">
        <v>1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3</v>
      </c>
      <c r="R103" s="15">
        <v>1</v>
      </c>
      <c r="S103" s="15">
        <v>2</v>
      </c>
      <c r="T103" s="15">
        <v>4</v>
      </c>
      <c r="U103" s="15">
        <v>1</v>
      </c>
      <c r="V103" s="15">
        <v>2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1</v>
      </c>
      <c r="AG103" s="15">
        <v>2</v>
      </c>
      <c r="AH103" s="15">
        <v>1</v>
      </c>
      <c r="AI103" s="15">
        <v>6</v>
      </c>
      <c r="AJ103" s="15">
        <v>2</v>
      </c>
      <c r="AK103" s="15">
        <v>1</v>
      </c>
      <c r="AL103" s="15">
        <v>1</v>
      </c>
      <c r="AM103" s="15">
        <v>1</v>
      </c>
      <c r="AN103" s="15">
        <v>0</v>
      </c>
      <c r="AO103" s="15">
        <v>2</v>
      </c>
      <c r="AP103" s="15">
        <v>9</v>
      </c>
      <c r="AQ103" s="15">
        <v>7</v>
      </c>
      <c r="AR103" s="15">
        <v>5</v>
      </c>
      <c r="AS103" s="15">
        <v>6</v>
      </c>
      <c r="AT103" s="15">
        <v>6</v>
      </c>
      <c r="AU103" s="15">
        <v>0</v>
      </c>
      <c r="AV103" s="15">
        <v>0</v>
      </c>
      <c r="AW103" s="15">
        <v>0</v>
      </c>
      <c r="AX103" s="15">
        <v>4</v>
      </c>
      <c r="AY103" s="15">
        <v>5</v>
      </c>
      <c r="AZ103" s="15">
        <v>2</v>
      </c>
      <c r="BA103" s="15">
        <v>0</v>
      </c>
      <c r="BB103" s="15">
        <v>0</v>
      </c>
      <c r="BC103" s="15">
        <v>3</v>
      </c>
      <c r="BD103" s="15">
        <v>1</v>
      </c>
      <c r="BE103" s="15">
        <v>1</v>
      </c>
      <c r="BF103" s="15">
        <v>0</v>
      </c>
      <c r="BG103" s="15">
        <v>0</v>
      </c>
      <c r="BH103" s="15">
        <v>9</v>
      </c>
      <c r="BI103" s="15">
        <v>1</v>
      </c>
      <c r="BJ103" s="15">
        <v>0</v>
      </c>
      <c r="BK103" s="15">
        <v>1</v>
      </c>
      <c r="BL103" s="15">
        <v>0</v>
      </c>
      <c r="BM103" s="15">
        <v>0</v>
      </c>
      <c r="BN103" s="15">
        <v>0</v>
      </c>
      <c r="BO103" s="15">
        <v>0</v>
      </c>
      <c r="BP103" s="15">
        <v>7</v>
      </c>
      <c r="BQ103" s="13">
        <f t="shared" si="13"/>
        <v>102</v>
      </c>
    </row>
    <row r="104" spans="1:69" ht="12.75" customHeight="1" x14ac:dyDescent="0.3">
      <c r="A104" s="19" t="s">
        <v>39</v>
      </c>
      <c r="B104" s="27"/>
      <c r="C104" s="28" t="s">
        <v>89</v>
      </c>
      <c r="D104" s="29"/>
      <c r="E104" s="15">
        <v>13</v>
      </c>
      <c r="F104" s="15">
        <v>0</v>
      </c>
      <c r="G104" s="15">
        <v>8</v>
      </c>
      <c r="H104" s="15">
        <v>2</v>
      </c>
      <c r="I104" s="15">
        <v>3</v>
      </c>
      <c r="J104" s="15">
        <v>6</v>
      </c>
      <c r="K104" s="15">
        <v>7</v>
      </c>
      <c r="L104" s="15">
        <v>3</v>
      </c>
      <c r="M104" s="15">
        <v>7</v>
      </c>
      <c r="N104" s="15">
        <v>0</v>
      </c>
      <c r="O104" s="15">
        <v>1</v>
      </c>
      <c r="P104" s="15">
        <v>3</v>
      </c>
      <c r="Q104" s="15">
        <v>3</v>
      </c>
      <c r="R104" s="15">
        <v>3</v>
      </c>
      <c r="S104" s="15">
        <v>8</v>
      </c>
      <c r="T104" s="15">
        <v>4</v>
      </c>
      <c r="U104" s="15">
        <v>5</v>
      </c>
      <c r="V104" s="15">
        <v>9</v>
      </c>
      <c r="W104" s="15">
        <v>11</v>
      </c>
      <c r="X104" s="15">
        <v>7</v>
      </c>
      <c r="Y104" s="15">
        <v>4</v>
      </c>
      <c r="Z104" s="15">
        <v>0</v>
      </c>
      <c r="AA104" s="15">
        <v>0</v>
      </c>
      <c r="AB104" s="15">
        <v>2</v>
      </c>
      <c r="AC104" s="15">
        <v>0</v>
      </c>
      <c r="AD104" s="15">
        <v>1</v>
      </c>
      <c r="AE104" s="15">
        <v>1</v>
      </c>
      <c r="AF104" s="15">
        <v>12</v>
      </c>
      <c r="AG104" s="15">
        <v>5</v>
      </c>
      <c r="AH104" s="15">
        <v>1</v>
      </c>
      <c r="AI104" s="15">
        <v>3</v>
      </c>
      <c r="AJ104" s="15">
        <v>6</v>
      </c>
      <c r="AK104" s="15">
        <v>10</v>
      </c>
      <c r="AL104" s="15">
        <v>1</v>
      </c>
      <c r="AM104" s="15">
        <v>1</v>
      </c>
      <c r="AN104" s="15">
        <v>1</v>
      </c>
      <c r="AO104" s="15">
        <v>12</v>
      </c>
      <c r="AP104" s="15">
        <v>56</v>
      </c>
      <c r="AQ104" s="15">
        <v>28</v>
      </c>
      <c r="AR104" s="15">
        <v>17</v>
      </c>
      <c r="AS104" s="15">
        <v>18</v>
      </c>
      <c r="AT104" s="15">
        <v>39</v>
      </c>
      <c r="AU104" s="15">
        <v>0</v>
      </c>
      <c r="AV104" s="15">
        <v>2</v>
      </c>
      <c r="AW104" s="15">
        <v>4</v>
      </c>
      <c r="AX104" s="15">
        <v>6</v>
      </c>
      <c r="AY104" s="15">
        <v>14</v>
      </c>
      <c r="AZ104" s="15">
        <v>6</v>
      </c>
      <c r="BA104" s="15">
        <v>0</v>
      </c>
      <c r="BB104" s="15">
        <v>0</v>
      </c>
      <c r="BC104" s="15">
        <v>40</v>
      </c>
      <c r="BD104" s="15">
        <v>12</v>
      </c>
      <c r="BE104" s="15">
        <v>11</v>
      </c>
      <c r="BF104" s="15">
        <v>0</v>
      </c>
      <c r="BG104" s="15">
        <v>0</v>
      </c>
      <c r="BH104" s="15">
        <v>79</v>
      </c>
      <c r="BI104" s="15">
        <v>2</v>
      </c>
      <c r="BJ104" s="15">
        <v>1</v>
      </c>
      <c r="BK104" s="15">
        <v>4</v>
      </c>
      <c r="BL104" s="15">
        <v>12</v>
      </c>
      <c r="BM104" s="15">
        <v>2</v>
      </c>
      <c r="BN104" s="15">
        <v>4</v>
      </c>
      <c r="BO104" s="15">
        <v>1</v>
      </c>
      <c r="BP104" s="15">
        <v>49</v>
      </c>
      <c r="BQ104" s="13">
        <f t="shared" si="13"/>
        <v>570</v>
      </c>
    </row>
    <row r="105" spans="1:69" ht="12.75" customHeight="1" x14ac:dyDescent="0.3">
      <c r="A105" s="14"/>
      <c r="B105" s="27"/>
      <c r="C105" s="28" t="s">
        <v>90</v>
      </c>
      <c r="D105" s="29"/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1</v>
      </c>
      <c r="R105" s="15">
        <v>1</v>
      </c>
      <c r="S105" s="15">
        <v>0</v>
      </c>
      <c r="T105" s="15">
        <v>0</v>
      </c>
      <c r="U105" s="15">
        <v>0</v>
      </c>
      <c r="V105" s="15">
        <v>1</v>
      </c>
      <c r="W105" s="15">
        <v>1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1</v>
      </c>
      <c r="AI105" s="15">
        <v>0</v>
      </c>
      <c r="AJ105" s="15">
        <v>3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1</v>
      </c>
      <c r="AT105" s="15">
        <v>0</v>
      </c>
      <c r="AU105" s="15">
        <v>0</v>
      </c>
      <c r="AV105" s="15">
        <v>0</v>
      </c>
      <c r="AW105" s="15">
        <v>0</v>
      </c>
      <c r="AX105" s="15">
        <v>1</v>
      </c>
      <c r="AY105" s="15">
        <v>1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1</v>
      </c>
      <c r="BF105" s="15">
        <v>0</v>
      </c>
      <c r="BG105" s="15">
        <v>0</v>
      </c>
      <c r="BH105" s="15">
        <v>0</v>
      </c>
      <c r="BI105" s="15">
        <v>0</v>
      </c>
      <c r="BJ105" s="15">
        <v>1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4</v>
      </c>
      <c r="BQ105" s="13">
        <f t="shared" si="13"/>
        <v>17</v>
      </c>
    </row>
    <row r="106" spans="1:69" ht="12.75" customHeight="1" x14ac:dyDescent="0.3">
      <c r="A106" s="14"/>
      <c r="B106" s="27"/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2</v>
      </c>
      <c r="R106" s="15">
        <v>1</v>
      </c>
      <c r="S106" s="15">
        <v>0</v>
      </c>
      <c r="T106" s="15">
        <v>0</v>
      </c>
      <c r="U106" s="15">
        <v>0</v>
      </c>
      <c r="V106" s="15">
        <v>1</v>
      </c>
      <c r="W106" s="15">
        <v>0</v>
      </c>
      <c r="X106" s="15">
        <v>0</v>
      </c>
      <c r="Y106" s="15">
        <v>0</v>
      </c>
      <c r="Z106" s="15">
        <v>0</v>
      </c>
      <c r="AA106" s="15">
        <v>1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1</v>
      </c>
      <c r="AJ106" s="15">
        <v>4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1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0</v>
      </c>
      <c r="BP106" s="15">
        <v>0</v>
      </c>
      <c r="BQ106" s="13">
        <f t="shared" si="13"/>
        <v>11</v>
      </c>
    </row>
    <row r="107" spans="1:69" ht="12.75" customHeight="1" x14ac:dyDescent="0.3">
      <c r="A107" s="14"/>
      <c r="B107" s="27"/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1</v>
      </c>
      <c r="Y107" s="15">
        <v>0</v>
      </c>
      <c r="Z107" s="15">
        <v>0</v>
      </c>
      <c r="AA107" s="15">
        <v>0</v>
      </c>
      <c r="AB107" s="15">
        <v>1</v>
      </c>
      <c r="AC107" s="15">
        <v>1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3">
        <f t="shared" si="13"/>
        <v>3</v>
      </c>
    </row>
    <row r="108" spans="1:69" ht="12.75" customHeight="1" x14ac:dyDescent="0.3">
      <c r="A108" s="14"/>
      <c r="B108" s="27"/>
      <c r="C108" s="28" t="s">
        <v>93</v>
      </c>
      <c r="D108" s="29"/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1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1</v>
      </c>
      <c r="AK108" s="15">
        <v>0</v>
      </c>
      <c r="AL108" s="15">
        <v>1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1</v>
      </c>
      <c r="BI108" s="15">
        <v>1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0</v>
      </c>
      <c r="BP108" s="15">
        <v>0</v>
      </c>
      <c r="BQ108" s="13">
        <f t="shared" si="13"/>
        <v>5</v>
      </c>
    </row>
    <row r="109" spans="1:69" ht="12.75" customHeight="1" x14ac:dyDescent="0.3">
      <c r="A109" s="14"/>
      <c r="B109" s="27"/>
      <c r="C109" s="28" t="s">
        <v>94</v>
      </c>
      <c r="D109" s="29"/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2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1</v>
      </c>
      <c r="U109" s="15">
        <v>0</v>
      </c>
      <c r="V109" s="15">
        <v>0</v>
      </c>
      <c r="W109" s="15">
        <v>1</v>
      </c>
      <c r="X109" s="15">
        <v>0</v>
      </c>
      <c r="Y109" s="15">
        <v>1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1</v>
      </c>
      <c r="AG109" s="15">
        <v>9</v>
      </c>
      <c r="AH109" s="15">
        <v>9</v>
      </c>
      <c r="AI109" s="15">
        <v>10</v>
      </c>
      <c r="AJ109" s="15">
        <v>1</v>
      </c>
      <c r="AK109" s="15">
        <v>0</v>
      </c>
      <c r="AL109" s="15">
        <v>2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1</v>
      </c>
      <c r="AV109" s="15">
        <v>0</v>
      </c>
      <c r="AW109" s="15">
        <v>0</v>
      </c>
      <c r="AX109" s="15">
        <v>0</v>
      </c>
      <c r="AY109" s="15">
        <v>1</v>
      </c>
      <c r="AZ109" s="15">
        <v>1</v>
      </c>
      <c r="BA109" s="15">
        <v>0</v>
      </c>
      <c r="BB109" s="15">
        <v>1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3">
        <f t="shared" si="13"/>
        <v>41</v>
      </c>
    </row>
    <row r="110" spans="1:69" ht="12.75" customHeight="1" x14ac:dyDescent="0.3">
      <c r="A110" s="14"/>
      <c r="B110" s="27"/>
      <c r="C110" s="28" t="s">
        <v>95</v>
      </c>
      <c r="D110" s="29"/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1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1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5">
        <v>0</v>
      </c>
      <c r="BK110" s="15">
        <v>0</v>
      </c>
      <c r="BL110" s="15">
        <v>0</v>
      </c>
      <c r="BM110" s="15">
        <v>0</v>
      </c>
      <c r="BN110" s="15">
        <v>0</v>
      </c>
      <c r="BO110" s="15">
        <v>0</v>
      </c>
      <c r="BP110" s="15">
        <v>0</v>
      </c>
      <c r="BQ110" s="13">
        <f t="shared" si="13"/>
        <v>2</v>
      </c>
    </row>
    <row r="111" spans="1:69" ht="12.75" customHeight="1" x14ac:dyDescent="0.3">
      <c r="A111" s="15" t="s">
        <v>15</v>
      </c>
      <c r="B111" s="45" t="s">
        <v>47</v>
      </c>
      <c r="C111" s="46"/>
      <c r="D111" s="47"/>
      <c r="E111" s="34">
        <f t="shared" ref="E111:BP111" si="21">SUM(E103:E110)</f>
        <v>14</v>
      </c>
      <c r="F111" s="34">
        <f t="shared" si="21"/>
        <v>1</v>
      </c>
      <c r="G111" s="34">
        <f t="shared" si="21"/>
        <v>8</v>
      </c>
      <c r="H111" s="34">
        <f t="shared" si="21"/>
        <v>2</v>
      </c>
      <c r="I111" s="34">
        <f t="shared" si="21"/>
        <v>5</v>
      </c>
      <c r="J111" s="34">
        <f t="shared" si="21"/>
        <v>9</v>
      </c>
      <c r="K111" s="34">
        <f t="shared" si="21"/>
        <v>7</v>
      </c>
      <c r="L111" s="34">
        <f t="shared" si="21"/>
        <v>3</v>
      </c>
      <c r="M111" s="34">
        <f t="shared" si="21"/>
        <v>7</v>
      </c>
      <c r="N111" s="34">
        <f t="shared" si="21"/>
        <v>0</v>
      </c>
      <c r="O111" s="34">
        <f t="shared" si="21"/>
        <v>1</v>
      </c>
      <c r="P111" s="34">
        <f t="shared" si="21"/>
        <v>3</v>
      </c>
      <c r="Q111" s="34">
        <f t="shared" si="21"/>
        <v>9</v>
      </c>
      <c r="R111" s="34">
        <f t="shared" si="21"/>
        <v>6</v>
      </c>
      <c r="S111" s="34">
        <f t="shared" si="21"/>
        <v>10</v>
      </c>
      <c r="T111" s="34">
        <f t="shared" si="21"/>
        <v>10</v>
      </c>
      <c r="U111" s="34">
        <f t="shared" si="21"/>
        <v>6</v>
      </c>
      <c r="V111" s="34">
        <f t="shared" si="21"/>
        <v>14</v>
      </c>
      <c r="W111" s="34">
        <f t="shared" si="21"/>
        <v>13</v>
      </c>
      <c r="X111" s="34">
        <f t="shared" si="21"/>
        <v>8</v>
      </c>
      <c r="Y111" s="34">
        <f t="shared" si="21"/>
        <v>5</v>
      </c>
      <c r="Z111" s="34">
        <f t="shared" si="21"/>
        <v>0</v>
      </c>
      <c r="AA111" s="34">
        <f t="shared" si="21"/>
        <v>1</v>
      </c>
      <c r="AB111" s="34">
        <f t="shared" si="21"/>
        <v>3</v>
      </c>
      <c r="AC111" s="34">
        <f t="shared" si="21"/>
        <v>1</v>
      </c>
      <c r="AD111" s="34">
        <f t="shared" si="21"/>
        <v>2</v>
      </c>
      <c r="AE111" s="34">
        <f t="shared" si="21"/>
        <v>1</v>
      </c>
      <c r="AF111" s="34">
        <f t="shared" si="21"/>
        <v>14</v>
      </c>
      <c r="AG111" s="34">
        <f t="shared" si="21"/>
        <v>16</v>
      </c>
      <c r="AH111" s="34">
        <f t="shared" si="21"/>
        <v>12</v>
      </c>
      <c r="AI111" s="34">
        <f t="shared" si="21"/>
        <v>20</v>
      </c>
      <c r="AJ111" s="34">
        <f t="shared" si="21"/>
        <v>17</v>
      </c>
      <c r="AK111" s="34">
        <f t="shared" si="21"/>
        <v>11</v>
      </c>
      <c r="AL111" s="34">
        <f t="shared" si="21"/>
        <v>5</v>
      </c>
      <c r="AM111" s="34">
        <f t="shared" si="21"/>
        <v>2</v>
      </c>
      <c r="AN111" s="34">
        <f t="shared" si="21"/>
        <v>1</v>
      </c>
      <c r="AO111" s="34">
        <f t="shared" si="21"/>
        <v>14</v>
      </c>
      <c r="AP111" s="34">
        <f t="shared" si="21"/>
        <v>65</v>
      </c>
      <c r="AQ111" s="34">
        <f t="shared" si="21"/>
        <v>35</v>
      </c>
      <c r="AR111" s="34">
        <f t="shared" si="21"/>
        <v>22</v>
      </c>
      <c r="AS111" s="34">
        <f t="shared" si="21"/>
        <v>25</v>
      </c>
      <c r="AT111" s="34">
        <f t="shared" si="21"/>
        <v>45</v>
      </c>
      <c r="AU111" s="34">
        <f t="shared" si="21"/>
        <v>1</v>
      </c>
      <c r="AV111" s="34">
        <f t="shared" si="21"/>
        <v>2</v>
      </c>
      <c r="AW111" s="34">
        <f t="shared" si="21"/>
        <v>4</v>
      </c>
      <c r="AX111" s="34">
        <f t="shared" si="21"/>
        <v>11</v>
      </c>
      <c r="AY111" s="34">
        <f t="shared" si="21"/>
        <v>21</v>
      </c>
      <c r="AZ111" s="34">
        <f t="shared" si="21"/>
        <v>9</v>
      </c>
      <c r="BA111" s="34">
        <f t="shared" si="21"/>
        <v>0</v>
      </c>
      <c r="BB111" s="34">
        <f t="shared" si="21"/>
        <v>1</v>
      </c>
      <c r="BC111" s="34">
        <f t="shared" si="21"/>
        <v>43</v>
      </c>
      <c r="BD111" s="34">
        <f t="shared" si="21"/>
        <v>13</v>
      </c>
      <c r="BE111" s="34">
        <f t="shared" si="21"/>
        <v>13</v>
      </c>
      <c r="BF111" s="34">
        <f t="shared" si="21"/>
        <v>0</v>
      </c>
      <c r="BG111" s="34">
        <f t="shared" si="21"/>
        <v>0</v>
      </c>
      <c r="BH111" s="34">
        <f t="shared" si="21"/>
        <v>90</v>
      </c>
      <c r="BI111" s="34">
        <f t="shared" si="21"/>
        <v>4</v>
      </c>
      <c r="BJ111" s="34">
        <f t="shared" si="21"/>
        <v>2</v>
      </c>
      <c r="BK111" s="34">
        <f t="shared" si="21"/>
        <v>5</v>
      </c>
      <c r="BL111" s="34">
        <f t="shared" si="21"/>
        <v>12</v>
      </c>
      <c r="BM111" s="34">
        <f t="shared" si="21"/>
        <v>2</v>
      </c>
      <c r="BN111" s="34">
        <f t="shared" si="21"/>
        <v>4</v>
      </c>
      <c r="BO111" s="34">
        <f t="shared" si="21"/>
        <v>1</v>
      </c>
      <c r="BP111" s="34">
        <f t="shared" si="21"/>
        <v>60</v>
      </c>
      <c r="BQ111" s="13">
        <f t="shared" si="13"/>
        <v>751</v>
      </c>
    </row>
    <row r="112" spans="1:69" ht="12.75" customHeight="1" x14ac:dyDescent="0.3">
      <c r="A112" s="35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13">
        <f t="shared" si="13"/>
        <v>0</v>
      </c>
    </row>
    <row r="113" spans="1:71" ht="12.75" customHeight="1" x14ac:dyDescent="0.3">
      <c r="A113" s="19" t="s">
        <v>37</v>
      </c>
      <c r="B113" s="26" t="s">
        <v>96</v>
      </c>
      <c r="C113" s="48" t="s">
        <v>97</v>
      </c>
      <c r="D113" s="47"/>
      <c r="E113" s="15">
        <v>0</v>
      </c>
      <c r="F113" s="15">
        <v>0</v>
      </c>
      <c r="G113" s="15">
        <v>0</v>
      </c>
      <c r="H113" s="15">
        <v>1</v>
      </c>
      <c r="I113" s="15">
        <v>0</v>
      </c>
      <c r="J113" s="15">
        <v>1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1</v>
      </c>
      <c r="AR113" s="15">
        <v>3</v>
      </c>
      <c r="AS113" s="15">
        <v>0</v>
      </c>
      <c r="AT113" s="15">
        <v>1</v>
      </c>
      <c r="AU113" s="15">
        <v>0</v>
      </c>
      <c r="AV113" s="15">
        <v>0</v>
      </c>
      <c r="AW113" s="15">
        <v>0</v>
      </c>
      <c r="AX113" s="15">
        <v>0</v>
      </c>
      <c r="AY113" s="15">
        <v>3</v>
      </c>
      <c r="AZ113" s="15">
        <v>0</v>
      </c>
      <c r="BA113" s="15">
        <v>1</v>
      </c>
      <c r="BB113" s="15">
        <v>6</v>
      </c>
      <c r="BC113" s="15">
        <v>5</v>
      </c>
      <c r="BD113" s="15">
        <v>1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1</v>
      </c>
      <c r="BL113" s="15">
        <v>0</v>
      </c>
      <c r="BM113" s="15">
        <v>6</v>
      </c>
      <c r="BN113" s="15">
        <v>0</v>
      </c>
      <c r="BO113" s="15">
        <v>6</v>
      </c>
      <c r="BP113" s="15">
        <v>0</v>
      </c>
      <c r="BQ113" s="13">
        <f t="shared" si="13"/>
        <v>36</v>
      </c>
    </row>
    <row r="114" spans="1:71" ht="12.75" customHeight="1" x14ac:dyDescent="0.3">
      <c r="A114" s="19" t="s">
        <v>39</v>
      </c>
      <c r="B114" s="26"/>
      <c r="C114" s="28" t="s">
        <v>98</v>
      </c>
      <c r="D114" s="37"/>
      <c r="E114" s="15">
        <v>8</v>
      </c>
      <c r="F114" s="15">
        <v>2</v>
      </c>
      <c r="G114" s="15">
        <v>2</v>
      </c>
      <c r="H114" s="15">
        <v>2</v>
      </c>
      <c r="I114" s="15">
        <v>1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1</v>
      </c>
      <c r="Q114" s="15">
        <v>0</v>
      </c>
      <c r="R114" s="15">
        <v>0</v>
      </c>
      <c r="S114" s="15">
        <v>3</v>
      </c>
      <c r="T114" s="15">
        <v>3</v>
      </c>
      <c r="U114" s="15">
        <v>2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2</v>
      </c>
      <c r="AB114" s="15">
        <v>0</v>
      </c>
      <c r="AC114" s="15">
        <v>0</v>
      </c>
      <c r="AD114" s="15">
        <v>1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3</v>
      </c>
      <c r="AL114" s="15">
        <v>0</v>
      </c>
      <c r="AM114" s="15">
        <v>1</v>
      </c>
      <c r="AN114" s="15">
        <v>2</v>
      </c>
      <c r="AO114" s="15">
        <v>4</v>
      </c>
      <c r="AP114" s="15">
        <v>1</v>
      </c>
      <c r="AQ114" s="15">
        <v>2</v>
      </c>
      <c r="AR114" s="15">
        <v>0</v>
      </c>
      <c r="AS114" s="15">
        <v>0</v>
      </c>
      <c r="AT114" s="15">
        <v>1</v>
      </c>
      <c r="AU114" s="15">
        <v>0</v>
      </c>
      <c r="AV114" s="15">
        <v>6</v>
      </c>
      <c r="AW114" s="15">
        <v>7</v>
      </c>
      <c r="AX114" s="15">
        <v>3</v>
      </c>
      <c r="AY114" s="15">
        <v>10</v>
      </c>
      <c r="AZ114" s="15">
        <v>4</v>
      </c>
      <c r="BA114" s="15">
        <v>10</v>
      </c>
      <c r="BB114" s="15">
        <v>45</v>
      </c>
      <c r="BC114" s="15">
        <v>46</v>
      </c>
      <c r="BD114" s="15">
        <v>31</v>
      </c>
      <c r="BE114" s="15">
        <v>14</v>
      </c>
      <c r="BF114" s="15">
        <v>4</v>
      </c>
      <c r="BG114" s="15">
        <v>1</v>
      </c>
      <c r="BH114" s="15">
        <v>0</v>
      </c>
      <c r="BI114" s="15">
        <v>2</v>
      </c>
      <c r="BJ114" s="15">
        <v>2</v>
      </c>
      <c r="BK114" s="15">
        <v>6</v>
      </c>
      <c r="BL114" s="15">
        <v>17</v>
      </c>
      <c r="BM114" s="15">
        <v>31</v>
      </c>
      <c r="BN114" s="15">
        <v>4</v>
      </c>
      <c r="BO114" s="15">
        <v>25</v>
      </c>
      <c r="BP114" s="15">
        <v>2</v>
      </c>
      <c r="BQ114" s="13">
        <f t="shared" si="13"/>
        <v>311</v>
      </c>
    </row>
    <row r="115" spans="1:71" ht="12.75" customHeight="1" x14ac:dyDescent="0.3">
      <c r="A115" s="19"/>
      <c r="B115" s="26"/>
      <c r="C115" s="28" t="s">
        <v>99</v>
      </c>
      <c r="D115" s="37"/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1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3">
        <f t="shared" si="13"/>
        <v>1</v>
      </c>
    </row>
    <row r="116" spans="1:71" ht="12.75" customHeight="1" x14ac:dyDescent="0.3">
      <c r="A116" s="15" t="s">
        <v>15</v>
      </c>
      <c r="B116" s="45" t="s">
        <v>47</v>
      </c>
      <c r="C116" s="46"/>
      <c r="D116" s="47"/>
      <c r="E116" s="34">
        <f>SUM(E113:E115)</f>
        <v>8</v>
      </c>
      <c r="F116" s="34">
        <f t="shared" ref="F116:BP116" si="22">SUM(F113:F115)</f>
        <v>2</v>
      </c>
      <c r="G116" s="34">
        <f t="shared" si="22"/>
        <v>2</v>
      </c>
      <c r="H116" s="34">
        <f t="shared" si="22"/>
        <v>3</v>
      </c>
      <c r="I116" s="34">
        <f t="shared" si="22"/>
        <v>1</v>
      </c>
      <c r="J116" s="34">
        <f t="shared" si="22"/>
        <v>1</v>
      </c>
      <c r="K116" s="34">
        <f t="shared" si="22"/>
        <v>0</v>
      </c>
      <c r="L116" s="34">
        <f t="shared" si="22"/>
        <v>0</v>
      </c>
      <c r="M116" s="34">
        <f t="shared" si="22"/>
        <v>0</v>
      </c>
      <c r="N116" s="34">
        <f t="shared" si="22"/>
        <v>0</v>
      </c>
      <c r="O116" s="34">
        <f t="shared" si="22"/>
        <v>0</v>
      </c>
      <c r="P116" s="34">
        <f t="shared" si="22"/>
        <v>1</v>
      </c>
      <c r="Q116" s="34">
        <f t="shared" si="22"/>
        <v>0</v>
      </c>
      <c r="R116" s="34">
        <f t="shared" si="22"/>
        <v>0</v>
      </c>
      <c r="S116" s="34">
        <f t="shared" si="22"/>
        <v>3</v>
      </c>
      <c r="T116" s="34">
        <f t="shared" si="22"/>
        <v>3</v>
      </c>
      <c r="U116" s="34">
        <f t="shared" si="22"/>
        <v>2</v>
      </c>
      <c r="V116" s="34">
        <f t="shared" si="22"/>
        <v>0</v>
      </c>
      <c r="W116" s="34">
        <f t="shared" si="22"/>
        <v>0</v>
      </c>
      <c r="X116" s="34">
        <f t="shared" si="22"/>
        <v>0</v>
      </c>
      <c r="Y116" s="34">
        <f t="shared" si="22"/>
        <v>0</v>
      </c>
      <c r="Z116" s="34">
        <f t="shared" si="22"/>
        <v>0</v>
      </c>
      <c r="AA116" s="34">
        <f t="shared" si="22"/>
        <v>2</v>
      </c>
      <c r="AB116" s="34">
        <f t="shared" si="22"/>
        <v>0</v>
      </c>
      <c r="AC116" s="34">
        <f t="shared" si="22"/>
        <v>0</v>
      </c>
      <c r="AD116" s="34">
        <f t="shared" si="22"/>
        <v>1</v>
      </c>
      <c r="AE116" s="34">
        <f t="shared" si="22"/>
        <v>0</v>
      </c>
      <c r="AF116" s="34">
        <f t="shared" si="22"/>
        <v>0</v>
      </c>
      <c r="AG116" s="34">
        <f t="shared" si="22"/>
        <v>0</v>
      </c>
      <c r="AH116" s="34">
        <f t="shared" si="22"/>
        <v>0</v>
      </c>
      <c r="AI116" s="34">
        <f t="shared" si="22"/>
        <v>0</v>
      </c>
      <c r="AJ116" s="34">
        <f t="shared" si="22"/>
        <v>0</v>
      </c>
      <c r="AK116" s="34">
        <f t="shared" si="22"/>
        <v>3</v>
      </c>
      <c r="AL116" s="34">
        <f t="shared" si="22"/>
        <v>0</v>
      </c>
      <c r="AM116" s="34">
        <f t="shared" si="22"/>
        <v>1</v>
      </c>
      <c r="AN116" s="34">
        <f t="shared" si="22"/>
        <v>2</v>
      </c>
      <c r="AO116" s="34">
        <f t="shared" si="22"/>
        <v>4</v>
      </c>
      <c r="AP116" s="34">
        <f t="shared" si="22"/>
        <v>1</v>
      </c>
      <c r="AQ116" s="34">
        <f t="shared" si="22"/>
        <v>3</v>
      </c>
      <c r="AR116" s="34">
        <f t="shared" si="22"/>
        <v>3</v>
      </c>
      <c r="AS116" s="34">
        <f t="shared" si="22"/>
        <v>0</v>
      </c>
      <c r="AT116" s="34">
        <f t="shared" si="22"/>
        <v>2</v>
      </c>
      <c r="AU116" s="34">
        <f t="shared" si="22"/>
        <v>0</v>
      </c>
      <c r="AV116" s="34">
        <f t="shared" si="22"/>
        <v>6</v>
      </c>
      <c r="AW116" s="34">
        <f t="shared" si="22"/>
        <v>7</v>
      </c>
      <c r="AX116" s="34">
        <f t="shared" si="22"/>
        <v>3</v>
      </c>
      <c r="AY116" s="34">
        <f t="shared" si="22"/>
        <v>13</v>
      </c>
      <c r="AZ116" s="34">
        <f t="shared" si="22"/>
        <v>4</v>
      </c>
      <c r="BA116" s="34">
        <f t="shared" si="22"/>
        <v>11</v>
      </c>
      <c r="BB116" s="34">
        <f t="shared" si="22"/>
        <v>51</v>
      </c>
      <c r="BC116" s="34">
        <f t="shared" si="22"/>
        <v>51</v>
      </c>
      <c r="BD116" s="34">
        <f t="shared" si="22"/>
        <v>33</v>
      </c>
      <c r="BE116" s="34">
        <f t="shared" si="22"/>
        <v>14</v>
      </c>
      <c r="BF116" s="34">
        <f t="shared" si="22"/>
        <v>4</v>
      </c>
      <c r="BG116" s="34">
        <f t="shared" si="22"/>
        <v>1</v>
      </c>
      <c r="BH116" s="34">
        <f t="shared" si="22"/>
        <v>0</v>
      </c>
      <c r="BI116" s="34">
        <f t="shared" si="22"/>
        <v>2</v>
      </c>
      <c r="BJ116" s="34">
        <f t="shared" si="22"/>
        <v>2</v>
      </c>
      <c r="BK116" s="34">
        <f t="shared" si="22"/>
        <v>7</v>
      </c>
      <c r="BL116" s="34">
        <f t="shared" si="22"/>
        <v>17</v>
      </c>
      <c r="BM116" s="34">
        <f t="shared" si="22"/>
        <v>37</v>
      </c>
      <c r="BN116" s="34">
        <f t="shared" si="22"/>
        <v>4</v>
      </c>
      <c r="BO116" s="34">
        <f t="shared" si="22"/>
        <v>31</v>
      </c>
      <c r="BP116" s="34">
        <f t="shared" si="22"/>
        <v>2</v>
      </c>
      <c r="BQ116" s="13">
        <f t="shared" si="13"/>
        <v>348</v>
      </c>
    </row>
    <row r="117" spans="1:71" ht="12.75" customHeight="1" x14ac:dyDescent="0.3">
      <c r="A117" s="35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13">
        <f t="shared" si="13"/>
        <v>0</v>
      </c>
      <c r="BR117" s="5"/>
      <c r="BS117" s="5"/>
    </row>
    <row r="118" spans="1:71" ht="12.75" customHeight="1" x14ac:dyDescent="0.3">
      <c r="A118" s="19" t="s">
        <v>37</v>
      </c>
      <c r="B118" s="26" t="s">
        <v>100</v>
      </c>
      <c r="C118" s="48" t="s">
        <v>101</v>
      </c>
      <c r="D118" s="47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1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1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0</v>
      </c>
      <c r="BP118" s="15">
        <v>0</v>
      </c>
      <c r="BQ118" s="13">
        <f t="shared" si="13"/>
        <v>2</v>
      </c>
      <c r="BR118" s="5"/>
      <c r="BS118" s="5"/>
    </row>
    <row r="119" spans="1:71" ht="12.75" customHeight="1" x14ac:dyDescent="0.3">
      <c r="A119" s="19" t="s">
        <v>39</v>
      </c>
      <c r="B119" s="27"/>
      <c r="C119" s="28" t="s">
        <v>102</v>
      </c>
      <c r="D119" s="29"/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1</v>
      </c>
      <c r="AC119" s="15">
        <v>0</v>
      </c>
      <c r="AD119" s="15">
        <v>1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1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1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3">
        <f t="shared" si="13"/>
        <v>4</v>
      </c>
      <c r="BR119" s="5"/>
      <c r="BS119" s="5"/>
    </row>
    <row r="120" spans="1:71" ht="12.75" customHeight="1" x14ac:dyDescent="0.3">
      <c r="A120" s="14"/>
      <c r="B120" s="27"/>
      <c r="C120" s="28" t="s">
        <v>103</v>
      </c>
      <c r="D120" s="29"/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1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1</v>
      </c>
      <c r="AM120" s="15">
        <v>0</v>
      </c>
      <c r="AN120" s="15">
        <v>1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1</v>
      </c>
      <c r="BK120" s="15">
        <v>1</v>
      </c>
      <c r="BL120" s="15">
        <v>0</v>
      </c>
      <c r="BM120" s="15">
        <v>0</v>
      </c>
      <c r="BN120" s="15">
        <v>0</v>
      </c>
      <c r="BO120" s="15">
        <v>0</v>
      </c>
      <c r="BP120" s="15">
        <v>0</v>
      </c>
      <c r="BQ120" s="13">
        <f t="shared" si="13"/>
        <v>5</v>
      </c>
      <c r="BR120" s="5"/>
      <c r="BS120" s="5"/>
    </row>
    <row r="121" spans="1:71" ht="12.75" customHeight="1" x14ac:dyDescent="0.3">
      <c r="A121" s="14"/>
      <c r="B121" s="27"/>
      <c r="C121" s="28" t="s">
        <v>104</v>
      </c>
      <c r="D121" s="29"/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1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1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3">
        <f t="shared" si="13"/>
        <v>2</v>
      </c>
      <c r="BR121" s="5"/>
      <c r="BS121" s="5"/>
    </row>
    <row r="122" spans="1:71" ht="12.75" customHeight="1" x14ac:dyDescent="0.3">
      <c r="A122" s="14"/>
      <c r="B122" s="27"/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1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15">
        <v>0</v>
      </c>
      <c r="BF122" s="15">
        <v>0</v>
      </c>
      <c r="BG122" s="15">
        <v>0</v>
      </c>
      <c r="BH122" s="15">
        <v>0</v>
      </c>
      <c r="BI122" s="15">
        <v>0</v>
      </c>
      <c r="BJ122" s="15">
        <v>0</v>
      </c>
      <c r="BK122" s="15">
        <v>0</v>
      </c>
      <c r="BL122" s="15">
        <v>0</v>
      </c>
      <c r="BM122" s="15">
        <v>0</v>
      </c>
      <c r="BN122" s="15">
        <v>0</v>
      </c>
      <c r="BO122" s="15">
        <v>0</v>
      </c>
      <c r="BP122" s="15">
        <v>0</v>
      </c>
      <c r="BQ122" s="13">
        <f t="shared" si="13"/>
        <v>1</v>
      </c>
      <c r="BR122" s="5"/>
      <c r="BS122" s="5"/>
    </row>
    <row r="123" spans="1:71" ht="12.75" customHeight="1" x14ac:dyDescent="0.3">
      <c r="A123" s="14"/>
      <c r="B123" s="27"/>
      <c r="C123" s="28" t="s">
        <v>106</v>
      </c>
      <c r="D123" s="29"/>
      <c r="E123" s="15">
        <v>0</v>
      </c>
      <c r="F123" s="15">
        <v>0</v>
      </c>
      <c r="G123" s="15">
        <v>0</v>
      </c>
      <c r="H123" s="15">
        <v>0</v>
      </c>
      <c r="I123" s="15">
        <v>1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3">
        <f t="shared" si="13"/>
        <v>1</v>
      </c>
      <c r="BR123" s="5"/>
      <c r="BS123" s="5"/>
    </row>
    <row r="124" spans="1:71" ht="12.75" customHeight="1" x14ac:dyDescent="0.3">
      <c r="A124" s="14"/>
      <c r="B124" s="27"/>
      <c r="C124" s="28" t="s">
        <v>107</v>
      </c>
      <c r="D124" s="29"/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2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5">
        <v>0</v>
      </c>
      <c r="BL124" s="15">
        <v>0</v>
      </c>
      <c r="BM124" s="15">
        <v>0</v>
      </c>
      <c r="BN124" s="15">
        <v>0</v>
      </c>
      <c r="BO124" s="15">
        <v>0</v>
      </c>
      <c r="BP124" s="15">
        <v>0</v>
      </c>
      <c r="BQ124" s="13">
        <f t="shared" si="13"/>
        <v>2</v>
      </c>
      <c r="BR124" s="5"/>
      <c r="BS124" s="5"/>
    </row>
    <row r="125" spans="1:71" ht="12.75" customHeight="1" x14ac:dyDescent="0.3">
      <c r="A125" s="14"/>
      <c r="B125" s="27"/>
      <c r="C125" s="28" t="s">
        <v>108</v>
      </c>
      <c r="D125" s="29"/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1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3">
        <f t="shared" si="13"/>
        <v>1</v>
      </c>
      <c r="BR125" s="5"/>
      <c r="BS125" s="5"/>
    </row>
    <row r="126" spans="1:71" ht="12.75" customHeight="1" x14ac:dyDescent="0.3">
      <c r="A126" s="15" t="s">
        <v>15</v>
      </c>
      <c r="B126" s="45" t="s">
        <v>47</v>
      </c>
      <c r="C126" s="46"/>
      <c r="D126" s="47"/>
      <c r="E126" s="34">
        <f>SUM(E118:E125)</f>
        <v>0</v>
      </c>
      <c r="F126" s="34">
        <f t="shared" ref="F126:BP126" si="23">SUM(F118:F125)</f>
        <v>0</v>
      </c>
      <c r="G126" s="34">
        <f t="shared" si="23"/>
        <v>0</v>
      </c>
      <c r="H126" s="34">
        <f t="shared" si="23"/>
        <v>0</v>
      </c>
      <c r="I126" s="34">
        <f t="shared" si="23"/>
        <v>1</v>
      </c>
      <c r="J126" s="34">
        <f t="shared" si="23"/>
        <v>0</v>
      </c>
      <c r="K126" s="34">
        <f t="shared" si="23"/>
        <v>0</v>
      </c>
      <c r="L126" s="34">
        <f t="shared" si="23"/>
        <v>0</v>
      </c>
      <c r="M126" s="34">
        <f t="shared" si="23"/>
        <v>0</v>
      </c>
      <c r="N126" s="34">
        <f t="shared" si="23"/>
        <v>0</v>
      </c>
      <c r="O126" s="34">
        <f t="shared" si="23"/>
        <v>1</v>
      </c>
      <c r="P126" s="34">
        <f t="shared" si="23"/>
        <v>0</v>
      </c>
      <c r="Q126" s="34">
        <f t="shared" si="23"/>
        <v>0</v>
      </c>
      <c r="R126" s="34">
        <f t="shared" si="23"/>
        <v>0</v>
      </c>
      <c r="S126" s="34">
        <f t="shared" si="23"/>
        <v>0</v>
      </c>
      <c r="T126" s="34">
        <f t="shared" si="23"/>
        <v>1</v>
      </c>
      <c r="U126" s="34">
        <f t="shared" si="23"/>
        <v>1</v>
      </c>
      <c r="V126" s="34">
        <f t="shared" si="23"/>
        <v>0</v>
      </c>
      <c r="W126" s="34">
        <f t="shared" si="23"/>
        <v>0</v>
      </c>
      <c r="X126" s="34">
        <f t="shared" si="23"/>
        <v>0</v>
      </c>
      <c r="Y126" s="34">
        <f t="shared" si="23"/>
        <v>0</v>
      </c>
      <c r="Z126" s="34">
        <f t="shared" si="23"/>
        <v>0</v>
      </c>
      <c r="AA126" s="34">
        <f t="shared" si="23"/>
        <v>1</v>
      </c>
      <c r="AB126" s="34">
        <f t="shared" si="23"/>
        <v>1</v>
      </c>
      <c r="AC126" s="34">
        <f t="shared" si="23"/>
        <v>0</v>
      </c>
      <c r="AD126" s="34">
        <f t="shared" si="23"/>
        <v>1</v>
      </c>
      <c r="AE126" s="34">
        <f t="shared" si="23"/>
        <v>0</v>
      </c>
      <c r="AF126" s="34">
        <f t="shared" si="23"/>
        <v>0</v>
      </c>
      <c r="AG126" s="34">
        <f t="shared" si="23"/>
        <v>0</v>
      </c>
      <c r="AH126" s="34">
        <f t="shared" si="23"/>
        <v>2</v>
      </c>
      <c r="AI126" s="34">
        <f t="shared" si="23"/>
        <v>0</v>
      </c>
      <c r="AJ126" s="34">
        <f t="shared" si="23"/>
        <v>0</v>
      </c>
      <c r="AK126" s="34">
        <f t="shared" si="23"/>
        <v>0</v>
      </c>
      <c r="AL126" s="34">
        <f t="shared" si="23"/>
        <v>1</v>
      </c>
      <c r="AM126" s="34">
        <f t="shared" si="23"/>
        <v>0</v>
      </c>
      <c r="AN126" s="34">
        <f t="shared" si="23"/>
        <v>1</v>
      </c>
      <c r="AO126" s="34">
        <f t="shared" si="23"/>
        <v>0</v>
      </c>
      <c r="AP126" s="34">
        <f t="shared" si="23"/>
        <v>0</v>
      </c>
      <c r="AQ126" s="34">
        <f t="shared" si="23"/>
        <v>0</v>
      </c>
      <c r="AR126" s="34">
        <f t="shared" si="23"/>
        <v>1</v>
      </c>
      <c r="AS126" s="34">
        <f t="shared" si="23"/>
        <v>0</v>
      </c>
      <c r="AT126" s="34">
        <f t="shared" si="23"/>
        <v>0</v>
      </c>
      <c r="AU126" s="34">
        <f t="shared" si="23"/>
        <v>0</v>
      </c>
      <c r="AV126" s="34">
        <f t="shared" si="23"/>
        <v>0</v>
      </c>
      <c r="AW126" s="34">
        <f t="shared" si="23"/>
        <v>0</v>
      </c>
      <c r="AX126" s="34">
        <f t="shared" si="23"/>
        <v>0</v>
      </c>
      <c r="AY126" s="34">
        <f t="shared" si="23"/>
        <v>0</v>
      </c>
      <c r="AZ126" s="34">
        <f t="shared" si="23"/>
        <v>1</v>
      </c>
      <c r="BA126" s="34">
        <f t="shared" si="23"/>
        <v>1</v>
      </c>
      <c r="BB126" s="34">
        <f t="shared" si="23"/>
        <v>1</v>
      </c>
      <c r="BC126" s="34">
        <f t="shared" si="23"/>
        <v>0</v>
      </c>
      <c r="BD126" s="34">
        <f t="shared" si="23"/>
        <v>1</v>
      </c>
      <c r="BE126" s="34">
        <f t="shared" si="23"/>
        <v>0</v>
      </c>
      <c r="BF126" s="34">
        <f t="shared" si="23"/>
        <v>0</v>
      </c>
      <c r="BG126" s="34">
        <f t="shared" si="23"/>
        <v>0</v>
      </c>
      <c r="BH126" s="34">
        <f t="shared" si="23"/>
        <v>0</v>
      </c>
      <c r="BI126" s="34">
        <f t="shared" si="23"/>
        <v>0</v>
      </c>
      <c r="BJ126" s="34">
        <f t="shared" si="23"/>
        <v>1</v>
      </c>
      <c r="BK126" s="34">
        <f t="shared" si="23"/>
        <v>1</v>
      </c>
      <c r="BL126" s="34">
        <f t="shared" si="23"/>
        <v>0</v>
      </c>
      <c r="BM126" s="34">
        <f t="shared" si="23"/>
        <v>0</v>
      </c>
      <c r="BN126" s="34">
        <f t="shared" si="23"/>
        <v>0</v>
      </c>
      <c r="BO126" s="34">
        <f t="shared" si="23"/>
        <v>0</v>
      </c>
      <c r="BP126" s="34">
        <f t="shared" si="23"/>
        <v>0</v>
      </c>
      <c r="BQ126" s="13">
        <f t="shared" si="13"/>
        <v>18</v>
      </c>
      <c r="BR126" s="5"/>
      <c r="BS126" s="5"/>
    </row>
    <row r="127" spans="1:71" ht="15" customHeight="1" x14ac:dyDescent="0.3">
      <c r="A127" s="35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13">
        <f t="shared" si="13"/>
        <v>0</v>
      </c>
      <c r="BR127" s="5"/>
      <c r="BS127" s="5"/>
    </row>
    <row r="128" spans="1:71" ht="12.75" customHeight="1" x14ac:dyDescent="0.3">
      <c r="A128" s="19" t="s">
        <v>37</v>
      </c>
      <c r="B128" s="26" t="s">
        <v>109</v>
      </c>
      <c r="C128" s="48" t="s">
        <v>110</v>
      </c>
      <c r="D128" s="47"/>
      <c r="E128" s="15"/>
      <c r="F128" s="15"/>
      <c r="G128" s="15"/>
      <c r="H128" s="15"/>
      <c r="I128" s="15"/>
      <c r="J128" s="15"/>
      <c r="K128" s="15"/>
      <c r="L128" s="15"/>
      <c r="M128" s="15">
        <v>1</v>
      </c>
      <c r="N128" s="15"/>
      <c r="O128" s="15"/>
      <c r="P128" s="15"/>
      <c r="Q128" s="15"/>
      <c r="R128" s="15"/>
      <c r="S128" s="15"/>
      <c r="T128" s="15">
        <v>1</v>
      </c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1</v>
      </c>
      <c r="BG128" s="15">
        <v>0</v>
      </c>
      <c r="BH128" s="15">
        <v>0</v>
      </c>
      <c r="BI128" s="15">
        <v>0</v>
      </c>
      <c r="BJ128" s="15">
        <v>0</v>
      </c>
      <c r="BK128" s="15">
        <v>0</v>
      </c>
      <c r="BL128" s="15">
        <v>1</v>
      </c>
      <c r="BM128" s="15"/>
      <c r="BN128" s="15"/>
      <c r="BO128" s="15"/>
      <c r="BP128" s="15"/>
      <c r="BQ128" s="13">
        <f t="shared" si="13"/>
        <v>4</v>
      </c>
      <c r="BR128" s="5"/>
      <c r="BS128" s="5"/>
    </row>
    <row r="129" spans="1:71" ht="12.75" customHeight="1" x14ac:dyDescent="0.3">
      <c r="A129" s="19" t="s">
        <v>39</v>
      </c>
      <c r="B129" s="27"/>
      <c r="C129" s="28"/>
      <c r="D129" s="29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3">
        <f t="shared" si="13"/>
        <v>0</v>
      </c>
      <c r="BR129" s="5"/>
      <c r="BS129" s="5"/>
    </row>
    <row r="130" spans="1:71" ht="12.75" customHeight="1" x14ac:dyDescent="0.3">
      <c r="A130" s="15" t="s">
        <v>15</v>
      </c>
      <c r="B130" s="45" t="s">
        <v>47</v>
      </c>
      <c r="C130" s="46"/>
      <c r="D130" s="47"/>
      <c r="E130" s="34">
        <f t="shared" ref="E130:BP130" si="24">SUM(E128:E129)</f>
        <v>0</v>
      </c>
      <c r="F130" s="34">
        <f t="shared" si="24"/>
        <v>0</v>
      </c>
      <c r="G130" s="34">
        <f t="shared" si="24"/>
        <v>0</v>
      </c>
      <c r="H130" s="34">
        <f t="shared" si="24"/>
        <v>0</v>
      </c>
      <c r="I130" s="34">
        <f t="shared" si="24"/>
        <v>0</v>
      </c>
      <c r="J130" s="34">
        <f t="shared" si="24"/>
        <v>0</v>
      </c>
      <c r="K130" s="34">
        <f t="shared" si="24"/>
        <v>0</v>
      </c>
      <c r="L130" s="34">
        <f t="shared" si="24"/>
        <v>0</v>
      </c>
      <c r="M130" s="34">
        <f t="shared" si="24"/>
        <v>1</v>
      </c>
      <c r="N130" s="34">
        <f t="shared" si="24"/>
        <v>0</v>
      </c>
      <c r="O130" s="34">
        <f t="shared" si="24"/>
        <v>0</v>
      </c>
      <c r="P130" s="34">
        <f t="shared" si="24"/>
        <v>0</v>
      </c>
      <c r="Q130" s="34">
        <f t="shared" si="24"/>
        <v>0</v>
      </c>
      <c r="R130" s="34">
        <f t="shared" si="24"/>
        <v>0</v>
      </c>
      <c r="S130" s="34">
        <f t="shared" si="24"/>
        <v>0</v>
      </c>
      <c r="T130" s="34">
        <f t="shared" si="24"/>
        <v>1</v>
      </c>
      <c r="U130" s="34">
        <f t="shared" si="24"/>
        <v>0</v>
      </c>
      <c r="V130" s="34">
        <f t="shared" si="24"/>
        <v>0</v>
      </c>
      <c r="W130" s="34">
        <f t="shared" si="24"/>
        <v>0</v>
      </c>
      <c r="X130" s="34">
        <f t="shared" si="24"/>
        <v>0</v>
      </c>
      <c r="Y130" s="34">
        <f t="shared" si="24"/>
        <v>0</v>
      </c>
      <c r="Z130" s="34">
        <f t="shared" si="24"/>
        <v>0</v>
      </c>
      <c r="AA130" s="34">
        <f t="shared" si="24"/>
        <v>0</v>
      </c>
      <c r="AB130" s="34">
        <f t="shared" si="24"/>
        <v>0</v>
      </c>
      <c r="AC130" s="34">
        <f t="shared" si="24"/>
        <v>0</v>
      </c>
      <c r="AD130" s="34">
        <f t="shared" si="24"/>
        <v>0</v>
      </c>
      <c r="AE130" s="34">
        <f t="shared" si="24"/>
        <v>0</v>
      </c>
      <c r="AF130" s="34">
        <f t="shared" si="24"/>
        <v>0</v>
      </c>
      <c r="AG130" s="34">
        <f t="shared" si="24"/>
        <v>0</v>
      </c>
      <c r="AH130" s="34">
        <f t="shared" si="24"/>
        <v>0</v>
      </c>
      <c r="AI130" s="34">
        <f t="shared" si="24"/>
        <v>0</v>
      </c>
      <c r="AJ130" s="34">
        <f t="shared" si="24"/>
        <v>0</v>
      </c>
      <c r="AK130" s="34">
        <f t="shared" si="24"/>
        <v>0</v>
      </c>
      <c r="AL130" s="34">
        <f t="shared" si="24"/>
        <v>0</v>
      </c>
      <c r="AM130" s="34">
        <f t="shared" si="24"/>
        <v>0</v>
      </c>
      <c r="AN130" s="34">
        <f t="shared" si="24"/>
        <v>0</v>
      </c>
      <c r="AO130" s="34">
        <f t="shared" si="24"/>
        <v>0</v>
      </c>
      <c r="AP130" s="34">
        <f t="shared" si="24"/>
        <v>0</v>
      </c>
      <c r="AQ130" s="34">
        <f t="shared" si="24"/>
        <v>0</v>
      </c>
      <c r="AR130" s="34">
        <f t="shared" si="24"/>
        <v>0</v>
      </c>
      <c r="AS130" s="34">
        <f t="shared" si="24"/>
        <v>0</v>
      </c>
      <c r="AT130" s="34">
        <f t="shared" si="24"/>
        <v>0</v>
      </c>
      <c r="AU130" s="34">
        <f t="shared" si="24"/>
        <v>0</v>
      </c>
      <c r="AV130" s="34">
        <f t="shared" si="24"/>
        <v>0</v>
      </c>
      <c r="AW130" s="34">
        <f t="shared" si="24"/>
        <v>0</v>
      </c>
      <c r="AX130" s="34">
        <f t="shared" si="24"/>
        <v>0</v>
      </c>
      <c r="AY130" s="34">
        <f t="shared" si="24"/>
        <v>0</v>
      </c>
      <c r="AZ130" s="34">
        <f t="shared" si="24"/>
        <v>0</v>
      </c>
      <c r="BA130" s="34">
        <f t="shared" si="24"/>
        <v>0</v>
      </c>
      <c r="BB130" s="34">
        <f t="shared" si="24"/>
        <v>0</v>
      </c>
      <c r="BC130" s="34">
        <f t="shared" si="24"/>
        <v>0</v>
      </c>
      <c r="BD130" s="34">
        <f t="shared" si="24"/>
        <v>0</v>
      </c>
      <c r="BE130" s="34">
        <f t="shared" si="24"/>
        <v>0</v>
      </c>
      <c r="BF130" s="34">
        <f t="shared" si="24"/>
        <v>1</v>
      </c>
      <c r="BG130" s="34">
        <f t="shared" si="24"/>
        <v>0</v>
      </c>
      <c r="BH130" s="34">
        <f t="shared" si="24"/>
        <v>0</v>
      </c>
      <c r="BI130" s="34">
        <f t="shared" si="24"/>
        <v>0</v>
      </c>
      <c r="BJ130" s="34">
        <f t="shared" si="24"/>
        <v>0</v>
      </c>
      <c r="BK130" s="34">
        <f t="shared" si="24"/>
        <v>0</v>
      </c>
      <c r="BL130" s="34">
        <f t="shared" si="24"/>
        <v>1</v>
      </c>
      <c r="BM130" s="34">
        <f t="shared" si="24"/>
        <v>0</v>
      </c>
      <c r="BN130" s="34">
        <f t="shared" si="24"/>
        <v>0</v>
      </c>
      <c r="BO130" s="34">
        <f t="shared" si="24"/>
        <v>0</v>
      </c>
      <c r="BP130" s="34">
        <f t="shared" si="24"/>
        <v>0</v>
      </c>
      <c r="BQ130" s="13">
        <f t="shared" si="13"/>
        <v>4</v>
      </c>
      <c r="BR130" s="1"/>
      <c r="BS130" s="1"/>
    </row>
    <row r="131" spans="1:71" ht="12.75" customHeight="1" x14ac:dyDescent="0.3">
      <c r="A131" s="35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13">
        <f t="shared" si="13"/>
        <v>0</v>
      </c>
      <c r="BR131" s="31"/>
      <c r="BS131" s="31"/>
    </row>
    <row r="132" spans="1:71" ht="12.75" customHeight="1" x14ac:dyDescent="0.3">
      <c r="A132" s="19" t="s">
        <v>37</v>
      </c>
      <c r="B132" s="26" t="s">
        <v>111</v>
      </c>
      <c r="C132" s="48" t="s">
        <v>112</v>
      </c>
      <c r="D132" s="47"/>
      <c r="E132" s="15">
        <v>1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1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1</v>
      </c>
      <c r="R132" s="15">
        <v>1</v>
      </c>
      <c r="S132" s="15">
        <v>0</v>
      </c>
      <c r="T132" s="15">
        <v>1</v>
      </c>
      <c r="U132" s="15">
        <v>1</v>
      </c>
      <c r="V132" s="15">
        <v>1</v>
      </c>
      <c r="W132" s="15">
        <v>0</v>
      </c>
      <c r="X132" s="15">
        <v>0</v>
      </c>
      <c r="Y132" s="15">
        <v>0</v>
      </c>
      <c r="Z132" s="15">
        <v>2</v>
      </c>
      <c r="AA132" s="15">
        <v>0</v>
      </c>
      <c r="AB132" s="15">
        <v>0</v>
      </c>
      <c r="AC132" s="15">
        <v>0</v>
      </c>
      <c r="AD132" s="15">
        <v>1</v>
      </c>
      <c r="AE132" s="15">
        <v>0</v>
      </c>
      <c r="AF132" s="15">
        <v>1</v>
      </c>
      <c r="AG132" s="15">
        <v>0</v>
      </c>
      <c r="AH132" s="15">
        <v>2</v>
      </c>
      <c r="AI132" s="15">
        <v>0</v>
      </c>
      <c r="AJ132" s="15">
        <v>0</v>
      </c>
      <c r="AK132" s="15">
        <v>1</v>
      </c>
      <c r="AL132" s="15">
        <v>0</v>
      </c>
      <c r="AM132" s="15">
        <v>0</v>
      </c>
      <c r="AN132" s="15">
        <v>1</v>
      </c>
      <c r="AO132" s="15">
        <v>1</v>
      </c>
      <c r="AP132" s="15">
        <v>0</v>
      </c>
      <c r="AQ132" s="15">
        <v>0</v>
      </c>
      <c r="AR132" s="15">
        <v>0</v>
      </c>
      <c r="AS132" s="15">
        <v>1</v>
      </c>
      <c r="AT132" s="15">
        <v>0</v>
      </c>
      <c r="AU132" s="15">
        <v>1</v>
      </c>
      <c r="AV132" s="15">
        <v>0</v>
      </c>
      <c r="AW132" s="15">
        <v>1</v>
      </c>
      <c r="AX132" s="15">
        <v>0</v>
      </c>
      <c r="AY132" s="15">
        <v>1</v>
      </c>
      <c r="AZ132" s="15">
        <v>2</v>
      </c>
      <c r="BA132" s="15">
        <v>1</v>
      </c>
      <c r="BB132" s="15">
        <v>0</v>
      </c>
      <c r="BC132" s="15">
        <v>0</v>
      </c>
      <c r="BD132" s="15">
        <v>1</v>
      </c>
      <c r="BE132" s="15">
        <v>0</v>
      </c>
      <c r="BF132" s="15">
        <v>1</v>
      </c>
      <c r="BG132" s="15">
        <v>2</v>
      </c>
      <c r="BH132" s="15">
        <v>1</v>
      </c>
      <c r="BI132" s="15">
        <v>0</v>
      </c>
      <c r="BJ132" s="15">
        <v>0</v>
      </c>
      <c r="BK132" s="15">
        <v>1</v>
      </c>
      <c r="BL132" s="15">
        <v>0</v>
      </c>
      <c r="BM132" s="15">
        <v>0</v>
      </c>
      <c r="BN132" s="15">
        <v>1</v>
      </c>
      <c r="BO132" s="15">
        <v>0</v>
      </c>
      <c r="BP132" s="15">
        <v>2</v>
      </c>
      <c r="BQ132" s="13">
        <f t="shared" si="13"/>
        <v>32</v>
      </c>
      <c r="BR132" s="5"/>
      <c r="BS132" s="5"/>
    </row>
    <row r="133" spans="1:71" ht="12.75" customHeight="1" x14ac:dyDescent="0.3">
      <c r="A133" s="19" t="s">
        <v>39</v>
      </c>
      <c r="B133" s="27"/>
      <c r="C133" s="28" t="s">
        <v>113</v>
      </c>
      <c r="D133" s="29"/>
      <c r="E133" s="15">
        <v>2</v>
      </c>
      <c r="F133" s="15">
        <v>0</v>
      </c>
      <c r="G133" s="15">
        <v>0</v>
      </c>
      <c r="H133" s="15">
        <v>1</v>
      </c>
      <c r="I133" s="15">
        <v>1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1</v>
      </c>
      <c r="Q133" s="15">
        <v>1</v>
      </c>
      <c r="R133" s="15">
        <v>1</v>
      </c>
      <c r="S133" s="15">
        <v>0</v>
      </c>
      <c r="T133" s="15">
        <v>1</v>
      </c>
      <c r="U133" s="15">
        <v>1</v>
      </c>
      <c r="V133" s="15">
        <v>3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1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2</v>
      </c>
      <c r="AK133" s="15">
        <v>0</v>
      </c>
      <c r="AL133" s="15">
        <v>0</v>
      </c>
      <c r="AM133" s="15">
        <v>0</v>
      </c>
      <c r="AN133" s="15">
        <v>1</v>
      </c>
      <c r="AO133" s="15">
        <v>0</v>
      </c>
      <c r="AP133" s="15">
        <v>1</v>
      </c>
      <c r="AQ133" s="15">
        <v>1</v>
      </c>
      <c r="AR133" s="15">
        <v>0</v>
      </c>
      <c r="AS133" s="15">
        <v>0</v>
      </c>
      <c r="AT133" s="15">
        <v>0</v>
      </c>
      <c r="AU133" s="15">
        <v>0</v>
      </c>
      <c r="AV133" s="15">
        <v>1</v>
      </c>
      <c r="AW133" s="15">
        <v>0</v>
      </c>
      <c r="AX133" s="15">
        <v>0</v>
      </c>
      <c r="AY133" s="15">
        <v>3</v>
      </c>
      <c r="AZ133" s="15">
        <v>2</v>
      </c>
      <c r="BA133" s="15">
        <v>0</v>
      </c>
      <c r="BB133" s="15">
        <v>1</v>
      </c>
      <c r="BC133" s="15">
        <v>0</v>
      </c>
      <c r="BD133" s="15">
        <v>1</v>
      </c>
      <c r="BE133" s="15">
        <v>1</v>
      </c>
      <c r="BF133" s="15">
        <v>0</v>
      </c>
      <c r="BG133" s="15">
        <v>0</v>
      </c>
      <c r="BH133" s="15">
        <v>2</v>
      </c>
      <c r="BI133" s="15">
        <v>0</v>
      </c>
      <c r="BJ133" s="15">
        <v>0</v>
      </c>
      <c r="BK133" s="15">
        <v>1</v>
      </c>
      <c r="BL133" s="15">
        <v>2</v>
      </c>
      <c r="BM133" s="15">
        <v>2</v>
      </c>
      <c r="BN133" s="15">
        <v>3</v>
      </c>
      <c r="BO133" s="15">
        <v>2</v>
      </c>
      <c r="BP133" s="15">
        <v>3</v>
      </c>
      <c r="BQ133" s="13">
        <f t="shared" si="13"/>
        <v>42</v>
      </c>
      <c r="BR133" s="5"/>
      <c r="BS133" s="5"/>
    </row>
    <row r="134" spans="1:71" ht="12.75" customHeight="1" x14ac:dyDescent="0.3">
      <c r="A134" s="14"/>
      <c r="B134" s="27"/>
      <c r="C134" s="28" t="s">
        <v>114</v>
      </c>
      <c r="D134" s="29"/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1</v>
      </c>
      <c r="AF134" s="15">
        <v>0</v>
      </c>
      <c r="AG134" s="15">
        <v>0</v>
      </c>
      <c r="AH134" s="15">
        <v>1</v>
      </c>
      <c r="AI134" s="15">
        <v>0</v>
      </c>
      <c r="AJ134" s="15">
        <v>0</v>
      </c>
      <c r="AK134" s="15">
        <v>0</v>
      </c>
      <c r="AL134" s="15"/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1</v>
      </c>
      <c r="AY134" s="15">
        <v>0</v>
      </c>
      <c r="AZ134" s="15">
        <v>1</v>
      </c>
      <c r="BA134" s="15">
        <v>0</v>
      </c>
      <c r="BB134" s="15">
        <v>0</v>
      </c>
      <c r="BC134" s="15">
        <v>0</v>
      </c>
      <c r="BD134" s="15">
        <v>0</v>
      </c>
      <c r="BE134" s="15">
        <v>0</v>
      </c>
      <c r="BF134" s="15">
        <v>0</v>
      </c>
      <c r="BG134" s="15">
        <v>0</v>
      </c>
      <c r="BH134" s="15">
        <v>0</v>
      </c>
      <c r="BI134" s="15">
        <v>0</v>
      </c>
      <c r="BJ134" s="15">
        <v>0</v>
      </c>
      <c r="BK134" s="15">
        <v>0</v>
      </c>
      <c r="BL134" s="15">
        <v>0</v>
      </c>
      <c r="BM134" s="15">
        <v>1</v>
      </c>
      <c r="BN134" s="15">
        <v>0</v>
      </c>
      <c r="BO134" s="15">
        <v>0</v>
      </c>
      <c r="BP134" s="15">
        <v>0</v>
      </c>
      <c r="BQ134" s="13">
        <f t="shared" si="13"/>
        <v>5</v>
      </c>
      <c r="BR134" s="5"/>
      <c r="BS134" s="5"/>
    </row>
    <row r="135" spans="1:71" ht="12.75" customHeight="1" x14ac:dyDescent="0.3">
      <c r="A135" s="14"/>
      <c r="B135" s="27"/>
      <c r="C135" s="28" t="s">
        <v>115</v>
      </c>
      <c r="D135" s="29"/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1</v>
      </c>
      <c r="M135" s="15">
        <v>0</v>
      </c>
      <c r="N135" s="15">
        <v>0</v>
      </c>
      <c r="O135" s="15">
        <v>0</v>
      </c>
      <c r="P135" s="15">
        <v>1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1</v>
      </c>
      <c r="AE135" s="15">
        <v>1</v>
      </c>
      <c r="AF135" s="15">
        <v>0</v>
      </c>
      <c r="AG135" s="15">
        <v>0</v>
      </c>
      <c r="AH135" s="15">
        <v>0</v>
      </c>
      <c r="AI135" s="15">
        <v>1</v>
      </c>
      <c r="AJ135" s="15">
        <v>0</v>
      </c>
      <c r="AK135" s="15">
        <v>0</v>
      </c>
      <c r="AL135" s="15">
        <v>1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15">
        <v>0</v>
      </c>
      <c r="AY135" s="15">
        <v>1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3">
        <f t="shared" si="13"/>
        <v>7</v>
      </c>
      <c r="BR135" s="5"/>
      <c r="BS135" s="5"/>
    </row>
    <row r="136" spans="1:71" ht="12.75" customHeight="1" x14ac:dyDescent="0.3">
      <c r="A136" s="14"/>
      <c r="B136" s="27"/>
      <c r="C136" s="28" t="s">
        <v>116</v>
      </c>
      <c r="D136" s="29"/>
      <c r="E136" s="15">
        <v>0</v>
      </c>
      <c r="F136" s="15">
        <v>0</v>
      </c>
      <c r="G136" s="15">
        <v>0</v>
      </c>
      <c r="H136" s="15">
        <v>1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3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1</v>
      </c>
      <c r="AA136" s="15">
        <v>0</v>
      </c>
      <c r="AB136" s="15">
        <v>0</v>
      </c>
      <c r="AC136" s="15">
        <v>0</v>
      </c>
      <c r="AD136" s="15">
        <v>1</v>
      </c>
      <c r="AE136" s="15">
        <v>0</v>
      </c>
      <c r="AF136" s="15">
        <v>0</v>
      </c>
      <c r="AG136" s="15">
        <v>2</v>
      </c>
      <c r="AH136" s="15">
        <v>0</v>
      </c>
      <c r="AI136" s="15">
        <v>1</v>
      </c>
      <c r="AJ136" s="15">
        <v>0</v>
      </c>
      <c r="AK136" s="15">
        <v>1</v>
      </c>
      <c r="AL136" s="15"/>
      <c r="AM136" s="15">
        <v>2</v>
      </c>
      <c r="AN136" s="15">
        <v>0</v>
      </c>
      <c r="AO136" s="15">
        <v>2</v>
      </c>
      <c r="AP136" s="15">
        <v>1</v>
      </c>
      <c r="AQ136" s="15">
        <v>0</v>
      </c>
      <c r="AR136" s="15">
        <v>0</v>
      </c>
      <c r="AS136" s="15">
        <v>1</v>
      </c>
      <c r="AT136" s="15">
        <v>0</v>
      </c>
      <c r="AU136" s="15">
        <v>0</v>
      </c>
      <c r="AV136" s="15">
        <v>0</v>
      </c>
      <c r="AW136" s="15">
        <v>0</v>
      </c>
      <c r="AX136" s="15">
        <v>0</v>
      </c>
      <c r="AY136" s="15">
        <v>1</v>
      </c>
      <c r="AZ136" s="15">
        <v>0</v>
      </c>
      <c r="BA136" s="15">
        <v>2</v>
      </c>
      <c r="BB136" s="15">
        <v>1</v>
      </c>
      <c r="BC136" s="15">
        <v>1</v>
      </c>
      <c r="BD136" s="15">
        <v>0</v>
      </c>
      <c r="BE136" s="15">
        <v>2</v>
      </c>
      <c r="BF136" s="15">
        <v>3</v>
      </c>
      <c r="BG136" s="15">
        <v>0</v>
      </c>
      <c r="BH136" s="15">
        <v>0</v>
      </c>
      <c r="BI136" s="15">
        <v>0</v>
      </c>
      <c r="BJ136" s="15">
        <v>1</v>
      </c>
      <c r="BK136" s="15">
        <v>0</v>
      </c>
      <c r="BL136" s="15">
        <v>0</v>
      </c>
      <c r="BM136" s="15">
        <v>0</v>
      </c>
      <c r="BN136" s="15">
        <v>0</v>
      </c>
      <c r="BO136" s="15">
        <v>0</v>
      </c>
      <c r="BP136" s="15">
        <v>0</v>
      </c>
      <c r="BQ136" s="13">
        <f t="shared" si="13"/>
        <v>27</v>
      </c>
      <c r="BR136" s="5"/>
      <c r="BS136" s="5"/>
    </row>
    <row r="137" spans="1:71" ht="12.75" customHeight="1" x14ac:dyDescent="0.3">
      <c r="A137" s="14"/>
      <c r="B137" s="27"/>
      <c r="C137" s="28" t="s">
        <v>117</v>
      </c>
      <c r="D137" s="29"/>
      <c r="E137" s="15">
        <v>0</v>
      </c>
      <c r="F137" s="15">
        <v>0</v>
      </c>
      <c r="G137" s="15">
        <v>2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1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/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1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1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3">
        <f t="shared" si="13"/>
        <v>5</v>
      </c>
      <c r="BR137" s="5"/>
      <c r="BS137" s="5"/>
    </row>
    <row r="138" spans="1:71" ht="12.75" customHeight="1" x14ac:dyDescent="0.3">
      <c r="A138" s="14"/>
      <c r="B138" s="27"/>
      <c r="C138" s="28" t="s">
        <v>118</v>
      </c>
      <c r="D138" s="29"/>
      <c r="E138" s="15">
        <v>1</v>
      </c>
      <c r="F138" s="15">
        <v>1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/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0</v>
      </c>
      <c r="BH138" s="15">
        <v>0</v>
      </c>
      <c r="BI138" s="15">
        <v>0</v>
      </c>
      <c r="BJ138" s="15">
        <v>0</v>
      </c>
      <c r="BK138" s="15">
        <v>0</v>
      </c>
      <c r="BL138" s="15">
        <v>0</v>
      </c>
      <c r="BM138" s="15">
        <v>0</v>
      </c>
      <c r="BN138" s="15">
        <v>0</v>
      </c>
      <c r="BO138" s="15">
        <v>0</v>
      </c>
      <c r="BP138" s="15">
        <v>0</v>
      </c>
      <c r="BQ138" s="13">
        <f t="shared" si="13"/>
        <v>2</v>
      </c>
      <c r="BR138" s="5"/>
      <c r="BS138" s="5"/>
    </row>
    <row r="139" spans="1:71" ht="15" customHeight="1" x14ac:dyDescent="0.3">
      <c r="A139" s="14"/>
      <c r="B139" s="27"/>
      <c r="C139" s="28" t="s">
        <v>119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/>
      <c r="AM139" s="15">
        <v>0</v>
      </c>
      <c r="AN139" s="15">
        <v>0</v>
      </c>
      <c r="AO139" s="15">
        <v>1</v>
      </c>
      <c r="AP139" s="15">
        <v>0</v>
      </c>
      <c r="AQ139" s="15">
        <v>1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5">
        <v>0</v>
      </c>
      <c r="AX139" s="15">
        <v>0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3">
        <f t="shared" si="13"/>
        <v>2</v>
      </c>
      <c r="BR139" s="5"/>
      <c r="BS139" s="5"/>
    </row>
    <row r="140" spans="1:71" ht="12.75" customHeight="1" x14ac:dyDescent="0.3">
      <c r="A140" s="15" t="s">
        <v>15</v>
      </c>
      <c r="B140" s="45" t="s">
        <v>47</v>
      </c>
      <c r="C140" s="46"/>
      <c r="D140" s="47"/>
      <c r="E140" s="34">
        <f t="shared" ref="E140:BP140" si="25">SUM(E132:E139)</f>
        <v>4</v>
      </c>
      <c r="F140" s="34">
        <f t="shared" si="25"/>
        <v>1</v>
      </c>
      <c r="G140" s="34">
        <f t="shared" si="25"/>
        <v>2</v>
      </c>
      <c r="H140" s="34">
        <f t="shared" si="25"/>
        <v>2</v>
      </c>
      <c r="I140" s="34">
        <f t="shared" si="25"/>
        <v>1</v>
      </c>
      <c r="J140" s="34">
        <f t="shared" si="25"/>
        <v>0</v>
      </c>
      <c r="K140" s="34">
        <f t="shared" si="25"/>
        <v>1</v>
      </c>
      <c r="L140" s="34">
        <f t="shared" si="25"/>
        <v>1</v>
      </c>
      <c r="M140" s="34">
        <f t="shared" si="25"/>
        <v>0</v>
      </c>
      <c r="N140" s="34">
        <f t="shared" si="25"/>
        <v>0</v>
      </c>
      <c r="O140" s="34">
        <f t="shared" si="25"/>
        <v>0</v>
      </c>
      <c r="P140" s="34">
        <f t="shared" si="25"/>
        <v>5</v>
      </c>
      <c r="Q140" s="34">
        <f t="shared" si="25"/>
        <v>2</v>
      </c>
      <c r="R140" s="34">
        <f t="shared" si="25"/>
        <v>3</v>
      </c>
      <c r="S140" s="34">
        <f t="shared" si="25"/>
        <v>0</v>
      </c>
      <c r="T140" s="34">
        <f t="shared" si="25"/>
        <v>2</v>
      </c>
      <c r="U140" s="34">
        <f t="shared" si="25"/>
        <v>2</v>
      </c>
      <c r="V140" s="34">
        <f t="shared" si="25"/>
        <v>4</v>
      </c>
      <c r="W140" s="34">
        <f t="shared" si="25"/>
        <v>0</v>
      </c>
      <c r="X140" s="34">
        <f t="shared" si="25"/>
        <v>0</v>
      </c>
      <c r="Y140" s="34">
        <f t="shared" si="25"/>
        <v>0</v>
      </c>
      <c r="Z140" s="34">
        <f t="shared" si="25"/>
        <v>3</v>
      </c>
      <c r="AA140" s="34">
        <f t="shared" si="25"/>
        <v>0</v>
      </c>
      <c r="AB140" s="34">
        <f t="shared" si="25"/>
        <v>1</v>
      </c>
      <c r="AC140" s="34">
        <f t="shared" si="25"/>
        <v>0</v>
      </c>
      <c r="AD140" s="34">
        <f t="shared" si="25"/>
        <v>3</v>
      </c>
      <c r="AE140" s="34">
        <f t="shared" si="25"/>
        <v>2</v>
      </c>
      <c r="AF140" s="34">
        <f t="shared" si="25"/>
        <v>1</v>
      </c>
      <c r="AG140" s="34">
        <f t="shared" si="25"/>
        <v>2</v>
      </c>
      <c r="AH140" s="34">
        <f t="shared" si="25"/>
        <v>3</v>
      </c>
      <c r="AI140" s="34">
        <f t="shared" si="25"/>
        <v>2</v>
      </c>
      <c r="AJ140" s="34">
        <f t="shared" si="25"/>
        <v>2</v>
      </c>
      <c r="AK140" s="34">
        <f t="shared" si="25"/>
        <v>2</v>
      </c>
      <c r="AL140" s="34">
        <f t="shared" si="25"/>
        <v>1</v>
      </c>
      <c r="AM140" s="34">
        <f t="shared" si="25"/>
        <v>2</v>
      </c>
      <c r="AN140" s="34">
        <f t="shared" si="25"/>
        <v>2</v>
      </c>
      <c r="AO140" s="34">
        <f t="shared" si="25"/>
        <v>4</v>
      </c>
      <c r="AP140" s="34">
        <f t="shared" si="25"/>
        <v>2</v>
      </c>
      <c r="AQ140" s="34">
        <f t="shared" si="25"/>
        <v>2</v>
      </c>
      <c r="AR140" s="34">
        <f t="shared" si="25"/>
        <v>1</v>
      </c>
      <c r="AS140" s="34">
        <f t="shared" si="25"/>
        <v>2</v>
      </c>
      <c r="AT140" s="34">
        <f t="shared" si="25"/>
        <v>0</v>
      </c>
      <c r="AU140" s="34">
        <f t="shared" si="25"/>
        <v>1</v>
      </c>
      <c r="AV140" s="34">
        <f t="shared" si="25"/>
        <v>1</v>
      </c>
      <c r="AW140" s="34">
        <f t="shared" si="25"/>
        <v>1</v>
      </c>
      <c r="AX140" s="34">
        <f t="shared" si="25"/>
        <v>1</v>
      </c>
      <c r="AY140" s="34">
        <f t="shared" si="25"/>
        <v>6</v>
      </c>
      <c r="AZ140" s="34">
        <f t="shared" si="25"/>
        <v>5</v>
      </c>
      <c r="BA140" s="34">
        <f t="shared" si="25"/>
        <v>3</v>
      </c>
      <c r="BB140" s="34">
        <f t="shared" si="25"/>
        <v>3</v>
      </c>
      <c r="BC140" s="34">
        <f t="shared" si="25"/>
        <v>1</v>
      </c>
      <c r="BD140" s="34">
        <f t="shared" si="25"/>
        <v>2</v>
      </c>
      <c r="BE140" s="34">
        <f t="shared" si="25"/>
        <v>3</v>
      </c>
      <c r="BF140" s="34">
        <f t="shared" si="25"/>
        <v>4</v>
      </c>
      <c r="BG140" s="34">
        <f t="shared" si="25"/>
        <v>2</v>
      </c>
      <c r="BH140" s="34">
        <f t="shared" si="25"/>
        <v>3</v>
      </c>
      <c r="BI140" s="34">
        <f t="shared" si="25"/>
        <v>0</v>
      </c>
      <c r="BJ140" s="34">
        <f t="shared" si="25"/>
        <v>1</v>
      </c>
      <c r="BK140" s="34">
        <f t="shared" si="25"/>
        <v>2</v>
      </c>
      <c r="BL140" s="34">
        <f t="shared" si="25"/>
        <v>2</v>
      </c>
      <c r="BM140" s="34">
        <f t="shared" si="25"/>
        <v>3</v>
      </c>
      <c r="BN140" s="34">
        <f t="shared" si="25"/>
        <v>4</v>
      </c>
      <c r="BO140" s="34">
        <f t="shared" si="25"/>
        <v>2</v>
      </c>
      <c r="BP140" s="34">
        <f t="shared" si="25"/>
        <v>5</v>
      </c>
      <c r="BQ140" s="13">
        <f t="shared" si="13"/>
        <v>122</v>
      </c>
      <c r="BR140" s="5"/>
      <c r="BS140" s="5"/>
    </row>
    <row r="141" spans="1:71" ht="12.75" customHeight="1" x14ac:dyDescent="0.3">
      <c r="A141" s="35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13">
        <f t="shared" si="13"/>
        <v>0</v>
      </c>
      <c r="BR141" s="1"/>
      <c r="BS141" s="1"/>
    </row>
    <row r="142" spans="1:71" ht="12.75" customHeight="1" x14ac:dyDescent="0.3">
      <c r="A142" s="19" t="s">
        <v>37</v>
      </c>
      <c r="B142" s="26" t="s">
        <v>120</v>
      </c>
      <c r="C142" s="48" t="s">
        <v>121</v>
      </c>
      <c r="D142" s="47"/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1</v>
      </c>
      <c r="O142" s="15">
        <v>0</v>
      </c>
      <c r="P142" s="15">
        <v>0</v>
      </c>
      <c r="Q142" s="15">
        <v>0</v>
      </c>
      <c r="R142" s="15">
        <v>1</v>
      </c>
      <c r="S142" s="15">
        <v>0</v>
      </c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>
        <v>0</v>
      </c>
      <c r="AJ142" s="15">
        <v>0</v>
      </c>
      <c r="AK142" s="15">
        <v>1</v>
      </c>
      <c r="AL142" s="15">
        <v>0</v>
      </c>
      <c r="AM142" s="15">
        <v>0</v>
      </c>
      <c r="AN142" s="15">
        <v>1</v>
      </c>
      <c r="AO142" s="15">
        <v>0</v>
      </c>
      <c r="AP142" s="15">
        <v>0</v>
      </c>
      <c r="AQ142" s="15">
        <v>0</v>
      </c>
      <c r="AR142" s="15">
        <v>0</v>
      </c>
      <c r="AS142" s="15">
        <v>1</v>
      </c>
      <c r="AT142" s="15">
        <v>0</v>
      </c>
      <c r="AU142" s="15">
        <v>0</v>
      </c>
      <c r="AV142" s="15">
        <v>0</v>
      </c>
      <c r="AW142" s="15">
        <v>0</v>
      </c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3">
        <f t="shared" si="13"/>
        <v>5</v>
      </c>
      <c r="BR142" s="31"/>
      <c r="BS142" s="31"/>
    </row>
    <row r="143" spans="1:71" ht="12.75" customHeight="1" x14ac:dyDescent="0.3">
      <c r="A143" s="19" t="s">
        <v>39</v>
      </c>
      <c r="B143" s="27"/>
      <c r="C143" s="28" t="s">
        <v>122</v>
      </c>
      <c r="D143" s="29"/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3">
        <f t="shared" si="13"/>
        <v>0</v>
      </c>
      <c r="BR143" s="5"/>
      <c r="BS143" s="5"/>
    </row>
    <row r="144" spans="1:71" ht="12.75" customHeight="1" x14ac:dyDescent="0.3">
      <c r="A144" s="14"/>
      <c r="B144" s="27"/>
      <c r="C144" s="28" t="s">
        <v>123</v>
      </c>
      <c r="D144" s="29"/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>
        <v>0</v>
      </c>
      <c r="AJ144" s="15">
        <v>0</v>
      </c>
      <c r="AK144" s="15">
        <v>0</v>
      </c>
      <c r="AL144" s="15">
        <v>1</v>
      </c>
      <c r="AM144" s="15">
        <v>0</v>
      </c>
      <c r="AN144" s="15">
        <v>1</v>
      </c>
      <c r="AO144" s="15">
        <v>2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3">
        <f t="shared" si="13"/>
        <v>4</v>
      </c>
      <c r="BR144" s="5"/>
      <c r="BS144" s="5"/>
    </row>
    <row r="145" spans="1:71" ht="12.75" customHeight="1" x14ac:dyDescent="0.3">
      <c r="A145" s="14"/>
      <c r="B145" s="27"/>
      <c r="C145" s="28" t="s">
        <v>124</v>
      </c>
      <c r="D145" s="29"/>
      <c r="E145" s="15">
        <v>1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3">
        <f t="shared" si="13"/>
        <v>1</v>
      </c>
      <c r="BR145" s="5"/>
      <c r="BS145" s="5"/>
    </row>
    <row r="146" spans="1:71" ht="12.75" customHeight="1" x14ac:dyDescent="0.3">
      <c r="A146" s="14"/>
      <c r="B146" s="27"/>
      <c r="C146" s="28" t="s">
        <v>125</v>
      </c>
      <c r="D146" s="29"/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>
        <v>0</v>
      </c>
      <c r="AJ146" s="15">
        <v>0</v>
      </c>
      <c r="AK146" s="15">
        <v>1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5">
        <v>0</v>
      </c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3">
        <f t="shared" si="13"/>
        <v>1</v>
      </c>
      <c r="BR146" s="5"/>
      <c r="BS146" s="5"/>
    </row>
    <row r="147" spans="1:71" ht="12.75" customHeight="1" x14ac:dyDescent="0.3">
      <c r="A147" s="14"/>
      <c r="B147" s="27"/>
      <c r="C147" s="28" t="s">
        <v>126</v>
      </c>
      <c r="D147" s="29"/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1</v>
      </c>
      <c r="S147" s="15">
        <v>0</v>
      </c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>
        <v>0</v>
      </c>
      <c r="AJ147" s="15">
        <v>0</v>
      </c>
      <c r="AK147" s="15">
        <v>0</v>
      </c>
      <c r="AL147" s="15">
        <v>0</v>
      </c>
      <c r="AM147" s="15">
        <v>1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3">
        <f t="shared" si="13"/>
        <v>2</v>
      </c>
      <c r="BR147" s="5"/>
      <c r="BS147" s="5"/>
    </row>
    <row r="148" spans="1:71" ht="12.75" customHeight="1" x14ac:dyDescent="0.3">
      <c r="A148" s="14"/>
      <c r="B148" s="27"/>
      <c r="C148" s="28" t="s">
        <v>127</v>
      </c>
      <c r="D148" s="29"/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3">
        <f t="shared" si="13"/>
        <v>0</v>
      </c>
      <c r="BR148" s="5"/>
      <c r="BS148" s="5"/>
    </row>
    <row r="149" spans="1:71" ht="12.75" customHeight="1" x14ac:dyDescent="0.3">
      <c r="A149" s="14"/>
      <c r="B149" s="27"/>
      <c r="C149" s="28" t="s">
        <v>128</v>
      </c>
      <c r="D149" s="29"/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>
        <v>1</v>
      </c>
      <c r="BK149" s="15"/>
      <c r="BL149" s="15"/>
      <c r="BM149" s="15"/>
      <c r="BN149" s="15"/>
      <c r="BO149" s="15">
        <v>2</v>
      </c>
      <c r="BP149" s="15"/>
      <c r="BQ149" s="13">
        <f t="shared" si="13"/>
        <v>3</v>
      </c>
      <c r="BR149" s="5"/>
      <c r="BS149" s="5"/>
    </row>
    <row r="150" spans="1:71" ht="12.75" customHeight="1" x14ac:dyDescent="0.3">
      <c r="A150" s="15" t="s">
        <v>15</v>
      </c>
      <c r="B150" s="45" t="s">
        <v>47</v>
      </c>
      <c r="C150" s="46"/>
      <c r="D150" s="47"/>
      <c r="E150" s="34">
        <f>SUM(E142:E149)</f>
        <v>1</v>
      </c>
      <c r="F150" s="34">
        <f t="shared" ref="F150:BP150" si="26">SUM(F142:F149)</f>
        <v>0</v>
      </c>
      <c r="G150" s="34">
        <f t="shared" si="26"/>
        <v>0</v>
      </c>
      <c r="H150" s="34">
        <f t="shared" si="26"/>
        <v>0</v>
      </c>
      <c r="I150" s="34">
        <f t="shared" si="26"/>
        <v>0</v>
      </c>
      <c r="J150" s="34">
        <f t="shared" si="26"/>
        <v>0</v>
      </c>
      <c r="K150" s="34">
        <f t="shared" si="26"/>
        <v>0</v>
      </c>
      <c r="L150" s="34">
        <f t="shared" si="26"/>
        <v>0</v>
      </c>
      <c r="M150" s="34">
        <f t="shared" si="26"/>
        <v>0</v>
      </c>
      <c r="N150" s="34">
        <f t="shared" si="26"/>
        <v>1</v>
      </c>
      <c r="O150" s="34">
        <f t="shared" si="26"/>
        <v>0</v>
      </c>
      <c r="P150" s="34">
        <f t="shared" si="26"/>
        <v>0</v>
      </c>
      <c r="Q150" s="34">
        <f t="shared" si="26"/>
        <v>0</v>
      </c>
      <c r="R150" s="34">
        <f t="shared" si="26"/>
        <v>2</v>
      </c>
      <c r="S150" s="34">
        <f t="shared" si="26"/>
        <v>0</v>
      </c>
      <c r="T150" s="34">
        <f t="shared" si="26"/>
        <v>0</v>
      </c>
      <c r="U150" s="34">
        <f t="shared" si="26"/>
        <v>0</v>
      </c>
      <c r="V150" s="34">
        <f t="shared" si="26"/>
        <v>0</v>
      </c>
      <c r="W150" s="34">
        <f t="shared" si="26"/>
        <v>0</v>
      </c>
      <c r="X150" s="34">
        <f t="shared" si="26"/>
        <v>0</v>
      </c>
      <c r="Y150" s="34">
        <f t="shared" si="26"/>
        <v>0</v>
      </c>
      <c r="Z150" s="34">
        <f t="shared" si="26"/>
        <v>0</v>
      </c>
      <c r="AA150" s="34">
        <f t="shared" si="26"/>
        <v>0</v>
      </c>
      <c r="AB150" s="34">
        <f t="shared" si="26"/>
        <v>0</v>
      </c>
      <c r="AC150" s="34">
        <f t="shared" si="26"/>
        <v>0</v>
      </c>
      <c r="AD150" s="34">
        <f t="shared" si="26"/>
        <v>0</v>
      </c>
      <c r="AE150" s="34">
        <f t="shared" si="26"/>
        <v>0</v>
      </c>
      <c r="AF150" s="34">
        <f t="shared" si="26"/>
        <v>0</v>
      </c>
      <c r="AG150" s="34">
        <f t="shared" si="26"/>
        <v>0</v>
      </c>
      <c r="AH150" s="34">
        <f t="shared" si="26"/>
        <v>0</v>
      </c>
      <c r="AI150" s="34">
        <f t="shared" si="26"/>
        <v>0</v>
      </c>
      <c r="AJ150" s="34">
        <f t="shared" si="26"/>
        <v>0</v>
      </c>
      <c r="AK150" s="34">
        <f t="shared" si="26"/>
        <v>2</v>
      </c>
      <c r="AL150" s="34">
        <f t="shared" si="26"/>
        <v>1</v>
      </c>
      <c r="AM150" s="34">
        <f t="shared" si="26"/>
        <v>1</v>
      </c>
      <c r="AN150" s="34">
        <f t="shared" si="26"/>
        <v>2</v>
      </c>
      <c r="AO150" s="34">
        <f t="shared" si="26"/>
        <v>2</v>
      </c>
      <c r="AP150" s="34">
        <f t="shared" si="26"/>
        <v>0</v>
      </c>
      <c r="AQ150" s="34">
        <f t="shared" si="26"/>
        <v>0</v>
      </c>
      <c r="AR150" s="34">
        <f t="shared" si="26"/>
        <v>0</v>
      </c>
      <c r="AS150" s="34">
        <f t="shared" si="26"/>
        <v>1</v>
      </c>
      <c r="AT150" s="34">
        <f t="shared" si="26"/>
        <v>0</v>
      </c>
      <c r="AU150" s="34">
        <f t="shared" si="26"/>
        <v>0</v>
      </c>
      <c r="AV150" s="34">
        <f t="shared" si="26"/>
        <v>0</v>
      </c>
      <c r="AW150" s="34">
        <f t="shared" si="26"/>
        <v>0</v>
      </c>
      <c r="AX150" s="34">
        <f t="shared" si="26"/>
        <v>0</v>
      </c>
      <c r="AY150" s="34">
        <f t="shared" si="26"/>
        <v>0</v>
      </c>
      <c r="AZ150" s="34">
        <f t="shared" si="26"/>
        <v>0</v>
      </c>
      <c r="BA150" s="34">
        <f t="shared" si="26"/>
        <v>0</v>
      </c>
      <c r="BB150" s="34">
        <f t="shared" si="26"/>
        <v>0</v>
      </c>
      <c r="BC150" s="34">
        <f t="shared" si="26"/>
        <v>0</v>
      </c>
      <c r="BD150" s="34">
        <f t="shared" si="26"/>
        <v>0</v>
      </c>
      <c r="BE150" s="34">
        <f t="shared" si="26"/>
        <v>0</v>
      </c>
      <c r="BF150" s="34">
        <f t="shared" si="26"/>
        <v>0</v>
      </c>
      <c r="BG150" s="34">
        <f t="shared" si="26"/>
        <v>0</v>
      </c>
      <c r="BH150" s="34">
        <f t="shared" si="26"/>
        <v>0</v>
      </c>
      <c r="BI150" s="34">
        <f t="shared" si="26"/>
        <v>0</v>
      </c>
      <c r="BJ150" s="34">
        <f t="shared" si="26"/>
        <v>1</v>
      </c>
      <c r="BK150" s="34">
        <f t="shared" si="26"/>
        <v>0</v>
      </c>
      <c r="BL150" s="34">
        <f t="shared" si="26"/>
        <v>0</v>
      </c>
      <c r="BM150" s="34">
        <f t="shared" si="26"/>
        <v>0</v>
      </c>
      <c r="BN150" s="34">
        <f t="shared" si="26"/>
        <v>0</v>
      </c>
      <c r="BO150" s="34">
        <f t="shared" si="26"/>
        <v>2</v>
      </c>
      <c r="BP150" s="34">
        <f t="shared" si="26"/>
        <v>0</v>
      </c>
      <c r="BQ150" s="13">
        <f t="shared" si="13"/>
        <v>16</v>
      </c>
      <c r="BR150" s="5"/>
      <c r="BS150" s="5"/>
    </row>
    <row r="151" spans="1:71" ht="12.75" customHeight="1" x14ac:dyDescent="0.3">
      <c r="A151" s="35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13">
        <f t="shared" si="13"/>
        <v>0</v>
      </c>
      <c r="BR151" s="1"/>
      <c r="BS151" s="1"/>
    </row>
    <row r="152" spans="1:71" ht="12.75" customHeight="1" x14ac:dyDescent="0.3">
      <c r="A152" s="19" t="s">
        <v>37</v>
      </c>
      <c r="B152" s="26" t="s">
        <v>129</v>
      </c>
      <c r="C152" s="48" t="s">
        <v>130</v>
      </c>
      <c r="D152" s="47"/>
      <c r="E152" s="15">
        <v>1</v>
      </c>
      <c r="F152" s="15">
        <v>2</v>
      </c>
      <c r="G152" s="15">
        <v>0</v>
      </c>
      <c r="H152" s="15">
        <v>0</v>
      </c>
      <c r="I152" s="15">
        <v>1</v>
      </c>
      <c r="J152" s="15"/>
      <c r="K152" s="15">
        <v>2</v>
      </c>
      <c r="L152" s="15">
        <v>1</v>
      </c>
      <c r="M152" s="15">
        <v>2</v>
      </c>
      <c r="N152" s="15">
        <v>1</v>
      </c>
      <c r="O152" s="15">
        <v>2</v>
      </c>
      <c r="P152" s="15">
        <v>0</v>
      </c>
      <c r="Q152" s="15">
        <v>6</v>
      </c>
      <c r="R152" s="15">
        <v>1</v>
      </c>
      <c r="S152" s="15">
        <v>0</v>
      </c>
      <c r="T152" s="15">
        <v>0</v>
      </c>
      <c r="U152" s="15">
        <v>1</v>
      </c>
      <c r="V152" s="15"/>
      <c r="W152" s="15">
        <v>0</v>
      </c>
      <c r="X152" s="15">
        <v>1</v>
      </c>
      <c r="Y152" s="15">
        <v>1</v>
      </c>
      <c r="Z152" s="15">
        <v>2</v>
      </c>
      <c r="AA152" s="15"/>
      <c r="AB152" s="15">
        <v>1</v>
      </c>
      <c r="AC152" s="15">
        <v>0</v>
      </c>
      <c r="AD152" s="15">
        <v>0</v>
      </c>
      <c r="AE152" s="15">
        <v>1</v>
      </c>
      <c r="AF152" s="15">
        <v>0</v>
      </c>
      <c r="AG152" s="15">
        <v>3</v>
      </c>
      <c r="AH152" s="15">
        <v>0</v>
      </c>
      <c r="AI152" s="15">
        <v>1</v>
      </c>
      <c r="AJ152" s="15">
        <v>8</v>
      </c>
      <c r="AK152" s="15">
        <v>1</v>
      </c>
      <c r="AL152" s="15">
        <v>3</v>
      </c>
      <c r="AM152" s="15">
        <v>3</v>
      </c>
      <c r="AN152" s="15">
        <v>4</v>
      </c>
      <c r="AO152" s="15">
        <v>4</v>
      </c>
      <c r="AP152" s="15">
        <v>1</v>
      </c>
      <c r="AQ152" s="15">
        <v>1</v>
      </c>
      <c r="AR152" s="15">
        <v>2</v>
      </c>
      <c r="AS152" s="15">
        <v>1</v>
      </c>
      <c r="AT152" s="15">
        <v>1</v>
      </c>
      <c r="AU152" s="15">
        <v>0</v>
      </c>
      <c r="AV152" s="15">
        <v>2</v>
      </c>
      <c r="AW152" s="15">
        <v>1</v>
      </c>
      <c r="AX152" s="15">
        <v>1</v>
      </c>
      <c r="AY152" s="15">
        <v>1</v>
      </c>
      <c r="AZ152" s="15">
        <v>3</v>
      </c>
      <c r="BA152" s="15">
        <v>1</v>
      </c>
      <c r="BB152" s="15">
        <v>2</v>
      </c>
      <c r="BC152" s="15">
        <v>1</v>
      </c>
      <c r="BD152" s="15">
        <v>2</v>
      </c>
      <c r="BE152" s="15">
        <v>2</v>
      </c>
      <c r="BF152" s="15">
        <v>0</v>
      </c>
      <c r="BG152" s="15">
        <v>3</v>
      </c>
      <c r="BH152" s="15">
        <v>1</v>
      </c>
      <c r="BI152" s="15">
        <v>2</v>
      </c>
      <c r="BJ152" s="15">
        <v>1</v>
      </c>
      <c r="BK152" s="15">
        <v>2</v>
      </c>
      <c r="BL152" s="15">
        <v>3</v>
      </c>
      <c r="BM152" s="15">
        <v>5</v>
      </c>
      <c r="BN152" s="15">
        <v>2</v>
      </c>
      <c r="BO152" s="15">
        <v>5</v>
      </c>
      <c r="BP152" s="15">
        <v>2</v>
      </c>
      <c r="BQ152" s="13">
        <f t="shared" si="13"/>
        <v>101</v>
      </c>
      <c r="BR152" s="31"/>
      <c r="BS152" s="31"/>
    </row>
    <row r="153" spans="1:71" ht="12.75" customHeight="1" x14ac:dyDescent="0.3">
      <c r="A153" s="19" t="s">
        <v>39</v>
      </c>
      <c r="B153" s="27"/>
      <c r="C153" s="28" t="s">
        <v>131</v>
      </c>
      <c r="D153" s="29"/>
      <c r="E153" s="15">
        <v>0</v>
      </c>
      <c r="F153" s="15">
        <v>1</v>
      </c>
      <c r="G153" s="15">
        <v>1</v>
      </c>
      <c r="H153" s="15">
        <v>0</v>
      </c>
      <c r="I153" s="15">
        <v>1</v>
      </c>
      <c r="J153" s="15">
        <v>1</v>
      </c>
      <c r="K153" s="15">
        <v>1</v>
      </c>
      <c r="L153" s="15">
        <v>1</v>
      </c>
      <c r="M153" s="15">
        <v>0</v>
      </c>
      <c r="N153" s="15">
        <v>1</v>
      </c>
      <c r="O153" s="15">
        <v>4</v>
      </c>
      <c r="P153" s="15">
        <v>0</v>
      </c>
      <c r="Q153" s="15">
        <v>1</v>
      </c>
      <c r="R153" s="15">
        <v>0</v>
      </c>
      <c r="S153" s="15">
        <v>0</v>
      </c>
      <c r="T153" s="15">
        <v>1</v>
      </c>
      <c r="U153" s="15">
        <v>0</v>
      </c>
      <c r="V153" s="15">
        <v>3</v>
      </c>
      <c r="W153" s="15">
        <v>1</v>
      </c>
      <c r="X153" s="15">
        <v>0</v>
      </c>
      <c r="Y153" s="15">
        <v>5</v>
      </c>
      <c r="Z153" s="15">
        <v>4</v>
      </c>
      <c r="AA153" s="15"/>
      <c r="AB153" s="15">
        <v>2</v>
      </c>
      <c r="AC153" s="15">
        <v>0</v>
      </c>
      <c r="AD153" s="15">
        <v>1</v>
      </c>
      <c r="AE153" s="15">
        <v>3</v>
      </c>
      <c r="AF153" s="15">
        <v>1</v>
      </c>
      <c r="AG153" s="15">
        <v>1</v>
      </c>
      <c r="AH153" s="15">
        <v>2</v>
      </c>
      <c r="AI153" s="15">
        <v>0</v>
      </c>
      <c r="AJ153" s="15">
        <v>0</v>
      </c>
      <c r="AK153" s="15">
        <v>2</v>
      </c>
      <c r="AL153" s="15">
        <v>3</v>
      </c>
      <c r="AM153" s="15">
        <v>2</v>
      </c>
      <c r="AN153" s="15">
        <v>0</v>
      </c>
      <c r="AO153" s="15">
        <v>2</v>
      </c>
      <c r="AP153" s="15">
        <v>0</v>
      </c>
      <c r="AQ153" s="15">
        <v>2</v>
      </c>
      <c r="AR153" s="15">
        <v>0</v>
      </c>
      <c r="AS153" s="15">
        <v>0</v>
      </c>
      <c r="AT153" s="15">
        <v>1</v>
      </c>
      <c r="AU153" s="15">
        <v>0</v>
      </c>
      <c r="AV153" s="15">
        <v>0</v>
      </c>
      <c r="AW153" s="15">
        <v>1</v>
      </c>
      <c r="AX153" s="15">
        <v>0</v>
      </c>
      <c r="AY153" s="15">
        <v>1</v>
      </c>
      <c r="AZ153" s="15">
        <v>1</v>
      </c>
      <c r="BA153" s="15">
        <v>2</v>
      </c>
      <c r="BB153" s="15">
        <v>2</v>
      </c>
      <c r="BC153" s="15">
        <v>8</v>
      </c>
      <c r="BD153" s="15">
        <v>0</v>
      </c>
      <c r="BE153" s="15">
        <v>3</v>
      </c>
      <c r="BF153" s="15">
        <v>0</v>
      </c>
      <c r="BG153" s="15">
        <v>0</v>
      </c>
      <c r="BH153" s="15">
        <v>1</v>
      </c>
      <c r="BI153" s="15">
        <v>2</v>
      </c>
      <c r="BJ153" s="15">
        <v>0</v>
      </c>
      <c r="BK153" s="15">
        <v>2</v>
      </c>
      <c r="BL153" s="15">
        <v>2</v>
      </c>
      <c r="BM153" s="15">
        <v>5</v>
      </c>
      <c r="BN153" s="15">
        <v>2</v>
      </c>
      <c r="BO153" s="15">
        <v>4</v>
      </c>
      <c r="BP153" s="15">
        <v>0</v>
      </c>
      <c r="BQ153" s="13">
        <f t="shared" si="13"/>
        <v>84</v>
      </c>
      <c r="BR153" s="5"/>
      <c r="BS153" s="5"/>
    </row>
    <row r="154" spans="1:71" ht="12.75" customHeight="1" x14ac:dyDescent="0.3">
      <c r="A154" s="14"/>
      <c r="B154" s="27"/>
      <c r="C154" s="28" t="s">
        <v>132</v>
      </c>
      <c r="D154" s="29"/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1</v>
      </c>
      <c r="P154" s="15">
        <v>2</v>
      </c>
      <c r="Q154" s="15">
        <v>0</v>
      </c>
      <c r="R154" s="15">
        <v>0</v>
      </c>
      <c r="S154" s="15">
        <v>1</v>
      </c>
      <c r="T154" s="15">
        <v>0</v>
      </c>
      <c r="U154" s="15">
        <v>1</v>
      </c>
      <c r="V154" s="15">
        <v>0</v>
      </c>
      <c r="W154" s="15">
        <v>0</v>
      </c>
      <c r="X154" s="15">
        <v>0</v>
      </c>
      <c r="Y154" s="15">
        <v>2</v>
      </c>
      <c r="Z154" s="15">
        <v>1</v>
      </c>
      <c r="AA154" s="15">
        <v>1</v>
      </c>
      <c r="AB154" s="15">
        <v>0</v>
      </c>
      <c r="AC154" s="15">
        <v>0</v>
      </c>
      <c r="AD154" s="15">
        <v>1</v>
      </c>
      <c r="AE154" s="15">
        <v>1</v>
      </c>
      <c r="AF154" s="15">
        <v>2</v>
      </c>
      <c r="AG154" s="15">
        <v>1</v>
      </c>
      <c r="AH154" s="15">
        <v>1</v>
      </c>
      <c r="AI154" s="15">
        <v>0</v>
      </c>
      <c r="AJ154" s="15">
        <v>3</v>
      </c>
      <c r="AK154" s="15">
        <v>1</v>
      </c>
      <c r="AL154" s="15">
        <v>1</v>
      </c>
      <c r="AM154" s="15">
        <v>0</v>
      </c>
      <c r="AN154" s="15">
        <v>1</v>
      </c>
      <c r="AO154" s="15">
        <v>2</v>
      </c>
      <c r="AP154" s="15">
        <v>1</v>
      </c>
      <c r="AQ154" s="15">
        <v>1</v>
      </c>
      <c r="AR154" s="15">
        <v>2</v>
      </c>
      <c r="AS154" s="15">
        <v>0</v>
      </c>
      <c r="AT154" s="15">
        <v>0</v>
      </c>
      <c r="AU154" s="15">
        <v>0</v>
      </c>
      <c r="AV154" s="15">
        <v>0</v>
      </c>
      <c r="AW154" s="15">
        <v>0</v>
      </c>
      <c r="AX154" s="15">
        <v>2</v>
      </c>
      <c r="AY154" s="15">
        <v>0</v>
      </c>
      <c r="AZ154" s="15">
        <v>1</v>
      </c>
      <c r="BA154" s="15">
        <v>0</v>
      </c>
      <c r="BB154" s="15">
        <v>0</v>
      </c>
      <c r="BC154" s="15">
        <v>0</v>
      </c>
      <c r="BD154" s="15">
        <v>0</v>
      </c>
      <c r="BE154" s="15">
        <v>0</v>
      </c>
      <c r="BF154" s="15">
        <v>0</v>
      </c>
      <c r="BG154" s="15">
        <v>0</v>
      </c>
      <c r="BH154" s="15">
        <v>1</v>
      </c>
      <c r="BI154" s="15">
        <v>0</v>
      </c>
      <c r="BJ154" s="15">
        <v>0</v>
      </c>
      <c r="BK154" s="15">
        <v>0</v>
      </c>
      <c r="BL154" s="15">
        <v>2</v>
      </c>
      <c r="BM154" s="15">
        <v>1</v>
      </c>
      <c r="BN154" s="15">
        <v>0</v>
      </c>
      <c r="BO154" s="15">
        <v>0</v>
      </c>
      <c r="BP154" s="15">
        <v>1</v>
      </c>
      <c r="BQ154" s="13">
        <f t="shared" si="13"/>
        <v>35</v>
      </c>
      <c r="BR154" s="5"/>
      <c r="BS154" s="5"/>
    </row>
    <row r="155" spans="1:71" ht="12.75" customHeight="1" x14ac:dyDescent="0.3">
      <c r="A155" s="14"/>
      <c r="B155" s="27"/>
      <c r="C155" s="28" t="s">
        <v>133</v>
      </c>
      <c r="D155" s="29"/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1</v>
      </c>
      <c r="P155" s="15">
        <v>0</v>
      </c>
      <c r="Q155" s="15">
        <v>1</v>
      </c>
      <c r="R155" s="15">
        <v>1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1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2</v>
      </c>
      <c r="AK155" s="15">
        <v>1</v>
      </c>
      <c r="AL155" s="15">
        <v>0</v>
      </c>
      <c r="AM155" s="15">
        <v>0</v>
      </c>
      <c r="AN155" s="15">
        <v>0</v>
      </c>
      <c r="AO155" s="15">
        <v>1</v>
      </c>
      <c r="AP155" s="15">
        <v>0</v>
      </c>
      <c r="AQ155" s="15">
        <v>0</v>
      </c>
      <c r="AR155" s="15">
        <v>0</v>
      </c>
      <c r="AS155" s="15">
        <v>0</v>
      </c>
      <c r="AT155" s="15">
        <v>0</v>
      </c>
      <c r="AU155" s="15">
        <v>0</v>
      </c>
      <c r="AV155" s="15">
        <v>0</v>
      </c>
      <c r="AW155" s="15">
        <v>0</v>
      </c>
      <c r="AX155" s="15">
        <v>0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2</v>
      </c>
      <c r="BE155" s="15">
        <v>0</v>
      </c>
      <c r="BF155" s="15">
        <v>0</v>
      </c>
      <c r="BG155" s="15">
        <v>0</v>
      </c>
      <c r="BH155" s="15">
        <v>0</v>
      </c>
      <c r="BI155" s="15">
        <v>1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1</v>
      </c>
      <c r="BQ155" s="13">
        <f t="shared" si="13"/>
        <v>12</v>
      </c>
      <c r="BR155" s="5"/>
      <c r="BS155" s="5"/>
    </row>
    <row r="156" spans="1:71" ht="12.75" customHeight="1" x14ac:dyDescent="0.3">
      <c r="A156" s="14"/>
      <c r="B156" s="27"/>
      <c r="C156" s="28" t="s">
        <v>134</v>
      </c>
      <c r="D156" s="29"/>
      <c r="E156" s="15">
        <v>0</v>
      </c>
      <c r="F156" s="15">
        <v>0</v>
      </c>
      <c r="G156" s="15">
        <v>0</v>
      </c>
      <c r="H156" s="15">
        <v>0</v>
      </c>
      <c r="I156" s="15">
        <v>1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2</v>
      </c>
      <c r="P156" s="15">
        <v>4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1</v>
      </c>
      <c r="AI156" s="15">
        <v>0</v>
      </c>
      <c r="AJ156" s="15">
        <v>1</v>
      </c>
      <c r="AK156" s="15">
        <v>1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1</v>
      </c>
      <c r="AV156" s="15">
        <v>0</v>
      </c>
      <c r="AW156" s="15">
        <v>0</v>
      </c>
      <c r="AX156" s="15">
        <v>0</v>
      </c>
      <c r="AY156" s="15">
        <v>1</v>
      </c>
      <c r="AZ156" s="15">
        <v>1</v>
      </c>
      <c r="BA156" s="15">
        <v>0</v>
      </c>
      <c r="BB156" s="15">
        <v>0</v>
      </c>
      <c r="BC156" s="15">
        <v>0</v>
      </c>
      <c r="BD156" s="15">
        <v>3</v>
      </c>
      <c r="BE156" s="15">
        <v>0</v>
      </c>
      <c r="BF156" s="15">
        <v>1</v>
      </c>
      <c r="BG156" s="15">
        <v>0</v>
      </c>
      <c r="BH156" s="15">
        <v>0</v>
      </c>
      <c r="BI156" s="15">
        <v>0</v>
      </c>
      <c r="BJ156" s="15">
        <v>0</v>
      </c>
      <c r="BK156" s="15">
        <v>1</v>
      </c>
      <c r="BL156" s="15">
        <v>1</v>
      </c>
      <c r="BM156" s="15">
        <v>1</v>
      </c>
      <c r="BN156" s="15">
        <v>0</v>
      </c>
      <c r="BO156" s="15">
        <v>1</v>
      </c>
      <c r="BP156" s="15">
        <v>1</v>
      </c>
      <c r="BQ156" s="13">
        <f t="shared" si="13"/>
        <v>22</v>
      </c>
      <c r="BR156" s="5"/>
      <c r="BS156" s="5"/>
    </row>
    <row r="157" spans="1:71" ht="12.75" customHeight="1" x14ac:dyDescent="0.3">
      <c r="A157" s="14"/>
      <c r="B157" s="27"/>
      <c r="C157" s="28" t="s">
        <v>135</v>
      </c>
      <c r="D157" s="29"/>
      <c r="E157" s="15">
        <v>0</v>
      </c>
      <c r="F157" s="15">
        <v>6</v>
      </c>
      <c r="G157" s="15">
        <v>0</v>
      </c>
      <c r="H157" s="15">
        <v>1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1</v>
      </c>
      <c r="Q157" s="15">
        <v>0</v>
      </c>
      <c r="R157" s="15">
        <v>0</v>
      </c>
      <c r="S157" s="15">
        <v>0</v>
      </c>
      <c r="T157" s="15">
        <v>6</v>
      </c>
      <c r="U157" s="15">
        <v>0</v>
      </c>
      <c r="V157" s="15">
        <v>1</v>
      </c>
      <c r="W157" s="15">
        <v>1</v>
      </c>
      <c r="X157" s="15">
        <v>0</v>
      </c>
      <c r="Y157" s="15">
        <v>1</v>
      </c>
      <c r="Z157" s="15">
        <v>0</v>
      </c>
      <c r="AA157" s="15">
        <v>0</v>
      </c>
      <c r="AB157" s="15">
        <v>0</v>
      </c>
      <c r="AC157" s="15">
        <v>0</v>
      </c>
      <c r="AD157" s="15">
        <v>1</v>
      </c>
      <c r="AE157" s="15">
        <v>0</v>
      </c>
      <c r="AF157" s="15">
        <v>2</v>
      </c>
      <c r="AG157" s="15">
        <v>1</v>
      </c>
      <c r="AH157" s="15">
        <v>1</v>
      </c>
      <c r="AI157" s="15">
        <v>0</v>
      </c>
      <c r="AJ157" s="15">
        <v>1</v>
      </c>
      <c r="AK157" s="15">
        <v>0</v>
      </c>
      <c r="AL157" s="15">
        <v>11</v>
      </c>
      <c r="AM157" s="15">
        <v>0</v>
      </c>
      <c r="AN157" s="15">
        <v>0</v>
      </c>
      <c r="AO157" s="15">
        <v>1</v>
      </c>
      <c r="AP157" s="15">
        <v>3</v>
      </c>
      <c r="AQ157" s="15">
        <v>2</v>
      </c>
      <c r="AR157" s="15">
        <v>0</v>
      </c>
      <c r="AS157" s="15">
        <v>0</v>
      </c>
      <c r="AT157" s="15">
        <v>0</v>
      </c>
      <c r="AU157" s="15">
        <v>0</v>
      </c>
      <c r="AV157" s="15">
        <v>0</v>
      </c>
      <c r="AW157" s="15">
        <v>1</v>
      </c>
      <c r="AX157" s="15">
        <v>8</v>
      </c>
      <c r="AY157" s="15">
        <v>10</v>
      </c>
      <c r="AZ157" s="15">
        <v>2</v>
      </c>
      <c r="BA157" s="15">
        <v>0</v>
      </c>
      <c r="BB157" s="15">
        <v>3</v>
      </c>
      <c r="BC157" s="15">
        <v>1</v>
      </c>
      <c r="BD157" s="15">
        <v>5</v>
      </c>
      <c r="BE157" s="15">
        <v>12</v>
      </c>
      <c r="BF157" s="15">
        <v>0</v>
      </c>
      <c r="BG157" s="15">
        <v>0</v>
      </c>
      <c r="BH157" s="15">
        <v>0</v>
      </c>
      <c r="BI157" s="15">
        <v>0</v>
      </c>
      <c r="BJ157" s="15">
        <v>2</v>
      </c>
      <c r="BK157" s="15">
        <v>1</v>
      </c>
      <c r="BL157" s="15">
        <v>2</v>
      </c>
      <c r="BM157" s="15">
        <v>0</v>
      </c>
      <c r="BN157" s="15">
        <v>16</v>
      </c>
      <c r="BO157" s="15">
        <v>2</v>
      </c>
      <c r="BP157" s="15">
        <v>0</v>
      </c>
      <c r="BQ157" s="13">
        <f t="shared" si="13"/>
        <v>105</v>
      </c>
      <c r="BR157" s="5"/>
      <c r="BS157" s="5"/>
    </row>
    <row r="158" spans="1:71" ht="12.75" customHeight="1" x14ac:dyDescent="0.3">
      <c r="A158" s="14"/>
      <c r="B158" s="27"/>
      <c r="C158" s="28" t="s">
        <v>136</v>
      </c>
      <c r="D158" s="29"/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1</v>
      </c>
      <c r="AI158" s="15">
        <v>1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0</v>
      </c>
      <c r="AP158" s="15">
        <v>0</v>
      </c>
      <c r="AQ158" s="15">
        <v>0</v>
      </c>
      <c r="AR158" s="15">
        <v>0</v>
      </c>
      <c r="AS158" s="15">
        <v>0</v>
      </c>
      <c r="AT158" s="15">
        <v>0</v>
      </c>
      <c r="AU158" s="15">
        <v>0</v>
      </c>
      <c r="AV158" s="15">
        <v>0</v>
      </c>
      <c r="AW158" s="15">
        <v>0</v>
      </c>
      <c r="AX158" s="15">
        <v>1</v>
      </c>
      <c r="AY158" s="15">
        <v>0</v>
      </c>
      <c r="AZ158" s="15">
        <v>0</v>
      </c>
      <c r="BA158" s="15">
        <v>0</v>
      </c>
      <c r="BB158" s="15">
        <v>0</v>
      </c>
      <c r="BC158" s="15">
        <v>0</v>
      </c>
      <c r="BD158" s="15">
        <v>0</v>
      </c>
      <c r="BE158" s="15">
        <v>0</v>
      </c>
      <c r="BF158" s="15">
        <v>0</v>
      </c>
      <c r="BG158" s="15">
        <v>1</v>
      </c>
      <c r="BH158" s="15">
        <v>0</v>
      </c>
      <c r="BI158" s="15">
        <v>0</v>
      </c>
      <c r="BJ158" s="15">
        <v>0</v>
      </c>
      <c r="BK158" s="15">
        <v>0</v>
      </c>
      <c r="BL158" s="15">
        <v>0</v>
      </c>
      <c r="BM158" s="15">
        <v>0</v>
      </c>
      <c r="BN158" s="15">
        <v>0</v>
      </c>
      <c r="BO158" s="15">
        <v>0</v>
      </c>
      <c r="BP158" s="15">
        <v>0</v>
      </c>
      <c r="BQ158" s="13">
        <f t="shared" si="13"/>
        <v>4</v>
      </c>
      <c r="BR158" s="5"/>
      <c r="BS158" s="5"/>
    </row>
    <row r="159" spans="1:71" ht="12.75" customHeight="1" x14ac:dyDescent="0.3">
      <c r="A159" s="14"/>
      <c r="B159" s="27"/>
      <c r="C159" s="28" t="s">
        <v>137</v>
      </c>
      <c r="D159" s="29"/>
      <c r="E159" s="15">
        <v>0</v>
      </c>
      <c r="F159" s="15">
        <v>0</v>
      </c>
      <c r="G159" s="15">
        <v>3</v>
      </c>
      <c r="H159" s="15">
        <v>1</v>
      </c>
      <c r="I159" s="15">
        <v>1</v>
      </c>
      <c r="J159" s="15">
        <v>5</v>
      </c>
      <c r="K159" s="15">
        <v>6</v>
      </c>
      <c r="L159" s="15">
        <v>3</v>
      </c>
      <c r="M159" s="15">
        <v>0</v>
      </c>
      <c r="N159" s="15">
        <v>0</v>
      </c>
      <c r="O159" s="15">
        <v>6</v>
      </c>
      <c r="P159" s="15">
        <v>0</v>
      </c>
      <c r="Q159" s="15">
        <v>0</v>
      </c>
      <c r="R159" s="15">
        <v>0</v>
      </c>
      <c r="S159" s="15">
        <v>1</v>
      </c>
      <c r="T159" s="15">
        <v>1</v>
      </c>
      <c r="U159" s="15">
        <v>1</v>
      </c>
      <c r="V159" s="15">
        <v>2</v>
      </c>
      <c r="W159" s="15">
        <v>1</v>
      </c>
      <c r="X159" s="15">
        <v>8</v>
      </c>
      <c r="Y159" s="15">
        <v>18</v>
      </c>
      <c r="Z159" s="15">
        <v>5</v>
      </c>
      <c r="AA159" s="15">
        <v>1</v>
      </c>
      <c r="AB159" s="15">
        <v>1</v>
      </c>
      <c r="AC159" s="15">
        <v>8</v>
      </c>
      <c r="AD159" s="15">
        <v>0</v>
      </c>
      <c r="AE159" s="15">
        <v>7</v>
      </c>
      <c r="AF159" s="15">
        <v>39</v>
      </c>
      <c r="AG159" s="15">
        <v>85</v>
      </c>
      <c r="AH159" s="15">
        <v>2</v>
      </c>
      <c r="AI159" s="15">
        <v>4</v>
      </c>
      <c r="AJ159" s="15">
        <v>36</v>
      </c>
      <c r="AK159" s="15">
        <v>1</v>
      </c>
      <c r="AL159" s="15">
        <v>15</v>
      </c>
      <c r="AM159" s="15">
        <v>4</v>
      </c>
      <c r="AN159" s="15">
        <v>15</v>
      </c>
      <c r="AO159" s="15">
        <v>27</v>
      </c>
      <c r="AP159" s="15">
        <v>0</v>
      </c>
      <c r="AQ159" s="15">
        <v>6</v>
      </c>
      <c r="AR159" s="15">
        <v>15</v>
      </c>
      <c r="AS159" s="15">
        <v>0</v>
      </c>
      <c r="AT159" s="15">
        <v>0</v>
      </c>
      <c r="AU159" s="15">
        <v>0</v>
      </c>
      <c r="AV159" s="15">
        <v>1</v>
      </c>
      <c r="AW159" s="15">
        <v>4</v>
      </c>
      <c r="AX159" s="15">
        <v>1</v>
      </c>
      <c r="AY159" s="15">
        <v>6</v>
      </c>
      <c r="AZ159" s="15">
        <v>3</v>
      </c>
      <c r="BA159" s="15">
        <v>3</v>
      </c>
      <c r="BB159" s="15">
        <v>1</v>
      </c>
      <c r="BC159" s="15">
        <v>3</v>
      </c>
      <c r="BD159" s="15">
        <v>0</v>
      </c>
      <c r="BE159" s="15">
        <v>0</v>
      </c>
      <c r="BF159" s="15">
        <v>2</v>
      </c>
      <c r="BG159" s="15">
        <v>13</v>
      </c>
      <c r="BH159" s="15">
        <v>0</v>
      </c>
      <c r="BI159" s="15">
        <v>0</v>
      </c>
      <c r="BJ159" s="15">
        <v>9</v>
      </c>
      <c r="BK159" s="15">
        <v>2</v>
      </c>
      <c r="BL159" s="15">
        <v>3</v>
      </c>
      <c r="BM159" s="15">
        <v>0</v>
      </c>
      <c r="BN159" s="15">
        <v>4</v>
      </c>
      <c r="BO159" s="15">
        <v>13</v>
      </c>
      <c r="BP159" s="15">
        <v>0</v>
      </c>
      <c r="BQ159" s="13">
        <f t="shared" si="13"/>
        <v>396</v>
      </c>
      <c r="BR159" s="5"/>
      <c r="BS159" s="5"/>
    </row>
    <row r="160" spans="1:71" ht="12.75" customHeight="1" x14ac:dyDescent="0.3">
      <c r="A160" s="15" t="s">
        <v>15</v>
      </c>
      <c r="B160" s="45" t="s">
        <v>47</v>
      </c>
      <c r="C160" s="46"/>
      <c r="D160" s="47"/>
      <c r="E160" s="34">
        <f>SUM(E152:E159)</f>
        <v>1</v>
      </c>
      <c r="F160" s="34">
        <f t="shared" ref="F160:BP160" si="27">SUM(F152:F159)</f>
        <v>9</v>
      </c>
      <c r="G160" s="34">
        <f t="shared" si="27"/>
        <v>4</v>
      </c>
      <c r="H160" s="34">
        <f t="shared" si="27"/>
        <v>2</v>
      </c>
      <c r="I160" s="34">
        <f t="shared" si="27"/>
        <v>4</v>
      </c>
      <c r="J160" s="34">
        <f t="shared" si="27"/>
        <v>6</v>
      </c>
      <c r="K160" s="34">
        <f t="shared" si="27"/>
        <v>9</v>
      </c>
      <c r="L160" s="34">
        <f t="shared" si="27"/>
        <v>5</v>
      </c>
      <c r="M160" s="34">
        <f t="shared" si="27"/>
        <v>2</v>
      </c>
      <c r="N160" s="34">
        <f t="shared" si="27"/>
        <v>2</v>
      </c>
      <c r="O160" s="34">
        <f t="shared" si="27"/>
        <v>16</v>
      </c>
      <c r="P160" s="34">
        <f t="shared" si="27"/>
        <v>7</v>
      </c>
      <c r="Q160" s="34">
        <f t="shared" si="27"/>
        <v>8</v>
      </c>
      <c r="R160" s="34">
        <f t="shared" si="27"/>
        <v>2</v>
      </c>
      <c r="S160" s="34">
        <f t="shared" si="27"/>
        <v>2</v>
      </c>
      <c r="T160" s="34">
        <f t="shared" si="27"/>
        <v>8</v>
      </c>
      <c r="U160" s="34">
        <f t="shared" si="27"/>
        <v>3</v>
      </c>
      <c r="V160" s="34">
        <f t="shared" si="27"/>
        <v>6</v>
      </c>
      <c r="W160" s="34">
        <f t="shared" si="27"/>
        <v>3</v>
      </c>
      <c r="X160" s="34">
        <f t="shared" si="27"/>
        <v>9</v>
      </c>
      <c r="Y160" s="34">
        <f t="shared" si="27"/>
        <v>28</v>
      </c>
      <c r="Z160" s="34">
        <f t="shared" si="27"/>
        <v>12</v>
      </c>
      <c r="AA160" s="34">
        <f t="shared" si="27"/>
        <v>2</v>
      </c>
      <c r="AB160" s="34">
        <f t="shared" si="27"/>
        <v>4</v>
      </c>
      <c r="AC160" s="34">
        <f t="shared" si="27"/>
        <v>8</v>
      </c>
      <c r="AD160" s="34">
        <f t="shared" si="27"/>
        <v>3</v>
      </c>
      <c r="AE160" s="34">
        <f t="shared" si="27"/>
        <v>12</v>
      </c>
      <c r="AF160" s="34">
        <f t="shared" si="27"/>
        <v>44</v>
      </c>
      <c r="AG160" s="34">
        <f t="shared" si="27"/>
        <v>91</v>
      </c>
      <c r="AH160" s="34">
        <f t="shared" si="27"/>
        <v>8</v>
      </c>
      <c r="AI160" s="34">
        <f t="shared" si="27"/>
        <v>6</v>
      </c>
      <c r="AJ160" s="34">
        <f t="shared" si="27"/>
        <v>51</v>
      </c>
      <c r="AK160" s="34">
        <f t="shared" si="27"/>
        <v>7</v>
      </c>
      <c r="AL160" s="34">
        <f t="shared" si="27"/>
        <v>33</v>
      </c>
      <c r="AM160" s="34">
        <f t="shared" si="27"/>
        <v>9</v>
      </c>
      <c r="AN160" s="34">
        <f t="shared" si="27"/>
        <v>20</v>
      </c>
      <c r="AO160" s="34">
        <f t="shared" si="27"/>
        <v>37</v>
      </c>
      <c r="AP160" s="34">
        <f t="shared" si="27"/>
        <v>5</v>
      </c>
      <c r="AQ160" s="34">
        <f t="shared" si="27"/>
        <v>12</v>
      </c>
      <c r="AR160" s="34">
        <f t="shared" si="27"/>
        <v>19</v>
      </c>
      <c r="AS160" s="34">
        <f t="shared" si="27"/>
        <v>1</v>
      </c>
      <c r="AT160" s="34">
        <f t="shared" si="27"/>
        <v>2</v>
      </c>
      <c r="AU160" s="34">
        <f t="shared" si="27"/>
        <v>1</v>
      </c>
      <c r="AV160" s="34">
        <f t="shared" si="27"/>
        <v>3</v>
      </c>
      <c r="AW160" s="34">
        <f t="shared" si="27"/>
        <v>7</v>
      </c>
      <c r="AX160" s="34">
        <f t="shared" si="27"/>
        <v>13</v>
      </c>
      <c r="AY160" s="34">
        <f t="shared" si="27"/>
        <v>19</v>
      </c>
      <c r="AZ160" s="34">
        <f t="shared" si="27"/>
        <v>11</v>
      </c>
      <c r="BA160" s="34">
        <f t="shared" si="27"/>
        <v>6</v>
      </c>
      <c r="BB160" s="34">
        <f t="shared" si="27"/>
        <v>8</v>
      </c>
      <c r="BC160" s="34">
        <f t="shared" si="27"/>
        <v>13</v>
      </c>
      <c r="BD160" s="34">
        <f t="shared" si="27"/>
        <v>12</v>
      </c>
      <c r="BE160" s="34">
        <f t="shared" si="27"/>
        <v>17</v>
      </c>
      <c r="BF160" s="34">
        <f t="shared" si="27"/>
        <v>3</v>
      </c>
      <c r="BG160" s="34">
        <f t="shared" si="27"/>
        <v>17</v>
      </c>
      <c r="BH160" s="34">
        <f t="shared" si="27"/>
        <v>3</v>
      </c>
      <c r="BI160" s="34">
        <f t="shared" si="27"/>
        <v>5</v>
      </c>
      <c r="BJ160" s="34">
        <f t="shared" si="27"/>
        <v>12</v>
      </c>
      <c r="BK160" s="34">
        <f t="shared" si="27"/>
        <v>8</v>
      </c>
      <c r="BL160" s="34">
        <f t="shared" si="27"/>
        <v>13</v>
      </c>
      <c r="BM160" s="34">
        <f t="shared" si="27"/>
        <v>12</v>
      </c>
      <c r="BN160" s="34">
        <f t="shared" si="27"/>
        <v>24</v>
      </c>
      <c r="BO160" s="34">
        <f t="shared" si="27"/>
        <v>25</v>
      </c>
      <c r="BP160" s="34">
        <f t="shared" si="27"/>
        <v>5</v>
      </c>
      <c r="BQ160" s="13">
        <f t="shared" si="13"/>
        <v>759</v>
      </c>
      <c r="BR160" s="5"/>
      <c r="BS160" s="5"/>
    </row>
    <row r="161" spans="1:71" ht="12.75" customHeight="1" x14ac:dyDescent="0.3">
      <c r="A161" s="35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13">
        <f t="shared" si="13"/>
        <v>0</v>
      </c>
      <c r="BR161" s="5"/>
      <c r="BS161" s="5"/>
    </row>
    <row r="162" spans="1:71" ht="12.75" customHeight="1" x14ac:dyDescent="0.3">
      <c r="A162" s="19" t="s">
        <v>37</v>
      </c>
      <c r="B162" s="26" t="s">
        <v>138</v>
      </c>
      <c r="C162" s="48" t="s">
        <v>139</v>
      </c>
      <c r="D162" s="47"/>
      <c r="E162" s="15">
        <v>1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1</v>
      </c>
      <c r="P162" s="15">
        <v>3</v>
      </c>
      <c r="Q162" s="15">
        <v>1</v>
      </c>
      <c r="R162" s="15">
        <v>2</v>
      </c>
      <c r="S162" s="15">
        <v>1</v>
      </c>
      <c r="T162" s="15">
        <v>1</v>
      </c>
      <c r="U162" s="15">
        <v>1</v>
      </c>
      <c r="V162" s="15">
        <v>2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2</v>
      </c>
      <c r="AC162" s="15">
        <v>0</v>
      </c>
      <c r="AD162" s="15">
        <v>2</v>
      </c>
      <c r="AE162" s="15">
        <v>0</v>
      </c>
      <c r="AF162" s="15">
        <v>1</v>
      </c>
      <c r="AG162" s="15">
        <v>3</v>
      </c>
      <c r="AH162" s="15">
        <v>1</v>
      </c>
      <c r="AI162" s="15">
        <v>2</v>
      </c>
      <c r="AJ162" s="15">
        <v>1</v>
      </c>
      <c r="AK162" s="15">
        <v>0</v>
      </c>
      <c r="AL162" s="15">
        <v>0</v>
      </c>
      <c r="AM162" s="15">
        <v>0</v>
      </c>
      <c r="AN162" s="15">
        <v>0</v>
      </c>
      <c r="AO162" s="15">
        <v>2</v>
      </c>
      <c r="AP162" s="15">
        <v>0</v>
      </c>
      <c r="AQ162" s="15">
        <v>0</v>
      </c>
      <c r="AR162" s="15">
        <v>2</v>
      </c>
      <c r="AS162" s="15">
        <v>0</v>
      </c>
      <c r="AT162" s="15">
        <v>0</v>
      </c>
      <c r="AU162" s="15">
        <v>1</v>
      </c>
      <c r="AV162" s="15">
        <v>1</v>
      </c>
      <c r="AW162" s="15">
        <v>0</v>
      </c>
      <c r="AX162" s="15">
        <v>0</v>
      </c>
      <c r="AY162" s="15">
        <v>1</v>
      </c>
      <c r="AZ162" s="15">
        <v>0</v>
      </c>
      <c r="BA162" s="15">
        <v>1</v>
      </c>
      <c r="BB162" s="15">
        <v>0</v>
      </c>
      <c r="BC162" s="15">
        <v>0</v>
      </c>
      <c r="BD162" s="15">
        <v>5</v>
      </c>
      <c r="BE162" s="15">
        <v>1</v>
      </c>
      <c r="BF162" s="15">
        <v>0</v>
      </c>
      <c r="BG162" s="15">
        <v>0</v>
      </c>
      <c r="BH162" s="15">
        <v>1</v>
      </c>
      <c r="BI162" s="15">
        <v>0</v>
      </c>
      <c r="BJ162" s="15">
        <v>2</v>
      </c>
      <c r="BK162" s="15">
        <v>1</v>
      </c>
      <c r="BL162" s="15">
        <v>3</v>
      </c>
      <c r="BM162" s="15">
        <v>5</v>
      </c>
      <c r="BN162" s="15">
        <v>5</v>
      </c>
      <c r="BO162" s="15">
        <v>2</v>
      </c>
      <c r="BP162" s="15">
        <v>1</v>
      </c>
      <c r="BQ162" s="13">
        <f t="shared" si="13"/>
        <v>59</v>
      </c>
      <c r="BR162" s="5"/>
      <c r="BS162" s="5"/>
    </row>
    <row r="163" spans="1:71" ht="15" customHeight="1" x14ac:dyDescent="0.3">
      <c r="A163" s="19" t="s">
        <v>39</v>
      </c>
      <c r="B163" s="27"/>
      <c r="C163" s="28" t="s">
        <v>140</v>
      </c>
      <c r="D163" s="29"/>
      <c r="E163" s="15">
        <v>0</v>
      </c>
      <c r="F163" s="15">
        <v>0</v>
      </c>
      <c r="G163" s="15">
        <v>1</v>
      </c>
      <c r="H163" s="15">
        <v>0</v>
      </c>
      <c r="I163" s="15">
        <v>1</v>
      </c>
      <c r="J163" s="15">
        <v>1</v>
      </c>
      <c r="K163" s="15">
        <v>0</v>
      </c>
      <c r="L163" s="15">
        <v>0</v>
      </c>
      <c r="M163" s="15">
        <v>1</v>
      </c>
      <c r="N163" s="15">
        <v>0</v>
      </c>
      <c r="O163" s="15">
        <v>2</v>
      </c>
      <c r="P163" s="15">
        <v>5</v>
      </c>
      <c r="Q163" s="15">
        <v>4</v>
      </c>
      <c r="R163" s="15">
        <v>0</v>
      </c>
      <c r="S163" s="15">
        <v>0</v>
      </c>
      <c r="T163" s="15">
        <v>0</v>
      </c>
      <c r="U163" s="15">
        <v>3</v>
      </c>
      <c r="V163" s="15">
        <v>2</v>
      </c>
      <c r="W163" s="15">
        <v>0</v>
      </c>
      <c r="X163" s="15">
        <v>0</v>
      </c>
      <c r="Y163" s="15">
        <v>0</v>
      </c>
      <c r="Z163" s="15">
        <v>0</v>
      </c>
      <c r="AA163" s="15">
        <v>1</v>
      </c>
      <c r="AB163" s="15">
        <v>0</v>
      </c>
      <c r="AC163" s="15">
        <v>1</v>
      </c>
      <c r="AD163" s="15">
        <v>1</v>
      </c>
      <c r="AE163" s="15">
        <v>1</v>
      </c>
      <c r="AF163" s="15">
        <v>1</v>
      </c>
      <c r="AG163" s="15">
        <v>2</v>
      </c>
      <c r="AH163" s="15">
        <v>0</v>
      </c>
      <c r="AI163" s="15">
        <v>1</v>
      </c>
      <c r="AJ163" s="15">
        <v>2</v>
      </c>
      <c r="AK163" s="15">
        <v>5</v>
      </c>
      <c r="AL163" s="15">
        <v>1</v>
      </c>
      <c r="AM163" s="15">
        <v>0</v>
      </c>
      <c r="AN163" s="15">
        <v>0</v>
      </c>
      <c r="AO163" s="15">
        <v>2</v>
      </c>
      <c r="AP163" s="15">
        <v>2</v>
      </c>
      <c r="AQ163" s="15">
        <v>1</v>
      </c>
      <c r="AR163" s="15">
        <v>1</v>
      </c>
      <c r="AS163" s="15">
        <v>0</v>
      </c>
      <c r="AT163" s="15">
        <v>0</v>
      </c>
      <c r="AU163" s="15">
        <v>0</v>
      </c>
      <c r="AV163" s="15">
        <v>0</v>
      </c>
      <c r="AW163" s="15">
        <v>1</v>
      </c>
      <c r="AX163" s="15">
        <v>0</v>
      </c>
      <c r="AY163" s="15">
        <v>0</v>
      </c>
      <c r="AZ163" s="15">
        <v>2</v>
      </c>
      <c r="BA163" s="15">
        <v>0</v>
      </c>
      <c r="BB163" s="15">
        <v>1</v>
      </c>
      <c r="BC163" s="15">
        <v>1</v>
      </c>
      <c r="BD163" s="15">
        <v>1</v>
      </c>
      <c r="BE163" s="15">
        <v>3</v>
      </c>
      <c r="BF163" s="15">
        <v>0</v>
      </c>
      <c r="BG163" s="15">
        <v>2</v>
      </c>
      <c r="BH163" s="15">
        <v>0</v>
      </c>
      <c r="BI163" s="15">
        <v>0</v>
      </c>
      <c r="BJ163" s="15">
        <v>1</v>
      </c>
      <c r="BK163" s="15">
        <v>3</v>
      </c>
      <c r="BL163" s="15">
        <v>1</v>
      </c>
      <c r="BM163" s="15">
        <v>1</v>
      </c>
      <c r="BN163" s="15">
        <v>1</v>
      </c>
      <c r="BO163" s="15">
        <v>0</v>
      </c>
      <c r="BP163" s="15">
        <v>4</v>
      </c>
      <c r="BQ163" s="13">
        <f t="shared" si="13"/>
        <v>64</v>
      </c>
      <c r="BR163" s="5"/>
      <c r="BS163" s="5"/>
    </row>
    <row r="164" spans="1:71" ht="12.75" customHeight="1" x14ac:dyDescent="0.3">
      <c r="A164" s="19"/>
      <c r="B164" s="27"/>
      <c r="C164" s="28" t="s">
        <v>141</v>
      </c>
      <c r="D164" s="29"/>
      <c r="E164" s="15">
        <v>0</v>
      </c>
      <c r="F164" s="15">
        <v>1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1</v>
      </c>
      <c r="Q164" s="15">
        <v>1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2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1</v>
      </c>
      <c r="AL164" s="15">
        <v>0</v>
      </c>
      <c r="AM164" s="15">
        <v>0</v>
      </c>
      <c r="AN164" s="15">
        <v>1</v>
      </c>
      <c r="AO164" s="15">
        <v>0</v>
      </c>
      <c r="AP164" s="15">
        <v>0</v>
      </c>
      <c r="AQ164" s="15">
        <v>0</v>
      </c>
      <c r="AR164" s="15">
        <v>0</v>
      </c>
      <c r="AS164" s="15">
        <v>0</v>
      </c>
      <c r="AT164" s="15">
        <v>0</v>
      </c>
      <c r="AU164" s="15">
        <v>0</v>
      </c>
      <c r="AV164" s="15">
        <v>0</v>
      </c>
      <c r="AW164" s="15">
        <v>1</v>
      </c>
      <c r="AX164" s="15">
        <v>2</v>
      </c>
      <c r="AY164" s="15">
        <v>0</v>
      </c>
      <c r="AZ164" s="15">
        <v>0</v>
      </c>
      <c r="BA164" s="15">
        <v>0</v>
      </c>
      <c r="BB164" s="15">
        <v>0</v>
      </c>
      <c r="BC164" s="15">
        <v>0</v>
      </c>
      <c r="BD164" s="15">
        <v>0</v>
      </c>
      <c r="BE164" s="15">
        <v>0</v>
      </c>
      <c r="BF164" s="15">
        <v>0</v>
      </c>
      <c r="BG164" s="15">
        <v>0</v>
      </c>
      <c r="BH164" s="15">
        <v>0</v>
      </c>
      <c r="BI164" s="15">
        <v>0</v>
      </c>
      <c r="BJ164" s="15">
        <v>0</v>
      </c>
      <c r="BK164" s="15">
        <v>2</v>
      </c>
      <c r="BL164" s="15">
        <v>0</v>
      </c>
      <c r="BM164" s="15">
        <v>1</v>
      </c>
      <c r="BN164" s="15">
        <v>1</v>
      </c>
      <c r="BO164" s="15">
        <v>0</v>
      </c>
      <c r="BP164" s="15">
        <v>2</v>
      </c>
      <c r="BQ164" s="13">
        <f t="shared" si="13"/>
        <v>16</v>
      </c>
      <c r="BR164" s="5"/>
      <c r="BS164" s="5"/>
    </row>
    <row r="165" spans="1:71" ht="12.75" customHeight="1" x14ac:dyDescent="0.3">
      <c r="A165" s="15" t="s">
        <v>15</v>
      </c>
      <c r="B165" s="45" t="s">
        <v>47</v>
      </c>
      <c r="C165" s="46"/>
      <c r="D165" s="47"/>
      <c r="E165" s="34">
        <f t="shared" ref="E165:BP165" si="28">SUM(E162:E164)</f>
        <v>1</v>
      </c>
      <c r="F165" s="34">
        <f t="shared" si="28"/>
        <v>1</v>
      </c>
      <c r="G165" s="34">
        <f t="shared" si="28"/>
        <v>1</v>
      </c>
      <c r="H165" s="34">
        <f t="shared" si="28"/>
        <v>0</v>
      </c>
      <c r="I165" s="34">
        <f t="shared" si="28"/>
        <v>1</v>
      </c>
      <c r="J165" s="34">
        <f t="shared" si="28"/>
        <v>1</v>
      </c>
      <c r="K165" s="34">
        <f t="shared" si="28"/>
        <v>0</v>
      </c>
      <c r="L165" s="34">
        <f t="shared" si="28"/>
        <v>0</v>
      </c>
      <c r="M165" s="34">
        <f t="shared" si="28"/>
        <v>1</v>
      </c>
      <c r="N165" s="34">
        <f t="shared" si="28"/>
        <v>0</v>
      </c>
      <c r="O165" s="34">
        <f t="shared" si="28"/>
        <v>3</v>
      </c>
      <c r="P165" s="34">
        <f t="shared" si="28"/>
        <v>9</v>
      </c>
      <c r="Q165" s="34">
        <f t="shared" si="28"/>
        <v>6</v>
      </c>
      <c r="R165" s="34">
        <f t="shared" si="28"/>
        <v>2</v>
      </c>
      <c r="S165" s="34">
        <f t="shared" si="28"/>
        <v>1</v>
      </c>
      <c r="T165" s="34">
        <f t="shared" si="28"/>
        <v>1</v>
      </c>
      <c r="U165" s="34">
        <f t="shared" si="28"/>
        <v>4</v>
      </c>
      <c r="V165" s="34">
        <f t="shared" si="28"/>
        <v>4</v>
      </c>
      <c r="W165" s="34">
        <f t="shared" si="28"/>
        <v>0</v>
      </c>
      <c r="X165" s="34">
        <f t="shared" si="28"/>
        <v>0</v>
      </c>
      <c r="Y165" s="34">
        <f t="shared" si="28"/>
        <v>0</v>
      </c>
      <c r="Z165" s="34">
        <f t="shared" si="28"/>
        <v>2</v>
      </c>
      <c r="AA165" s="34">
        <f t="shared" si="28"/>
        <v>1</v>
      </c>
      <c r="AB165" s="34">
        <f t="shared" si="28"/>
        <v>2</v>
      </c>
      <c r="AC165" s="34">
        <f t="shared" si="28"/>
        <v>1</v>
      </c>
      <c r="AD165" s="34">
        <f t="shared" si="28"/>
        <v>3</v>
      </c>
      <c r="AE165" s="34">
        <f t="shared" si="28"/>
        <v>1</v>
      </c>
      <c r="AF165" s="34">
        <f t="shared" si="28"/>
        <v>2</v>
      </c>
      <c r="AG165" s="34">
        <f t="shared" si="28"/>
        <v>5</v>
      </c>
      <c r="AH165" s="34">
        <f t="shared" si="28"/>
        <v>1</v>
      </c>
      <c r="AI165" s="34">
        <f t="shared" si="28"/>
        <v>3</v>
      </c>
      <c r="AJ165" s="34">
        <f t="shared" si="28"/>
        <v>3</v>
      </c>
      <c r="AK165" s="34">
        <f t="shared" si="28"/>
        <v>6</v>
      </c>
      <c r="AL165" s="34">
        <f t="shared" si="28"/>
        <v>1</v>
      </c>
      <c r="AM165" s="34">
        <f t="shared" si="28"/>
        <v>0</v>
      </c>
      <c r="AN165" s="34">
        <f t="shared" si="28"/>
        <v>1</v>
      </c>
      <c r="AO165" s="34">
        <f t="shared" si="28"/>
        <v>4</v>
      </c>
      <c r="AP165" s="34">
        <f t="shared" si="28"/>
        <v>2</v>
      </c>
      <c r="AQ165" s="34">
        <f t="shared" si="28"/>
        <v>1</v>
      </c>
      <c r="AR165" s="34">
        <f t="shared" si="28"/>
        <v>3</v>
      </c>
      <c r="AS165" s="34">
        <f t="shared" si="28"/>
        <v>0</v>
      </c>
      <c r="AT165" s="34">
        <f t="shared" si="28"/>
        <v>0</v>
      </c>
      <c r="AU165" s="34">
        <f t="shared" si="28"/>
        <v>1</v>
      </c>
      <c r="AV165" s="34">
        <f t="shared" si="28"/>
        <v>1</v>
      </c>
      <c r="AW165" s="34">
        <f t="shared" si="28"/>
        <v>2</v>
      </c>
      <c r="AX165" s="34">
        <f t="shared" si="28"/>
        <v>2</v>
      </c>
      <c r="AY165" s="34">
        <f t="shared" si="28"/>
        <v>1</v>
      </c>
      <c r="AZ165" s="34">
        <f t="shared" si="28"/>
        <v>2</v>
      </c>
      <c r="BA165" s="34">
        <f t="shared" si="28"/>
        <v>1</v>
      </c>
      <c r="BB165" s="34">
        <f t="shared" si="28"/>
        <v>1</v>
      </c>
      <c r="BC165" s="34">
        <f t="shared" si="28"/>
        <v>1</v>
      </c>
      <c r="BD165" s="34">
        <f t="shared" si="28"/>
        <v>6</v>
      </c>
      <c r="BE165" s="34">
        <f t="shared" si="28"/>
        <v>4</v>
      </c>
      <c r="BF165" s="34">
        <f t="shared" si="28"/>
        <v>0</v>
      </c>
      <c r="BG165" s="34">
        <f t="shared" si="28"/>
        <v>2</v>
      </c>
      <c r="BH165" s="34">
        <f t="shared" si="28"/>
        <v>1</v>
      </c>
      <c r="BI165" s="34">
        <f t="shared" si="28"/>
        <v>0</v>
      </c>
      <c r="BJ165" s="34">
        <f t="shared" si="28"/>
        <v>3</v>
      </c>
      <c r="BK165" s="34">
        <f t="shared" si="28"/>
        <v>6</v>
      </c>
      <c r="BL165" s="34">
        <f t="shared" si="28"/>
        <v>4</v>
      </c>
      <c r="BM165" s="34">
        <f t="shared" si="28"/>
        <v>7</v>
      </c>
      <c r="BN165" s="34">
        <f t="shared" si="28"/>
        <v>7</v>
      </c>
      <c r="BO165" s="34">
        <f t="shared" si="28"/>
        <v>2</v>
      </c>
      <c r="BP165" s="34">
        <f t="shared" si="28"/>
        <v>7</v>
      </c>
      <c r="BQ165" s="13">
        <f t="shared" si="13"/>
        <v>139</v>
      </c>
      <c r="BR165" s="1"/>
      <c r="BS165" s="1"/>
    </row>
    <row r="166" spans="1:71" ht="12.75" customHeight="1" x14ac:dyDescent="0.3">
      <c r="A166" s="35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13">
        <f t="shared" si="13"/>
        <v>0</v>
      </c>
      <c r="BR166" s="31"/>
      <c r="BS166" s="31"/>
    </row>
    <row r="167" spans="1:71" ht="12.75" customHeight="1" x14ac:dyDescent="0.3">
      <c r="A167" s="19" t="s">
        <v>37</v>
      </c>
      <c r="B167" s="26" t="s">
        <v>142</v>
      </c>
      <c r="C167" s="48" t="s">
        <v>143</v>
      </c>
      <c r="D167" s="47"/>
      <c r="E167" s="15">
        <v>1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1</v>
      </c>
      <c r="R167" s="15">
        <v>0</v>
      </c>
      <c r="S167" s="15"/>
      <c r="T167" s="15">
        <v>0</v>
      </c>
      <c r="U167" s="15">
        <v>1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1</v>
      </c>
      <c r="AK167" s="15">
        <v>0</v>
      </c>
      <c r="AL167" s="15">
        <v>1</v>
      </c>
      <c r="AM167" s="15">
        <v>1</v>
      </c>
      <c r="AN167" s="15">
        <v>0</v>
      </c>
      <c r="AO167" s="15">
        <v>0</v>
      </c>
      <c r="AP167" s="15">
        <v>0</v>
      </c>
      <c r="AQ167" s="15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0</v>
      </c>
      <c r="AW167" s="15">
        <v>0</v>
      </c>
      <c r="AX167" s="15">
        <v>0</v>
      </c>
      <c r="AY167" s="15">
        <v>1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1</v>
      </c>
      <c r="BK167" s="15">
        <v>1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3">
        <f t="shared" si="13"/>
        <v>9</v>
      </c>
      <c r="BR167" s="5"/>
      <c r="BS167" s="5"/>
    </row>
    <row r="168" spans="1:71" ht="12.75" customHeight="1" x14ac:dyDescent="0.3">
      <c r="A168" s="19"/>
      <c r="B168" s="26"/>
      <c r="C168" s="28" t="s">
        <v>144</v>
      </c>
      <c r="D168" s="37"/>
      <c r="E168" s="15">
        <v>0</v>
      </c>
      <c r="F168" s="15">
        <v>0</v>
      </c>
      <c r="G168" s="15">
        <v>0</v>
      </c>
      <c r="H168" s="15">
        <v>0</v>
      </c>
      <c r="I168" s="15">
        <v>1</v>
      </c>
      <c r="J168" s="15">
        <v>0</v>
      </c>
      <c r="K168" s="15">
        <v>0</v>
      </c>
      <c r="L168" s="15">
        <v>0</v>
      </c>
      <c r="M168" s="15">
        <v>2</v>
      </c>
      <c r="N168" s="15">
        <v>1</v>
      </c>
      <c r="O168" s="15">
        <v>0</v>
      </c>
      <c r="P168" s="15">
        <v>3</v>
      </c>
      <c r="Q168" s="15">
        <v>0</v>
      </c>
      <c r="R168" s="15">
        <v>0</v>
      </c>
      <c r="S168" s="15">
        <v>3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1</v>
      </c>
      <c r="AA168" s="15">
        <v>0</v>
      </c>
      <c r="AB168" s="15">
        <v>0</v>
      </c>
      <c r="AC168" s="15">
        <v>0</v>
      </c>
      <c r="AD168" s="15">
        <v>0</v>
      </c>
      <c r="AE168" s="15">
        <v>2</v>
      </c>
      <c r="AF168" s="15">
        <v>1</v>
      </c>
      <c r="AG168" s="15">
        <v>0</v>
      </c>
      <c r="AH168" s="15">
        <v>0</v>
      </c>
      <c r="AI168" s="15">
        <v>2</v>
      </c>
      <c r="AJ168" s="15">
        <v>0</v>
      </c>
      <c r="AK168" s="15">
        <v>1</v>
      </c>
      <c r="AL168" s="15">
        <v>1</v>
      </c>
      <c r="AM168" s="15">
        <v>1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4</v>
      </c>
      <c r="AX168" s="15">
        <v>0</v>
      </c>
      <c r="AY168" s="15">
        <v>1</v>
      </c>
      <c r="AZ168" s="15">
        <v>1</v>
      </c>
      <c r="BA168" s="15">
        <v>0</v>
      </c>
      <c r="BB168" s="15">
        <v>0</v>
      </c>
      <c r="BC168" s="15">
        <v>1</v>
      </c>
      <c r="BD168" s="15">
        <v>4</v>
      </c>
      <c r="BE168" s="15">
        <v>2</v>
      </c>
      <c r="BF168" s="15">
        <v>0</v>
      </c>
      <c r="BG168" s="15">
        <v>0</v>
      </c>
      <c r="BH168" s="15">
        <v>0</v>
      </c>
      <c r="BI168" s="15">
        <v>0</v>
      </c>
      <c r="BJ168" s="15">
        <v>0</v>
      </c>
      <c r="BK168" s="15">
        <v>0</v>
      </c>
      <c r="BL168" s="15">
        <v>0</v>
      </c>
      <c r="BM168" s="15">
        <v>0</v>
      </c>
      <c r="BN168" s="15">
        <v>0</v>
      </c>
      <c r="BO168" s="15">
        <v>0</v>
      </c>
      <c r="BP168" s="15">
        <v>0</v>
      </c>
      <c r="BQ168" s="13">
        <f t="shared" si="13"/>
        <v>32</v>
      </c>
      <c r="BR168" s="5"/>
      <c r="BS168" s="5"/>
    </row>
    <row r="169" spans="1:71" ht="12.75" customHeight="1" x14ac:dyDescent="0.3">
      <c r="A169" s="19"/>
      <c r="B169" s="26"/>
      <c r="C169" s="28" t="s">
        <v>145</v>
      </c>
      <c r="D169" s="37"/>
      <c r="E169" s="15">
        <v>0</v>
      </c>
      <c r="F169" s="15">
        <v>0</v>
      </c>
      <c r="G169" s="15">
        <v>1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1</v>
      </c>
      <c r="AK169" s="15">
        <v>0</v>
      </c>
      <c r="AL169" s="15">
        <v>0</v>
      </c>
      <c r="AM169" s="15">
        <v>0</v>
      </c>
      <c r="AN169" s="15">
        <v>1</v>
      </c>
      <c r="AO169" s="15">
        <v>1</v>
      </c>
      <c r="AP169" s="15">
        <v>0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  <c r="AW169" s="15">
        <v>1</v>
      </c>
      <c r="AX169" s="15">
        <v>0</v>
      </c>
      <c r="AY169" s="15">
        <v>0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3">
        <f t="shared" si="13"/>
        <v>5</v>
      </c>
      <c r="BR169" s="5"/>
      <c r="BS169" s="5"/>
    </row>
    <row r="170" spans="1:71" ht="12.75" customHeight="1" x14ac:dyDescent="0.3">
      <c r="A170" s="19"/>
      <c r="B170" s="26"/>
      <c r="C170" s="28" t="s">
        <v>146</v>
      </c>
      <c r="D170" s="37"/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1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1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1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  <c r="BB170" s="15">
        <v>0</v>
      </c>
      <c r="BC170" s="15">
        <v>0</v>
      </c>
      <c r="BD170" s="15">
        <v>0</v>
      </c>
      <c r="BE170" s="15">
        <v>0</v>
      </c>
      <c r="BF170" s="15">
        <v>0</v>
      </c>
      <c r="BG170" s="15">
        <v>0</v>
      </c>
      <c r="BH170" s="15">
        <v>0</v>
      </c>
      <c r="BI170" s="15">
        <v>0</v>
      </c>
      <c r="BJ170" s="15">
        <v>0</v>
      </c>
      <c r="BK170" s="15">
        <v>0</v>
      </c>
      <c r="BL170" s="15">
        <v>0</v>
      </c>
      <c r="BM170" s="15">
        <v>0</v>
      </c>
      <c r="BN170" s="15">
        <v>0</v>
      </c>
      <c r="BO170" s="15">
        <v>0</v>
      </c>
      <c r="BP170" s="15">
        <v>0</v>
      </c>
      <c r="BQ170" s="13">
        <f t="shared" si="13"/>
        <v>3</v>
      </c>
      <c r="BR170" s="5"/>
      <c r="BS170" s="5"/>
    </row>
    <row r="171" spans="1:71" ht="12.75" customHeight="1" x14ac:dyDescent="0.3">
      <c r="A171" s="19" t="s">
        <v>39</v>
      </c>
      <c r="B171" s="27"/>
      <c r="C171" s="28" t="s">
        <v>147</v>
      </c>
      <c r="D171" s="29"/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1</v>
      </c>
      <c r="BP171" s="15">
        <v>0</v>
      </c>
      <c r="BQ171" s="13">
        <f t="shared" si="13"/>
        <v>2</v>
      </c>
      <c r="BR171" s="5"/>
      <c r="BS171" s="5"/>
    </row>
    <row r="172" spans="1:71" ht="12.75" customHeight="1" x14ac:dyDescent="0.3">
      <c r="A172" s="15" t="s">
        <v>15</v>
      </c>
      <c r="B172" s="45" t="s">
        <v>47</v>
      </c>
      <c r="C172" s="46"/>
      <c r="D172" s="47"/>
      <c r="E172" s="34">
        <f t="shared" ref="E172:BP172" si="29">SUM(E167:E171)</f>
        <v>1</v>
      </c>
      <c r="F172" s="34">
        <f t="shared" si="29"/>
        <v>0</v>
      </c>
      <c r="G172" s="34">
        <f t="shared" si="29"/>
        <v>1</v>
      </c>
      <c r="H172" s="34">
        <f t="shared" si="29"/>
        <v>0</v>
      </c>
      <c r="I172" s="34">
        <f t="shared" si="29"/>
        <v>1</v>
      </c>
      <c r="J172" s="34">
        <f t="shared" si="29"/>
        <v>0</v>
      </c>
      <c r="K172" s="34">
        <f t="shared" si="29"/>
        <v>1</v>
      </c>
      <c r="L172" s="34">
        <f t="shared" si="29"/>
        <v>0</v>
      </c>
      <c r="M172" s="34">
        <f t="shared" si="29"/>
        <v>2</v>
      </c>
      <c r="N172" s="34">
        <f t="shared" si="29"/>
        <v>1</v>
      </c>
      <c r="O172" s="34">
        <f t="shared" si="29"/>
        <v>0</v>
      </c>
      <c r="P172" s="34">
        <f t="shared" si="29"/>
        <v>4</v>
      </c>
      <c r="Q172" s="34">
        <f t="shared" si="29"/>
        <v>1</v>
      </c>
      <c r="R172" s="34">
        <f t="shared" si="29"/>
        <v>0</v>
      </c>
      <c r="S172" s="34">
        <f t="shared" si="29"/>
        <v>3</v>
      </c>
      <c r="T172" s="34">
        <f t="shared" si="29"/>
        <v>0</v>
      </c>
      <c r="U172" s="34">
        <f t="shared" si="29"/>
        <v>1</v>
      </c>
      <c r="V172" s="34">
        <f t="shared" si="29"/>
        <v>0</v>
      </c>
      <c r="W172" s="34">
        <f t="shared" si="29"/>
        <v>0</v>
      </c>
      <c r="X172" s="34">
        <f t="shared" si="29"/>
        <v>0</v>
      </c>
      <c r="Y172" s="34">
        <f t="shared" si="29"/>
        <v>0</v>
      </c>
      <c r="Z172" s="34">
        <f t="shared" si="29"/>
        <v>1</v>
      </c>
      <c r="AA172" s="34">
        <f t="shared" si="29"/>
        <v>0</v>
      </c>
      <c r="AB172" s="34">
        <f t="shared" si="29"/>
        <v>1</v>
      </c>
      <c r="AC172" s="34">
        <f t="shared" si="29"/>
        <v>0</v>
      </c>
      <c r="AD172" s="34">
        <f t="shared" si="29"/>
        <v>0</v>
      </c>
      <c r="AE172" s="34">
        <f t="shared" si="29"/>
        <v>2</v>
      </c>
      <c r="AF172" s="34">
        <f t="shared" si="29"/>
        <v>1</v>
      </c>
      <c r="AG172" s="34">
        <f t="shared" si="29"/>
        <v>0</v>
      </c>
      <c r="AH172" s="34">
        <f t="shared" si="29"/>
        <v>0</v>
      </c>
      <c r="AI172" s="34">
        <f t="shared" si="29"/>
        <v>2</v>
      </c>
      <c r="AJ172" s="34">
        <f t="shared" si="29"/>
        <v>2</v>
      </c>
      <c r="AK172" s="34">
        <f t="shared" si="29"/>
        <v>1</v>
      </c>
      <c r="AL172" s="34">
        <f t="shared" si="29"/>
        <v>2</v>
      </c>
      <c r="AM172" s="34">
        <f t="shared" si="29"/>
        <v>2</v>
      </c>
      <c r="AN172" s="34">
        <f t="shared" si="29"/>
        <v>1</v>
      </c>
      <c r="AO172" s="34">
        <f t="shared" si="29"/>
        <v>1</v>
      </c>
      <c r="AP172" s="34">
        <f t="shared" si="29"/>
        <v>1</v>
      </c>
      <c r="AQ172" s="34">
        <f t="shared" si="29"/>
        <v>0</v>
      </c>
      <c r="AR172" s="34">
        <f t="shared" si="29"/>
        <v>0</v>
      </c>
      <c r="AS172" s="34">
        <f t="shared" si="29"/>
        <v>0</v>
      </c>
      <c r="AT172" s="34">
        <f t="shared" si="29"/>
        <v>0</v>
      </c>
      <c r="AU172" s="34">
        <f t="shared" si="29"/>
        <v>0</v>
      </c>
      <c r="AV172" s="34">
        <f t="shared" si="29"/>
        <v>0</v>
      </c>
      <c r="AW172" s="34">
        <f t="shared" si="29"/>
        <v>5</v>
      </c>
      <c r="AX172" s="34">
        <f t="shared" si="29"/>
        <v>0</v>
      </c>
      <c r="AY172" s="34">
        <f t="shared" si="29"/>
        <v>2</v>
      </c>
      <c r="AZ172" s="34">
        <f t="shared" si="29"/>
        <v>1</v>
      </c>
      <c r="BA172" s="34">
        <f t="shared" si="29"/>
        <v>0</v>
      </c>
      <c r="BB172" s="34">
        <f t="shared" si="29"/>
        <v>0</v>
      </c>
      <c r="BC172" s="34">
        <f t="shared" si="29"/>
        <v>1</v>
      </c>
      <c r="BD172" s="34">
        <f t="shared" si="29"/>
        <v>4</v>
      </c>
      <c r="BE172" s="34">
        <f t="shared" si="29"/>
        <v>2</v>
      </c>
      <c r="BF172" s="34">
        <f t="shared" si="29"/>
        <v>0</v>
      </c>
      <c r="BG172" s="34">
        <f t="shared" si="29"/>
        <v>0</v>
      </c>
      <c r="BH172" s="34">
        <f t="shared" si="29"/>
        <v>0</v>
      </c>
      <c r="BI172" s="34">
        <f t="shared" si="29"/>
        <v>0</v>
      </c>
      <c r="BJ172" s="34">
        <f t="shared" si="29"/>
        <v>1</v>
      </c>
      <c r="BK172" s="34">
        <f t="shared" si="29"/>
        <v>1</v>
      </c>
      <c r="BL172" s="34">
        <f t="shared" si="29"/>
        <v>0</v>
      </c>
      <c r="BM172" s="34">
        <f t="shared" si="29"/>
        <v>0</v>
      </c>
      <c r="BN172" s="34">
        <f t="shared" si="29"/>
        <v>0</v>
      </c>
      <c r="BO172" s="34">
        <f t="shared" si="29"/>
        <v>1</v>
      </c>
      <c r="BP172" s="34">
        <f t="shared" si="29"/>
        <v>0</v>
      </c>
      <c r="BQ172" s="13">
        <f t="shared" si="13"/>
        <v>51</v>
      </c>
      <c r="BR172" s="5"/>
      <c r="BS172" s="5"/>
    </row>
    <row r="173" spans="1:71" ht="12.75" customHeight="1" x14ac:dyDescent="0.3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13">
        <f t="shared" si="13"/>
        <v>0</v>
      </c>
      <c r="BR173" s="5"/>
      <c r="BS173" s="5"/>
    </row>
    <row r="174" spans="1:71" ht="12.75" customHeight="1" x14ac:dyDescent="0.3">
      <c r="A174" s="19" t="s">
        <v>37</v>
      </c>
      <c r="B174" s="26" t="s">
        <v>148</v>
      </c>
      <c r="C174" s="48" t="s">
        <v>149</v>
      </c>
      <c r="D174" s="47"/>
      <c r="E174" s="15">
        <v>0</v>
      </c>
      <c r="F174" s="15">
        <v>0</v>
      </c>
      <c r="G174" s="15">
        <v>0</v>
      </c>
      <c r="H174" s="15">
        <v>0</v>
      </c>
      <c r="I174" s="15">
        <v>2</v>
      </c>
      <c r="J174" s="15">
        <v>0</v>
      </c>
      <c r="K174" s="15">
        <v>0</v>
      </c>
      <c r="L174" s="15">
        <v>0</v>
      </c>
      <c r="M174" s="15">
        <v>0</v>
      </c>
      <c r="N174" s="15">
        <v>1</v>
      </c>
      <c r="O174" s="15">
        <v>1</v>
      </c>
      <c r="P174" s="15">
        <v>2</v>
      </c>
      <c r="Q174" s="15">
        <v>2</v>
      </c>
      <c r="R174" s="15">
        <v>1</v>
      </c>
      <c r="S174" s="15">
        <v>0</v>
      </c>
      <c r="T174" s="15">
        <v>3</v>
      </c>
      <c r="U174" s="15">
        <v>1</v>
      </c>
      <c r="V174" s="15">
        <v>0</v>
      </c>
      <c r="W174" s="15">
        <v>4</v>
      </c>
      <c r="X174" s="15">
        <v>1</v>
      </c>
      <c r="Y174" s="15">
        <v>2</v>
      </c>
      <c r="Z174" s="15">
        <v>3</v>
      </c>
      <c r="AA174" s="15">
        <v>2</v>
      </c>
      <c r="AB174" s="15">
        <v>5</v>
      </c>
      <c r="AC174" s="15">
        <v>9</v>
      </c>
      <c r="AD174" s="15">
        <v>2</v>
      </c>
      <c r="AE174" s="15">
        <v>7</v>
      </c>
      <c r="AF174" s="15">
        <v>1</v>
      </c>
      <c r="AG174" s="15">
        <v>0</v>
      </c>
      <c r="AH174" s="15">
        <v>1</v>
      </c>
      <c r="AI174" s="15">
        <v>1</v>
      </c>
      <c r="AJ174" s="15">
        <v>0</v>
      </c>
      <c r="AK174" s="15">
        <v>1</v>
      </c>
      <c r="AL174" s="15">
        <v>2</v>
      </c>
      <c r="AM174" s="15">
        <v>3</v>
      </c>
      <c r="AN174" s="15">
        <v>2</v>
      </c>
      <c r="AO174" s="15">
        <v>1</v>
      </c>
      <c r="AP174" s="15">
        <v>0</v>
      </c>
      <c r="AQ174" s="15">
        <v>2</v>
      </c>
      <c r="AR174" s="15">
        <v>4</v>
      </c>
      <c r="AS174" s="15">
        <v>1</v>
      </c>
      <c r="AT174" s="15">
        <v>0</v>
      </c>
      <c r="AU174" s="15">
        <v>0</v>
      </c>
      <c r="AV174" s="15">
        <v>1</v>
      </c>
      <c r="AW174" s="15">
        <v>2</v>
      </c>
      <c r="AX174" s="15">
        <v>0</v>
      </c>
      <c r="AY174" s="15">
        <v>1</v>
      </c>
      <c r="AZ174" s="15">
        <v>0</v>
      </c>
      <c r="BA174" s="15">
        <v>2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0</v>
      </c>
      <c r="BH174" s="15">
        <v>0</v>
      </c>
      <c r="BI174" s="15">
        <v>1</v>
      </c>
      <c r="BJ174" s="15">
        <v>1</v>
      </c>
      <c r="BK174" s="15">
        <v>2</v>
      </c>
      <c r="BL174" s="15">
        <v>0</v>
      </c>
      <c r="BM174" s="15">
        <v>0</v>
      </c>
      <c r="BN174" s="15">
        <v>0</v>
      </c>
      <c r="BO174" s="15">
        <v>1</v>
      </c>
      <c r="BP174" s="15">
        <v>5</v>
      </c>
      <c r="BQ174" s="13">
        <f t="shared" si="13"/>
        <v>83</v>
      </c>
      <c r="BR174" s="5"/>
      <c r="BS174" s="5"/>
    </row>
    <row r="175" spans="1:71" ht="15" customHeight="1" x14ac:dyDescent="0.3">
      <c r="A175" s="19" t="s">
        <v>39</v>
      </c>
      <c r="B175" s="27"/>
      <c r="C175" s="28" t="s">
        <v>150</v>
      </c>
      <c r="D175" s="29"/>
      <c r="E175" s="15">
        <v>0</v>
      </c>
      <c r="F175" s="15">
        <v>0</v>
      </c>
      <c r="G175" s="15">
        <v>0</v>
      </c>
      <c r="H175" s="15">
        <v>2</v>
      </c>
      <c r="I175" s="15">
        <v>1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1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1</v>
      </c>
      <c r="X175" s="15">
        <v>0</v>
      </c>
      <c r="Y175" s="15">
        <v>0</v>
      </c>
      <c r="Z175" s="15">
        <v>0</v>
      </c>
      <c r="AA175" s="15"/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2</v>
      </c>
      <c r="AK175" s="15">
        <v>0</v>
      </c>
      <c r="AL175" s="15">
        <v>0</v>
      </c>
      <c r="AM175" s="15">
        <v>0</v>
      </c>
      <c r="AN175" s="15">
        <v>0</v>
      </c>
      <c r="AO175" s="15">
        <v>1</v>
      </c>
      <c r="AP175" s="15">
        <v>0</v>
      </c>
      <c r="AQ175" s="15">
        <v>0</v>
      </c>
      <c r="AR175" s="15">
        <v>1</v>
      </c>
      <c r="AS175" s="15">
        <v>1</v>
      </c>
      <c r="AT175" s="15">
        <v>0</v>
      </c>
      <c r="AU175" s="15">
        <v>0</v>
      </c>
      <c r="AV175" s="15">
        <v>1</v>
      </c>
      <c r="AW175" s="15">
        <v>1</v>
      </c>
      <c r="AX175" s="15">
        <v>0</v>
      </c>
      <c r="AY175" s="15">
        <v>0</v>
      </c>
      <c r="AZ175" s="15">
        <v>0</v>
      </c>
      <c r="BA175" s="15">
        <v>0</v>
      </c>
      <c r="BB175" s="15">
        <v>0</v>
      </c>
      <c r="BC175" s="15">
        <v>1</v>
      </c>
      <c r="BD175" s="15">
        <v>0</v>
      </c>
      <c r="BE175" s="15">
        <v>0</v>
      </c>
      <c r="BF175" s="15">
        <v>0</v>
      </c>
      <c r="BG175" s="15">
        <v>1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1</v>
      </c>
      <c r="BQ175" s="13">
        <f t="shared" si="13"/>
        <v>15</v>
      </c>
      <c r="BR175" s="5"/>
      <c r="BS175" s="5"/>
    </row>
    <row r="176" spans="1:71" ht="12.75" customHeight="1" x14ac:dyDescent="0.3">
      <c r="A176" s="14"/>
      <c r="B176" s="27"/>
      <c r="C176" s="28" t="s">
        <v>151</v>
      </c>
      <c r="D176" s="29"/>
      <c r="E176" s="15">
        <v>1</v>
      </c>
      <c r="F176" s="15">
        <v>1</v>
      </c>
      <c r="G176" s="15">
        <v>0</v>
      </c>
      <c r="H176" s="15">
        <v>0</v>
      </c>
      <c r="I176" s="15">
        <v>37</v>
      </c>
      <c r="J176" s="15">
        <v>10</v>
      </c>
      <c r="K176" s="15">
        <v>1</v>
      </c>
      <c r="L176" s="15">
        <v>0</v>
      </c>
      <c r="M176" s="15">
        <v>0</v>
      </c>
      <c r="N176" s="15">
        <v>2</v>
      </c>
      <c r="O176" s="15">
        <v>12</v>
      </c>
      <c r="P176" s="15">
        <v>14</v>
      </c>
      <c r="Q176" s="15">
        <v>24</v>
      </c>
      <c r="R176" s="15">
        <v>15</v>
      </c>
      <c r="S176" s="15">
        <v>13</v>
      </c>
      <c r="T176" s="15">
        <v>14</v>
      </c>
      <c r="U176" s="15">
        <v>34</v>
      </c>
      <c r="V176" s="15">
        <v>18</v>
      </c>
      <c r="W176" s="15">
        <v>41</v>
      </c>
      <c r="X176" s="15">
        <v>33</v>
      </c>
      <c r="Y176" s="15">
        <v>58</v>
      </c>
      <c r="Z176" s="15">
        <v>67</v>
      </c>
      <c r="AA176" s="15">
        <v>37</v>
      </c>
      <c r="AB176" s="15">
        <v>58</v>
      </c>
      <c r="AC176" s="15">
        <v>90</v>
      </c>
      <c r="AD176" s="15">
        <v>61</v>
      </c>
      <c r="AE176" s="15">
        <v>89</v>
      </c>
      <c r="AF176" s="15">
        <v>21</v>
      </c>
      <c r="AG176" s="15">
        <v>2</v>
      </c>
      <c r="AH176" s="15">
        <v>3</v>
      </c>
      <c r="AI176" s="15">
        <v>3</v>
      </c>
      <c r="AJ176" s="15">
        <v>1</v>
      </c>
      <c r="AK176" s="15">
        <v>12</v>
      </c>
      <c r="AL176" s="15">
        <v>1</v>
      </c>
      <c r="AM176" s="15">
        <v>24</v>
      </c>
      <c r="AN176" s="15">
        <v>18</v>
      </c>
      <c r="AO176" s="15">
        <v>12</v>
      </c>
      <c r="AP176" s="15">
        <v>3</v>
      </c>
      <c r="AQ176" s="15">
        <v>24</v>
      </c>
      <c r="AR176" s="15">
        <v>17</v>
      </c>
      <c r="AS176" s="15">
        <v>57</v>
      </c>
      <c r="AT176" s="15">
        <v>5</v>
      </c>
      <c r="AU176" s="15">
        <v>8</v>
      </c>
      <c r="AV176" s="15">
        <v>6</v>
      </c>
      <c r="AW176" s="15">
        <v>39</v>
      </c>
      <c r="AX176" s="15">
        <v>2</v>
      </c>
      <c r="AY176" s="15">
        <v>6</v>
      </c>
      <c r="AZ176" s="15">
        <v>1</v>
      </c>
      <c r="BA176" s="15">
        <v>19</v>
      </c>
      <c r="BB176" s="15">
        <v>5</v>
      </c>
      <c r="BC176" s="15">
        <v>7</v>
      </c>
      <c r="BD176" s="15">
        <v>2</v>
      </c>
      <c r="BE176" s="15">
        <v>2</v>
      </c>
      <c r="BF176" s="15">
        <v>0</v>
      </c>
      <c r="BG176" s="15">
        <v>0</v>
      </c>
      <c r="BH176" s="15">
        <v>0</v>
      </c>
      <c r="BI176" s="15">
        <v>2</v>
      </c>
      <c r="BJ176" s="15">
        <v>2</v>
      </c>
      <c r="BK176" s="15">
        <v>0</v>
      </c>
      <c r="BL176" s="15">
        <v>2</v>
      </c>
      <c r="BM176" s="15">
        <v>9</v>
      </c>
      <c r="BN176" s="15">
        <v>8</v>
      </c>
      <c r="BO176" s="15">
        <v>3</v>
      </c>
      <c r="BP176" s="15">
        <v>25</v>
      </c>
      <c r="BQ176" s="13">
        <f t="shared" si="13"/>
        <v>1081</v>
      </c>
      <c r="BR176" s="1"/>
      <c r="BS176" s="1"/>
    </row>
    <row r="177" spans="1:71" ht="12.75" customHeight="1" x14ac:dyDescent="0.3">
      <c r="A177" s="14"/>
      <c r="B177" s="27"/>
      <c r="C177" s="28" t="s">
        <v>152</v>
      </c>
      <c r="D177" s="29"/>
      <c r="E177" s="15">
        <v>0</v>
      </c>
      <c r="F177" s="15">
        <v>0</v>
      </c>
      <c r="G177" s="15">
        <v>0</v>
      </c>
      <c r="H177" s="15">
        <v>0</v>
      </c>
      <c r="I177" s="15">
        <v>1</v>
      </c>
      <c r="J177" s="15">
        <v>1</v>
      </c>
      <c r="K177" s="15">
        <v>0</v>
      </c>
      <c r="L177" s="15">
        <v>0</v>
      </c>
      <c r="M177" s="15">
        <v>0</v>
      </c>
      <c r="N177" s="15">
        <v>0</v>
      </c>
      <c r="O177" s="15">
        <v>5</v>
      </c>
      <c r="P177" s="15">
        <v>1</v>
      </c>
      <c r="Q177" s="15">
        <v>1</v>
      </c>
      <c r="R177" s="15">
        <v>1</v>
      </c>
      <c r="S177" s="15">
        <v>0</v>
      </c>
      <c r="T177" s="15">
        <v>0</v>
      </c>
      <c r="U177" s="15">
        <v>1</v>
      </c>
      <c r="V177" s="15">
        <v>0</v>
      </c>
      <c r="W177" s="15">
        <v>2</v>
      </c>
      <c r="X177" s="15">
        <v>1</v>
      </c>
      <c r="Y177" s="15">
        <v>2</v>
      </c>
      <c r="Z177" s="15">
        <v>1</v>
      </c>
      <c r="AA177" s="15">
        <v>0</v>
      </c>
      <c r="AB177" s="15">
        <v>1</v>
      </c>
      <c r="AC177" s="15">
        <v>1</v>
      </c>
      <c r="AD177" s="15">
        <v>1</v>
      </c>
      <c r="AE177" s="15">
        <v>0</v>
      </c>
      <c r="AF177" s="15">
        <v>1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1</v>
      </c>
      <c r="AO177" s="15">
        <v>3</v>
      </c>
      <c r="AP177" s="15">
        <v>0</v>
      </c>
      <c r="AQ177" s="15">
        <v>0</v>
      </c>
      <c r="AR177" s="15">
        <v>1</v>
      </c>
      <c r="AS177" s="15">
        <v>2</v>
      </c>
      <c r="AT177" s="15">
        <v>0</v>
      </c>
      <c r="AU177" s="15">
        <v>0</v>
      </c>
      <c r="AV177" s="15">
        <v>0</v>
      </c>
      <c r="AW177" s="15">
        <v>1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1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3">
        <f t="shared" si="13"/>
        <v>30</v>
      </c>
    </row>
    <row r="178" spans="1:71" ht="12.75" customHeight="1" x14ac:dyDescent="0.3">
      <c r="A178" s="14"/>
      <c r="B178" s="27"/>
      <c r="C178" s="28" t="s">
        <v>153</v>
      </c>
      <c r="D178" s="29"/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1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1</v>
      </c>
      <c r="AP178" s="15">
        <v>0</v>
      </c>
      <c r="AQ178" s="15">
        <v>0</v>
      </c>
      <c r="AR178" s="15">
        <v>1</v>
      </c>
      <c r="AS178" s="15">
        <v>0</v>
      </c>
      <c r="AT178" s="15">
        <v>0</v>
      </c>
      <c r="AU178" s="15">
        <v>0</v>
      </c>
      <c r="AV178" s="15">
        <v>0</v>
      </c>
      <c r="AW178" s="15">
        <v>0</v>
      </c>
      <c r="AX178" s="15">
        <v>0</v>
      </c>
      <c r="AY178" s="15">
        <v>0</v>
      </c>
      <c r="AZ178" s="15">
        <v>0</v>
      </c>
      <c r="BA178" s="15">
        <v>0</v>
      </c>
      <c r="BB178" s="15">
        <v>0</v>
      </c>
      <c r="BC178" s="15">
        <v>0</v>
      </c>
      <c r="BD178" s="15">
        <v>0</v>
      </c>
      <c r="BE178" s="15">
        <v>0</v>
      </c>
      <c r="BF178" s="15">
        <v>0</v>
      </c>
      <c r="BG178" s="15">
        <v>0</v>
      </c>
      <c r="BH178" s="15">
        <v>0</v>
      </c>
      <c r="BI178" s="15">
        <v>0</v>
      </c>
      <c r="BJ178" s="15">
        <v>2</v>
      </c>
      <c r="BK178" s="15">
        <v>0</v>
      </c>
      <c r="BL178" s="15">
        <v>0</v>
      </c>
      <c r="BM178" s="15">
        <v>0</v>
      </c>
      <c r="BN178" s="15">
        <v>0</v>
      </c>
      <c r="BO178" s="15">
        <v>0</v>
      </c>
      <c r="BP178" s="15">
        <v>0</v>
      </c>
      <c r="BQ178" s="13">
        <f t="shared" si="13"/>
        <v>5</v>
      </c>
      <c r="BR178" s="5"/>
      <c r="BS178" s="5"/>
    </row>
    <row r="179" spans="1:71" ht="12.75" customHeight="1" x14ac:dyDescent="0.3">
      <c r="A179" s="14"/>
      <c r="B179" s="27"/>
      <c r="C179" s="28" t="s">
        <v>154</v>
      </c>
      <c r="D179" s="29"/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1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>
        <v>0</v>
      </c>
      <c r="AT179" s="15">
        <v>0</v>
      </c>
      <c r="AU179" s="15">
        <v>0</v>
      </c>
      <c r="AV179" s="15">
        <v>0</v>
      </c>
      <c r="AW179" s="15">
        <v>0</v>
      </c>
      <c r="AX179" s="15">
        <v>1</v>
      </c>
      <c r="AY179" s="15">
        <v>0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3">
        <f t="shared" si="13"/>
        <v>2</v>
      </c>
      <c r="BR179" s="5"/>
      <c r="BS179" s="5"/>
    </row>
    <row r="180" spans="1:71" ht="12.75" customHeight="1" x14ac:dyDescent="0.3">
      <c r="A180" s="14"/>
      <c r="B180" s="27"/>
      <c r="C180" s="28" t="s">
        <v>155</v>
      </c>
      <c r="D180" s="29"/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1</v>
      </c>
      <c r="L180" s="15">
        <v>1</v>
      </c>
      <c r="M180" s="15">
        <v>0</v>
      </c>
      <c r="N180" s="15">
        <v>1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1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1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0</v>
      </c>
      <c r="BF180" s="15">
        <v>0</v>
      </c>
      <c r="BG180" s="15">
        <v>0</v>
      </c>
      <c r="BH180" s="15">
        <v>0</v>
      </c>
      <c r="BI180" s="15">
        <v>0</v>
      </c>
      <c r="BJ180" s="15">
        <v>0</v>
      </c>
      <c r="BK180" s="15">
        <v>0</v>
      </c>
      <c r="BL180" s="15">
        <v>0</v>
      </c>
      <c r="BM180" s="15">
        <v>0</v>
      </c>
      <c r="BN180" s="15">
        <v>0</v>
      </c>
      <c r="BO180" s="15">
        <v>0</v>
      </c>
      <c r="BP180" s="15">
        <v>0</v>
      </c>
      <c r="BQ180" s="13">
        <f t="shared" si="13"/>
        <v>5</v>
      </c>
      <c r="BR180" s="5"/>
      <c r="BS180" s="5"/>
    </row>
    <row r="181" spans="1:71" ht="12.75" customHeight="1" x14ac:dyDescent="0.3">
      <c r="A181" s="15" t="s">
        <v>15</v>
      </c>
      <c r="B181" s="45" t="s">
        <v>47</v>
      </c>
      <c r="C181" s="46"/>
      <c r="D181" s="47"/>
      <c r="E181" s="34">
        <f t="shared" ref="E181:BP181" si="30">SUM(E174:E180)</f>
        <v>1</v>
      </c>
      <c r="F181" s="34">
        <f t="shared" si="30"/>
        <v>1</v>
      </c>
      <c r="G181" s="34">
        <f t="shared" si="30"/>
        <v>0</v>
      </c>
      <c r="H181" s="34">
        <f t="shared" si="30"/>
        <v>2</v>
      </c>
      <c r="I181" s="34">
        <f t="shared" si="30"/>
        <v>41</v>
      </c>
      <c r="J181" s="34">
        <f t="shared" si="30"/>
        <v>11</v>
      </c>
      <c r="K181" s="34">
        <f t="shared" si="30"/>
        <v>2</v>
      </c>
      <c r="L181" s="34">
        <f t="shared" si="30"/>
        <v>1</v>
      </c>
      <c r="M181" s="34">
        <f t="shared" si="30"/>
        <v>0</v>
      </c>
      <c r="N181" s="34">
        <f t="shared" si="30"/>
        <v>4</v>
      </c>
      <c r="O181" s="34">
        <f t="shared" si="30"/>
        <v>19</v>
      </c>
      <c r="P181" s="34">
        <f t="shared" si="30"/>
        <v>17</v>
      </c>
      <c r="Q181" s="34">
        <f t="shared" si="30"/>
        <v>27</v>
      </c>
      <c r="R181" s="34">
        <f t="shared" si="30"/>
        <v>17</v>
      </c>
      <c r="S181" s="34">
        <f t="shared" si="30"/>
        <v>14</v>
      </c>
      <c r="T181" s="34">
        <f t="shared" si="30"/>
        <v>17</v>
      </c>
      <c r="U181" s="34">
        <f t="shared" si="30"/>
        <v>36</v>
      </c>
      <c r="V181" s="34">
        <f t="shared" si="30"/>
        <v>19</v>
      </c>
      <c r="W181" s="34">
        <f t="shared" si="30"/>
        <v>48</v>
      </c>
      <c r="X181" s="34">
        <f t="shared" si="30"/>
        <v>35</v>
      </c>
      <c r="Y181" s="34">
        <f t="shared" si="30"/>
        <v>63</v>
      </c>
      <c r="Z181" s="34">
        <f t="shared" si="30"/>
        <v>71</v>
      </c>
      <c r="AA181" s="34">
        <f t="shared" si="30"/>
        <v>39</v>
      </c>
      <c r="AB181" s="34">
        <f t="shared" si="30"/>
        <v>64</v>
      </c>
      <c r="AC181" s="34">
        <f t="shared" si="30"/>
        <v>100</v>
      </c>
      <c r="AD181" s="34">
        <f t="shared" si="30"/>
        <v>64</v>
      </c>
      <c r="AE181" s="34">
        <f t="shared" si="30"/>
        <v>96</v>
      </c>
      <c r="AF181" s="34">
        <f t="shared" si="30"/>
        <v>23</v>
      </c>
      <c r="AG181" s="34">
        <f t="shared" si="30"/>
        <v>2</v>
      </c>
      <c r="AH181" s="34">
        <f t="shared" si="30"/>
        <v>4</v>
      </c>
      <c r="AI181" s="34">
        <f t="shared" si="30"/>
        <v>4</v>
      </c>
      <c r="AJ181" s="34">
        <f t="shared" si="30"/>
        <v>3</v>
      </c>
      <c r="AK181" s="34">
        <f t="shared" si="30"/>
        <v>13</v>
      </c>
      <c r="AL181" s="34">
        <f t="shared" si="30"/>
        <v>3</v>
      </c>
      <c r="AM181" s="34">
        <f t="shared" si="30"/>
        <v>27</v>
      </c>
      <c r="AN181" s="34">
        <f t="shared" si="30"/>
        <v>21</v>
      </c>
      <c r="AO181" s="34">
        <f t="shared" si="30"/>
        <v>18</v>
      </c>
      <c r="AP181" s="34">
        <f t="shared" si="30"/>
        <v>3</v>
      </c>
      <c r="AQ181" s="34">
        <f t="shared" si="30"/>
        <v>26</v>
      </c>
      <c r="AR181" s="34">
        <f t="shared" si="30"/>
        <v>25</v>
      </c>
      <c r="AS181" s="34">
        <f t="shared" si="30"/>
        <v>61</v>
      </c>
      <c r="AT181" s="34">
        <f t="shared" si="30"/>
        <v>5</v>
      </c>
      <c r="AU181" s="34">
        <f t="shared" si="30"/>
        <v>8</v>
      </c>
      <c r="AV181" s="34">
        <f t="shared" si="30"/>
        <v>8</v>
      </c>
      <c r="AW181" s="34">
        <f t="shared" si="30"/>
        <v>43</v>
      </c>
      <c r="AX181" s="34">
        <f t="shared" si="30"/>
        <v>3</v>
      </c>
      <c r="AY181" s="34">
        <f t="shared" si="30"/>
        <v>7</v>
      </c>
      <c r="AZ181" s="34">
        <f t="shared" si="30"/>
        <v>1</v>
      </c>
      <c r="BA181" s="34">
        <f t="shared" si="30"/>
        <v>21</v>
      </c>
      <c r="BB181" s="34">
        <f t="shared" si="30"/>
        <v>5</v>
      </c>
      <c r="BC181" s="34">
        <f t="shared" si="30"/>
        <v>8</v>
      </c>
      <c r="BD181" s="34">
        <f t="shared" si="30"/>
        <v>3</v>
      </c>
      <c r="BE181" s="34">
        <f t="shared" si="30"/>
        <v>2</v>
      </c>
      <c r="BF181" s="34">
        <f t="shared" si="30"/>
        <v>0</v>
      </c>
      <c r="BG181" s="34">
        <f t="shared" si="30"/>
        <v>1</v>
      </c>
      <c r="BH181" s="34">
        <f t="shared" si="30"/>
        <v>0</v>
      </c>
      <c r="BI181" s="34">
        <f t="shared" si="30"/>
        <v>3</v>
      </c>
      <c r="BJ181" s="34">
        <f t="shared" si="30"/>
        <v>5</v>
      </c>
      <c r="BK181" s="34">
        <f t="shared" si="30"/>
        <v>2</v>
      </c>
      <c r="BL181" s="34">
        <f t="shared" si="30"/>
        <v>2</v>
      </c>
      <c r="BM181" s="34">
        <f t="shared" si="30"/>
        <v>9</v>
      </c>
      <c r="BN181" s="34">
        <f t="shared" si="30"/>
        <v>8</v>
      </c>
      <c r="BO181" s="34">
        <f t="shared" si="30"/>
        <v>4</v>
      </c>
      <c r="BP181" s="34">
        <f t="shared" si="30"/>
        <v>31</v>
      </c>
      <c r="BQ181" s="13">
        <f t="shared" si="13"/>
        <v>1221</v>
      </c>
      <c r="BR181" s="5"/>
      <c r="BS181" s="5"/>
    </row>
    <row r="182" spans="1:71" ht="12.75" customHeight="1" x14ac:dyDescent="0.3">
      <c r="A182" s="35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13">
        <f t="shared" si="13"/>
        <v>0</v>
      </c>
      <c r="BR182" s="5"/>
      <c r="BS182" s="5"/>
    </row>
    <row r="183" spans="1:71" ht="12.75" customHeight="1" x14ac:dyDescent="0.3">
      <c r="A183" s="19" t="s">
        <v>37</v>
      </c>
      <c r="B183" s="26" t="s">
        <v>156</v>
      </c>
      <c r="C183" s="48" t="s">
        <v>157</v>
      </c>
      <c r="D183" s="47"/>
      <c r="E183" s="15">
        <v>1</v>
      </c>
      <c r="F183" s="15">
        <v>0</v>
      </c>
      <c r="G183" s="15">
        <v>0</v>
      </c>
      <c r="H183" s="15">
        <v>0</v>
      </c>
      <c r="I183" s="15">
        <v>0</v>
      </c>
      <c r="J183" s="15">
        <v>1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1</v>
      </c>
      <c r="R183" s="15">
        <v>2</v>
      </c>
      <c r="S183" s="15">
        <v>0</v>
      </c>
      <c r="T183" s="15">
        <v>1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1</v>
      </c>
      <c r="AJ183" s="15">
        <v>0</v>
      </c>
      <c r="AK183" s="15">
        <v>0</v>
      </c>
      <c r="AL183" s="15">
        <v>0</v>
      </c>
      <c r="AM183" s="15">
        <v>2</v>
      </c>
      <c r="AN183" s="15">
        <v>0</v>
      </c>
      <c r="AO183" s="15">
        <v>0</v>
      </c>
      <c r="AP183" s="15">
        <v>0</v>
      </c>
      <c r="AQ183" s="15">
        <v>1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1</v>
      </c>
      <c r="AY183" s="15">
        <v>1</v>
      </c>
      <c r="AZ183" s="15">
        <v>2</v>
      </c>
      <c r="BA183" s="15">
        <v>1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2</v>
      </c>
      <c r="BI183" s="15">
        <v>0</v>
      </c>
      <c r="BJ183" s="15">
        <v>0</v>
      </c>
      <c r="BK183" s="15">
        <v>0</v>
      </c>
      <c r="BL183" s="15">
        <v>0</v>
      </c>
      <c r="BM183" s="15">
        <v>1</v>
      </c>
      <c r="BN183" s="15">
        <v>0</v>
      </c>
      <c r="BO183" s="15">
        <v>1</v>
      </c>
      <c r="BP183" s="15">
        <v>0</v>
      </c>
      <c r="BQ183" s="13">
        <f t="shared" si="13"/>
        <v>19</v>
      </c>
      <c r="BR183" s="5"/>
      <c r="BS183" s="5"/>
    </row>
    <row r="184" spans="1:71" ht="12.75" customHeight="1" x14ac:dyDescent="0.3">
      <c r="A184" s="19"/>
      <c r="B184" s="26"/>
      <c r="C184" s="28" t="s">
        <v>158</v>
      </c>
      <c r="D184" s="37"/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1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1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8</v>
      </c>
      <c r="AL184" s="15">
        <v>0</v>
      </c>
      <c r="AM184" s="15">
        <v>0</v>
      </c>
      <c r="AN184" s="15">
        <v>0</v>
      </c>
      <c r="AO184" s="15">
        <v>0</v>
      </c>
      <c r="AP184" s="15">
        <v>0</v>
      </c>
      <c r="AQ184" s="15">
        <v>0</v>
      </c>
      <c r="AR184" s="15">
        <v>0</v>
      </c>
      <c r="AS184" s="15">
        <v>0</v>
      </c>
      <c r="AT184" s="15">
        <v>0</v>
      </c>
      <c r="AU184" s="15">
        <v>0</v>
      </c>
      <c r="AV184" s="15">
        <v>0</v>
      </c>
      <c r="AW184" s="15">
        <v>0</v>
      </c>
      <c r="AX184" s="15">
        <v>0</v>
      </c>
      <c r="AY184" s="15">
        <v>0</v>
      </c>
      <c r="AZ184" s="15">
        <v>0</v>
      </c>
      <c r="BA184" s="15">
        <v>0</v>
      </c>
      <c r="BB184" s="15">
        <v>1</v>
      </c>
      <c r="BC184" s="15">
        <v>0</v>
      </c>
      <c r="BD184" s="15">
        <v>0</v>
      </c>
      <c r="BE184" s="15">
        <v>0</v>
      </c>
      <c r="BF184" s="15">
        <v>0</v>
      </c>
      <c r="BG184" s="15">
        <v>0</v>
      </c>
      <c r="BH184" s="15">
        <v>0</v>
      </c>
      <c r="BI184" s="15">
        <v>0</v>
      </c>
      <c r="BJ184" s="15">
        <v>0</v>
      </c>
      <c r="BK184" s="15">
        <v>0</v>
      </c>
      <c r="BL184" s="15">
        <v>0</v>
      </c>
      <c r="BM184" s="15">
        <v>0</v>
      </c>
      <c r="BN184" s="15">
        <v>0</v>
      </c>
      <c r="BO184" s="15">
        <v>0</v>
      </c>
      <c r="BP184" s="15">
        <v>0</v>
      </c>
      <c r="BQ184" s="13">
        <f t="shared" si="13"/>
        <v>11</v>
      </c>
      <c r="BR184" s="5"/>
      <c r="BS184" s="5"/>
    </row>
    <row r="185" spans="1:71" ht="12.75" customHeight="1" x14ac:dyDescent="0.3">
      <c r="A185" s="19"/>
      <c r="B185" s="26"/>
      <c r="C185" s="28" t="s">
        <v>159</v>
      </c>
      <c r="D185" s="37"/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1</v>
      </c>
      <c r="S185" s="15">
        <v>0</v>
      </c>
      <c r="T185" s="15">
        <v>7</v>
      </c>
      <c r="U185" s="15">
        <v>0</v>
      </c>
      <c r="V185" s="15">
        <v>2</v>
      </c>
      <c r="W185" s="15">
        <v>2</v>
      </c>
      <c r="X185" s="15">
        <v>1</v>
      </c>
      <c r="Y185" s="15">
        <v>0</v>
      </c>
      <c r="Z185" s="15">
        <v>1</v>
      </c>
      <c r="AA185" s="15">
        <v>0</v>
      </c>
      <c r="AB185" s="15">
        <v>0</v>
      </c>
      <c r="AC185" s="15">
        <v>0</v>
      </c>
      <c r="AD185" s="15">
        <v>0</v>
      </c>
      <c r="AE185" s="15">
        <v>4</v>
      </c>
      <c r="AF185" s="15">
        <v>0</v>
      </c>
      <c r="AG185" s="15">
        <v>0</v>
      </c>
      <c r="AH185" s="15">
        <v>1</v>
      </c>
      <c r="AI185" s="15">
        <v>0</v>
      </c>
      <c r="AJ185" s="15">
        <v>4</v>
      </c>
      <c r="AK185" s="15">
        <v>0</v>
      </c>
      <c r="AL185" s="15">
        <v>0</v>
      </c>
      <c r="AM185" s="15">
        <v>0</v>
      </c>
      <c r="AN185" s="15">
        <v>0</v>
      </c>
      <c r="AO185" s="15">
        <v>1</v>
      </c>
      <c r="AP185" s="15">
        <v>0</v>
      </c>
      <c r="AQ185" s="15">
        <v>0</v>
      </c>
      <c r="AR185" s="15">
        <v>1</v>
      </c>
      <c r="AS185" s="15">
        <v>0</v>
      </c>
      <c r="AT185" s="15">
        <v>0</v>
      </c>
      <c r="AU185" s="15">
        <v>0</v>
      </c>
      <c r="AV185" s="15">
        <v>1</v>
      </c>
      <c r="AW185" s="15">
        <v>1</v>
      </c>
      <c r="AX185" s="15">
        <v>1</v>
      </c>
      <c r="AY185" s="15">
        <v>11</v>
      </c>
      <c r="AZ185" s="15">
        <v>3</v>
      </c>
      <c r="BA185" s="15">
        <v>0</v>
      </c>
      <c r="BB185" s="15">
        <v>0</v>
      </c>
      <c r="BC185" s="15">
        <v>0</v>
      </c>
      <c r="BD185" s="15">
        <v>0</v>
      </c>
      <c r="BE185" s="15">
        <v>1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5">
        <v>3</v>
      </c>
      <c r="BL185" s="15">
        <v>0</v>
      </c>
      <c r="BM185" s="15">
        <v>0</v>
      </c>
      <c r="BN185" s="15">
        <v>0</v>
      </c>
      <c r="BO185" s="15">
        <v>0</v>
      </c>
      <c r="BP185" s="15">
        <v>6</v>
      </c>
      <c r="BQ185" s="13">
        <f t="shared" si="13"/>
        <v>52</v>
      </c>
      <c r="BR185" s="5"/>
      <c r="BS185" s="5"/>
    </row>
    <row r="186" spans="1:71" ht="12.75" customHeight="1" x14ac:dyDescent="0.3">
      <c r="A186" s="19" t="s">
        <v>39</v>
      </c>
      <c r="B186" s="27"/>
      <c r="C186" s="28" t="s">
        <v>160</v>
      </c>
      <c r="D186" s="29"/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2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  <c r="AQ186" s="15">
        <v>0</v>
      </c>
      <c r="AR186" s="15">
        <v>0</v>
      </c>
      <c r="AS186" s="15">
        <v>0</v>
      </c>
      <c r="AT186" s="15">
        <v>0</v>
      </c>
      <c r="AU186" s="15">
        <v>0</v>
      </c>
      <c r="AV186" s="15">
        <v>0</v>
      </c>
      <c r="AW186" s="15">
        <v>0</v>
      </c>
      <c r="AX186" s="15">
        <v>0</v>
      </c>
      <c r="AY186" s="15">
        <v>0</v>
      </c>
      <c r="AZ186" s="15">
        <v>1</v>
      </c>
      <c r="BA186" s="15">
        <v>1</v>
      </c>
      <c r="BB186" s="15">
        <v>0</v>
      </c>
      <c r="BC186" s="15">
        <v>0</v>
      </c>
      <c r="BD186" s="15">
        <v>0</v>
      </c>
      <c r="BE186" s="15">
        <v>0</v>
      </c>
      <c r="BF186" s="15">
        <v>0</v>
      </c>
      <c r="BG186" s="15">
        <v>0</v>
      </c>
      <c r="BH186" s="15">
        <v>1</v>
      </c>
      <c r="BI186" s="15">
        <v>0</v>
      </c>
      <c r="BJ186" s="15">
        <v>0</v>
      </c>
      <c r="BK186" s="15">
        <v>0</v>
      </c>
      <c r="BL186" s="15">
        <v>1</v>
      </c>
      <c r="BM186" s="15">
        <v>0</v>
      </c>
      <c r="BN186" s="15">
        <v>0</v>
      </c>
      <c r="BO186" s="15">
        <v>0</v>
      </c>
      <c r="BP186" s="15">
        <v>1</v>
      </c>
      <c r="BQ186" s="13">
        <f t="shared" si="13"/>
        <v>7</v>
      </c>
      <c r="BR186" s="5"/>
      <c r="BS186" s="5"/>
    </row>
    <row r="187" spans="1:71" ht="12.75" customHeight="1" x14ac:dyDescent="0.3">
      <c r="A187" s="15" t="s">
        <v>15</v>
      </c>
      <c r="B187" s="45" t="s">
        <v>47</v>
      </c>
      <c r="C187" s="46"/>
      <c r="D187" s="47"/>
      <c r="E187" s="34">
        <f t="shared" ref="E187:BP187" si="31">SUM(E183:E186)</f>
        <v>1</v>
      </c>
      <c r="F187" s="34">
        <f t="shared" si="31"/>
        <v>0</v>
      </c>
      <c r="G187" s="34">
        <f t="shared" si="31"/>
        <v>0</v>
      </c>
      <c r="H187" s="34">
        <f t="shared" si="31"/>
        <v>0</v>
      </c>
      <c r="I187" s="34">
        <f t="shared" si="31"/>
        <v>0</v>
      </c>
      <c r="J187" s="34">
        <f t="shared" si="31"/>
        <v>1</v>
      </c>
      <c r="K187" s="34">
        <f t="shared" si="31"/>
        <v>0</v>
      </c>
      <c r="L187" s="34">
        <f t="shared" si="31"/>
        <v>0</v>
      </c>
      <c r="M187" s="34">
        <f t="shared" si="31"/>
        <v>0</v>
      </c>
      <c r="N187" s="34">
        <f t="shared" si="31"/>
        <v>0</v>
      </c>
      <c r="O187" s="34">
        <f t="shared" si="31"/>
        <v>0</v>
      </c>
      <c r="P187" s="34">
        <f t="shared" si="31"/>
        <v>0</v>
      </c>
      <c r="Q187" s="34">
        <f t="shared" si="31"/>
        <v>2</v>
      </c>
      <c r="R187" s="34">
        <f t="shared" si="31"/>
        <v>5</v>
      </c>
      <c r="S187" s="34">
        <f t="shared" si="31"/>
        <v>0</v>
      </c>
      <c r="T187" s="34">
        <f t="shared" si="31"/>
        <v>8</v>
      </c>
      <c r="U187" s="34">
        <f t="shared" si="31"/>
        <v>0</v>
      </c>
      <c r="V187" s="34">
        <f t="shared" si="31"/>
        <v>2</v>
      </c>
      <c r="W187" s="34">
        <f t="shared" si="31"/>
        <v>2</v>
      </c>
      <c r="X187" s="34">
        <f t="shared" si="31"/>
        <v>1</v>
      </c>
      <c r="Y187" s="34">
        <f t="shared" si="31"/>
        <v>0</v>
      </c>
      <c r="Z187" s="34">
        <f t="shared" si="31"/>
        <v>1</v>
      </c>
      <c r="AA187" s="34">
        <f t="shared" si="31"/>
        <v>0</v>
      </c>
      <c r="AB187" s="34">
        <f t="shared" si="31"/>
        <v>0</v>
      </c>
      <c r="AC187" s="34">
        <f t="shared" si="31"/>
        <v>1</v>
      </c>
      <c r="AD187" s="34">
        <f t="shared" si="31"/>
        <v>0</v>
      </c>
      <c r="AE187" s="34">
        <f t="shared" si="31"/>
        <v>4</v>
      </c>
      <c r="AF187" s="34">
        <f t="shared" si="31"/>
        <v>0</v>
      </c>
      <c r="AG187" s="34">
        <f t="shared" si="31"/>
        <v>0</v>
      </c>
      <c r="AH187" s="34">
        <f t="shared" si="31"/>
        <v>1</v>
      </c>
      <c r="AI187" s="34">
        <f t="shared" si="31"/>
        <v>1</v>
      </c>
      <c r="AJ187" s="34">
        <f t="shared" si="31"/>
        <v>4</v>
      </c>
      <c r="AK187" s="34">
        <f t="shared" si="31"/>
        <v>8</v>
      </c>
      <c r="AL187" s="34">
        <f t="shared" si="31"/>
        <v>0</v>
      </c>
      <c r="AM187" s="34">
        <f t="shared" si="31"/>
        <v>2</v>
      </c>
      <c r="AN187" s="34">
        <f t="shared" si="31"/>
        <v>0</v>
      </c>
      <c r="AO187" s="34">
        <f t="shared" si="31"/>
        <v>1</v>
      </c>
      <c r="AP187" s="34">
        <f t="shared" si="31"/>
        <v>0</v>
      </c>
      <c r="AQ187" s="34">
        <f t="shared" si="31"/>
        <v>1</v>
      </c>
      <c r="AR187" s="34">
        <f t="shared" si="31"/>
        <v>1</v>
      </c>
      <c r="AS187" s="34">
        <f t="shared" si="31"/>
        <v>0</v>
      </c>
      <c r="AT187" s="34">
        <f t="shared" si="31"/>
        <v>0</v>
      </c>
      <c r="AU187" s="34">
        <f t="shared" si="31"/>
        <v>0</v>
      </c>
      <c r="AV187" s="34">
        <f t="shared" si="31"/>
        <v>1</v>
      </c>
      <c r="AW187" s="34">
        <f t="shared" si="31"/>
        <v>1</v>
      </c>
      <c r="AX187" s="34">
        <f t="shared" si="31"/>
        <v>2</v>
      </c>
      <c r="AY187" s="34">
        <f t="shared" si="31"/>
        <v>12</v>
      </c>
      <c r="AZ187" s="34">
        <f t="shared" si="31"/>
        <v>6</v>
      </c>
      <c r="BA187" s="34">
        <f t="shared" si="31"/>
        <v>2</v>
      </c>
      <c r="BB187" s="34">
        <f t="shared" si="31"/>
        <v>1</v>
      </c>
      <c r="BC187" s="34">
        <f t="shared" si="31"/>
        <v>0</v>
      </c>
      <c r="BD187" s="34">
        <f t="shared" si="31"/>
        <v>0</v>
      </c>
      <c r="BE187" s="34">
        <f t="shared" si="31"/>
        <v>1</v>
      </c>
      <c r="BF187" s="34">
        <f t="shared" si="31"/>
        <v>0</v>
      </c>
      <c r="BG187" s="34">
        <f t="shared" si="31"/>
        <v>0</v>
      </c>
      <c r="BH187" s="34">
        <f t="shared" si="31"/>
        <v>3</v>
      </c>
      <c r="BI187" s="34">
        <f t="shared" si="31"/>
        <v>0</v>
      </c>
      <c r="BJ187" s="34">
        <f t="shared" si="31"/>
        <v>0</v>
      </c>
      <c r="BK187" s="34">
        <f t="shared" si="31"/>
        <v>3</v>
      </c>
      <c r="BL187" s="34">
        <f t="shared" si="31"/>
        <v>1</v>
      </c>
      <c r="BM187" s="34">
        <f t="shared" si="31"/>
        <v>1</v>
      </c>
      <c r="BN187" s="34">
        <f t="shared" si="31"/>
        <v>0</v>
      </c>
      <c r="BO187" s="34">
        <f t="shared" si="31"/>
        <v>1</v>
      </c>
      <c r="BP187" s="34">
        <f t="shared" si="31"/>
        <v>7</v>
      </c>
      <c r="BQ187" s="13">
        <f t="shared" si="13"/>
        <v>89</v>
      </c>
      <c r="BR187" s="1"/>
      <c r="BS187" s="1"/>
    </row>
    <row r="188" spans="1:71" ht="12.75" customHeight="1" x14ac:dyDescent="0.3">
      <c r="A188" s="51"/>
      <c r="B188" s="52"/>
      <c r="C188" s="52"/>
      <c r="D188" s="53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3">
        <f t="shared" si="13"/>
        <v>0</v>
      </c>
    </row>
    <row r="189" spans="1:71" ht="12.75" customHeight="1" x14ac:dyDescent="0.3">
      <c r="A189" s="25" t="s">
        <v>161</v>
      </c>
      <c r="B189" s="49" t="s">
        <v>162</v>
      </c>
      <c r="C189" s="46"/>
      <c r="D189" s="47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3">
        <f t="shared" si="13"/>
        <v>0</v>
      </c>
      <c r="BR189" s="5"/>
      <c r="BS189" s="5"/>
    </row>
    <row r="190" spans="1:71" ht="12.75" customHeight="1" x14ac:dyDescent="0.3">
      <c r="A190" s="25"/>
      <c r="B190" s="38" t="s">
        <v>163</v>
      </c>
      <c r="C190" s="50" t="s">
        <v>164</v>
      </c>
      <c r="D190" s="47"/>
      <c r="E190" s="15">
        <f t="shared" ref="E190:BP190" si="32">E187+E181+E172+E165+E160+E150+E140+E130+E126+E116+E111+E101+E97+E93+E83+E73+E63+E53</f>
        <v>183</v>
      </c>
      <c r="F190" s="15">
        <f t="shared" si="32"/>
        <v>179</v>
      </c>
      <c r="G190" s="15">
        <f t="shared" si="32"/>
        <v>188</v>
      </c>
      <c r="H190" s="15">
        <f t="shared" si="32"/>
        <v>186</v>
      </c>
      <c r="I190" s="15">
        <f t="shared" si="32"/>
        <v>162</v>
      </c>
      <c r="J190" s="15">
        <f t="shared" si="32"/>
        <v>178</v>
      </c>
      <c r="K190" s="15">
        <f t="shared" si="32"/>
        <v>158</v>
      </c>
      <c r="L190" s="15">
        <f t="shared" si="32"/>
        <v>182</v>
      </c>
      <c r="M190" s="15">
        <f t="shared" si="32"/>
        <v>180</v>
      </c>
      <c r="N190" s="15">
        <f t="shared" si="32"/>
        <v>199</v>
      </c>
      <c r="O190" s="15">
        <f t="shared" si="32"/>
        <v>192</v>
      </c>
      <c r="P190" s="15">
        <f t="shared" si="32"/>
        <v>201</v>
      </c>
      <c r="Q190" s="15">
        <f t="shared" si="32"/>
        <v>180</v>
      </c>
      <c r="R190" s="15">
        <f t="shared" si="32"/>
        <v>182</v>
      </c>
      <c r="S190" s="15">
        <f t="shared" si="32"/>
        <v>206</v>
      </c>
      <c r="T190" s="15">
        <f t="shared" si="32"/>
        <v>192</v>
      </c>
      <c r="U190" s="15">
        <f t="shared" si="32"/>
        <v>174</v>
      </c>
      <c r="V190" s="15">
        <f t="shared" si="32"/>
        <v>181</v>
      </c>
      <c r="W190" s="15">
        <f t="shared" si="32"/>
        <v>202</v>
      </c>
      <c r="X190" s="15">
        <f t="shared" si="32"/>
        <v>177</v>
      </c>
      <c r="Y190" s="15">
        <f t="shared" si="32"/>
        <v>170</v>
      </c>
      <c r="Z190" s="15">
        <f t="shared" si="32"/>
        <v>199</v>
      </c>
      <c r="AA190" s="15">
        <f t="shared" si="32"/>
        <v>196</v>
      </c>
      <c r="AB190" s="15">
        <f t="shared" si="32"/>
        <v>177</v>
      </c>
      <c r="AC190" s="15">
        <f t="shared" si="32"/>
        <v>175</v>
      </c>
      <c r="AD190" s="15">
        <f t="shared" si="32"/>
        <v>173</v>
      </c>
      <c r="AE190" s="15">
        <f t="shared" si="32"/>
        <v>193</v>
      </c>
      <c r="AF190" s="15">
        <f t="shared" si="32"/>
        <v>203</v>
      </c>
      <c r="AG190" s="15">
        <f t="shared" si="32"/>
        <v>200</v>
      </c>
      <c r="AH190" s="15">
        <f t="shared" si="32"/>
        <v>184</v>
      </c>
      <c r="AI190" s="15">
        <f t="shared" si="32"/>
        <v>201</v>
      </c>
      <c r="AJ190" s="15">
        <f t="shared" si="32"/>
        <v>197</v>
      </c>
      <c r="AK190" s="15">
        <f t="shared" si="32"/>
        <v>204</v>
      </c>
      <c r="AL190" s="15">
        <f t="shared" si="32"/>
        <v>176</v>
      </c>
      <c r="AM190" s="15">
        <f t="shared" si="32"/>
        <v>185</v>
      </c>
      <c r="AN190" s="15">
        <f t="shared" si="32"/>
        <v>165</v>
      </c>
      <c r="AO190" s="15">
        <f t="shared" si="32"/>
        <v>195</v>
      </c>
      <c r="AP190" s="15">
        <f t="shared" si="32"/>
        <v>185</v>
      </c>
      <c r="AQ190" s="15">
        <f t="shared" si="32"/>
        <v>175</v>
      </c>
      <c r="AR190" s="15">
        <f t="shared" si="32"/>
        <v>185</v>
      </c>
      <c r="AS190" s="15">
        <f t="shared" si="32"/>
        <v>200</v>
      </c>
      <c r="AT190" s="15">
        <f t="shared" si="32"/>
        <v>175</v>
      </c>
      <c r="AU190" s="15">
        <f t="shared" si="32"/>
        <v>153</v>
      </c>
      <c r="AV190" s="15">
        <f t="shared" si="32"/>
        <v>209</v>
      </c>
      <c r="AW190" s="15">
        <f t="shared" si="32"/>
        <v>195</v>
      </c>
      <c r="AX190" s="15">
        <f t="shared" si="32"/>
        <v>194</v>
      </c>
      <c r="AY190" s="15">
        <f t="shared" si="32"/>
        <v>223</v>
      </c>
      <c r="AZ190" s="15">
        <f t="shared" si="32"/>
        <v>190</v>
      </c>
      <c r="BA190" s="15">
        <f t="shared" si="32"/>
        <v>226</v>
      </c>
      <c r="BB190" s="15">
        <f t="shared" si="32"/>
        <v>212</v>
      </c>
      <c r="BC190" s="15">
        <f t="shared" si="32"/>
        <v>218</v>
      </c>
      <c r="BD190" s="15">
        <f t="shared" si="32"/>
        <v>220</v>
      </c>
      <c r="BE190" s="15">
        <f t="shared" si="32"/>
        <v>202</v>
      </c>
      <c r="BF190" s="15">
        <f t="shared" si="32"/>
        <v>208</v>
      </c>
      <c r="BG190" s="15">
        <f t="shared" si="32"/>
        <v>182</v>
      </c>
      <c r="BH190" s="15">
        <f t="shared" si="32"/>
        <v>216</v>
      </c>
      <c r="BI190" s="15">
        <f t="shared" si="32"/>
        <v>165</v>
      </c>
      <c r="BJ190" s="15">
        <f t="shared" si="32"/>
        <v>186</v>
      </c>
      <c r="BK190" s="15">
        <f t="shared" si="32"/>
        <v>185</v>
      </c>
      <c r="BL190" s="15">
        <f t="shared" si="32"/>
        <v>215</v>
      </c>
      <c r="BM190" s="15">
        <f t="shared" si="32"/>
        <v>187</v>
      </c>
      <c r="BN190" s="15">
        <f t="shared" si="32"/>
        <v>183</v>
      </c>
      <c r="BO190" s="15">
        <f t="shared" si="32"/>
        <v>199</v>
      </c>
      <c r="BP190" s="15">
        <f t="shared" si="32"/>
        <v>196</v>
      </c>
      <c r="BQ190" s="13">
        <f t="shared" si="13"/>
        <v>12159</v>
      </c>
      <c r="BR190" s="5"/>
      <c r="BS190" s="5"/>
    </row>
    <row r="191" spans="1:71" ht="12.75" customHeight="1" x14ac:dyDescent="0.3">
      <c r="A191" s="21"/>
      <c r="B191" s="38" t="s">
        <v>165</v>
      </c>
      <c r="C191" s="50" t="s">
        <v>166</v>
      </c>
      <c r="D191" s="47"/>
      <c r="E191" s="15">
        <v>14</v>
      </c>
      <c r="F191" s="15">
        <v>10</v>
      </c>
      <c r="G191" s="15">
        <v>14</v>
      </c>
      <c r="H191" s="15">
        <v>5</v>
      </c>
      <c r="I191" s="15">
        <v>5</v>
      </c>
      <c r="J191" s="15">
        <v>6</v>
      </c>
      <c r="K191" s="15">
        <v>9</v>
      </c>
      <c r="L191" s="15">
        <v>10</v>
      </c>
      <c r="M191" s="15">
        <v>5</v>
      </c>
      <c r="N191" s="15">
        <v>3</v>
      </c>
      <c r="O191" s="15">
        <v>14</v>
      </c>
      <c r="P191" s="15">
        <v>22</v>
      </c>
      <c r="Q191" s="15">
        <v>16</v>
      </c>
      <c r="R191" s="15">
        <v>15</v>
      </c>
      <c r="S191" s="15">
        <v>22</v>
      </c>
      <c r="T191" s="15">
        <v>8</v>
      </c>
      <c r="U191" s="15">
        <v>9</v>
      </c>
      <c r="V191" s="15">
        <v>16</v>
      </c>
      <c r="W191" s="15">
        <v>5</v>
      </c>
      <c r="X191" s="15">
        <v>8</v>
      </c>
      <c r="Y191" s="15">
        <v>13</v>
      </c>
      <c r="Z191" s="15">
        <v>15</v>
      </c>
      <c r="AA191" s="15">
        <v>14</v>
      </c>
      <c r="AB191" s="15">
        <v>9</v>
      </c>
      <c r="AC191" s="15">
        <v>9</v>
      </c>
      <c r="AD191" s="15">
        <v>5</v>
      </c>
      <c r="AE191" s="15">
        <v>4</v>
      </c>
      <c r="AF191" s="15">
        <v>13</v>
      </c>
      <c r="AG191" s="15">
        <v>18</v>
      </c>
      <c r="AH191" s="15">
        <v>20</v>
      </c>
      <c r="AI191" s="15">
        <v>11</v>
      </c>
      <c r="AJ191" s="15">
        <v>13</v>
      </c>
      <c r="AK191" s="15">
        <v>8</v>
      </c>
      <c r="AL191" s="15">
        <v>26</v>
      </c>
      <c r="AM191" s="15">
        <v>17</v>
      </c>
      <c r="AN191" s="15">
        <v>18</v>
      </c>
      <c r="AO191" s="15">
        <v>7</v>
      </c>
      <c r="AP191" s="15">
        <v>19</v>
      </c>
      <c r="AQ191" s="15">
        <v>10</v>
      </c>
      <c r="AR191" s="15">
        <v>7</v>
      </c>
      <c r="AS191" s="15">
        <v>9</v>
      </c>
      <c r="AT191" s="15">
        <v>8</v>
      </c>
      <c r="AU191" s="15">
        <v>4</v>
      </c>
      <c r="AV191" s="15">
        <v>6</v>
      </c>
      <c r="AW191" s="15">
        <v>12</v>
      </c>
      <c r="AX191" s="15">
        <v>18</v>
      </c>
      <c r="AY191" s="15">
        <v>9</v>
      </c>
      <c r="AZ191" s="15">
        <v>14</v>
      </c>
      <c r="BA191" s="15">
        <v>15</v>
      </c>
      <c r="BB191" s="15">
        <v>14</v>
      </c>
      <c r="BC191" s="15">
        <v>15</v>
      </c>
      <c r="BD191" s="15">
        <v>9</v>
      </c>
      <c r="BE191" s="15">
        <v>23</v>
      </c>
      <c r="BF191" s="15">
        <v>4</v>
      </c>
      <c r="BG191" s="15">
        <v>18</v>
      </c>
      <c r="BH191" s="15">
        <v>14</v>
      </c>
      <c r="BI191" s="15">
        <v>12</v>
      </c>
      <c r="BJ191" s="15">
        <v>17</v>
      </c>
      <c r="BK191" s="15">
        <v>14</v>
      </c>
      <c r="BL191" s="15">
        <v>11</v>
      </c>
      <c r="BM191" s="15">
        <v>9</v>
      </c>
      <c r="BN191" s="15">
        <v>14</v>
      </c>
      <c r="BO191" s="15">
        <v>8</v>
      </c>
      <c r="BP191" s="15">
        <v>7</v>
      </c>
      <c r="BQ191" s="13">
        <f t="shared" si="13"/>
        <v>756</v>
      </c>
      <c r="BR191" s="5"/>
      <c r="BS191" s="5"/>
    </row>
    <row r="192" spans="1:71" ht="12.75" customHeight="1" x14ac:dyDescent="0.3">
      <c r="A192" s="24"/>
      <c r="B192" s="38" t="s">
        <v>167</v>
      </c>
      <c r="C192" s="50" t="s">
        <v>168</v>
      </c>
      <c r="D192" s="47"/>
      <c r="E192" s="18">
        <f t="shared" ref="E192:BP192" si="33">SUM(E190:E191)</f>
        <v>197</v>
      </c>
      <c r="F192" s="18">
        <f t="shared" si="33"/>
        <v>189</v>
      </c>
      <c r="G192" s="18">
        <f t="shared" si="33"/>
        <v>202</v>
      </c>
      <c r="H192" s="18">
        <f t="shared" si="33"/>
        <v>191</v>
      </c>
      <c r="I192" s="18">
        <f t="shared" si="33"/>
        <v>167</v>
      </c>
      <c r="J192" s="18">
        <f t="shared" si="33"/>
        <v>184</v>
      </c>
      <c r="K192" s="18">
        <f t="shared" si="33"/>
        <v>167</v>
      </c>
      <c r="L192" s="18">
        <f t="shared" si="33"/>
        <v>192</v>
      </c>
      <c r="M192" s="18">
        <f t="shared" si="33"/>
        <v>185</v>
      </c>
      <c r="N192" s="18">
        <f t="shared" si="33"/>
        <v>202</v>
      </c>
      <c r="O192" s="18">
        <f t="shared" si="33"/>
        <v>206</v>
      </c>
      <c r="P192" s="18">
        <f t="shared" si="33"/>
        <v>223</v>
      </c>
      <c r="Q192" s="18">
        <f t="shared" si="33"/>
        <v>196</v>
      </c>
      <c r="R192" s="18">
        <f t="shared" si="33"/>
        <v>197</v>
      </c>
      <c r="S192" s="18">
        <f t="shared" si="33"/>
        <v>228</v>
      </c>
      <c r="T192" s="18">
        <f t="shared" si="33"/>
        <v>200</v>
      </c>
      <c r="U192" s="18">
        <f t="shared" si="33"/>
        <v>183</v>
      </c>
      <c r="V192" s="18">
        <f t="shared" si="33"/>
        <v>197</v>
      </c>
      <c r="W192" s="18">
        <f t="shared" si="33"/>
        <v>207</v>
      </c>
      <c r="X192" s="18">
        <f t="shared" si="33"/>
        <v>185</v>
      </c>
      <c r="Y192" s="18">
        <f t="shared" si="33"/>
        <v>183</v>
      </c>
      <c r="Z192" s="18">
        <f t="shared" si="33"/>
        <v>214</v>
      </c>
      <c r="AA192" s="18">
        <f t="shared" si="33"/>
        <v>210</v>
      </c>
      <c r="AB192" s="18">
        <f t="shared" si="33"/>
        <v>186</v>
      </c>
      <c r="AC192" s="18">
        <f t="shared" si="33"/>
        <v>184</v>
      </c>
      <c r="AD192" s="18">
        <f t="shared" si="33"/>
        <v>178</v>
      </c>
      <c r="AE192" s="18">
        <f t="shared" si="33"/>
        <v>197</v>
      </c>
      <c r="AF192" s="18">
        <f t="shared" si="33"/>
        <v>216</v>
      </c>
      <c r="AG192" s="18">
        <f t="shared" si="33"/>
        <v>218</v>
      </c>
      <c r="AH192" s="18">
        <f t="shared" si="33"/>
        <v>204</v>
      </c>
      <c r="AI192" s="18">
        <f t="shared" si="33"/>
        <v>212</v>
      </c>
      <c r="AJ192" s="18">
        <f t="shared" si="33"/>
        <v>210</v>
      </c>
      <c r="AK192" s="18">
        <f t="shared" si="33"/>
        <v>212</v>
      </c>
      <c r="AL192" s="18">
        <f t="shared" si="33"/>
        <v>202</v>
      </c>
      <c r="AM192" s="18">
        <f t="shared" si="33"/>
        <v>202</v>
      </c>
      <c r="AN192" s="18">
        <f t="shared" si="33"/>
        <v>183</v>
      </c>
      <c r="AO192" s="18">
        <f t="shared" si="33"/>
        <v>202</v>
      </c>
      <c r="AP192" s="18">
        <f t="shared" si="33"/>
        <v>204</v>
      </c>
      <c r="AQ192" s="18">
        <f t="shared" si="33"/>
        <v>185</v>
      </c>
      <c r="AR192" s="18">
        <f t="shared" si="33"/>
        <v>192</v>
      </c>
      <c r="AS192" s="18">
        <f t="shared" si="33"/>
        <v>209</v>
      </c>
      <c r="AT192" s="18">
        <f t="shared" si="33"/>
        <v>183</v>
      </c>
      <c r="AU192" s="18">
        <f t="shared" si="33"/>
        <v>157</v>
      </c>
      <c r="AV192" s="18">
        <f t="shared" si="33"/>
        <v>215</v>
      </c>
      <c r="AW192" s="18">
        <f t="shared" si="33"/>
        <v>207</v>
      </c>
      <c r="AX192" s="18">
        <f t="shared" si="33"/>
        <v>212</v>
      </c>
      <c r="AY192" s="18">
        <f t="shared" si="33"/>
        <v>232</v>
      </c>
      <c r="AZ192" s="18">
        <f t="shared" si="33"/>
        <v>204</v>
      </c>
      <c r="BA192" s="18">
        <f t="shared" si="33"/>
        <v>241</v>
      </c>
      <c r="BB192" s="18">
        <f t="shared" si="33"/>
        <v>226</v>
      </c>
      <c r="BC192" s="18">
        <f t="shared" si="33"/>
        <v>233</v>
      </c>
      <c r="BD192" s="18">
        <f t="shared" si="33"/>
        <v>229</v>
      </c>
      <c r="BE192" s="18">
        <f t="shared" si="33"/>
        <v>225</v>
      </c>
      <c r="BF192" s="18">
        <f t="shared" si="33"/>
        <v>212</v>
      </c>
      <c r="BG192" s="18">
        <f t="shared" si="33"/>
        <v>200</v>
      </c>
      <c r="BH192" s="18">
        <f t="shared" si="33"/>
        <v>230</v>
      </c>
      <c r="BI192" s="18">
        <f t="shared" si="33"/>
        <v>177</v>
      </c>
      <c r="BJ192" s="18">
        <f t="shared" si="33"/>
        <v>203</v>
      </c>
      <c r="BK192" s="18">
        <f t="shared" si="33"/>
        <v>199</v>
      </c>
      <c r="BL192" s="18">
        <f t="shared" si="33"/>
        <v>226</v>
      </c>
      <c r="BM192" s="18">
        <f t="shared" si="33"/>
        <v>196</v>
      </c>
      <c r="BN192" s="18">
        <f t="shared" si="33"/>
        <v>197</v>
      </c>
      <c r="BO192" s="18">
        <f t="shared" si="33"/>
        <v>207</v>
      </c>
      <c r="BP192" s="18">
        <f t="shared" si="33"/>
        <v>203</v>
      </c>
      <c r="BQ192" s="13">
        <f t="shared" si="13"/>
        <v>12915</v>
      </c>
      <c r="BR192" s="5"/>
      <c r="BS192" s="5"/>
    </row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70">
    <mergeCell ref="B97:D97"/>
    <mergeCell ref="C99:D99"/>
    <mergeCell ref="B101:D101"/>
    <mergeCell ref="C103:D103"/>
    <mergeCell ref="C75:D75"/>
    <mergeCell ref="B83:D83"/>
    <mergeCell ref="C85:D85"/>
    <mergeCell ref="B93:D93"/>
    <mergeCell ref="C95:D95"/>
    <mergeCell ref="B53:D53"/>
    <mergeCell ref="C55:D55"/>
    <mergeCell ref="B63:D63"/>
    <mergeCell ref="C65:D65"/>
    <mergeCell ref="B73:D7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A17:D17"/>
    <mergeCell ref="B18:D18"/>
    <mergeCell ref="B19:B21"/>
    <mergeCell ref="C19:C21"/>
    <mergeCell ref="B22:B24"/>
    <mergeCell ref="C22:C24"/>
    <mergeCell ref="B12:D12"/>
    <mergeCell ref="E12:BP12"/>
    <mergeCell ref="BQ12:BQ13"/>
    <mergeCell ref="B13:D13"/>
    <mergeCell ref="B14:C16"/>
    <mergeCell ref="B189:D189"/>
    <mergeCell ref="C190:D190"/>
    <mergeCell ref="C191:D191"/>
    <mergeCell ref="C192:D192"/>
    <mergeCell ref="B165:D165"/>
    <mergeCell ref="C167:D167"/>
    <mergeCell ref="B172:D172"/>
    <mergeCell ref="C174:D174"/>
    <mergeCell ref="B181:D181"/>
    <mergeCell ref="C183:D183"/>
    <mergeCell ref="B187:D187"/>
    <mergeCell ref="B150:D150"/>
    <mergeCell ref="C152:D152"/>
    <mergeCell ref="B160:D160"/>
    <mergeCell ref="C162:D162"/>
    <mergeCell ref="A188:D188"/>
    <mergeCell ref="C128:D128"/>
    <mergeCell ref="B130:D130"/>
    <mergeCell ref="C132:D132"/>
    <mergeCell ref="B140:D140"/>
    <mergeCell ref="C142:D142"/>
    <mergeCell ref="B111:D111"/>
    <mergeCell ref="C113:D113"/>
    <mergeCell ref="B116:D116"/>
    <mergeCell ref="C118:D118"/>
    <mergeCell ref="B126:D126"/>
  </mergeCells>
  <conditionalFormatting sqref="E14:BP15">
    <cfRule type="containsBlanks" dxfId="59" priority="1">
      <formula>LEN(TRIM(E14))=0</formula>
    </cfRule>
  </conditionalFormatting>
  <conditionalFormatting sqref="E19:BP20">
    <cfRule type="containsBlanks" dxfId="58" priority="2">
      <formula>LEN(TRIM(E19))=0</formula>
    </cfRule>
  </conditionalFormatting>
  <conditionalFormatting sqref="E22:BP23 E25:BP26 E33:BP33 E35:BP35 E39:BP40">
    <cfRule type="containsBlanks" dxfId="57" priority="3">
      <formula>LEN(TRIM(E22))=0</formula>
    </cfRule>
  </conditionalFormatting>
  <conditionalFormatting sqref="E30:BP30">
    <cfRule type="expression" dxfId="56" priority="4">
      <formula>E30&lt;&gt;E47</formula>
    </cfRule>
    <cfRule type="expression" dxfId="55" priority="5">
      <formula>E30&lt;&gt;E34</formula>
    </cfRule>
  </conditionalFormatting>
  <conditionalFormatting sqref="E34:BP34">
    <cfRule type="expression" dxfId="54" priority="6">
      <formula>E30&lt;&gt;E34</formula>
    </cfRule>
    <cfRule type="expression" dxfId="53" priority="7">
      <formula>E30=E34</formula>
    </cfRule>
    <cfRule type="expression" dxfId="52" priority="8">
      <formula>E34&lt;&gt;E30</formula>
    </cfRule>
    <cfRule type="expression" dxfId="51" priority="9">
      <formula>E34&lt;&gt;E64</formula>
    </cfRule>
  </conditionalFormatting>
  <conditionalFormatting sqref="E45:BP52">
    <cfRule type="containsBlanks" dxfId="50" priority="10">
      <formula>LEN(TRIM(E45))=0</formula>
    </cfRule>
  </conditionalFormatting>
  <conditionalFormatting sqref="E55:BP62">
    <cfRule type="containsBlanks" dxfId="49" priority="11">
      <formula>LEN(TRIM(E55))=0</formula>
    </cfRule>
  </conditionalFormatting>
  <conditionalFormatting sqref="E65:BP72">
    <cfRule type="containsBlanks" dxfId="48" priority="12">
      <formula>LEN(TRIM(E65))=0</formula>
    </cfRule>
  </conditionalFormatting>
  <conditionalFormatting sqref="E75:BP82">
    <cfRule type="containsBlanks" dxfId="47" priority="13">
      <formula>LEN(TRIM(E75))=0</formula>
    </cfRule>
  </conditionalFormatting>
  <conditionalFormatting sqref="E85:BP92">
    <cfRule type="containsBlanks" dxfId="46" priority="14">
      <formula>LEN(TRIM(E85))=0</formula>
    </cfRule>
  </conditionalFormatting>
  <conditionalFormatting sqref="E95:BP96">
    <cfRule type="containsBlanks" dxfId="45" priority="15">
      <formula>LEN(TRIM(E95))=0</formula>
    </cfRule>
  </conditionalFormatting>
  <conditionalFormatting sqref="E99:BP100">
    <cfRule type="containsBlanks" dxfId="44" priority="16">
      <formula>LEN(TRIM(E99))=0</formula>
    </cfRule>
  </conditionalFormatting>
  <conditionalFormatting sqref="E103:BP110">
    <cfRule type="containsBlanks" dxfId="43" priority="17">
      <formula>LEN(TRIM(E103))=0</formula>
    </cfRule>
  </conditionalFormatting>
  <conditionalFormatting sqref="E113:BP115">
    <cfRule type="containsBlanks" dxfId="42" priority="18">
      <formula>LEN(TRIM(E113))=0</formula>
    </cfRule>
  </conditionalFormatting>
  <conditionalFormatting sqref="E118:BP125">
    <cfRule type="containsBlanks" dxfId="41" priority="19">
      <formula>LEN(TRIM(E118))=0</formula>
    </cfRule>
  </conditionalFormatting>
  <conditionalFormatting sqref="E128:BP129">
    <cfRule type="containsBlanks" dxfId="40" priority="20">
      <formula>LEN(TRIM(E128))=0</formula>
    </cfRule>
  </conditionalFormatting>
  <conditionalFormatting sqref="E132:BP139">
    <cfRule type="containsBlanks" dxfId="39" priority="21">
      <formula>LEN(TRIM(E132))=0</formula>
    </cfRule>
  </conditionalFormatting>
  <conditionalFormatting sqref="E142:BP149">
    <cfRule type="containsBlanks" dxfId="38" priority="22">
      <formula>LEN(TRIM(E142))=0</formula>
    </cfRule>
  </conditionalFormatting>
  <conditionalFormatting sqref="E152:BP159">
    <cfRule type="containsBlanks" dxfId="37" priority="23">
      <formula>LEN(TRIM(E152))=0</formula>
    </cfRule>
  </conditionalFormatting>
  <conditionalFormatting sqref="E162:BP164">
    <cfRule type="containsBlanks" dxfId="36" priority="24">
      <formula>LEN(TRIM(E162))=0</formula>
    </cfRule>
  </conditionalFormatting>
  <conditionalFormatting sqref="E167:BP171">
    <cfRule type="containsBlanks" dxfId="35" priority="25">
      <formula>LEN(TRIM(E167))=0</formula>
    </cfRule>
  </conditionalFormatting>
  <conditionalFormatting sqref="E174:BP180">
    <cfRule type="containsBlanks" dxfId="34" priority="26">
      <formula>LEN(TRIM(E174))=0</formula>
    </cfRule>
  </conditionalFormatting>
  <conditionalFormatting sqref="E183:BP186">
    <cfRule type="containsBlanks" dxfId="33" priority="27">
      <formula>LEN(TRIM(E183))=0</formula>
    </cfRule>
  </conditionalFormatting>
  <conditionalFormatting sqref="E190:BP191">
    <cfRule type="containsBlanks" dxfId="32" priority="28">
      <formula>LEN(TRIM(E190))=0</formula>
    </cfRule>
  </conditionalFormatting>
  <conditionalFormatting sqref="E192:BP192">
    <cfRule type="expression" dxfId="31" priority="29">
      <formula>E192&lt;&gt;E30</formula>
    </cfRule>
    <cfRule type="expression" dxfId="30" priority="30">
      <formula>E192&lt;&gt;E34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BE1000"/>
  <sheetViews>
    <sheetView topLeftCell="AL187" workbookViewId="0">
      <selection activeCell="BB201" sqref="BB201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54" width="8.69921875" customWidth="1"/>
    <col min="55" max="55" width="13.296875" customWidth="1"/>
    <col min="56" max="57" width="8.69921875" customWidth="1"/>
  </cols>
  <sheetData>
    <row r="1" spans="1:55" ht="12.75" customHeight="1" x14ac:dyDescent="0.3"/>
    <row r="2" spans="1:55" ht="12.75" customHeight="1" x14ac:dyDescent="0.3">
      <c r="C2" s="8" t="s">
        <v>0</v>
      </c>
      <c r="D2" s="8" t="s">
        <v>1</v>
      </c>
    </row>
    <row r="3" spans="1:55" ht="12.75" customHeight="1" x14ac:dyDescent="0.3">
      <c r="C3" s="8" t="s">
        <v>2</v>
      </c>
      <c r="D3" s="8" t="s">
        <v>3</v>
      </c>
    </row>
    <row r="4" spans="1:55" ht="12.75" customHeight="1" x14ac:dyDescent="0.3">
      <c r="C4" s="8" t="s">
        <v>4</v>
      </c>
      <c r="D4" s="8" t="s">
        <v>5</v>
      </c>
    </row>
    <row r="5" spans="1:55" ht="12.75" customHeight="1" x14ac:dyDescent="0.3">
      <c r="C5" s="8"/>
      <c r="D5" s="8"/>
    </row>
    <row r="6" spans="1:55" ht="12.75" customHeight="1" x14ac:dyDescent="0.3">
      <c r="C6" s="8"/>
      <c r="D6" s="8"/>
    </row>
    <row r="7" spans="1:55" ht="12.75" customHeight="1" x14ac:dyDescent="0.3">
      <c r="C7" s="8"/>
      <c r="D7" s="8"/>
    </row>
    <row r="8" spans="1:55" ht="12.75" customHeight="1" x14ac:dyDescent="0.3">
      <c r="C8" s="8"/>
      <c r="D8" s="8"/>
    </row>
    <row r="9" spans="1:55" ht="12.75" customHeight="1" x14ac:dyDescent="0.3">
      <c r="C9" s="8" t="s">
        <v>169</v>
      </c>
      <c r="D9" s="8" t="s">
        <v>238</v>
      </c>
    </row>
    <row r="10" spans="1:55" ht="12.75" customHeight="1" x14ac:dyDescent="0.3"/>
    <row r="11" spans="1:55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</row>
    <row r="12" spans="1:55" ht="12.75" customHeight="1" x14ac:dyDescent="0.3">
      <c r="A12" s="13" t="s">
        <v>6</v>
      </c>
      <c r="B12" s="49" t="s">
        <v>7</v>
      </c>
      <c r="C12" s="46"/>
      <c r="D12" s="47"/>
      <c r="E12" s="71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72" t="s">
        <v>8</v>
      </c>
    </row>
    <row r="13" spans="1:55" ht="12.75" customHeight="1" x14ac:dyDescent="0.3">
      <c r="A13" s="15" t="s">
        <v>9</v>
      </c>
      <c r="B13" s="56" t="s">
        <v>10</v>
      </c>
      <c r="C13" s="46"/>
      <c r="D13" s="47"/>
      <c r="E13" s="13" t="s">
        <v>171</v>
      </c>
      <c r="F13" s="13" t="s">
        <v>172</v>
      </c>
      <c r="G13" s="13" t="s">
        <v>173</v>
      </c>
      <c r="H13" s="13" t="s">
        <v>174</v>
      </c>
      <c r="I13" s="13" t="s">
        <v>175</v>
      </c>
      <c r="J13" s="13" t="s">
        <v>176</v>
      </c>
      <c r="K13" s="13" t="s">
        <v>177</v>
      </c>
      <c r="L13" s="13" t="s">
        <v>178</v>
      </c>
      <c r="M13" s="13" t="s">
        <v>179</v>
      </c>
      <c r="N13" s="13" t="s">
        <v>180</v>
      </c>
      <c r="O13" s="13" t="s">
        <v>181</v>
      </c>
      <c r="P13" s="13" t="s">
        <v>182</v>
      </c>
      <c r="Q13" s="13" t="s">
        <v>183</v>
      </c>
      <c r="R13" s="13" t="s">
        <v>184</v>
      </c>
      <c r="S13" s="13" t="s">
        <v>185</v>
      </c>
      <c r="T13" s="13" t="s">
        <v>186</v>
      </c>
      <c r="U13" s="13" t="s">
        <v>187</v>
      </c>
      <c r="V13" s="13" t="s">
        <v>188</v>
      </c>
      <c r="W13" s="13" t="s">
        <v>189</v>
      </c>
      <c r="X13" s="13" t="s">
        <v>190</v>
      </c>
      <c r="Y13" s="13" t="s">
        <v>191</v>
      </c>
      <c r="Z13" s="13" t="s">
        <v>192</v>
      </c>
      <c r="AA13" s="13" t="s">
        <v>193</v>
      </c>
      <c r="AB13" s="13" t="s">
        <v>194</v>
      </c>
      <c r="AC13" s="13" t="s">
        <v>195</v>
      </c>
      <c r="AD13" s="13" t="s">
        <v>196</v>
      </c>
      <c r="AE13" s="13" t="s">
        <v>197</v>
      </c>
      <c r="AF13" s="13" t="s">
        <v>198</v>
      </c>
      <c r="AG13" s="13" t="s">
        <v>199</v>
      </c>
      <c r="AH13" s="13" t="s">
        <v>200</v>
      </c>
      <c r="AI13" s="13" t="s">
        <v>201</v>
      </c>
      <c r="AJ13" s="13" t="s">
        <v>202</v>
      </c>
      <c r="AK13" s="13" t="s">
        <v>203</v>
      </c>
      <c r="AL13" s="13" t="s">
        <v>204</v>
      </c>
      <c r="AM13" s="13" t="s">
        <v>205</v>
      </c>
      <c r="AN13" s="13" t="s">
        <v>206</v>
      </c>
      <c r="AO13" s="13" t="s">
        <v>207</v>
      </c>
      <c r="AP13" s="13" t="s">
        <v>208</v>
      </c>
      <c r="AQ13" s="13" t="s">
        <v>209</v>
      </c>
      <c r="AR13" s="13" t="s">
        <v>210</v>
      </c>
      <c r="AS13" s="13" t="s">
        <v>211</v>
      </c>
      <c r="AT13" s="13" t="s">
        <v>212</v>
      </c>
      <c r="AU13" s="13" t="s">
        <v>213</v>
      </c>
      <c r="AV13" s="13" t="s">
        <v>214</v>
      </c>
      <c r="AW13" s="13" t="s">
        <v>215</v>
      </c>
      <c r="AX13" s="13" t="s">
        <v>216</v>
      </c>
      <c r="AY13" s="13" t="s">
        <v>217</v>
      </c>
      <c r="AZ13" s="13" t="s">
        <v>218</v>
      </c>
      <c r="BA13" s="13" t="s">
        <v>219</v>
      </c>
      <c r="BB13" s="13" t="s">
        <v>220</v>
      </c>
      <c r="BC13" s="64"/>
    </row>
    <row r="14" spans="1:55" ht="12.75" customHeight="1" x14ac:dyDescent="0.3">
      <c r="A14" s="14"/>
      <c r="B14" s="57" t="s">
        <v>11</v>
      </c>
      <c r="C14" s="58"/>
      <c r="D14" s="15" t="s">
        <v>12</v>
      </c>
      <c r="E14" s="15">
        <v>143</v>
      </c>
      <c r="F14" s="15">
        <v>107</v>
      </c>
      <c r="G14" s="15">
        <v>68</v>
      </c>
      <c r="H14" s="15">
        <v>146</v>
      </c>
      <c r="I14" s="15">
        <v>65</v>
      </c>
      <c r="J14" s="15">
        <v>125</v>
      </c>
      <c r="K14" s="15">
        <v>146</v>
      </c>
      <c r="L14" s="15">
        <v>108</v>
      </c>
      <c r="M14" s="15">
        <v>136</v>
      </c>
      <c r="N14" s="15">
        <v>140</v>
      </c>
      <c r="O14" s="15">
        <v>124</v>
      </c>
      <c r="P14" s="15">
        <v>121</v>
      </c>
      <c r="Q14" s="15">
        <v>106</v>
      </c>
      <c r="R14" s="15">
        <v>145</v>
      </c>
      <c r="S14" s="15">
        <v>150</v>
      </c>
      <c r="T14" s="15">
        <v>143</v>
      </c>
      <c r="U14" s="15">
        <v>138</v>
      </c>
      <c r="V14" s="15">
        <v>106</v>
      </c>
      <c r="W14" s="15">
        <v>123</v>
      </c>
      <c r="X14" s="15">
        <v>137</v>
      </c>
      <c r="Y14" s="15">
        <v>150</v>
      </c>
      <c r="Z14" s="15">
        <v>136</v>
      </c>
      <c r="AA14" s="15">
        <v>143</v>
      </c>
      <c r="AB14" s="15">
        <v>147</v>
      </c>
      <c r="AC14" s="15">
        <v>141</v>
      </c>
      <c r="AD14" s="15">
        <v>121</v>
      </c>
      <c r="AE14" s="15">
        <v>146</v>
      </c>
      <c r="AF14" s="15">
        <v>144</v>
      </c>
      <c r="AG14" s="15">
        <v>147</v>
      </c>
      <c r="AH14" s="15">
        <v>153</v>
      </c>
      <c r="AI14" s="15">
        <v>135</v>
      </c>
      <c r="AJ14" s="15">
        <v>149</v>
      </c>
      <c r="AK14" s="15">
        <v>140</v>
      </c>
      <c r="AL14" s="15">
        <v>146</v>
      </c>
      <c r="AM14" s="15">
        <v>119</v>
      </c>
      <c r="AN14" s="15">
        <v>144</v>
      </c>
      <c r="AO14" s="15">
        <v>143</v>
      </c>
      <c r="AP14" s="15">
        <v>90</v>
      </c>
      <c r="AQ14" s="15">
        <v>92</v>
      </c>
      <c r="AR14" s="15">
        <v>124</v>
      </c>
      <c r="AS14" s="15">
        <v>114</v>
      </c>
      <c r="AT14" s="15">
        <v>141</v>
      </c>
      <c r="AU14" s="15">
        <v>91</v>
      </c>
      <c r="AV14" s="15">
        <v>145</v>
      </c>
      <c r="AW14" s="15">
        <v>145</v>
      </c>
      <c r="AX14" s="15">
        <v>146</v>
      </c>
      <c r="AY14" s="15">
        <v>128</v>
      </c>
      <c r="AZ14" s="15">
        <v>132</v>
      </c>
      <c r="BA14" s="15">
        <v>108</v>
      </c>
      <c r="BB14" s="15">
        <v>129</v>
      </c>
      <c r="BC14" s="13">
        <f t="shared" ref="BC14:BC16" si="0">SUM(E14:BB14)</f>
        <v>6466</v>
      </c>
    </row>
    <row r="15" spans="1:55" ht="12.75" customHeight="1" x14ac:dyDescent="0.3">
      <c r="A15" s="14"/>
      <c r="B15" s="59"/>
      <c r="C15" s="60"/>
      <c r="D15" s="15" t="s">
        <v>13</v>
      </c>
      <c r="E15" s="15">
        <v>141</v>
      </c>
      <c r="F15" s="15">
        <v>109</v>
      </c>
      <c r="G15" s="15">
        <v>86</v>
      </c>
      <c r="H15" s="15">
        <v>147</v>
      </c>
      <c r="I15" s="15">
        <v>71</v>
      </c>
      <c r="J15" s="15">
        <v>125</v>
      </c>
      <c r="K15" s="15">
        <v>128</v>
      </c>
      <c r="L15" s="15">
        <v>125</v>
      </c>
      <c r="M15" s="15">
        <v>147</v>
      </c>
      <c r="N15" s="15">
        <v>144</v>
      </c>
      <c r="O15" s="15">
        <v>121</v>
      </c>
      <c r="P15" s="15">
        <v>119</v>
      </c>
      <c r="Q15" s="15">
        <v>99</v>
      </c>
      <c r="R15" s="15">
        <v>142</v>
      </c>
      <c r="S15" s="15">
        <v>143</v>
      </c>
      <c r="T15" s="15">
        <v>147</v>
      </c>
      <c r="U15" s="15">
        <v>156</v>
      </c>
      <c r="V15" s="15">
        <v>108</v>
      </c>
      <c r="W15" s="15">
        <v>123</v>
      </c>
      <c r="X15" s="15">
        <v>126</v>
      </c>
      <c r="Y15" s="15">
        <v>134</v>
      </c>
      <c r="Z15" s="15">
        <v>134</v>
      </c>
      <c r="AA15" s="15">
        <v>139</v>
      </c>
      <c r="AB15" s="15">
        <v>135</v>
      </c>
      <c r="AC15" s="15">
        <v>143</v>
      </c>
      <c r="AD15" s="15">
        <v>103</v>
      </c>
      <c r="AE15" s="15">
        <v>128</v>
      </c>
      <c r="AF15" s="15">
        <v>128</v>
      </c>
      <c r="AG15" s="15">
        <v>135</v>
      </c>
      <c r="AH15" s="15">
        <v>135</v>
      </c>
      <c r="AI15" s="15">
        <v>145</v>
      </c>
      <c r="AJ15" s="15">
        <v>126</v>
      </c>
      <c r="AK15" s="15">
        <v>150</v>
      </c>
      <c r="AL15" s="15">
        <v>128</v>
      </c>
      <c r="AM15" s="15">
        <v>114</v>
      </c>
      <c r="AN15" s="15">
        <v>143</v>
      </c>
      <c r="AO15" s="15">
        <v>138</v>
      </c>
      <c r="AP15" s="15">
        <v>94</v>
      </c>
      <c r="AQ15" s="15">
        <v>92</v>
      </c>
      <c r="AR15" s="15">
        <v>120</v>
      </c>
      <c r="AS15" s="15">
        <v>123</v>
      </c>
      <c r="AT15" s="15">
        <v>142</v>
      </c>
      <c r="AU15" s="15">
        <v>81</v>
      </c>
      <c r="AV15" s="15">
        <v>123</v>
      </c>
      <c r="AW15" s="15">
        <v>137</v>
      </c>
      <c r="AX15" s="15">
        <v>152</v>
      </c>
      <c r="AY15" s="15">
        <v>140</v>
      </c>
      <c r="AZ15" s="15">
        <v>122</v>
      </c>
      <c r="BA15" s="15">
        <v>102</v>
      </c>
      <c r="BB15" s="15">
        <v>129</v>
      </c>
      <c r="BC15" s="13">
        <f t="shared" si="0"/>
        <v>6322</v>
      </c>
    </row>
    <row r="16" spans="1:55" ht="12.75" customHeight="1" x14ac:dyDescent="0.3">
      <c r="A16" s="17"/>
      <c r="B16" s="55"/>
      <c r="C16" s="53"/>
      <c r="D16" s="13" t="s">
        <v>14</v>
      </c>
      <c r="E16" s="13">
        <f t="shared" ref="E16:BB16" si="1">SUM(E14:E15)</f>
        <v>284</v>
      </c>
      <c r="F16" s="13">
        <f t="shared" si="1"/>
        <v>216</v>
      </c>
      <c r="G16" s="13">
        <f t="shared" si="1"/>
        <v>154</v>
      </c>
      <c r="H16" s="13">
        <f t="shared" si="1"/>
        <v>293</v>
      </c>
      <c r="I16" s="13">
        <f t="shared" si="1"/>
        <v>136</v>
      </c>
      <c r="J16" s="13">
        <f t="shared" si="1"/>
        <v>250</v>
      </c>
      <c r="K16" s="13">
        <f t="shared" si="1"/>
        <v>274</v>
      </c>
      <c r="L16" s="13">
        <f t="shared" si="1"/>
        <v>233</v>
      </c>
      <c r="M16" s="13">
        <f t="shared" si="1"/>
        <v>283</v>
      </c>
      <c r="N16" s="13">
        <f t="shared" si="1"/>
        <v>284</v>
      </c>
      <c r="O16" s="13">
        <f t="shared" si="1"/>
        <v>245</v>
      </c>
      <c r="P16" s="13">
        <f t="shared" si="1"/>
        <v>240</v>
      </c>
      <c r="Q16" s="13">
        <f t="shared" si="1"/>
        <v>205</v>
      </c>
      <c r="R16" s="13">
        <f t="shared" si="1"/>
        <v>287</v>
      </c>
      <c r="S16" s="13">
        <f t="shared" si="1"/>
        <v>293</v>
      </c>
      <c r="T16" s="13">
        <f t="shared" si="1"/>
        <v>290</v>
      </c>
      <c r="U16" s="13">
        <f t="shared" si="1"/>
        <v>294</v>
      </c>
      <c r="V16" s="13">
        <f t="shared" si="1"/>
        <v>214</v>
      </c>
      <c r="W16" s="13">
        <f t="shared" si="1"/>
        <v>246</v>
      </c>
      <c r="X16" s="13">
        <f t="shared" si="1"/>
        <v>263</v>
      </c>
      <c r="Y16" s="13">
        <f t="shared" si="1"/>
        <v>284</v>
      </c>
      <c r="Z16" s="13">
        <f t="shared" si="1"/>
        <v>270</v>
      </c>
      <c r="AA16" s="13">
        <f t="shared" si="1"/>
        <v>282</v>
      </c>
      <c r="AB16" s="13">
        <f t="shared" si="1"/>
        <v>282</v>
      </c>
      <c r="AC16" s="13">
        <f t="shared" si="1"/>
        <v>284</v>
      </c>
      <c r="AD16" s="13">
        <f t="shared" si="1"/>
        <v>224</v>
      </c>
      <c r="AE16" s="13">
        <f t="shared" si="1"/>
        <v>274</v>
      </c>
      <c r="AF16" s="13">
        <f t="shared" si="1"/>
        <v>272</v>
      </c>
      <c r="AG16" s="13">
        <f t="shared" si="1"/>
        <v>282</v>
      </c>
      <c r="AH16" s="13">
        <f t="shared" si="1"/>
        <v>288</v>
      </c>
      <c r="AI16" s="13">
        <f t="shared" si="1"/>
        <v>280</v>
      </c>
      <c r="AJ16" s="13">
        <f t="shared" si="1"/>
        <v>275</v>
      </c>
      <c r="AK16" s="13">
        <f t="shared" si="1"/>
        <v>290</v>
      </c>
      <c r="AL16" s="13">
        <f t="shared" si="1"/>
        <v>274</v>
      </c>
      <c r="AM16" s="13">
        <f t="shared" si="1"/>
        <v>233</v>
      </c>
      <c r="AN16" s="13">
        <f t="shared" si="1"/>
        <v>287</v>
      </c>
      <c r="AO16" s="13">
        <f t="shared" si="1"/>
        <v>281</v>
      </c>
      <c r="AP16" s="13">
        <f t="shared" si="1"/>
        <v>184</v>
      </c>
      <c r="AQ16" s="13">
        <f t="shared" si="1"/>
        <v>184</v>
      </c>
      <c r="AR16" s="13">
        <f t="shared" si="1"/>
        <v>244</v>
      </c>
      <c r="AS16" s="13">
        <f t="shared" si="1"/>
        <v>237</v>
      </c>
      <c r="AT16" s="13">
        <f t="shared" si="1"/>
        <v>283</v>
      </c>
      <c r="AU16" s="13">
        <f t="shared" si="1"/>
        <v>172</v>
      </c>
      <c r="AV16" s="13">
        <f t="shared" si="1"/>
        <v>268</v>
      </c>
      <c r="AW16" s="13">
        <f t="shared" si="1"/>
        <v>282</v>
      </c>
      <c r="AX16" s="13">
        <f t="shared" si="1"/>
        <v>298</v>
      </c>
      <c r="AY16" s="13">
        <f t="shared" si="1"/>
        <v>268</v>
      </c>
      <c r="AZ16" s="13">
        <f t="shared" si="1"/>
        <v>254</v>
      </c>
      <c r="BA16" s="13">
        <f t="shared" si="1"/>
        <v>210</v>
      </c>
      <c r="BB16" s="13">
        <f t="shared" si="1"/>
        <v>258</v>
      </c>
      <c r="BC16" s="13">
        <f t="shared" si="0"/>
        <v>12788</v>
      </c>
    </row>
    <row r="17" spans="1:55" ht="12.75" customHeight="1" x14ac:dyDescent="0.3">
      <c r="A17" s="61"/>
      <c r="B17" s="46"/>
      <c r="C17" s="46"/>
      <c r="D17" s="47"/>
      <c r="E17" s="15"/>
      <c r="F17" s="15"/>
      <c r="G17" s="15"/>
      <c r="H17" s="15"/>
      <c r="I17" s="15"/>
      <c r="J17" s="15"/>
      <c r="K17" s="15"/>
      <c r="L17" s="15"/>
      <c r="M17" s="15"/>
      <c r="N17" s="41"/>
      <c r="O17" s="15"/>
      <c r="P17" s="15"/>
      <c r="Q17" s="15"/>
      <c r="R17" s="15"/>
      <c r="S17" s="41"/>
      <c r="T17" s="15"/>
      <c r="U17" s="15"/>
      <c r="V17" s="15"/>
      <c r="W17" s="15"/>
      <c r="X17" s="41"/>
      <c r="Y17" s="15"/>
      <c r="Z17" s="15"/>
      <c r="AA17" s="15"/>
      <c r="AB17" s="15"/>
      <c r="AC17" s="41"/>
      <c r="AD17" s="15"/>
      <c r="AE17" s="15"/>
      <c r="AF17" s="15"/>
      <c r="AG17" s="15"/>
      <c r="AH17" s="41"/>
      <c r="AI17" s="15"/>
      <c r="AJ17" s="15"/>
      <c r="AK17" s="15"/>
      <c r="AL17" s="15"/>
      <c r="AM17" s="41"/>
      <c r="AN17" s="15"/>
      <c r="AO17" s="15"/>
      <c r="AP17" s="15"/>
      <c r="AQ17" s="15"/>
      <c r="AR17" s="41"/>
      <c r="AS17" s="15"/>
      <c r="AT17" s="15"/>
      <c r="AU17" s="15"/>
      <c r="AV17" s="15"/>
      <c r="AW17" s="41"/>
      <c r="AX17" s="15"/>
      <c r="AY17" s="15"/>
      <c r="AZ17" s="15"/>
      <c r="BA17" s="15"/>
      <c r="BB17" s="41"/>
      <c r="BC17" s="42"/>
    </row>
    <row r="18" spans="1:55" ht="12.75" customHeight="1" x14ac:dyDescent="0.3">
      <c r="A18" s="19" t="s">
        <v>15</v>
      </c>
      <c r="B18" s="56" t="s">
        <v>16</v>
      </c>
      <c r="C18" s="46"/>
      <c r="D18" s="47"/>
      <c r="E18" s="15"/>
      <c r="F18" s="15"/>
      <c r="G18" s="15"/>
      <c r="H18" s="15"/>
      <c r="I18" s="15"/>
      <c r="J18" s="15"/>
      <c r="K18" s="15"/>
      <c r="L18" s="15"/>
      <c r="M18" s="15"/>
      <c r="N18" s="41"/>
      <c r="O18" s="15"/>
      <c r="P18" s="15"/>
      <c r="Q18" s="15"/>
      <c r="R18" s="15"/>
      <c r="S18" s="41"/>
      <c r="T18" s="15"/>
      <c r="U18" s="15"/>
      <c r="V18" s="15"/>
      <c r="W18" s="15"/>
      <c r="X18" s="41"/>
      <c r="Y18" s="15"/>
      <c r="Z18" s="15"/>
      <c r="AA18" s="15"/>
      <c r="AB18" s="15"/>
      <c r="AC18" s="41"/>
      <c r="AD18" s="15"/>
      <c r="AE18" s="15"/>
      <c r="AF18" s="15"/>
      <c r="AG18" s="15"/>
      <c r="AH18" s="41"/>
      <c r="AI18" s="15"/>
      <c r="AJ18" s="15"/>
      <c r="AK18" s="15"/>
      <c r="AL18" s="15"/>
      <c r="AM18" s="41"/>
      <c r="AN18" s="15"/>
      <c r="AO18" s="15"/>
      <c r="AP18" s="15"/>
      <c r="AQ18" s="15"/>
      <c r="AR18" s="41"/>
      <c r="AS18" s="15"/>
      <c r="AT18" s="15"/>
      <c r="AU18" s="15"/>
      <c r="AV18" s="15"/>
      <c r="AW18" s="41"/>
      <c r="AX18" s="15"/>
      <c r="AY18" s="15"/>
      <c r="AZ18" s="15"/>
      <c r="BA18" s="15"/>
      <c r="BB18" s="41"/>
      <c r="BC18" s="42"/>
    </row>
    <row r="19" spans="1:55" ht="12.75" customHeight="1" x14ac:dyDescent="0.3">
      <c r="A19" s="19"/>
      <c r="B19" s="65" t="s">
        <v>17</v>
      </c>
      <c r="C19" s="62" t="s">
        <v>18</v>
      </c>
      <c r="D19" s="15" t="s">
        <v>12</v>
      </c>
      <c r="E19" s="15">
        <v>105</v>
      </c>
      <c r="F19" s="15">
        <v>93</v>
      </c>
      <c r="G19" s="15">
        <v>59</v>
      </c>
      <c r="H19" s="15">
        <v>99</v>
      </c>
      <c r="I19" s="15">
        <v>45</v>
      </c>
      <c r="J19" s="15">
        <v>94</v>
      </c>
      <c r="K19" s="15">
        <v>113</v>
      </c>
      <c r="L19" s="15">
        <v>88</v>
      </c>
      <c r="M19" s="15">
        <v>104</v>
      </c>
      <c r="N19" s="15">
        <v>95</v>
      </c>
      <c r="O19" s="15">
        <v>90</v>
      </c>
      <c r="P19" s="15">
        <v>89</v>
      </c>
      <c r="Q19" s="15">
        <v>82</v>
      </c>
      <c r="R19" s="15">
        <v>112</v>
      </c>
      <c r="S19" s="15">
        <v>113</v>
      </c>
      <c r="T19" s="15">
        <v>104</v>
      </c>
      <c r="U19" s="15">
        <v>107</v>
      </c>
      <c r="V19" s="15">
        <v>84</v>
      </c>
      <c r="W19" s="15">
        <v>97</v>
      </c>
      <c r="X19" s="15">
        <v>90</v>
      </c>
      <c r="Y19" s="15">
        <v>96</v>
      </c>
      <c r="Z19" s="15">
        <v>108</v>
      </c>
      <c r="AA19" s="15">
        <v>111</v>
      </c>
      <c r="AB19" s="15">
        <v>108</v>
      </c>
      <c r="AC19" s="15">
        <v>104</v>
      </c>
      <c r="AD19" s="15">
        <v>89</v>
      </c>
      <c r="AE19" s="15">
        <v>113</v>
      </c>
      <c r="AF19" s="15">
        <v>114</v>
      </c>
      <c r="AG19" s="15">
        <v>120</v>
      </c>
      <c r="AH19" s="15">
        <v>111</v>
      </c>
      <c r="AI19" s="15">
        <v>107</v>
      </c>
      <c r="AJ19" s="15">
        <v>102</v>
      </c>
      <c r="AK19" s="15">
        <v>109</v>
      </c>
      <c r="AL19" s="15">
        <v>106</v>
      </c>
      <c r="AM19" s="15">
        <v>92</v>
      </c>
      <c r="AN19" s="15">
        <v>109</v>
      </c>
      <c r="AO19" s="15">
        <v>108</v>
      </c>
      <c r="AP19" s="15">
        <v>74</v>
      </c>
      <c r="AQ19" s="15">
        <v>74</v>
      </c>
      <c r="AR19" s="15">
        <v>91</v>
      </c>
      <c r="AS19" s="15">
        <v>91</v>
      </c>
      <c r="AT19" s="15">
        <v>103</v>
      </c>
      <c r="AU19" s="15">
        <v>69</v>
      </c>
      <c r="AV19" s="15">
        <v>115</v>
      </c>
      <c r="AW19" s="15">
        <v>108</v>
      </c>
      <c r="AX19" s="15">
        <v>110</v>
      </c>
      <c r="AY19" s="15">
        <v>101</v>
      </c>
      <c r="AZ19" s="15">
        <v>101</v>
      </c>
      <c r="BA19" s="15">
        <v>78</v>
      </c>
      <c r="BB19" s="15">
        <v>97</v>
      </c>
      <c r="BC19" s="13">
        <f t="shared" ref="BC19:BC30" si="2">SUM(E19:BB19)</f>
        <v>4882</v>
      </c>
    </row>
    <row r="20" spans="1:55" ht="12.75" customHeight="1" x14ac:dyDescent="0.3">
      <c r="A20" s="20"/>
      <c r="B20" s="60"/>
      <c r="C20" s="63"/>
      <c r="D20" s="15" t="s">
        <v>13</v>
      </c>
      <c r="E20" s="15">
        <v>115</v>
      </c>
      <c r="F20" s="15">
        <v>84</v>
      </c>
      <c r="G20" s="15">
        <v>81</v>
      </c>
      <c r="H20" s="15">
        <v>108</v>
      </c>
      <c r="I20" s="15">
        <v>57</v>
      </c>
      <c r="J20" s="15">
        <v>90</v>
      </c>
      <c r="K20" s="15">
        <v>120</v>
      </c>
      <c r="L20" s="15">
        <v>100</v>
      </c>
      <c r="M20" s="15">
        <v>114</v>
      </c>
      <c r="N20" s="15">
        <v>119</v>
      </c>
      <c r="O20" s="15">
        <v>95</v>
      </c>
      <c r="P20" s="15">
        <v>91</v>
      </c>
      <c r="Q20" s="15">
        <v>81</v>
      </c>
      <c r="R20" s="15">
        <v>128</v>
      </c>
      <c r="S20" s="15">
        <v>124</v>
      </c>
      <c r="T20" s="15">
        <v>120</v>
      </c>
      <c r="U20" s="15">
        <v>128</v>
      </c>
      <c r="V20" s="15">
        <v>84</v>
      </c>
      <c r="W20" s="15">
        <v>89</v>
      </c>
      <c r="X20" s="15">
        <v>95</v>
      </c>
      <c r="Y20" s="15">
        <v>100</v>
      </c>
      <c r="Z20" s="15">
        <v>114</v>
      </c>
      <c r="AA20" s="15">
        <v>122</v>
      </c>
      <c r="AB20" s="15">
        <v>113</v>
      </c>
      <c r="AC20" s="15">
        <v>115</v>
      </c>
      <c r="AD20" s="15">
        <v>81</v>
      </c>
      <c r="AE20" s="15">
        <v>95</v>
      </c>
      <c r="AF20" s="15">
        <v>101</v>
      </c>
      <c r="AG20" s="15">
        <v>115</v>
      </c>
      <c r="AH20" s="15">
        <v>110</v>
      </c>
      <c r="AI20" s="15">
        <v>114</v>
      </c>
      <c r="AJ20" s="15">
        <v>107</v>
      </c>
      <c r="AK20" s="15">
        <v>131</v>
      </c>
      <c r="AL20" s="15">
        <v>112</v>
      </c>
      <c r="AM20" s="15">
        <v>98</v>
      </c>
      <c r="AN20" s="15">
        <v>118</v>
      </c>
      <c r="AO20" s="15">
        <v>122</v>
      </c>
      <c r="AP20" s="15">
        <v>89</v>
      </c>
      <c r="AQ20" s="15">
        <v>74</v>
      </c>
      <c r="AR20" s="15">
        <v>95</v>
      </c>
      <c r="AS20" s="15">
        <v>103</v>
      </c>
      <c r="AT20" s="15">
        <v>113</v>
      </c>
      <c r="AU20" s="15">
        <v>65</v>
      </c>
      <c r="AV20" s="15">
        <v>106</v>
      </c>
      <c r="AW20" s="15">
        <v>106</v>
      </c>
      <c r="AX20" s="15">
        <v>121</v>
      </c>
      <c r="AY20" s="15">
        <v>120</v>
      </c>
      <c r="AZ20" s="15">
        <v>100</v>
      </c>
      <c r="BA20" s="15">
        <v>78</v>
      </c>
      <c r="BB20" s="15">
        <v>111</v>
      </c>
      <c r="BC20" s="13">
        <f t="shared" si="2"/>
        <v>5172</v>
      </c>
    </row>
    <row r="21" spans="1:55" ht="12.75" customHeight="1" x14ac:dyDescent="0.3">
      <c r="A21" s="21"/>
      <c r="B21" s="53"/>
      <c r="C21" s="64"/>
      <c r="D21" s="13" t="s">
        <v>14</v>
      </c>
      <c r="E21" s="13">
        <f t="shared" ref="E21:BB21" si="3">SUM(E19:E20)</f>
        <v>220</v>
      </c>
      <c r="F21" s="13">
        <f t="shared" si="3"/>
        <v>177</v>
      </c>
      <c r="G21" s="13">
        <f t="shared" si="3"/>
        <v>140</v>
      </c>
      <c r="H21" s="13">
        <f t="shared" si="3"/>
        <v>207</v>
      </c>
      <c r="I21" s="13">
        <f t="shared" si="3"/>
        <v>102</v>
      </c>
      <c r="J21" s="13">
        <f t="shared" si="3"/>
        <v>184</v>
      </c>
      <c r="K21" s="13">
        <f t="shared" si="3"/>
        <v>233</v>
      </c>
      <c r="L21" s="13">
        <f t="shared" si="3"/>
        <v>188</v>
      </c>
      <c r="M21" s="13">
        <f t="shared" si="3"/>
        <v>218</v>
      </c>
      <c r="N21" s="13">
        <f t="shared" si="3"/>
        <v>214</v>
      </c>
      <c r="O21" s="13">
        <f t="shared" si="3"/>
        <v>185</v>
      </c>
      <c r="P21" s="13">
        <f t="shared" si="3"/>
        <v>180</v>
      </c>
      <c r="Q21" s="13">
        <f t="shared" si="3"/>
        <v>163</v>
      </c>
      <c r="R21" s="13">
        <f t="shared" si="3"/>
        <v>240</v>
      </c>
      <c r="S21" s="13">
        <f t="shared" si="3"/>
        <v>237</v>
      </c>
      <c r="T21" s="13">
        <f t="shared" si="3"/>
        <v>224</v>
      </c>
      <c r="U21" s="13">
        <f t="shared" si="3"/>
        <v>235</v>
      </c>
      <c r="V21" s="13">
        <f t="shared" si="3"/>
        <v>168</v>
      </c>
      <c r="W21" s="13">
        <f t="shared" si="3"/>
        <v>186</v>
      </c>
      <c r="X21" s="13">
        <f t="shared" si="3"/>
        <v>185</v>
      </c>
      <c r="Y21" s="13">
        <f t="shared" si="3"/>
        <v>196</v>
      </c>
      <c r="Z21" s="13">
        <f t="shared" si="3"/>
        <v>222</v>
      </c>
      <c r="AA21" s="13">
        <f t="shared" si="3"/>
        <v>233</v>
      </c>
      <c r="AB21" s="13">
        <f t="shared" si="3"/>
        <v>221</v>
      </c>
      <c r="AC21" s="13">
        <f t="shared" si="3"/>
        <v>219</v>
      </c>
      <c r="AD21" s="13">
        <f t="shared" si="3"/>
        <v>170</v>
      </c>
      <c r="AE21" s="13">
        <f t="shared" si="3"/>
        <v>208</v>
      </c>
      <c r="AF21" s="13">
        <f t="shared" si="3"/>
        <v>215</v>
      </c>
      <c r="AG21" s="13">
        <f t="shared" si="3"/>
        <v>235</v>
      </c>
      <c r="AH21" s="13">
        <f t="shared" si="3"/>
        <v>221</v>
      </c>
      <c r="AI21" s="13">
        <f t="shared" si="3"/>
        <v>221</v>
      </c>
      <c r="AJ21" s="13">
        <f t="shared" si="3"/>
        <v>209</v>
      </c>
      <c r="AK21" s="13">
        <f t="shared" si="3"/>
        <v>240</v>
      </c>
      <c r="AL21" s="13">
        <f t="shared" si="3"/>
        <v>218</v>
      </c>
      <c r="AM21" s="13">
        <f t="shared" si="3"/>
        <v>190</v>
      </c>
      <c r="AN21" s="13">
        <f t="shared" si="3"/>
        <v>227</v>
      </c>
      <c r="AO21" s="13">
        <f t="shared" si="3"/>
        <v>230</v>
      </c>
      <c r="AP21" s="13">
        <f t="shared" si="3"/>
        <v>163</v>
      </c>
      <c r="AQ21" s="13">
        <f t="shared" si="3"/>
        <v>148</v>
      </c>
      <c r="AR21" s="13">
        <f t="shared" si="3"/>
        <v>186</v>
      </c>
      <c r="AS21" s="13">
        <f t="shared" si="3"/>
        <v>194</v>
      </c>
      <c r="AT21" s="13">
        <f t="shared" si="3"/>
        <v>216</v>
      </c>
      <c r="AU21" s="13">
        <f t="shared" si="3"/>
        <v>134</v>
      </c>
      <c r="AV21" s="13">
        <f t="shared" si="3"/>
        <v>221</v>
      </c>
      <c r="AW21" s="13">
        <f t="shared" si="3"/>
        <v>214</v>
      </c>
      <c r="AX21" s="13">
        <f t="shared" si="3"/>
        <v>231</v>
      </c>
      <c r="AY21" s="13">
        <f t="shared" si="3"/>
        <v>221</v>
      </c>
      <c r="AZ21" s="13">
        <f t="shared" si="3"/>
        <v>201</v>
      </c>
      <c r="BA21" s="13">
        <f t="shared" si="3"/>
        <v>156</v>
      </c>
      <c r="BB21" s="13">
        <f t="shared" si="3"/>
        <v>208</v>
      </c>
      <c r="BC21" s="13">
        <f t="shared" si="2"/>
        <v>10054</v>
      </c>
    </row>
    <row r="22" spans="1:55" ht="12.75" customHeight="1" x14ac:dyDescent="0.3">
      <c r="A22" s="20"/>
      <c r="B22" s="65" t="s">
        <v>19</v>
      </c>
      <c r="C22" s="62" t="s">
        <v>20</v>
      </c>
      <c r="D22" s="15" t="s">
        <v>12</v>
      </c>
      <c r="E22" s="15">
        <v>0</v>
      </c>
      <c r="F22" s="15">
        <v>2</v>
      </c>
      <c r="G22" s="15">
        <v>1</v>
      </c>
      <c r="H22" s="15">
        <v>1</v>
      </c>
      <c r="I22" s="15">
        <v>0</v>
      </c>
      <c r="J22" s="15">
        <v>0</v>
      </c>
      <c r="K22" s="15">
        <v>0</v>
      </c>
      <c r="L22" s="15">
        <v>1</v>
      </c>
      <c r="M22" s="15">
        <v>0</v>
      </c>
      <c r="N22" s="15">
        <v>2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1</v>
      </c>
      <c r="U22" s="15">
        <v>0</v>
      </c>
      <c r="V22" s="15">
        <v>1</v>
      </c>
      <c r="W22" s="15">
        <v>0</v>
      </c>
      <c r="X22" s="15">
        <v>1</v>
      </c>
      <c r="Y22" s="15">
        <v>0</v>
      </c>
      <c r="Z22" s="15">
        <v>0</v>
      </c>
      <c r="AA22" s="15">
        <v>0</v>
      </c>
      <c r="AB22" s="15">
        <v>0</v>
      </c>
      <c r="AC22" s="15">
        <v>1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1</v>
      </c>
      <c r="AU22" s="15">
        <v>0</v>
      </c>
      <c r="AV22" s="15">
        <v>1</v>
      </c>
      <c r="AW22" s="15">
        <v>1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3">
        <f t="shared" si="2"/>
        <v>14</v>
      </c>
    </row>
    <row r="23" spans="1:55" ht="12.75" customHeight="1" x14ac:dyDescent="0.3">
      <c r="A23" s="20"/>
      <c r="B23" s="60"/>
      <c r="C23" s="63"/>
      <c r="D23" s="15" t="s">
        <v>13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1</v>
      </c>
      <c r="T23" s="15">
        <v>0</v>
      </c>
      <c r="U23" s="15">
        <v>0</v>
      </c>
      <c r="V23" s="15">
        <v>0</v>
      </c>
      <c r="W23" s="15">
        <v>0</v>
      </c>
      <c r="X23" s="15">
        <v>1</v>
      </c>
      <c r="Y23" s="15">
        <v>2</v>
      </c>
      <c r="Z23" s="15">
        <v>0</v>
      </c>
      <c r="AA23" s="15">
        <v>0</v>
      </c>
      <c r="AB23" s="15">
        <v>1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2</v>
      </c>
      <c r="AK23" s="15">
        <v>0</v>
      </c>
      <c r="AL23" s="15">
        <v>1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1</v>
      </c>
      <c r="AU23" s="15">
        <v>0</v>
      </c>
      <c r="AV23" s="15">
        <v>0</v>
      </c>
      <c r="AW23" s="15">
        <v>2</v>
      </c>
      <c r="AX23" s="15">
        <v>1</v>
      </c>
      <c r="AY23" s="15">
        <v>0</v>
      </c>
      <c r="AZ23" s="15">
        <v>0</v>
      </c>
      <c r="BA23" s="15">
        <v>0</v>
      </c>
      <c r="BB23" s="15">
        <v>1</v>
      </c>
      <c r="BC23" s="13">
        <f t="shared" si="2"/>
        <v>14</v>
      </c>
    </row>
    <row r="24" spans="1:55" ht="12.75" customHeight="1" x14ac:dyDescent="0.3">
      <c r="A24" s="21"/>
      <c r="B24" s="53"/>
      <c r="C24" s="64"/>
      <c r="D24" s="13" t="s">
        <v>14</v>
      </c>
      <c r="E24" s="13">
        <f t="shared" ref="E24:BB24" si="4">SUM(E22:E23)</f>
        <v>0</v>
      </c>
      <c r="F24" s="13">
        <f t="shared" si="4"/>
        <v>3</v>
      </c>
      <c r="G24" s="13">
        <f t="shared" si="4"/>
        <v>1</v>
      </c>
      <c r="H24" s="13">
        <f t="shared" si="4"/>
        <v>1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1</v>
      </c>
      <c r="M24" s="13">
        <f t="shared" si="4"/>
        <v>0</v>
      </c>
      <c r="N24" s="13">
        <f t="shared" si="4"/>
        <v>2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1</v>
      </c>
      <c r="T24" s="13">
        <f t="shared" si="4"/>
        <v>1</v>
      </c>
      <c r="U24" s="13">
        <f t="shared" si="4"/>
        <v>0</v>
      </c>
      <c r="V24" s="13">
        <f t="shared" si="4"/>
        <v>1</v>
      </c>
      <c r="W24" s="13">
        <f t="shared" si="4"/>
        <v>0</v>
      </c>
      <c r="X24" s="13">
        <f t="shared" si="4"/>
        <v>2</v>
      </c>
      <c r="Y24" s="13">
        <f t="shared" si="4"/>
        <v>2</v>
      </c>
      <c r="Z24" s="13">
        <f t="shared" si="4"/>
        <v>0</v>
      </c>
      <c r="AA24" s="13">
        <f t="shared" si="4"/>
        <v>0</v>
      </c>
      <c r="AB24" s="13">
        <f t="shared" si="4"/>
        <v>1</v>
      </c>
      <c r="AC24" s="13">
        <f t="shared" si="4"/>
        <v>1</v>
      </c>
      <c r="AD24" s="13">
        <f t="shared" si="4"/>
        <v>0</v>
      </c>
      <c r="AE24" s="13">
        <f t="shared" si="4"/>
        <v>0</v>
      </c>
      <c r="AF24" s="13">
        <f t="shared" si="4"/>
        <v>0</v>
      </c>
      <c r="AG24" s="13">
        <f t="shared" si="4"/>
        <v>0</v>
      </c>
      <c r="AH24" s="13">
        <f t="shared" si="4"/>
        <v>0</v>
      </c>
      <c r="AI24" s="13">
        <f t="shared" si="4"/>
        <v>0</v>
      </c>
      <c r="AJ24" s="13">
        <f t="shared" si="4"/>
        <v>2</v>
      </c>
      <c r="AK24" s="13">
        <f t="shared" si="4"/>
        <v>0</v>
      </c>
      <c r="AL24" s="13">
        <f t="shared" si="4"/>
        <v>1</v>
      </c>
      <c r="AM24" s="13">
        <f t="shared" si="4"/>
        <v>0</v>
      </c>
      <c r="AN24" s="13">
        <f t="shared" si="4"/>
        <v>0</v>
      </c>
      <c r="AO24" s="13">
        <f t="shared" si="4"/>
        <v>0</v>
      </c>
      <c r="AP24" s="13">
        <f t="shared" si="4"/>
        <v>0</v>
      </c>
      <c r="AQ24" s="13">
        <f t="shared" si="4"/>
        <v>0</v>
      </c>
      <c r="AR24" s="13">
        <f t="shared" si="4"/>
        <v>0</v>
      </c>
      <c r="AS24" s="13">
        <f t="shared" si="4"/>
        <v>0</v>
      </c>
      <c r="AT24" s="13">
        <f t="shared" si="4"/>
        <v>2</v>
      </c>
      <c r="AU24" s="13">
        <f t="shared" si="4"/>
        <v>0</v>
      </c>
      <c r="AV24" s="13">
        <f t="shared" si="4"/>
        <v>1</v>
      </c>
      <c r="AW24" s="13">
        <f t="shared" si="4"/>
        <v>3</v>
      </c>
      <c r="AX24" s="13">
        <f t="shared" si="4"/>
        <v>1</v>
      </c>
      <c r="AY24" s="13">
        <f t="shared" si="4"/>
        <v>0</v>
      </c>
      <c r="AZ24" s="13">
        <f t="shared" si="4"/>
        <v>0</v>
      </c>
      <c r="BA24" s="13">
        <f t="shared" si="4"/>
        <v>0</v>
      </c>
      <c r="BB24" s="13">
        <f t="shared" si="4"/>
        <v>1</v>
      </c>
      <c r="BC24" s="13">
        <f t="shared" si="2"/>
        <v>28</v>
      </c>
    </row>
    <row r="25" spans="1:55" ht="12.75" customHeight="1" x14ac:dyDescent="0.3">
      <c r="A25" s="20"/>
      <c r="B25" s="65" t="s">
        <v>21</v>
      </c>
      <c r="C25" s="62" t="s">
        <v>22</v>
      </c>
      <c r="D25" s="15" t="s">
        <v>12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2</v>
      </c>
      <c r="K25" s="15">
        <v>2</v>
      </c>
      <c r="L25" s="15">
        <v>0</v>
      </c>
      <c r="M25" s="15">
        <v>0</v>
      </c>
      <c r="N25" s="15">
        <v>1</v>
      </c>
      <c r="O25" s="15">
        <v>2</v>
      </c>
      <c r="P25" s="15">
        <v>1</v>
      </c>
      <c r="Q25" s="15">
        <v>0</v>
      </c>
      <c r="R25" s="15">
        <v>1</v>
      </c>
      <c r="S25" s="15">
        <v>3</v>
      </c>
      <c r="T25" s="15">
        <v>0</v>
      </c>
      <c r="U25" s="15">
        <v>1</v>
      </c>
      <c r="V25" s="15">
        <v>1</v>
      </c>
      <c r="W25" s="15">
        <v>2</v>
      </c>
      <c r="X25" s="15">
        <v>4</v>
      </c>
      <c r="Y25" s="15">
        <v>0</v>
      </c>
      <c r="Z25" s="15">
        <v>1</v>
      </c>
      <c r="AA25" s="15">
        <v>3</v>
      </c>
      <c r="AB25" s="15">
        <v>0</v>
      </c>
      <c r="AC25" s="15">
        <v>1</v>
      </c>
      <c r="AD25" s="15">
        <v>2</v>
      </c>
      <c r="AE25" s="15">
        <v>0</v>
      </c>
      <c r="AF25" s="15">
        <v>0</v>
      </c>
      <c r="AG25" s="15">
        <v>2</v>
      </c>
      <c r="AH25" s="15">
        <v>1</v>
      </c>
      <c r="AI25" s="15">
        <v>2</v>
      </c>
      <c r="AJ25" s="15">
        <v>3</v>
      </c>
      <c r="AK25" s="15">
        <v>0</v>
      </c>
      <c r="AL25" s="15">
        <v>3</v>
      </c>
      <c r="AM25" s="15">
        <v>1</v>
      </c>
      <c r="AN25" s="15">
        <v>0</v>
      </c>
      <c r="AO25" s="15">
        <v>1</v>
      </c>
      <c r="AP25" s="15">
        <v>0</v>
      </c>
      <c r="AQ25" s="15">
        <v>0</v>
      </c>
      <c r="AR25" s="15">
        <v>1</v>
      </c>
      <c r="AS25" s="15">
        <v>0</v>
      </c>
      <c r="AT25" s="15">
        <v>5</v>
      </c>
      <c r="AU25" s="15">
        <v>2</v>
      </c>
      <c r="AV25" s="15">
        <v>0</v>
      </c>
      <c r="AW25" s="15">
        <v>2</v>
      </c>
      <c r="AX25" s="15">
        <v>0</v>
      </c>
      <c r="AY25" s="15">
        <v>0</v>
      </c>
      <c r="AZ25" s="15">
        <v>2</v>
      </c>
      <c r="BA25" s="15">
        <v>0</v>
      </c>
      <c r="BB25" s="15">
        <v>1</v>
      </c>
      <c r="BC25" s="13">
        <f t="shared" si="2"/>
        <v>53</v>
      </c>
    </row>
    <row r="26" spans="1:55" ht="12.75" customHeight="1" x14ac:dyDescent="0.3">
      <c r="A26" s="20"/>
      <c r="B26" s="60"/>
      <c r="C26" s="63"/>
      <c r="D26" s="15" t="s">
        <v>13</v>
      </c>
      <c r="E26" s="15">
        <v>2</v>
      </c>
      <c r="F26" s="15">
        <v>1</v>
      </c>
      <c r="G26" s="15">
        <v>0</v>
      </c>
      <c r="H26" s="15">
        <v>0</v>
      </c>
      <c r="I26" s="15">
        <v>1</v>
      </c>
      <c r="J26" s="15">
        <v>1</v>
      </c>
      <c r="K26" s="15">
        <v>2</v>
      </c>
      <c r="L26" s="15">
        <v>1</v>
      </c>
      <c r="M26" s="15">
        <v>1</v>
      </c>
      <c r="N26" s="15">
        <v>1</v>
      </c>
      <c r="O26" s="15">
        <v>0</v>
      </c>
      <c r="P26" s="15">
        <v>0</v>
      </c>
      <c r="Q26" s="15">
        <v>0</v>
      </c>
      <c r="R26" s="15">
        <v>0</v>
      </c>
      <c r="S26" s="15">
        <v>1</v>
      </c>
      <c r="T26" s="15">
        <v>0</v>
      </c>
      <c r="U26" s="15">
        <v>5</v>
      </c>
      <c r="V26" s="15">
        <v>0</v>
      </c>
      <c r="W26" s="15">
        <v>0</v>
      </c>
      <c r="X26" s="15">
        <v>3</v>
      </c>
      <c r="Y26" s="15">
        <v>1</v>
      </c>
      <c r="Z26" s="15">
        <v>2</v>
      </c>
      <c r="AA26" s="15">
        <v>3</v>
      </c>
      <c r="AB26" s="15">
        <v>0</v>
      </c>
      <c r="AC26" s="15">
        <v>0</v>
      </c>
      <c r="AD26" s="15">
        <v>3</v>
      </c>
      <c r="AE26" s="15">
        <v>2</v>
      </c>
      <c r="AF26" s="15">
        <v>0</v>
      </c>
      <c r="AG26" s="15">
        <v>1</v>
      </c>
      <c r="AH26" s="15">
        <v>4</v>
      </c>
      <c r="AI26" s="15">
        <v>6</v>
      </c>
      <c r="AJ26" s="15">
        <v>1</v>
      </c>
      <c r="AK26" s="15">
        <v>1</v>
      </c>
      <c r="AL26" s="15">
        <v>3</v>
      </c>
      <c r="AM26" s="15">
        <v>1</v>
      </c>
      <c r="AN26" s="15">
        <v>2</v>
      </c>
      <c r="AO26" s="15">
        <v>1</v>
      </c>
      <c r="AP26" s="15">
        <v>0</v>
      </c>
      <c r="AQ26" s="15">
        <v>1</v>
      </c>
      <c r="AR26" s="15">
        <v>1</v>
      </c>
      <c r="AS26" s="15">
        <v>0</v>
      </c>
      <c r="AT26" s="15">
        <v>1</v>
      </c>
      <c r="AU26" s="15">
        <v>2</v>
      </c>
      <c r="AV26" s="15">
        <v>0</v>
      </c>
      <c r="AW26" s="15">
        <v>7</v>
      </c>
      <c r="AX26" s="15">
        <v>0</v>
      </c>
      <c r="AY26" s="15">
        <v>0</v>
      </c>
      <c r="AZ26" s="15">
        <v>5</v>
      </c>
      <c r="BA26" s="15">
        <v>0</v>
      </c>
      <c r="BB26" s="15">
        <v>1</v>
      </c>
      <c r="BC26" s="13">
        <f t="shared" si="2"/>
        <v>68</v>
      </c>
    </row>
    <row r="27" spans="1:55" ht="12.75" customHeight="1" x14ac:dyDescent="0.3">
      <c r="A27" s="21"/>
      <c r="B27" s="53"/>
      <c r="C27" s="64"/>
      <c r="D27" s="13" t="s">
        <v>14</v>
      </c>
      <c r="E27" s="13">
        <f t="shared" ref="E27:BB27" si="5">SUM(E25:E26)</f>
        <v>2</v>
      </c>
      <c r="F27" s="13">
        <f t="shared" si="5"/>
        <v>1</v>
      </c>
      <c r="G27" s="13">
        <f t="shared" si="5"/>
        <v>0</v>
      </c>
      <c r="H27" s="13">
        <f t="shared" si="5"/>
        <v>0</v>
      </c>
      <c r="I27" s="13">
        <f t="shared" si="5"/>
        <v>1</v>
      </c>
      <c r="J27" s="13">
        <f t="shared" si="5"/>
        <v>3</v>
      </c>
      <c r="K27" s="13">
        <f t="shared" si="5"/>
        <v>4</v>
      </c>
      <c r="L27" s="13">
        <f t="shared" si="5"/>
        <v>1</v>
      </c>
      <c r="M27" s="13">
        <f t="shared" si="5"/>
        <v>1</v>
      </c>
      <c r="N27" s="13">
        <f t="shared" si="5"/>
        <v>2</v>
      </c>
      <c r="O27" s="13">
        <f t="shared" si="5"/>
        <v>2</v>
      </c>
      <c r="P27" s="13">
        <f t="shared" si="5"/>
        <v>1</v>
      </c>
      <c r="Q27" s="13">
        <f t="shared" si="5"/>
        <v>0</v>
      </c>
      <c r="R27" s="13">
        <f t="shared" si="5"/>
        <v>1</v>
      </c>
      <c r="S27" s="13">
        <f t="shared" si="5"/>
        <v>4</v>
      </c>
      <c r="T27" s="13">
        <f t="shared" si="5"/>
        <v>0</v>
      </c>
      <c r="U27" s="13">
        <f t="shared" si="5"/>
        <v>6</v>
      </c>
      <c r="V27" s="13">
        <f t="shared" si="5"/>
        <v>1</v>
      </c>
      <c r="W27" s="13">
        <f t="shared" si="5"/>
        <v>2</v>
      </c>
      <c r="X27" s="13">
        <f t="shared" si="5"/>
        <v>7</v>
      </c>
      <c r="Y27" s="13">
        <f t="shared" si="5"/>
        <v>1</v>
      </c>
      <c r="Z27" s="13">
        <f t="shared" si="5"/>
        <v>3</v>
      </c>
      <c r="AA27" s="13">
        <f t="shared" si="5"/>
        <v>6</v>
      </c>
      <c r="AB27" s="13">
        <f t="shared" si="5"/>
        <v>0</v>
      </c>
      <c r="AC27" s="13">
        <f t="shared" si="5"/>
        <v>1</v>
      </c>
      <c r="AD27" s="13">
        <f t="shared" si="5"/>
        <v>5</v>
      </c>
      <c r="AE27" s="13">
        <f t="shared" si="5"/>
        <v>2</v>
      </c>
      <c r="AF27" s="13">
        <f t="shared" si="5"/>
        <v>0</v>
      </c>
      <c r="AG27" s="13">
        <f t="shared" si="5"/>
        <v>3</v>
      </c>
      <c r="AH27" s="13">
        <f t="shared" si="5"/>
        <v>5</v>
      </c>
      <c r="AI27" s="13">
        <f t="shared" si="5"/>
        <v>8</v>
      </c>
      <c r="AJ27" s="13">
        <f t="shared" si="5"/>
        <v>4</v>
      </c>
      <c r="AK27" s="13">
        <f t="shared" si="5"/>
        <v>1</v>
      </c>
      <c r="AL27" s="13">
        <f t="shared" si="5"/>
        <v>6</v>
      </c>
      <c r="AM27" s="13">
        <f t="shared" si="5"/>
        <v>2</v>
      </c>
      <c r="AN27" s="13">
        <f t="shared" si="5"/>
        <v>2</v>
      </c>
      <c r="AO27" s="13">
        <f t="shared" si="5"/>
        <v>2</v>
      </c>
      <c r="AP27" s="13">
        <f t="shared" si="5"/>
        <v>0</v>
      </c>
      <c r="AQ27" s="13">
        <f t="shared" si="5"/>
        <v>1</v>
      </c>
      <c r="AR27" s="13">
        <f t="shared" si="5"/>
        <v>2</v>
      </c>
      <c r="AS27" s="13">
        <f t="shared" si="5"/>
        <v>0</v>
      </c>
      <c r="AT27" s="13">
        <f t="shared" si="5"/>
        <v>6</v>
      </c>
      <c r="AU27" s="13">
        <f t="shared" si="5"/>
        <v>4</v>
      </c>
      <c r="AV27" s="13">
        <f t="shared" si="5"/>
        <v>0</v>
      </c>
      <c r="AW27" s="13">
        <f t="shared" si="5"/>
        <v>9</v>
      </c>
      <c r="AX27" s="13">
        <f t="shared" si="5"/>
        <v>0</v>
      </c>
      <c r="AY27" s="13">
        <f t="shared" si="5"/>
        <v>0</v>
      </c>
      <c r="AZ27" s="13">
        <f t="shared" si="5"/>
        <v>7</v>
      </c>
      <c r="BA27" s="13">
        <f t="shared" si="5"/>
        <v>0</v>
      </c>
      <c r="BB27" s="13">
        <f t="shared" si="5"/>
        <v>2</v>
      </c>
      <c r="BC27" s="13">
        <f t="shared" si="2"/>
        <v>121</v>
      </c>
    </row>
    <row r="28" spans="1:55" ht="12.75" customHeight="1" x14ac:dyDescent="0.3">
      <c r="A28" s="21"/>
      <c r="B28" s="66" t="s">
        <v>23</v>
      </c>
      <c r="C28" s="67" t="s">
        <v>24</v>
      </c>
      <c r="D28" s="13" t="s">
        <v>12</v>
      </c>
      <c r="E28" s="13">
        <f t="shared" ref="E28:BB28" si="6">SUM(E19,E22,E25)</f>
        <v>105</v>
      </c>
      <c r="F28" s="13">
        <f t="shared" si="6"/>
        <v>95</v>
      </c>
      <c r="G28" s="13">
        <f t="shared" si="6"/>
        <v>60</v>
      </c>
      <c r="H28" s="13">
        <f t="shared" si="6"/>
        <v>100</v>
      </c>
      <c r="I28" s="13">
        <f t="shared" si="6"/>
        <v>45</v>
      </c>
      <c r="J28" s="13">
        <f t="shared" si="6"/>
        <v>96</v>
      </c>
      <c r="K28" s="13">
        <f t="shared" si="6"/>
        <v>115</v>
      </c>
      <c r="L28" s="13">
        <f t="shared" si="6"/>
        <v>89</v>
      </c>
      <c r="M28" s="13">
        <f t="shared" si="6"/>
        <v>104</v>
      </c>
      <c r="N28" s="13">
        <f t="shared" si="6"/>
        <v>98</v>
      </c>
      <c r="O28" s="13">
        <f t="shared" si="6"/>
        <v>92</v>
      </c>
      <c r="P28" s="13">
        <f t="shared" si="6"/>
        <v>90</v>
      </c>
      <c r="Q28" s="13">
        <f t="shared" si="6"/>
        <v>82</v>
      </c>
      <c r="R28" s="13">
        <f t="shared" si="6"/>
        <v>113</v>
      </c>
      <c r="S28" s="13">
        <f t="shared" si="6"/>
        <v>116</v>
      </c>
      <c r="T28" s="13">
        <f t="shared" si="6"/>
        <v>105</v>
      </c>
      <c r="U28" s="13">
        <f t="shared" si="6"/>
        <v>108</v>
      </c>
      <c r="V28" s="13">
        <f t="shared" si="6"/>
        <v>86</v>
      </c>
      <c r="W28" s="13">
        <f t="shared" si="6"/>
        <v>99</v>
      </c>
      <c r="X28" s="13">
        <f t="shared" si="6"/>
        <v>95</v>
      </c>
      <c r="Y28" s="13">
        <f t="shared" si="6"/>
        <v>96</v>
      </c>
      <c r="Z28" s="13">
        <f t="shared" si="6"/>
        <v>109</v>
      </c>
      <c r="AA28" s="13">
        <f t="shared" si="6"/>
        <v>114</v>
      </c>
      <c r="AB28" s="13">
        <f t="shared" si="6"/>
        <v>108</v>
      </c>
      <c r="AC28" s="13">
        <f t="shared" si="6"/>
        <v>106</v>
      </c>
      <c r="AD28" s="13">
        <f t="shared" si="6"/>
        <v>91</v>
      </c>
      <c r="AE28" s="13">
        <f t="shared" si="6"/>
        <v>113</v>
      </c>
      <c r="AF28" s="13">
        <f t="shared" si="6"/>
        <v>114</v>
      </c>
      <c r="AG28" s="13">
        <f t="shared" si="6"/>
        <v>122</v>
      </c>
      <c r="AH28" s="13">
        <f t="shared" si="6"/>
        <v>112</v>
      </c>
      <c r="AI28" s="13">
        <f t="shared" si="6"/>
        <v>109</v>
      </c>
      <c r="AJ28" s="13">
        <f t="shared" si="6"/>
        <v>105</v>
      </c>
      <c r="AK28" s="13">
        <f t="shared" si="6"/>
        <v>109</v>
      </c>
      <c r="AL28" s="13">
        <f t="shared" si="6"/>
        <v>109</v>
      </c>
      <c r="AM28" s="13">
        <f t="shared" si="6"/>
        <v>93</v>
      </c>
      <c r="AN28" s="13">
        <f t="shared" si="6"/>
        <v>109</v>
      </c>
      <c r="AO28" s="13">
        <f t="shared" si="6"/>
        <v>109</v>
      </c>
      <c r="AP28" s="13">
        <f t="shared" si="6"/>
        <v>74</v>
      </c>
      <c r="AQ28" s="13">
        <f t="shared" si="6"/>
        <v>74</v>
      </c>
      <c r="AR28" s="13">
        <f t="shared" si="6"/>
        <v>92</v>
      </c>
      <c r="AS28" s="13">
        <f t="shared" si="6"/>
        <v>91</v>
      </c>
      <c r="AT28" s="13">
        <f t="shared" si="6"/>
        <v>109</v>
      </c>
      <c r="AU28" s="13">
        <f t="shared" si="6"/>
        <v>71</v>
      </c>
      <c r="AV28" s="13">
        <f t="shared" si="6"/>
        <v>116</v>
      </c>
      <c r="AW28" s="13">
        <f t="shared" si="6"/>
        <v>111</v>
      </c>
      <c r="AX28" s="13">
        <f t="shared" si="6"/>
        <v>110</v>
      </c>
      <c r="AY28" s="13">
        <f t="shared" si="6"/>
        <v>101</v>
      </c>
      <c r="AZ28" s="13">
        <f t="shared" si="6"/>
        <v>103</v>
      </c>
      <c r="BA28" s="13">
        <f t="shared" si="6"/>
        <v>78</v>
      </c>
      <c r="BB28" s="13">
        <f t="shared" si="6"/>
        <v>98</v>
      </c>
      <c r="BC28" s="13">
        <f t="shared" si="2"/>
        <v>4949</v>
      </c>
    </row>
    <row r="29" spans="1:55" ht="12.75" customHeight="1" x14ac:dyDescent="0.3">
      <c r="A29" s="21"/>
      <c r="B29" s="60"/>
      <c r="C29" s="63"/>
      <c r="D29" s="13" t="s">
        <v>13</v>
      </c>
      <c r="E29" s="13">
        <f t="shared" ref="E29:BB29" si="7">SUM(E20,E23,E26)</f>
        <v>117</v>
      </c>
      <c r="F29" s="13">
        <f t="shared" si="7"/>
        <v>86</v>
      </c>
      <c r="G29" s="13">
        <f t="shared" si="7"/>
        <v>81</v>
      </c>
      <c r="H29" s="13">
        <f t="shared" si="7"/>
        <v>108</v>
      </c>
      <c r="I29" s="13">
        <f t="shared" si="7"/>
        <v>58</v>
      </c>
      <c r="J29" s="13">
        <f t="shared" si="7"/>
        <v>91</v>
      </c>
      <c r="K29" s="13">
        <f t="shared" si="7"/>
        <v>122</v>
      </c>
      <c r="L29" s="13">
        <f t="shared" si="7"/>
        <v>101</v>
      </c>
      <c r="M29" s="13">
        <f t="shared" si="7"/>
        <v>115</v>
      </c>
      <c r="N29" s="13">
        <f t="shared" si="7"/>
        <v>120</v>
      </c>
      <c r="O29" s="13">
        <f t="shared" si="7"/>
        <v>95</v>
      </c>
      <c r="P29" s="13">
        <f t="shared" si="7"/>
        <v>91</v>
      </c>
      <c r="Q29" s="13">
        <f t="shared" si="7"/>
        <v>81</v>
      </c>
      <c r="R29" s="13">
        <f t="shared" si="7"/>
        <v>128</v>
      </c>
      <c r="S29" s="13">
        <f t="shared" si="7"/>
        <v>126</v>
      </c>
      <c r="T29" s="13">
        <f t="shared" si="7"/>
        <v>120</v>
      </c>
      <c r="U29" s="13">
        <f t="shared" si="7"/>
        <v>133</v>
      </c>
      <c r="V29" s="13">
        <f t="shared" si="7"/>
        <v>84</v>
      </c>
      <c r="W29" s="13">
        <f t="shared" si="7"/>
        <v>89</v>
      </c>
      <c r="X29" s="13">
        <f t="shared" si="7"/>
        <v>99</v>
      </c>
      <c r="Y29" s="13">
        <f t="shared" si="7"/>
        <v>103</v>
      </c>
      <c r="Z29" s="13">
        <f t="shared" si="7"/>
        <v>116</v>
      </c>
      <c r="AA29" s="13">
        <f t="shared" si="7"/>
        <v>125</v>
      </c>
      <c r="AB29" s="13">
        <f t="shared" si="7"/>
        <v>114</v>
      </c>
      <c r="AC29" s="13">
        <f t="shared" si="7"/>
        <v>115</v>
      </c>
      <c r="AD29" s="13">
        <f t="shared" si="7"/>
        <v>84</v>
      </c>
      <c r="AE29" s="13">
        <f t="shared" si="7"/>
        <v>97</v>
      </c>
      <c r="AF29" s="13">
        <f t="shared" si="7"/>
        <v>101</v>
      </c>
      <c r="AG29" s="13">
        <f t="shared" si="7"/>
        <v>116</v>
      </c>
      <c r="AH29" s="13">
        <f t="shared" si="7"/>
        <v>114</v>
      </c>
      <c r="AI29" s="13">
        <f t="shared" si="7"/>
        <v>120</v>
      </c>
      <c r="AJ29" s="13">
        <f t="shared" si="7"/>
        <v>110</v>
      </c>
      <c r="AK29" s="13">
        <f t="shared" si="7"/>
        <v>132</v>
      </c>
      <c r="AL29" s="13">
        <f t="shared" si="7"/>
        <v>116</v>
      </c>
      <c r="AM29" s="13">
        <f t="shared" si="7"/>
        <v>99</v>
      </c>
      <c r="AN29" s="13">
        <f t="shared" si="7"/>
        <v>120</v>
      </c>
      <c r="AO29" s="13">
        <f t="shared" si="7"/>
        <v>123</v>
      </c>
      <c r="AP29" s="13">
        <f t="shared" si="7"/>
        <v>89</v>
      </c>
      <c r="AQ29" s="13">
        <f t="shared" si="7"/>
        <v>75</v>
      </c>
      <c r="AR29" s="13">
        <f t="shared" si="7"/>
        <v>96</v>
      </c>
      <c r="AS29" s="13">
        <f t="shared" si="7"/>
        <v>103</v>
      </c>
      <c r="AT29" s="13">
        <f t="shared" si="7"/>
        <v>115</v>
      </c>
      <c r="AU29" s="13">
        <f t="shared" si="7"/>
        <v>67</v>
      </c>
      <c r="AV29" s="13">
        <f t="shared" si="7"/>
        <v>106</v>
      </c>
      <c r="AW29" s="13">
        <f t="shared" si="7"/>
        <v>115</v>
      </c>
      <c r="AX29" s="13">
        <f t="shared" si="7"/>
        <v>122</v>
      </c>
      <c r="AY29" s="13">
        <f t="shared" si="7"/>
        <v>120</v>
      </c>
      <c r="AZ29" s="13">
        <f t="shared" si="7"/>
        <v>105</v>
      </c>
      <c r="BA29" s="13">
        <f t="shared" si="7"/>
        <v>78</v>
      </c>
      <c r="BB29" s="13">
        <f t="shared" si="7"/>
        <v>113</v>
      </c>
      <c r="BC29" s="13">
        <f t="shared" si="2"/>
        <v>5254</v>
      </c>
    </row>
    <row r="30" spans="1:55" ht="12.75" customHeight="1" x14ac:dyDescent="0.3">
      <c r="A30" s="21"/>
      <c r="B30" s="53"/>
      <c r="C30" s="64"/>
      <c r="D30" s="13" t="s">
        <v>14</v>
      </c>
      <c r="E30" s="13">
        <f t="shared" ref="E30:BB30" si="8">SUM(E28:E29)</f>
        <v>222</v>
      </c>
      <c r="F30" s="13">
        <f t="shared" si="8"/>
        <v>181</v>
      </c>
      <c r="G30" s="13">
        <f t="shared" si="8"/>
        <v>141</v>
      </c>
      <c r="H30" s="13">
        <f t="shared" si="8"/>
        <v>208</v>
      </c>
      <c r="I30" s="13">
        <f t="shared" si="8"/>
        <v>103</v>
      </c>
      <c r="J30" s="13">
        <f t="shared" si="8"/>
        <v>187</v>
      </c>
      <c r="K30" s="13">
        <f t="shared" si="8"/>
        <v>237</v>
      </c>
      <c r="L30" s="13">
        <f t="shared" si="8"/>
        <v>190</v>
      </c>
      <c r="M30" s="13">
        <f t="shared" si="8"/>
        <v>219</v>
      </c>
      <c r="N30" s="13">
        <f t="shared" si="8"/>
        <v>218</v>
      </c>
      <c r="O30" s="13">
        <f t="shared" si="8"/>
        <v>187</v>
      </c>
      <c r="P30" s="13">
        <f t="shared" si="8"/>
        <v>181</v>
      </c>
      <c r="Q30" s="13">
        <f t="shared" si="8"/>
        <v>163</v>
      </c>
      <c r="R30" s="13">
        <f t="shared" si="8"/>
        <v>241</v>
      </c>
      <c r="S30" s="13">
        <f t="shared" si="8"/>
        <v>242</v>
      </c>
      <c r="T30" s="13">
        <f t="shared" si="8"/>
        <v>225</v>
      </c>
      <c r="U30" s="13">
        <f t="shared" si="8"/>
        <v>241</v>
      </c>
      <c r="V30" s="13">
        <f t="shared" si="8"/>
        <v>170</v>
      </c>
      <c r="W30" s="13">
        <f t="shared" si="8"/>
        <v>188</v>
      </c>
      <c r="X30" s="13">
        <f t="shared" si="8"/>
        <v>194</v>
      </c>
      <c r="Y30" s="13">
        <f t="shared" si="8"/>
        <v>199</v>
      </c>
      <c r="Z30" s="13">
        <f t="shared" si="8"/>
        <v>225</v>
      </c>
      <c r="AA30" s="13">
        <f t="shared" si="8"/>
        <v>239</v>
      </c>
      <c r="AB30" s="13">
        <f t="shared" si="8"/>
        <v>222</v>
      </c>
      <c r="AC30" s="13">
        <f t="shared" si="8"/>
        <v>221</v>
      </c>
      <c r="AD30" s="13">
        <f t="shared" si="8"/>
        <v>175</v>
      </c>
      <c r="AE30" s="13">
        <f t="shared" si="8"/>
        <v>210</v>
      </c>
      <c r="AF30" s="13">
        <f t="shared" si="8"/>
        <v>215</v>
      </c>
      <c r="AG30" s="13">
        <f t="shared" si="8"/>
        <v>238</v>
      </c>
      <c r="AH30" s="13">
        <f t="shared" si="8"/>
        <v>226</v>
      </c>
      <c r="AI30" s="13">
        <f t="shared" si="8"/>
        <v>229</v>
      </c>
      <c r="AJ30" s="13">
        <f t="shared" si="8"/>
        <v>215</v>
      </c>
      <c r="AK30" s="13">
        <f t="shared" si="8"/>
        <v>241</v>
      </c>
      <c r="AL30" s="13">
        <f t="shared" si="8"/>
        <v>225</v>
      </c>
      <c r="AM30" s="13">
        <f t="shared" si="8"/>
        <v>192</v>
      </c>
      <c r="AN30" s="13">
        <f t="shared" si="8"/>
        <v>229</v>
      </c>
      <c r="AO30" s="13">
        <f t="shared" si="8"/>
        <v>232</v>
      </c>
      <c r="AP30" s="13">
        <f t="shared" si="8"/>
        <v>163</v>
      </c>
      <c r="AQ30" s="13">
        <f t="shared" si="8"/>
        <v>149</v>
      </c>
      <c r="AR30" s="13">
        <f t="shared" si="8"/>
        <v>188</v>
      </c>
      <c r="AS30" s="13">
        <f t="shared" si="8"/>
        <v>194</v>
      </c>
      <c r="AT30" s="13">
        <f t="shared" si="8"/>
        <v>224</v>
      </c>
      <c r="AU30" s="13">
        <f t="shared" si="8"/>
        <v>138</v>
      </c>
      <c r="AV30" s="13">
        <f t="shared" si="8"/>
        <v>222</v>
      </c>
      <c r="AW30" s="13">
        <f t="shared" si="8"/>
        <v>226</v>
      </c>
      <c r="AX30" s="13">
        <f t="shared" si="8"/>
        <v>232</v>
      </c>
      <c r="AY30" s="13">
        <f t="shared" si="8"/>
        <v>221</v>
      </c>
      <c r="AZ30" s="13">
        <f t="shared" si="8"/>
        <v>208</v>
      </c>
      <c r="BA30" s="13">
        <f t="shared" si="8"/>
        <v>156</v>
      </c>
      <c r="BB30" s="13">
        <f t="shared" si="8"/>
        <v>211</v>
      </c>
      <c r="BC30" s="13">
        <f t="shared" si="2"/>
        <v>10203</v>
      </c>
    </row>
    <row r="31" spans="1:55" ht="12.75" customHeight="1" x14ac:dyDescent="0.3">
      <c r="A31" s="61"/>
      <c r="B31" s="46"/>
      <c r="C31" s="46"/>
      <c r="D31" s="47"/>
      <c r="E31" s="15"/>
      <c r="F31" s="15"/>
      <c r="G31" s="15"/>
      <c r="H31" s="15"/>
      <c r="I31" s="15"/>
      <c r="J31" s="15"/>
      <c r="K31" s="15"/>
      <c r="L31" s="15"/>
      <c r="M31" s="15"/>
      <c r="N31" s="41"/>
      <c r="O31" s="15"/>
      <c r="P31" s="15"/>
      <c r="Q31" s="15"/>
      <c r="R31" s="15"/>
      <c r="S31" s="41"/>
      <c r="T31" s="15"/>
      <c r="U31" s="15"/>
      <c r="V31" s="15"/>
      <c r="W31" s="15"/>
      <c r="X31" s="41"/>
      <c r="Y31" s="15"/>
      <c r="Z31" s="15"/>
      <c r="AA31" s="15"/>
      <c r="AB31" s="15"/>
      <c r="AC31" s="41"/>
      <c r="AD31" s="15"/>
      <c r="AE31" s="15"/>
      <c r="AF31" s="15"/>
      <c r="AG31" s="15"/>
      <c r="AH31" s="41"/>
      <c r="AI31" s="15"/>
      <c r="AJ31" s="15"/>
      <c r="AK31" s="15"/>
      <c r="AL31" s="15"/>
      <c r="AM31" s="41"/>
      <c r="AN31" s="15"/>
      <c r="AO31" s="15"/>
      <c r="AP31" s="15"/>
      <c r="AQ31" s="15"/>
      <c r="AR31" s="41"/>
      <c r="AS31" s="15"/>
      <c r="AT31" s="15"/>
      <c r="AU31" s="15"/>
      <c r="AV31" s="15"/>
      <c r="AW31" s="41"/>
      <c r="AX31" s="15"/>
      <c r="AY31" s="15"/>
      <c r="AZ31" s="15"/>
      <c r="BA31" s="15"/>
      <c r="BB31" s="41"/>
      <c r="BC31" s="42"/>
    </row>
    <row r="32" spans="1:55" ht="12.75" customHeight="1" x14ac:dyDescent="0.3">
      <c r="A32" s="24" t="s">
        <v>25</v>
      </c>
      <c r="B32" s="49" t="s">
        <v>26</v>
      </c>
      <c r="C32" s="46"/>
      <c r="D32" s="47"/>
      <c r="E32" s="13"/>
      <c r="F32" s="13"/>
      <c r="G32" s="13"/>
      <c r="H32" s="13"/>
      <c r="I32" s="13"/>
      <c r="J32" s="13"/>
      <c r="K32" s="13"/>
      <c r="L32" s="13"/>
      <c r="M32" s="13"/>
      <c r="N32" s="43"/>
      <c r="O32" s="13"/>
      <c r="P32" s="13"/>
      <c r="Q32" s="13"/>
      <c r="R32" s="13"/>
      <c r="S32" s="43"/>
      <c r="T32" s="13"/>
      <c r="U32" s="13"/>
      <c r="V32" s="13"/>
      <c r="W32" s="13"/>
      <c r="X32" s="43"/>
      <c r="Y32" s="13"/>
      <c r="Z32" s="13"/>
      <c r="AA32" s="13"/>
      <c r="AB32" s="13"/>
      <c r="AC32" s="43"/>
      <c r="AD32" s="13"/>
      <c r="AE32" s="13"/>
      <c r="AF32" s="13"/>
      <c r="AG32" s="13"/>
      <c r="AH32" s="43"/>
      <c r="AI32" s="13"/>
      <c r="AJ32" s="13"/>
      <c r="AK32" s="13"/>
      <c r="AL32" s="13"/>
      <c r="AM32" s="43"/>
      <c r="AN32" s="13"/>
      <c r="AO32" s="13"/>
      <c r="AP32" s="13"/>
      <c r="AQ32" s="13"/>
      <c r="AR32" s="43"/>
      <c r="AS32" s="13"/>
      <c r="AT32" s="13"/>
      <c r="AU32" s="13"/>
      <c r="AV32" s="13"/>
      <c r="AW32" s="43"/>
      <c r="AX32" s="13"/>
      <c r="AY32" s="13"/>
      <c r="AZ32" s="13"/>
      <c r="BA32" s="13"/>
      <c r="BB32" s="43"/>
      <c r="BC32" s="42"/>
    </row>
    <row r="33" spans="1:55" ht="12.75" customHeight="1" x14ac:dyDescent="0.3">
      <c r="A33" s="15">
        <v>1</v>
      </c>
      <c r="B33" s="56" t="s">
        <v>27</v>
      </c>
      <c r="C33" s="46"/>
      <c r="D33" s="47"/>
      <c r="E33" s="15">
        <v>290</v>
      </c>
      <c r="F33" s="15">
        <v>222</v>
      </c>
      <c r="G33" s="15">
        <v>158</v>
      </c>
      <c r="H33" s="15">
        <v>299</v>
      </c>
      <c r="I33" s="15">
        <v>139</v>
      </c>
      <c r="J33" s="15">
        <v>255</v>
      </c>
      <c r="K33" s="15">
        <v>280</v>
      </c>
      <c r="L33" s="15">
        <v>238</v>
      </c>
      <c r="M33" s="15">
        <v>289</v>
      </c>
      <c r="N33" s="15">
        <v>290</v>
      </c>
      <c r="O33" s="15">
        <v>250</v>
      </c>
      <c r="P33" s="15">
        <v>245</v>
      </c>
      <c r="Q33" s="15">
        <v>210</v>
      </c>
      <c r="R33" s="15">
        <v>293</v>
      </c>
      <c r="S33" s="15">
        <v>300</v>
      </c>
      <c r="T33" s="15">
        <v>296</v>
      </c>
      <c r="U33" s="15">
        <v>300</v>
      </c>
      <c r="V33" s="15">
        <v>219</v>
      </c>
      <c r="W33" s="15">
        <v>251</v>
      </c>
      <c r="X33" s="15">
        <v>268</v>
      </c>
      <c r="Y33" s="15">
        <v>290</v>
      </c>
      <c r="Z33" s="15">
        <v>276</v>
      </c>
      <c r="AA33" s="15">
        <v>289</v>
      </c>
      <c r="AB33" s="15">
        <v>288</v>
      </c>
      <c r="AC33" s="15">
        <v>300</v>
      </c>
      <c r="AD33" s="15">
        <v>229</v>
      </c>
      <c r="AE33" s="15">
        <v>280</v>
      </c>
      <c r="AF33" s="15">
        <v>279</v>
      </c>
      <c r="AG33" s="15">
        <v>288</v>
      </c>
      <c r="AH33" s="15">
        <v>294</v>
      </c>
      <c r="AI33" s="15">
        <v>286</v>
      </c>
      <c r="AJ33" s="15">
        <v>281</v>
      </c>
      <c r="AK33" s="15">
        <v>281</v>
      </c>
      <c r="AL33" s="15">
        <v>280</v>
      </c>
      <c r="AM33" s="15">
        <v>238</v>
      </c>
      <c r="AN33" s="15">
        <v>293</v>
      </c>
      <c r="AO33" s="15">
        <v>287</v>
      </c>
      <c r="AP33" s="15">
        <v>188</v>
      </c>
      <c r="AQ33" s="15">
        <v>188</v>
      </c>
      <c r="AR33" s="15">
        <v>249</v>
      </c>
      <c r="AS33" s="15">
        <v>242</v>
      </c>
      <c r="AT33" s="15">
        <v>290</v>
      </c>
      <c r="AU33" s="15">
        <v>176</v>
      </c>
      <c r="AV33" s="15">
        <v>274</v>
      </c>
      <c r="AW33" s="15">
        <v>288</v>
      </c>
      <c r="AX33" s="15">
        <v>304</v>
      </c>
      <c r="AY33" s="15">
        <v>274</v>
      </c>
      <c r="AZ33" s="15">
        <v>260</v>
      </c>
      <c r="BA33" s="15">
        <v>215</v>
      </c>
      <c r="BB33" s="15">
        <v>264</v>
      </c>
      <c r="BC33" s="13">
        <f t="shared" ref="BC33:BC36" si="9">SUM(E33:BB33)</f>
        <v>13063</v>
      </c>
    </row>
    <row r="34" spans="1:55" ht="12.75" customHeight="1" x14ac:dyDescent="0.3">
      <c r="A34" s="15">
        <v>2</v>
      </c>
      <c r="B34" s="56" t="s">
        <v>28</v>
      </c>
      <c r="C34" s="46"/>
      <c r="D34" s="47"/>
      <c r="E34" s="13">
        <v>222</v>
      </c>
      <c r="F34" s="13">
        <v>181</v>
      </c>
      <c r="G34" s="13">
        <v>141</v>
      </c>
      <c r="H34" s="13">
        <v>208</v>
      </c>
      <c r="I34" s="13">
        <v>103</v>
      </c>
      <c r="J34" s="13">
        <v>187</v>
      </c>
      <c r="K34" s="13">
        <v>237</v>
      </c>
      <c r="L34" s="13">
        <v>190</v>
      </c>
      <c r="M34" s="13">
        <v>219</v>
      </c>
      <c r="N34" s="13">
        <v>218</v>
      </c>
      <c r="O34" s="13">
        <v>187</v>
      </c>
      <c r="P34" s="13">
        <v>181</v>
      </c>
      <c r="Q34" s="13">
        <v>163</v>
      </c>
      <c r="R34" s="13">
        <v>241</v>
      </c>
      <c r="S34" s="13">
        <v>242</v>
      </c>
      <c r="T34" s="13">
        <v>225</v>
      </c>
      <c r="U34" s="13">
        <v>241</v>
      </c>
      <c r="V34" s="13">
        <v>170</v>
      </c>
      <c r="W34" s="13">
        <v>188</v>
      </c>
      <c r="X34" s="13">
        <v>194</v>
      </c>
      <c r="Y34" s="13">
        <v>199</v>
      </c>
      <c r="Z34" s="13">
        <v>225</v>
      </c>
      <c r="AA34" s="13">
        <v>239</v>
      </c>
      <c r="AB34" s="13">
        <v>222</v>
      </c>
      <c r="AC34" s="13">
        <v>221</v>
      </c>
      <c r="AD34" s="13">
        <v>175</v>
      </c>
      <c r="AE34" s="13">
        <v>210</v>
      </c>
      <c r="AF34" s="13">
        <v>215</v>
      </c>
      <c r="AG34" s="13">
        <v>238</v>
      </c>
      <c r="AH34" s="13">
        <v>226</v>
      </c>
      <c r="AI34" s="13">
        <v>229</v>
      </c>
      <c r="AJ34" s="13">
        <v>215</v>
      </c>
      <c r="AK34" s="13">
        <v>241</v>
      </c>
      <c r="AL34" s="13">
        <v>225</v>
      </c>
      <c r="AM34" s="13">
        <v>192</v>
      </c>
      <c r="AN34" s="13">
        <v>229</v>
      </c>
      <c r="AO34" s="13">
        <v>232</v>
      </c>
      <c r="AP34" s="13">
        <v>163</v>
      </c>
      <c r="AQ34" s="13">
        <v>149</v>
      </c>
      <c r="AR34" s="13">
        <v>188</v>
      </c>
      <c r="AS34" s="13">
        <v>194</v>
      </c>
      <c r="AT34" s="13">
        <v>224</v>
      </c>
      <c r="AU34" s="13">
        <v>138</v>
      </c>
      <c r="AV34" s="13">
        <v>222</v>
      </c>
      <c r="AW34" s="13">
        <v>226</v>
      </c>
      <c r="AX34" s="13">
        <v>232</v>
      </c>
      <c r="AY34" s="13">
        <v>221</v>
      </c>
      <c r="AZ34" s="13">
        <v>208</v>
      </c>
      <c r="BA34" s="13">
        <v>156</v>
      </c>
      <c r="BB34" s="13">
        <v>211</v>
      </c>
      <c r="BC34" s="13">
        <f t="shared" si="9"/>
        <v>10203</v>
      </c>
    </row>
    <row r="35" spans="1:55" ht="12.75" customHeight="1" x14ac:dyDescent="0.3">
      <c r="A35" s="15">
        <v>3</v>
      </c>
      <c r="B35" s="56" t="s">
        <v>29</v>
      </c>
      <c r="C35" s="46"/>
      <c r="D35" s="47"/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2</v>
      </c>
      <c r="R35" s="15">
        <v>2</v>
      </c>
      <c r="S35" s="15">
        <v>1</v>
      </c>
      <c r="T35" s="15">
        <v>1</v>
      </c>
      <c r="U35" s="15">
        <v>0</v>
      </c>
      <c r="V35" s="15">
        <v>0</v>
      </c>
      <c r="W35" s="15">
        <v>0</v>
      </c>
      <c r="X35" s="15">
        <v>0</v>
      </c>
      <c r="Y35" s="15">
        <v>2</v>
      </c>
      <c r="Z35" s="15">
        <v>1</v>
      </c>
      <c r="AA35" s="15">
        <v>0</v>
      </c>
      <c r="AB35" s="15">
        <v>1</v>
      </c>
      <c r="AC35" s="15">
        <v>0</v>
      </c>
      <c r="AD35" s="15">
        <v>0</v>
      </c>
      <c r="AE35" s="15">
        <v>0</v>
      </c>
      <c r="AF35" s="15">
        <v>2</v>
      </c>
      <c r="AG35" s="15">
        <v>0</v>
      </c>
      <c r="AH35" s="15">
        <v>0</v>
      </c>
      <c r="AI35" s="15">
        <v>0</v>
      </c>
      <c r="AJ35" s="15">
        <v>0</v>
      </c>
      <c r="AK35" s="15">
        <v>1</v>
      </c>
      <c r="AL35" s="15">
        <v>1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1</v>
      </c>
      <c r="AS35" s="15">
        <v>0</v>
      </c>
      <c r="AT35" s="15">
        <v>0</v>
      </c>
      <c r="AU35" s="15">
        <v>0</v>
      </c>
      <c r="AV35" s="15">
        <v>2</v>
      </c>
      <c r="AW35" s="15">
        <v>0</v>
      </c>
      <c r="AX35" s="15">
        <v>0</v>
      </c>
      <c r="AY35" s="15">
        <v>3</v>
      </c>
      <c r="AZ35" s="15">
        <v>1</v>
      </c>
      <c r="BA35" s="15">
        <v>0</v>
      </c>
      <c r="BB35" s="15">
        <v>0</v>
      </c>
      <c r="BC35" s="13">
        <f t="shared" si="9"/>
        <v>22</v>
      </c>
    </row>
    <row r="36" spans="1:55" ht="12.75" customHeight="1" x14ac:dyDescent="0.3">
      <c r="A36" s="15">
        <v>4</v>
      </c>
      <c r="B36" s="56" t="s">
        <v>30</v>
      </c>
      <c r="C36" s="46"/>
      <c r="D36" s="47"/>
      <c r="E36" s="13">
        <f t="shared" ref="E36:BB36" si="10">E33-(E34+E35)</f>
        <v>68</v>
      </c>
      <c r="F36" s="13">
        <f t="shared" si="10"/>
        <v>41</v>
      </c>
      <c r="G36" s="13">
        <f t="shared" si="10"/>
        <v>17</v>
      </c>
      <c r="H36" s="13">
        <f t="shared" si="10"/>
        <v>91</v>
      </c>
      <c r="I36" s="13">
        <f t="shared" si="10"/>
        <v>36</v>
      </c>
      <c r="J36" s="13">
        <f t="shared" si="10"/>
        <v>68</v>
      </c>
      <c r="K36" s="13">
        <f t="shared" si="10"/>
        <v>42</v>
      </c>
      <c r="L36" s="13">
        <f t="shared" si="10"/>
        <v>48</v>
      </c>
      <c r="M36" s="13">
        <f t="shared" si="10"/>
        <v>70</v>
      </c>
      <c r="N36" s="13">
        <f t="shared" si="10"/>
        <v>72</v>
      </c>
      <c r="O36" s="13">
        <f t="shared" si="10"/>
        <v>63</v>
      </c>
      <c r="P36" s="13">
        <f t="shared" si="10"/>
        <v>64</v>
      </c>
      <c r="Q36" s="13">
        <f t="shared" si="10"/>
        <v>45</v>
      </c>
      <c r="R36" s="13">
        <f t="shared" si="10"/>
        <v>50</v>
      </c>
      <c r="S36" s="13">
        <f t="shared" si="10"/>
        <v>57</v>
      </c>
      <c r="T36" s="13">
        <f t="shared" si="10"/>
        <v>70</v>
      </c>
      <c r="U36" s="13">
        <f t="shared" si="10"/>
        <v>59</v>
      </c>
      <c r="V36" s="13">
        <f t="shared" si="10"/>
        <v>49</v>
      </c>
      <c r="W36" s="13">
        <f t="shared" si="10"/>
        <v>63</v>
      </c>
      <c r="X36" s="13">
        <f t="shared" si="10"/>
        <v>74</v>
      </c>
      <c r="Y36" s="13">
        <f t="shared" si="10"/>
        <v>89</v>
      </c>
      <c r="Z36" s="13">
        <f t="shared" si="10"/>
        <v>50</v>
      </c>
      <c r="AA36" s="13">
        <f t="shared" si="10"/>
        <v>50</v>
      </c>
      <c r="AB36" s="13">
        <f t="shared" si="10"/>
        <v>65</v>
      </c>
      <c r="AC36" s="13">
        <f t="shared" si="10"/>
        <v>79</v>
      </c>
      <c r="AD36" s="13">
        <f t="shared" si="10"/>
        <v>54</v>
      </c>
      <c r="AE36" s="13">
        <f t="shared" si="10"/>
        <v>70</v>
      </c>
      <c r="AF36" s="13">
        <f t="shared" si="10"/>
        <v>62</v>
      </c>
      <c r="AG36" s="13">
        <f t="shared" si="10"/>
        <v>50</v>
      </c>
      <c r="AH36" s="13">
        <f t="shared" si="10"/>
        <v>68</v>
      </c>
      <c r="AI36" s="13">
        <f t="shared" si="10"/>
        <v>57</v>
      </c>
      <c r="AJ36" s="13">
        <f t="shared" si="10"/>
        <v>66</v>
      </c>
      <c r="AK36" s="13">
        <f t="shared" si="10"/>
        <v>39</v>
      </c>
      <c r="AL36" s="13">
        <f t="shared" si="10"/>
        <v>54</v>
      </c>
      <c r="AM36" s="13">
        <f t="shared" si="10"/>
        <v>46</v>
      </c>
      <c r="AN36" s="13">
        <f t="shared" si="10"/>
        <v>64</v>
      </c>
      <c r="AO36" s="13">
        <f t="shared" si="10"/>
        <v>55</v>
      </c>
      <c r="AP36" s="13">
        <f t="shared" si="10"/>
        <v>25</v>
      </c>
      <c r="AQ36" s="13">
        <f t="shared" si="10"/>
        <v>39</v>
      </c>
      <c r="AR36" s="13">
        <f t="shared" si="10"/>
        <v>60</v>
      </c>
      <c r="AS36" s="13">
        <f t="shared" si="10"/>
        <v>48</v>
      </c>
      <c r="AT36" s="13">
        <f t="shared" si="10"/>
        <v>66</v>
      </c>
      <c r="AU36" s="13">
        <f t="shared" si="10"/>
        <v>38</v>
      </c>
      <c r="AV36" s="13">
        <f t="shared" si="10"/>
        <v>50</v>
      </c>
      <c r="AW36" s="13">
        <f t="shared" si="10"/>
        <v>62</v>
      </c>
      <c r="AX36" s="13">
        <f t="shared" si="10"/>
        <v>72</v>
      </c>
      <c r="AY36" s="13">
        <f t="shared" si="10"/>
        <v>50</v>
      </c>
      <c r="AZ36" s="13">
        <f t="shared" si="10"/>
        <v>51</v>
      </c>
      <c r="BA36" s="13">
        <f t="shared" si="10"/>
        <v>59</v>
      </c>
      <c r="BB36" s="13">
        <f t="shared" si="10"/>
        <v>53</v>
      </c>
      <c r="BC36" s="13">
        <f t="shared" si="9"/>
        <v>2838</v>
      </c>
    </row>
    <row r="37" spans="1:55" ht="12.75" customHeight="1" x14ac:dyDescent="0.3">
      <c r="A37" s="61"/>
      <c r="B37" s="46"/>
      <c r="C37" s="46"/>
      <c r="D37" s="46"/>
      <c r="E37" s="61"/>
      <c r="F37" s="46"/>
      <c r="G37" s="46"/>
      <c r="H37" s="46"/>
      <c r="I37" s="47"/>
      <c r="J37" s="15"/>
      <c r="K37" s="15"/>
      <c r="L37" s="15"/>
      <c r="M37" s="15"/>
      <c r="N37" s="41"/>
      <c r="O37" s="15"/>
      <c r="P37" s="15"/>
      <c r="Q37" s="15"/>
      <c r="R37" s="15"/>
      <c r="S37" s="41"/>
      <c r="T37" s="15"/>
      <c r="U37" s="15"/>
      <c r="V37" s="15"/>
      <c r="W37" s="15"/>
      <c r="X37" s="41"/>
      <c r="Y37" s="15"/>
      <c r="Z37" s="15"/>
      <c r="AA37" s="15"/>
      <c r="AB37" s="15"/>
      <c r="AC37" s="41"/>
      <c r="AD37" s="15"/>
      <c r="AE37" s="15"/>
      <c r="AF37" s="15"/>
      <c r="AG37" s="15"/>
      <c r="AH37" s="41"/>
      <c r="AI37" s="15"/>
      <c r="AJ37" s="15"/>
      <c r="AK37" s="15"/>
      <c r="AL37" s="15"/>
      <c r="AM37" s="41"/>
      <c r="AN37" s="15"/>
      <c r="AO37" s="15"/>
      <c r="AP37" s="15"/>
      <c r="AQ37" s="15"/>
      <c r="AR37" s="41"/>
      <c r="AS37" s="15"/>
      <c r="AT37" s="15"/>
      <c r="AU37" s="15"/>
      <c r="AV37" s="15"/>
      <c r="AW37" s="41"/>
      <c r="AX37" s="15"/>
      <c r="AY37" s="15"/>
      <c r="AZ37" s="15"/>
      <c r="BA37" s="15"/>
      <c r="BB37" s="41"/>
      <c r="BC37" s="42"/>
    </row>
    <row r="38" spans="1:55" ht="12.75" customHeight="1" x14ac:dyDescent="0.3">
      <c r="A38" s="25" t="s">
        <v>31</v>
      </c>
      <c r="B38" s="49" t="s">
        <v>32</v>
      </c>
      <c r="C38" s="46"/>
      <c r="D38" s="47"/>
      <c r="E38" s="13"/>
      <c r="F38" s="13"/>
      <c r="G38" s="13"/>
      <c r="H38" s="13"/>
      <c r="I38" s="13"/>
      <c r="J38" s="13"/>
      <c r="K38" s="13"/>
      <c r="L38" s="13"/>
      <c r="M38" s="13"/>
      <c r="N38" s="43"/>
      <c r="O38" s="13"/>
      <c r="P38" s="13"/>
      <c r="Q38" s="13"/>
      <c r="R38" s="13"/>
      <c r="S38" s="43"/>
      <c r="T38" s="13"/>
      <c r="U38" s="13"/>
      <c r="V38" s="13"/>
      <c r="W38" s="13"/>
      <c r="X38" s="43"/>
      <c r="Y38" s="13"/>
      <c r="Z38" s="13"/>
      <c r="AA38" s="13"/>
      <c r="AB38" s="13"/>
      <c r="AC38" s="43"/>
      <c r="AD38" s="13"/>
      <c r="AE38" s="13"/>
      <c r="AF38" s="13"/>
      <c r="AG38" s="13"/>
      <c r="AH38" s="43"/>
      <c r="AI38" s="13"/>
      <c r="AJ38" s="13"/>
      <c r="AK38" s="13"/>
      <c r="AL38" s="13"/>
      <c r="AM38" s="43"/>
      <c r="AN38" s="13"/>
      <c r="AO38" s="13"/>
      <c r="AP38" s="13"/>
      <c r="AQ38" s="13"/>
      <c r="AR38" s="43"/>
      <c r="AS38" s="13"/>
      <c r="AT38" s="13"/>
      <c r="AU38" s="13"/>
      <c r="AV38" s="13"/>
      <c r="AW38" s="43"/>
      <c r="AX38" s="13"/>
      <c r="AY38" s="13"/>
      <c r="AZ38" s="13"/>
      <c r="BA38" s="13"/>
      <c r="BB38" s="43"/>
      <c r="BC38" s="42"/>
    </row>
    <row r="39" spans="1:55" ht="12.75" customHeight="1" x14ac:dyDescent="0.3">
      <c r="A39" s="19"/>
      <c r="B39" s="68" t="s">
        <v>33</v>
      </c>
      <c r="C39" s="58"/>
      <c r="D39" s="15" t="s">
        <v>12</v>
      </c>
      <c r="E39" s="15">
        <v>1</v>
      </c>
      <c r="F39" s="15">
        <v>1</v>
      </c>
      <c r="G39" s="15">
        <v>0</v>
      </c>
      <c r="H39" s="15">
        <v>1</v>
      </c>
      <c r="I39" s="15">
        <v>0</v>
      </c>
      <c r="J39" s="15">
        <v>0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1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1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1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4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1</v>
      </c>
      <c r="BB39" s="15">
        <v>0</v>
      </c>
      <c r="BC39" s="13">
        <f t="shared" ref="BC39:BC41" si="11">SUM(E39:BB39)</f>
        <v>12</v>
      </c>
    </row>
    <row r="40" spans="1:55" ht="12.75" customHeight="1" x14ac:dyDescent="0.3">
      <c r="A40" s="20"/>
      <c r="B40" s="69"/>
      <c r="C40" s="60"/>
      <c r="D40" s="15" t="s">
        <v>13</v>
      </c>
      <c r="E40" s="15">
        <v>0</v>
      </c>
      <c r="F40" s="15">
        <v>0</v>
      </c>
      <c r="G40" s="15">
        <v>0</v>
      </c>
      <c r="H40" s="15">
        <v>1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1</v>
      </c>
      <c r="O40" s="15">
        <v>1</v>
      </c>
      <c r="P40" s="15">
        <v>0</v>
      </c>
      <c r="Q40" s="15">
        <v>0</v>
      </c>
      <c r="R40" s="15">
        <v>0</v>
      </c>
      <c r="S40" s="15">
        <v>2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1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2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1</v>
      </c>
      <c r="BB40" s="15">
        <v>0</v>
      </c>
      <c r="BC40" s="13">
        <f t="shared" si="11"/>
        <v>9</v>
      </c>
    </row>
    <row r="41" spans="1:55" ht="12.75" customHeight="1" x14ac:dyDescent="0.3">
      <c r="A41" s="24"/>
      <c r="B41" s="52"/>
      <c r="C41" s="53"/>
      <c r="D41" s="13" t="s">
        <v>14</v>
      </c>
      <c r="E41" s="13">
        <f t="shared" ref="E41:BB41" si="12">SUM(E39:E40)</f>
        <v>1</v>
      </c>
      <c r="F41" s="13">
        <f t="shared" si="12"/>
        <v>1</v>
      </c>
      <c r="G41" s="13">
        <f t="shared" si="12"/>
        <v>0</v>
      </c>
      <c r="H41" s="13">
        <f t="shared" si="12"/>
        <v>2</v>
      </c>
      <c r="I41" s="13">
        <f t="shared" si="12"/>
        <v>0</v>
      </c>
      <c r="J41" s="13">
        <f t="shared" si="12"/>
        <v>0</v>
      </c>
      <c r="K41" s="13">
        <f t="shared" si="12"/>
        <v>1</v>
      </c>
      <c r="L41" s="13">
        <f t="shared" si="12"/>
        <v>0</v>
      </c>
      <c r="M41" s="13">
        <f t="shared" si="12"/>
        <v>0</v>
      </c>
      <c r="N41" s="13">
        <f t="shared" si="12"/>
        <v>1</v>
      </c>
      <c r="O41" s="13">
        <f t="shared" si="12"/>
        <v>1</v>
      </c>
      <c r="P41" s="13">
        <f t="shared" si="12"/>
        <v>0</v>
      </c>
      <c r="Q41" s="13">
        <f t="shared" si="12"/>
        <v>0</v>
      </c>
      <c r="R41" s="13">
        <f t="shared" si="12"/>
        <v>0</v>
      </c>
      <c r="S41" s="13">
        <f t="shared" si="12"/>
        <v>3</v>
      </c>
      <c r="T41" s="13">
        <f t="shared" si="12"/>
        <v>0</v>
      </c>
      <c r="U41" s="13">
        <f t="shared" si="12"/>
        <v>0</v>
      </c>
      <c r="V41" s="13">
        <f t="shared" si="12"/>
        <v>0</v>
      </c>
      <c r="W41" s="13">
        <f t="shared" si="12"/>
        <v>0</v>
      </c>
      <c r="X41" s="13">
        <f t="shared" si="12"/>
        <v>0</v>
      </c>
      <c r="Y41" s="13">
        <f t="shared" si="12"/>
        <v>1</v>
      </c>
      <c r="Z41" s="13">
        <f t="shared" si="12"/>
        <v>0</v>
      </c>
      <c r="AA41" s="13">
        <f t="shared" si="12"/>
        <v>1</v>
      </c>
      <c r="AB41" s="13">
        <f t="shared" si="12"/>
        <v>0</v>
      </c>
      <c r="AC41" s="13">
        <f t="shared" si="12"/>
        <v>0</v>
      </c>
      <c r="AD41" s="13">
        <f t="shared" si="12"/>
        <v>0</v>
      </c>
      <c r="AE41" s="13">
        <f t="shared" si="12"/>
        <v>0</v>
      </c>
      <c r="AF41" s="13">
        <f t="shared" si="12"/>
        <v>0</v>
      </c>
      <c r="AG41" s="13">
        <f t="shared" si="12"/>
        <v>0</v>
      </c>
      <c r="AH41" s="13">
        <f t="shared" si="12"/>
        <v>1</v>
      </c>
      <c r="AI41" s="13">
        <f t="shared" si="12"/>
        <v>0</v>
      </c>
      <c r="AJ41" s="13">
        <f t="shared" si="12"/>
        <v>0</v>
      </c>
      <c r="AK41" s="13">
        <f t="shared" si="12"/>
        <v>0</v>
      </c>
      <c r="AL41" s="13">
        <f t="shared" si="12"/>
        <v>0</v>
      </c>
      <c r="AM41" s="13">
        <f t="shared" si="12"/>
        <v>0</v>
      </c>
      <c r="AN41" s="13">
        <f t="shared" si="12"/>
        <v>6</v>
      </c>
      <c r="AO41" s="13">
        <f t="shared" si="12"/>
        <v>0</v>
      </c>
      <c r="AP41" s="13">
        <f t="shared" si="12"/>
        <v>0</v>
      </c>
      <c r="AQ41" s="13">
        <f t="shared" si="12"/>
        <v>0</v>
      </c>
      <c r="AR41" s="13">
        <f t="shared" si="12"/>
        <v>0</v>
      </c>
      <c r="AS41" s="13">
        <f t="shared" si="12"/>
        <v>0</v>
      </c>
      <c r="AT41" s="13">
        <f t="shared" si="12"/>
        <v>0</v>
      </c>
      <c r="AU41" s="13">
        <f t="shared" si="12"/>
        <v>0</v>
      </c>
      <c r="AV41" s="13">
        <f t="shared" si="12"/>
        <v>0</v>
      </c>
      <c r="AW41" s="13">
        <f t="shared" si="12"/>
        <v>0</v>
      </c>
      <c r="AX41" s="13">
        <f t="shared" si="12"/>
        <v>0</v>
      </c>
      <c r="AY41" s="13">
        <f t="shared" si="12"/>
        <v>0</v>
      </c>
      <c r="AZ41" s="13">
        <f t="shared" si="12"/>
        <v>0</v>
      </c>
      <c r="BA41" s="13">
        <f t="shared" si="12"/>
        <v>2</v>
      </c>
      <c r="BB41" s="13">
        <f t="shared" si="12"/>
        <v>0</v>
      </c>
      <c r="BC41" s="13">
        <f t="shared" si="11"/>
        <v>21</v>
      </c>
    </row>
    <row r="42" spans="1:55" ht="12.75" customHeight="1" x14ac:dyDescent="0.3">
      <c r="A42" s="51"/>
      <c r="B42" s="52"/>
      <c r="C42" s="52"/>
      <c r="D42" s="53"/>
      <c r="E42" s="61"/>
      <c r="F42" s="46"/>
      <c r="G42" s="46"/>
      <c r="H42" s="46"/>
      <c r="I42" s="47"/>
      <c r="J42" s="15"/>
      <c r="K42" s="15"/>
      <c r="L42" s="15"/>
      <c r="M42" s="15"/>
      <c r="N42" s="41"/>
      <c r="O42" s="15"/>
      <c r="P42" s="15"/>
      <c r="Q42" s="15"/>
      <c r="R42" s="15"/>
      <c r="S42" s="41"/>
      <c r="T42" s="15"/>
      <c r="U42" s="15"/>
      <c r="V42" s="15"/>
      <c r="W42" s="15"/>
      <c r="X42" s="41"/>
      <c r="Y42" s="15"/>
      <c r="Z42" s="15"/>
      <c r="AA42" s="15"/>
      <c r="AB42" s="15"/>
      <c r="AC42" s="41"/>
      <c r="AD42" s="15"/>
      <c r="AE42" s="15"/>
      <c r="AF42" s="15"/>
      <c r="AG42" s="15"/>
      <c r="AH42" s="41"/>
      <c r="AI42" s="15"/>
      <c r="AJ42" s="15"/>
      <c r="AK42" s="15"/>
      <c r="AL42" s="15"/>
      <c r="AM42" s="41"/>
      <c r="AN42" s="15"/>
      <c r="AO42" s="15"/>
      <c r="AP42" s="15"/>
      <c r="AQ42" s="15"/>
      <c r="AR42" s="41"/>
      <c r="AS42" s="15"/>
      <c r="AT42" s="15"/>
      <c r="AU42" s="15"/>
      <c r="AV42" s="15"/>
      <c r="AW42" s="41"/>
      <c r="AX42" s="15"/>
      <c r="AY42" s="15"/>
      <c r="AZ42" s="15"/>
      <c r="BA42" s="15"/>
      <c r="BB42" s="41"/>
      <c r="BC42" s="13"/>
    </row>
    <row r="43" spans="1:55" ht="12.75" customHeight="1" x14ac:dyDescent="0.3">
      <c r="A43" s="25" t="s">
        <v>34</v>
      </c>
      <c r="B43" s="49" t="s">
        <v>35</v>
      </c>
      <c r="C43" s="46"/>
      <c r="D43" s="47"/>
      <c r="E43" s="18"/>
      <c r="F43" s="13"/>
      <c r="G43" s="13"/>
      <c r="H43" s="13"/>
      <c r="I43" s="13"/>
      <c r="J43" s="13"/>
      <c r="K43" s="13"/>
      <c r="L43" s="13"/>
      <c r="M43" s="13"/>
      <c r="N43" s="43"/>
      <c r="O43" s="13"/>
      <c r="P43" s="13"/>
      <c r="Q43" s="13"/>
      <c r="R43" s="13"/>
      <c r="S43" s="43"/>
      <c r="T43" s="13"/>
      <c r="U43" s="13"/>
      <c r="V43" s="13"/>
      <c r="W43" s="13"/>
      <c r="X43" s="43"/>
      <c r="Y43" s="13"/>
      <c r="Z43" s="13"/>
      <c r="AA43" s="13"/>
      <c r="AB43" s="13"/>
      <c r="AC43" s="43"/>
      <c r="AD43" s="13"/>
      <c r="AE43" s="13"/>
      <c r="AF43" s="13"/>
      <c r="AG43" s="13"/>
      <c r="AH43" s="43"/>
      <c r="AI43" s="13"/>
      <c r="AJ43" s="13"/>
      <c r="AK43" s="13"/>
      <c r="AL43" s="13"/>
      <c r="AM43" s="43"/>
      <c r="AN43" s="13"/>
      <c r="AO43" s="13"/>
      <c r="AP43" s="13"/>
      <c r="AQ43" s="13"/>
      <c r="AR43" s="43"/>
      <c r="AS43" s="13"/>
      <c r="AT43" s="13"/>
      <c r="AU43" s="13"/>
      <c r="AV43" s="13"/>
      <c r="AW43" s="43"/>
      <c r="AX43" s="13"/>
      <c r="AY43" s="13"/>
      <c r="AZ43" s="13"/>
      <c r="BA43" s="13"/>
      <c r="BB43" s="43"/>
      <c r="BC43" s="13"/>
    </row>
    <row r="44" spans="1:55" ht="12.75" customHeight="1" x14ac:dyDescent="0.3">
      <c r="A44" s="68" t="s">
        <v>36</v>
      </c>
      <c r="B44" s="70"/>
      <c r="C44" s="70"/>
      <c r="D44" s="58"/>
      <c r="E44" s="16"/>
      <c r="F44" s="15"/>
      <c r="G44" s="15"/>
      <c r="H44" s="15"/>
      <c r="I44" s="15"/>
      <c r="J44" s="15"/>
      <c r="K44" s="15"/>
      <c r="L44" s="15"/>
      <c r="M44" s="15"/>
      <c r="N44" s="41"/>
      <c r="O44" s="15"/>
      <c r="P44" s="15"/>
      <c r="Q44" s="15"/>
      <c r="R44" s="15"/>
      <c r="S44" s="41"/>
      <c r="T44" s="15"/>
      <c r="U44" s="15"/>
      <c r="V44" s="15"/>
      <c r="W44" s="15"/>
      <c r="X44" s="41"/>
      <c r="Y44" s="15"/>
      <c r="Z44" s="15"/>
      <c r="AA44" s="15"/>
      <c r="AB44" s="15"/>
      <c r="AC44" s="41"/>
      <c r="AD44" s="15"/>
      <c r="AE44" s="15"/>
      <c r="AF44" s="15"/>
      <c r="AG44" s="15"/>
      <c r="AH44" s="41"/>
      <c r="AI44" s="15"/>
      <c r="AJ44" s="15"/>
      <c r="AK44" s="15"/>
      <c r="AL44" s="15"/>
      <c r="AM44" s="41"/>
      <c r="AN44" s="15"/>
      <c r="AO44" s="15"/>
      <c r="AP44" s="15"/>
      <c r="AQ44" s="15"/>
      <c r="AR44" s="41"/>
      <c r="AS44" s="15"/>
      <c r="AT44" s="15"/>
      <c r="AU44" s="15"/>
      <c r="AV44" s="15"/>
      <c r="AW44" s="41"/>
      <c r="AX44" s="15"/>
      <c r="AY44" s="15"/>
      <c r="AZ44" s="15"/>
      <c r="BA44" s="15"/>
      <c r="BB44" s="41"/>
      <c r="BC44" s="13"/>
    </row>
    <row r="45" spans="1:55" ht="12.75" customHeight="1" x14ac:dyDescent="0.3">
      <c r="A45" s="19" t="s">
        <v>37</v>
      </c>
      <c r="B45" s="26" t="s">
        <v>17</v>
      </c>
      <c r="C45" s="48" t="s">
        <v>38</v>
      </c>
      <c r="D45" s="47"/>
      <c r="E45" s="15">
        <v>3</v>
      </c>
      <c r="F45" s="15">
        <v>7</v>
      </c>
      <c r="G45" s="15">
        <v>3</v>
      </c>
      <c r="H45" s="15">
        <v>8</v>
      </c>
      <c r="I45" s="15">
        <v>7</v>
      </c>
      <c r="J45" s="15">
        <v>11</v>
      </c>
      <c r="K45" s="15">
        <v>2</v>
      </c>
      <c r="L45" s="15">
        <v>7</v>
      </c>
      <c r="M45" s="15">
        <v>20</v>
      </c>
      <c r="N45" s="15">
        <v>7</v>
      </c>
      <c r="O45" s="15">
        <v>7</v>
      </c>
      <c r="P45" s="15">
        <v>8</v>
      </c>
      <c r="Q45" s="15">
        <v>2</v>
      </c>
      <c r="R45" s="15">
        <v>1</v>
      </c>
      <c r="S45" s="15">
        <v>6</v>
      </c>
      <c r="T45" s="15">
        <v>7</v>
      </c>
      <c r="U45" s="15">
        <v>10</v>
      </c>
      <c r="V45" s="15">
        <v>0</v>
      </c>
      <c r="W45" s="15">
        <v>3</v>
      </c>
      <c r="X45" s="15">
        <v>3</v>
      </c>
      <c r="Y45" s="15">
        <v>2</v>
      </c>
      <c r="Z45" s="15">
        <v>6</v>
      </c>
      <c r="AA45" s="15">
        <v>8</v>
      </c>
      <c r="AB45" s="15">
        <v>1</v>
      </c>
      <c r="AC45" s="15">
        <v>10</v>
      </c>
      <c r="AD45" s="15">
        <v>5</v>
      </c>
      <c r="AE45" s="15">
        <v>1</v>
      </c>
      <c r="AF45" s="15">
        <v>3</v>
      </c>
      <c r="AG45" s="15">
        <v>7</v>
      </c>
      <c r="AH45" s="15">
        <v>5</v>
      </c>
      <c r="AI45" s="15">
        <v>9</v>
      </c>
      <c r="AJ45" s="15">
        <v>2</v>
      </c>
      <c r="AK45" s="15">
        <v>7</v>
      </c>
      <c r="AL45" s="15">
        <v>3</v>
      </c>
      <c r="AM45" s="15">
        <v>8</v>
      </c>
      <c r="AN45" s="15">
        <v>9</v>
      </c>
      <c r="AO45" s="15">
        <v>8</v>
      </c>
      <c r="AP45" s="15">
        <v>6</v>
      </c>
      <c r="AQ45" s="15">
        <v>7</v>
      </c>
      <c r="AR45" s="15">
        <v>7</v>
      </c>
      <c r="AS45" s="15">
        <v>2</v>
      </c>
      <c r="AT45" s="15">
        <v>6</v>
      </c>
      <c r="AU45" s="15">
        <v>4</v>
      </c>
      <c r="AV45" s="15">
        <v>15</v>
      </c>
      <c r="AW45" s="15">
        <v>5</v>
      </c>
      <c r="AX45" s="15">
        <v>5</v>
      </c>
      <c r="AY45" s="15">
        <v>1</v>
      </c>
      <c r="AZ45" s="15">
        <v>7</v>
      </c>
      <c r="BA45" s="15">
        <v>4</v>
      </c>
      <c r="BB45" s="15">
        <v>26</v>
      </c>
      <c r="BC45" s="13">
        <f t="shared" ref="BC45:BC192" si="13">SUM(E45:BB45)</f>
        <v>311</v>
      </c>
    </row>
    <row r="46" spans="1:55" ht="12.75" customHeight="1" x14ac:dyDescent="0.3">
      <c r="A46" s="19" t="s">
        <v>39</v>
      </c>
      <c r="B46" s="27"/>
      <c r="C46" s="28" t="s">
        <v>40</v>
      </c>
      <c r="D46" s="29"/>
      <c r="E46" s="15">
        <v>11</v>
      </c>
      <c r="F46" s="15">
        <v>17</v>
      </c>
      <c r="G46" s="15">
        <v>4</v>
      </c>
      <c r="H46" s="15">
        <v>2</v>
      </c>
      <c r="I46" s="15">
        <v>3</v>
      </c>
      <c r="J46" s="15">
        <v>15</v>
      </c>
      <c r="K46" s="15">
        <v>2</v>
      </c>
      <c r="L46" s="15">
        <v>7</v>
      </c>
      <c r="M46" s="15">
        <v>36</v>
      </c>
      <c r="N46" s="15">
        <v>5</v>
      </c>
      <c r="O46" s="15">
        <v>4</v>
      </c>
      <c r="P46" s="15">
        <v>29</v>
      </c>
      <c r="Q46" s="15">
        <v>2</v>
      </c>
      <c r="R46" s="15">
        <v>4</v>
      </c>
      <c r="S46" s="15">
        <v>18</v>
      </c>
      <c r="T46" s="15">
        <v>4</v>
      </c>
      <c r="U46" s="15">
        <v>19</v>
      </c>
      <c r="V46" s="15">
        <v>0</v>
      </c>
      <c r="W46" s="15">
        <v>2</v>
      </c>
      <c r="X46" s="15">
        <v>5</v>
      </c>
      <c r="Y46" s="15">
        <v>2</v>
      </c>
      <c r="Z46" s="15">
        <v>3</v>
      </c>
      <c r="AA46" s="15">
        <v>8</v>
      </c>
      <c r="AB46" s="15">
        <v>3</v>
      </c>
      <c r="AC46" s="15">
        <v>3</v>
      </c>
      <c r="AD46" s="15">
        <v>3</v>
      </c>
      <c r="AE46" s="15">
        <v>0</v>
      </c>
      <c r="AF46" s="15">
        <v>6</v>
      </c>
      <c r="AG46" s="15">
        <v>2</v>
      </c>
      <c r="AH46" s="15">
        <v>0</v>
      </c>
      <c r="AI46" s="15">
        <v>4</v>
      </c>
      <c r="AJ46" s="15">
        <v>15</v>
      </c>
      <c r="AK46" s="15">
        <v>9</v>
      </c>
      <c r="AL46" s="15">
        <v>4</v>
      </c>
      <c r="AM46" s="15">
        <v>4</v>
      </c>
      <c r="AN46" s="15">
        <v>3</v>
      </c>
      <c r="AO46" s="15">
        <v>4</v>
      </c>
      <c r="AP46" s="15">
        <v>7</v>
      </c>
      <c r="AQ46" s="15">
        <v>14</v>
      </c>
      <c r="AR46" s="15">
        <v>2</v>
      </c>
      <c r="AS46" s="15">
        <v>1</v>
      </c>
      <c r="AT46" s="15">
        <v>8</v>
      </c>
      <c r="AU46" s="15">
        <v>1</v>
      </c>
      <c r="AV46" s="15">
        <v>10</v>
      </c>
      <c r="AW46" s="15">
        <v>2</v>
      </c>
      <c r="AX46" s="15">
        <v>10</v>
      </c>
      <c r="AY46" s="15">
        <v>0</v>
      </c>
      <c r="AZ46" s="15">
        <v>4</v>
      </c>
      <c r="BA46" s="15">
        <v>4</v>
      </c>
      <c r="BB46" s="15">
        <v>27</v>
      </c>
      <c r="BC46" s="13">
        <f t="shared" si="13"/>
        <v>352</v>
      </c>
    </row>
    <row r="47" spans="1:55" ht="12.75" customHeight="1" x14ac:dyDescent="0.3">
      <c r="A47" s="14"/>
      <c r="B47" s="27"/>
      <c r="C47" s="28" t="s">
        <v>41</v>
      </c>
      <c r="D47" s="29"/>
      <c r="E47" s="15">
        <v>5</v>
      </c>
      <c r="F47" s="15">
        <v>0</v>
      </c>
      <c r="G47" s="15">
        <v>3</v>
      </c>
      <c r="H47" s="15">
        <v>2</v>
      </c>
      <c r="I47" s="15">
        <v>1</v>
      </c>
      <c r="J47" s="15">
        <v>2</v>
      </c>
      <c r="K47" s="15">
        <v>0</v>
      </c>
      <c r="L47" s="15">
        <v>3</v>
      </c>
      <c r="M47" s="15">
        <v>2</v>
      </c>
      <c r="N47" s="15">
        <v>1</v>
      </c>
      <c r="O47" s="15">
        <v>2</v>
      </c>
      <c r="P47" s="15">
        <v>0</v>
      </c>
      <c r="Q47" s="15">
        <v>0</v>
      </c>
      <c r="R47" s="15">
        <v>3</v>
      </c>
      <c r="S47" s="15">
        <v>0</v>
      </c>
      <c r="T47" s="15">
        <v>3</v>
      </c>
      <c r="U47" s="15">
        <v>5</v>
      </c>
      <c r="V47" s="15">
        <v>0</v>
      </c>
      <c r="W47" s="15">
        <v>0</v>
      </c>
      <c r="X47" s="15">
        <v>3</v>
      </c>
      <c r="Y47" s="15">
        <v>2</v>
      </c>
      <c r="Z47" s="15">
        <v>3</v>
      </c>
      <c r="AA47" s="15">
        <v>2</v>
      </c>
      <c r="AB47" s="15">
        <v>5</v>
      </c>
      <c r="AC47" s="15">
        <v>3</v>
      </c>
      <c r="AD47" s="15">
        <v>0</v>
      </c>
      <c r="AE47" s="15">
        <v>0</v>
      </c>
      <c r="AF47" s="15">
        <v>0</v>
      </c>
      <c r="AG47" s="15">
        <v>1</v>
      </c>
      <c r="AH47" s="15">
        <v>4</v>
      </c>
      <c r="AI47" s="15">
        <v>2</v>
      </c>
      <c r="AJ47" s="15">
        <v>1</v>
      </c>
      <c r="AK47" s="15">
        <v>8</v>
      </c>
      <c r="AL47" s="15">
        <v>13</v>
      </c>
      <c r="AM47" s="15">
        <v>12</v>
      </c>
      <c r="AN47" s="15">
        <v>2</v>
      </c>
      <c r="AO47" s="15">
        <v>6</v>
      </c>
      <c r="AP47" s="15">
        <v>6</v>
      </c>
      <c r="AQ47" s="15">
        <v>3</v>
      </c>
      <c r="AR47" s="15">
        <v>9</v>
      </c>
      <c r="AS47" s="15">
        <v>1</v>
      </c>
      <c r="AT47" s="15">
        <v>8</v>
      </c>
      <c r="AU47" s="15">
        <v>3</v>
      </c>
      <c r="AV47" s="15">
        <v>7</v>
      </c>
      <c r="AW47" s="15">
        <v>4</v>
      </c>
      <c r="AX47" s="15">
        <v>4</v>
      </c>
      <c r="AY47" s="15">
        <v>2</v>
      </c>
      <c r="AZ47" s="15">
        <v>10</v>
      </c>
      <c r="BA47" s="15">
        <v>5</v>
      </c>
      <c r="BB47" s="15">
        <v>10</v>
      </c>
      <c r="BC47" s="13">
        <f t="shared" si="13"/>
        <v>171</v>
      </c>
    </row>
    <row r="48" spans="1:55" ht="12.75" customHeight="1" x14ac:dyDescent="0.3">
      <c r="A48" s="14"/>
      <c r="B48" s="27"/>
      <c r="C48" s="28" t="s">
        <v>42</v>
      </c>
      <c r="D48" s="29"/>
      <c r="E48" s="15">
        <v>17</v>
      </c>
      <c r="F48" s="15">
        <v>42</v>
      </c>
      <c r="G48" s="15">
        <v>37</v>
      </c>
      <c r="H48" s="15">
        <v>27</v>
      </c>
      <c r="I48" s="15">
        <v>7</v>
      </c>
      <c r="J48" s="15">
        <v>15</v>
      </c>
      <c r="K48" s="15">
        <v>28</v>
      </c>
      <c r="L48" s="15">
        <v>28</v>
      </c>
      <c r="M48" s="15">
        <v>49</v>
      </c>
      <c r="N48" s="15">
        <v>22</v>
      </c>
      <c r="O48" s="15">
        <v>45</v>
      </c>
      <c r="P48" s="15">
        <v>17</v>
      </c>
      <c r="Q48" s="15">
        <v>35</v>
      </c>
      <c r="R48" s="15">
        <v>122</v>
      </c>
      <c r="S48" s="15">
        <v>35</v>
      </c>
      <c r="T48" s="15">
        <v>45</v>
      </c>
      <c r="U48" s="15">
        <v>29</v>
      </c>
      <c r="V48" s="15">
        <v>9</v>
      </c>
      <c r="W48" s="15">
        <v>22</v>
      </c>
      <c r="X48" s="15">
        <v>10</v>
      </c>
      <c r="Y48" s="15">
        <v>5</v>
      </c>
      <c r="Z48" s="15">
        <v>28</v>
      </c>
      <c r="AA48" s="15">
        <v>55</v>
      </c>
      <c r="AB48" s="15">
        <v>9</v>
      </c>
      <c r="AC48" s="15">
        <v>11</v>
      </c>
      <c r="AD48" s="15">
        <v>8</v>
      </c>
      <c r="AE48" s="15">
        <v>24</v>
      </c>
      <c r="AF48" s="15">
        <v>4</v>
      </c>
      <c r="AG48" s="15">
        <v>51</v>
      </c>
      <c r="AH48" s="15">
        <v>34</v>
      </c>
      <c r="AI48" s="15">
        <v>15</v>
      </c>
      <c r="AJ48" s="15">
        <v>79</v>
      </c>
      <c r="AK48" s="15">
        <v>109</v>
      </c>
      <c r="AL48" s="15">
        <v>91</v>
      </c>
      <c r="AM48" s="15">
        <v>63</v>
      </c>
      <c r="AN48" s="15">
        <v>31</v>
      </c>
      <c r="AO48" s="15">
        <v>52</v>
      </c>
      <c r="AP48" s="15">
        <v>91</v>
      </c>
      <c r="AQ48" s="15">
        <v>59</v>
      </c>
      <c r="AR48" s="15">
        <v>39</v>
      </c>
      <c r="AS48" s="15">
        <v>29</v>
      </c>
      <c r="AT48" s="15">
        <v>41</v>
      </c>
      <c r="AU48" s="15">
        <v>24</v>
      </c>
      <c r="AV48" s="15">
        <v>91</v>
      </c>
      <c r="AW48" s="15">
        <v>18</v>
      </c>
      <c r="AX48" s="15">
        <v>38</v>
      </c>
      <c r="AY48" s="15">
        <v>17</v>
      </c>
      <c r="AZ48" s="15">
        <v>27</v>
      </c>
      <c r="BA48" s="15">
        <v>17</v>
      </c>
      <c r="BB48" s="15">
        <v>35</v>
      </c>
      <c r="BC48" s="13">
        <f t="shared" si="13"/>
        <v>1836</v>
      </c>
    </row>
    <row r="49" spans="1:55" ht="12.75" customHeight="1" x14ac:dyDescent="0.3">
      <c r="A49" s="14"/>
      <c r="B49" s="27"/>
      <c r="C49" s="28" t="s">
        <v>43</v>
      </c>
      <c r="D49" s="29"/>
      <c r="E49" s="15">
        <v>1</v>
      </c>
      <c r="F49" s="15">
        <v>1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1</v>
      </c>
      <c r="M49" s="15">
        <v>1</v>
      </c>
      <c r="N49" s="15">
        <v>3</v>
      </c>
      <c r="O49" s="15">
        <v>0</v>
      </c>
      <c r="P49" s="15">
        <v>1</v>
      </c>
      <c r="Q49" s="15">
        <v>2</v>
      </c>
      <c r="R49" s="15">
        <v>2</v>
      </c>
      <c r="S49" s="15">
        <v>0</v>
      </c>
      <c r="T49" s="15">
        <v>5</v>
      </c>
      <c r="U49" s="15">
        <v>2</v>
      </c>
      <c r="V49" s="15">
        <v>0</v>
      </c>
      <c r="W49" s="15">
        <v>1</v>
      </c>
      <c r="X49" s="15">
        <v>2</v>
      </c>
      <c r="Y49" s="15">
        <v>1</v>
      </c>
      <c r="Z49" s="15">
        <v>1</v>
      </c>
      <c r="AA49" s="15">
        <v>4</v>
      </c>
      <c r="AB49" s="15">
        <v>0</v>
      </c>
      <c r="AC49" s="15">
        <v>0</v>
      </c>
      <c r="AD49" s="15">
        <v>2</v>
      </c>
      <c r="AE49" s="15">
        <v>0</v>
      </c>
      <c r="AF49" s="15">
        <v>0</v>
      </c>
      <c r="AG49" s="15">
        <v>1</v>
      </c>
      <c r="AH49" s="15">
        <v>0</v>
      </c>
      <c r="AI49" s="15">
        <v>0</v>
      </c>
      <c r="AJ49" s="15">
        <v>2</v>
      </c>
      <c r="AK49" s="15">
        <v>0</v>
      </c>
      <c r="AL49" s="15">
        <v>2</v>
      </c>
      <c r="AM49" s="15">
        <v>3</v>
      </c>
      <c r="AN49" s="15">
        <v>0</v>
      </c>
      <c r="AO49" s="15">
        <v>1</v>
      </c>
      <c r="AP49" s="15">
        <v>0</v>
      </c>
      <c r="AQ49" s="15">
        <v>2</v>
      </c>
      <c r="AR49" s="15">
        <v>0</v>
      </c>
      <c r="AS49" s="15">
        <v>0</v>
      </c>
      <c r="AT49" s="15">
        <v>1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3">
        <f t="shared" si="13"/>
        <v>42</v>
      </c>
    </row>
    <row r="50" spans="1:55" ht="12.75" customHeight="1" x14ac:dyDescent="0.3">
      <c r="A50" s="14"/>
      <c r="B50" s="27"/>
      <c r="C50" s="28" t="s">
        <v>44</v>
      </c>
      <c r="D50" s="29"/>
      <c r="E50" s="15">
        <v>0</v>
      </c>
      <c r="F50" s="15">
        <v>0</v>
      </c>
      <c r="G50" s="15">
        <v>1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1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1</v>
      </c>
      <c r="AB50" s="15">
        <v>1</v>
      </c>
      <c r="AC50" s="15">
        <v>0</v>
      </c>
      <c r="AD50" s="15">
        <v>0</v>
      </c>
      <c r="AE50" s="15">
        <v>0</v>
      </c>
      <c r="AF50" s="15">
        <v>1</v>
      </c>
      <c r="AG50" s="15">
        <v>0</v>
      </c>
      <c r="AH50" s="15">
        <v>0</v>
      </c>
      <c r="AI50" s="15">
        <v>1</v>
      </c>
      <c r="AJ50" s="15">
        <v>1</v>
      </c>
      <c r="AK50" s="15">
        <v>1</v>
      </c>
      <c r="AL50" s="15">
        <v>2</v>
      </c>
      <c r="AM50" s="15">
        <v>0</v>
      </c>
      <c r="AN50" s="15">
        <v>0</v>
      </c>
      <c r="AO50" s="15">
        <v>3</v>
      </c>
      <c r="AP50" s="15">
        <v>0</v>
      </c>
      <c r="AQ50" s="15">
        <v>1</v>
      </c>
      <c r="AR50" s="15">
        <v>0</v>
      </c>
      <c r="AS50" s="15">
        <v>0</v>
      </c>
      <c r="AT50" s="15">
        <v>0</v>
      </c>
      <c r="AU50" s="15">
        <v>0</v>
      </c>
      <c r="AV50" s="15">
        <v>1</v>
      </c>
      <c r="AW50" s="15">
        <v>0</v>
      </c>
      <c r="AX50" s="15">
        <v>1</v>
      </c>
      <c r="AY50" s="15">
        <v>0</v>
      </c>
      <c r="AZ50" s="15">
        <v>0</v>
      </c>
      <c r="BA50" s="15">
        <v>0</v>
      </c>
      <c r="BB50" s="15">
        <v>2</v>
      </c>
      <c r="BC50" s="13">
        <f t="shared" si="13"/>
        <v>18</v>
      </c>
    </row>
    <row r="51" spans="1:55" ht="12.75" customHeight="1" x14ac:dyDescent="0.3">
      <c r="A51" s="14"/>
      <c r="B51" s="27"/>
      <c r="C51" s="28" t="s">
        <v>45</v>
      </c>
      <c r="D51" s="29"/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1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1</v>
      </c>
      <c r="AK51" s="15">
        <v>0</v>
      </c>
      <c r="AL51" s="15">
        <v>0</v>
      </c>
      <c r="AM51" s="15">
        <v>0</v>
      </c>
      <c r="AN51" s="15">
        <v>0</v>
      </c>
      <c r="AO51" s="15">
        <v>1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1</v>
      </c>
      <c r="BA51" s="15">
        <v>0</v>
      </c>
      <c r="BB51" s="15">
        <v>0</v>
      </c>
      <c r="BC51" s="13">
        <f t="shared" si="13"/>
        <v>4</v>
      </c>
    </row>
    <row r="52" spans="1:55" ht="12.75" customHeight="1" x14ac:dyDescent="0.3">
      <c r="A52" s="14"/>
      <c r="B52" s="27"/>
      <c r="C52" s="28" t="s">
        <v>46</v>
      </c>
      <c r="D52" s="29"/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1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1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2</v>
      </c>
      <c r="AX52" s="15">
        <v>1</v>
      </c>
      <c r="AY52" s="15">
        <v>0</v>
      </c>
      <c r="AZ52" s="15">
        <v>0</v>
      </c>
      <c r="BA52" s="15">
        <v>0</v>
      </c>
      <c r="BB52" s="15">
        <v>0</v>
      </c>
      <c r="BC52" s="13">
        <f t="shared" si="13"/>
        <v>5</v>
      </c>
    </row>
    <row r="53" spans="1:55" ht="12.75" customHeight="1" x14ac:dyDescent="0.3">
      <c r="A53" s="15" t="s">
        <v>15</v>
      </c>
      <c r="B53" s="45" t="s">
        <v>47</v>
      </c>
      <c r="C53" s="46"/>
      <c r="D53" s="47"/>
      <c r="E53" s="34">
        <f t="shared" ref="E53:BB53" si="14">SUM(E45:E52)</f>
        <v>37</v>
      </c>
      <c r="F53" s="34">
        <f t="shared" si="14"/>
        <v>67</v>
      </c>
      <c r="G53" s="34">
        <f t="shared" si="14"/>
        <v>48</v>
      </c>
      <c r="H53" s="34">
        <f t="shared" si="14"/>
        <v>39</v>
      </c>
      <c r="I53" s="34">
        <f t="shared" si="14"/>
        <v>18</v>
      </c>
      <c r="J53" s="34">
        <f t="shared" si="14"/>
        <v>43</v>
      </c>
      <c r="K53" s="34">
        <f t="shared" si="14"/>
        <v>32</v>
      </c>
      <c r="L53" s="34">
        <f t="shared" si="14"/>
        <v>46</v>
      </c>
      <c r="M53" s="34">
        <f t="shared" si="14"/>
        <v>108</v>
      </c>
      <c r="N53" s="34">
        <f t="shared" si="14"/>
        <v>38</v>
      </c>
      <c r="O53" s="34">
        <f t="shared" si="14"/>
        <v>58</v>
      </c>
      <c r="P53" s="34">
        <f t="shared" si="14"/>
        <v>55</v>
      </c>
      <c r="Q53" s="34">
        <f t="shared" si="14"/>
        <v>41</v>
      </c>
      <c r="R53" s="34">
        <f t="shared" si="14"/>
        <v>132</v>
      </c>
      <c r="S53" s="34">
        <f t="shared" si="14"/>
        <v>59</v>
      </c>
      <c r="T53" s="34">
        <f t="shared" si="14"/>
        <v>66</v>
      </c>
      <c r="U53" s="34">
        <f t="shared" si="14"/>
        <v>65</v>
      </c>
      <c r="V53" s="34">
        <f t="shared" si="14"/>
        <v>9</v>
      </c>
      <c r="W53" s="34">
        <f t="shared" si="14"/>
        <v>28</v>
      </c>
      <c r="X53" s="34">
        <f t="shared" si="14"/>
        <v>24</v>
      </c>
      <c r="Y53" s="34">
        <f t="shared" si="14"/>
        <v>12</v>
      </c>
      <c r="Z53" s="34">
        <f t="shared" si="14"/>
        <v>41</v>
      </c>
      <c r="AA53" s="34">
        <f t="shared" si="14"/>
        <v>78</v>
      </c>
      <c r="AB53" s="34">
        <f t="shared" si="14"/>
        <v>19</v>
      </c>
      <c r="AC53" s="34">
        <f t="shared" si="14"/>
        <v>27</v>
      </c>
      <c r="AD53" s="34">
        <f t="shared" si="14"/>
        <v>18</v>
      </c>
      <c r="AE53" s="34">
        <f t="shared" si="14"/>
        <v>25</v>
      </c>
      <c r="AF53" s="34">
        <f t="shared" si="14"/>
        <v>14</v>
      </c>
      <c r="AG53" s="34">
        <f t="shared" si="14"/>
        <v>62</v>
      </c>
      <c r="AH53" s="34">
        <f t="shared" si="14"/>
        <v>43</v>
      </c>
      <c r="AI53" s="34">
        <f t="shared" si="14"/>
        <v>31</v>
      </c>
      <c r="AJ53" s="34">
        <f t="shared" si="14"/>
        <v>101</v>
      </c>
      <c r="AK53" s="34">
        <f t="shared" si="14"/>
        <v>134</v>
      </c>
      <c r="AL53" s="34">
        <f t="shared" si="14"/>
        <v>115</v>
      </c>
      <c r="AM53" s="34">
        <f t="shared" si="14"/>
        <v>91</v>
      </c>
      <c r="AN53" s="34">
        <f t="shared" si="14"/>
        <v>45</v>
      </c>
      <c r="AO53" s="34">
        <f t="shared" si="14"/>
        <v>75</v>
      </c>
      <c r="AP53" s="34">
        <f t="shared" si="14"/>
        <v>110</v>
      </c>
      <c r="AQ53" s="34">
        <f t="shared" si="14"/>
        <v>86</v>
      </c>
      <c r="AR53" s="34">
        <f t="shared" si="14"/>
        <v>57</v>
      </c>
      <c r="AS53" s="34">
        <f t="shared" si="14"/>
        <v>33</v>
      </c>
      <c r="AT53" s="34">
        <f t="shared" si="14"/>
        <v>64</v>
      </c>
      <c r="AU53" s="34">
        <f t="shared" si="14"/>
        <v>32</v>
      </c>
      <c r="AV53" s="34">
        <f t="shared" si="14"/>
        <v>124</v>
      </c>
      <c r="AW53" s="34">
        <f t="shared" si="14"/>
        <v>31</v>
      </c>
      <c r="AX53" s="34">
        <f t="shared" si="14"/>
        <v>59</v>
      </c>
      <c r="AY53" s="34">
        <f t="shared" si="14"/>
        <v>20</v>
      </c>
      <c r="AZ53" s="34">
        <f t="shared" si="14"/>
        <v>49</v>
      </c>
      <c r="BA53" s="34">
        <f t="shared" si="14"/>
        <v>30</v>
      </c>
      <c r="BB53" s="34">
        <f t="shared" si="14"/>
        <v>100</v>
      </c>
      <c r="BC53" s="13">
        <f t="shared" si="13"/>
        <v>2739</v>
      </c>
    </row>
    <row r="54" spans="1:55" ht="12.75" customHeight="1" x14ac:dyDescent="0.3">
      <c r="A54" s="35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13">
        <f t="shared" si="13"/>
        <v>0</v>
      </c>
    </row>
    <row r="55" spans="1:55" ht="15" customHeight="1" x14ac:dyDescent="0.3">
      <c r="A55" s="19" t="s">
        <v>37</v>
      </c>
      <c r="B55" s="26" t="s">
        <v>19</v>
      </c>
      <c r="C55" s="48" t="s">
        <v>48</v>
      </c>
      <c r="D55" s="47"/>
      <c r="E55" s="15">
        <v>7</v>
      </c>
      <c r="F55" s="15">
        <v>1</v>
      </c>
      <c r="G55" s="15">
        <v>6</v>
      </c>
      <c r="H55" s="15">
        <v>11</v>
      </c>
      <c r="I55" s="15">
        <v>3</v>
      </c>
      <c r="J55" s="15">
        <v>2</v>
      </c>
      <c r="K55" s="15">
        <v>7</v>
      </c>
      <c r="L55" s="15">
        <v>11</v>
      </c>
      <c r="M55" s="15">
        <v>6</v>
      </c>
      <c r="N55" s="15">
        <v>5</v>
      </c>
      <c r="O55" s="15">
        <v>6</v>
      </c>
      <c r="P55" s="15">
        <v>3</v>
      </c>
      <c r="Q55" s="15">
        <v>4</v>
      </c>
      <c r="R55" s="15">
        <v>3</v>
      </c>
      <c r="S55" s="15">
        <v>2</v>
      </c>
      <c r="T55" s="15">
        <v>7</v>
      </c>
      <c r="U55" s="15">
        <v>4</v>
      </c>
      <c r="V55" s="15">
        <v>3</v>
      </c>
      <c r="W55" s="15">
        <v>4</v>
      </c>
      <c r="X55" s="15">
        <v>2</v>
      </c>
      <c r="Y55" s="15">
        <v>11</v>
      </c>
      <c r="Z55" s="15">
        <v>4</v>
      </c>
      <c r="AA55" s="15">
        <v>4</v>
      </c>
      <c r="AB55" s="15">
        <v>5</v>
      </c>
      <c r="AC55" s="15">
        <v>6</v>
      </c>
      <c r="AD55" s="15">
        <v>4</v>
      </c>
      <c r="AE55" s="15">
        <v>9</v>
      </c>
      <c r="AF55" s="15">
        <v>6</v>
      </c>
      <c r="AG55" s="15">
        <v>6</v>
      </c>
      <c r="AH55" s="15">
        <v>3</v>
      </c>
      <c r="AI55" s="15">
        <v>5</v>
      </c>
      <c r="AJ55" s="15">
        <v>2</v>
      </c>
      <c r="AK55" s="15">
        <v>0</v>
      </c>
      <c r="AL55" s="15">
        <v>5</v>
      </c>
      <c r="AM55" s="15">
        <v>6</v>
      </c>
      <c r="AN55" s="15">
        <v>4</v>
      </c>
      <c r="AO55" s="15">
        <v>2</v>
      </c>
      <c r="AP55" s="15">
        <v>1</v>
      </c>
      <c r="AQ55" s="15">
        <v>4</v>
      </c>
      <c r="AR55" s="15">
        <v>3</v>
      </c>
      <c r="AS55" s="15">
        <v>4</v>
      </c>
      <c r="AT55" s="15">
        <v>2</v>
      </c>
      <c r="AU55" s="15">
        <v>1</v>
      </c>
      <c r="AV55" s="15">
        <v>3</v>
      </c>
      <c r="AW55" s="15">
        <v>1</v>
      </c>
      <c r="AX55" s="15">
        <v>1</v>
      </c>
      <c r="AY55" s="15">
        <v>0</v>
      </c>
      <c r="AZ55" s="15">
        <v>3</v>
      </c>
      <c r="BA55" s="15">
        <v>4</v>
      </c>
      <c r="BB55" s="15">
        <v>12</v>
      </c>
      <c r="BC55" s="13">
        <f t="shared" si="13"/>
        <v>218</v>
      </c>
    </row>
    <row r="56" spans="1:55" ht="12.75" customHeight="1" x14ac:dyDescent="0.3">
      <c r="A56" s="19" t="s">
        <v>39</v>
      </c>
      <c r="B56" s="27"/>
      <c r="C56" s="28" t="s">
        <v>49</v>
      </c>
      <c r="D56" s="29"/>
      <c r="E56" s="15">
        <v>6</v>
      </c>
      <c r="F56" s="15">
        <v>5</v>
      </c>
      <c r="G56" s="15">
        <v>1</v>
      </c>
      <c r="H56" s="15">
        <v>5</v>
      </c>
      <c r="I56" s="15">
        <v>2</v>
      </c>
      <c r="J56" s="15">
        <v>2</v>
      </c>
      <c r="K56" s="15">
        <v>3</v>
      </c>
      <c r="L56" s="15">
        <v>1</v>
      </c>
      <c r="M56" s="15">
        <v>1</v>
      </c>
      <c r="N56" s="15">
        <v>4</v>
      </c>
      <c r="O56" s="15">
        <v>1</v>
      </c>
      <c r="P56" s="15">
        <v>3</v>
      </c>
      <c r="Q56" s="15">
        <v>2</v>
      </c>
      <c r="R56" s="15">
        <v>1</v>
      </c>
      <c r="S56" s="15">
        <v>1</v>
      </c>
      <c r="T56" s="15">
        <v>1</v>
      </c>
      <c r="U56" s="15">
        <v>5</v>
      </c>
      <c r="V56" s="15">
        <v>0</v>
      </c>
      <c r="W56" s="15">
        <v>1</v>
      </c>
      <c r="X56" s="15">
        <v>2</v>
      </c>
      <c r="Y56" s="15">
        <v>1</v>
      </c>
      <c r="Z56" s="15">
        <v>4</v>
      </c>
      <c r="AA56" s="15">
        <v>3</v>
      </c>
      <c r="AB56" s="15">
        <v>9</v>
      </c>
      <c r="AC56" s="15">
        <v>5</v>
      </c>
      <c r="AD56" s="15">
        <v>0</v>
      </c>
      <c r="AE56" s="15">
        <v>6</v>
      </c>
      <c r="AF56" s="15">
        <v>1</v>
      </c>
      <c r="AG56" s="15">
        <v>1</v>
      </c>
      <c r="AH56" s="15">
        <v>1</v>
      </c>
      <c r="AI56" s="15">
        <v>0</v>
      </c>
      <c r="AJ56" s="15">
        <v>1</v>
      </c>
      <c r="AK56" s="15">
        <v>2</v>
      </c>
      <c r="AL56" s="15">
        <v>5</v>
      </c>
      <c r="AM56" s="15">
        <v>2</v>
      </c>
      <c r="AN56" s="15">
        <v>2</v>
      </c>
      <c r="AO56" s="15">
        <v>2</v>
      </c>
      <c r="AP56" s="15">
        <v>0</v>
      </c>
      <c r="AQ56" s="15">
        <v>2</v>
      </c>
      <c r="AR56" s="15">
        <v>0</v>
      </c>
      <c r="AS56" s="15">
        <v>0</v>
      </c>
      <c r="AT56" s="15">
        <v>4</v>
      </c>
      <c r="AU56" s="15">
        <v>1</v>
      </c>
      <c r="AV56" s="15">
        <v>0</v>
      </c>
      <c r="AW56" s="15">
        <v>1</v>
      </c>
      <c r="AX56" s="15">
        <v>2</v>
      </c>
      <c r="AY56" s="15">
        <v>3</v>
      </c>
      <c r="AZ56" s="15">
        <v>1</v>
      </c>
      <c r="BA56" s="15">
        <v>1</v>
      </c>
      <c r="BB56" s="15">
        <v>0</v>
      </c>
      <c r="BC56" s="13">
        <f t="shared" si="13"/>
        <v>107</v>
      </c>
    </row>
    <row r="57" spans="1:55" ht="12.75" customHeight="1" x14ac:dyDescent="0.3">
      <c r="A57" s="14"/>
      <c r="B57" s="27"/>
      <c r="C57" s="28" t="s">
        <v>50</v>
      </c>
      <c r="D57" s="29"/>
      <c r="E57" s="15">
        <v>7</v>
      </c>
      <c r="F57" s="15">
        <v>5</v>
      </c>
      <c r="G57" s="15">
        <v>0</v>
      </c>
      <c r="H57" s="15">
        <v>10</v>
      </c>
      <c r="I57" s="15">
        <v>2</v>
      </c>
      <c r="J57" s="15">
        <v>3</v>
      </c>
      <c r="K57" s="15">
        <v>5</v>
      </c>
      <c r="L57" s="15">
        <v>4</v>
      </c>
      <c r="M57" s="15">
        <v>4</v>
      </c>
      <c r="N57" s="15">
        <v>3</v>
      </c>
      <c r="O57" s="15">
        <v>1</v>
      </c>
      <c r="P57" s="15">
        <v>9</v>
      </c>
      <c r="Q57" s="15">
        <v>3</v>
      </c>
      <c r="R57" s="15">
        <v>0</v>
      </c>
      <c r="S57" s="15">
        <v>1</v>
      </c>
      <c r="T57" s="15">
        <v>4</v>
      </c>
      <c r="U57" s="15">
        <v>12</v>
      </c>
      <c r="V57" s="15">
        <v>4</v>
      </c>
      <c r="W57" s="15">
        <v>5</v>
      </c>
      <c r="X57" s="15">
        <v>12</v>
      </c>
      <c r="Y57" s="15">
        <v>4</v>
      </c>
      <c r="Z57" s="15">
        <v>3</v>
      </c>
      <c r="AA57" s="15">
        <v>2</v>
      </c>
      <c r="AB57" s="15">
        <v>6</v>
      </c>
      <c r="AC57" s="15">
        <v>1</v>
      </c>
      <c r="AD57" s="15">
        <v>2</v>
      </c>
      <c r="AE57" s="15">
        <v>2</v>
      </c>
      <c r="AF57" s="15">
        <v>0</v>
      </c>
      <c r="AG57" s="15">
        <v>1</v>
      </c>
      <c r="AH57" s="15">
        <v>4</v>
      </c>
      <c r="AI57" s="15">
        <v>5</v>
      </c>
      <c r="AJ57" s="15">
        <v>8</v>
      </c>
      <c r="AK57" s="15">
        <v>8</v>
      </c>
      <c r="AL57" s="15">
        <v>0</v>
      </c>
      <c r="AM57" s="15">
        <v>4</v>
      </c>
      <c r="AN57" s="15">
        <v>4</v>
      </c>
      <c r="AO57" s="15">
        <v>6</v>
      </c>
      <c r="AP57" s="15">
        <v>2</v>
      </c>
      <c r="AQ57" s="15">
        <v>2</v>
      </c>
      <c r="AR57" s="15">
        <v>5</v>
      </c>
      <c r="AS57" s="15">
        <v>4</v>
      </c>
      <c r="AT57" s="15">
        <v>4</v>
      </c>
      <c r="AU57" s="15">
        <v>4</v>
      </c>
      <c r="AV57" s="15">
        <v>3</v>
      </c>
      <c r="AW57" s="15">
        <v>3</v>
      </c>
      <c r="AX57" s="15">
        <v>1</v>
      </c>
      <c r="AY57" s="15">
        <v>4</v>
      </c>
      <c r="AZ57" s="15">
        <v>1</v>
      </c>
      <c r="BA57" s="15">
        <v>1</v>
      </c>
      <c r="BB57" s="15">
        <v>4</v>
      </c>
      <c r="BC57" s="13">
        <f t="shared" si="13"/>
        <v>192</v>
      </c>
    </row>
    <row r="58" spans="1:55" ht="12.75" customHeight="1" x14ac:dyDescent="0.3">
      <c r="A58" s="14"/>
      <c r="B58" s="27"/>
      <c r="C58" s="28" t="s">
        <v>51</v>
      </c>
      <c r="D58" s="29"/>
      <c r="E58" s="15">
        <v>2</v>
      </c>
      <c r="F58" s="15">
        <v>1</v>
      </c>
      <c r="G58" s="15">
        <v>0</v>
      </c>
      <c r="H58" s="15">
        <v>0</v>
      </c>
      <c r="I58" s="15">
        <v>4</v>
      </c>
      <c r="J58" s="15">
        <v>1</v>
      </c>
      <c r="K58" s="15">
        <v>1</v>
      </c>
      <c r="L58" s="15">
        <v>0</v>
      </c>
      <c r="M58" s="15">
        <v>3</v>
      </c>
      <c r="N58" s="15">
        <v>0</v>
      </c>
      <c r="O58" s="15">
        <v>2</v>
      </c>
      <c r="P58" s="15">
        <v>1</v>
      </c>
      <c r="Q58" s="15">
        <v>1</v>
      </c>
      <c r="R58" s="15">
        <v>0</v>
      </c>
      <c r="S58" s="15">
        <v>0</v>
      </c>
      <c r="T58" s="15">
        <v>0</v>
      </c>
      <c r="U58" s="15">
        <v>1</v>
      </c>
      <c r="V58" s="15">
        <v>0</v>
      </c>
      <c r="W58" s="15">
        <v>0</v>
      </c>
      <c r="X58" s="15">
        <v>1</v>
      </c>
      <c r="Y58" s="15">
        <v>0</v>
      </c>
      <c r="Z58" s="15">
        <v>2</v>
      </c>
      <c r="AA58" s="15">
        <v>0</v>
      </c>
      <c r="AB58" s="15">
        <v>1</v>
      </c>
      <c r="AC58" s="15">
        <v>1</v>
      </c>
      <c r="AD58" s="15">
        <v>2</v>
      </c>
      <c r="AE58" s="15">
        <v>0</v>
      </c>
      <c r="AF58" s="15">
        <v>0</v>
      </c>
      <c r="AG58" s="15">
        <v>0</v>
      </c>
      <c r="AH58" s="15">
        <v>0</v>
      </c>
      <c r="AI58" s="15">
        <v>1</v>
      </c>
      <c r="AJ58" s="15">
        <v>1</v>
      </c>
      <c r="AK58" s="15">
        <v>0</v>
      </c>
      <c r="AL58" s="15">
        <v>3</v>
      </c>
      <c r="AM58" s="15">
        <v>0</v>
      </c>
      <c r="AN58" s="15">
        <v>1</v>
      </c>
      <c r="AO58" s="15">
        <v>0</v>
      </c>
      <c r="AP58" s="15">
        <v>1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1</v>
      </c>
      <c r="AW58" s="15">
        <v>0</v>
      </c>
      <c r="AX58" s="15">
        <v>0</v>
      </c>
      <c r="AY58" s="15">
        <v>0</v>
      </c>
      <c r="AZ58" s="15">
        <v>1</v>
      </c>
      <c r="BA58" s="15">
        <v>1</v>
      </c>
      <c r="BB58" s="15">
        <v>1</v>
      </c>
      <c r="BC58" s="13">
        <f t="shared" si="13"/>
        <v>35</v>
      </c>
    </row>
    <row r="59" spans="1:55" ht="12.75" customHeight="1" x14ac:dyDescent="0.3">
      <c r="A59" s="14"/>
      <c r="B59" s="27"/>
      <c r="C59" s="28" t="s">
        <v>52</v>
      </c>
      <c r="D59" s="29"/>
      <c r="E59" s="15">
        <v>3</v>
      </c>
      <c r="F59" s="15">
        <v>12</v>
      </c>
      <c r="G59" s="15">
        <v>11</v>
      </c>
      <c r="H59" s="15">
        <v>6</v>
      </c>
      <c r="I59" s="15">
        <v>0</v>
      </c>
      <c r="J59" s="15">
        <v>2</v>
      </c>
      <c r="K59" s="15">
        <v>11</v>
      </c>
      <c r="L59" s="15">
        <v>7</v>
      </c>
      <c r="M59" s="15">
        <v>1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3</v>
      </c>
      <c r="T59" s="15">
        <v>1</v>
      </c>
      <c r="U59" s="15">
        <v>0</v>
      </c>
      <c r="V59" s="15">
        <v>0</v>
      </c>
      <c r="W59" s="15">
        <v>1</v>
      </c>
      <c r="X59" s="15">
        <v>3</v>
      </c>
      <c r="Y59" s="15">
        <v>5</v>
      </c>
      <c r="Z59" s="15">
        <v>3</v>
      </c>
      <c r="AA59" s="15">
        <v>0</v>
      </c>
      <c r="AB59" s="15">
        <v>1</v>
      </c>
      <c r="AC59" s="15">
        <v>2</v>
      </c>
      <c r="AD59" s="15">
        <v>4</v>
      </c>
      <c r="AE59" s="15">
        <v>2</v>
      </c>
      <c r="AF59" s="15">
        <v>1</v>
      </c>
      <c r="AG59" s="15">
        <v>9</v>
      </c>
      <c r="AH59" s="15">
        <v>4</v>
      </c>
      <c r="AI59" s="15">
        <v>15</v>
      </c>
      <c r="AJ59" s="15">
        <v>10</v>
      </c>
      <c r="AK59" s="15">
        <v>16</v>
      </c>
      <c r="AL59" s="15">
        <v>9</v>
      </c>
      <c r="AM59" s="15">
        <v>40</v>
      </c>
      <c r="AN59" s="15">
        <v>4</v>
      </c>
      <c r="AO59" s="15">
        <v>15</v>
      </c>
      <c r="AP59" s="15">
        <v>4</v>
      </c>
      <c r="AQ59" s="15">
        <v>15</v>
      </c>
      <c r="AR59" s="15">
        <v>5</v>
      </c>
      <c r="AS59" s="15">
        <v>4</v>
      </c>
      <c r="AT59" s="15">
        <v>8</v>
      </c>
      <c r="AU59" s="15">
        <v>8</v>
      </c>
      <c r="AV59" s="15">
        <v>37</v>
      </c>
      <c r="AW59" s="15">
        <v>3</v>
      </c>
      <c r="AX59" s="15">
        <v>15</v>
      </c>
      <c r="AY59" s="15">
        <v>1</v>
      </c>
      <c r="AZ59" s="15">
        <v>29</v>
      </c>
      <c r="BA59" s="15">
        <v>7</v>
      </c>
      <c r="BB59" s="15">
        <v>5</v>
      </c>
      <c r="BC59" s="13">
        <f t="shared" si="13"/>
        <v>342</v>
      </c>
    </row>
    <row r="60" spans="1:55" ht="12.75" customHeight="1" x14ac:dyDescent="0.3">
      <c r="A60" s="14"/>
      <c r="B60" s="27"/>
      <c r="C60" s="28" t="s">
        <v>53</v>
      </c>
      <c r="D60" s="29"/>
      <c r="E60" s="15">
        <v>4</v>
      </c>
      <c r="F60" s="15">
        <v>9</v>
      </c>
      <c r="G60" s="15">
        <v>0</v>
      </c>
      <c r="H60" s="15">
        <v>2</v>
      </c>
      <c r="I60" s="15">
        <v>1</v>
      </c>
      <c r="J60" s="15">
        <v>26</v>
      </c>
      <c r="K60" s="15">
        <v>10</v>
      </c>
      <c r="L60" s="15">
        <v>1</v>
      </c>
      <c r="M60" s="15">
        <v>3</v>
      </c>
      <c r="N60" s="15">
        <v>6</v>
      </c>
      <c r="O60" s="15">
        <v>7</v>
      </c>
      <c r="P60" s="15">
        <v>27</v>
      </c>
      <c r="Q60" s="15">
        <v>18</v>
      </c>
      <c r="R60" s="15">
        <v>36</v>
      </c>
      <c r="S60" s="15">
        <v>15</v>
      </c>
      <c r="T60" s="15">
        <v>15</v>
      </c>
      <c r="U60" s="15">
        <v>9</v>
      </c>
      <c r="V60" s="15">
        <v>1</v>
      </c>
      <c r="W60" s="15">
        <v>3</v>
      </c>
      <c r="X60" s="15">
        <v>8</v>
      </c>
      <c r="Y60" s="15">
        <v>11</v>
      </c>
      <c r="Z60" s="15">
        <v>5</v>
      </c>
      <c r="AA60" s="15">
        <v>6</v>
      </c>
      <c r="AB60" s="15">
        <v>5</v>
      </c>
      <c r="AC60" s="15">
        <v>3</v>
      </c>
      <c r="AD60" s="15">
        <v>8</v>
      </c>
      <c r="AE60" s="15">
        <v>11</v>
      </c>
      <c r="AF60" s="15">
        <v>3</v>
      </c>
      <c r="AG60" s="15">
        <v>2</v>
      </c>
      <c r="AH60" s="15">
        <v>1</v>
      </c>
      <c r="AI60" s="15">
        <v>0</v>
      </c>
      <c r="AJ60" s="15">
        <v>1</v>
      </c>
      <c r="AK60" s="15">
        <v>0</v>
      </c>
      <c r="AL60" s="15">
        <v>2</v>
      </c>
      <c r="AM60" s="15">
        <v>1</v>
      </c>
      <c r="AN60" s="15">
        <v>3</v>
      </c>
      <c r="AO60" s="15">
        <v>9</v>
      </c>
      <c r="AP60" s="15">
        <v>3</v>
      </c>
      <c r="AQ60" s="15">
        <v>2</v>
      </c>
      <c r="AR60" s="15">
        <v>7</v>
      </c>
      <c r="AS60" s="15">
        <v>30</v>
      </c>
      <c r="AT60" s="15">
        <v>5</v>
      </c>
      <c r="AU60" s="15">
        <v>2</v>
      </c>
      <c r="AV60" s="15">
        <v>2</v>
      </c>
      <c r="AW60" s="15">
        <v>13</v>
      </c>
      <c r="AX60" s="15">
        <v>3</v>
      </c>
      <c r="AY60" s="15">
        <v>0</v>
      </c>
      <c r="AZ60" s="15">
        <v>1</v>
      </c>
      <c r="BA60" s="15">
        <v>2</v>
      </c>
      <c r="BB60" s="15">
        <v>0</v>
      </c>
      <c r="BC60" s="13">
        <f t="shared" si="13"/>
        <v>342</v>
      </c>
    </row>
    <row r="61" spans="1:55" ht="12.75" customHeight="1" x14ac:dyDescent="0.3">
      <c r="A61" s="14"/>
      <c r="B61" s="27"/>
      <c r="C61" s="28" t="s">
        <v>54</v>
      </c>
      <c r="D61" s="29"/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1</v>
      </c>
      <c r="M61" s="15">
        <v>0</v>
      </c>
      <c r="N61" s="15">
        <v>0</v>
      </c>
      <c r="O61" s="15">
        <v>1</v>
      </c>
      <c r="P61" s="15">
        <v>0</v>
      </c>
      <c r="Q61" s="15">
        <v>0</v>
      </c>
      <c r="R61" s="15">
        <v>0</v>
      </c>
      <c r="S61" s="15">
        <v>0</v>
      </c>
      <c r="T61" s="15">
        <v>1</v>
      </c>
      <c r="U61" s="15">
        <v>0</v>
      </c>
      <c r="V61" s="15">
        <v>0</v>
      </c>
      <c r="W61" s="15">
        <v>0</v>
      </c>
      <c r="X61" s="15">
        <v>4</v>
      </c>
      <c r="Y61" s="15">
        <v>0</v>
      </c>
      <c r="Z61" s="15">
        <v>0</v>
      </c>
      <c r="AA61" s="15">
        <v>0</v>
      </c>
      <c r="AB61" s="15">
        <v>1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1</v>
      </c>
      <c r="AV61" s="15">
        <v>2</v>
      </c>
      <c r="AW61" s="15">
        <v>0</v>
      </c>
      <c r="AX61" s="15">
        <v>1</v>
      </c>
      <c r="AY61" s="15">
        <v>0</v>
      </c>
      <c r="AZ61" s="15">
        <v>0</v>
      </c>
      <c r="BA61" s="15">
        <v>0</v>
      </c>
      <c r="BB61" s="15">
        <v>0</v>
      </c>
      <c r="BC61" s="13">
        <f t="shared" si="13"/>
        <v>12</v>
      </c>
    </row>
    <row r="62" spans="1:55" ht="12.75" customHeight="1" x14ac:dyDescent="0.3">
      <c r="A62" s="14"/>
      <c r="B62" s="27"/>
      <c r="C62" s="28" t="s">
        <v>55</v>
      </c>
      <c r="D62" s="29"/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1</v>
      </c>
      <c r="M62" s="15">
        <v>1</v>
      </c>
      <c r="N62" s="15">
        <v>1</v>
      </c>
      <c r="O62" s="15">
        <v>0</v>
      </c>
      <c r="P62" s="15">
        <v>0</v>
      </c>
      <c r="Q62" s="15">
        <v>0</v>
      </c>
      <c r="R62" s="15">
        <v>2</v>
      </c>
      <c r="S62" s="15">
        <v>2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14</v>
      </c>
      <c r="Z62" s="15">
        <v>1</v>
      </c>
      <c r="AA62" s="15">
        <v>3</v>
      </c>
      <c r="AB62" s="15">
        <v>2</v>
      </c>
      <c r="AC62" s="15">
        <v>2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1</v>
      </c>
      <c r="AK62" s="15">
        <v>3</v>
      </c>
      <c r="AL62" s="15">
        <v>1</v>
      </c>
      <c r="AM62" s="15">
        <v>1</v>
      </c>
      <c r="AN62" s="15">
        <v>1</v>
      </c>
      <c r="AO62" s="15">
        <v>1</v>
      </c>
      <c r="AP62" s="15">
        <v>1</v>
      </c>
      <c r="AQ62" s="15">
        <v>1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1</v>
      </c>
      <c r="AY62" s="15">
        <v>0</v>
      </c>
      <c r="AZ62" s="15">
        <v>0</v>
      </c>
      <c r="BA62" s="15">
        <v>0</v>
      </c>
      <c r="BB62" s="15">
        <v>0</v>
      </c>
      <c r="BC62" s="13">
        <f t="shared" si="13"/>
        <v>40</v>
      </c>
    </row>
    <row r="63" spans="1:55" ht="12.75" customHeight="1" x14ac:dyDescent="0.3">
      <c r="A63" s="15" t="s">
        <v>15</v>
      </c>
      <c r="B63" s="45" t="s">
        <v>47</v>
      </c>
      <c r="C63" s="46"/>
      <c r="D63" s="47"/>
      <c r="E63" s="34">
        <f t="shared" ref="E63:BB63" si="15">SUM(E55:E62)</f>
        <v>29</v>
      </c>
      <c r="F63" s="34">
        <f t="shared" si="15"/>
        <v>33</v>
      </c>
      <c r="G63" s="34">
        <f t="shared" si="15"/>
        <v>18</v>
      </c>
      <c r="H63" s="34">
        <f t="shared" si="15"/>
        <v>34</v>
      </c>
      <c r="I63" s="34">
        <f t="shared" si="15"/>
        <v>12</v>
      </c>
      <c r="J63" s="34">
        <f t="shared" si="15"/>
        <v>36</v>
      </c>
      <c r="K63" s="34">
        <f t="shared" si="15"/>
        <v>37</v>
      </c>
      <c r="L63" s="34">
        <f t="shared" si="15"/>
        <v>26</v>
      </c>
      <c r="M63" s="34">
        <f t="shared" si="15"/>
        <v>19</v>
      </c>
      <c r="N63" s="34">
        <f t="shared" si="15"/>
        <v>19</v>
      </c>
      <c r="O63" s="34">
        <f t="shared" si="15"/>
        <v>18</v>
      </c>
      <c r="P63" s="34">
        <f t="shared" si="15"/>
        <v>43</v>
      </c>
      <c r="Q63" s="34">
        <f t="shared" si="15"/>
        <v>28</v>
      </c>
      <c r="R63" s="34">
        <f t="shared" si="15"/>
        <v>42</v>
      </c>
      <c r="S63" s="34">
        <f t="shared" si="15"/>
        <v>24</v>
      </c>
      <c r="T63" s="34">
        <f t="shared" si="15"/>
        <v>29</v>
      </c>
      <c r="U63" s="34">
        <f t="shared" si="15"/>
        <v>31</v>
      </c>
      <c r="V63" s="34">
        <f t="shared" si="15"/>
        <v>8</v>
      </c>
      <c r="W63" s="34">
        <f t="shared" si="15"/>
        <v>14</v>
      </c>
      <c r="X63" s="34">
        <f t="shared" si="15"/>
        <v>32</v>
      </c>
      <c r="Y63" s="34">
        <f t="shared" si="15"/>
        <v>46</v>
      </c>
      <c r="Z63" s="34">
        <f t="shared" si="15"/>
        <v>22</v>
      </c>
      <c r="AA63" s="34">
        <f t="shared" si="15"/>
        <v>18</v>
      </c>
      <c r="AB63" s="34">
        <f t="shared" si="15"/>
        <v>30</v>
      </c>
      <c r="AC63" s="34">
        <f t="shared" si="15"/>
        <v>20</v>
      </c>
      <c r="AD63" s="34">
        <f t="shared" si="15"/>
        <v>20</v>
      </c>
      <c r="AE63" s="34">
        <f t="shared" si="15"/>
        <v>30</v>
      </c>
      <c r="AF63" s="34">
        <f t="shared" si="15"/>
        <v>11</v>
      </c>
      <c r="AG63" s="34">
        <f t="shared" si="15"/>
        <v>19</v>
      </c>
      <c r="AH63" s="34">
        <f t="shared" si="15"/>
        <v>13</v>
      </c>
      <c r="AI63" s="34">
        <f t="shared" si="15"/>
        <v>26</v>
      </c>
      <c r="AJ63" s="34">
        <f t="shared" si="15"/>
        <v>24</v>
      </c>
      <c r="AK63" s="34">
        <f t="shared" si="15"/>
        <v>29</v>
      </c>
      <c r="AL63" s="34">
        <f t="shared" si="15"/>
        <v>25</v>
      </c>
      <c r="AM63" s="34">
        <f t="shared" si="15"/>
        <v>54</v>
      </c>
      <c r="AN63" s="34">
        <f t="shared" si="15"/>
        <v>19</v>
      </c>
      <c r="AO63" s="34">
        <f t="shared" si="15"/>
        <v>35</v>
      </c>
      <c r="AP63" s="34">
        <f t="shared" si="15"/>
        <v>12</v>
      </c>
      <c r="AQ63" s="34">
        <f t="shared" si="15"/>
        <v>26</v>
      </c>
      <c r="AR63" s="34">
        <f t="shared" si="15"/>
        <v>20</v>
      </c>
      <c r="AS63" s="34">
        <f t="shared" si="15"/>
        <v>42</v>
      </c>
      <c r="AT63" s="34">
        <f t="shared" si="15"/>
        <v>23</v>
      </c>
      <c r="AU63" s="34">
        <f t="shared" si="15"/>
        <v>17</v>
      </c>
      <c r="AV63" s="34">
        <f t="shared" si="15"/>
        <v>48</v>
      </c>
      <c r="AW63" s="34">
        <f t="shared" si="15"/>
        <v>21</v>
      </c>
      <c r="AX63" s="34">
        <f t="shared" si="15"/>
        <v>24</v>
      </c>
      <c r="AY63" s="34">
        <f t="shared" si="15"/>
        <v>8</v>
      </c>
      <c r="AZ63" s="34">
        <f t="shared" si="15"/>
        <v>36</v>
      </c>
      <c r="BA63" s="34">
        <f t="shared" si="15"/>
        <v>16</v>
      </c>
      <c r="BB63" s="34">
        <f t="shared" si="15"/>
        <v>22</v>
      </c>
      <c r="BC63" s="13">
        <f t="shared" si="13"/>
        <v>1288</v>
      </c>
    </row>
    <row r="64" spans="1:55" ht="12.75" customHeight="1" x14ac:dyDescent="0.3">
      <c r="A64" s="35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13">
        <f t="shared" si="13"/>
        <v>0</v>
      </c>
    </row>
    <row r="65" spans="1:55" ht="12.75" customHeight="1" x14ac:dyDescent="0.3">
      <c r="A65" s="19" t="s">
        <v>37</v>
      </c>
      <c r="B65" s="26" t="s">
        <v>21</v>
      </c>
      <c r="C65" s="48" t="s">
        <v>56</v>
      </c>
      <c r="D65" s="47"/>
      <c r="E65" s="15">
        <v>11</v>
      </c>
      <c r="F65" s="15">
        <v>11</v>
      </c>
      <c r="G65" s="15">
        <v>13</v>
      </c>
      <c r="H65" s="15">
        <v>16</v>
      </c>
      <c r="I65" s="15">
        <v>7</v>
      </c>
      <c r="J65" s="15">
        <v>14</v>
      </c>
      <c r="K65" s="15">
        <v>19</v>
      </c>
      <c r="L65" s="15">
        <v>11</v>
      </c>
      <c r="M65" s="15">
        <v>10</v>
      </c>
      <c r="N65" s="15">
        <v>23</v>
      </c>
      <c r="O65" s="15">
        <v>14</v>
      </c>
      <c r="P65" s="15">
        <v>8</v>
      </c>
      <c r="Q65" s="15">
        <v>13</v>
      </c>
      <c r="R65" s="15">
        <v>4</v>
      </c>
      <c r="S65" s="15">
        <v>6</v>
      </c>
      <c r="T65" s="15">
        <v>9</v>
      </c>
      <c r="U65" s="15">
        <v>7</v>
      </c>
      <c r="V65" s="15">
        <v>9</v>
      </c>
      <c r="W65" s="15">
        <v>8</v>
      </c>
      <c r="X65" s="15">
        <v>6</v>
      </c>
      <c r="Y65" s="15">
        <v>9</v>
      </c>
      <c r="Z65" s="15">
        <v>16</v>
      </c>
      <c r="AA65" s="15">
        <v>13</v>
      </c>
      <c r="AB65" s="15">
        <v>7</v>
      </c>
      <c r="AC65" s="15">
        <v>10</v>
      </c>
      <c r="AD65" s="15">
        <v>6</v>
      </c>
      <c r="AE65" s="15">
        <v>12</v>
      </c>
      <c r="AF65" s="15">
        <v>14</v>
      </c>
      <c r="AG65" s="15"/>
      <c r="AH65" s="15">
        <v>3</v>
      </c>
      <c r="AI65" s="15"/>
      <c r="AJ65" s="15"/>
      <c r="AK65" s="15">
        <v>4</v>
      </c>
      <c r="AL65" s="15">
        <v>5</v>
      </c>
      <c r="AM65" s="15">
        <v>3</v>
      </c>
      <c r="AN65" s="15">
        <v>5</v>
      </c>
      <c r="AO65" s="15">
        <v>2</v>
      </c>
      <c r="AP65" s="15"/>
      <c r="AQ65" s="15"/>
      <c r="AR65" s="15">
        <v>5</v>
      </c>
      <c r="AS65" s="15">
        <v>3</v>
      </c>
      <c r="AT65" s="15">
        <v>1</v>
      </c>
      <c r="AU65" s="15">
        <v>5</v>
      </c>
      <c r="AV65" s="15">
        <v>2</v>
      </c>
      <c r="AW65" s="15">
        <v>16</v>
      </c>
      <c r="AX65" s="15">
        <v>3</v>
      </c>
      <c r="AY65" s="15">
        <v>6</v>
      </c>
      <c r="AZ65" s="15">
        <v>3</v>
      </c>
      <c r="BA65" s="15">
        <v>5</v>
      </c>
      <c r="BB65" s="15">
        <v>4</v>
      </c>
      <c r="BC65" s="13">
        <f t="shared" si="13"/>
        <v>381</v>
      </c>
    </row>
    <row r="66" spans="1:55" ht="12.75" customHeight="1" x14ac:dyDescent="0.3">
      <c r="A66" s="19" t="s">
        <v>39</v>
      </c>
      <c r="B66" s="27"/>
      <c r="C66" s="28" t="s">
        <v>57</v>
      </c>
      <c r="D66" s="29"/>
      <c r="E66" s="15">
        <v>71</v>
      </c>
      <c r="F66" s="15">
        <v>29</v>
      </c>
      <c r="G66" s="15">
        <v>18</v>
      </c>
      <c r="H66" s="15">
        <v>43</v>
      </c>
      <c r="I66" s="15">
        <v>14</v>
      </c>
      <c r="J66" s="15">
        <v>51</v>
      </c>
      <c r="K66" s="15">
        <v>109</v>
      </c>
      <c r="L66" s="15">
        <v>51</v>
      </c>
      <c r="M66" s="15">
        <v>21</v>
      </c>
      <c r="N66" s="15">
        <v>47</v>
      </c>
      <c r="O66" s="15">
        <v>39</v>
      </c>
      <c r="P66" s="15">
        <v>30</v>
      </c>
      <c r="Q66" s="15">
        <v>52</v>
      </c>
      <c r="R66" s="15">
        <v>14</v>
      </c>
      <c r="S66" s="15">
        <v>32</v>
      </c>
      <c r="T66" s="15">
        <v>36</v>
      </c>
      <c r="U66" s="15">
        <v>29</v>
      </c>
      <c r="V66" s="15">
        <v>40</v>
      </c>
      <c r="W66" s="15">
        <v>74</v>
      </c>
      <c r="X66" s="15">
        <v>9</v>
      </c>
      <c r="Y66" s="15">
        <v>23</v>
      </c>
      <c r="Z66" s="15">
        <v>52</v>
      </c>
      <c r="AA66" s="15">
        <v>50</v>
      </c>
      <c r="AB66" s="15">
        <v>39</v>
      </c>
      <c r="AC66" s="15">
        <v>49</v>
      </c>
      <c r="AD66" s="15">
        <v>42</v>
      </c>
      <c r="AE66" s="15">
        <v>64</v>
      </c>
      <c r="AF66" s="15">
        <v>78</v>
      </c>
      <c r="AG66" s="15">
        <v>2</v>
      </c>
      <c r="AH66" s="15">
        <v>2</v>
      </c>
      <c r="AI66" s="15">
        <v>5</v>
      </c>
      <c r="AJ66" s="15">
        <v>2</v>
      </c>
      <c r="AK66" s="15">
        <v>20</v>
      </c>
      <c r="AL66" s="15">
        <v>4</v>
      </c>
      <c r="AM66" s="15">
        <v>2</v>
      </c>
      <c r="AN66" s="15">
        <v>48</v>
      </c>
      <c r="AO66" s="15">
        <v>14</v>
      </c>
      <c r="AP66" s="15">
        <v>1</v>
      </c>
      <c r="AQ66" s="15">
        <v>2</v>
      </c>
      <c r="AR66" s="15">
        <v>9</v>
      </c>
      <c r="AS66" s="15">
        <v>23</v>
      </c>
      <c r="AT66" s="15">
        <v>12</v>
      </c>
      <c r="AU66" s="15">
        <v>63</v>
      </c>
      <c r="AV66" s="15">
        <v>2</v>
      </c>
      <c r="AW66" s="15">
        <v>78</v>
      </c>
      <c r="AX66" s="15">
        <v>22</v>
      </c>
      <c r="AY66" s="15">
        <v>145</v>
      </c>
      <c r="AZ66" s="15">
        <v>20</v>
      </c>
      <c r="BA66" s="15">
        <v>21</v>
      </c>
      <c r="BB66" s="15">
        <v>12</v>
      </c>
      <c r="BC66" s="13">
        <f t="shared" si="13"/>
        <v>1715</v>
      </c>
    </row>
    <row r="67" spans="1:55" ht="15" customHeight="1" x14ac:dyDescent="0.3">
      <c r="A67" s="14"/>
      <c r="B67" s="27"/>
      <c r="C67" s="28" t="s">
        <v>58</v>
      </c>
      <c r="D67" s="29"/>
      <c r="E67" s="15"/>
      <c r="F67" s="15"/>
      <c r="G67" s="15"/>
      <c r="H67" s="15"/>
      <c r="I67" s="15"/>
      <c r="J67" s="15">
        <v>1</v>
      </c>
      <c r="K67" s="15">
        <v>1</v>
      </c>
      <c r="L67" s="15"/>
      <c r="M67" s="15"/>
      <c r="N67" s="15">
        <v>3</v>
      </c>
      <c r="O67" s="15"/>
      <c r="P67" s="15"/>
      <c r="Q67" s="15"/>
      <c r="R67" s="15"/>
      <c r="S67" s="15"/>
      <c r="T67" s="15">
        <v>2</v>
      </c>
      <c r="U67" s="15"/>
      <c r="V67" s="15">
        <v>2</v>
      </c>
      <c r="W67" s="15"/>
      <c r="X67" s="15"/>
      <c r="Y67" s="15">
        <v>2</v>
      </c>
      <c r="Z67" s="15"/>
      <c r="AA67" s="15"/>
      <c r="AB67" s="15">
        <v>1</v>
      </c>
      <c r="AC67" s="15"/>
      <c r="AD67" s="15">
        <v>1</v>
      </c>
      <c r="AE67" s="15"/>
      <c r="AF67" s="15"/>
      <c r="AG67" s="15"/>
      <c r="AH67" s="15"/>
      <c r="AI67" s="15"/>
      <c r="AJ67" s="15">
        <v>1</v>
      </c>
      <c r="AK67" s="15"/>
      <c r="AL67" s="15">
        <v>1</v>
      </c>
      <c r="AM67" s="15">
        <v>2</v>
      </c>
      <c r="AN67" s="15"/>
      <c r="AO67" s="15">
        <v>1</v>
      </c>
      <c r="AP67" s="15">
        <v>1</v>
      </c>
      <c r="AQ67" s="15">
        <v>1</v>
      </c>
      <c r="AR67" s="15">
        <v>1</v>
      </c>
      <c r="AS67" s="15"/>
      <c r="AT67" s="15">
        <v>1</v>
      </c>
      <c r="AU67" s="15">
        <v>1</v>
      </c>
      <c r="AV67" s="15"/>
      <c r="AW67" s="15"/>
      <c r="AX67" s="15"/>
      <c r="AY67" s="15"/>
      <c r="AZ67" s="15"/>
      <c r="BA67" s="15"/>
      <c r="BB67" s="15"/>
      <c r="BC67" s="13">
        <f t="shared" si="13"/>
        <v>23</v>
      </c>
    </row>
    <row r="68" spans="1:55" ht="12.75" customHeight="1" x14ac:dyDescent="0.3">
      <c r="A68" s="14"/>
      <c r="B68" s="27"/>
      <c r="C68" s="28" t="s">
        <v>59</v>
      </c>
      <c r="D68" s="29"/>
      <c r="E68" s="15">
        <v>1</v>
      </c>
      <c r="F68" s="15">
        <v>1</v>
      </c>
      <c r="G68" s="15">
        <v>1</v>
      </c>
      <c r="H68" s="15">
        <v>1</v>
      </c>
      <c r="I68" s="15">
        <v>1</v>
      </c>
      <c r="J68" s="15"/>
      <c r="K68" s="15">
        <v>1</v>
      </c>
      <c r="L68" s="15">
        <v>1</v>
      </c>
      <c r="M68" s="15">
        <v>1</v>
      </c>
      <c r="N68" s="15">
        <v>1</v>
      </c>
      <c r="O68" s="15">
        <v>1</v>
      </c>
      <c r="P68" s="15">
        <v>4</v>
      </c>
      <c r="Q68" s="15"/>
      <c r="R68" s="15"/>
      <c r="S68" s="15">
        <v>1</v>
      </c>
      <c r="T68" s="15">
        <v>2</v>
      </c>
      <c r="U68" s="15"/>
      <c r="V68" s="15"/>
      <c r="W68" s="15">
        <v>1</v>
      </c>
      <c r="X68" s="15">
        <v>3</v>
      </c>
      <c r="Y68" s="15"/>
      <c r="Z68" s="15"/>
      <c r="AA68" s="15"/>
      <c r="AB68" s="15">
        <v>1</v>
      </c>
      <c r="AC68" s="15">
        <v>1</v>
      </c>
      <c r="AD68" s="15">
        <v>2</v>
      </c>
      <c r="AE68" s="15">
        <v>2</v>
      </c>
      <c r="AF68" s="15">
        <v>2</v>
      </c>
      <c r="AG68" s="15"/>
      <c r="AH68" s="15">
        <v>1</v>
      </c>
      <c r="AI68" s="15"/>
      <c r="AJ68" s="15">
        <v>2</v>
      </c>
      <c r="AK68" s="15"/>
      <c r="AL68" s="15"/>
      <c r="AM68" s="15">
        <v>1</v>
      </c>
      <c r="AN68" s="15"/>
      <c r="AO68" s="15">
        <v>2</v>
      </c>
      <c r="AP68" s="15"/>
      <c r="AQ68" s="15">
        <v>1</v>
      </c>
      <c r="AR68" s="15"/>
      <c r="AS68" s="15">
        <v>1</v>
      </c>
      <c r="AT68" s="15">
        <v>1</v>
      </c>
      <c r="AU68" s="15"/>
      <c r="AV68" s="15"/>
      <c r="AW68" s="15">
        <v>1</v>
      </c>
      <c r="AX68" s="15"/>
      <c r="AY68" s="15"/>
      <c r="AZ68" s="15">
        <v>1</v>
      </c>
      <c r="BA68" s="15"/>
      <c r="BB68" s="15">
        <v>2</v>
      </c>
      <c r="BC68" s="13">
        <f t="shared" si="13"/>
        <v>42</v>
      </c>
    </row>
    <row r="69" spans="1:55" ht="12.75" customHeight="1" x14ac:dyDescent="0.3">
      <c r="A69" s="14"/>
      <c r="B69" s="27"/>
      <c r="C69" s="28" t="s">
        <v>60</v>
      </c>
      <c r="D69" s="29"/>
      <c r="E69" s="15">
        <v>4</v>
      </c>
      <c r="F69" s="15">
        <v>1</v>
      </c>
      <c r="G69" s="15"/>
      <c r="H69" s="15"/>
      <c r="I69" s="15">
        <v>2</v>
      </c>
      <c r="J69" s="15">
        <v>1</v>
      </c>
      <c r="K69" s="15">
        <v>3</v>
      </c>
      <c r="L69" s="15">
        <v>1</v>
      </c>
      <c r="M69" s="15">
        <v>2</v>
      </c>
      <c r="N69" s="15">
        <v>8</v>
      </c>
      <c r="O69" s="15">
        <v>3</v>
      </c>
      <c r="P69" s="15">
        <v>4</v>
      </c>
      <c r="Q69" s="15"/>
      <c r="R69" s="15"/>
      <c r="S69" s="15">
        <v>2</v>
      </c>
      <c r="T69" s="15">
        <v>2</v>
      </c>
      <c r="U69" s="15"/>
      <c r="V69" s="15"/>
      <c r="W69" s="15">
        <v>1</v>
      </c>
      <c r="X69" s="15">
        <v>10</v>
      </c>
      <c r="Y69" s="15">
        <v>1</v>
      </c>
      <c r="Z69" s="15"/>
      <c r="AA69" s="15">
        <v>1</v>
      </c>
      <c r="AB69" s="15">
        <v>1</v>
      </c>
      <c r="AC69" s="15"/>
      <c r="AD69" s="15">
        <v>1</v>
      </c>
      <c r="AE69" s="15">
        <v>3</v>
      </c>
      <c r="AF69" s="15">
        <v>1</v>
      </c>
      <c r="AG69" s="15">
        <v>1</v>
      </c>
      <c r="AH69" s="15"/>
      <c r="AI69" s="15"/>
      <c r="AJ69" s="15">
        <v>1</v>
      </c>
      <c r="AK69" s="15"/>
      <c r="AL69" s="15"/>
      <c r="AM69" s="15"/>
      <c r="AN69" s="15">
        <v>1</v>
      </c>
      <c r="AO69" s="15">
        <v>2</v>
      </c>
      <c r="AP69" s="15"/>
      <c r="AQ69" s="15"/>
      <c r="AR69" s="15">
        <v>1</v>
      </c>
      <c r="AS69" s="15"/>
      <c r="AT69" s="15">
        <v>4</v>
      </c>
      <c r="AU69" s="15"/>
      <c r="AV69" s="15">
        <v>1</v>
      </c>
      <c r="AW69" s="15">
        <v>1</v>
      </c>
      <c r="AX69" s="15">
        <v>1</v>
      </c>
      <c r="AY69" s="15"/>
      <c r="AZ69" s="15">
        <v>1</v>
      </c>
      <c r="BA69" s="15"/>
      <c r="BB69" s="15">
        <v>3</v>
      </c>
      <c r="BC69" s="13">
        <f t="shared" si="13"/>
        <v>69</v>
      </c>
    </row>
    <row r="70" spans="1:55" ht="12.75" customHeight="1" x14ac:dyDescent="0.3">
      <c r="A70" s="14"/>
      <c r="B70" s="27"/>
      <c r="C70" s="28" t="s">
        <v>61</v>
      </c>
      <c r="D70" s="29"/>
      <c r="E70" s="15"/>
      <c r="F70" s="15"/>
      <c r="G70" s="15"/>
      <c r="H70" s="15"/>
      <c r="I70" s="15"/>
      <c r="J70" s="15"/>
      <c r="K70" s="15">
        <v>2</v>
      </c>
      <c r="L70" s="15"/>
      <c r="M70" s="15"/>
      <c r="N70" s="15"/>
      <c r="O70" s="15"/>
      <c r="P70" s="15">
        <v>2</v>
      </c>
      <c r="Q70" s="15"/>
      <c r="R70" s="15">
        <v>2</v>
      </c>
      <c r="S70" s="15">
        <v>1</v>
      </c>
      <c r="T70" s="15"/>
      <c r="U70" s="15"/>
      <c r="V70" s="15"/>
      <c r="W70" s="15">
        <v>1</v>
      </c>
      <c r="X70" s="15">
        <v>1</v>
      </c>
      <c r="Y70" s="15"/>
      <c r="Z70" s="15">
        <v>1</v>
      </c>
      <c r="AA70" s="15"/>
      <c r="AB70" s="15"/>
      <c r="AC70" s="15"/>
      <c r="AD70" s="15"/>
      <c r="AE70" s="15">
        <v>2</v>
      </c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>
        <v>1</v>
      </c>
      <c r="AR70" s="15"/>
      <c r="AS70" s="15">
        <v>1</v>
      </c>
      <c r="AT70" s="15"/>
      <c r="AU70" s="15"/>
      <c r="AV70" s="15"/>
      <c r="AW70" s="15"/>
      <c r="AX70" s="15"/>
      <c r="AY70" s="15"/>
      <c r="AZ70" s="15"/>
      <c r="BA70" s="15"/>
      <c r="BB70" s="15"/>
      <c r="BC70" s="13">
        <f t="shared" si="13"/>
        <v>14</v>
      </c>
    </row>
    <row r="71" spans="1:55" ht="12.75" customHeight="1" x14ac:dyDescent="0.3">
      <c r="A71" s="14"/>
      <c r="B71" s="27"/>
      <c r="C71" s="28" t="s">
        <v>62</v>
      </c>
      <c r="D71" s="29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>
        <v>1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>
        <v>1</v>
      </c>
      <c r="AT71" s="15"/>
      <c r="AU71" s="15"/>
      <c r="AV71" s="15"/>
      <c r="AW71" s="15"/>
      <c r="AX71" s="15"/>
      <c r="AY71" s="15"/>
      <c r="AZ71" s="15"/>
      <c r="BA71" s="15"/>
      <c r="BB71" s="15"/>
      <c r="BC71" s="13">
        <f t="shared" si="13"/>
        <v>2</v>
      </c>
    </row>
    <row r="72" spans="1:55" ht="12.75" customHeight="1" x14ac:dyDescent="0.3">
      <c r="A72" s="14"/>
      <c r="B72" s="27"/>
      <c r="C72" s="28" t="s">
        <v>63</v>
      </c>
      <c r="D72" s="29"/>
      <c r="E72" s="15">
        <v>2</v>
      </c>
      <c r="F72" s="15"/>
      <c r="G72" s="15">
        <v>1</v>
      </c>
      <c r="H72" s="15">
        <v>1</v>
      </c>
      <c r="I72" s="15">
        <v>1</v>
      </c>
      <c r="J72" s="15">
        <v>1</v>
      </c>
      <c r="K72" s="15">
        <v>2</v>
      </c>
      <c r="L72" s="15">
        <v>3</v>
      </c>
      <c r="M72" s="15"/>
      <c r="N72" s="15">
        <v>6</v>
      </c>
      <c r="O72" s="15">
        <v>1</v>
      </c>
      <c r="P72" s="15"/>
      <c r="Q72" s="15">
        <v>1</v>
      </c>
      <c r="R72" s="15">
        <v>1</v>
      </c>
      <c r="S72" s="15"/>
      <c r="T72" s="15"/>
      <c r="U72" s="15">
        <v>1</v>
      </c>
      <c r="V72" s="15">
        <v>3</v>
      </c>
      <c r="W72" s="15"/>
      <c r="X72" s="15">
        <v>6</v>
      </c>
      <c r="Y72" s="15">
        <v>5</v>
      </c>
      <c r="Z72" s="15">
        <v>1</v>
      </c>
      <c r="AA72" s="15"/>
      <c r="AB72" s="15"/>
      <c r="AC72" s="15">
        <v>1</v>
      </c>
      <c r="AD72" s="15"/>
      <c r="AE72" s="15">
        <v>2</v>
      </c>
      <c r="AF72" s="15"/>
      <c r="AG72" s="15"/>
      <c r="AH72" s="15"/>
      <c r="AI72" s="15"/>
      <c r="AJ72" s="15"/>
      <c r="AK72" s="15"/>
      <c r="AL72" s="15">
        <v>1</v>
      </c>
      <c r="AM72" s="15"/>
      <c r="AN72" s="15"/>
      <c r="AO72" s="15">
        <v>1</v>
      </c>
      <c r="AP72" s="15">
        <v>1</v>
      </c>
      <c r="AQ72" s="15"/>
      <c r="AR72" s="15">
        <v>1</v>
      </c>
      <c r="AS72" s="15">
        <v>2</v>
      </c>
      <c r="AT72" s="15">
        <v>2</v>
      </c>
      <c r="AU72" s="15"/>
      <c r="AV72" s="15"/>
      <c r="AW72" s="15"/>
      <c r="AX72" s="15"/>
      <c r="AY72" s="15"/>
      <c r="AZ72" s="15"/>
      <c r="BA72" s="15"/>
      <c r="BB72" s="15"/>
      <c r="BC72" s="13">
        <f t="shared" si="13"/>
        <v>47</v>
      </c>
    </row>
    <row r="73" spans="1:55" ht="12.75" customHeight="1" x14ac:dyDescent="0.3">
      <c r="A73" s="15" t="s">
        <v>15</v>
      </c>
      <c r="B73" s="45" t="s">
        <v>47</v>
      </c>
      <c r="C73" s="46"/>
      <c r="D73" s="47"/>
      <c r="E73" s="34">
        <f t="shared" ref="E73:BB73" si="16">SUM(E65:E72)</f>
        <v>89</v>
      </c>
      <c r="F73" s="34">
        <f t="shared" si="16"/>
        <v>42</v>
      </c>
      <c r="G73" s="34">
        <f t="shared" si="16"/>
        <v>33</v>
      </c>
      <c r="H73" s="34">
        <f t="shared" si="16"/>
        <v>61</v>
      </c>
      <c r="I73" s="34">
        <f t="shared" si="16"/>
        <v>25</v>
      </c>
      <c r="J73" s="34">
        <f t="shared" si="16"/>
        <v>68</v>
      </c>
      <c r="K73" s="34">
        <f t="shared" si="16"/>
        <v>137</v>
      </c>
      <c r="L73" s="34">
        <f t="shared" si="16"/>
        <v>67</v>
      </c>
      <c r="M73" s="34">
        <f t="shared" si="16"/>
        <v>34</v>
      </c>
      <c r="N73" s="34">
        <f t="shared" si="16"/>
        <v>88</v>
      </c>
      <c r="O73" s="34">
        <f t="shared" si="16"/>
        <v>58</v>
      </c>
      <c r="P73" s="34">
        <f t="shared" si="16"/>
        <v>48</v>
      </c>
      <c r="Q73" s="34">
        <f t="shared" si="16"/>
        <v>66</v>
      </c>
      <c r="R73" s="34">
        <f t="shared" si="16"/>
        <v>21</v>
      </c>
      <c r="S73" s="34">
        <f t="shared" si="16"/>
        <v>42</v>
      </c>
      <c r="T73" s="34">
        <f t="shared" si="16"/>
        <v>51</v>
      </c>
      <c r="U73" s="34">
        <f t="shared" si="16"/>
        <v>37</v>
      </c>
      <c r="V73" s="34">
        <f t="shared" si="16"/>
        <v>54</v>
      </c>
      <c r="W73" s="34">
        <f t="shared" si="16"/>
        <v>86</v>
      </c>
      <c r="X73" s="34">
        <f t="shared" si="16"/>
        <v>35</v>
      </c>
      <c r="Y73" s="34">
        <f t="shared" si="16"/>
        <v>40</v>
      </c>
      <c r="Z73" s="34">
        <f t="shared" si="16"/>
        <v>70</v>
      </c>
      <c r="AA73" s="34">
        <f t="shared" si="16"/>
        <v>64</v>
      </c>
      <c r="AB73" s="34">
        <f t="shared" si="16"/>
        <v>49</v>
      </c>
      <c r="AC73" s="34">
        <f t="shared" si="16"/>
        <v>61</v>
      </c>
      <c r="AD73" s="34">
        <f t="shared" si="16"/>
        <v>52</v>
      </c>
      <c r="AE73" s="34">
        <f t="shared" si="16"/>
        <v>85</v>
      </c>
      <c r="AF73" s="34">
        <f t="shared" si="16"/>
        <v>95</v>
      </c>
      <c r="AG73" s="34">
        <f t="shared" si="16"/>
        <v>3</v>
      </c>
      <c r="AH73" s="34">
        <f t="shared" si="16"/>
        <v>6</v>
      </c>
      <c r="AI73" s="34">
        <f t="shared" si="16"/>
        <v>5</v>
      </c>
      <c r="AJ73" s="34">
        <f t="shared" si="16"/>
        <v>6</v>
      </c>
      <c r="AK73" s="34">
        <f t="shared" si="16"/>
        <v>24</v>
      </c>
      <c r="AL73" s="34">
        <f t="shared" si="16"/>
        <v>11</v>
      </c>
      <c r="AM73" s="34">
        <f t="shared" si="16"/>
        <v>8</v>
      </c>
      <c r="AN73" s="34">
        <f t="shared" si="16"/>
        <v>54</v>
      </c>
      <c r="AO73" s="34">
        <f t="shared" si="16"/>
        <v>22</v>
      </c>
      <c r="AP73" s="34">
        <f t="shared" si="16"/>
        <v>3</v>
      </c>
      <c r="AQ73" s="34">
        <f t="shared" si="16"/>
        <v>5</v>
      </c>
      <c r="AR73" s="34">
        <f t="shared" si="16"/>
        <v>17</v>
      </c>
      <c r="AS73" s="34">
        <f t="shared" si="16"/>
        <v>31</v>
      </c>
      <c r="AT73" s="34">
        <f t="shared" si="16"/>
        <v>21</v>
      </c>
      <c r="AU73" s="34">
        <f t="shared" si="16"/>
        <v>69</v>
      </c>
      <c r="AV73" s="34">
        <f t="shared" si="16"/>
        <v>5</v>
      </c>
      <c r="AW73" s="34">
        <f t="shared" si="16"/>
        <v>96</v>
      </c>
      <c r="AX73" s="34">
        <f t="shared" si="16"/>
        <v>26</v>
      </c>
      <c r="AY73" s="34">
        <f t="shared" si="16"/>
        <v>151</v>
      </c>
      <c r="AZ73" s="34">
        <f t="shared" si="16"/>
        <v>25</v>
      </c>
      <c r="BA73" s="34">
        <f t="shared" si="16"/>
        <v>26</v>
      </c>
      <c r="BB73" s="34">
        <f t="shared" si="16"/>
        <v>21</v>
      </c>
      <c r="BC73" s="13">
        <f t="shared" si="13"/>
        <v>2293</v>
      </c>
    </row>
    <row r="74" spans="1:55" ht="12.75" customHeight="1" x14ac:dyDescent="0.3">
      <c r="A74" s="35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13">
        <f t="shared" si="13"/>
        <v>0</v>
      </c>
    </row>
    <row r="75" spans="1:55" ht="12.75" customHeight="1" x14ac:dyDescent="0.3">
      <c r="A75" s="19" t="s">
        <v>37</v>
      </c>
      <c r="B75" s="26" t="s">
        <v>23</v>
      </c>
      <c r="C75" s="48" t="s">
        <v>64</v>
      </c>
      <c r="D75" s="47"/>
      <c r="E75" s="15">
        <v>15</v>
      </c>
      <c r="F75" s="15">
        <v>4</v>
      </c>
      <c r="G75" s="15">
        <v>1</v>
      </c>
      <c r="H75" s="15">
        <v>2</v>
      </c>
      <c r="I75" s="15">
        <v>5</v>
      </c>
      <c r="J75" s="15">
        <v>6</v>
      </c>
      <c r="K75" s="15"/>
      <c r="L75" s="15">
        <v>1</v>
      </c>
      <c r="M75" s="15">
        <v>2</v>
      </c>
      <c r="N75" s="15">
        <v>3</v>
      </c>
      <c r="O75" s="15">
        <v>1</v>
      </c>
      <c r="P75" s="15"/>
      <c r="Q75" s="15">
        <v>1</v>
      </c>
      <c r="R75" s="15"/>
      <c r="S75" s="15">
        <v>4</v>
      </c>
      <c r="T75" s="15">
        <v>2</v>
      </c>
      <c r="U75" s="15">
        <v>4</v>
      </c>
      <c r="V75" s="15">
        <v>3</v>
      </c>
      <c r="W75" s="15">
        <v>4</v>
      </c>
      <c r="X75" s="15">
        <v>3</v>
      </c>
      <c r="Y75" s="15">
        <v>1</v>
      </c>
      <c r="Z75" s="15">
        <v>1</v>
      </c>
      <c r="AA75" s="15">
        <v>2</v>
      </c>
      <c r="AB75" s="15">
        <v>2</v>
      </c>
      <c r="AC75" s="15">
        <v>2</v>
      </c>
      <c r="AD75" s="15">
        <v>2</v>
      </c>
      <c r="AE75" s="15"/>
      <c r="AF75" s="15"/>
      <c r="AG75" s="15">
        <v>5</v>
      </c>
      <c r="AH75" s="15">
        <v>4</v>
      </c>
      <c r="AI75" s="15">
        <v>6</v>
      </c>
      <c r="AJ75" s="15"/>
      <c r="AK75" s="15">
        <v>5</v>
      </c>
      <c r="AL75" s="15">
        <v>1</v>
      </c>
      <c r="AM75" s="15">
        <v>3</v>
      </c>
      <c r="AN75" s="15"/>
      <c r="AO75" s="15">
        <v>1</v>
      </c>
      <c r="AP75" s="15"/>
      <c r="AQ75" s="15"/>
      <c r="AR75" s="15">
        <v>3</v>
      </c>
      <c r="AS75" s="15">
        <v>3</v>
      </c>
      <c r="AT75" s="15">
        <v>4</v>
      </c>
      <c r="AU75" s="15">
        <v>1</v>
      </c>
      <c r="AV75" s="15">
        <v>3</v>
      </c>
      <c r="AW75" s="15">
        <v>3</v>
      </c>
      <c r="AX75" s="15">
        <v>1</v>
      </c>
      <c r="AY75" s="15">
        <v>2</v>
      </c>
      <c r="AZ75" s="15">
        <v>5</v>
      </c>
      <c r="BA75" s="15">
        <v>8</v>
      </c>
      <c r="BB75" s="15">
        <v>2</v>
      </c>
      <c r="BC75" s="13">
        <f t="shared" si="13"/>
        <v>131</v>
      </c>
    </row>
    <row r="76" spans="1:55" ht="12.75" customHeight="1" x14ac:dyDescent="0.3">
      <c r="A76" s="19" t="s">
        <v>39</v>
      </c>
      <c r="B76" s="27"/>
      <c r="C76" s="28" t="s">
        <v>65</v>
      </c>
      <c r="D76" s="29"/>
      <c r="E76" s="15"/>
      <c r="F76" s="15">
        <v>8</v>
      </c>
      <c r="G76" s="15">
        <v>1</v>
      </c>
      <c r="H76" s="15">
        <v>6</v>
      </c>
      <c r="I76" s="15">
        <v>8</v>
      </c>
      <c r="J76" s="15">
        <v>5</v>
      </c>
      <c r="K76" s="15">
        <v>6</v>
      </c>
      <c r="L76" s="15">
        <v>2</v>
      </c>
      <c r="M76" s="15">
        <v>4</v>
      </c>
      <c r="N76" s="15">
        <v>11</v>
      </c>
      <c r="O76" s="15">
        <v>3</v>
      </c>
      <c r="P76" s="15"/>
      <c r="Q76" s="15">
        <v>2</v>
      </c>
      <c r="R76" s="15">
        <v>3</v>
      </c>
      <c r="S76" s="15">
        <v>4</v>
      </c>
      <c r="T76" s="15">
        <v>4</v>
      </c>
      <c r="U76" s="15">
        <v>7</v>
      </c>
      <c r="V76" s="15">
        <v>56</v>
      </c>
      <c r="W76" s="15">
        <v>12</v>
      </c>
      <c r="X76" s="15"/>
      <c r="Y76" s="15">
        <v>1</v>
      </c>
      <c r="Z76" s="15">
        <v>6</v>
      </c>
      <c r="AA76" s="15">
        <v>3</v>
      </c>
      <c r="AB76" s="15">
        <v>4</v>
      </c>
      <c r="AC76" s="15">
        <v>44</v>
      </c>
      <c r="AD76" s="15">
        <v>2</v>
      </c>
      <c r="AE76" s="15">
        <v>3</v>
      </c>
      <c r="AF76" s="15">
        <v>1</v>
      </c>
      <c r="AG76" s="15">
        <v>7</v>
      </c>
      <c r="AH76" s="15">
        <v>35</v>
      </c>
      <c r="AI76" s="15">
        <v>35</v>
      </c>
      <c r="AJ76" s="15">
        <v>24</v>
      </c>
      <c r="AK76" s="15">
        <v>1</v>
      </c>
      <c r="AL76" s="15">
        <v>3</v>
      </c>
      <c r="AM76" s="15">
        <v>5</v>
      </c>
      <c r="AN76" s="15">
        <v>2</v>
      </c>
      <c r="AO76" s="15">
        <v>1</v>
      </c>
      <c r="AP76" s="15">
        <v>5</v>
      </c>
      <c r="AQ76" s="15">
        <v>4</v>
      </c>
      <c r="AR76" s="15">
        <v>22</v>
      </c>
      <c r="AS76" s="15">
        <v>17</v>
      </c>
      <c r="AT76" s="15">
        <v>18</v>
      </c>
      <c r="AU76" s="15"/>
      <c r="AV76" s="15">
        <v>3</v>
      </c>
      <c r="AW76" s="15">
        <v>1</v>
      </c>
      <c r="AX76" s="15">
        <v>1</v>
      </c>
      <c r="AY76" s="15"/>
      <c r="AZ76" s="15">
        <v>27</v>
      </c>
      <c r="BA76" s="15">
        <v>12</v>
      </c>
      <c r="BB76" s="15">
        <v>8</v>
      </c>
      <c r="BC76" s="13">
        <f t="shared" si="13"/>
        <v>437</v>
      </c>
    </row>
    <row r="77" spans="1:55" ht="12.75" customHeight="1" x14ac:dyDescent="0.3">
      <c r="A77" s="14"/>
      <c r="B77" s="27"/>
      <c r="C77" s="28" t="s">
        <v>66</v>
      </c>
      <c r="D77" s="29"/>
      <c r="E77" s="15"/>
      <c r="F77" s="15"/>
      <c r="G77" s="15">
        <v>1</v>
      </c>
      <c r="H77" s="15">
        <v>2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>
        <v>2</v>
      </c>
      <c r="U77" s="15"/>
      <c r="V77" s="15">
        <v>1</v>
      </c>
      <c r="W77" s="15"/>
      <c r="X77" s="15">
        <v>1</v>
      </c>
      <c r="Y77" s="15"/>
      <c r="Z77" s="15">
        <v>1</v>
      </c>
      <c r="AA77" s="15">
        <v>1</v>
      </c>
      <c r="AB77" s="15"/>
      <c r="AC77" s="15">
        <v>2</v>
      </c>
      <c r="AD77" s="15">
        <v>1</v>
      </c>
      <c r="AE77" s="15">
        <v>1</v>
      </c>
      <c r="AF77" s="15"/>
      <c r="AG77" s="15">
        <v>2</v>
      </c>
      <c r="AH77" s="15">
        <v>1</v>
      </c>
      <c r="AI77" s="15"/>
      <c r="AJ77" s="15"/>
      <c r="AK77" s="15"/>
      <c r="AL77" s="15"/>
      <c r="AM77" s="15"/>
      <c r="AN77" s="15">
        <v>2</v>
      </c>
      <c r="AO77" s="15"/>
      <c r="AP77" s="15">
        <v>1</v>
      </c>
      <c r="AQ77" s="15"/>
      <c r="AR77" s="15"/>
      <c r="AS77" s="15"/>
      <c r="AT77" s="15">
        <v>2</v>
      </c>
      <c r="AU77" s="15"/>
      <c r="AV77" s="15"/>
      <c r="AW77" s="15"/>
      <c r="AX77" s="15">
        <v>1</v>
      </c>
      <c r="AY77" s="15"/>
      <c r="AZ77" s="15">
        <v>1</v>
      </c>
      <c r="BA77" s="15"/>
      <c r="BB77" s="15"/>
      <c r="BC77" s="13">
        <f t="shared" si="13"/>
        <v>23</v>
      </c>
    </row>
    <row r="78" spans="1:55" ht="12.75" customHeight="1" x14ac:dyDescent="0.3">
      <c r="A78" s="14"/>
      <c r="B78" s="27"/>
      <c r="C78" s="28" t="s">
        <v>67</v>
      </c>
      <c r="D78" s="29"/>
      <c r="E78" s="15"/>
      <c r="F78" s="15">
        <v>2</v>
      </c>
      <c r="G78" s="15"/>
      <c r="H78" s="15"/>
      <c r="I78" s="15"/>
      <c r="J78" s="15"/>
      <c r="K78" s="15"/>
      <c r="L78" s="15">
        <v>1</v>
      </c>
      <c r="M78" s="15"/>
      <c r="N78" s="15"/>
      <c r="O78" s="15">
        <v>1</v>
      </c>
      <c r="P78" s="15"/>
      <c r="Q78" s="15"/>
      <c r="R78" s="15"/>
      <c r="S78" s="15"/>
      <c r="T78" s="15"/>
      <c r="U78" s="15"/>
      <c r="V78" s="15"/>
      <c r="W78" s="15"/>
      <c r="X78" s="15">
        <v>1</v>
      </c>
      <c r="Y78" s="15">
        <v>1</v>
      </c>
      <c r="Z78" s="15"/>
      <c r="AA78" s="15"/>
      <c r="AB78" s="15"/>
      <c r="AC78" s="15">
        <v>1</v>
      </c>
      <c r="AD78" s="15"/>
      <c r="AE78" s="15">
        <v>1</v>
      </c>
      <c r="AF78" s="15"/>
      <c r="AG78" s="15">
        <v>6</v>
      </c>
      <c r="AH78" s="15">
        <v>11</v>
      </c>
      <c r="AI78" s="15">
        <v>10</v>
      </c>
      <c r="AJ78" s="15">
        <v>1</v>
      </c>
      <c r="AK78" s="15">
        <v>2</v>
      </c>
      <c r="AL78" s="15"/>
      <c r="AM78" s="15"/>
      <c r="AN78" s="15">
        <v>1</v>
      </c>
      <c r="AO78" s="15">
        <v>1</v>
      </c>
      <c r="AP78" s="15"/>
      <c r="AQ78" s="15"/>
      <c r="AR78" s="15"/>
      <c r="AS78" s="15"/>
      <c r="AT78" s="15">
        <v>1</v>
      </c>
      <c r="AU78" s="15"/>
      <c r="AV78" s="15"/>
      <c r="AW78" s="15"/>
      <c r="AX78" s="15"/>
      <c r="AY78" s="15"/>
      <c r="AZ78" s="15"/>
      <c r="BA78" s="15">
        <v>1</v>
      </c>
      <c r="BB78" s="15">
        <v>1</v>
      </c>
      <c r="BC78" s="13">
        <f t="shared" si="13"/>
        <v>43</v>
      </c>
    </row>
    <row r="79" spans="1:55" ht="15" customHeight="1" x14ac:dyDescent="0.3">
      <c r="A79" s="14"/>
      <c r="B79" s="27"/>
      <c r="C79" s="28" t="s">
        <v>68</v>
      </c>
      <c r="D79" s="29"/>
      <c r="E79" s="15">
        <v>1</v>
      </c>
      <c r="F79" s="15"/>
      <c r="G79" s="15"/>
      <c r="H79" s="15">
        <v>3</v>
      </c>
      <c r="I79" s="15">
        <v>1</v>
      </c>
      <c r="J79" s="15">
        <v>1</v>
      </c>
      <c r="K79" s="15"/>
      <c r="L79" s="15">
        <v>1</v>
      </c>
      <c r="M79" s="15"/>
      <c r="N79" s="15">
        <v>8</v>
      </c>
      <c r="O79" s="15">
        <v>2</v>
      </c>
      <c r="P79" s="15"/>
      <c r="Q79" s="15">
        <v>4</v>
      </c>
      <c r="R79" s="15">
        <v>1</v>
      </c>
      <c r="S79" s="15">
        <v>2</v>
      </c>
      <c r="T79" s="15">
        <v>2</v>
      </c>
      <c r="U79" s="15">
        <v>12</v>
      </c>
      <c r="V79" s="15">
        <v>6</v>
      </c>
      <c r="W79" s="15">
        <v>7</v>
      </c>
      <c r="X79" s="15">
        <v>6</v>
      </c>
      <c r="Y79" s="15">
        <v>7</v>
      </c>
      <c r="Z79" s="15"/>
      <c r="AA79" s="15">
        <v>1</v>
      </c>
      <c r="AB79" s="15">
        <v>2</v>
      </c>
      <c r="AC79" s="15">
        <v>2</v>
      </c>
      <c r="AD79" s="15">
        <v>1</v>
      </c>
      <c r="AE79" s="15"/>
      <c r="AF79" s="15">
        <v>1</v>
      </c>
      <c r="AG79" s="15"/>
      <c r="AH79" s="15">
        <v>1</v>
      </c>
      <c r="AI79" s="15">
        <v>1</v>
      </c>
      <c r="AJ79" s="15"/>
      <c r="AK79" s="15">
        <v>3</v>
      </c>
      <c r="AL79" s="15"/>
      <c r="AM79" s="15"/>
      <c r="AN79" s="15"/>
      <c r="AO79" s="15">
        <v>1</v>
      </c>
      <c r="AP79" s="15"/>
      <c r="AQ79" s="15">
        <v>1</v>
      </c>
      <c r="AR79" s="15">
        <v>1</v>
      </c>
      <c r="AS79" s="15">
        <v>1</v>
      </c>
      <c r="AT79" s="15">
        <v>1</v>
      </c>
      <c r="AU79" s="15"/>
      <c r="AV79" s="15"/>
      <c r="AW79" s="15"/>
      <c r="AX79" s="15"/>
      <c r="AY79" s="15">
        <v>2</v>
      </c>
      <c r="AZ79" s="15">
        <v>1</v>
      </c>
      <c r="BA79" s="15"/>
      <c r="BB79" s="15">
        <v>1</v>
      </c>
      <c r="BC79" s="13">
        <f t="shared" si="13"/>
        <v>85</v>
      </c>
    </row>
    <row r="80" spans="1:55" ht="12.75" customHeight="1" x14ac:dyDescent="0.3">
      <c r="A80" s="14"/>
      <c r="B80" s="27"/>
      <c r="C80" s="28" t="s">
        <v>69</v>
      </c>
      <c r="D80" s="29"/>
      <c r="E80" s="15"/>
      <c r="F80" s="15">
        <v>1</v>
      </c>
      <c r="G80" s="15"/>
      <c r="H80" s="15"/>
      <c r="I80" s="15">
        <v>1</v>
      </c>
      <c r="J80" s="15"/>
      <c r="K80" s="15"/>
      <c r="L80" s="15">
        <v>1</v>
      </c>
      <c r="M80" s="15"/>
      <c r="N80" s="15"/>
      <c r="O80" s="15"/>
      <c r="P80" s="15"/>
      <c r="Q80" s="15"/>
      <c r="R80" s="15"/>
      <c r="S80" s="15"/>
      <c r="T80" s="15"/>
      <c r="U80" s="15"/>
      <c r="V80" s="15">
        <v>1</v>
      </c>
      <c r="W80" s="15"/>
      <c r="X80" s="15">
        <v>16</v>
      </c>
      <c r="Y80" s="15"/>
      <c r="Z80" s="15"/>
      <c r="AA80" s="15">
        <v>1</v>
      </c>
      <c r="AB80" s="15"/>
      <c r="AC80" s="15">
        <v>1</v>
      </c>
      <c r="AD80" s="15"/>
      <c r="AE80" s="15"/>
      <c r="AF80" s="15"/>
      <c r="AG80" s="15"/>
      <c r="AH80" s="15">
        <v>1</v>
      </c>
      <c r="AI80" s="15"/>
      <c r="AJ80" s="15"/>
      <c r="AK80" s="15"/>
      <c r="AL80" s="15">
        <v>2</v>
      </c>
      <c r="AM80" s="15"/>
      <c r="AN80" s="15"/>
      <c r="AO80" s="15"/>
      <c r="AP80" s="15"/>
      <c r="AQ80" s="15"/>
      <c r="AR80" s="15">
        <v>4</v>
      </c>
      <c r="AS80" s="15"/>
      <c r="AT80" s="15"/>
      <c r="AU80" s="15"/>
      <c r="AV80" s="15"/>
      <c r="AW80" s="15"/>
      <c r="AX80" s="15"/>
      <c r="AY80" s="15">
        <v>1</v>
      </c>
      <c r="AZ80" s="15"/>
      <c r="BA80" s="15"/>
      <c r="BB80" s="15"/>
      <c r="BC80" s="13">
        <f t="shared" si="13"/>
        <v>30</v>
      </c>
    </row>
    <row r="81" spans="1:55" ht="12.75" customHeight="1" x14ac:dyDescent="0.3">
      <c r="A81" s="14"/>
      <c r="B81" s="27"/>
      <c r="C81" s="28" t="s">
        <v>70</v>
      </c>
      <c r="D81" s="29"/>
      <c r="E81" s="15">
        <v>1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>
        <v>2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>
        <v>1</v>
      </c>
      <c r="AM81" s="15"/>
      <c r="AN81" s="15"/>
      <c r="AO81" s="15">
        <v>1</v>
      </c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3">
        <f t="shared" si="13"/>
        <v>5</v>
      </c>
    </row>
    <row r="82" spans="1:55" ht="12.75" customHeight="1" x14ac:dyDescent="0.3">
      <c r="A82" s="14"/>
      <c r="B82" s="27"/>
      <c r="C82" s="28" t="s">
        <v>71</v>
      </c>
      <c r="D82" s="29"/>
      <c r="E82" s="15"/>
      <c r="F82" s="15"/>
      <c r="G82" s="15"/>
      <c r="H82" s="15"/>
      <c r="I82" s="15"/>
      <c r="J82" s="15"/>
      <c r="K82" s="15"/>
      <c r="L82" s="15"/>
      <c r="M82" s="15">
        <v>1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>
        <v>1</v>
      </c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3">
        <f t="shared" si="13"/>
        <v>2</v>
      </c>
    </row>
    <row r="83" spans="1:55" ht="12.75" customHeight="1" x14ac:dyDescent="0.3">
      <c r="A83" s="15" t="s">
        <v>15</v>
      </c>
      <c r="B83" s="45" t="s">
        <v>47</v>
      </c>
      <c r="C83" s="46"/>
      <c r="D83" s="47"/>
      <c r="E83" s="34">
        <f t="shared" ref="E83:BB83" si="17">SUM(E75:E82)</f>
        <v>17</v>
      </c>
      <c r="F83" s="34">
        <f t="shared" si="17"/>
        <v>15</v>
      </c>
      <c r="G83" s="34">
        <f t="shared" si="17"/>
        <v>3</v>
      </c>
      <c r="H83" s="34">
        <f t="shared" si="17"/>
        <v>13</v>
      </c>
      <c r="I83" s="34">
        <f t="shared" si="17"/>
        <v>15</v>
      </c>
      <c r="J83" s="34">
        <f t="shared" si="17"/>
        <v>12</v>
      </c>
      <c r="K83" s="34">
        <f t="shared" si="17"/>
        <v>6</v>
      </c>
      <c r="L83" s="34">
        <f t="shared" si="17"/>
        <v>6</v>
      </c>
      <c r="M83" s="34">
        <f t="shared" si="17"/>
        <v>7</v>
      </c>
      <c r="N83" s="34">
        <f t="shared" si="17"/>
        <v>22</v>
      </c>
      <c r="O83" s="34">
        <f t="shared" si="17"/>
        <v>7</v>
      </c>
      <c r="P83" s="34">
        <f t="shared" si="17"/>
        <v>0</v>
      </c>
      <c r="Q83" s="34">
        <f t="shared" si="17"/>
        <v>7</v>
      </c>
      <c r="R83" s="34">
        <f t="shared" si="17"/>
        <v>4</v>
      </c>
      <c r="S83" s="34">
        <f t="shared" si="17"/>
        <v>10</v>
      </c>
      <c r="T83" s="34">
        <f t="shared" si="17"/>
        <v>10</v>
      </c>
      <c r="U83" s="34">
        <f t="shared" si="17"/>
        <v>23</v>
      </c>
      <c r="V83" s="34">
        <f t="shared" si="17"/>
        <v>67</v>
      </c>
      <c r="W83" s="34">
        <f t="shared" si="17"/>
        <v>23</v>
      </c>
      <c r="X83" s="34">
        <f t="shared" si="17"/>
        <v>27</v>
      </c>
      <c r="Y83" s="34">
        <f t="shared" si="17"/>
        <v>10</v>
      </c>
      <c r="Z83" s="34">
        <f t="shared" si="17"/>
        <v>8</v>
      </c>
      <c r="AA83" s="34">
        <f t="shared" si="17"/>
        <v>10</v>
      </c>
      <c r="AB83" s="34">
        <f t="shared" si="17"/>
        <v>8</v>
      </c>
      <c r="AC83" s="34">
        <f t="shared" si="17"/>
        <v>52</v>
      </c>
      <c r="AD83" s="34">
        <f t="shared" si="17"/>
        <v>6</v>
      </c>
      <c r="AE83" s="34">
        <f t="shared" si="17"/>
        <v>5</v>
      </c>
      <c r="AF83" s="34">
        <f t="shared" si="17"/>
        <v>2</v>
      </c>
      <c r="AG83" s="34">
        <f t="shared" si="17"/>
        <v>20</v>
      </c>
      <c r="AH83" s="34">
        <f t="shared" si="17"/>
        <v>53</v>
      </c>
      <c r="AI83" s="34">
        <f t="shared" si="17"/>
        <v>52</v>
      </c>
      <c r="AJ83" s="34">
        <f t="shared" si="17"/>
        <v>25</v>
      </c>
      <c r="AK83" s="34">
        <f t="shared" si="17"/>
        <v>11</v>
      </c>
      <c r="AL83" s="34">
        <f t="shared" si="17"/>
        <v>7</v>
      </c>
      <c r="AM83" s="34">
        <f t="shared" si="17"/>
        <v>8</v>
      </c>
      <c r="AN83" s="34">
        <f t="shared" si="17"/>
        <v>6</v>
      </c>
      <c r="AO83" s="34">
        <f t="shared" si="17"/>
        <v>5</v>
      </c>
      <c r="AP83" s="34">
        <f t="shared" si="17"/>
        <v>6</v>
      </c>
      <c r="AQ83" s="34">
        <f t="shared" si="17"/>
        <v>5</v>
      </c>
      <c r="AR83" s="34">
        <f t="shared" si="17"/>
        <v>30</v>
      </c>
      <c r="AS83" s="34">
        <f t="shared" si="17"/>
        <v>21</v>
      </c>
      <c r="AT83" s="34">
        <f t="shared" si="17"/>
        <v>26</v>
      </c>
      <c r="AU83" s="34">
        <f t="shared" si="17"/>
        <v>1</v>
      </c>
      <c r="AV83" s="34">
        <f t="shared" si="17"/>
        <v>6</v>
      </c>
      <c r="AW83" s="34">
        <f t="shared" si="17"/>
        <v>4</v>
      </c>
      <c r="AX83" s="34">
        <f t="shared" si="17"/>
        <v>3</v>
      </c>
      <c r="AY83" s="34">
        <f t="shared" si="17"/>
        <v>5</v>
      </c>
      <c r="AZ83" s="34">
        <f t="shared" si="17"/>
        <v>34</v>
      </c>
      <c r="BA83" s="34">
        <f t="shared" si="17"/>
        <v>21</v>
      </c>
      <c r="BB83" s="34">
        <f t="shared" si="17"/>
        <v>12</v>
      </c>
      <c r="BC83" s="13">
        <f t="shared" si="13"/>
        <v>756</v>
      </c>
    </row>
    <row r="84" spans="1:55" ht="12.75" customHeight="1" x14ac:dyDescent="0.3">
      <c r="A84" s="35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13">
        <f t="shared" si="13"/>
        <v>0</v>
      </c>
    </row>
    <row r="85" spans="1:55" ht="12.75" customHeight="1" x14ac:dyDescent="0.3">
      <c r="A85" s="19" t="s">
        <v>37</v>
      </c>
      <c r="B85" s="26" t="s">
        <v>72</v>
      </c>
      <c r="C85" s="48" t="s">
        <v>73</v>
      </c>
      <c r="D85" s="47"/>
      <c r="E85" s="15">
        <v>1</v>
      </c>
      <c r="F85" s="15"/>
      <c r="G85" s="15"/>
      <c r="H85" s="15"/>
      <c r="I85" s="15"/>
      <c r="J85" s="15">
        <v>1</v>
      </c>
      <c r="K85" s="15"/>
      <c r="L85" s="15"/>
      <c r="M85" s="15"/>
      <c r="N85" s="15">
        <v>1</v>
      </c>
      <c r="O85" s="15"/>
      <c r="P85" s="15"/>
      <c r="Q85" s="15"/>
      <c r="R85" s="15"/>
      <c r="S85" s="15">
        <v>1</v>
      </c>
      <c r="T85" s="15">
        <v>1</v>
      </c>
      <c r="U85" s="15">
        <v>2</v>
      </c>
      <c r="V85" s="15">
        <v>1</v>
      </c>
      <c r="W85" s="15">
        <v>2</v>
      </c>
      <c r="X85" s="15"/>
      <c r="Y85" s="15"/>
      <c r="Z85" s="15">
        <v>1</v>
      </c>
      <c r="AA85" s="15"/>
      <c r="AB85" s="15">
        <v>1</v>
      </c>
      <c r="AC85" s="15"/>
      <c r="AD85" s="15">
        <v>1</v>
      </c>
      <c r="AE85" s="15">
        <v>2</v>
      </c>
      <c r="AF85" s="15">
        <v>1</v>
      </c>
      <c r="AG85" s="15">
        <v>1</v>
      </c>
      <c r="AH85" s="15"/>
      <c r="AI85" s="15"/>
      <c r="AJ85" s="15"/>
      <c r="AK85" s="15"/>
      <c r="AL85" s="15">
        <v>1</v>
      </c>
      <c r="AM85" s="15"/>
      <c r="AN85" s="15">
        <v>4</v>
      </c>
      <c r="AO85" s="15"/>
      <c r="AP85" s="15">
        <v>1</v>
      </c>
      <c r="AQ85" s="15"/>
      <c r="AR85" s="15"/>
      <c r="AS85" s="15">
        <v>4</v>
      </c>
      <c r="AT85" s="15"/>
      <c r="AU85" s="15"/>
      <c r="AV85" s="15"/>
      <c r="AW85" s="15">
        <v>3</v>
      </c>
      <c r="AX85" s="15">
        <v>1</v>
      </c>
      <c r="AY85" s="15"/>
      <c r="AZ85" s="15">
        <v>1</v>
      </c>
      <c r="BA85" s="15">
        <v>6</v>
      </c>
      <c r="BB85" s="15">
        <v>1</v>
      </c>
      <c r="BC85" s="13">
        <f t="shared" si="13"/>
        <v>39</v>
      </c>
    </row>
    <row r="86" spans="1:55" ht="12.75" customHeight="1" x14ac:dyDescent="0.3">
      <c r="A86" s="19" t="s">
        <v>39</v>
      </c>
      <c r="B86" s="27"/>
      <c r="C86" s="28" t="s">
        <v>74</v>
      </c>
      <c r="D86" s="29"/>
      <c r="E86" s="15"/>
      <c r="F86" s="15">
        <v>1</v>
      </c>
      <c r="G86" s="15"/>
      <c r="H86" s="15"/>
      <c r="I86" s="15"/>
      <c r="J86" s="15"/>
      <c r="K86" s="15"/>
      <c r="L86" s="15"/>
      <c r="M86" s="15"/>
      <c r="N86" s="15"/>
      <c r="O86" s="15"/>
      <c r="P86" s="15">
        <v>1</v>
      </c>
      <c r="Q86" s="15"/>
      <c r="R86" s="15"/>
      <c r="S86" s="15"/>
      <c r="T86" s="15">
        <v>1</v>
      </c>
      <c r="U86" s="15"/>
      <c r="V86" s="15"/>
      <c r="W86" s="15"/>
      <c r="X86" s="15">
        <v>1</v>
      </c>
      <c r="Y86" s="15"/>
      <c r="Z86" s="15">
        <v>1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>
        <v>1</v>
      </c>
      <c r="AN86" s="15">
        <v>1</v>
      </c>
      <c r="AO86" s="15"/>
      <c r="AP86" s="15"/>
      <c r="AQ86" s="15">
        <v>1</v>
      </c>
      <c r="AR86" s="15"/>
      <c r="AS86" s="15"/>
      <c r="AT86" s="15"/>
      <c r="AU86" s="15"/>
      <c r="AV86" s="15">
        <v>1</v>
      </c>
      <c r="AW86" s="15"/>
      <c r="AX86" s="15"/>
      <c r="AY86" s="15"/>
      <c r="AZ86" s="15"/>
      <c r="BA86" s="15">
        <v>1</v>
      </c>
      <c r="BB86" s="15">
        <v>1</v>
      </c>
      <c r="BC86" s="13">
        <f t="shared" si="13"/>
        <v>11</v>
      </c>
    </row>
    <row r="87" spans="1:55" ht="12.75" customHeight="1" x14ac:dyDescent="0.3">
      <c r="A87" s="14"/>
      <c r="B87" s="27"/>
      <c r="C87" s="28" t="s">
        <v>75</v>
      </c>
      <c r="D87" s="29"/>
      <c r="E87" s="15">
        <v>1</v>
      </c>
      <c r="F87" s="15"/>
      <c r="G87" s="15"/>
      <c r="H87" s="15"/>
      <c r="I87" s="15"/>
      <c r="J87" s="15">
        <v>1</v>
      </c>
      <c r="K87" s="15"/>
      <c r="L87" s="15"/>
      <c r="M87" s="15"/>
      <c r="N87" s="15"/>
      <c r="O87" s="15">
        <v>2</v>
      </c>
      <c r="P87" s="15"/>
      <c r="Q87" s="15"/>
      <c r="R87" s="15"/>
      <c r="S87" s="15"/>
      <c r="T87" s="15">
        <v>1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>
        <v>1</v>
      </c>
      <c r="AJ87" s="15">
        <v>2</v>
      </c>
      <c r="AK87" s="15">
        <v>1</v>
      </c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3">
        <f t="shared" si="13"/>
        <v>9</v>
      </c>
    </row>
    <row r="88" spans="1:55" ht="12.75" customHeight="1" x14ac:dyDescent="0.3">
      <c r="A88" s="14"/>
      <c r="B88" s="27"/>
      <c r="C88" s="28" t="s">
        <v>76</v>
      </c>
      <c r="D88" s="29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>
        <v>2</v>
      </c>
      <c r="Q88" s="15"/>
      <c r="R88" s="15"/>
      <c r="S88" s="15"/>
      <c r="T88" s="15">
        <v>1</v>
      </c>
      <c r="U88" s="15"/>
      <c r="V88" s="15"/>
      <c r="W88" s="15"/>
      <c r="X88" s="15">
        <v>1</v>
      </c>
      <c r="Y88" s="15"/>
      <c r="Z88" s="15">
        <v>1</v>
      </c>
      <c r="AA88" s="15"/>
      <c r="AB88" s="15"/>
      <c r="AC88" s="15"/>
      <c r="AD88" s="15">
        <v>1</v>
      </c>
      <c r="AE88" s="15"/>
      <c r="AF88" s="15"/>
      <c r="AG88" s="15"/>
      <c r="AH88" s="15"/>
      <c r="AI88" s="15"/>
      <c r="AJ88" s="15"/>
      <c r="AK88" s="15"/>
      <c r="AL88" s="15">
        <v>1</v>
      </c>
      <c r="AM88" s="15"/>
      <c r="AN88" s="15"/>
      <c r="AO88" s="15">
        <v>1</v>
      </c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3">
        <f t="shared" si="13"/>
        <v>8</v>
      </c>
    </row>
    <row r="89" spans="1:55" ht="12.75" customHeight="1" x14ac:dyDescent="0.3">
      <c r="A89" s="14"/>
      <c r="B89" s="27"/>
      <c r="C89" s="28" t="s">
        <v>77</v>
      </c>
      <c r="D89" s="29"/>
      <c r="E89" s="15"/>
      <c r="F89" s="15"/>
      <c r="G89" s="15">
        <v>1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>
        <v>1</v>
      </c>
      <c r="V89" s="15"/>
      <c r="W89" s="15"/>
      <c r="X89" s="15">
        <v>1</v>
      </c>
      <c r="Y89" s="15"/>
      <c r="Z89" s="15">
        <v>2</v>
      </c>
      <c r="AA89" s="15">
        <v>1</v>
      </c>
      <c r="AB89" s="15"/>
      <c r="AC89" s="15"/>
      <c r="AD89" s="15"/>
      <c r="AE89" s="15"/>
      <c r="AF89" s="15"/>
      <c r="AG89" s="15">
        <v>1</v>
      </c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>
        <v>1</v>
      </c>
      <c r="AU89" s="15"/>
      <c r="AV89" s="15">
        <v>1</v>
      </c>
      <c r="AW89" s="15"/>
      <c r="AX89" s="15"/>
      <c r="AY89" s="15"/>
      <c r="AZ89" s="15"/>
      <c r="BA89" s="15"/>
      <c r="BB89" s="15"/>
      <c r="BC89" s="13">
        <f t="shared" si="13"/>
        <v>9</v>
      </c>
    </row>
    <row r="90" spans="1:55" ht="12.75" customHeight="1" x14ac:dyDescent="0.3">
      <c r="A90" s="14"/>
      <c r="B90" s="27"/>
      <c r="C90" s="28" t="s">
        <v>78</v>
      </c>
      <c r="D90" s="29"/>
      <c r="E90" s="15"/>
      <c r="F90" s="15"/>
      <c r="G90" s="15"/>
      <c r="H90" s="15"/>
      <c r="I90" s="15"/>
      <c r="J90" s="15">
        <v>1</v>
      </c>
      <c r="K90" s="15">
        <v>1</v>
      </c>
      <c r="L90" s="15"/>
      <c r="M90" s="15"/>
      <c r="N90" s="15"/>
      <c r="O90" s="15"/>
      <c r="P90" s="15"/>
      <c r="Q90" s="15"/>
      <c r="R90" s="15"/>
      <c r="S90" s="15"/>
      <c r="T90" s="15">
        <v>1</v>
      </c>
      <c r="U90" s="15">
        <v>1</v>
      </c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>
        <v>1</v>
      </c>
      <c r="AY90" s="15"/>
      <c r="AZ90" s="15"/>
      <c r="BA90" s="15"/>
      <c r="BB90" s="15"/>
      <c r="BC90" s="13">
        <f t="shared" si="13"/>
        <v>5</v>
      </c>
    </row>
    <row r="91" spans="1:55" ht="15" customHeight="1" x14ac:dyDescent="0.3">
      <c r="A91" s="14"/>
      <c r="B91" s="27"/>
      <c r="C91" s="28" t="s">
        <v>79</v>
      </c>
      <c r="D91" s="29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>
        <v>1</v>
      </c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>
        <v>1</v>
      </c>
      <c r="BB91" s="15"/>
      <c r="BC91" s="13">
        <f t="shared" si="13"/>
        <v>2</v>
      </c>
    </row>
    <row r="92" spans="1:55" ht="12.75" customHeight="1" x14ac:dyDescent="0.3">
      <c r="A92" s="14"/>
      <c r="B92" s="27"/>
      <c r="C92" s="28" t="s">
        <v>80</v>
      </c>
      <c r="D92" s="29"/>
      <c r="E92" s="15"/>
      <c r="F92" s="15"/>
      <c r="G92" s="15"/>
      <c r="H92" s="15"/>
      <c r="I92" s="15"/>
      <c r="J92" s="15"/>
      <c r="K92" s="15">
        <v>2</v>
      </c>
      <c r="L92" s="15"/>
      <c r="M92" s="15"/>
      <c r="N92" s="15"/>
      <c r="O92" s="15"/>
      <c r="P92" s="15"/>
      <c r="Q92" s="15"/>
      <c r="R92" s="15"/>
      <c r="S92" s="15"/>
      <c r="T92" s="15"/>
      <c r="U92" s="15">
        <v>1</v>
      </c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>
        <v>1</v>
      </c>
      <c r="AP92" s="15"/>
      <c r="AQ92" s="15"/>
      <c r="AR92" s="15"/>
      <c r="AS92" s="15"/>
      <c r="AT92" s="15"/>
      <c r="AU92" s="15"/>
      <c r="AV92" s="15"/>
      <c r="AW92" s="15"/>
      <c r="AX92" s="15">
        <v>1</v>
      </c>
      <c r="AY92" s="15"/>
      <c r="AZ92" s="15"/>
      <c r="BA92" s="15"/>
      <c r="BB92" s="15"/>
      <c r="BC92" s="13">
        <f t="shared" si="13"/>
        <v>5</v>
      </c>
    </row>
    <row r="93" spans="1:55" ht="12.75" customHeight="1" x14ac:dyDescent="0.3">
      <c r="A93" s="15" t="s">
        <v>15</v>
      </c>
      <c r="B93" s="45" t="s">
        <v>47</v>
      </c>
      <c r="C93" s="46"/>
      <c r="D93" s="47"/>
      <c r="E93" s="34">
        <f t="shared" ref="E93:BB93" si="18">SUM(E85:E92)</f>
        <v>2</v>
      </c>
      <c r="F93" s="34">
        <f t="shared" si="18"/>
        <v>1</v>
      </c>
      <c r="G93" s="34">
        <f t="shared" si="18"/>
        <v>1</v>
      </c>
      <c r="H93" s="34">
        <f t="shared" si="18"/>
        <v>0</v>
      </c>
      <c r="I93" s="34">
        <f t="shared" si="18"/>
        <v>0</v>
      </c>
      <c r="J93" s="34">
        <f t="shared" si="18"/>
        <v>3</v>
      </c>
      <c r="K93" s="34">
        <f t="shared" si="18"/>
        <v>3</v>
      </c>
      <c r="L93" s="34">
        <f t="shared" si="18"/>
        <v>0</v>
      </c>
      <c r="M93" s="34">
        <f t="shared" si="18"/>
        <v>0</v>
      </c>
      <c r="N93" s="34">
        <f t="shared" si="18"/>
        <v>1</v>
      </c>
      <c r="O93" s="34">
        <f t="shared" si="18"/>
        <v>2</v>
      </c>
      <c r="P93" s="34">
        <f t="shared" si="18"/>
        <v>3</v>
      </c>
      <c r="Q93" s="34">
        <f t="shared" si="18"/>
        <v>0</v>
      </c>
      <c r="R93" s="34">
        <f t="shared" si="18"/>
        <v>0</v>
      </c>
      <c r="S93" s="34">
        <f t="shared" si="18"/>
        <v>1</v>
      </c>
      <c r="T93" s="34">
        <f t="shared" si="18"/>
        <v>5</v>
      </c>
      <c r="U93" s="34">
        <f t="shared" si="18"/>
        <v>5</v>
      </c>
      <c r="V93" s="34">
        <f t="shared" si="18"/>
        <v>1</v>
      </c>
      <c r="W93" s="34">
        <f t="shared" si="18"/>
        <v>2</v>
      </c>
      <c r="X93" s="34">
        <f t="shared" si="18"/>
        <v>3</v>
      </c>
      <c r="Y93" s="34">
        <f t="shared" si="18"/>
        <v>0</v>
      </c>
      <c r="Z93" s="34">
        <f t="shared" si="18"/>
        <v>5</v>
      </c>
      <c r="AA93" s="34">
        <f t="shared" si="18"/>
        <v>1</v>
      </c>
      <c r="AB93" s="34">
        <f t="shared" si="18"/>
        <v>1</v>
      </c>
      <c r="AC93" s="34">
        <f t="shared" si="18"/>
        <v>0</v>
      </c>
      <c r="AD93" s="34">
        <f t="shared" si="18"/>
        <v>2</v>
      </c>
      <c r="AE93" s="34">
        <f t="shared" si="18"/>
        <v>2</v>
      </c>
      <c r="AF93" s="34">
        <f t="shared" si="18"/>
        <v>1</v>
      </c>
      <c r="AG93" s="34">
        <f t="shared" si="18"/>
        <v>2</v>
      </c>
      <c r="AH93" s="34">
        <f t="shared" si="18"/>
        <v>1</v>
      </c>
      <c r="AI93" s="34">
        <f t="shared" si="18"/>
        <v>1</v>
      </c>
      <c r="AJ93" s="34">
        <f t="shared" si="18"/>
        <v>2</v>
      </c>
      <c r="AK93" s="34">
        <f t="shared" si="18"/>
        <v>1</v>
      </c>
      <c r="AL93" s="34">
        <f t="shared" si="18"/>
        <v>2</v>
      </c>
      <c r="AM93" s="34">
        <f t="shared" si="18"/>
        <v>1</v>
      </c>
      <c r="AN93" s="34">
        <f t="shared" si="18"/>
        <v>5</v>
      </c>
      <c r="AO93" s="34">
        <f t="shared" si="18"/>
        <v>2</v>
      </c>
      <c r="AP93" s="34">
        <f t="shared" si="18"/>
        <v>1</v>
      </c>
      <c r="AQ93" s="34">
        <f t="shared" si="18"/>
        <v>1</v>
      </c>
      <c r="AR93" s="34">
        <f t="shared" si="18"/>
        <v>0</v>
      </c>
      <c r="AS93" s="34">
        <f t="shared" si="18"/>
        <v>4</v>
      </c>
      <c r="AT93" s="34">
        <f t="shared" si="18"/>
        <v>1</v>
      </c>
      <c r="AU93" s="34">
        <f t="shared" si="18"/>
        <v>0</v>
      </c>
      <c r="AV93" s="34">
        <f t="shared" si="18"/>
        <v>2</v>
      </c>
      <c r="AW93" s="34">
        <f t="shared" si="18"/>
        <v>3</v>
      </c>
      <c r="AX93" s="34">
        <f t="shared" si="18"/>
        <v>3</v>
      </c>
      <c r="AY93" s="34">
        <f t="shared" si="18"/>
        <v>0</v>
      </c>
      <c r="AZ93" s="34">
        <f t="shared" si="18"/>
        <v>1</v>
      </c>
      <c r="BA93" s="34">
        <f t="shared" si="18"/>
        <v>8</v>
      </c>
      <c r="BB93" s="34">
        <f t="shared" si="18"/>
        <v>2</v>
      </c>
      <c r="BC93" s="13">
        <f t="shared" si="13"/>
        <v>88</v>
      </c>
    </row>
    <row r="94" spans="1:55" ht="12.75" customHeight="1" x14ac:dyDescent="0.3">
      <c r="A94" s="35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13">
        <f t="shared" si="13"/>
        <v>0</v>
      </c>
    </row>
    <row r="95" spans="1:55" ht="12.75" customHeight="1" x14ac:dyDescent="0.3">
      <c r="A95" s="19" t="s">
        <v>37</v>
      </c>
      <c r="B95" s="26" t="s">
        <v>81</v>
      </c>
      <c r="C95" s="48" t="s">
        <v>82</v>
      </c>
      <c r="D95" s="47"/>
      <c r="E95" s="15">
        <v>1</v>
      </c>
      <c r="F95" s="15"/>
      <c r="G95" s="15"/>
      <c r="H95" s="15">
        <v>1</v>
      </c>
      <c r="I95" s="15"/>
      <c r="J95" s="15"/>
      <c r="K95" s="15"/>
      <c r="L95" s="15"/>
      <c r="M95" s="15"/>
      <c r="N95" s="15"/>
      <c r="O95" s="15">
        <v>1</v>
      </c>
      <c r="P95" s="15"/>
      <c r="Q95" s="15"/>
      <c r="R95" s="15"/>
      <c r="S95" s="15"/>
      <c r="T95" s="15">
        <v>1</v>
      </c>
      <c r="U95" s="15">
        <v>1</v>
      </c>
      <c r="V95" s="15"/>
      <c r="W95" s="15"/>
      <c r="X95" s="15"/>
      <c r="Y95" s="15"/>
      <c r="Z95" s="15"/>
      <c r="AA95" s="15">
        <v>1</v>
      </c>
      <c r="AB95" s="15"/>
      <c r="AC95" s="15"/>
      <c r="AD95" s="15"/>
      <c r="AE95" s="15"/>
      <c r="AF95" s="15"/>
      <c r="AG95" s="15"/>
      <c r="AH95" s="15"/>
      <c r="AI95" s="15">
        <v>2</v>
      </c>
      <c r="AJ95" s="15">
        <v>1</v>
      </c>
      <c r="AK95" s="15"/>
      <c r="AL95" s="15"/>
      <c r="AM95" s="15"/>
      <c r="AN95" s="15"/>
      <c r="AO95" s="15"/>
      <c r="AP95" s="15"/>
      <c r="AQ95" s="15"/>
      <c r="AR95" s="15"/>
      <c r="AS95" s="15">
        <v>1</v>
      </c>
      <c r="AT95" s="15">
        <v>1</v>
      </c>
      <c r="AU95" s="15"/>
      <c r="AV95" s="15"/>
      <c r="AW95" s="15"/>
      <c r="AX95" s="15"/>
      <c r="AY95" s="15"/>
      <c r="AZ95" s="15"/>
      <c r="BA95" s="15"/>
      <c r="BB95" s="15"/>
      <c r="BC95" s="13">
        <f t="shared" si="13"/>
        <v>11</v>
      </c>
    </row>
    <row r="96" spans="1:55" ht="12.75" customHeight="1" x14ac:dyDescent="0.3">
      <c r="A96" s="19" t="s">
        <v>39</v>
      </c>
      <c r="B96" s="27"/>
      <c r="C96" s="28" t="s">
        <v>83</v>
      </c>
      <c r="D96" s="37"/>
      <c r="E96" s="15"/>
      <c r="F96" s="15"/>
      <c r="G96" s="15"/>
      <c r="H96" s="15"/>
      <c r="I96" s="15"/>
      <c r="J96" s="15"/>
      <c r="K96" s="15"/>
      <c r="L96" s="15"/>
      <c r="M96" s="15"/>
      <c r="N96" s="15">
        <v>1</v>
      </c>
      <c r="O96" s="15"/>
      <c r="P96" s="15"/>
      <c r="Q96" s="15"/>
      <c r="R96" s="15"/>
      <c r="S96" s="15"/>
      <c r="T96" s="15"/>
      <c r="U96" s="15"/>
      <c r="V96" s="15"/>
      <c r="W96" s="15">
        <v>1</v>
      </c>
      <c r="X96" s="15">
        <v>1</v>
      </c>
      <c r="Y96" s="15"/>
      <c r="Z96" s="15">
        <v>1</v>
      </c>
      <c r="AA96" s="15"/>
      <c r="AB96" s="15"/>
      <c r="AC96" s="15"/>
      <c r="AD96" s="15"/>
      <c r="AE96" s="15"/>
      <c r="AF96" s="15"/>
      <c r="AG96" s="15"/>
      <c r="AH96" s="15"/>
      <c r="AI96" s="15">
        <v>1</v>
      </c>
      <c r="AJ96" s="15"/>
      <c r="AK96" s="15"/>
      <c r="AL96" s="15"/>
      <c r="AM96" s="15"/>
      <c r="AN96" s="15"/>
      <c r="AO96" s="15"/>
      <c r="AP96" s="15"/>
      <c r="AQ96" s="15">
        <v>1</v>
      </c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3">
        <f t="shared" si="13"/>
        <v>6</v>
      </c>
    </row>
    <row r="97" spans="1:55" ht="12.75" customHeight="1" x14ac:dyDescent="0.3">
      <c r="A97" s="15" t="s">
        <v>15</v>
      </c>
      <c r="B97" s="45" t="s">
        <v>47</v>
      </c>
      <c r="C97" s="46"/>
      <c r="D97" s="47"/>
      <c r="E97" s="34">
        <f t="shared" ref="E97:BB97" si="19">SUM(E95:E96)</f>
        <v>1</v>
      </c>
      <c r="F97" s="34">
        <f t="shared" si="19"/>
        <v>0</v>
      </c>
      <c r="G97" s="34">
        <f t="shared" si="19"/>
        <v>0</v>
      </c>
      <c r="H97" s="34">
        <f t="shared" si="19"/>
        <v>1</v>
      </c>
      <c r="I97" s="34">
        <f t="shared" si="19"/>
        <v>0</v>
      </c>
      <c r="J97" s="34">
        <f t="shared" si="19"/>
        <v>0</v>
      </c>
      <c r="K97" s="34">
        <f t="shared" si="19"/>
        <v>0</v>
      </c>
      <c r="L97" s="34">
        <f t="shared" si="19"/>
        <v>0</v>
      </c>
      <c r="M97" s="34">
        <f t="shared" si="19"/>
        <v>0</v>
      </c>
      <c r="N97" s="34">
        <f t="shared" si="19"/>
        <v>1</v>
      </c>
      <c r="O97" s="34">
        <f t="shared" si="19"/>
        <v>1</v>
      </c>
      <c r="P97" s="34">
        <f t="shared" si="19"/>
        <v>0</v>
      </c>
      <c r="Q97" s="34">
        <f t="shared" si="19"/>
        <v>0</v>
      </c>
      <c r="R97" s="34">
        <f t="shared" si="19"/>
        <v>0</v>
      </c>
      <c r="S97" s="34">
        <f t="shared" si="19"/>
        <v>0</v>
      </c>
      <c r="T97" s="34">
        <f t="shared" si="19"/>
        <v>1</v>
      </c>
      <c r="U97" s="34">
        <f t="shared" si="19"/>
        <v>1</v>
      </c>
      <c r="V97" s="34">
        <f t="shared" si="19"/>
        <v>0</v>
      </c>
      <c r="W97" s="34">
        <f t="shared" si="19"/>
        <v>1</v>
      </c>
      <c r="X97" s="34">
        <f t="shared" si="19"/>
        <v>1</v>
      </c>
      <c r="Y97" s="34">
        <f t="shared" si="19"/>
        <v>0</v>
      </c>
      <c r="Z97" s="34">
        <f t="shared" si="19"/>
        <v>1</v>
      </c>
      <c r="AA97" s="34">
        <f t="shared" si="19"/>
        <v>1</v>
      </c>
      <c r="AB97" s="34">
        <f t="shared" si="19"/>
        <v>0</v>
      </c>
      <c r="AC97" s="34">
        <f t="shared" si="19"/>
        <v>0</v>
      </c>
      <c r="AD97" s="34">
        <f t="shared" si="19"/>
        <v>0</v>
      </c>
      <c r="AE97" s="34">
        <f t="shared" si="19"/>
        <v>0</v>
      </c>
      <c r="AF97" s="34">
        <f t="shared" si="19"/>
        <v>0</v>
      </c>
      <c r="AG97" s="34">
        <f t="shared" si="19"/>
        <v>0</v>
      </c>
      <c r="AH97" s="34">
        <f t="shared" si="19"/>
        <v>0</v>
      </c>
      <c r="AI97" s="34">
        <f t="shared" si="19"/>
        <v>3</v>
      </c>
      <c r="AJ97" s="34">
        <f t="shared" si="19"/>
        <v>1</v>
      </c>
      <c r="AK97" s="34">
        <f t="shared" si="19"/>
        <v>0</v>
      </c>
      <c r="AL97" s="34">
        <f t="shared" si="19"/>
        <v>0</v>
      </c>
      <c r="AM97" s="34">
        <f t="shared" si="19"/>
        <v>0</v>
      </c>
      <c r="AN97" s="34">
        <f t="shared" si="19"/>
        <v>0</v>
      </c>
      <c r="AO97" s="34">
        <f t="shared" si="19"/>
        <v>0</v>
      </c>
      <c r="AP97" s="34">
        <f t="shared" si="19"/>
        <v>0</v>
      </c>
      <c r="AQ97" s="34">
        <f t="shared" si="19"/>
        <v>1</v>
      </c>
      <c r="AR97" s="34">
        <f t="shared" si="19"/>
        <v>0</v>
      </c>
      <c r="AS97" s="34">
        <f t="shared" si="19"/>
        <v>1</v>
      </c>
      <c r="AT97" s="34">
        <f t="shared" si="19"/>
        <v>1</v>
      </c>
      <c r="AU97" s="34">
        <f t="shared" si="19"/>
        <v>0</v>
      </c>
      <c r="AV97" s="34">
        <f t="shared" si="19"/>
        <v>0</v>
      </c>
      <c r="AW97" s="34">
        <f t="shared" si="19"/>
        <v>0</v>
      </c>
      <c r="AX97" s="34">
        <f t="shared" si="19"/>
        <v>0</v>
      </c>
      <c r="AY97" s="34">
        <f t="shared" si="19"/>
        <v>0</v>
      </c>
      <c r="AZ97" s="34">
        <f t="shared" si="19"/>
        <v>0</v>
      </c>
      <c r="BA97" s="34">
        <f t="shared" si="19"/>
        <v>0</v>
      </c>
      <c r="BB97" s="34">
        <f t="shared" si="19"/>
        <v>0</v>
      </c>
      <c r="BC97" s="13">
        <f t="shared" si="13"/>
        <v>17</v>
      </c>
    </row>
    <row r="98" spans="1:55" ht="12.75" customHeight="1" x14ac:dyDescent="0.3">
      <c r="A98" s="35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13">
        <f t="shared" si="13"/>
        <v>0</v>
      </c>
    </row>
    <row r="99" spans="1:55" ht="12.75" customHeight="1" x14ac:dyDescent="0.3">
      <c r="A99" s="19" t="s">
        <v>37</v>
      </c>
      <c r="B99" s="26" t="s">
        <v>84</v>
      </c>
      <c r="C99" s="48" t="s">
        <v>85</v>
      </c>
      <c r="D99" s="47"/>
      <c r="E99" s="15"/>
      <c r="F99" s="15"/>
      <c r="G99" s="15">
        <v>1</v>
      </c>
      <c r="H99" s="15">
        <v>1</v>
      </c>
      <c r="I99" s="15"/>
      <c r="J99" s="15"/>
      <c r="K99" s="15"/>
      <c r="L99" s="15"/>
      <c r="M99" s="15">
        <v>1</v>
      </c>
      <c r="N99" s="15"/>
      <c r="O99" s="15"/>
      <c r="P99" s="15"/>
      <c r="Q99" s="15"/>
      <c r="R99" s="15"/>
      <c r="S99" s="15">
        <v>1</v>
      </c>
      <c r="T99" s="15">
        <v>1</v>
      </c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>
        <v>2</v>
      </c>
      <c r="AI99" s="15"/>
      <c r="AJ99" s="15"/>
      <c r="AK99" s="15"/>
      <c r="AL99" s="15"/>
      <c r="AM99" s="15">
        <v>1</v>
      </c>
      <c r="AN99" s="15">
        <v>1</v>
      </c>
      <c r="AO99" s="15">
        <v>3</v>
      </c>
      <c r="AP99" s="15"/>
      <c r="AQ99" s="15">
        <v>1</v>
      </c>
      <c r="AR99" s="15"/>
      <c r="AS99" s="15">
        <v>1</v>
      </c>
      <c r="AT99" s="15">
        <v>1</v>
      </c>
      <c r="AU99" s="15"/>
      <c r="AV99" s="15">
        <v>1</v>
      </c>
      <c r="AW99" s="15">
        <v>3</v>
      </c>
      <c r="AX99" s="15">
        <v>2</v>
      </c>
      <c r="AY99" s="15"/>
      <c r="AZ99" s="15"/>
      <c r="BA99" s="15">
        <v>1</v>
      </c>
      <c r="BB99" s="15"/>
      <c r="BC99" s="13">
        <f t="shared" si="13"/>
        <v>22</v>
      </c>
    </row>
    <row r="100" spans="1:55" ht="12.75" customHeight="1" x14ac:dyDescent="0.3">
      <c r="A100" s="19" t="s">
        <v>39</v>
      </c>
      <c r="B100" s="27"/>
      <c r="C100" s="28" t="s">
        <v>86</v>
      </c>
      <c r="D100" s="29"/>
      <c r="E100" s="15"/>
      <c r="F100" s="15">
        <v>1</v>
      </c>
      <c r="G100" s="15"/>
      <c r="H100" s="15"/>
      <c r="I100" s="15"/>
      <c r="J100" s="15"/>
      <c r="K100" s="15"/>
      <c r="L100" s="15"/>
      <c r="M100" s="15"/>
      <c r="N100" s="15">
        <v>1</v>
      </c>
      <c r="O100" s="15">
        <v>1</v>
      </c>
      <c r="P100" s="15"/>
      <c r="Q100" s="15">
        <v>1</v>
      </c>
      <c r="R100" s="15"/>
      <c r="S100" s="15"/>
      <c r="T100" s="15"/>
      <c r="U100" s="15"/>
      <c r="V100" s="15"/>
      <c r="W100" s="15"/>
      <c r="X100" s="15"/>
      <c r="Y100" s="15"/>
      <c r="Z100" s="15">
        <v>1</v>
      </c>
      <c r="AA100" s="15"/>
      <c r="AB100" s="15">
        <v>1</v>
      </c>
      <c r="AC100" s="15"/>
      <c r="AD100" s="15"/>
      <c r="AE100" s="15"/>
      <c r="AF100" s="15"/>
      <c r="AG100" s="15"/>
      <c r="AH100" s="15"/>
      <c r="AI100" s="15"/>
      <c r="AJ100" s="15">
        <v>1</v>
      </c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3">
        <f t="shared" si="13"/>
        <v>7</v>
      </c>
    </row>
    <row r="101" spans="1:55" ht="12.75" customHeight="1" x14ac:dyDescent="0.3">
      <c r="A101" s="15" t="s">
        <v>15</v>
      </c>
      <c r="B101" s="45" t="s">
        <v>47</v>
      </c>
      <c r="C101" s="46"/>
      <c r="D101" s="47"/>
      <c r="E101" s="34">
        <f t="shared" ref="E101:BB101" si="20">SUM(E99:E100)</f>
        <v>0</v>
      </c>
      <c r="F101" s="34">
        <f t="shared" si="20"/>
        <v>1</v>
      </c>
      <c r="G101" s="34">
        <f t="shared" si="20"/>
        <v>1</v>
      </c>
      <c r="H101" s="34">
        <f t="shared" si="20"/>
        <v>1</v>
      </c>
      <c r="I101" s="34">
        <f t="shared" si="20"/>
        <v>0</v>
      </c>
      <c r="J101" s="34">
        <f t="shared" si="20"/>
        <v>0</v>
      </c>
      <c r="K101" s="34">
        <f t="shared" si="20"/>
        <v>0</v>
      </c>
      <c r="L101" s="34">
        <f t="shared" si="20"/>
        <v>0</v>
      </c>
      <c r="M101" s="34">
        <f t="shared" si="20"/>
        <v>1</v>
      </c>
      <c r="N101" s="34">
        <f t="shared" si="20"/>
        <v>1</v>
      </c>
      <c r="O101" s="34">
        <f t="shared" si="20"/>
        <v>1</v>
      </c>
      <c r="P101" s="34">
        <f t="shared" si="20"/>
        <v>0</v>
      </c>
      <c r="Q101" s="34">
        <f t="shared" si="20"/>
        <v>1</v>
      </c>
      <c r="R101" s="34">
        <f t="shared" si="20"/>
        <v>0</v>
      </c>
      <c r="S101" s="34">
        <f t="shared" si="20"/>
        <v>1</v>
      </c>
      <c r="T101" s="34">
        <f t="shared" si="20"/>
        <v>1</v>
      </c>
      <c r="U101" s="34">
        <f t="shared" si="20"/>
        <v>0</v>
      </c>
      <c r="V101" s="34">
        <f t="shared" si="20"/>
        <v>0</v>
      </c>
      <c r="W101" s="34">
        <f t="shared" si="20"/>
        <v>0</v>
      </c>
      <c r="X101" s="34">
        <f t="shared" si="20"/>
        <v>0</v>
      </c>
      <c r="Y101" s="34">
        <f t="shared" si="20"/>
        <v>0</v>
      </c>
      <c r="Z101" s="34">
        <f t="shared" si="20"/>
        <v>1</v>
      </c>
      <c r="AA101" s="34">
        <f t="shared" si="20"/>
        <v>0</v>
      </c>
      <c r="AB101" s="34">
        <f t="shared" si="20"/>
        <v>1</v>
      </c>
      <c r="AC101" s="34">
        <f t="shared" si="20"/>
        <v>0</v>
      </c>
      <c r="AD101" s="34">
        <f t="shared" si="20"/>
        <v>0</v>
      </c>
      <c r="AE101" s="34">
        <f t="shared" si="20"/>
        <v>0</v>
      </c>
      <c r="AF101" s="34">
        <f t="shared" si="20"/>
        <v>0</v>
      </c>
      <c r="AG101" s="34">
        <f t="shared" si="20"/>
        <v>0</v>
      </c>
      <c r="AH101" s="34">
        <f t="shared" si="20"/>
        <v>2</v>
      </c>
      <c r="AI101" s="34">
        <f t="shared" si="20"/>
        <v>0</v>
      </c>
      <c r="AJ101" s="34">
        <f t="shared" si="20"/>
        <v>1</v>
      </c>
      <c r="AK101" s="34">
        <f t="shared" si="20"/>
        <v>0</v>
      </c>
      <c r="AL101" s="34">
        <f t="shared" si="20"/>
        <v>0</v>
      </c>
      <c r="AM101" s="34">
        <f t="shared" si="20"/>
        <v>1</v>
      </c>
      <c r="AN101" s="34">
        <f t="shared" si="20"/>
        <v>1</v>
      </c>
      <c r="AO101" s="34">
        <f t="shared" si="20"/>
        <v>3</v>
      </c>
      <c r="AP101" s="34">
        <f t="shared" si="20"/>
        <v>0</v>
      </c>
      <c r="AQ101" s="34">
        <f t="shared" si="20"/>
        <v>1</v>
      </c>
      <c r="AR101" s="34">
        <f t="shared" si="20"/>
        <v>0</v>
      </c>
      <c r="AS101" s="34">
        <f t="shared" si="20"/>
        <v>1</v>
      </c>
      <c r="AT101" s="34">
        <f t="shared" si="20"/>
        <v>1</v>
      </c>
      <c r="AU101" s="34">
        <f t="shared" si="20"/>
        <v>0</v>
      </c>
      <c r="AV101" s="34">
        <f t="shared" si="20"/>
        <v>1</v>
      </c>
      <c r="AW101" s="34">
        <f t="shared" si="20"/>
        <v>3</v>
      </c>
      <c r="AX101" s="34">
        <f t="shared" si="20"/>
        <v>2</v>
      </c>
      <c r="AY101" s="34">
        <f t="shared" si="20"/>
        <v>0</v>
      </c>
      <c r="AZ101" s="34">
        <f t="shared" si="20"/>
        <v>0</v>
      </c>
      <c r="BA101" s="34">
        <f t="shared" si="20"/>
        <v>1</v>
      </c>
      <c r="BB101" s="34">
        <f t="shared" si="20"/>
        <v>0</v>
      </c>
      <c r="BC101" s="13">
        <f t="shared" si="13"/>
        <v>29</v>
      </c>
    </row>
    <row r="102" spans="1:55" ht="12.75" customHeight="1" x14ac:dyDescent="0.3">
      <c r="A102" s="35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13">
        <f t="shared" si="13"/>
        <v>0</v>
      </c>
    </row>
    <row r="103" spans="1:55" ht="15" customHeight="1" x14ac:dyDescent="0.3">
      <c r="A103" s="19" t="s">
        <v>37</v>
      </c>
      <c r="B103" s="26" t="s">
        <v>87</v>
      </c>
      <c r="C103" s="48" t="s">
        <v>88</v>
      </c>
      <c r="D103" s="47"/>
      <c r="E103" s="15"/>
      <c r="F103" s="15"/>
      <c r="G103" s="15">
        <v>1</v>
      </c>
      <c r="H103" s="15">
        <v>3</v>
      </c>
      <c r="I103" s="15"/>
      <c r="J103" s="15">
        <v>1</v>
      </c>
      <c r="K103" s="15"/>
      <c r="L103" s="15">
        <v>1</v>
      </c>
      <c r="M103" s="15">
        <v>1</v>
      </c>
      <c r="N103" s="15">
        <v>2</v>
      </c>
      <c r="O103" s="15">
        <v>1</v>
      </c>
      <c r="P103" s="15"/>
      <c r="Q103" s="15">
        <v>1</v>
      </c>
      <c r="R103" s="15">
        <v>1</v>
      </c>
      <c r="S103" s="15">
        <v>7</v>
      </c>
      <c r="T103" s="15">
        <v>2</v>
      </c>
      <c r="U103" s="15">
        <v>1</v>
      </c>
      <c r="V103" s="15"/>
      <c r="W103" s="15"/>
      <c r="X103" s="15"/>
      <c r="Y103" s="15">
        <v>2</v>
      </c>
      <c r="Z103" s="15"/>
      <c r="AA103" s="15">
        <v>1</v>
      </c>
      <c r="AB103" s="15">
        <v>2</v>
      </c>
      <c r="AC103" s="15"/>
      <c r="AD103" s="15"/>
      <c r="AE103" s="15"/>
      <c r="AF103" s="15"/>
      <c r="AG103" s="15"/>
      <c r="AH103" s="15"/>
      <c r="AI103" s="15">
        <v>1</v>
      </c>
      <c r="AJ103" s="15"/>
      <c r="AK103" s="15">
        <v>1</v>
      </c>
      <c r="AL103" s="15"/>
      <c r="AM103" s="15"/>
      <c r="AN103" s="15">
        <v>1</v>
      </c>
      <c r="AO103" s="15">
        <v>1</v>
      </c>
      <c r="AP103" s="15"/>
      <c r="AQ103" s="15"/>
      <c r="AR103" s="15">
        <v>2</v>
      </c>
      <c r="AS103" s="15"/>
      <c r="AT103" s="15">
        <v>1</v>
      </c>
      <c r="AU103" s="15">
        <v>1</v>
      </c>
      <c r="AV103" s="15"/>
      <c r="AW103" s="15">
        <v>1</v>
      </c>
      <c r="AX103" s="15"/>
      <c r="AY103" s="15"/>
      <c r="AZ103" s="15">
        <v>1</v>
      </c>
      <c r="BA103" s="15"/>
      <c r="BB103" s="15"/>
      <c r="BC103" s="13">
        <f t="shared" si="13"/>
        <v>37</v>
      </c>
    </row>
    <row r="104" spans="1:55" ht="12.75" customHeight="1" x14ac:dyDescent="0.3">
      <c r="A104" s="19" t="s">
        <v>39</v>
      </c>
      <c r="B104" s="27"/>
      <c r="C104" s="28" t="s">
        <v>89</v>
      </c>
      <c r="D104" s="29"/>
      <c r="E104" s="15">
        <v>1</v>
      </c>
      <c r="F104" s="15">
        <v>2</v>
      </c>
      <c r="G104" s="15"/>
      <c r="H104" s="15"/>
      <c r="I104" s="15">
        <v>1</v>
      </c>
      <c r="J104" s="15">
        <v>1</v>
      </c>
      <c r="K104" s="15">
        <v>1</v>
      </c>
      <c r="L104" s="15">
        <v>2</v>
      </c>
      <c r="M104" s="15">
        <v>6</v>
      </c>
      <c r="N104" s="15"/>
      <c r="O104" s="15">
        <v>3</v>
      </c>
      <c r="P104" s="15">
        <v>1</v>
      </c>
      <c r="Q104" s="15">
        <v>1</v>
      </c>
      <c r="R104" s="15">
        <v>3</v>
      </c>
      <c r="S104" s="15">
        <v>57</v>
      </c>
      <c r="T104" s="15">
        <v>9</v>
      </c>
      <c r="U104" s="15">
        <v>5</v>
      </c>
      <c r="V104" s="15"/>
      <c r="W104" s="15">
        <v>3</v>
      </c>
      <c r="X104" s="15">
        <v>6</v>
      </c>
      <c r="Y104" s="15">
        <v>6</v>
      </c>
      <c r="Z104" s="15"/>
      <c r="AA104" s="15">
        <v>2</v>
      </c>
      <c r="AB104" s="15">
        <v>6</v>
      </c>
      <c r="AC104" s="15">
        <v>3</v>
      </c>
      <c r="AD104" s="15">
        <v>2</v>
      </c>
      <c r="AE104" s="15">
        <v>1</v>
      </c>
      <c r="AF104" s="15">
        <v>1</v>
      </c>
      <c r="AG104" s="15"/>
      <c r="AH104" s="15">
        <v>1</v>
      </c>
      <c r="AI104" s="15">
        <v>3</v>
      </c>
      <c r="AJ104" s="15">
        <v>1</v>
      </c>
      <c r="AK104" s="15">
        <v>9</v>
      </c>
      <c r="AL104" s="15"/>
      <c r="AM104" s="15">
        <v>2</v>
      </c>
      <c r="AN104" s="15">
        <v>3</v>
      </c>
      <c r="AO104" s="15">
        <v>5</v>
      </c>
      <c r="AP104" s="15">
        <v>3</v>
      </c>
      <c r="AQ104" s="15"/>
      <c r="AR104" s="15">
        <v>7</v>
      </c>
      <c r="AS104" s="15">
        <v>3</v>
      </c>
      <c r="AT104" s="15">
        <v>10</v>
      </c>
      <c r="AU104" s="15">
        <v>1</v>
      </c>
      <c r="AV104" s="15"/>
      <c r="AW104" s="15"/>
      <c r="AX104" s="15">
        <v>2</v>
      </c>
      <c r="AY104" s="15"/>
      <c r="AZ104" s="15">
        <v>5</v>
      </c>
      <c r="BA104" s="15">
        <v>2</v>
      </c>
      <c r="BB104" s="15"/>
      <c r="BC104" s="13">
        <f t="shared" si="13"/>
        <v>180</v>
      </c>
    </row>
    <row r="105" spans="1:55" ht="12.75" customHeight="1" x14ac:dyDescent="0.3">
      <c r="A105" s="14"/>
      <c r="B105" s="27"/>
      <c r="C105" s="28" t="s">
        <v>90</v>
      </c>
      <c r="D105" s="29"/>
      <c r="E105" s="15"/>
      <c r="F105" s="15">
        <v>2</v>
      </c>
      <c r="G105" s="15"/>
      <c r="H105" s="15">
        <v>1</v>
      </c>
      <c r="I105" s="15"/>
      <c r="J105" s="15">
        <v>1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>
        <v>1</v>
      </c>
      <c r="U105" s="15"/>
      <c r="V105" s="15"/>
      <c r="W105" s="15"/>
      <c r="X105" s="15"/>
      <c r="Y105" s="15">
        <v>3</v>
      </c>
      <c r="Z105" s="15"/>
      <c r="AA105" s="15"/>
      <c r="AB105" s="15"/>
      <c r="AC105" s="15"/>
      <c r="AD105" s="15"/>
      <c r="AE105" s="15"/>
      <c r="AF105" s="15"/>
      <c r="AG105" s="15"/>
      <c r="AH105" s="15"/>
      <c r="AI105" s="15">
        <v>2</v>
      </c>
      <c r="AJ105" s="15"/>
      <c r="AK105" s="15"/>
      <c r="AL105" s="15"/>
      <c r="AM105" s="15"/>
      <c r="AN105" s="15"/>
      <c r="AO105" s="15"/>
      <c r="AP105" s="15"/>
      <c r="AQ105" s="15"/>
      <c r="AR105" s="15">
        <v>1</v>
      </c>
      <c r="AS105" s="15"/>
      <c r="AT105" s="15"/>
      <c r="AU105" s="15"/>
      <c r="AV105" s="15"/>
      <c r="AW105" s="15"/>
      <c r="AX105" s="15"/>
      <c r="AY105" s="15"/>
      <c r="AZ105" s="15">
        <v>1</v>
      </c>
      <c r="BA105" s="15"/>
      <c r="BB105" s="15"/>
      <c r="BC105" s="13">
        <f t="shared" si="13"/>
        <v>12</v>
      </c>
    </row>
    <row r="106" spans="1:55" ht="12.75" customHeight="1" x14ac:dyDescent="0.3">
      <c r="A106" s="14"/>
      <c r="B106" s="27"/>
      <c r="C106" s="28" t="s">
        <v>91</v>
      </c>
      <c r="D106" s="29"/>
      <c r="E106" s="15"/>
      <c r="F106" s="15"/>
      <c r="G106" s="15"/>
      <c r="H106" s="15">
        <v>1</v>
      </c>
      <c r="I106" s="15"/>
      <c r="J106" s="15"/>
      <c r="K106" s="15"/>
      <c r="L106" s="15">
        <v>1</v>
      </c>
      <c r="M106" s="15"/>
      <c r="N106" s="15"/>
      <c r="O106" s="15"/>
      <c r="P106" s="15"/>
      <c r="Q106" s="15"/>
      <c r="R106" s="15">
        <v>1</v>
      </c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>
        <v>1</v>
      </c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3">
        <f t="shared" si="13"/>
        <v>4</v>
      </c>
    </row>
    <row r="107" spans="1:55" ht="12.75" customHeight="1" x14ac:dyDescent="0.3">
      <c r="A107" s="14"/>
      <c r="B107" s="27"/>
      <c r="C107" s="28" t="s">
        <v>92</v>
      </c>
      <c r="D107" s="29"/>
      <c r="E107" s="15"/>
      <c r="F107" s="15"/>
      <c r="G107" s="15"/>
      <c r="H107" s="15"/>
      <c r="I107" s="15"/>
      <c r="J107" s="15"/>
      <c r="K107" s="15">
        <v>1</v>
      </c>
      <c r="L107" s="15">
        <v>1</v>
      </c>
      <c r="M107" s="15"/>
      <c r="N107" s="15"/>
      <c r="O107" s="15"/>
      <c r="P107" s="15"/>
      <c r="Q107" s="15"/>
      <c r="R107" s="15"/>
      <c r="S107" s="15"/>
      <c r="T107" s="15"/>
      <c r="U107" s="15">
        <v>1</v>
      </c>
      <c r="V107" s="15"/>
      <c r="W107" s="15"/>
      <c r="X107" s="15"/>
      <c r="Y107" s="15">
        <v>1</v>
      </c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3">
        <f t="shared" si="13"/>
        <v>4</v>
      </c>
    </row>
    <row r="108" spans="1:55" ht="12.75" customHeight="1" x14ac:dyDescent="0.3">
      <c r="A108" s="14"/>
      <c r="B108" s="27"/>
      <c r="C108" s="28" t="s">
        <v>93</v>
      </c>
      <c r="D108" s="29"/>
      <c r="E108" s="15">
        <v>1</v>
      </c>
      <c r="F108" s="15"/>
      <c r="G108" s="15">
        <v>1</v>
      </c>
      <c r="H108" s="15"/>
      <c r="I108" s="15"/>
      <c r="J108" s="15"/>
      <c r="K108" s="15"/>
      <c r="L108" s="15"/>
      <c r="M108" s="15"/>
      <c r="N108" s="15"/>
      <c r="O108" s="15">
        <v>1</v>
      </c>
      <c r="P108" s="15"/>
      <c r="Q108" s="15"/>
      <c r="R108" s="15"/>
      <c r="S108" s="15">
        <v>1</v>
      </c>
      <c r="T108" s="15"/>
      <c r="U108" s="15"/>
      <c r="V108" s="15"/>
      <c r="W108" s="15"/>
      <c r="X108" s="15">
        <v>1</v>
      </c>
      <c r="Y108" s="15"/>
      <c r="Z108" s="15"/>
      <c r="AA108" s="15"/>
      <c r="AB108" s="15"/>
      <c r="AC108" s="15"/>
      <c r="AD108" s="15"/>
      <c r="AE108" s="15"/>
      <c r="AF108" s="15"/>
      <c r="AG108" s="15">
        <v>2</v>
      </c>
      <c r="AH108" s="15">
        <v>31</v>
      </c>
      <c r="AI108" s="15">
        <v>44</v>
      </c>
      <c r="AJ108" s="15">
        <v>10</v>
      </c>
      <c r="AK108" s="15">
        <v>1</v>
      </c>
      <c r="AL108" s="15">
        <v>1</v>
      </c>
      <c r="AM108" s="15">
        <v>2</v>
      </c>
      <c r="AN108" s="15">
        <v>1</v>
      </c>
      <c r="AO108" s="15">
        <v>2</v>
      </c>
      <c r="AP108" s="15">
        <v>1</v>
      </c>
      <c r="AQ108" s="15">
        <v>1</v>
      </c>
      <c r="AR108" s="15"/>
      <c r="AS108" s="15"/>
      <c r="AT108" s="15">
        <v>1</v>
      </c>
      <c r="AU108" s="15"/>
      <c r="AV108" s="15"/>
      <c r="AW108" s="15"/>
      <c r="AX108" s="15"/>
      <c r="AY108" s="15"/>
      <c r="AZ108" s="15"/>
      <c r="BA108" s="15"/>
      <c r="BB108" s="15"/>
      <c r="BC108" s="13">
        <f t="shared" si="13"/>
        <v>102</v>
      </c>
    </row>
    <row r="109" spans="1:55" ht="12.75" customHeight="1" x14ac:dyDescent="0.3">
      <c r="A109" s="14"/>
      <c r="B109" s="27"/>
      <c r="C109" s="28" t="s">
        <v>94</v>
      </c>
      <c r="D109" s="29"/>
      <c r="E109" s="15"/>
      <c r="F109" s="15"/>
      <c r="G109" s="15"/>
      <c r="H109" s="15"/>
      <c r="I109" s="15"/>
      <c r="J109" s="15"/>
      <c r="K109" s="15"/>
      <c r="L109" s="15"/>
      <c r="M109" s="15">
        <v>1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>
        <v>3</v>
      </c>
      <c r="Z109" s="15"/>
      <c r="AA109" s="15"/>
      <c r="AB109" s="15">
        <v>2</v>
      </c>
      <c r="AC109" s="15"/>
      <c r="AD109" s="15"/>
      <c r="AE109" s="15"/>
      <c r="AF109" s="15"/>
      <c r="AG109" s="15"/>
      <c r="AH109" s="15"/>
      <c r="AI109" s="15">
        <v>1</v>
      </c>
      <c r="AJ109" s="15"/>
      <c r="AK109" s="15"/>
      <c r="AL109" s="15"/>
      <c r="AM109" s="15"/>
      <c r="AN109" s="15"/>
      <c r="AO109" s="15"/>
      <c r="AP109" s="15"/>
      <c r="AQ109" s="15">
        <v>3</v>
      </c>
      <c r="AR109" s="15">
        <v>1</v>
      </c>
      <c r="AS109" s="15"/>
      <c r="AT109" s="15"/>
      <c r="AU109" s="15"/>
      <c r="AV109" s="15"/>
      <c r="AW109" s="15">
        <v>1</v>
      </c>
      <c r="AX109" s="15"/>
      <c r="AY109" s="15"/>
      <c r="AZ109" s="15"/>
      <c r="BA109" s="15"/>
      <c r="BB109" s="15"/>
      <c r="BC109" s="13">
        <f t="shared" si="13"/>
        <v>12</v>
      </c>
    </row>
    <row r="110" spans="1:55" ht="12.75" customHeight="1" x14ac:dyDescent="0.3">
      <c r="A110" s="14"/>
      <c r="B110" s="27"/>
      <c r="C110" s="28" t="s">
        <v>95</v>
      </c>
      <c r="D110" s="29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>
        <v>1</v>
      </c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3">
        <f t="shared" si="13"/>
        <v>1</v>
      </c>
    </row>
    <row r="111" spans="1:55" ht="12.75" customHeight="1" x14ac:dyDescent="0.3">
      <c r="A111" s="15" t="s">
        <v>15</v>
      </c>
      <c r="B111" s="45" t="s">
        <v>47</v>
      </c>
      <c r="C111" s="46"/>
      <c r="D111" s="47"/>
      <c r="E111" s="34">
        <f t="shared" ref="E111:BB111" si="21">SUM(E103:E110)</f>
        <v>2</v>
      </c>
      <c r="F111" s="34">
        <f t="shared" si="21"/>
        <v>4</v>
      </c>
      <c r="G111" s="34">
        <f t="shared" si="21"/>
        <v>2</v>
      </c>
      <c r="H111" s="34">
        <f t="shared" si="21"/>
        <v>5</v>
      </c>
      <c r="I111" s="34">
        <f t="shared" si="21"/>
        <v>1</v>
      </c>
      <c r="J111" s="34">
        <f t="shared" si="21"/>
        <v>3</v>
      </c>
      <c r="K111" s="34">
        <f t="shared" si="21"/>
        <v>2</v>
      </c>
      <c r="L111" s="34">
        <f t="shared" si="21"/>
        <v>5</v>
      </c>
      <c r="M111" s="34">
        <f t="shared" si="21"/>
        <v>8</v>
      </c>
      <c r="N111" s="34">
        <f t="shared" si="21"/>
        <v>2</v>
      </c>
      <c r="O111" s="34">
        <f t="shared" si="21"/>
        <v>5</v>
      </c>
      <c r="P111" s="34">
        <f t="shared" si="21"/>
        <v>1</v>
      </c>
      <c r="Q111" s="34">
        <f t="shared" si="21"/>
        <v>2</v>
      </c>
      <c r="R111" s="34">
        <f t="shared" si="21"/>
        <v>5</v>
      </c>
      <c r="S111" s="34">
        <f t="shared" si="21"/>
        <v>65</v>
      </c>
      <c r="T111" s="34">
        <f t="shared" si="21"/>
        <v>13</v>
      </c>
      <c r="U111" s="34">
        <f t="shared" si="21"/>
        <v>7</v>
      </c>
      <c r="V111" s="34">
        <f t="shared" si="21"/>
        <v>0</v>
      </c>
      <c r="W111" s="34">
        <f t="shared" si="21"/>
        <v>3</v>
      </c>
      <c r="X111" s="34">
        <f t="shared" si="21"/>
        <v>7</v>
      </c>
      <c r="Y111" s="34">
        <f t="shared" si="21"/>
        <v>15</v>
      </c>
      <c r="Z111" s="34">
        <f t="shared" si="21"/>
        <v>0</v>
      </c>
      <c r="AA111" s="34">
        <f t="shared" si="21"/>
        <v>3</v>
      </c>
      <c r="AB111" s="34">
        <f t="shared" si="21"/>
        <v>10</v>
      </c>
      <c r="AC111" s="34">
        <f t="shared" si="21"/>
        <v>3</v>
      </c>
      <c r="AD111" s="34">
        <f t="shared" si="21"/>
        <v>3</v>
      </c>
      <c r="AE111" s="34">
        <f t="shared" si="21"/>
        <v>1</v>
      </c>
      <c r="AF111" s="34">
        <f t="shared" si="21"/>
        <v>1</v>
      </c>
      <c r="AG111" s="34">
        <f t="shared" si="21"/>
        <v>2</v>
      </c>
      <c r="AH111" s="34">
        <f t="shared" si="21"/>
        <v>32</v>
      </c>
      <c r="AI111" s="34">
        <f t="shared" si="21"/>
        <v>51</v>
      </c>
      <c r="AJ111" s="34">
        <f t="shared" si="21"/>
        <v>11</v>
      </c>
      <c r="AK111" s="34">
        <f t="shared" si="21"/>
        <v>11</v>
      </c>
      <c r="AL111" s="34">
        <f t="shared" si="21"/>
        <v>1</v>
      </c>
      <c r="AM111" s="34">
        <f t="shared" si="21"/>
        <v>4</v>
      </c>
      <c r="AN111" s="34">
        <f t="shared" si="21"/>
        <v>5</v>
      </c>
      <c r="AO111" s="34">
        <f t="shared" si="21"/>
        <v>8</v>
      </c>
      <c r="AP111" s="34">
        <f t="shared" si="21"/>
        <v>4</v>
      </c>
      <c r="AQ111" s="34">
        <f t="shared" si="21"/>
        <v>4</v>
      </c>
      <c r="AR111" s="34">
        <f t="shared" si="21"/>
        <v>11</v>
      </c>
      <c r="AS111" s="34">
        <f t="shared" si="21"/>
        <v>3</v>
      </c>
      <c r="AT111" s="34">
        <f t="shared" si="21"/>
        <v>12</v>
      </c>
      <c r="AU111" s="34">
        <f t="shared" si="21"/>
        <v>2</v>
      </c>
      <c r="AV111" s="34">
        <f t="shared" si="21"/>
        <v>0</v>
      </c>
      <c r="AW111" s="34">
        <f t="shared" si="21"/>
        <v>2</v>
      </c>
      <c r="AX111" s="34">
        <f t="shared" si="21"/>
        <v>2</v>
      </c>
      <c r="AY111" s="34">
        <f t="shared" si="21"/>
        <v>0</v>
      </c>
      <c r="AZ111" s="34">
        <f t="shared" si="21"/>
        <v>7</v>
      </c>
      <c r="BA111" s="34">
        <f t="shared" si="21"/>
        <v>2</v>
      </c>
      <c r="BB111" s="34">
        <f t="shared" si="21"/>
        <v>0</v>
      </c>
      <c r="BC111" s="13">
        <f t="shared" si="13"/>
        <v>352</v>
      </c>
    </row>
    <row r="112" spans="1:55" ht="12.75" customHeight="1" x14ac:dyDescent="0.3">
      <c r="A112" s="35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13">
        <f t="shared" si="13"/>
        <v>0</v>
      </c>
    </row>
    <row r="113" spans="1:57" ht="12.75" customHeight="1" x14ac:dyDescent="0.3">
      <c r="A113" s="19" t="s">
        <v>37</v>
      </c>
      <c r="B113" s="26" t="s">
        <v>96</v>
      </c>
      <c r="C113" s="48" t="s">
        <v>97</v>
      </c>
      <c r="D113" s="47"/>
      <c r="E113" s="15"/>
      <c r="F113" s="15"/>
      <c r="G113" s="15"/>
      <c r="H113" s="15"/>
      <c r="I113" s="15"/>
      <c r="J113" s="15"/>
      <c r="K113" s="15">
        <v>1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3">
        <f t="shared" si="13"/>
        <v>1</v>
      </c>
    </row>
    <row r="114" spans="1:57" ht="12.75" customHeight="1" x14ac:dyDescent="0.3">
      <c r="A114" s="19" t="s">
        <v>39</v>
      </c>
      <c r="B114" s="26"/>
      <c r="C114" s="28" t="s">
        <v>98</v>
      </c>
      <c r="D114" s="37"/>
      <c r="E114" s="15"/>
      <c r="F114" s="15"/>
      <c r="G114" s="15"/>
      <c r="H114" s="15">
        <v>1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>
        <v>1</v>
      </c>
      <c r="V114" s="15">
        <v>1</v>
      </c>
      <c r="W114" s="15">
        <v>1</v>
      </c>
      <c r="X114" s="15"/>
      <c r="Y114" s="15">
        <v>2</v>
      </c>
      <c r="Z114" s="15"/>
      <c r="AA114" s="15"/>
      <c r="AB114" s="15">
        <v>2</v>
      </c>
      <c r="AC114" s="15">
        <v>1</v>
      </c>
      <c r="AD114" s="15"/>
      <c r="AE114" s="15"/>
      <c r="AF114" s="15"/>
      <c r="AG114" s="15"/>
      <c r="AH114" s="15">
        <v>1</v>
      </c>
      <c r="AI114" s="15"/>
      <c r="AJ114" s="15"/>
      <c r="AK114" s="15"/>
      <c r="AL114" s="15"/>
      <c r="AM114" s="15"/>
      <c r="AN114" s="15">
        <v>3</v>
      </c>
      <c r="AO114" s="15"/>
      <c r="AP114" s="15"/>
      <c r="AQ114" s="15"/>
      <c r="AR114" s="15"/>
      <c r="AS114" s="15"/>
      <c r="AT114" s="15"/>
      <c r="AU114" s="15"/>
      <c r="AV114" s="15"/>
      <c r="AW114" s="15"/>
      <c r="AX114" s="15">
        <v>1</v>
      </c>
      <c r="AY114" s="15"/>
      <c r="AZ114" s="15"/>
      <c r="BA114" s="15"/>
      <c r="BB114" s="15"/>
      <c r="BC114" s="13">
        <f t="shared" si="13"/>
        <v>14</v>
      </c>
    </row>
    <row r="115" spans="1:57" ht="12.75" customHeight="1" x14ac:dyDescent="0.3">
      <c r="A115" s="19"/>
      <c r="B115" s="26"/>
      <c r="C115" s="28" t="s">
        <v>99</v>
      </c>
      <c r="D115" s="37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>
        <v>1</v>
      </c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3">
        <f t="shared" si="13"/>
        <v>1</v>
      </c>
    </row>
    <row r="116" spans="1:57" ht="12.75" customHeight="1" x14ac:dyDescent="0.3">
      <c r="A116" s="15" t="s">
        <v>15</v>
      </c>
      <c r="B116" s="45" t="s">
        <v>47</v>
      </c>
      <c r="C116" s="46"/>
      <c r="D116" s="47"/>
      <c r="E116" s="34">
        <f t="shared" ref="E116:BB116" si="22">SUM(E113:E115)</f>
        <v>0</v>
      </c>
      <c r="F116" s="34">
        <f t="shared" si="22"/>
        <v>0</v>
      </c>
      <c r="G116" s="34">
        <f t="shared" si="22"/>
        <v>0</v>
      </c>
      <c r="H116" s="34">
        <f t="shared" si="22"/>
        <v>1</v>
      </c>
      <c r="I116" s="34">
        <f t="shared" si="22"/>
        <v>0</v>
      </c>
      <c r="J116" s="34">
        <f t="shared" si="22"/>
        <v>0</v>
      </c>
      <c r="K116" s="34">
        <f t="shared" si="22"/>
        <v>1</v>
      </c>
      <c r="L116" s="34">
        <f t="shared" si="22"/>
        <v>0</v>
      </c>
      <c r="M116" s="34">
        <f t="shared" si="22"/>
        <v>0</v>
      </c>
      <c r="N116" s="34">
        <f t="shared" si="22"/>
        <v>0</v>
      </c>
      <c r="O116" s="34">
        <f t="shared" si="22"/>
        <v>0</v>
      </c>
      <c r="P116" s="34">
        <f t="shared" si="22"/>
        <v>0</v>
      </c>
      <c r="Q116" s="34">
        <f t="shared" si="22"/>
        <v>0</v>
      </c>
      <c r="R116" s="34">
        <f t="shared" si="22"/>
        <v>0</v>
      </c>
      <c r="S116" s="34">
        <f t="shared" si="22"/>
        <v>0</v>
      </c>
      <c r="T116" s="34">
        <f t="shared" si="22"/>
        <v>0</v>
      </c>
      <c r="U116" s="34">
        <f t="shared" si="22"/>
        <v>1</v>
      </c>
      <c r="V116" s="34">
        <f t="shared" si="22"/>
        <v>1</v>
      </c>
      <c r="W116" s="34">
        <f t="shared" si="22"/>
        <v>1</v>
      </c>
      <c r="X116" s="34">
        <f t="shared" si="22"/>
        <v>0</v>
      </c>
      <c r="Y116" s="34">
        <f t="shared" si="22"/>
        <v>3</v>
      </c>
      <c r="Z116" s="34">
        <f t="shared" si="22"/>
        <v>0</v>
      </c>
      <c r="AA116" s="34">
        <f t="shared" si="22"/>
        <v>0</v>
      </c>
      <c r="AB116" s="34">
        <f t="shared" si="22"/>
        <v>2</v>
      </c>
      <c r="AC116" s="34">
        <f t="shared" si="22"/>
        <v>1</v>
      </c>
      <c r="AD116" s="34">
        <f t="shared" si="22"/>
        <v>0</v>
      </c>
      <c r="AE116" s="34">
        <f t="shared" si="22"/>
        <v>0</v>
      </c>
      <c r="AF116" s="34">
        <f t="shared" si="22"/>
        <v>0</v>
      </c>
      <c r="AG116" s="34">
        <f t="shared" si="22"/>
        <v>0</v>
      </c>
      <c r="AH116" s="34">
        <f t="shared" si="22"/>
        <v>1</v>
      </c>
      <c r="AI116" s="34">
        <f t="shared" si="22"/>
        <v>0</v>
      </c>
      <c r="AJ116" s="34">
        <f t="shared" si="22"/>
        <v>0</v>
      </c>
      <c r="AK116" s="34">
        <f t="shared" si="22"/>
        <v>0</v>
      </c>
      <c r="AL116" s="34">
        <f t="shared" si="22"/>
        <v>0</v>
      </c>
      <c r="AM116" s="34">
        <f t="shared" si="22"/>
        <v>0</v>
      </c>
      <c r="AN116" s="34">
        <f t="shared" si="22"/>
        <v>3</v>
      </c>
      <c r="AO116" s="34">
        <f t="shared" si="22"/>
        <v>0</v>
      </c>
      <c r="AP116" s="34">
        <f t="shared" si="22"/>
        <v>0</v>
      </c>
      <c r="AQ116" s="34">
        <f t="shared" si="22"/>
        <v>0</v>
      </c>
      <c r="AR116" s="34">
        <f t="shared" si="22"/>
        <v>0</v>
      </c>
      <c r="AS116" s="34">
        <f t="shared" si="22"/>
        <v>0</v>
      </c>
      <c r="AT116" s="34">
        <f t="shared" si="22"/>
        <v>0</v>
      </c>
      <c r="AU116" s="34">
        <f t="shared" si="22"/>
        <v>0</v>
      </c>
      <c r="AV116" s="34">
        <f t="shared" si="22"/>
        <v>0</v>
      </c>
      <c r="AW116" s="34">
        <f t="shared" si="22"/>
        <v>0</v>
      </c>
      <c r="AX116" s="34">
        <f t="shared" si="22"/>
        <v>1</v>
      </c>
      <c r="AY116" s="34">
        <f t="shared" si="22"/>
        <v>0</v>
      </c>
      <c r="AZ116" s="34">
        <f t="shared" si="22"/>
        <v>0</v>
      </c>
      <c r="BA116" s="34">
        <f t="shared" si="22"/>
        <v>0</v>
      </c>
      <c r="BB116" s="34">
        <f t="shared" si="22"/>
        <v>0</v>
      </c>
      <c r="BC116" s="13">
        <f t="shared" si="13"/>
        <v>16</v>
      </c>
    </row>
    <row r="117" spans="1:57" ht="12.75" customHeight="1" x14ac:dyDescent="0.3">
      <c r="A117" s="35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13">
        <f t="shared" si="13"/>
        <v>0</v>
      </c>
      <c r="BD117" s="5"/>
      <c r="BE117" s="5"/>
    </row>
    <row r="118" spans="1:57" ht="12.75" customHeight="1" x14ac:dyDescent="0.3">
      <c r="A118" s="19" t="s">
        <v>37</v>
      </c>
      <c r="B118" s="26" t="s">
        <v>100</v>
      </c>
      <c r="C118" s="48" t="s">
        <v>101</v>
      </c>
      <c r="D118" s="47"/>
      <c r="E118" s="15"/>
      <c r="F118" s="15"/>
      <c r="G118" s="15">
        <v>1</v>
      </c>
      <c r="H118" s="15">
        <v>1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>
        <v>1</v>
      </c>
      <c r="T118" s="15"/>
      <c r="U118" s="15"/>
      <c r="V118" s="15"/>
      <c r="W118" s="15"/>
      <c r="X118" s="15"/>
      <c r="Y118" s="15"/>
      <c r="Z118" s="15"/>
      <c r="AA118" s="15">
        <v>1</v>
      </c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>
        <v>1</v>
      </c>
      <c r="AU118" s="15"/>
      <c r="AV118" s="15"/>
      <c r="AW118" s="15"/>
      <c r="AX118" s="15">
        <v>1</v>
      </c>
      <c r="AY118" s="15"/>
      <c r="AZ118" s="15"/>
      <c r="BA118" s="15"/>
      <c r="BB118" s="15"/>
      <c r="BC118" s="13">
        <f t="shared" si="13"/>
        <v>6</v>
      </c>
      <c r="BD118" s="5"/>
      <c r="BE118" s="5"/>
    </row>
    <row r="119" spans="1:57" ht="12.75" customHeight="1" x14ac:dyDescent="0.3">
      <c r="A119" s="19" t="s">
        <v>39</v>
      </c>
      <c r="B119" s="27"/>
      <c r="C119" s="28" t="s">
        <v>102</v>
      </c>
      <c r="D119" s="29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>
        <v>1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>
        <v>1</v>
      </c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>
        <v>1</v>
      </c>
      <c r="AV119" s="15"/>
      <c r="AW119" s="15"/>
      <c r="AX119" s="15"/>
      <c r="AY119" s="15"/>
      <c r="AZ119" s="15"/>
      <c r="BA119" s="15"/>
      <c r="BB119" s="15"/>
      <c r="BC119" s="13">
        <f t="shared" si="13"/>
        <v>3</v>
      </c>
      <c r="BD119" s="5"/>
      <c r="BE119" s="5"/>
    </row>
    <row r="120" spans="1:57" ht="12.75" customHeight="1" x14ac:dyDescent="0.3">
      <c r="A120" s="14"/>
      <c r="B120" s="27"/>
      <c r="C120" s="28" t="s">
        <v>103</v>
      </c>
      <c r="D120" s="29"/>
      <c r="E120" s="15">
        <v>1</v>
      </c>
      <c r="F120" s="15"/>
      <c r="G120" s="15"/>
      <c r="H120" s="15">
        <v>1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>
        <v>2</v>
      </c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>
        <v>1</v>
      </c>
      <c r="AT120" s="15"/>
      <c r="AU120" s="15"/>
      <c r="AV120" s="15"/>
      <c r="AW120" s="15"/>
      <c r="AX120" s="15"/>
      <c r="AY120" s="15"/>
      <c r="AZ120" s="15"/>
      <c r="BA120" s="15"/>
      <c r="BB120" s="15"/>
      <c r="BC120" s="13">
        <f t="shared" si="13"/>
        <v>5</v>
      </c>
      <c r="BD120" s="5"/>
      <c r="BE120" s="5"/>
    </row>
    <row r="121" spans="1:57" ht="12.75" customHeight="1" x14ac:dyDescent="0.3">
      <c r="A121" s="14"/>
      <c r="B121" s="27"/>
      <c r="C121" s="28" t="s">
        <v>104</v>
      </c>
      <c r="D121" s="29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>
        <v>1</v>
      </c>
      <c r="AY121" s="15"/>
      <c r="AZ121" s="15"/>
      <c r="BA121" s="15">
        <v>1</v>
      </c>
      <c r="BB121" s="15"/>
      <c r="BC121" s="13">
        <f t="shared" si="13"/>
        <v>2</v>
      </c>
      <c r="BD121" s="5"/>
      <c r="BE121" s="5"/>
    </row>
    <row r="122" spans="1:57" ht="12.75" customHeight="1" x14ac:dyDescent="0.3">
      <c r="A122" s="14"/>
      <c r="B122" s="27"/>
      <c r="C122" s="28" t="s">
        <v>105</v>
      </c>
      <c r="D122" s="29"/>
      <c r="E122" s="15">
        <v>1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>
        <v>1</v>
      </c>
      <c r="AX122" s="15"/>
      <c r="AY122" s="15"/>
      <c r="AZ122" s="15"/>
      <c r="BA122" s="15"/>
      <c r="BB122" s="15"/>
      <c r="BC122" s="13">
        <f t="shared" si="13"/>
        <v>2</v>
      </c>
      <c r="BD122" s="5"/>
      <c r="BE122" s="5"/>
    </row>
    <row r="123" spans="1:57" ht="12.75" customHeight="1" x14ac:dyDescent="0.3">
      <c r="A123" s="14"/>
      <c r="B123" s="27"/>
      <c r="C123" s="28" t="s">
        <v>106</v>
      </c>
      <c r="D123" s="29"/>
      <c r="E123" s="15">
        <v>1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3">
        <f t="shared" si="13"/>
        <v>1</v>
      </c>
      <c r="BD123" s="5"/>
      <c r="BE123" s="5"/>
    </row>
    <row r="124" spans="1:57" ht="12.75" customHeight="1" x14ac:dyDescent="0.3">
      <c r="A124" s="14"/>
      <c r="B124" s="27"/>
      <c r="C124" s="28" t="s">
        <v>107</v>
      </c>
      <c r="D124" s="29"/>
      <c r="E124" s="15"/>
      <c r="F124" s="15">
        <v>1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3">
        <f t="shared" si="13"/>
        <v>1</v>
      </c>
      <c r="BD124" s="5"/>
      <c r="BE124" s="5"/>
    </row>
    <row r="125" spans="1:57" ht="12.75" customHeight="1" x14ac:dyDescent="0.3">
      <c r="A125" s="14"/>
      <c r="B125" s="27"/>
      <c r="C125" s="28" t="s">
        <v>108</v>
      </c>
      <c r="D125" s="29"/>
      <c r="E125" s="15"/>
      <c r="F125" s="15"/>
      <c r="G125" s="15"/>
      <c r="H125" s="15">
        <v>2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3">
        <f t="shared" si="13"/>
        <v>2</v>
      </c>
      <c r="BD125" s="5"/>
      <c r="BE125" s="5"/>
    </row>
    <row r="126" spans="1:57" ht="12.75" customHeight="1" x14ac:dyDescent="0.3">
      <c r="A126" s="15" t="s">
        <v>15</v>
      </c>
      <c r="B126" s="45" t="s">
        <v>47</v>
      </c>
      <c r="C126" s="46"/>
      <c r="D126" s="47"/>
      <c r="E126" s="34">
        <f t="shared" ref="E126:BB126" si="23">SUM(E118:E125)</f>
        <v>3</v>
      </c>
      <c r="F126" s="34">
        <f t="shared" si="23"/>
        <v>1</v>
      </c>
      <c r="G126" s="34">
        <f t="shared" si="23"/>
        <v>1</v>
      </c>
      <c r="H126" s="34">
        <f t="shared" si="23"/>
        <v>4</v>
      </c>
      <c r="I126" s="34">
        <f t="shared" si="23"/>
        <v>0</v>
      </c>
      <c r="J126" s="34">
        <f t="shared" si="23"/>
        <v>0</v>
      </c>
      <c r="K126" s="34">
        <f t="shared" si="23"/>
        <v>0</v>
      </c>
      <c r="L126" s="34">
        <f t="shared" si="23"/>
        <v>0</v>
      </c>
      <c r="M126" s="34">
        <f t="shared" si="23"/>
        <v>0</v>
      </c>
      <c r="N126" s="34">
        <f t="shared" si="23"/>
        <v>0</v>
      </c>
      <c r="O126" s="34">
        <f t="shared" si="23"/>
        <v>0</v>
      </c>
      <c r="P126" s="34">
        <f t="shared" si="23"/>
        <v>0</v>
      </c>
      <c r="Q126" s="34">
        <f t="shared" si="23"/>
        <v>0</v>
      </c>
      <c r="R126" s="34">
        <f t="shared" si="23"/>
        <v>1</v>
      </c>
      <c r="S126" s="34">
        <f t="shared" si="23"/>
        <v>1</v>
      </c>
      <c r="T126" s="34">
        <f t="shared" si="23"/>
        <v>2</v>
      </c>
      <c r="U126" s="34">
        <f t="shared" si="23"/>
        <v>0</v>
      </c>
      <c r="V126" s="34">
        <f t="shared" si="23"/>
        <v>0</v>
      </c>
      <c r="W126" s="34">
        <f t="shared" si="23"/>
        <v>0</v>
      </c>
      <c r="X126" s="34">
        <f t="shared" si="23"/>
        <v>0</v>
      </c>
      <c r="Y126" s="34">
        <f t="shared" si="23"/>
        <v>0</v>
      </c>
      <c r="Z126" s="34">
        <f t="shared" si="23"/>
        <v>0</v>
      </c>
      <c r="AA126" s="34">
        <f t="shared" si="23"/>
        <v>1</v>
      </c>
      <c r="AB126" s="34">
        <f t="shared" si="23"/>
        <v>0</v>
      </c>
      <c r="AC126" s="34">
        <f t="shared" si="23"/>
        <v>0</v>
      </c>
      <c r="AD126" s="34">
        <f t="shared" si="23"/>
        <v>1</v>
      </c>
      <c r="AE126" s="34">
        <f t="shared" si="23"/>
        <v>0</v>
      </c>
      <c r="AF126" s="34">
        <f t="shared" si="23"/>
        <v>0</v>
      </c>
      <c r="AG126" s="34">
        <f t="shared" si="23"/>
        <v>0</v>
      </c>
      <c r="AH126" s="34">
        <f t="shared" si="23"/>
        <v>0</v>
      </c>
      <c r="AI126" s="34">
        <f t="shared" si="23"/>
        <v>0</v>
      </c>
      <c r="AJ126" s="34">
        <f t="shared" si="23"/>
        <v>0</v>
      </c>
      <c r="AK126" s="34">
        <f t="shared" si="23"/>
        <v>0</v>
      </c>
      <c r="AL126" s="34">
        <f t="shared" si="23"/>
        <v>0</v>
      </c>
      <c r="AM126" s="34">
        <f t="shared" si="23"/>
        <v>0</v>
      </c>
      <c r="AN126" s="34">
        <f t="shared" si="23"/>
        <v>0</v>
      </c>
      <c r="AO126" s="34">
        <f t="shared" si="23"/>
        <v>0</v>
      </c>
      <c r="AP126" s="34">
        <f t="shared" si="23"/>
        <v>0</v>
      </c>
      <c r="AQ126" s="34">
        <f t="shared" si="23"/>
        <v>0</v>
      </c>
      <c r="AR126" s="34">
        <f t="shared" si="23"/>
        <v>0</v>
      </c>
      <c r="AS126" s="34">
        <f t="shared" si="23"/>
        <v>1</v>
      </c>
      <c r="AT126" s="34">
        <f t="shared" si="23"/>
        <v>1</v>
      </c>
      <c r="AU126" s="34">
        <f t="shared" si="23"/>
        <v>1</v>
      </c>
      <c r="AV126" s="34">
        <f t="shared" si="23"/>
        <v>0</v>
      </c>
      <c r="AW126" s="34">
        <f t="shared" si="23"/>
        <v>1</v>
      </c>
      <c r="AX126" s="34">
        <f t="shared" si="23"/>
        <v>2</v>
      </c>
      <c r="AY126" s="34">
        <f t="shared" si="23"/>
        <v>0</v>
      </c>
      <c r="AZ126" s="34">
        <f t="shared" si="23"/>
        <v>0</v>
      </c>
      <c r="BA126" s="34">
        <f t="shared" si="23"/>
        <v>1</v>
      </c>
      <c r="BB126" s="34">
        <f t="shared" si="23"/>
        <v>0</v>
      </c>
      <c r="BC126" s="13">
        <f t="shared" si="13"/>
        <v>22</v>
      </c>
      <c r="BD126" s="5"/>
      <c r="BE126" s="5"/>
    </row>
    <row r="127" spans="1:57" ht="15" customHeight="1" x14ac:dyDescent="0.3">
      <c r="A127" s="35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13">
        <f t="shared" si="13"/>
        <v>0</v>
      </c>
      <c r="BD127" s="5"/>
      <c r="BE127" s="5"/>
    </row>
    <row r="128" spans="1:57" ht="12.75" customHeight="1" x14ac:dyDescent="0.3">
      <c r="A128" s="19" t="s">
        <v>37</v>
      </c>
      <c r="B128" s="26" t="s">
        <v>109</v>
      </c>
      <c r="C128" s="48" t="s">
        <v>110</v>
      </c>
      <c r="D128" s="47"/>
      <c r="E128" s="15"/>
      <c r="F128" s="15"/>
      <c r="G128" s="15"/>
      <c r="H128" s="15"/>
      <c r="I128" s="15">
        <v>1</v>
      </c>
      <c r="J128" s="15"/>
      <c r="K128" s="15"/>
      <c r="L128" s="15"/>
      <c r="M128" s="15"/>
      <c r="N128" s="15"/>
      <c r="O128" s="15">
        <v>2</v>
      </c>
      <c r="P128" s="15"/>
      <c r="Q128" s="15"/>
      <c r="R128" s="15"/>
      <c r="S128" s="15"/>
      <c r="T128" s="15"/>
      <c r="U128" s="15"/>
      <c r="V128" s="15"/>
      <c r="W128" s="15"/>
      <c r="X128" s="15">
        <v>2</v>
      </c>
      <c r="Y128" s="15"/>
      <c r="Z128" s="15">
        <v>1</v>
      </c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>
        <v>2</v>
      </c>
      <c r="AO128" s="15"/>
      <c r="AP128" s="15"/>
      <c r="AQ128" s="15"/>
      <c r="AR128" s="15"/>
      <c r="AS128" s="15"/>
      <c r="AT128" s="15">
        <v>1</v>
      </c>
      <c r="AU128" s="15"/>
      <c r="AV128" s="15">
        <v>1</v>
      </c>
      <c r="AW128" s="15"/>
      <c r="AX128" s="15"/>
      <c r="AY128" s="15"/>
      <c r="AZ128" s="15">
        <v>1</v>
      </c>
      <c r="BA128" s="15"/>
      <c r="BB128" s="15"/>
      <c r="BC128" s="13">
        <f t="shared" si="13"/>
        <v>11</v>
      </c>
      <c r="BD128" s="5"/>
      <c r="BE128" s="5"/>
    </row>
    <row r="129" spans="1:57" ht="12.75" customHeight="1" x14ac:dyDescent="0.3">
      <c r="A129" s="19" t="s">
        <v>39</v>
      </c>
      <c r="B129" s="27"/>
      <c r="C129" s="28"/>
      <c r="D129" s="29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3">
        <f t="shared" si="13"/>
        <v>0</v>
      </c>
      <c r="BD129" s="5"/>
      <c r="BE129" s="5"/>
    </row>
    <row r="130" spans="1:57" ht="12.75" customHeight="1" x14ac:dyDescent="0.3">
      <c r="A130" s="15" t="s">
        <v>15</v>
      </c>
      <c r="B130" s="45" t="s">
        <v>47</v>
      </c>
      <c r="C130" s="46"/>
      <c r="D130" s="47"/>
      <c r="E130" s="34">
        <f t="shared" ref="E130:BB130" si="24">SUM(E128:E129)</f>
        <v>0</v>
      </c>
      <c r="F130" s="34">
        <f t="shared" si="24"/>
        <v>0</v>
      </c>
      <c r="G130" s="34">
        <f t="shared" si="24"/>
        <v>0</v>
      </c>
      <c r="H130" s="34">
        <f t="shared" si="24"/>
        <v>0</v>
      </c>
      <c r="I130" s="34">
        <f t="shared" si="24"/>
        <v>1</v>
      </c>
      <c r="J130" s="34">
        <f t="shared" si="24"/>
        <v>0</v>
      </c>
      <c r="K130" s="34">
        <f t="shared" si="24"/>
        <v>0</v>
      </c>
      <c r="L130" s="34">
        <f t="shared" si="24"/>
        <v>0</v>
      </c>
      <c r="M130" s="34">
        <f t="shared" si="24"/>
        <v>0</v>
      </c>
      <c r="N130" s="34">
        <f t="shared" si="24"/>
        <v>0</v>
      </c>
      <c r="O130" s="34">
        <f t="shared" si="24"/>
        <v>2</v>
      </c>
      <c r="P130" s="34">
        <f t="shared" si="24"/>
        <v>0</v>
      </c>
      <c r="Q130" s="34">
        <f t="shared" si="24"/>
        <v>0</v>
      </c>
      <c r="R130" s="34">
        <f t="shared" si="24"/>
        <v>0</v>
      </c>
      <c r="S130" s="34">
        <f t="shared" si="24"/>
        <v>0</v>
      </c>
      <c r="T130" s="34">
        <f t="shared" si="24"/>
        <v>0</v>
      </c>
      <c r="U130" s="34">
        <f t="shared" si="24"/>
        <v>0</v>
      </c>
      <c r="V130" s="34">
        <f t="shared" si="24"/>
        <v>0</v>
      </c>
      <c r="W130" s="34">
        <f t="shared" si="24"/>
        <v>0</v>
      </c>
      <c r="X130" s="34">
        <f t="shared" si="24"/>
        <v>2</v>
      </c>
      <c r="Y130" s="34">
        <f t="shared" si="24"/>
        <v>0</v>
      </c>
      <c r="Z130" s="34">
        <f t="shared" si="24"/>
        <v>1</v>
      </c>
      <c r="AA130" s="34">
        <f t="shared" si="24"/>
        <v>0</v>
      </c>
      <c r="AB130" s="34">
        <f t="shared" si="24"/>
        <v>0</v>
      </c>
      <c r="AC130" s="34">
        <f t="shared" si="24"/>
        <v>0</v>
      </c>
      <c r="AD130" s="34">
        <f t="shared" si="24"/>
        <v>0</v>
      </c>
      <c r="AE130" s="34">
        <f t="shared" si="24"/>
        <v>0</v>
      </c>
      <c r="AF130" s="34">
        <f t="shared" si="24"/>
        <v>0</v>
      </c>
      <c r="AG130" s="34">
        <f t="shared" si="24"/>
        <v>0</v>
      </c>
      <c r="AH130" s="34">
        <f t="shared" si="24"/>
        <v>0</v>
      </c>
      <c r="AI130" s="34">
        <f t="shared" si="24"/>
        <v>0</v>
      </c>
      <c r="AJ130" s="34">
        <f t="shared" si="24"/>
        <v>0</v>
      </c>
      <c r="AK130" s="34">
        <f t="shared" si="24"/>
        <v>0</v>
      </c>
      <c r="AL130" s="34">
        <f t="shared" si="24"/>
        <v>0</v>
      </c>
      <c r="AM130" s="34">
        <f t="shared" si="24"/>
        <v>0</v>
      </c>
      <c r="AN130" s="34">
        <f t="shared" si="24"/>
        <v>2</v>
      </c>
      <c r="AO130" s="34">
        <f t="shared" si="24"/>
        <v>0</v>
      </c>
      <c r="AP130" s="34">
        <f t="shared" si="24"/>
        <v>0</v>
      </c>
      <c r="AQ130" s="34">
        <f t="shared" si="24"/>
        <v>0</v>
      </c>
      <c r="AR130" s="34">
        <f t="shared" si="24"/>
        <v>0</v>
      </c>
      <c r="AS130" s="34">
        <f t="shared" si="24"/>
        <v>0</v>
      </c>
      <c r="AT130" s="34">
        <f t="shared" si="24"/>
        <v>1</v>
      </c>
      <c r="AU130" s="34">
        <f t="shared" si="24"/>
        <v>0</v>
      </c>
      <c r="AV130" s="34">
        <f t="shared" si="24"/>
        <v>1</v>
      </c>
      <c r="AW130" s="34">
        <f t="shared" si="24"/>
        <v>0</v>
      </c>
      <c r="AX130" s="34">
        <f t="shared" si="24"/>
        <v>0</v>
      </c>
      <c r="AY130" s="34">
        <f t="shared" si="24"/>
        <v>0</v>
      </c>
      <c r="AZ130" s="34">
        <f t="shared" si="24"/>
        <v>1</v>
      </c>
      <c r="BA130" s="34">
        <f t="shared" si="24"/>
        <v>0</v>
      </c>
      <c r="BB130" s="34">
        <f t="shared" si="24"/>
        <v>0</v>
      </c>
      <c r="BC130" s="13">
        <f t="shared" si="13"/>
        <v>11</v>
      </c>
      <c r="BD130" s="1"/>
      <c r="BE130" s="1"/>
    </row>
    <row r="131" spans="1:57" ht="12.75" customHeight="1" x14ac:dyDescent="0.3">
      <c r="A131" s="35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13">
        <f t="shared" si="13"/>
        <v>0</v>
      </c>
      <c r="BD131" s="31"/>
      <c r="BE131" s="31"/>
    </row>
    <row r="132" spans="1:57" ht="12.75" customHeight="1" x14ac:dyDescent="0.3">
      <c r="A132" s="19" t="s">
        <v>37</v>
      </c>
      <c r="B132" s="26" t="s">
        <v>111</v>
      </c>
      <c r="C132" s="48" t="s">
        <v>112</v>
      </c>
      <c r="D132" s="47"/>
      <c r="E132" s="15"/>
      <c r="F132" s="15"/>
      <c r="G132" s="15">
        <v>1</v>
      </c>
      <c r="H132" s="15">
        <v>1</v>
      </c>
      <c r="I132" s="15">
        <v>1</v>
      </c>
      <c r="J132" s="15"/>
      <c r="K132" s="15"/>
      <c r="L132" s="15"/>
      <c r="M132" s="15">
        <v>2</v>
      </c>
      <c r="N132" s="15"/>
      <c r="O132" s="15"/>
      <c r="P132" s="15"/>
      <c r="Q132" s="15"/>
      <c r="R132" s="15"/>
      <c r="S132" s="15">
        <v>2</v>
      </c>
      <c r="T132" s="15"/>
      <c r="U132" s="15"/>
      <c r="V132" s="15"/>
      <c r="W132" s="15"/>
      <c r="X132" s="15">
        <v>2</v>
      </c>
      <c r="Y132" s="15">
        <v>4</v>
      </c>
      <c r="Z132" s="15">
        <v>4</v>
      </c>
      <c r="AA132" s="15">
        <v>1</v>
      </c>
      <c r="AB132" s="15">
        <v>5</v>
      </c>
      <c r="AC132" s="15">
        <v>3</v>
      </c>
      <c r="AD132" s="15">
        <v>3</v>
      </c>
      <c r="AE132" s="15">
        <v>3</v>
      </c>
      <c r="AF132" s="15">
        <v>2</v>
      </c>
      <c r="AG132" s="15">
        <v>3</v>
      </c>
      <c r="AH132" s="15">
        <v>3</v>
      </c>
      <c r="AI132" s="15"/>
      <c r="AJ132" s="15"/>
      <c r="AK132" s="15"/>
      <c r="AL132" s="15"/>
      <c r="AM132" s="15">
        <v>1</v>
      </c>
      <c r="AN132" s="15"/>
      <c r="AO132" s="15"/>
      <c r="AP132" s="15">
        <v>1</v>
      </c>
      <c r="AQ132" s="15">
        <v>1</v>
      </c>
      <c r="AR132" s="15"/>
      <c r="AS132" s="15"/>
      <c r="AT132" s="15"/>
      <c r="AU132" s="15"/>
      <c r="AV132" s="15"/>
      <c r="AW132" s="15"/>
      <c r="AX132" s="15"/>
      <c r="AY132" s="15"/>
      <c r="AZ132" s="15">
        <v>1</v>
      </c>
      <c r="BA132" s="15"/>
      <c r="BB132" s="15">
        <v>4</v>
      </c>
      <c r="BC132" s="13">
        <f t="shared" si="13"/>
        <v>48</v>
      </c>
      <c r="BD132" s="5"/>
      <c r="BE132" s="5"/>
    </row>
    <row r="133" spans="1:57" ht="12.75" customHeight="1" x14ac:dyDescent="0.3">
      <c r="A133" s="19" t="s">
        <v>39</v>
      </c>
      <c r="B133" s="27"/>
      <c r="C133" s="28" t="s">
        <v>113</v>
      </c>
      <c r="D133" s="29"/>
      <c r="E133" s="15"/>
      <c r="F133" s="15">
        <v>1</v>
      </c>
      <c r="G133" s="15"/>
      <c r="H133" s="15"/>
      <c r="I133" s="15">
        <v>1</v>
      </c>
      <c r="J133" s="15">
        <v>2</v>
      </c>
      <c r="K133" s="15"/>
      <c r="L133" s="15">
        <v>2</v>
      </c>
      <c r="M133" s="15"/>
      <c r="N133" s="15">
        <v>2</v>
      </c>
      <c r="O133" s="15">
        <v>4</v>
      </c>
      <c r="P133" s="15"/>
      <c r="Q133" s="15"/>
      <c r="R133" s="15"/>
      <c r="S133" s="15">
        <v>2</v>
      </c>
      <c r="T133" s="15">
        <v>2</v>
      </c>
      <c r="U133" s="15">
        <v>3</v>
      </c>
      <c r="V133" s="15">
        <v>8</v>
      </c>
      <c r="W133" s="15">
        <v>4</v>
      </c>
      <c r="X133" s="15">
        <v>4</v>
      </c>
      <c r="Y133" s="15">
        <v>8</v>
      </c>
      <c r="Z133" s="15">
        <v>12</v>
      </c>
      <c r="AA133" s="15">
        <v>12</v>
      </c>
      <c r="AB133" s="15">
        <v>11</v>
      </c>
      <c r="AC133" s="15">
        <v>3</v>
      </c>
      <c r="AD133" s="15">
        <v>27</v>
      </c>
      <c r="AE133" s="15">
        <v>12</v>
      </c>
      <c r="AF133" s="15">
        <v>12</v>
      </c>
      <c r="AG133" s="15">
        <v>2</v>
      </c>
      <c r="AH133" s="15">
        <v>2</v>
      </c>
      <c r="AI133" s="15">
        <v>6</v>
      </c>
      <c r="AJ133" s="15"/>
      <c r="AK133" s="15"/>
      <c r="AL133" s="15"/>
      <c r="AM133" s="15">
        <v>1</v>
      </c>
      <c r="AN133" s="15">
        <v>1</v>
      </c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>
        <v>1</v>
      </c>
      <c r="BA133" s="15">
        <v>3</v>
      </c>
      <c r="BB133" s="15">
        <v>2</v>
      </c>
      <c r="BC133" s="13">
        <f t="shared" si="13"/>
        <v>150</v>
      </c>
      <c r="BD133" s="5"/>
      <c r="BE133" s="5"/>
    </row>
    <row r="134" spans="1:57" ht="12.75" customHeight="1" x14ac:dyDescent="0.3">
      <c r="A134" s="14"/>
      <c r="B134" s="27"/>
      <c r="C134" s="28" t="s">
        <v>114</v>
      </c>
      <c r="D134" s="29"/>
      <c r="E134" s="15"/>
      <c r="F134" s="15"/>
      <c r="G134" s="15"/>
      <c r="H134" s="15"/>
      <c r="I134" s="15"/>
      <c r="J134" s="15"/>
      <c r="K134" s="15"/>
      <c r="L134" s="15">
        <v>1</v>
      </c>
      <c r="M134" s="15">
        <v>1</v>
      </c>
      <c r="N134" s="15"/>
      <c r="O134" s="15"/>
      <c r="P134" s="15"/>
      <c r="Q134" s="15"/>
      <c r="R134" s="15"/>
      <c r="S134" s="15"/>
      <c r="T134" s="15"/>
      <c r="U134" s="15">
        <v>1</v>
      </c>
      <c r="V134" s="15"/>
      <c r="W134" s="15"/>
      <c r="X134" s="15"/>
      <c r="Y134" s="15">
        <v>2</v>
      </c>
      <c r="Z134" s="15"/>
      <c r="AA134" s="15"/>
      <c r="AB134" s="15">
        <v>1</v>
      </c>
      <c r="AC134" s="15"/>
      <c r="AD134" s="15"/>
      <c r="AE134" s="15"/>
      <c r="AF134" s="15"/>
      <c r="AG134" s="15"/>
      <c r="AH134" s="15"/>
      <c r="AI134" s="15"/>
      <c r="AJ134" s="15"/>
      <c r="AK134" s="15"/>
      <c r="AL134" s="15">
        <v>1</v>
      </c>
      <c r="AM134" s="15"/>
      <c r="AN134" s="15">
        <v>1</v>
      </c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3">
        <f t="shared" si="13"/>
        <v>8</v>
      </c>
      <c r="BD134" s="5"/>
      <c r="BE134" s="5"/>
    </row>
    <row r="135" spans="1:57" ht="12.75" customHeight="1" x14ac:dyDescent="0.3">
      <c r="A135" s="14"/>
      <c r="B135" s="27"/>
      <c r="C135" s="28" t="s">
        <v>115</v>
      </c>
      <c r="D135" s="29"/>
      <c r="E135" s="15"/>
      <c r="F135" s="15"/>
      <c r="G135" s="15"/>
      <c r="H135" s="15"/>
      <c r="I135" s="15">
        <v>1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>
        <v>1</v>
      </c>
      <c r="Y135" s="15"/>
      <c r="Z135" s="15"/>
      <c r="AA135" s="15"/>
      <c r="AB135" s="15"/>
      <c r="AC135" s="15"/>
      <c r="AD135" s="15"/>
      <c r="AE135" s="15">
        <v>1</v>
      </c>
      <c r="AF135" s="15">
        <v>1</v>
      </c>
      <c r="AG135" s="15">
        <v>1</v>
      </c>
      <c r="AH135" s="15"/>
      <c r="AI135" s="15">
        <v>1</v>
      </c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>
        <v>1</v>
      </c>
      <c r="BB135" s="15"/>
      <c r="BC135" s="13">
        <f t="shared" si="13"/>
        <v>7</v>
      </c>
      <c r="BD135" s="5"/>
      <c r="BE135" s="5"/>
    </row>
    <row r="136" spans="1:57" ht="12.75" customHeight="1" x14ac:dyDescent="0.3">
      <c r="A136" s="14"/>
      <c r="B136" s="27"/>
      <c r="C136" s="28" t="s">
        <v>116</v>
      </c>
      <c r="D136" s="29"/>
      <c r="E136" s="15">
        <v>1</v>
      </c>
      <c r="F136" s="15"/>
      <c r="G136" s="15">
        <v>3</v>
      </c>
      <c r="H136" s="15">
        <v>6</v>
      </c>
      <c r="I136" s="15">
        <v>3</v>
      </c>
      <c r="J136" s="15"/>
      <c r="K136" s="15"/>
      <c r="L136" s="15"/>
      <c r="M136" s="15">
        <v>6</v>
      </c>
      <c r="N136" s="15">
        <v>1</v>
      </c>
      <c r="O136" s="15">
        <v>1</v>
      </c>
      <c r="P136" s="15">
        <v>1</v>
      </c>
      <c r="Q136" s="15">
        <v>6</v>
      </c>
      <c r="R136" s="15">
        <v>4</v>
      </c>
      <c r="S136" s="15">
        <v>2</v>
      </c>
      <c r="T136" s="15">
        <v>6</v>
      </c>
      <c r="U136" s="15">
        <v>2</v>
      </c>
      <c r="V136" s="15">
        <v>1</v>
      </c>
      <c r="W136" s="15"/>
      <c r="X136" s="15">
        <v>3</v>
      </c>
      <c r="Y136" s="15">
        <v>3</v>
      </c>
      <c r="Z136" s="15">
        <v>2</v>
      </c>
      <c r="AA136" s="15">
        <v>5</v>
      </c>
      <c r="AB136" s="15">
        <v>52</v>
      </c>
      <c r="AC136" s="15">
        <v>18</v>
      </c>
      <c r="AD136" s="15">
        <v>2</v>
      </c>
      <c r="AE136" s="15">
        <v>1</v>
      </c>
      <c r="AF136" s="15">
        <v>33</v>
      </c>
      <c r="AG136" s="15"/>
      <c r="AH136" s="15">
        <v>2</v>
      </c>
      <c r="AI136" s="15">
        <v>1</v>
      </c>
      <c r="AJ136" s="15"/>
      <c r="AK136" s="15"/>
      <c r="AL136" s="15">
        <v>1</v>
      </c>
      <c r="AM136" s="15">
        <v>2</v>
      </c>
      <c r="AN136" s="15"/>
      <c r="AO136" s="15">
        <v>2</v>
      </c>
      <c r="AP136" s="15">
        <v>1</v>
      </c>
      <c r="AQ136" s="15"/>
      <c r="AR136" s="15"/>
      <c r="AS136" s="15">
        <v>1</v>
      </c>
      <c r="AT136" s="15">
        <v>1</v>
      </c>
      <c r="AU136" s="15">
        <v>1</v>
      </c>
      <c r="AV136" s="15"/>
      <c r="AW136" s="15"/>
      <c r="AX136" s="15">
        <v>1</v>
      </c>
      <c r="AY136" s="15">
        <v>1</v>
      </c>
      <c r="AZ136" s="15"/>
      <c r="BA136" s="15">
        <v>1</v>
      </c>
      <c r="BB136" s="15">
        <v>3</v>
      </c>
      <c r="BC136" s="13">
        <f t="shared" si="13"/>
        <v>180</v>
      </c>
      <c r="BD136" s="5"/>
      <c r="BE136" s="5"/>
    </row>
    <row r="137" spans="1:57" ht="12.75" customHeight="1" x14ac:dyDescent="0.3">
      <c r="A137" s="14"/>
      <c r="B137" s="27"/>
      <c r="C137" s="28" t="s">
        <v>117</v>
      </c>
      <c r="D137" s="29"/>
      <c r="E137" s="15"/>
      <c r="F137" s="15"/>
      <c r="G137" s="15"/>
      <c r="H137" s="15">
        <v>1</v>
      </c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>
        <v>1</v>
      </c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>
        <v>1</v>
      </c>
      <c r="AY137" s="15">
        <v>1</v>
      </c>
      <c r="AZ137" s="15"/>
      <c r="BA137" s="15"/>
      <c r="BB137" s="15"/>
      <c r="BC137" s="13">
        <f t="shared" si="13"/>
        <v>4</v>
      </c>
      <c r="BD137" s="5"/>
      <c r="BE137" s="5"/>
    </row>
    <row r="138" spans="1:57" ht="12.75" customHeight="1" x14ac:dyDescent="0.3">
      <c r="A138" s="14"/>
      <c r="B138" s="27"/>
      <c r="C138" s="28" t="s">
        <v>118</v>
      </c>
      <c r="D138" s="29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3">
        <f t="shared" si="13"/>
        <v>0</v>
      </c>
      <c r="BD138" s="5"/>
      <c r="BE138" s="5"/>
    </row>
    <row r="139" spans="1:57" ht="15" customHeight="1" x14ac:dyDescent="0.3">
      <c r="A139" s="14"/>
      <c r="B139" s="27"/>
      <c r="C139" s="28" t="s">
        <v>119</v>
      </c>
      <c r="D139" s="29"/>
      <c r="E139" s="15"/>
      <c r="F139" s="15">
        <v>1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1</v>
      </c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>
        <v>2</v>
      </c>
      <c r="AI139" s="15">
        <v>2</v>
      </c>
      <c r="AJ139" s="15">
        <v>3</v>
      </c>
      <c r="AK139" s="15"/>
      <c r="AL139" s="15"/>
      <c r="AM139" s="15"/>
      <c r="AN139" s="15">
        <v>4</v>
      </c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3">
        <f t="shared" si="13"/>
        <v>13</v>
      </c>
      <c r="BD139" s="5"/>
      <c r="BE139" s="5"/>
    </row>
    <row r="140" spans="1:57" ht="12.75" customHeight="1" x14ac:dyDescent="0.3">
      <c r="A140" s="15" t="s">
        <v>15</v>
      </c>
      <c r="B140" s="45" t="s">
        <v>47</v>
      </c>
      <c r="C140" s="46"/>
      <c r="D140" s="47"/>
      <c r="E140" s="34">
        <f t="shared" ref="E140:BB140" si="25">SUM(E132:E139)</f>
        <v>1</v>
      </c>
      <c r="F140" s="34">
        <f t="shared" si="25"/>
        <v>2</v>
      </c>
      <c r="G140" s="34">
        <f t="shared" si="25"/>
        <v>4</v>
      </c>
      <c r="H140" s="34">
        <f t="shared" si="25"/>
        <v>8</v>
      </c>
      <c r="I140" s="34">
        <f t="shared" si="25"/>
        <v>6</v>
      </c>
      <c r="J140" s="34">
        <f t="shared" si="25"/>
        <v>2</v>
      </c>
      <c r="K140" s="34">
        <f t="shared" si="25"/>
        <v>0</v>
      </c>
      <c r="L140" s="34">
        <f t="shared" si="25"/>
        <v>3</v>
      </c>
      <c r="M140" s="34">
        <f t="shared" si="25"/>
        <v>9</v>
      </c>
      <c r="N140" s="34">
        <f t="shared" si="25"/>
        <v>3</v>
      </c>
      <c r="O140" s="34">
        <f t="shared" si="25"/>
        <v>5</v>
      </c>
      <c r="P140" s="34">
        <f t="shared" si="25"/>
        <v>2</v>
      </c>
      <c r="Q140" s="34">
        <f t="shared" si="25"/>
        <v>6</v>
      </c>
      <c r="R140" s="34">
        <f t="shared" si="25"/>
        <v>4</v>
      </c>
      <c r="S140" s="34">
        <f t="shared" si="25"/>
        <v>6</v>
      </c>
      <c r="T140" s="34">
        <f t="shared" si="25"/>
        <v>8</v>
      </c>
      <c r="U140" s="34">
        <f t="shared" si="25"/>
        <v>6</v>
      </c>
      <c r="V140" s="34">
        <f t="shared" si="25"/>
        <v>9</v>
      </c>
      <c r="W140" s="34">
        <f t="shared" si="25"/>
        <v>4</v>
      </c>
      <c r="X140" s="34">
        <f t="shared" si="25"/>
        <v>10</v>
      </c>
      <c r="Y140" s="34">
        <f t="shared" si="25"/>
        <v>17</v>
      </c>
      <c r="Z140" s="34">
        <f t="shared" si="25"/>
        <v>18</v>
      </c>
      <c r="AA140" s="34">
        <f t="shared" si="25"/>
        <v>18</v>
      </c>
      <c r="AB140" s="34">
        <f t="shared" si="25"/>
        <v>69</v>
      </c>
      <c r="AC140" s="34">
        <f t="shared" si="25"/>
        <v>24</v>
      </c>
      <c r="AD140" s="34">
        <f t="shared" si="25"/>
        <v>32</v>
      </c>
      <c r="AE140" s="34">
        <f t="shared" si="25"/>
        <v>17</v>
      </c>
      <c r="AF140" s="34">
        <f t="shared" si="25"/>
        <v>48</v>
      </c>
      <c r="AG140" s="34">
        <f t="shared" si="25"/>
        <v>6</v>
      </c>
      <c r="AH140" s="34">
        <f t="shared" si="25"/>
        <v>9</v>
      </c>
      <c r="AI140" s="34">
        <f t="shared" si="25"/>
        <v>10</v>
      </c>
      <c r="AJ140" s="34">
        <f t="shared" si="25"/>
        <v>3</v>
      </c>
      <c r="AK140" s="34">
        <f t="shared" si="25"/>
        <v>0</v>
      </c>
      <c r="AL140" s="34">
        <f t="shared" si="25"/>
        <v>3</v>
      </c>
      <c r="AM140" s="34">
        <f t="shared" si="25"/>
        <v>4</v>
      </c>
      <c r="AN140" s="34">
        <f t="shared" si="25"/>
        <v>6</v>
      </c>
      <c r="AO140" s="34">
        <f t="shared" si="25"/>
        <v>2</v>
      </c>
      <c r="AP140" s="34">
        <f t="shared" si="25"/>
        <v>2</v>
      </c>
      <c r="AQ140" s="34">
        <f t="shared" si="25"/>
        <v>1</v>
      </c>
      <c r="AR140" s="34">
        <f t="shared" si="25"/>
        <v>0</v>
      </c>
      <c r="AS140" s="34">
        <f t="shared" si="25"/>
        <v>1</v>
      </c>
      <c r="AT140" s="34">
        <f t="shared" si="25"/>
        <v>1</v>
      </c>
      <c r="AU140" s="34">
        <f t="shared" si="25"/>
        <v>1</v>
      </c>
      <c r="AV140" s="34">
        <f t="shared" si="25"/>
        <v>0</v>
      </c>
      <c r="AW140" s="34">
        <f t="shared" si="25"/>
        <v>0</v>
      </c>
      <c r="AX140" s="34">
        <f t="shared" si="25"/>
        <v>2</v>
      </c>
      <c r="AY140" s="34">
        <f t="shared" si="25"/>
        <v>2</v>
      </c>
      <c r="AZ140" s="34">
        <f t="shared" si="25"/>
        <v>2</v>
      </c>
      <c r="BA140" s="34">
        <f t="shared" si="25"/>
        <v>5</v>
      </c>
      <c r="BB140" s="34">
        <f t="shared" si="25"/>
        <v>9</v>
      </c>
      <c r="BC140" s="13">
        <f t="shared" si="13"/>
        <v>410</v>
      </c>
      <c r="BD140" s="5"/>
      <c r="BE140" s="5"/>
    </row>
    <row r="141" spans="1:57" ht="12.75" customHeight="1" x14ac:dyDescent="0.3">
      <c r="A141" s="35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13">
        <f t="shared" si="13"/>
        <v>0</v>
      </c>
      <c r="BD141" s="1"/>
      <c r="BE141" s="1"/>
    </row>
    <row r="142" spans="1:57" ht="12.75" customHeight="1" x14ac:dyDescent="0.3">
      <c r="A142" s="19" t="s">
        <v>37</v>
      </c>
      <c r="B142" s="26" t="s">
        <v>120</v>
      </c>
      <c r="C142" s="48" t="s">
        <v>121</v>
      </c>
      <c r="D142" s="47"/>
      <c r="E142" s="15"/>
      <c r="F142" s="15"/>
      <c r="G142" s="15"/>
      <c r="H142" s="15"/>
      <c r="I142" s="15"/>
      <c r="J142" s="15"/>
      <c r="K142" s="15"/>
      <c r="L142" s="15">
        <v>3</v>
      </c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>
        <v>1</v>
      </c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3">
        <f t="shared" si="13"/>
        <v>4</v>
      </c>
      <c r="BD142" s="31"/>
      <c r="BE142" s="31"/>
    </row>
    <row r="143" spans="1:57" ht="12.75" customHeight="1" x14ac:dyDescent="0.3">
      <c r="A143" s="19" t="s">
        <v>39</v>
      </c>
      <c r="B143" s="27"/>
      <c r="C143" s="28" t="s">
        <v>122</v>
      </c>
      <c r="D143" s="29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>
        <v>1</v>
      </c>
      <c r="AI143" s="15"/>
      <c r="AJ143" s="15"/>
      <c r="AK143" s="15"/>
      <c r="AL143" s="15">
        <v>1</v>
      </c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3">
        <f t="shared" si="13"/>
        <v>2</v>
      </c>
      <c r="BD143" s="5"/>
      <c r="BE143" s="5"/>
    </row>
    <row r="144" spans="1:57" ht="12.75" customHeight="1" x14ac:dyDescent="0.3">
      <c r="A144" s="14"/>
      <c r="B144" s="27"/>
      <c r="C144" s="28" t="s">
        <v>123</v>
      </c>
      <c r="D144" s="29"/>
      <c r="E144" s="15"/>
      <c r="F144" s="15"/>
      <c r="G144" s="15"/>
      <c r="H144" s="15"/>
      <c r="I144" s="15"/>
      <c r="J144" s="15"/>
      <c r="K144" s="15"/>
      <c r="L144" s="15">
        <v>2</v>
      </c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>
        <v>4</v>
      </c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>
        <v>1</v>
      </c>
      <c r="AM144" s="15"/>
      <c r="AN144" s="15"/>
      <c r="AO144" s="15"/>
      <c r="AP144" s="15"/>
      <c r="AQ144" s="15"/>
      <c r="AR144" s="15">
        <v>2</v>
      </c>
      <c r="AS144" s="15"/>
      <c r="AT144" s="15">
        <v>1</v>
      </c>
      <c r="AU144" s="15"/>
      <c r="AV144" s="15"/>
      <c r="AW144" s="15"/>
      <c r="AX144" s="15"/>
      <c r="AY144" s="15"/>
      <c r="AZ144" s="15"/>
      <c r="BA144" s="15"/>
      <c r="BB144" s="15"/>
      <c r="BC144" s="13">
        <f t="shared" si="13"/>
        <v>10</v>
      </c>
      <c r="BD144" s="5"/>
      <c r="BE144" s="5"/>
    </row>
    <row r="145" spans="1:57" ht="12.75" customHeight="1" x14ac:dyDescent="0.3">
      <c r="A145" s="14"/>
      <c r="B145" s="27"/>
      <c r="C145" s="28" t="s">
        <v>124</v>
      </c>
      <c r="D145" s="29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3">
        <f t="shared" si="13"/>
        <v>0</v>
      </c>
      <c r="BD145" s="5"/>
      <c r="BE145" s="5"/>
    </row>
    <row r="146" spans="1:57" ht="12.75" customHeight="1" x14ac:dyDescent="0.3">
      <c r="A146" s="14"/>
      <c r="B146" s="27"/>
      <c r="C146" s="28" t="s">
        <v>125</v>
      </c>
      <c r="D146" s="29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3">
        <f t="shared" si="13"/>
        <v>0</v>
      </c>
      <c r="BD146" s="5"/>
      <c r="BE146" s="5"/>
    </row>
    <row r="147" spans="1:57" ht="12.75" customHeight="1" x14ac:dyDescent="0.3">
      <c r="A147" s="14"/>
      <c r="B147" s="27"/>
      <c r="C147" s="28" t="s">
        <v>126</v>
      </c>
      <c r="D147" s="29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3">
        <f t="shared" si="13"/>
        <v>0</v>
      </c>
      <c r="BD147" s="5"/>
      <c r="BE147" s="5"/>
    </row>
    <row r="148" spans="1:57" ht="12.75" customHeight="1" x14ac:dyDescent="0.3">
      <c r="A148" s="14"/>
      <c r="B148" s="27"/>
      <c r="C148" s="28" t="s">
        <v>127</v>
      </c>
      <c r="D148" s="29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>
        <v>5</v>
      </c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3">
        <f t="shared" si="13"/>
        <v>5</v>
      </c>
      <c r="BD148" s="5"/>
      <c r="BE148" s="5"/>
    </row>
    <row r="149" spans="1:57" ht="12.75" customHeight="1" x14ac:dyDescent="0.3">
      <c r="A149" s="14"/>
      <c r="B149" s="27"/>
      <c r="C149" s="28" t="s">
        <v>128</v>
      </c>
      <c r="D149" s="29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3">
        <f t="shared" si="13"/>
        <v>0</v>
      </c>
      <c r="BD149" s="5"/>
      <c r="BE149" s="5"/>
    </row>
    <row r="150" spans="1:57" ht="12.75" customHeight="1" x14ac:dyDescent="0.3">
      <c r="A150" s="15" t="s">
        <v>15</v>
      </c>
      <c r="B150" s="45" t="s">
        <v>47</v>
      </c>
      <c r="C150" s="46"/>
      <c r="D150" s="47"/>
      <c r="E150" s="34">
        <f t="shared" ref="E150:BB150" si="26">SUM(E142:E149)</f>
        <v>0</v>
      </c>
      <c r="F150" s="34">
        <f t="shared" si="26"/>
        <v>0</v>
      </c>
      <c r="G150" s="34">
        <f t="shared" si="26"/>
        <v>0</v>
      </c>
      <c r="H150" s="34">
        <f t="shared" si="26"/>
        <v>0</v>
      </c>
      <c r="I150" s="34">
        <f t="shared" si="26"/>
        <v>0</v>
      </c>
      <c r="J150" s="34">
        <f t="shared" si="26"/>
        <v>0</v>
      </c>
      <c r="K150" s="34">
        <f t="shared" si="26"/>
        <v>0</v>
      </c>
      <c r="L150" s="34">
        <f t="shared" si="26"/>
        <v>5</v>
      </c>
      <c r="M150" s="34">
        <f t="shared" si="26"/>
        <v>0</v>
      </c>
      <c r="N150" s="34">
        <f t="shared" si="26"/>
        <v>0</v>
      </c>
      <c r="O150" s="34">
        <f t="shared" si="26"/>
        <v>0</v>
      </c>
      <c r="P150" s="34">
        <f t="shared" si="26"/>
        <v>0</v>
      </c>
      <c r="Q150" s="34">
        <f t="shared" si="26"/>
        <v>0</v>
      </c>
      <c r="R150" s="34">
        <f t="shared" si="26"/>
        <v>0</v>
      </c>
      <c r="S150" s="34">
        <f t="shared" si="26"/>
        <v>0</v>
      </c>
      <c r="T150" s="34">
        <f t="shared" si="26"/>
        <v>0</v>
      </c>
      <c r="U150" s="34">
        <f t="shared" si="26"/>
        <v>0</v>
      </c>
      <c r="V150" s="34">
        <f t="shared" si="26"/>
        <v>5</v>
      </c>
      <c r="W150" s="34">
        <f t="shared" si="26"/>
        <v>0</v>
      </c>
      <c r="X150" s="34">
        <f t="shared" si="26"/>
        <v>0</v>
      </c>
      <c r="Y150" s="34">
        <f t="shared" si="26"/>
        <v>0</v>
      </c>
      <c r="Z150" s="34">
        <f t="shared" si="26"/>
        <v>4</v>
      </c>
      <c r="AA150" s="34">
        <f t="shared" si="26"/>
        <v>0</v>
      </c>
      <c r="AB150" s="34">
        <f t="shared" si="26"/>
        <v>0</v>
      </c>
      <c r="AC150" s="34">
        <f t="shared" si="26"/>
        <v>1</v>
      </c>
      <c r="AD150" s="34">
        <f t="shared" si="26"/>
        <v>0</v>
      </c>
      <c r="AE150" s="34">
        <f t="shared" si="26"/>
        <v>0</v>
      </c>
      <c r="AF150" s="34">
        <f t="shared" si="26"/>
        <v>0</v>
      </c>
      <c r="AG150" s="34">
        <f t="shared" si="26"/>
        <v>0</v>
      </c>
      <c r="AH150" s="34">
        <f t="shared" si="26"/>
        <v>1</v>
      </c>
      <c r="AI150" s="34">
        <f t="shared" si="26"/>
        <v>0</v>
      </c>
      <c r="AJ150" s="34">
        <f t="shared" si="26"/>
        <v>0</v>
      </c>
      <c r="AK150" s="34">
        <f t="shared" si="26"/>
        <v>0</v>
      </c>
      <c r="AL150" s="34">
        <f t="shared" si="26"/>
        <v>2</v>
      </c>
      <c r="AM150" s="34">
        <f t="shared" si="26"/>
        <v>0</v>
      </c>
      <c r="AN150" s="34">
        <f t="shared" si="26"/>
        <v>0</v>
      </c>
      <c r="AO150" s="34">
        <f t="shared" si="26"/>
        <v>0</v>
      </c>
      <c r="AP150" s="34">
        <f t="shared" si="26"/>
        <v>0</v>
      </c>
      <c r="AQ150" s="34">
        <f t="shared" si="26"/>
        <v>0</v>
      </c>
      <c r="AR150" s="34">
        <f t="shared" si="26"/>
        <v>2</v>
      </c>
      <c r="AS150" s="34">
        <f t="shared" si="26"/>
        <v>0</v>
      </c>
      <c r="AT150" s="34">
        <f t="shared" si="26"/>
        <v>1</v>
      </c>
      <c r="AU150" s="34">
        <f t="shared" si="26"/>
        <v>0</v>
      </c>
      <c r="AV150" s="34">
        <f t="shared" si="26"/>
        <v>0</v>
      </c>
      <c r="AW150" s="34">
        <f t="shared" si="26"/>
        <v>0</v>
      </c>
      <c r="AX150" s="34">
        <f t="shared" si="26"/>
        <v>0</v>
      </c>
      <c r="AY150" s="34">
        <f t="shared" si="26"/>
        <v>0</v>
      </c>
      <c r="AZ150" s="34">
        <f t="shared" si="26"/>
        <v>0</v>
      </c>
      <c r="BA150" s="34">
        <f t="shared" si="26"/>
        <v>0</v>
      </c>
      <c r="BB150" s="34">
        <f t="shared" si="26"/>
        <v>0</v>
      </c>
      <c r="BC150" s="13">
        <f t="shared" si="13"/>
        <v>21</v>
      </c>
      <c r="BD150" s="5"/>
      <c r="BE150" s="5"/>
    </row>
    <row r="151" spans="1:57" ht="12.75" customHeight="1" x14ac:dyDescent="0.3">
      <c r="A151" s="35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13">
        <f t="shared" si="13"/>
        <v>0</v>
      </c>
      <c r="BD151" s="1"/>
      <c r="BE151" s="1"/>
    </row>
    <row r="152" spans="1:57" ht="12.75" customHeight="1" x14ac:dyDescent="0.3">
      <c r="A152" s="19" t="s">
        <v>37</v>
      </c>
      <c r="B152" s="26" t="s">
        <v>129</v>
      </c>
      <c r="C152" s="48" t="s">
        <v>130</v>
      </c>
      <c r="D152" s="47"/>
      <c r="E152" s="15">
        <v>2</v>
      </c>
      <c r="F152" s="15">
        <v>1</v>
      </c>
      <c r="G152" s="15">
        <v>2</v>
      </c>
      <c r="H152" s="15">
        <v>4</v>
      </c>
      <c r="I152" s="15">
        <v>1</v>
      </c>
      <c r="J152" s="15">
        <v>3</v>
      </c>
      <c r="K152" s="15">
        <v>2</v>
      </c>
      <c r="L152" s="15">
        <v>3</v>
      </c>
      <c r="M152" s="15">
        <v>1</v>
      </c>
      <c r="N152" s="15">
        <v>2</v>
      </c>
      <c r="O152" s="15">
        <v>1</v>
      </c>
      <c r="P152" s="15">
        <v>3</v>
      </c>
      <c r="Q152" s="15">
        <v>1</v>
      </c>
      <c r="R152" s="15"/>
      <c r="S152" s="15">
        <v>1</v>
      </c>
      <c r="T152" s="15">
        <v>2</v>
      </c>
      <c r="U152" s="15">
        <v>6</v>
      </c>
      <c r="V152" s="15">
        <v>1</v>
      </c>
      <c r="W152" s="15">
        <v>5</v>
      </c>
      <c r="X152" s="15">
        <v>3</v>
      </c>
      <c r="Y152" s="15">
        <v>8</v>
      </c>
      <c r="Z152" s="15">
        <v>4</v>
      </c>
      <c r="AA152" s="15">
        <v>5</v>
      </c>
      <c r="AB152" s="15">
        <v>3</v>
      </c>
      <c r="AC152" s="15">
        <v>2</v>
      </c>
      <c r="AD152" s="15">
        <v>3</v>
      </c>
      <c r="AE152" s="15">
        <v>4</v>
      </c>
      <c r="AF152" s="15">
        <v>2</v>
      </c>
      <c r="AG152" s="15">
        <v>7</v>
      </c>
      <c r="AH152" s="15">
        <v>4</v>
      </c>
      <c r="AI152" s="15">
        <v>4</v>
      </c>
      <c r="AJ152" s="15">
        <v>1</v>
      </c>
      <c r="AK152" s="15"/>
      <c r="AL152" s="15">
        <v>7</v>
      </c>
      <c r="AM152" s="15">
        <v>1</v>
      </c>
      <c r="AN152" s="15">
        <v>2</v>
      </c>
      <c r="AO152" s="15">
        <v>3</v>
      </c>
      <c r="AP152" s="15"/>
      <c r="AQ152" s="15">
        <v>1</v>
      </c>
      <c r="AR152" s="15">
        <v>4</v>
      </c>
      <c r="AS152" s="15">
        <v>5</v>
      </c>
      <c r="AT152" s="15">
        <v>7</v>
      </c>
      <c r="AU152" s="15"/>
      <c r="AV152" s="15">
        <v>1</v>
      </c>
      <c r="AW152" s="15">
        <v>4</v>
      </c>
      <c r="AX152" s="15">
        <v>6</v>
      </c>
      <c r="AY152" s="15">
        <v>3</v>
      </c>
      <c r="AZ152" s="15">
        <v>4</v>
      </c>
      <c r="BA152" s="15">
        <v>4</v>
      </c>
      <c r="BB152" s="15">
        <v>5</v>
      </c>
      <c r="BC152" s="13">
        <f t="shared" si="13"/>
        <v>148</v>
      </c>
      <c r="BD152" s="31"/>
      <c r="BE152" s="31"/>
    </row>
    <row r="153" spans="1:57" ht="12.75" customHeight="1" x14ac:dyDescent="0.3">
      <c r="A153" s="19" t="s">
        <v>39</v>
      </c>
      <c r="B153" s="27"/>
      <c r="C153" s="28" t="s">
        <v>131</v>
      </c>
      <c r="D153" s="29"/>
      <c r="E153" s="15">
        <v>1</v>
      </c>
      <c r="F153" s="15"/>
      <c r="G153" s="15">
        <v>1</v>
      </c>
      <c r="H153" s="15">
        <v>1</v>
      </c>
      <c r="I153" s="15"/>
      <c r="J153" s="15">
        <v>1</v>
      </c>
      <c r="K153" s="15"/>
      <c r="L153" s="15">
        <v>4</v>
      </c>
      <c r="M153" s="15">
        <v>2</v>
      </c>
      <c r="N153" s="15">
        <v>6</v>
      </c>
      <c r="O153" s="15">
        <v>1</v>
      </c>
      <c r="P153" s="15">
        <v>1</v>
      </c>
      <c r="Q153" s="15"/>
      <c r="R153" s="15"/>
      <c r="S153" s="15">
        <v>2</v>
      </c>
      <c r="T153" s="15">
        <v>1</v>
      </c>
      <c r="U153" s="15">
        <v>3</v>
      </c>
      <c r="V153" s="15">
        <v>3</v>
      </c>
      <c r="W153" s="15"/>
      <c r="X153" s="15">
        <v>3</v>
      </c>
      <c r="Y153" s="15"/>
      <c r="Z153" s="15">
        <v>3</v>
      </c>
      <c r="AA153" s="15">
        <v>1</v>
      </c>
      <c r="AB153" s="15"/>
      <c r="AC153" s="15"/>
      <c r="AD153" s="15">
        <v>1</v>
      </c>
      <c r="AE153" s="15">
        <v>2</v>
      </c>
      <c r="AF153" s="15">
        <v>1</v>
      </c>
      <c r="AG153" s="15"/>
      <c r="AH153" s="15">
        <v>3</v>
      </c>
      <c r="AI153" s="15"/>
      <c r="AJ153" s="15">
        <v>3</v>
      </c>
      <c r="AK153" s="15"/>
      <c r="AL153" s="15">
        <v>1</v>
      </c>
      <c r="AM153" s="15">
        <v>3</v>
      </c>
      <c r="AN153" s="15"/>
      <c r="AO153" s="15">
        <v>2</v>
      </c>
      <c r="AP153" s="15"/>
      <c r="AQ153" s="15"/>
      <c r="AR153" s="15">
        <v>1</v>
      </c>
      <c r="AS153" s="15">
        <v>1</v>
      </c>
      <c r="AT153" s="15">
        <v>1</v>
      </c>
      <c r="AU153" s="15"/>
      <c r="AV153" s="15">
        <v>2</v>
      </c>
      <c r="AW153" s="15">
        <v>2</v>
      </c>
      <c r="AX153" s="15"/>
      <c r="AY153" s="15">
        <v>4</v>
      </c>
      <c r="AZ153" s="15"/>
      <c r="BA153" s="15">
        <v>1</v>
      </c>
      <c r="BB153" s="15">
        <v>3</v>
      </c>
      <c r="BC153" s="13">
        <f t="shared" si="13"/>
        <v>65</v>
      </c>
      <c r="BD153" s="5"/>
      <c r="BE153" s="5"/>
    </row>
    <row r="154" spans="1:57" ht="12.75" customHeight="1" x14ac:dyDescent="0.3">
      <c r="A154" s="14"/>
      <c r="B154" s="27"/>
      <c r="C154" s="28" t="s">
        <v>132</v>
      </c>
      <c r="D154" s="29"/>
      <c r="E154" s="15">
        <v>3</v>
      </c>
      <c r="F154" s="15">
        <v>1</v>
      </c>
      <c r="G154" s="15"/>
      <c r="H154" s="15"/>
      <c r="I154" s="15"/>
      <c r="J154" s="15"/>
      <c r="K154" s="15"/>
      <c r="L154" s="15">
        <v>1</v>
      </c>
      <c r="M154" s="15"/>
      <c r="N154" s="15"/>
      <c r="O154" s="15"/>
      <c r="P154" s="15">
        <v>1</v>
      </c>
      <c r="Q154" s="15"/>
      <c r="R154" s="15">
        <v>2</v>
      </c>
      <c r="S154" s="15"/>
      <c r="T154" s="15">
        <v>1</v>
      </c>
      <c r="U154" s="15">
        <v>2</v>
      </c>
      <c r="V154" s="15"/>
      <c r="W154" s="15">
        <v>1</v>
      </c>
      <c r="X154" s="15"/>
      <c r="Y154" s="15"/>
      <c r="Z154" s="15"/>
      <c r="AA154" s="15">
        <v>2</v>
      </c>
      <c r="AB154" s="15">
        <v>2</v>
      </c>
      <c r="AC154" s="15"/>
      <c r="AD154" s="15">
        <v>1</v>
      </c>
      <c r="AE154" s="15"/>
      <c r="AF154" s="15"/>
      <c r="AG154" s="15"/>
      <c r="AH154" s="15"/>
      <c r="AI154" s="15"/>
      <c r="AJ154" s="15"/>
      <c r="AK154" s="15"/>
      <c r="AL154" s="15">
        <v>2</v>
      </c>
      <c r="AM154" s="15"/>
      <c r="AN154" s="15">
        <v>4</v>
      </c>
      <c r="AO154" s="15">
        <v>2</v>
      </c>
      <c r="AP154" s="15">
        <v>1</v>
      </c>
      <c r="AQ154" s="15">
        <v>1</v>
      </c>
      <c r="AR154" s="15">
        <v>1</v>
      </c>
      <c r="AS154" s="15">
        <v>1</v>
      </c>
      <c r="AT154" s="15">
        <v>1</v>
      </c>
      <c r="AU154" s="15"/>
      <c r="AV154" s="15"/>
      <c r="AW154" s="15">
        <v>1</v>
      </c>
      <c r="AX154" s="15"/>
      <c r="AY154" s="15">
        <v>3</v>
      </c>
      <c r="AZ154" s="15"/>
      <c r="BA154" s="15"/>
      <c r="BB154" s="15">
        <v>1</v>
      </c>
      <c r="BC154" s="13">
        <f t="shared" si="13"/>
        <v>35</v>
      </c>
      <c r="BD154" s="5"/>
      <c r="BE154" s="5"/>
    </row>
    <row r="155" spans="1:57" ht="12.75" customHeight="1" x14ac:dyDescent="0.3">
      <c r="A155" s="14"/>
      <c r="B155" s="27"/>
      <c r="C155" s="28" t="s">
        <v>133</v>
      </c>
      <c r="D155" s="29"/>
      <c r="E155" s="15"/>
      <c r="F155" s="15">
        <v>1</v>
      </c>
      <c r="G155" s="15">
        <v>1</v>
      </c>
      <c r="H155" s="15"/>
      <c r="I155" s="15"/>
      <c r="J155" s="15"/>
      <c r="K155" s="15"/>
      <c r="L155" s="15">
        <v>1</v>
      </c>
      <c r="M155" s="15">
        <v>1</v>
      </c>
      <c r="N155" s="15">
        <v>2</v>
      </c>
      <c r="O155" s="15"/>
      <c r="P155" s="15"/>
      <c r="Q155" s="15"/>
      <c r="R155" s="15">
        <v>1</v>
      </c>
      <c r="S155" s="15"/>
      <c r="T155" s="15"/>
      <c r="U155" s="15">
        <v>2</v>
      </c>
      <c r="V155" s="15">
        <v>1</v>
      </c>
      <c r="W155" s="15"/>
      <c r="X155" s="15"/>
      <c r="Y155" s="15"/>
      <c r="Z155" s="15"/>
      <c r="AA155" s="15">
        <v>1</v>
      </c>
      <c r="AB155" s="15"/>
      <c r="AC155" s="15"/>
      <c r="AD155" s="15"/>
      <c r="AE155" s="15">
        <v>1</v>
      </c>
      <c r="AF155" s="15"/>
      <c r="AG155" s="15"/>
      <c r="AH155" s="15"/>
      <c r="AI155" s="15"/>
      <c r="AJ155" s="15"/>
      <c r="AK155" s="15"/>
      <c r="AL155" s="15">
        <v>2</v>
      </c>
      <c r="AM155" s="15"/>
      <c r="AN155" s="15"/>
      <c r="AO155" s="15">
        <v>1</v>
      </c>
      <c r="AP155" s="15"/>
      <c r="AQ155" s="15"/>
      <c r="AR155" s="15">
        <v>1</v>
      </c>
      <c r="AS155" s="15">
        <v>1</v>
      </c>
      <c r="AT155" s="15"/>
      <c r="AU155" s="15"/>
      <c r="AV155" s="15"/>
      <c r="AW155" s="15"/>
      <c r="AX155" s="15"/>
      <c r="AY155" s="15"/>
      <c r="AZ155" s="15">
        <v>1</v>
      </c>
      <c r="BA155" s="15">
        <v>1</v>
      </c>
      <c r="BB155" s="15"/>
      <c r="BC155" s="13">
        <f t="shared" si="13"/>
        <v>19</v>
      </c>
      <c r="BD155" s="5"/>
      <c r="BE155" s="5"/>
    </row>
    <row r="156" spans="1:57" ht="12.75" customHeight="1" x14ac:dyDescent="0.3">
      <c r="A156" s="14"/>
      <c r="B156" s="27"/>
      <c r="C156" s="28" t="s">
        <v>134</v>
      </c>
      <c r="D156" s="29"/>
      <c r="E156" s="15"/>
      <c r="F156" s="15">
        <v>1</v>
      </c>
      <c r="G156" s="15"/>
      <c r="H156" s="15"/>
      <c r="I156" s="15">
        <v>1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>
        <v>2</v>
      </c>
      <c r="U156" s="15"/>
      <c r="V156" s="15">
        <v>1</v>
      </c>
      <c r="W156" s="15"/>
      <c r="X156" s="15">
        <v>1</v>
      </c>
      <c r="Y156" s="15"/>
      <c r="Z156" s="15"/>
      <c r="AA156" s="15"/>
      <c r="AB156" s="15">
        <v>1</v>
      </c>
      <c r="AC156" s="15"/>
      <c r="AD156" s="15">
        <v>2</v>
      </c>
      <c r="AE156" s="15">
        <v>2</v>
      </c>
      <c r="AF156" s="15"/>
      <c r="AG156" s="15"/>
      <c r="AH156" s="15"/>
      <c r="AI156" s="15"/>
      <c r="AJ156" s="15"/>
      <c r="AK156" s="15"/>
      <c r="AL156" s="15"/>
      <c r="AM156" s="15"/>
      <c r="AN156" s="15">
        <v>1</v>
      </c>
      <c r="AO156" s="15"/>
      <c r="AP156" s="15"/>
      <c r="AQ156" s="15"/>
      <c r="AR156" s="15"/>
      <c r="AS156" s="15">
        <v>0</v>
      </c>
      <c r="AT156" s="15"/>
      <c r="AU156" s="15"/>
      <c r="AV156" s="15">
        <v>1</v>
      </c>
      <c r="AW156" s="15"/>
      <c r="AX156" s="15"/>
      <c r="AY156" s="15"/>
      <c r="AZ156" s="15"/>
      <c r="BA156" s="15">
        <v>1</v>
      </c>
      <c r="BB156" s="15"/>
      <c r="BC156" s="13">
        <f t="shared" si="13"/>
        <v>14</v>
      </c>
      <c r="BD156" s="5"/>
      <c r="BE156" s="5"/>
    </row>
    <row r="157" spans="1:57" ht="12.75" customHeight="1" x14ac:dyDescent="0.3">
      <c r="A157" s="14"/>
      <c r="B157" s="27"/>
      <c r="C157" s="28" t="s">
        <v>135</v>
      </c>
      <c r="D157" s="29"/>
      <c r="E157" s="15">
        <v>7</v>
      </c>
      <c r="F157" s="15">
        <v>2</v>
      </c>
      <c r="G157" s="15">
        <v>3</v>
      </c>
      <c r="H157" s="15">
        <v>10</v>
      </c>
      <c r="I157" s="15">
        <v>12</v>
      </c>
      <c r="J157" s="15">
        <v>1</v>
      </c>
      <c r="K157" s="15">
        <v>6</v>
      </c>
      <c r="L157" s="15"/>
      <c r="M157" s="15">
        <v>14</v>
      </c>
      <c r="N157" s="15">
        <v>10</v>
      </c>
      <c r="O157" s="15">
        <v>1</v>
      </c>
      <c r="P157" s="15">
        <v>5</v>
      </c>
      <c r="Q157" s="15"/>
      <c r="R157" s="15">
        <v>4</v>
      </c>
      <c r="S157" s="15">
        <v>7</v>
      </c>
      <c r="T157" s="15">
        <v>5</v>
      </c>
      <c r="U157" s="15">
        <v>15</v>
      </c>
      <c r="V157" s="15"/>
      <c r="W157" s="15">
        <v>5</v>
      </c>
      <c r="X157" s="15">
        <v>7</v>
      </c>
      <c r="Y157" s="15">
        <v>4</v>
      </c>
      <c r="Z157" s="15">
        <v>17</v>
      </c>
      <c r="AA157" s="15">
        <v>14</v>
      </c>
      <c r="AB157" s="15">
        <v>5</v>
      </c>
      <c r="AC157" s="15">
        <v>14</v>
      </c>
      <c r="AD157" s="15">
        <v>20</v>
      </c>
      <c r="AE157" s="15">
        <v>25</v>
      </c>
      <c r="AF157" s="15">
        <v>24</v>
      </c>
      <c r="AG157" s="15">
        <v>59</v>
      </c>
      <c r="AH157" s="15">
        <v>16</v>
      </c>
      <c r="AI157" s="15">
        <v>22</v>
      </c>
      <c r="AJ157" s="15">
        <v>11</v>
      </c>
      <c r="AK157" s="15">
        <v>9</v>
      </c>
      <c r="AL157" s="15">
        <v>16</v>
      </c>
      <c r="AM157" s="15">
        <v>2</v>
      </c>
      <c r="AN157" s="15">
        <v>49</v>
      </c>
      <c r="AO157" s="15">
        <v>55</v>
      </c>
      <c r="AP157" s="15">
        <v>10</v>
      </c>
      <c r="AQ157" s="15">
        <v>4</v>
      </c>
      <c r="AR157" s="15">
        <v>31</v>
      </c>
      <c r="AS157" s="15">
        <v>37</v>
      </c>
      <c r="AT157" s="15">
        <v>43</v>
      </c>
      <c r="AU157" s="15">
        <v>9</v>
      </c>
      <c r="AV157" s="15">
        <v>12</v>
      </c>
      <c r="AW157" s="15">
        <v>33</v>
      </c>
      <c r="AX157" s="15">
        <v>53</v>
      </c>
      <c r="AY157" s="15">
        <v>5</v>
      </c>
      <c r="AZ157" s="15">
        <v>33</v>
      </c>
      <c r="BA157" s="15">
        <v>28</v>
      </c>
      <c r="BB157" s="15">
        <v>22</v>
      </c>
      <c r="BC157" s="13">
        <f t="shared" si="13"/>
        <v>796</v>
      </c>
      <c r="BD157" s="5"/>
      <c r="BE157" s="5"/>
    </row>
    <row r="158" spans="1:57" ht="12.75" customHeight="1" x14ac:dyDescent="0.3">
      <c r="A158" s="14"/>
      <c r="B158" s="27"/>
      <c r="C158" s="28" t="s">
        <v>136</v>
      </c>
      <c r="D158" s="29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3">
        <f t="shared" si="13"/>
        <v>0</v>
      </c>
      <c r="BD158" s="5"/>
      <c r="BE158" s="5"/>
    </row>
    <row r="159" spans="1:57" ht="12.75" customHeight="1" x14ac:dyDescent="0.3">
      <c r="A159" s="14"/>
      <c r="B159" s="27"/>
      <c r="C159" s="28" t="s">
        <v>137</v>
      </c>
      <c r="D159" s="29"/>
      <c r="E159" s="15"/>
      <c r="F159" s="15"/>
      <c r="G159" s="15">
        <v>2</v>
      </c>
      <c r="H159" s="15"/>
      <c r="I159" s="15"/>
      <c r="J159" s="15"/>
      <c r="K159" s="15"/>
      <c r="L159" s="15"/>
      <c r="M159" s="15"/>
      <c r="N159" s="15"/>
      <c r="O159" s="15">
        <v>1</v>
      </c>
      <c r="P159" s="15"/>
      <c r="Q159" s="15"/>
      <c r="R159" s="15">
        <v>7</v>
      </c>
      <c r="S159" s="15">
        <v>2</v>
      </c>
      <c r="T159" s="15">
        <v>4</v>
      </c>
      <c r="U159" s="15"/>
      <c r="V159" s="15">
        <v>2</v>
      </c>
      <c r="W159" s="15"/>
      <c r="X159" s="15">
        <v>13</v>
      </c>
      <c r="Y159" s="15">
        <v>10</v>
      </c>
      <c r="Z159" s="15"/>
      <c r="AA159" s="15"/>
      <c r="AB159" s="15">
        <v>2</v>
      </c>
      <c r="AC159" s="15"/>
      <c r="AD159" s="15"/>
      <c r="AE159" s="15"/>
      <c r="AF159" s="15"/>
      <c r="AG159" s="15">
        <v>45</v>
      </c>
      <c r="AH159" s="15">
        <v>18</v>
      </c>
      <c r="AI159" s="15"/>
      <c r="AJ159" s="15">
        <v>1</v>
      </c>
      <c r="AK159" s="15">
        <v>3</v>
      </c>
      <c r="AL159" s="15">
        <v>21</v>
      </c>
      <c r="AM159" s="15">
        <v>1</v>
      </c>
      <c r="AN159" s="15">
        <v>1</v>
      </c>
      <c r="AO159" s="15">
        <v>1</v>
      </c>
      <c r="AP159" s="15"/>
      <c r="AQ159" s="15"/>
      <c r="AR159" s="15"/>
      <c r="AS159" s="15">
        <v>1</v>
      </c>
      <c r="AT159" s="15">
        <v>1</v>
      </c>
      <c r="AU159" s="15">
        <v>2</v>
      </c>
      <c r="AV159" s="15">
        <v>1</v>
      </c>
      <c r="AW159" s="15">
        <v>13</v>
      </c>
      <c r="AX159" s="15">
        <v>27</v>
      </c>
      <c r="AY159" s="15">
        <v>12</v>
      </c>
      <c r="AZ159" s="15"/>
      <c r="BA159" s="15">
        <v>1</v>
      </c>
      <c r="BB159" s="15"/>
      <c r="BC159" s="13">
        <f t="shared" si="13"/>
        <v>192</v>
      </c>
      <c r="BD159" s="5"/>
      <c r="BE159" s="5"/>
    </row>
    <row r="160" spans="1:57" ht="12.75" customHeight="1" x14ac:dyDescent="0.3">
      <c r="A160" s="15" t="s">
        <v>15</v>
      </c>
      <c r="B160" s="45" t="s">
        <v>47</v>
      </c>
      <c r="C160" s="46"/>
      <c r="D160" s="47"/>
      <c r="E160" s="34">
        <f t="shared" ref="E160:BB160" si="27">SUM(E152:E159)</f>
        <v>13</v>
      </c>
      <c r="F160" s="34">
        <f t="shared" si="27"/>
        <v>6</v>
      </c>
      <c r="G160" s="34">
        <f t="shared" si="27"/>
        <v>9</v>
      </c>
      <c r="H160" s="34">
        <f t="shared" si="27"/>
        <v>15</v>
      </c>
      <c r="I160" s="34">
        <f t="shared" si="27"/>
        <v>14</v>
      </c>
      <c r="J160" s="34">
        <f t="shared" si="27"/>
        <v>5</v>
      </c>
      <c r="K160" s="34">
        <f t="shared" si="27"/>
        <v>8</v>
      </c>
      <c r="L160" s="34">
        <f t="shared" si="27"/>
        <v>9</v>
      </c>
      <c r="M160" s="34">
        <f t="shared" si="27"/>
        <v>18</v>
      </c>
      <c r="N160" s="34">
        <f t="shared" si="27"/>
        <v>20</v>
      </c>
      <c r="O160" s="34">
        <f t="shared" si="27"/>
        <v>4</v>
      </c>
      <c r="P160" s="34">
        <f t="shared" si="27"/>
        <v>10</v>
      </c>
      <c r="Q160" s="34">
        <f t="shared" si="27"/>
        <v>1</v>
      </c>
      <c r="R160" s="34">
        <f t="shared" si="27"/>
        <v>14</v>
      </c>
      <c r="S160" s="34">
        <f t="shared" si="27"/>
        <v>12</v>
      </c>
      <c r="T160" s="34">
        <f t="shared" si="27"/>
        <v>15</v>
      </c>
      <c r="U160" s="34">
        <f t="shared" si="27"/>
        <v>28</v>
      </c>
      <c r="V160" s="34">
        <f t="shared" si="27"/>
        <v>8</v>
      </c>
      <c r="W160" s="34">
        <f t="shared" si="27"/>
        <v>11</v>
      </c>
      <c r="X160" s="34">
        <f t="shared" si="27"/>
        <v>27</v>
      </c>
      <c r="Y160" s="34">
        <f t="shared" si="27"/>
        <v>22</v>
      </c>
      <c r="Z160" s="34">
        <f t="shared" si="27"/>
        <v>24</v>
      </c>
      <c r="AA160" s="34">
        <f t="shared" si="27"/>
        <v>23</v>
      </c>
      <c r="AB160" s="34">
        <f t="shared" si="27"/>
        <v>13</v>
      </c>
      <c r="AC160" s="34">
        <f t="shared" si="27"/>
        <v>16</v>
      </c>
      <c r="AD160" s="34">
        <f t="shared" si="27"/>
        <v>27</v>
      </c>
      <c r="AE160" s="34">
        <f t="shared" si="27"/>
        <v>34</v>
      </c>
      <c r="AF160" s="34">
        <f t="shared" si="27"/>
        <v>27</v>
      </c>
      <c r="AG160" s="34">
        <f t="shared" si="27"/>
        <v>111</v>
      </c>
      <c r="AH160" s="34">
        <f t="shared" si="27"/>
        <v>41</v>
      </c>
      <c r="AI160" s="34">
        <f t="shared" si="27"/>
        <v>26</v>
      </c>
      <c r="AJ160" s="34">
        <f t="shared" si="27"/>
        <v>16</v>
      </c>
      <c r="AK160" s="34">
        <f t="shared" si="27"/>
        <v>12</v>
      </c>
      <c r="AL160" s="34">
        <f t="shared" si="27"/>
        <v>49</v>
      </c>
      <c r="AM160" s="34">
        <f t="shared" si="27"/>
        <v>7</v>
      </c>
      <c r="AN160" s="34">
        <f t="shared" si="27"/>
        <v>57</v>
      </c>
      <c r="AO160" s="34">
        <f t="shared" si="27"/>
        <v>64</v>
      </c>
      <c r="AP160" s="34">
        <f t="shared" si="27"/>
        <v>11</v>
      </c>
      <c r="AQ160" s="34">
        <f t="shared" si="27"/>
        <v>6</v>
      </c>
      <c r="AR160" s="34">
        <f t="shared" si="27"/>
        <v>38</v>
      </c>
      <c r="AS160" s="34">
        <f t="shared" si="27"/>
        <v>46</v>
      </c>
      <c r="AT160" s="34">
        <f t="shared" si="27"/>
        <v>53</v>
      </c>
      <c r="AU160" s="34">
        <f t="shared" si="27"/>
        <v>11</v>
      </c>
      <c r="AV160" s="34">
        <f t="shared" si="27"/>
        <v>17</v>
      </c>
      <c r="AW160" s="34">
        <f t="shared" si="27"/>
        <v>53</v>
      </c>
      <c r="AX160" s="34">
        <f t="shared" si="27"/>
        <v>86</v>
      </c>
      <c r="AY160" s="34">
        <f t="shared" si="27"/>
        <v>27</v>
      </c>
      <c r="AZ160" s="34">
        <f t="shared" si="27"/>
        <v>38</v>
      </c>
      <c r="BA160" s="34">
        <f t="shared" si="27"/>
        <v>36</v>
      </c>
      <c r="BB160" s="34">
        <f t="shared" si="27"/>
        <v>31</v>
      </c>
      <c r="BC160" s="13">
        <f t="shared" si="13"/>
        <v>1269</v>
      </c>
      <c r="BD160" s="5"/>
      <c r="BE160" s="5"/>
    </row>
    <row r="161" spans="1:57" ht="12.75" customHeight="1" x14ac:dyDescent="0.3">
      <c r="A161" s="35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13">
        <f t="shared" si="13"/>
        <v>0</v>
      </c>
      <c r="BD161" s="5"/>
      <c r="BE161" s="5"/>
    </row>
    <row r="162" spans="1:57" ht="12.75" customHeight="1" x14ac:dyDescent="0.3">
      <c r="A162" s="19" t="s">
        <v>37</v>
      </c>
      <c r="B162" s="26" t="s">
        <v>138</v>
      </c>
      <c r="C162" s="48" t="s">
        <v>139</v>
      </c>
      <c r="D162" s="47"/>
      <c r="E162" s="15">
        <v>1</v>
      </c>
      <c r="F162" s="15"/>
      <c r="G162" s="15"/>
      <c r="H162" s="15">
        <v>2</v>
      </c>
      <c r="I162" s="15"/>
      <c r="J162" s="15">
        <v>1</v>
      </c>
      <c r="K162" s="15"/>
      <c r="L162" s="15"/>
      <c r="M162" s="15"/>
      <c r="N162" s="15">
        <v>3</v>
      </c>
      <c r="O162" s="15">
        <v>1</v>
      </c>
      <c r="P162" s="15">
        <v>1</v>
      </c>
      <c r="Q162" s="15">
        <v>1</v>
      </c>
      <c r="R162" s="15"/>
      <c r="S162" s="15">
        <v>1</v>
      </c>
      <c r="T162" s="15">
        <v>1</v>
      </c>
      <c r="U162" s="15">
        <v>3</v>
      </c>
      <c r="V162" s="15"/>
      <c r="W162" s="15"/>
      <c r="X162" s="15">
        <v>4</v>
      </c>
      <c r="Y162" s="15">
        <v>1</v>
      </c>
      <c r="Z162" s="15"/>
      <c r="AA162" s="15">
        <v>1</v>
      </c>
      <c r="AB162" s="15">
        <v>1</v>
      </c>
      <c r="AC162" s="15">
        <v>1</v>
      </c>
      <c r="AD162" s="15">
        <v>2</v>
      </c>
      <c r="AE162" s="15">
        <v>1</v>
      </c>
      <c r="AF162" s="15">
        <v>2</v>
      </c>
      <c r="AG162" s="15"/>
      <c r="AH162" s="15"/>
      <c r="AI162" s="15"/>
      <c r="AJ162" s="15"/>
      <c r="AK162" s="15">
        <v>1</v>
      </c>
      <c r="AL162" s="15"/>
      <c r="AM162" s="15">
        <v>1</v>
      </c>
      <c r="AN162" s="15">
        <v>2</v>
      </c>
      <c r="AO162" s="15">
        <v>1</v>
      </c>
      <c r="AP162" s="15"/>
      <c r="AQ162" s="15">
        <v>1</v>
      </c>
      <c r="AR162" s="15"/>
      <c r="AS162" s="15">
        <v>2</v>
      </c>
      <c r="AT162" s="15"/>
      <c r="AU162" s="15"/>
      <c r="AV162" s="15"/>
      <c r="AW162" s="15">
        <v>1</v>
      </c>
      <c r="AX162" s="15">
        <v>2</v>
      </c>
      <c r="AY162" s="15"/>
      <c r="AZ162" s="15">
        <v>1</v>
      </c>
      <c r="BA162" s="15">
        <v>1</v>
      </c>
      <c r="BB162" s="15"/>
      <c r="BC162" s="13">
        <f t="shared" si="13"/>
        <v>41</v>
      </c>
      <c r="BD162" s="5"/>
      <c r="BE162" s="5"/>
    </row>
    <row r="163" spans="1:57" ht="15" customHeight="1" x14ac:dyDescent="0.3">
      <c r="A163" s="19" t="s">
        <v>39</v>
      </c>
      <c r="B163" s="27"/>
      <c r="C163" s="28" t="s">
        <v>140</v>
      </c>
      <c r="D163" s="29"/>
      <c r="E163" s="15">
        <v>3</v>
      </c>
      <c r="F163" s="15"/>
      <c r="G163" s="15">
        <v>1</v>
      </c>
      <c r="H163" s="15">
        <v>1</v>
      </c>
      <c r="I163" s="15">
        <v>4</v>
      </c>
      <c r="J163" s="15">
        <v>3</v>
      </c>
      <c r="K163" s="15"/>
      <c r="L163" s="15">
        <v>1</v>
      </c>
      <c r="M163" s="15">
        <v>3</v>
      </c>
      <c r="N163" s="15">
        <v>2</v>
      </c>
      <c r="O163" s="15"/>
      <c r="P163" s="15">
        <v>2</v>
      </c>
      <c r="Q163" s="15"/>
      <c r="R163" s="15">
        <v>1</v>
      </c>
      <c r="S163" s="15">
        <v>1</v>
      </c>
      <c r="T163" s="15">
        <v>1</v>
      </c>
      <c r="U163" s="15">
        <v>3</v>
      </c>
      <c r="V163" s="15"/>
      <c r="W163" s="15"/>
      <c r="X163" s="15">
        <v>2</v>
      </c>
      <c r="Y163" s="15">
        <v>1</v>
      </c>
      <c r="Z163" s="15"/>
      <c r="AA163" s="15">
        <v>2</v>
      </c>
      <c r="AB163" s="15">
        <v>1</v>
      </c>
      <c r="AC163" s="15">
        <v>2</v>
      </c>
      <c r="AD163" s="15"/>
      <c r="AE163" s="15"/>
      <c r="AF163" s="15"/>
      <c r="AG163" s="15">
        <v>1</v>
      </c>
      <c r="AH163" s="15">
        <v>3</v>
      </c>
      <c r="AI163" s="15">
        <v>1</v>
      </c>
      <c r="AJ163" s="15">
        <v>3</v>
      </c>
      <c r="AK163" s="15"/>
      <c r="AL163" s="15"/>
      <c r="AM163" s="15">
        <v>1</v>
      </c>
      <c r="AN163" s="15">
        <v>1</v>
      </c>
      <c r="AO163" s="15"/>
      <c r="AP163" s="15"/>
      <c r="AQ163" s="15">
        <v>1</v>
      </c>
      <c r="AR163" s="15"/>
      <c r="AS163" s="15">
        <v>1</v>
      </c>
      <c r="AT163" s="15"/>
      <c r="AU163" s="15"/>
      <c r="AV163" s="15">
        <v>1</v>
      </c>
      <c r="AW163" s="15"/>
      <c r="AX163" s="15"/>
      <c r="AY163" s="15"/>
      <c r="AZ163" s="15">
        <v>1</v>
      </c>
      <c r="BA163" s="15"/>
      <c r="BB163" s="15"/>
      <c r="BC163" s="13">
        <f t="shared" si="13"/>
        <v>48</v>
      </c>
      <c r="BD163" s="5"/>
      <c r="BE163" s="5"/>
    </row>
    <row r="164" spans="1:57" ht="12.75" customHeight="1" x14ac:dyDescent="0.3">
      <c r="A164" s="19"/>
      <c r="B164" s="27"/>
      <c r="C164" s="28" t="s">
        <v>141</v>
      </c>
      <c r="D164" s="29"/>
      <c r="E164" s="15">
        <v>1</v>
      </c>
      <c r="F164" s="15"/>
      <c r="G164" s="15"/>
      <c r="H164" s="15"/>
      <c r="I164" s="15"/>
      <c r="J164" s="15"/>
      <c r="K164" s="15"/>
      <c r="L164" s="15"/>
      <c r="M164" s="15"/>
      <c r="N164" s="15">
        <v>1</v>
      </c>
      <c r="O164" s="15"/>
      <c r="P164" s="15"/>
      <c r="Q164" s="15">
        <v>1</v>
      </c>
      <c r="R164" s="15"/>
      <c r="S164" s="15"/>
      <c r="T164" s="15"/>
      <c r="U164" s="15">
        <v>1</v>
      </c>
      <c r="V164" s="15">
        <v>2</v>
      </c>
      <c r="W164" s="15">
        <v>1</v>
      </c>
      <c r="X164" s="15">
        <v>1</v>
      </c>
      <c r="Y164" s="15">
        <v>1</v>
      </c>
      <c r="Z164" s="15">
        <v>1</v>
      </c>
      <c r="AA164" s="15"/>
      <c r="AB164" s="15"/>
      <c r="AC164" s="15">
        <v>2</v>
      </c>
      <c r="AD164" s="15"/>
      <c r="AE164" s="15">
        <v>1</v>
      </c>
      <c r="AF164" s="15">
        <v>1</v>
      </c>
      <c r="AG164" s="15"/>
      <c r="AH164" s="15">
        <v>1</v>
      </c>
      <c r="AI164" s="15"/>
      <c r="AJ164" s="15"/>
      <c r="AK164" s="15"/>
      <c r="AL164" s="15"/>
      <c r="AM164" s="15"/>
      <c r="AN164" s="15"/>
      <c r="AO164" s="15"/>
      <c r="AP164" s="15"/>
      <c r="AQ164" s="15"/>
      <c r="AR164" s="15">
        <v>1</v>
      </c>
      <c r="AS164" s="15"/>
      <c r="AT164" s="15"/>
      <c r="AU164" s="15"/>
      <c r="AV164" s="15"/>
      <c r="AW164" s="15"/>
      <c r="AX164" s="15"/>
      <c r="AY164" s="15"/>
      <c r="AZ164" s="15">
        <v>1</v>
      </c>
      <c r="BA164" s="15"/>
      <c r="BB164" s="15"/>
      <c r="BC164" s="13">
        <f t="shared" si="13"/>
        <v>17</v>
      </c>
      <c r="BD164" s="5"/>
      <c r="BE164" s="5"/>
    </row>
    <row r="165" spans="1:57" ht="12.75" customHeight="1" x14ac:dyDescent="0.3">
      <c r="A165" s="15" t="s">
        <v>15</v>
      </c>
      <c r="B165" s="45" t="s">
        <v>47</v>
      </c>
      <c r="C165" s="46"/>
      <c r="D165" s="47"/>
      <c r="E165" s="34">
        <f t="shared" ref="E165:BB165" si="28">SUM(E162:E164)</f>
        <v>5</v>
      </c>
      <c r="F165" s="34">
        <f t="shared" si="28"/>
        <v>0</v>
      </c>
      <c r="G165" s="34">
        <f t="shared" si="28"/>
        <v>1</v>
      </c>
      <c r="H165" s="34">
        <f t="shared" si="28"/>
        <v>3</v>
      </c>
      <c r="I165" s="34">
        <f t="shared" si="28"/>
        <v>4</v>
      </c>
      <c r="J165" s="34">
        <f t="shared" si="28"/>
        <v>4</v>
      </c>
      <c r="K165" s="34">
        <f t="shared" si="28"/>
        <v>0</v>
      </c>
      <c r="L165" s="34">
        <f t="shared" si="28"/>
        <v>1</v>
      </c>
      <c r="M165" s="34">
        <f t="shared" si="28"/>
        <v>3</v>
      </c>
      <c r="N165" s="34">
        <f t="shared" si="28"/>
        <v>6</v>
      </c>
      <c r="O165" s="34">
        <f t="shared" si="28"/>
        <v>1</v>
      </c>
      <c r="P165" s="34">
        <f t="shared" si="28"/>
        <v>3</v>
      </c>
      <c r="Q165" s="34">
        <f t="shared" si="28"/>
        <v>2</v>
      </c>
      <c r="R165" s="34">
        <f t="shared" si="28"/>
        <v>1</v>
      </c>
      <c r="S165" s="34">
        <f t="shared" si="28"/>
        <v>2</v>
      </c>
      <c r="T165" s="34">
        <f t="shared" si="28"/>
        <v>2</v>
      </c>
      <c r="U165" s="34">
        <f t="shared" si="28"/>
        <v>7</v>
      </c>
      <c r="V165" s="34">
        <f t="shared" si="28"/>
        <v>2</v>
      </c>
      <c r="W165" s="34">
        <f t="shared" si="28"/>
        <v>1</v>
      </c>
      <c r="X165" s="34">
        <f t="shared" si="28"/>
        <v>7</v>
      </c>
      <c r="Y165" s="34">
        <f t="shared" si="28"/>
        <v>3</v>
      </c>
      <c r="Z165" s="34">
        <f t="shared" si="28"/>
        <v>1</v>
      </c>
      <c r="AA165" s="34">
        <f t="shared" si="28"/>
        <v>3</v>
      </c>
      <c r="AB165" s="34">
        <f t="shared" si="28"/>
        <v>2</v>
      </c>
      <c r="AC165" s="34">
        <f t="shared" si="28"/>
        <v>5</v>
      </c>
      <c r="AD165" s="34">
        <f t="shared" si="28"/>
        <v>2</v>
      </c>
      <c r="AE165" s="34">
        <f t="shared" si="28"/>
        <v>2</v>
      </c>
      <c r="AF165" s="34">
        <f t="shared" si="28"/>
        <v>3</v>
      </c>
      <c r="AG165" s="34">
        <f t="shared" si="28"/>
        <v>1</v>
      </c>
      <c r="AH165" s="34">
        <f t="shared" si="28"/>
        <v>4</v>
      </c>
      <c r="AI165" s="34">
        <f t="shared" si="28"/>
        <v>1</v>
      </c>
      <c r="AJ165" s="34">
        <f t="shared" si="28"/>
        <v>3</v>
      </c>
      <c r="AK165" s="34">
        <f t="shared" si="28"/>
        <v>1</v>
      </c>
      <c r="AL165" s="34">
        <f t="shared" si="28"/>
        <v>0</v>
      </c>
      <c r="AM165" s="34">
        <f t="shared" si="28"/>
        <v>2</v>
      </c>
      <c r="AN165" s="34">
        <f t="shared" si="28"/>
        <v>3</v>
      </c>
      <c r="AO165" s="34">
        <f t="shared" si="28"/>
        <v>1</v>
      </c>
      <c r="AP165" s="34">
        <f t="shared" si="28"/>
        <v>0</v>
      </c>
      <c r="AQ165" s="34">
        <f t="shared" si="28"/>
        <v>2</v>
      </c>
      <c r="AR165" s="34">
        <f t="shared" si="28"/>
        <v>1</v>
      </c>
      <c r="AS165" s="34">
        <f t="shared" si="28"/>
        <v>3</v>
      </c>
      <c r="AT165" s="34">
        <f t="shared" si="28"/>
        <v>0</v>
      </c>
      <c r="AU165" s="34">
        <f t="shared" si="28"/>
        <v>0</v>
      </c>
      <c r="AV165" s="34">
        <f t="shared" si="28"/>
        <v>1</v>
      </c>
      <c r="AW165" s="34">
        <f t="shared" si="28"/>
        <v>1</v>
      </c>
      <c r="AX165" s="34">
        <f t="shared" si="28"/>
        <v>2</v>
      </c>
      <c r="AY165" s="34">
        <f t="shared" si="28"/>
        <v>0</v>
      </c>
      <c r="AZ165" s="34">
        <f t="shared" si="28"/>
        <v>3</v>
      </c>
      <c r="BA165" s="34">
        <f t="shared" si="28"/>
        <v>1</v>
      </c>
      <c r="BB165" s="34">
        <f t="shared" si="28"/>
        <v>0</v>
      </c>
      <c r="BC165" s="13">
        <f t="shared" si="13"/>
        <v>106</v>
      </c>
      <c r="BD165" s="1"/>
      <c r="BE165" s="1"/>
    </row>
    <row r="166" spans="1:57" ht="12.75" customHeight="1" x14ac:dyDescent="0.3">
      <c r="A166" s="35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13">
        <f t="shared" si="13"/>
        <v>0</v>
      </c>
      <c r="BD166" s="31"/>
      <c r="BE166" s="31"/>
    </row>
    <row r="167" spans="1:57" ht="12.75" customHeight="1" x14ac:dyDescent="0.3">
      <c r="A167" s="19" t="s">
        <v>37</v>
      </c>
      <c r="B167" s="26" t="s">
        <v>142</v>
      </c>
      <c r="C167" s="48" t="s">
        <v>143</v>
      </c>
      <c r="D167" s="47"/>
      <c r="E167" s="15">
        <v>1</v>
      </c>
      <c r="F167" s="15"/>
      <c r="G167" s="15">
        <v>1</v>
      </c>
      <c r="H167" s="15"/>
      <c r="I167" s="15"/>
      <c r="J167" s="15"/>
      <c r="K167" s="15"/>
      <c r="L167" s="15">
        <v>1</v>
      </c>
      <c r="M167" s="15"/>
      <c r="N167" s="15">
        <v>1</v>
      </c>
      <c r="O167" s="15">
        <v>3</v>
      </c>
      <c r="P167" s="15"/>
      <c r="Q167" s="15"/>
      <c r="R167" s="15">
        <v>1</v>
      </c>
      <c r="S167" s="15"/>
      <c r="T167" s="15"/>
      <c r="U167" s="15">
        <v>1</v>
      </c>
      <c r="V167" s="15"/>
      <c r="W167" s="15"/>
      <c r="X167" s="15"/>
      <c r="Y167" s="15"/>
      <c r="Z167" s="15"/>
      <c r="AA167" s="15">
        <v>1</v>
      </c>
      <c r="AB167" s="15"/>
      <c r="AC167" s="15"/>
      <c r="AD167" s="15"/>
      <c r="AE167" s="15"/>
      <c r="AF167" s="15"/>
      <c r="AG167" s="15"/>
      <c r="AH167" s="15"/>
      <c r="AI167" s="15"/>
      <c r="AJ167" s="15">
        <v>4</v>
      </c>
      <c r="AK167" s="15"/>
      <c r="AL167" s="15"/>
      <c r="AM167" s="15"/>
      <c r="AN167" s="15">
        <v>2</v>
      </c>
      <c r="AO167" s="15"/>
      <c r="AP167" s="15"/>
      <c r="AQ167" s="15"/>
      <c r="AR167" s="15"/>
      <c r="AS167" s="15"/>
      <c r="AT167" s="15">
        <v>1</v>
      </c>
      <c r="AU167" s="15"/>
      <c r="AV167" s="15"/>
      <c r="AW167" s="15"/>
      <c r="AX167" s="15"/>
      <c r="AY167" s="15"/>
      <c r="AZ167" s="15"/>
      <c r="BA167" s="15"/>
      <c r="BB167" s="15"/>
      <c r="BC167" s="13">
        <f t="shared" si="13"/>
        <v>17</v>
      </c>
      <c r="BD167" s="5"/>
      <c r="BE167" s="5"/>
    </row>
    <row r="168" spans="1:57" ht="12.75" customHeight="1" x14ac:dyDescent="0.3">
      <c r="A168" s="19"/>
      <c r="B168" s="26"/>
      <c r="C168" s="28" t="s">
        <v>144</v>
      </c>
      <c r="D168" s="37"/>
      <c r="E168" s="15">
        <v>3</v>
      </c>
      <c r="F168" s="15"/>
      <c r="G168" s="15"/>
      <c r="H168" s="15"/>
      <c r="I168" s="15"/>
      <c r="J168" s="15">
        <v>2</v>
      </c>
      <c r="K168" s="15"/>
      <c r="L168" s="15"/>
      <c r="M168" s="15"/>
      <c r="N168" s="15"/>
      <c r="O168" s="15">
        <v>2</v>
      </c>
      <c r="P168" s="15"/>
      <c r="Q168" s="15">
        <v>1</v>
      </c>
      <c r="R168" s="15">
        <v>3</v>
      </c>
      <c r="S168" s="15">
        <v>4</v>
      </c>
      <c r="T168" s="15">
        <v>8</v>
      </c>
      <c r="U168" s="15">
        <v>9</v>
      </c>
      <c r="V168" s="15">
        <v>2</v>
      </c>
      <c r="W168" s="15"/>
      <c r="X168" s="15"/>
      <c r="Y168" s="15"/>
      <c r="Z168" s="15">
        <v>2</v>
      </c>
      <c r="AA168" s="15">
        <v>1</v>
      </c>
      <c r="AB168" s="15">
        <v>3</v>
      </c>
      <c r="AC168" s="15"/>
      <c r="AD168" s="15"/>
      <c r="AE168" s="15"/>
      <c r="AF168" s="15"/>
      <c r="AG168" s="15"/>
      <c r="AH168" s="15"/>
      <c r="AI168" s="15"/>
      <c r="AJ168" s="15">
        <v>2</v>
      </c>
      <c r="AK168" s="15"/>
      <c r="AL168" s="15"/>
      <c r="AM168" s="15">
        <v>1</v>
      </c>
      <c r="AN168" s="15">
        <v>1</v>
      </c>
      <c r="AO168" s="15"/>
      <c r="AP168" s="15">
        <v>1</v>
      </c>
      <c r="AQ168" s="15"/>
      <c r="AR168" s="15">
        <v>1</v>
      </c>
      <c r="AS168" s="15"/>
      <c r="AT168" s="15"/>
      <c r="AU168" s="15"/>
      <c r="AV168" s="15"/>
      <c r="AW168" s="15"/>
      <c r="AX168" s="15">
        <v>1</v>
      </c>
      <c r="AY168" s="15"/>
      <c r="AZ168" s="15">
        <v>1</v>
      </c>
      <c r="BA168" s="15"/>
      <c r="BB168" s="15"/>
      <c r="BC168" s="13">
        <f t="shared" si="13"/>
        <v>48</v>
      </c>
      <c r="BD168" s="5"/>
      <c r="BE168" s="5"/>
    </row>
    <row r="169" spans="1:57" ht="12.75" customHeight="1" x14ac:dyDescent="0.3">
      <c r="A169" s="19"/>
      <c r="B169" s="26"/>
      <c r="C169" s="28" t="s">
        <v>145</v>
      </c>
      <c r="D169" s="37"/>
      <c r="E169" s="15"/>
      <c r="F169" s="15"/>
      <c r="G169" s="15"/>
      <c r="H169" s="15">
        <v>1</v>
      </c>
      <c r="I169" s="15"/>
      <c r="J169" s="15"/>
      <c r="K169" s="15"/>
      <c r="L169" s="15"/>
      <c r="M169" s="15"/>
      <c r="N169" s="15"/>
      <c r="O169" s="15"/>
      <c r="P169" s="15"/>
      <c r="Q169" s="15"/>
      <c r="R169" s="15">
        <v>1</v>
      </c>
      <c r="S169" s="15"/>
      <c r="T169" s="15"/>
      <c r="U169" s="15">
        <v>1</v>
      </c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3">
        <f t="shared" si="13"/>
        <v>3</v>
      </c>
      <c r="BD169" s="5"/>
      <c r="BE169" s="5"/>
    </row>
    <row r="170" spans="1:57" ht="12.75" customHeight="1" x14ac:dyDescent="0.3">
      <c r="A170" s="19"/>
      <c r="B170" s="26"/>
      <c r="C170" s="28" t="s">
        <v>146</v>
      </c>
      <c r="D170" s="37"/>
      <c r="E170" s="15"/>
      <c r="F170" s="15"/>
      <c r="G170" s="15"/>
      <c r="H170" s="15"/>
      <c r="I170" s="15">
        <v>1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>
        <v>1</v>
      </c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3">
        <f t="shared" si="13"/>
        <v>2</v>
      </c>
      <c r="BD170" s="5"/>
      <c r="BE170" s="5"/>
    </row>
    <row r="171" spans="1:57" ht="12.75" customHeight="1" x14ac:dyDescent="0.3">
      <c r="A171" s="19" t="s">
        <v>39</v>
      </c>
      <c r="B171" s="27"/>
      <c r="C171" s="28" t="s">
        <v>147</v>
      </c>
      <c r="D171" s="29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>
        <v>1</v>
      </c>
      <c r="P171" s="15"/>
      <c r="Q171" s="15"/>
      <c r="R171" s="15">
        <v>1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>
        <v>1</v>
      </c>
      <c r="AL171" s="15"/>
      <c r="AM171" s="15"/>
      <c r="AN171" s="15">
        <v>1</v>
      </c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3">
        <f t="shared" si="13"/>
        <v>4</v>
      </c>
      <c r="BD171" s="5"/>
      <c r="BE171" s="5"/>
    </row>
    <row r="172" spans="1:57" ht="12.75" customHeight="1" x14ac:dyDescent="0.3">
      <c r="A172" s="15" t="s">
        <v>15</v>
      </c>
      <c r="B172" s="45" t="s">
        <v>47</v>
      </c>
      <c r="C172" s="46"/>
      <c r="D172" s="47"/>
      <c r="E172" s="34">
        <f t="shared" ref="E172:BB172" si="29">SUM(E167:E171)</f>
        <v>4</v>
      </c>
      <c r="F172" s="34">
        <f t="shared" si="29"/>
        <v>0</v>
      </c>
      <c r="G172" s="34">
        <f t="shared" si="29"/>
        <v>1</v>
      </c>
      <c r="H172" s="34">
        <f t="shared" si="29"/>
        <v>1</v>
      </c>
      <c r="I172" s="34">
        <f t="shared" si="29"/>
        <v>1</v>
      </c>
      <c r="J172" s="34">
        <f t="shared" si="29"/>
        <v>2</v>
      </c>
      <c r="K172" s="34">
        <f t="shared" si="29"/>
        <v>0</v>
      </c>
      <c r="L172" s="34">
        <f t="shared" si="29"/>
        <v>1</v>
      </c>
      <c r="M172" s="34">
        <f t="shared" si="29"/>
        <v>0</v>
      </c>
      <c r="N172" s="34">
        <f t="shared" si="29"/>
        <v>1</v>
      </c>
      <c r="O172" s="34">
        <f t="shared" si="29"/>
        <v>6</v>
      </c>
      <c r="P172" s="34">
        <f t="shared" si="29"/>
        <v>0</v>
      </c>
      <c r="Q172" s="34">
        <f t="shared" si="29"/>
        <v>1</v>
      </c>
      <c r="R172" s="34">
        <f t="shared" si="29"/>
        <v>6</v>
      </c>
      <c r="S172" s="34">
        <f t="shared" si="29"/>
        <v>4</v>
      </c>
      <c r="T172" s="34">
        <f t="shared" si="29"/>
        <v>8</v>
      </c>
      <c r="U172" s="34">
        <f t="shared" si="29"/>
        <v>11</v>
      </c>
      <c r="V172" s="34">
        <f t="shared" si="29"/>
        <v>3</v>
      </c>
      <c r="W172" s="34">
        <f t="shared" si="29"/>
        <v>0</v>
      </c>
      <c r="X172" s="34">
        <f t="shared" si="29"/>
        <v>0</v>
      </c>
      <c r="Y172" s="34">
        <f t="shared" si="29"/>
        <v>0</v>
      </c>
      <c r="Z172" s="34">
        <f t="shared" si="29"/>
        <v>2</v>
      </c>
      <c r="AA172" s="34">
        <f t="shared" si="29"/>
        <v>2</v>
      </c>
      <c r="AB172" s="34">
        <f t="shared" si="29"/>
        <v>3</v>
      </c>
      <c r="AC172" s="34">
        <f t="shared" si="29"/>
        <v>0</v>
      </c>
      <c r="AD172" s="34">
        <f t="shared" si="29"/>
        <v>0</v>
      </c>
      <c r="AE172" s="34">
        <f t="shared" si="29"/>
        <v>0</v>
      </c>
      <c r="AF172" s="34">
        <f t="shared" si="29"/>
        <v>0</v>
      </c>
      <c r="AG172" s="34">
        <f t="shared" si="29"/>
        <v>0</v>
      </c>
      <c r="AH172" s="34">
        <f t="shared" si="29"/>
        <v>0</v>
      </c>
      <c r="AI172" s="34">
        <f t="shared" si="29"/>
        <v>0</v>
      </c>
      <c r="AJ172" s="34">
        <f t="shared" si="29"/>
        <v>6</v>
      </c>
      <c r="AK172" s="34">
        <f t="shared" si="29"/>
        <v>1</v>
      </c>
      <c r="AL172" s="34">
        <f t="shared" si="29"/>
        <v>0</v>
      </c>
      <c r="AM172" s="34">
        <f t="shared" si="29"/>
        <v>1</v>
      </c>
      <c r="AN172" s="34">
        <f t="shared" si="29"/>
        <v>4</v>
      </c>
      <c r="AO172" s="34">
        <f t="shared" si="29"/>
        <v>0</v>
      </c>
      <c r="AP172" s="34">
        <f t="shared" si="29"/>
        <v>1</v>
      </c>
      <c r="AQ172" s="34">
        <f t="shared" si="29"/>
        <v>0</v>
      </c>
      <c r="AR172" s="34">
        <f t="shared" si="29"/>
        <v>1</v>
      </c>
      <c r="AS172" s="34">
        <f t="shared" si="29"/>
        <v>0</v>
      </c>
      <c r="AT172" s="34">
        <f t="shared" si="29"/>
        <v>1</v>
      </c>
      <c r="AU172" s="34">
        <f t="shared" si="29"/>
        <v>0</v>
      </c>
      <c r="AV172" s="34">
        <f t="shared" si="29"/>
        <v>0</v>
      </c>
      <c r="AW172" s="34">
        <f t="shared" si="29"/>
        <v>0</v>
      </c>
      <c r="AX172" s="34">
        <f t="shared" si="29"/>
        <v>1</v>
      </c>
      <c r="AY172" s="34">
        <f t="shared" si="29"/>
        <v>0</v>
      </c>
      <c r="AZ172" s="34">
        <f t="shared" si="29"/>
        <v>1</v>
      </c>
      <c r="BA172" s="34">
        <f t="shared" si="29"/>
        <v>0</v>
      </c>
      <c r="BB172" s="34">
        <f t="shared" si="29"/>
        <v>0</v>
      </c>
      <c r="BC172" s="13">
        <f t="shared" si="13"/>
        <v>74</v>
      </c>
      <c r="BD172" s="5"/>
      <c r="BE172" s="5"/>
    </row>
    <row r="173" spans="1:57" ht="12.75" customHeight="1" x14ac:dyDescent="0.3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13">
        <f t="shared" si="13"/>
        <v>0</v>
      </c>
      <c r="BD173" s="5"/>
      <c r="BE173" s="5"/>
    </row>
    <row r="174" spans="1:57" ht="12.75" customHeight="1" x14ac:dyDescent="0.3">
      <c r="A174" s="19" t="s">
        <v>37</v>
      </c>
      <c r="B174" s="26" t="s">
        <v>148</v>
      </c>
      <c r="C174" s="48" t="s">
        <v>149</v>
      </c>
      <c r="D174" s="47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>
        <v>1</v>
      </c>
      <c r="R174" s="15">
        <v>1</v>
      </c>
      <c r="S174" s="15"/>
      <c r="T174" s="15"/>
      <c r="U174" s="15">
        <v>1</v>
      </c>
      <c r="V174" s="15"/>
      <c r="W174" s="15"/>
      <c r="X174" s="15">
        <v>1</v>
      </c>
      <c r="Y174" s="15">
        <v>2</v>
      </c>
      <c r="Z174" s="15">
        <v>1</v>
      </c>
      <c r="AA174" s="15">
        <v>1</v>
      </c>
      <c r="AB174" s="15"/>
      <c r="AC174" s="15">
        <v>1</v>
      </c>
      <c r="AD174" s="15"/>
      <c r="AE174" s="15"/>
      <c r="AF174" s="15"/>
      <c r="AG174" s="15">
        <v>1</v>
      </c>
      <c r="AH174" s="15"/>
      <c r="AI174" s="15">
        <v>1</v>
      </c>
      <c r="AJ174" s="15"/>
      <c r="AK174" s="15">
        <v>1</v>
      </c>
      <c r="AL174" s="15"/>
      <c r="AM174" s="15">
        <v>2</v>
      </c>
      <c r="AN174" s="15">
        <v>3</v>
      </c>
      <c r="AO174" s="15"/>
      <c r="AP174" s="15"/>
      <c r="AQ174" s="15"/>
      <c r="AR174" s="15">
        <v>1</v>
      </c>
      <c r="AS174" s="15"/>
      <c r="AT174" s="15">
        <v>3</v>
      </c>
      <c r="AU174" s="15"/>
      <c r="AV174" s="15">
        <v>2</v>
      </c>
      <c r="AW174" s="15"/>
      <c r="AX174" s="15">
        <v>1</v>
      </c>
      <c r="AY174" s="15">
        <v>2</v>
      </c>
      <c r="AZ174" s="15"/>
      <c r="BA174" s="15"/>
      <c r="BB174" s="15"/>
      <c r="BC174" s="13">
        <f t="shared" si="13"/>
        <v>26</v>
      </c>
      <c r="BD174" s="5"/>
      <c r="BE174" s="5"/>
    </row>
    <row r="175" spans="1:57" ht="15" customHeight="1" x14ac:dyDescent="0.3">
      <c r="A175" s="19" t="s">
        <v>39</v>
      </c>
      <c r="B175" s="27"/>
      <c r="C175" s="28" t="s">
        <v>150</v>
      </c>
      <c r="D175" s="29"/>
      <c r="E175" s="15"/>
      <c r="F175" s="15"/>
      <c r="G175" s="15"/>
      <c r="H175" s="15">
        <v>1</v>
      </c>
      <c r="I175" s="15"/>
      <c r="J175" s="15"/>
      <c r="K175" s="15">
        <v>1</v>
      </c>
      <c r="L175" s="15"/>
      <c r="M175" s="15">
        <v>1</v>
      </c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>
        <v>2</v>
      </c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>
        <v>1</v>
      </c>
      <c r="AJ175" s="15">
        <v>1</v>
      </c>
      <c r="AK175" s="15">
        <v>1</v>
      </c>
      <c r="AL175" s="15">
        <v>1</v>
      </c>
      <c r="AM175" s="15"/>
      <c r="AN175" s="15"/>
      <c r="AO175" s="15"/>
      <c r="AP175" s="15"/>
      <c r="AQ175" s="15">
        <v>1</v>
      </c>
      <c r="AR175" s="15"/>
      <c r="AS175" s="15">
        <v>1</v>
      </c>
      <c r="AT175" s="15"/>
      <c r="AU175" s="15">
        <v>1</v>
      </c>
      <c r="AV175" s="15"/>
      <c r="AW175" s="15"/>
      <c r="AX175" s="15">
        <v>1</v>
      </c>
      <c r="AY175" s="15"/>
      <c r="AZ175" s="15"/>
      <c r="BA175" s="15"/>
      <c r="BB175" s="15"/>
      <c r="BC175" s="13">
        <f t="shared" si="13"/>
        <v>13</v>
      </c>
      <c r="BD175" s="5"/>
      <c r="BE175" s="5"/>
    </row>
    <row r="176" spans="1:57" ht="12.75" customHeight="1" x14ac:dyDescent="0.3">
      <c r="A176" s="14"/>
      <c r="B176" s="27"/>
      <c r="C176" s="28" t="s">
        <v>151</v>
      </c>
      <c r="D176" s="29"/>
      <c r="E176" s="15"/>
      <c r="F176" s="15"/>
      <c r="G176" s="15"/>
      <c r="H176" s="15">
        <v>1</v>
      </c>
      <c r="I176" s="15"/>
      <c r="J176" s="15"/>
      <c r="K176" s="15">
        <v>1</v>
      </c>
      <c r="L176" s="15"/>
      <c r="M176" s="15"/>
      <c r="N176" s="15"/>
      <c r="O176" s="15"/>
      <c r="P176" s="15"/>
      <c r="Q176" s="15"/>
      <c r="R176" s="15">
        <v>1</v>
      </c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>
        <v>1</v>
      </c>
      <c r="AE176" s="15"/>
      <c r="AF176" s="15"/>
      <c r="AG176" s="15"/>
      <c r="AH176" s="15">
        <v>1</v>
      </c>
      <c r="AI176" s="15"/>
      <c r="AJ176" s="15"/>
      <c r="AK176" s="15">
        <v>1</v>
      </c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3">
        <f t="shared" si="13"/>
        <v>6</v>
      </c>
      <c r="BD176" s="1"/>
      <c r="BE176" s="1"/>
    </row>
    <row r="177" spans="1:57" ht="12.75" customHeight="1" x14ac:dyDescent="0.3">
      <c r="A177" s="14"/>
      <c r="B177" s="27"/>
      <c r="C177" s="28" t="s">
        <v>152</v>
      </c>
      <c r="D177" s="29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1</v>
      </c>
      <c r="Q177" s="15"/>
      <c r="R177" s="15"/>
      <c r="S177" s="15"/>
      <c r="T177" s="15">
        <v>1</v>
      </c>
      <c r="U177" s="15"/>
      <c r="V177" s="15"/>
      <c r="W177" s="15"/>
      <c r="X177" s="15"/>
      <c r="Y177" s="15"/>
      <c r="Z177" s="15"/>
      <c r="AA177" s="15"/>
      <c r="AB177" s="15"/>
      <c r="AC177" s="15">
        <v>2</v>
      </c>
      <c r="AD177" s="15"/>
      <c r="AE177" s="15"/>
      <c r="AF177" s="15">
        <v>1</v>
      </c>
      <c r="AG177" s="15"/>
      <c r="AH177" s="15"/>
      <c r="AI177" s="15"/>
      <c r="AJ177" s="15"/>
      <c r="AK177" s="15">
        <v>1</v>
      </c>
      <c r="AL177" s="15"/>
      <c r="AM177" s="15">
        <v>2</v>
      </c>
      <c r="AN177" s="15">
        <v>1</v>
      </c>
      <c r="AO177" s="15"/>
      <c r="AP177" s="15"/>
      <c r="AQ177" s="15">
        <v>2</v>
      </c>
      <c r="AR177" s="15"/>
      <c r="AS177" s="15"/>
      <c r="AT177" s="15"/>
      <c r="AU177" s="15"/>
      <c r="AV177" s="15">
        <v>1</v>
      </c>
      <c r="AW177" s="15"/>
      <c r="AX177" s="15"/>
      <c r="AY177" s="15"/>
      <c r="AZ177" s="15"/>
      <c r="BA177" s="15"/>
      <c r="BB177" s="15"/>
      <c r="BC177" s="13">
        <f t="shared" si="13"/>
        <v>12</v>
      </c>
    </row>
    <row r="178" spans="1:57" ht="12.75" customHeight="1" x14ac:dyDescent="0.3">
      <c r="A178" s="14"/>
      <c r="B178" s="27"/>
      <c r="C178" s="28" t="s">
        <v>153</v>
      </c>
      <c r="D178" s="29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>
        <v>1</v>
      </c>
      <c r="BA178" s="15"/>
      <c r="BB178" s="15"/>
      <c r="BC178" s="13">
        <f t="shared" si="13"/>
        <v>1</v>
      </c>
      <c r="BD178" s="5"/>
      <c r="BE178" s="5"/>
    </row>
    <row r="179" spans="1:57" ht="12.75" customHeight="1" x14ac:dyDescent="0.3">
      <c r="A179" s="14"/>
      <c r="B179" s="27"/>
      <c r="C179" s="28" t="s">
        <v>154</v>
      </c>
      <c r="D179" s="29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1</v>
      </c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3">
        <f t="shared" si="13"/>
        <v>1</v>
      </c>
      <c r="BD179" s="5"/>
      <c r="BE179" s="5"/>
    </row>
    <row r="180" spans="1:57" ht="12.75" customHeight="1" x14ac:dyDescent="0.3">
      <c r="A180" s="14"/>
      <c r="B180" s="27"/>
      <c r="C180" s="28" t="s">
        <v>155</v>
      </c>
      <c r="D180" s="29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>
        <v>1</v>
      </c>
      <c r="AM180" s="15"/>
      <c r="AN180" s="15"/>
      <c r="AO180" s="15"/>
      <c r="AP180" s="15"/>
      <c r="AQ180" s="15"/>
      <c r="AR180" s="15"/>
      <c r="AS180" s="15"/>
      <c r="AT180" s="15"/>
      <c r="AU180" s="15"/>
      <c r="AV180" s="15">
        <v>1</v>
      </c>
      <c r="AW180" s="15"/>
      <c r="AX180" s="15"/>
      <c r="AY180" s="15"/>
      <c r="AZ180" s="15"/>
      <c r="BA180" s="15"/>
      <c r="BB180" s="15"/>
      <c r="BC180" s="13">
        <f t="shared" si="13"/>
        <v>2</v>
      </c>
      <c r="BD180" s="5"/>
      <c r="BE180" s="5"/>
    </row>
    <row r="181" spans="1:57" ht="12.75" customHeight="1" x14ac:dyDescent="0.3">
      <c r="A181" s="15" t="s">
        <v>15</v>
      </c>
      <c r="B181" s="45" t="s">
        <v>47</v>
      </c>
      <c r="C181" s="46"/>
      <c r="D181" s="47"/>
      <c r="E181" s="34">
        <f t="shared" ref="E181:BB181" si="30">SUM(E174:E180)</f>
        <v>0</v>
      </c>
      <c r="F181" s="34">
        <f t="shared" si="30"/>
        <v>0</v>
      </c>
      <c r="G181" s="34">
        <f t="shared" si="30"/>
        <v>0</v>
      </c>
      <c r="H181" s="34">
        <f t="shared" si="30"/>
        <v>2</v>
      </c>
      <c r="I181" s="34">
        <f t="shared" si="30"/>
        <v>0</v>
      </c>
      <c r="J181" s="34">
        <f t="shared" si="30"/>
        <v>0</v>
      </c>
      <c r="K181" s="34">
        <f t="shared" si="30"/>
        <v>2</v>
      </c>
      <c r="L181" s="34">
        <f t="shared" si="30"/>
        <v>0</v>
      </c>
      <c r="M181" s="34">
        <f t="shared" si="30"/>
        <v>1</v>
      </c>
      <c r="N181" s="34">
        <f t="shared" si="30"/>
        <v>0</v>
      </c>
      <c r="O181" s="34">
        <f t="shared" si="30"/>
        <v>0</v>
      </c>
      <c r="P181" s="34">
        <f t="shared" si="30"/>
        <v>2</v>
      </c>
      <c r="Q181" s="34">
        <f t="shared" si="30"/>
        <v>1</v>
      </c>
      <c r="R181" s="34">
        <f t="shared" si="30"/>
        <v>2</v>
      </c>
      <c r="S181" s="34">
        <f t="shared" si="30"/>
        <v>0</v>
      </c>
      <c r="T181" s="34">
        <f t="shared" si="30"/>
        <v>1</v>
      </c>
      <c r="U181" s="34">
        <f t="shared" si="30"/>
        <v>1</v>
      </c>
      <c r="V181" s="34">
        <f t="shared" si="30"/>
        <v>0</v>
      </c>
      <c r="W181" s="34">
        <f t="shared" si="30"/>
        <v>0</v>
      </c>
      <c r="X181" s="34">
        <f t="shared" si="30"/>
        <v>3</v>
      </c>
      <c r="Y181" s="34">
        <f t="shared" si="30"/>
        <v>2</v>
      </c>
      <c r="Z181" s="34">
        <f t="shared" si="30"/>
        <v>1</v>
      </c>
      <c r="AA181" s="34">
        <f t="shared" si="30"/>
        <v>1</v>
      </c>
      <c r="AB181" s="34">
        <f t="shared" si="30"/>
        <v>0</v>
      </c>
      <c r="AC181" s="34">
        <f t="shared" si="30"/>
        <v>3</v>
      </c>
      <c r="AD181" s="34">
        <f t="shared" si="30"/>
        <v>1</v>
      </c>
      <c r="AE181" s="34">
        <f t="shared" si="30"/>
        <v>0</v>
      </c>
      <c r="AF181" s="34">
        <f t="shared" si="30"/>
        <v>1</v>
      </c>
      <c r="AG181" s="34">
        <f t="shared" si="30"/>
        <v>1</v>
      </c>
      <c r="AH181" s="34">
        <f t="shared" si="30"/>
        <v>1</v>
      </c>
      <c r="AI181" s="34">
        <f t="shared" si="30"/>
        <v>2</v>
      </c>
      <c r="AJ181" s="34">
        <f t="shared" si="30"/>
        <v>1</v>
      </c>
      <c r="AK181" s="34">
        <f t="shared" si="30"/>
        <v>4</v>
      </c>
      <c r="AL181" s="34">
        <f t="shared" si="30"/>
        <v>2</v>
      </c>
      <c r="AM181" s="34">
        <f t="shared" si="30"/>
        <v>4</v>
      </c>
      <c r="AN181" s="34">
        <f t="shared" si="30"/>
        <v>4</v>
      </c>
      <c r="AO181" s="34">
        <f t="shared" si="30"/>
        <v>0</v>
      </c>
      <c r="AP181" s="34">
        <f t="shared" si="30"/>
        <v>0</v>
      </c>
      <c r="AQ181" s="34">
        <f t="shared" si="30"/>
        <v>3</v>
      </c>
      <c r="AR181" s="34">
        <f t="shared" si="30"/>
        <v>1</v>
      </c>
      <c r="AS181" s="34">
        <f t="shared" si="30"/>
        <v>1</v>
      </c>
      <c r="AT181" s="34">
        <f t="shared" si="30"/>
        <v>3</v>
      </c>
      <c r="AU181" s="34">
        <f t="shared" si="30"/>
        <v>1</v>
      </c>
      <c r="AV181" s="34">
        <f t="shared" si="30"/>
        <v>4</v>
      </c>
      <c r="AW181" s="34">
        <f t="shared" si="30"/>
        <v>0</v>
      </c>
      <c r="AX181" s="34">
        <f t="shared" si="30"/>
        <v>2</v>
      </c>
      <c r="AY181" s="34">
        <f t="shared" si="30"/>
        <v>2</v>
      </c>
      <c r="AZ181" s="34">
        <f t="shared" si="30"/>
        <v>1</v>
      </c>
      <c r="BA181" s="34">
        <f t="shared" si="30"/>
        <v>0</v>
      </c>
      <c r="BB181" s="34">
        <f t="shared" si="30"/>
        <v>0</v>
      </c>
      <c r="BC181" s="13">
        <f t="shared" si="13"/>
        <v>61</v>
      </c>
      <c r="BD181" s="5"/>
      <c r="BE181" s="5"/>
    </row>
    <row r="182" spans="1:57" ht="12.75" customHeight="1" x14ac:dyDescent="0.3">
      <c r="A182" s="35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13">
        <f t="shared" si="13"/>
        <v>0</v>
      </c>
      <c r="BD182" s="5"/>
      <c r="BE182" s="5"/>
    </row>
    <row r="183" spans="1:57" ht="12.75" customHeight="1" x14ac:dyDescent="0.3">
      <c r="A183" s="19" t="s">
        <v>37</v>
      </c>
      <c r="B183" s="26" t="s">
        <v>156</v>
      </c>
      <c r="C183" s="48" t="s">
        <v>157</v>
      </c>
      <c r="D183" s="47"/>
      <c r="E183" s="15"/>
      <c r="F183" s="15"/>
      <c r="G183" s="15">
        <v>1</v>
      </c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>
        <v>1</v>
      </c>
      <c r="U183" s="15">
        <v>1</v>
      </c>
      <c r="V183" s="15"/>
      <c r="W183" s="15">
        <v>1</v>
      </c>
      <c r="X183" s="15"/>
      <c r="Y183" s="15">
        <v>4</v>
      </c>
      <c r="Z183" s="15">
        <v>1</v>
      </c>
      <c r="AA183" s="15"/>
      <c r="AB183" s="15">
        <v>1</v>
      </c>
      <c r="AC183" s="15"/>
      <c r="AD183" s="15">
        <v>1</v>
      </c>
      <c r="AE183" s="15"/>
      <c r="AF183" s="15"/>
      <c r="AG183" s="15"/>
      <c r="AH183" s="15"/>
      <c r="AI183" s="15"/>
      <c r="AJ183" s="15"/>
      <c r="AK183" s="15">
        <v>1</v>
      </c>
      <c r="AL183" s="15"/>
      <c r="AM183" s="15"/>
      <c r="AN183" s="15"/>
      <c r="AO183" s="15">
        <v>1</v>
      </c>
      <c r="AP183" s="15"/>
      <c r="AQ183" s="15"/>
      <c r="AR183" s="15">
        <v>1</v>
      </c>
      <c r="AS183" s="15"/>
      <c r="AT183" s="15"/>
      <c r="AU183" s="15"/>
      <c r="AV183" s="15"/>
      <c r="AW183" s="15"/>
      <c r="AX183" s="15"/>
      <c r="AY183" s="15"/>
      <c r="AZ183" s="15">
        <v>1</v>
      </c>
      <c r="BA183" s="15"/>
      <c r="BB183" s="15"/>
      <c r="BC183" s="13">
        <f t="shared" si="13"/>
        <v>15</v>
      </c>
      <c r="BD183" s="5"/>
      <c r="BE183" s="5"/>
    </row>
    <row r="184" spans="1:57" ht="12.75" customHeight="1" x14ac:dyDescent="0.3">
      <c r="A184" s="19"/>
      <c r="B184" s="26"/>
      <c r="C184" s="28" t="s">
        <v>158</v>
      </c>
      <c r="D184" s="37"/>
      <c r="E184" s="15">
        <v>1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>
        <v>1</v>
      </c>
      <c r="Q184" s="15"/>
      <c r="R184" s="15"/>
      <c r="S184" s="15"/>
      <c r="T184" s="15">
        <v>1</v>
      </c>
      <c r="U184" s="15">
        <v>1</v>
      </c>
      <c r="V184" s="15"/>
      <c r="W184" s="15"/>
      <c r="X184" s="15"/>
      <c r="Y184" s="15">
        <v>1</v>
      </c>
      <c r="Z184" s="15">
        <v>2</v>
      </c>
      <c r="AA184" s="15"/>
      <c r="AB184" s="15"/>
      <c r="AC184" s="15"/>
      <c r="AD184" s="15"/>
      <c r="AE184" s="15"/>
      <c r="AF184" s="15"/>
      <c r="AG184" s="15"/>
      <c r="AH184" s="15">
        <v>1</v>
      </c>
      <c r="AI184" s="15">
        <v>3</v>
      </c>
      <c r="AJ184" s="15"/>
      <c r="AK184" s="15"/>
      <c r="AL184" s="15"/>
      <c r="AM184" s="15"/>
      <c r="AN184" s="15"/>
      <c r="AO184" s="15">
        <v>1</v>
      </c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3">
        <f t="shared" si="13"/>
        <v>12</v>
      </c>
      <c r="BD184" s="5"/>
      <c r="BE184" s="5"/>
    </row>
    <row r="185" spans="1:57" ht="12.75" customHeight="1" x14ac:dyDescent="0.3">
      <c r="A185" s="19"/>
      <c r="B185" s="26"/>
      <c r="C185" s="28" t="s">
        <v>159</v>
      </c>
      <c r="D185" s="37"/>
      <c r="E185" s="15"/>
      <c r="F185" s="15"/>
      <c r="G185" s="15"/>
      <c r="H185" s="15"/>
      <c r="I185" s="15"/>
      <c r="J185" s="15"/>
      <c r="K185" s="15">
        <v>1</v>
      </c>
      <c r="L185" s="15"/>
      <c r="M185" s="15"/>
      <c r="N185" s="15"/>
      <c r="O185" s="15">
        <v>9</v>
      </c>
      <c r="P185" s="15">
        <v>1</v>
      </c>
      <c r="Q185" s="15"/>
      <c r="R185" s="15"/>
      <c r="S185" s="15"/>
      <c r="T185" s="15"/>
      <c r="U185" s="15">
        <v>1</v>
      </c>
      <c r="V185" s="15"/>
      <c r="W185" s="15">
        <v>1</v>
      </c>
      <c r="X185" s="15">
        <v>2</v>
      </c>
      <c r="Y185" s="15">
        <v>4</v>
      </c>
      <c r="Z185" s="15">
        <v>5</v>
      </c>
      <c r="AA185" s="15">
        <v>1</v>
      </c>
      <c r="AB185" s="15">
        <v>1</v>
      </c>
      <c r="AC185" s="15"/>
      <c r="AD185" s="15">
        <v>1</v>
      </c>
      <c r="AE185" s="15">
        <v>1</v>
      </c>
      <c r="AF185" s="15">
        <v>1</v>
      </c>
      <c r="AG185" s="15"/>
      <c r="AH185" s="15">
        <v>3</v>
      </c>
      <c r="AI185" s="15">
        <v>5</v>
      </c>
      <c r="AJ185" s="15">
        <v>3</v>
      </c>
      <c r="AK185" s="15"/>
      <c r="AL185" s="15"/>
      <c r="AM185" s="15">
        <v>1</v>
      </c>
      <c r="AN185" s="15"/>
      <c r="AO185" s="15">
        <v>2</v>
      </c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3">
        <f t="shared" si="13"/>
        <v>43</v>
      </c>
      <c r="BD185" s="5"/>
      <c r="BE185" s="5"/>
    </row>
    <row r="186" spans="1:57" ht="12.75" customHeight="1" x14ac:dyDescent="0.3">
      <c r="A186" s="19" t="s">
        <v>39</v>
      </c>
      <c r="B186" s="27"/>
      <c r="C186" s="28" t="s">
        <v>160</v>
      </c>
      <c r="D186" s="29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>
        <v>4</v>
      </c>
      <c r="X186" s="15">
        <v>3</v>
      </c>
      <c r="Y186" s="15">
        <v>14</v>
      </c>
      <c r="Z186" s="15">
        <v>3</v>
      </c>
      <c r="AA186" s="15">
        <v>2</v>
      </c>
      <c r="AB186" s="15">
        <v>1</v>
      </c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3">
        <f t="shared" si="13"/>
        <v>27</v>
      </c>
      <c r="BD186" s="5"/>
      <c r="BE186" s="5"/>
    </row>
    <row r="187" spans="1:57" ht="12.75" customHeight="1" x14ac:dyDescent="0.3">
      <c r="A187" s="15" t="s">
        <v>15</v>
      </c>
      <c r="B187" s="45" t="s">
        <v>47</v>
      </c>
      <c r="C187" s="46"/>
      <c r="D187" s="47"/>
      <c r="E187" s="34">
        <f t="shared" ref="E187:BB187" si="31">SUM(E183:E186)</f>
        <v>1</v>
      </c>
      <c r="F187" s="34">
        <f t="shared" si="31"/>
        <v>0</v>
      </c>
      <c r="G187" s="34">
        <f t="shared" si="31"/>
        <v>1</v>
      </c>
      <c r="H187" s="34">
        <f t="shared" si="31"/>
        <v>0</v>
      </c>
      <c r="I187" s="34">
        <f t="shared" si="31"/>
        <v>0</v>
      </c>
      <c r="J187" s="34">
        <f t="shared" si="31"/>
        <v>0</v>
      </c>
      <c r="K187" s="34">
        <f t="shared" si="31"/>
        <v>1</v>
      </c>
      <c r="L187" s="34">
        <f t="shared" si="31"/>
        <v>0</v>
      </c>
      <c r="M187" s="34">
        <f t="shared" si="31"/>
        <v>0</v>
      </c>
      <c r="N187" s="34">
        <f t="shared" si="31"/>
        <v>0</v>
      </c>
      <c r="O187" s="34">
        <f t="shared" si="31"/>
        <v>9</v>
      </c>
      <c r="P187" s="34">
        <f t="shared" si="31"/>
        <v>2</v>
      </c>
      <c r="Q187" s="34">
        <f t="shared" si="31"/>
        <v>0</v>
      </c>
      <c r="R187" s="34">
        <f t="shared" si="31"/>
        <v>0</v>
      </c>
      <c r="S187" s="34">
        <f t="shared" si="31"/>
        <v>0</v>
      </c>
      <c r="T187" s="34">
        <f t="shared" si="31"/>
        <v>2</v>
      </c>
      <c r="U187" s="34">
        <f t="shared" si="31"/>
        <v>3</v>
      </c>
      <c r="V187" s="34">
        <f t="shared" si="31"/>
        <v>0</v>
      </c>
      <c r="W187" s="34">
        <f t="shared" si="31"/>
        <v>6</v>
      </c>
      <c r="X187" s="34">
        <f t="shared" si="31"/>
        <v>5</v>
      </c>
      <c r="Y187" s="34">
        <f t="shared" si="31"/>
        <v>23</v>
      </c>
      <c r="Z187" s="34">
        <f t="shared" si="31"/>
        <v>11</v>
      </c>
      <c r="AA187" s="34">
        <f t="shared" si="31"/>
        <v>3</v>
      </c>
      <c r="AB187" s="34">
        <f t="shared" si="31"/>
        <v>3</v>
      </c>
      <c r="AC187" s="34">
        <f t="shared" si="31"/>
        <v>0</v>
      </c>
      <c r="AD187" s="34">
        <f t="shared" si="31"/>
        <v>2</v>
      </c>
      <c r="AE187" s="34">
        <f t="shared" si="31"/>
        <v>1</v>
      </c>
      <c r="AF187" s="34">
        <f t="shared" si="31"/>
        <v>1</v>
      </c>
      <c r="AG187" s="34">
        <f t="shared" si="31"/>
        <v>0</v>
      </c>
      <c r="AH187" s="34">
        <f t="shared" si="31"/>
        <v>4</v>
      </c>
      <c r="AI187" s="34">
        <f t="shared" si="31"/>
        <v>8</v>
      </c>
      <c r="AJ187" s="34">
        <f t="shared" si="31"/>
        <v>3</v>
      </c>
      <c r="AK187" s="34">
        <f t="shared" si="31"/>
        <v>1</v>
      </c>
      <c r="AL187" s="34">
        <f t="shared" si="31"/>
        <v>0</v>
      </c>
      <c r="AM187" s="34">
        <f t="shared" si="31"/>
        <v>1</v>
      </c>
      <c r="AN187" s="34">
        <f t="shared" si="31"/>
        <v>0</v>
      </c>
      <c r="AO187" s="34">
        <f t="shared" si="31"/>
        <v>4</v>
      </c>
      <c r="AP187" s="34">
        <f t="shared" si="31"/>
        <v>0</v>
      </c>
      <c r="AQ187" s="34">
        <f t="shared" si="31"/>
        <v>0</v>
      </c>
      <c r="AR187" s="34">
        <f t="shared" si="31"/>
        <v>1</v>
      </c>
      <c r="AS187" s="34">
        <f t="shared" si="31"/>
        <v>0</v>
      </c>
      <c r="AT187" s="34">
        <f t="shared" si="31"/>
        <v>0</v>
      </c>
      <c r="AU187" s="34">
        <f t="shared" si="31"/>
        <v>0</v>
      </c>
      <c r="AV187" s="34">
        <f t="shared" si="31"/>
        <v>0</v>
      </c>
      <c r="AW187" s="34">
        <f t="shared" si="31"/>
        <v>0</v>
      </c>
      <c r="AX187" s="34">
        <f t="shared" si="31"/>
        <v>0</v>
      </c>
      <c r="AY187" s="34">
        <f t="shared" si="31"/>
        <v>0</v>
      </c>
      <c r="AZ187" s="34">
        <f t="shared" si="31"/>
        <v>1</v>
      </c>
      <c r="BA187" s="34">
        <f t="shared" si="31"/>
        <v>0</v>
      </c>
      <c r="BB187" s="34">
        <f t="shared" si="31"/>
        <v>0</v>
      </c>
      <c r="BC187" s="13">
        <f t="shared" si="13"/>
        <v>97</v>
      </c>
      <c r="BD187" s="1"/>
      <c r="BE187" s="1"/>
    </row>
    <row r="188" spans="1:57" ht="12.75" customHeight="1" x14ac:dyDescent="0.3">
      <c r="A188" s="51"/>
      <c r="B188" s="52"/>
      <c r="C188" s="52"/>
      <c r="D188" s="53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3">
        <f t="shared" si="13"/>
        <v>0</v>
      </c>
    </row>
    <row r="189" spans="1:57" ht="12.75" customHeight="1" x14ac:dyDescent="0.3">
      <c r="A189" s="25" t="s">
        <v>161</v>
      </c>
      <c r="B189" s="49" t="s">
        <v>162</v>
      </c>
      <c r="C189" s="46"/>
      <c r="D189" s="47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3">
        <f t="shared" si="13"/>
        <v>0</v>
      </c>
      <c r="BD189" s="5"/>
      <c r="BE189" s="5"/>
    </row>
    <row r="190" spans="1:57" ht="12.75" customHeight="1" x14ac:dyDescent="0.3">
      <c r="A190" s="25"/>
      <c r="B190" s="38" t="s">
        <v>163</v>
      </c>
      <c r="C190" s="50" t="s">
        <v>164</v>
      </c>
      <c r="D190" s="47"/>
      <c r="E190" s="15">
        <f t="shared" ref="E190:BB190" si="32">E187+E181+E172+E165+E160+E150+E140+E130+E126+E116+E111+E101+E97+E93+E83+E73+E63+E53</f>
        <v>204</v>
      </c>
      <c r="F190" s="15">
        <f t="shared" si="32"/>
        <v>172</v>
      </c>
      <c r="G190" s="15">
        <f t="shared" si="32"/>
        <v>123</v>
      </c>
      <c r="H190" s="15">
        <f t="shared" si="32"/>
        <v>188</v>
      </c>
      <c r="I190" s="15">
        <f t="shared" si="32"/>
        <v>97</v>
      </c>
      <c r="J190" s="15">
        <f t="shared" si="32"/>
        <v>178</v>
      </c>
      <c r="K190" s="15">
        <f t="shared" si="32"/>
        <v>229</v>
      </c>
      <c r="L190" s="15">
        <f t="shared" si="32"/>
        <v>169</v>
      </c>
      <c r="M190" s="15">
        <f t="shared" si="32"/>
        <v>208</v>
      </c>
      <c r="N190" s="15">
        <f t="shared" si="32"/>
        <v>202</v>
      </c>
      <c r="O190" s="15">
        <f t="shared" si="32"/>
        <v>177</v>
      </c>
      <c r="P190" s="15">
        <f t="shared" si="32"/>
        <v>169</v>
      </c>
      <c r="Q190" s="15">
        <f t="shared" si="32"/>
        <v>156</v>
      </c>
      <c r="R190" s="15">
        <f t="shared" si="32"/>
        <v>232</v>
      </c>
      <c r="S190" s="15">
        <f t="shared" si="32"/>
        <v>227</v>
      </c>
      <c r="T190" s="15">
        <f t="shared" si="32"/>
        <v>214</v>
      </c>
      <c r="U190" s="15">
        <f t="shared" si="32"/>
        <v>226</v>
      </c>
      <c r="V190" s="15">
        <f t="shared" si="32"/>
        <v>167</v>
      </c>
      <c r="W190" s="15">
        <f t="shared" si="32"/>
        <v>180</v>
      </c>
      <c r="X190" s="15">
        <f t="shared" si="32"/>
        <v>183</v>
      </c>
      <c r="Y190" s="15">
        <f t="shared" si="32"/>
        <v>193</v>
      </c>
      <c r="Z190" s="15">
        <f t="shared" si="32"/>
        <v>210</v>
      </c>
      <c r="AA190" s="15">
        <f t="shared" si="32"/>
        <v>226</v>
      </c>
      <c r="AB190" s="15">
        <f t="shared" si="32"/>
        <v>210</v>
      </c>
      <c r="AC190" s="15">
        <f t="shared" si="32"/>
        <v>213</v>
      </c>
      <c r="AD190" s="15">
        <f t="shared" si="32"/>
        <v>166</v>
      </c>
      <c r="AE190" s="15">
        <f t="shared" si="32"/>
        <v>202</v>
      </c>
      <c r="AF190" s="15">
        <f t="shared" si="32"/>
        <v>204</v>
      </c>
      <c r="AG190" s="15">
        <f t="shared" si="32"/>
        <v>227</v>
      </c>
      <c r="AH190" s="15">
        <f t="shared" si="32"/>
        <v>211</v>
      </c>
      <c r="AI190" s="15">
        <f t="shared" si="32"/>
        <v>216</v>
      </c>
      <c r="AJ190" s="15">
        <f t="shared" si="32"/>
        <v>203</v>
      </c>
      <c r="AK190" s="15">
        <f t="shared" si="32"/>
        <v>229</v>
      </c>
      <c r="AL190" s="15">
        <f t="shared" si="32"/>
        <v>217</v>
      </c>
      <c r="AM190" s="15">
        <f t="shared" si="32"/>
        <v>186</v>
      </c>
      <c r="AN190" s="15">
        <f t="shared" si="32"/>
        <v>214</v>
      </c>
      <c r="AO190" s="15">
        <f t="shared" si="32"/>
        <v>221</v>
      </c>
      <c r="AP190" s="15">
        <f t="shared" si="32"/>
        <v>150</v>
      </c>
      <c r="AQ190" s="15">
        <f t="shared" si="32"/>
        <v>141</v>
      </c>
      <c r="AR190" s="15">
        <f t="shared" si="32"/>
        <v>179</v>
      </c>
      <c r="AS190" s="15">
        <f t="shared" si="32"/>
        <v>188</v>
      </c>
      <c r="AT190" s="15">
        <f t="shared" si="32"/>
        <v>210</v>
      </c>
      <c r="AU190" s="15">
        <f t="shared" si="32"/>
        <v>135</v>
      </c>
      <c r="AV190" s="15">
        <f t="shared" si="32"/>
        <v>209</v>
      </c>
      <c r="AW190" s="15">
        <f t="shared" si="32"/>
        <v>215</v>
      </c>
      <c r="AX190" s="15">
        <f t="shared" si="32"/>
        <v>215</v>
      </c>
      <c r="AY190" s="15">
        <f t="shared" si="32"/>
        <v>215</v>
      </c>
      <c r="AZ190" s="15">
        <f t="shared" si="32"/>
        <v>199</v>
      </c>
      <c r="BA190" s="15">
        <f t="shared" si="32"/>
        <v>147</v>
      </c>
      <c r="BB190" s="15">
        <f t="shared" si="32"/>
        <v>197</v>
      </c>
      <c r="BC190" s="13">
        <f t="shared" si="13"/>
        <v>9649</v>
      </c>
      <c r="BD190" s="5"/>
      <c r="BE190" s="5"/>
    </row>
    <row r="191" spans="1:57" ht="12.75" customHeight="1" x14ac:dyDescent="0.3">
      <c r="A191" s="21"/>
      <c r="B191" s="38" t="s">
        <v>165</v>
      </c>
      <c r="C191" s="50" t="s">
        <v>166</v>
      </c>
      <c r="D191" s="47"/>
      <c r="E191" s="15">
        <v>18</v>
      </c>
      <c r="F191" s="15">
        <v>9</v>
      </c>
      <c r="G191" s="15">
        <v>18</v>
      </c>
      <c r="H191" s="15">
        <v>20</v>
      </c>
      <c r="I191" s="15">
        <v>6</v>
      </c>
      <c r="J191" s="15">
        <v>9</v>
      </c>
      <c r="K191" s="15">
        <v>8</v>
      </c>
      <c r="L191" s="15">
        <v>21</v>
      </c>
      <c r="M191" s="15">
        <v>11</v>
      </c>
      <c r="N191" s="15">
        <v>16</v>
      </c>
      <c r="O191" s="15">
        <v>10</v>
      </c>
      <c r="P191" s="15">
        <v>12</v>
      </c>
      <c r="Q191" s="15">
        <v>7</v>
      </c>
      <c r="R191" s="15">
        <v>9</v>
      </c>
      <c r="S191" s="15">
        <v>15</v>
      </c>
      <c r="T191" s="15">
        <v>11</v>
      </c>
      <c r="U191" s="15">
        <v>15</v>
      </c>
      <c r="V191" s="15">
        <v>3</v>
      </c>
      <c r="W191" s="15">
        <v>8</v>
      </c>
      <c r="X191" s="15">
        <v>11</v>
      </c>
      <c r="Y191" s="15">
        <v>6</v>
      </c>
      <c r="Z191" s="15">
        <v>15</v>
      </c>
      <c r="AA191" s="15">
        <v>13</v>
      </c>
      <c r="AB191" s="15">
        <v>12</v>
      </c>
      <c r="AC191" s="15">
        <v>8</v>
      </c>
      <c r="AD191" s="15">
        <v>9</v>
      </c>
      <c r="AE191" s="15">
        <v>8</v>
      </c>
      <c r="AF191" s="15">
        <v>11</v>
      </c>
      <c r="AG191" s="15">
        <v>11</v>
      </c>
      <c r="AH191" s="15">
        <v>15</v>
      </c>
      <c r="AI191" s="15">
        <v>13</v>
      </c>
      <c r="AJ191" s="15">
        <v>12</v>
      </c>
      <c r="AK191" s="15">
        <v>12</v>
      </c>
      <c r="AL191" s="15">
        <v>8</v>
      </c>
      <c r="AM191" s="15">
        <v>6</v>
      </c>
      <c r="AN191" s="15">
        <v>15</v>
      </c>
      <c r="AO191" s="15">
        <v>11</v>
      </c>
      <c r="AP191" s="15">
        <v>13</v>
      </c>
      <c r="AQ191" s="15">
        <v>8</v>
      </c>
      <c r="AR191" s="15">
        <v>9</v>
      </c>
      <c r="AS191" s="15">
        <v>6</v>
      </c>
      <c r="AT191" s="15">
        <v>14</v>
      </c>
      <c r="AU191" s="15">
        <v>3</v>
      </c>
      <c r="AV191" s="15">
        <v>13</v>
      </c>
      <c r="AW191" s="15">
        <v>11</v>
      </c>
      <c r="AX191" s="15">
        <v>17</v>
      </c>
      <c r="AY191" s="15">
        <v>6</v>
      </c>
      <c r="AZ191" s="15">
        <v>9</v>
      </c>
      <c r="BA191" s="15">
        <v>9</v>
      </c>
      <c r="BB191" s="15">
        <v>14</v>
      </c>
      <c r="BC191" s="13">
        <f t="shared" si="13"/>
        <v>554</v>
      </c>
      <c r="BD191" s="5"/>
      <c r="BE191" s="5"/>
    </row>
    <row r="192" spans="1:57" ht="12.75" customHeight="1" x14ac:dyDescent="0.3">
      <c r="A192" s="24"/>
      <c r="B192" s="38" t="s">
        <v>167</v>
      </c>
      <c r="C192" s="50" t="s">
        <v>168</v>
      </c>
      <c r="D192" s="47"/>
      <c r="E192" s="18">
        <f t="shared" ref="E192:BB192" si="33">SUM(E190:E191)</f>
        <v>222</v>
      </c>
      <c r="F192" s="18">
        <f t="shared" si="33"/>
        <v>181</v>
      </c>
      <c r="G192" s="18">
        <f t="shared" si="33"/>
        <v>141</v>
      </c>
      <c r="H192" s="18">
        <f t="shared" si="33"/>
        <v>208</v>
      </c>
      <c r="I192" s="18">
        <f t="shared" si="33"/>
        <v>103</v>
      </c>
      <c r="J192" s="18">
        <f t="shared" si="33"/>
        <v>187</v>
      </c>
      <c r="K192" s="18">
        <f t="shared" si="33"/>
        <v>237</v>
      </c>
      <c r="L192" s="18">
        <f t="shared" si="33"/>
        <v>190</v>
      </c>
      <c r="M192" s="18">
        <f t="shared" si="33"/>
        <v>219</v>
      </c>
      <c r="N192" s="18">
        <f t="shared" si="33"/>
        <v>218</v>
      </c>
      <c r="O192" s="18">
        <f t="shared" si="33"/>
        <v>187</v>
      </c>
      <c r="P192" s="18">
        <f t="shared" si="33"/>
        <v>181</v>
      </c>
      <c r="Q192" s="18">
        <f t="shared" si="33"/>
        <v>163</v>
      </c>
      <c r="R192" s="18">
        <f t="shared" si="33"/>
        <v>241</v>
      </c>
      <c r="S192" s="18">
        <f t="shared" si="33"/>
        <v>242</v>
      </c>
      <c r="T192" s="18">
        <f t="shared" si="33"/>
        <v>225</v>
      </c>
      <c r="U192" s="18">
        <f t="shared" si="33"/>
        <v>241</v>
      </c>
      <c r="V192" s="18">
        <f t="shared" si="33"/>
        <v>170</v>
      </c>
      <c r="W192" s="18">
        <f t="shared" si="33"/>
        <v>188</v>
      </c>
      <c r="X192" s="18">
        <f t="shared" si="33"/>
        <v>194</v>
      </c>
      <c r="Y192" s="18">
        <f t="shared" si="33"/>
        <v>199</v>
      </c>
      <c r="Z192" s="18">
        <f t="shared" si="33"/>
        <v>225</v>
      </c>
      <c r="AA192" s="18">
        <f t="shared" si="33"/>
        <v>239</v>
      </c>
      <c r="AB192" s="18">
        <f t="shared" si="33"/>
        <v>222</v>
      </c>
      <c r="AC192" s="18">
        <f t="shared" si="33"/>
        <v>221</v>
      </c>
      <c r="AD192" s="18">
        <f t="shared" si="33"/>
        <v>175</v>
      </c>
      <c r="AE192" s="18">
        <f t="shared" si="33"/>
        <v>210</v>
      </c>
      <c r="AF192" s="18">
        <f t="shared" si="33"/>
        <v>215</v>
      </c>
      <c r="AG192" s="18">
        <f t="shared" si="33"/>
        <v>238</v>
      </c>
      <c r="AH192" s="18">
        <f t="shared" si="33"/>
        <v>226</v>
      </c>
      <c r="AI192" s="18">
        <f t="shared" si="33"/>
        <v>229</v>
      </c>
      <c r="AJ192" s="18">
        <f t="shared" si="33"/>
        <v>215</v>
      </c>
      <c r="AK192" s="18">
        <f t="shared" si="33"/>
        <v>241</v>
      </c>
      <c r="AL192" s="18">
        <f t="shared" si="33"/>
        <v>225</v>
      </c>
      <c r="AM192" s="18">
        <f t="shared" si="33"/>
        <v>192</v>
      </c>
      <c r="AN192" s="18">
        <f t="shared" si="33"/>
        <v>229</v>
      </c>
      <c r="AO192" s="18">
        <f t="shared" si="33"/>
        <v>232</v>
      </c>
      <c r="AP192" s="18">
        <f t="shared" si="33"/>
        <v>163</v>
      </c>
      <c r="AQ192" s="18">
        <f t="shared" si="33"/>
        <v>149</v>
      </c>
      <c r="AR192" s="18">
        <f t="shared" si="33"/>
        <v>188</v>
      </c>
      <c r="AS192" s="18">
        <f t="shared" si="33"/>
        <v>194</v>
      </c>
      <c r="AT192" s="18">
        <f t="shared" si="33"/>
        <v>224</v>
      </c>
      <c r="AU192" s="18">
        <f t="shared" si="33"/>
        <v>138</v>
      </c>
      <c r="AV192" s="18">
        <f t="shared" si="33"/>
        <v>222</v>
      </c>
      <c r="AW192" s="18">
        <f t="shared" si="33"/>
        <v>226</v>
      </c>
      <c r="AX192" s="18">
        <f t="shared" si="33"/>
        <v>232</v>
      </c>
      <c r="AY192" s="18">
        <f t="shared" si="33"/>
        <v>221</v>
      </c>
      <c r="AZ192" s="18">
        <f t="shared" si="33"/>
        <v>208</v>
      </c>
      <c r="BA192" s="18">
        <f t="shared" si="33"/>
        <v>156</v>
      </c>
      <c r="BB192" s="18">
        <f t="shared" si="33"/>
        <v>211</v>
      </c>
      <c r="BC192" s="13">
        <f t="shared" si="13"/>
        <v>10203</v>
      </c>
      <c r="BD192" s="5"/>
      <c r="BE192" s="5"/>
    </row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70">
    <mergeCell ref="B97:D97"/>
    <mergeCell ref="C99:D99"/>
    <mergeCell ref="B101:D101"/>
    <mergeCell ref="C103:D103"/>
    <mergeCell ref="C75:D75"/>
    <mergeCell ref="B83:D83"/>
    <mergeCell ref="C85:D85"/>
    <mergeCell ref="B93:D93"/>
    <mergeCell ref="C95:D95"/>
    <mergeCell ref="B53:D53"/>
    <mergeCell ref="C55:D55"/>
    <mergeCell ref="B63:D63"/>
    <mergeCell ref="C65:D65"/>
    <mergeCell ref="B73:D7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B25:B27"/>
    <mergeCell ref="C25:C27"/>
    <mergeCell ref="B28:B30"/>
    <mergeCell ref="A37:D37"/>
    <mergeCell ref="E37:I37"/>
    <mergeCell ref="A17:D17"/>
    <mergeCell ref="B18:D18"/>
    <mergeCell ref="B19:B21"/>
    <mergeCell ref="C19:C21"/>
    <mergeCell ref="B22:B24"/>
    <mergeCell ref="C22:C24"/>
    <mergeCell ref="B12:D12"/>
    <mergeCell ref="E12:BB12"/>
    <mergeCell ref="BC12:BC13"/>
    <mergeCell ref="B13:D13"/>
    <mergeCell ref="B14:C16"/>
    <mergeCell ref="B189:D189"/>
    <mergeCell ref="C190:D190"/>
    <mergeCell ref="C191:D191"/>
    <mergeCell ref="C192:D192"/>
    <mergeCell ref="B165:D165"/>
    <mergeCell ref="C167:D167"/>
    <mergeCell ref="B172:D172"/>
    <mergeCell ref="C174:D174"/>
    <mergeCell ref="B181:D181"/>
    <mergeCell ref="C183:D183"/>
    <mergeCell ref="B187:D187"/>
    <mergeCell ref="B150:D150"/>
    <mergeCell ref="C152:D152"/>
    <mergeCell ref="B160:D160"/>
    <mergeCell ref="C162:D162"/>
    <mergeCell ref="A188:D188"/>
    <mergeCell ref="C128:D128"/>
    <mergeCell ref="B130:D130"/>
    <mergeCell ref="C132:D132"/>
    <mergeCell ref="B140:D140"/>
    <mergeCell ref="C142:D142"/>
    <mergeCell ref="B111:D111"/>
    <mergeCell ref="C113:D113"/>
    <mergeCell ref="B116:D116"/>
    <mergeCell ref="C118:D118"/>
    <mergeCell ref="B126:D126"/>
  </mergeCells>
  <conditionalFormatting sqref="E14:BB15">
    <cfRule type="containsBlanks" dxfId="29" priority="1">
      <formula>LEN(TRIM(E14))=0</formula>
    </cfRule>
  </conditionalFormatting>
  <conditionalFormatting sqref="E19:BB20">
    <cfRule type="containsBlanks" dxfId="28" priority="2">
      <formula>LEN(TRIM(E19))=0</formula>
    </cfRule>
  </conditionalFormatting>
  <conditionalFormatting sqref="E22:BB23 E25:BB26 E33:BB33 E35:BB35 E39:BB40">
    <cfRule type="containsBlanks" dxfId="27" priority="3">
      <formula>LEN(TRIM(E22))=0</formula>
    </cfRule>
  </conditionalFormatting>
  <conditionalFormatting sqref="E30:BB30">
    <cfRule type="expression" dxfId="26" priority="4">
      <formula>E30&lt;&gt;E47</formula>
    </cfRule>
    <cfRule type="expression" dxfId="25" priority="5">
      <formula>E30&lt;&gt;E34</formula>
    </cfRule>
  </conditionalFormatting>
  <conditionalFormatting sqref="E34:BB34">
    <cfRule type="expression" dxfId="24" priority="6">
      <formula>E30&lt;&gt;E34</formula>
    </cfRule>
    <cfRule type="expression" dxfId="23" priority="7">
      <formula>E30=E34</formula>
    </cfRule>
    <cfRule type="expression" dxfId="22" priority="8">
      <formula>E34&lt;&gt;E30</formula>
    </cfRule>
    <cfRule type="expression" dxfId="21" priority="9">
      <formula>E34&lt;&gt;E64</formula>
    </cfRule>
  </conditionalFormatting>
  <conditionalFormatting sqref="E45:BB52">
    <cfRule type="containsBlanks" dxfId="20" priority="10">
      <formula>LEN(TRIM(E45))=0</formula>
    </cfRule>
  </conditionalFormatting>
  <conditionalFormatting sqref="E55:BB62">
    <cfRule type="containsBlanks" dxfId="19" priority="11">
      <formula>LEN(TRIM(E55))=0</formula>
    </cfRule>
  </conditionalFormatting>
  <conditionalFormatting sqref="E65:BB72">
    <cfRule type="containsBlanks" dxfId="18" priority="12">
      <formula>LEN(TRIM(E65))=0</formula>
    </cfRule>
  </conditionalFormatting>
  <conditionalFormatting sqref="E75:BB82">
    <cfRule type="containsBlanks" dxfId="17" priority="13">
      <formula>LEN(TRIM(E75))=0</formula>
    </cfRule>
  </conditionalFormatting>
  <conditionalFormatting sqref="E85:BB92">
    <cfRule type="containsBlanks" dxfId="16" priority="14">
      <formula>LEN(TRIM(E85))=0</formula>
    </cfRule>
  </conditionalFormatting>
  <conditionalFormatting sqref="E95:BB96">
    <cfRule type="containsBlanks" dxfId="15" priority="15">
      <formula>LEN(TRIM(E95))=0</formula>
    </cfRule>
  </conditionalFormatting>
  <conditionalFormatting sqref="E99:BB100">
    <cfRule type="containsBlanks" dxfId="14" priority="16">
      <formula>LEN(TRIM(E99))=0</formula>
    </cfRule>
  </conditionalFormatting>
  <conditionalFormatting sqref="E103:BB110">
    <cfRule type="containsBlanks" dxfId="13" priority="17">
      <formula>LEN(TRIM(E103))=0</formula>
    </cfRule>
  </conditionalFormatting>
  <conditionalFormatting sqref="E113:BB115">
    <cfRule type="containsBlanks" dxfId="12" priority="18">
      <formula>LEN(TRIM(E113))=0</formula>
    </cfRule>
  </conditionalFormatting>
  <conditionalFormatting sqref="E118:BB125">
    <cfRule type="containsBlanks" dxfId="11" priority="19">
      <formula>LEN(TRIM(E118))=0</formula>
    </cfRule>
  </conditionalFormatting>
  <conditionalFormatting sqref="E128:BB129">
    <cfRule type="containsBlanks" dxfId="10" priority="20">
      <formula>LEN(TRIM(E128))=0</formula>
    </cfRule>
  </conditionalFormatting>
  <conditionalFormatting sqref="E132:BB139">
    <cfRule type="containsBlanks" dxfId="9" priority="21">
      <formula>LEN(TRIM(E132))=0</formula>
    </cfRule>
  </conditionalFormatting>
  <conditionalFormatting sqref="E142:BB149">
    <cfRule type="containsBlanks" dxfId="8" priority="22">
      <formula>LEN(TRIM(E142))=0</formula>
    </cfRule>
  </conditionalFormatting>
  <conditionalFormatting sqref="E152:BB159">
    <cfRule type="containsBlanks" dxfId="7" priority="23">
      <formula>LEN(TRIM(E152))=0</formula>
    </cfRule>
  </conditionalFormatting>
  <conditionalFormatting sqref="E162:BB164">
    <cfRule type="containsBlanks" dxfId="6" priority="24">
      <formula>LEN(TRIM(E162))=0</formula>
    </cfRule>
  </conditionalFormatting>
  <conditionalFormatting sqref="E167:BB171">
    <cfRule type="containsBlanks" dxfId="5" priority="25">
      <formula>LEN(TRIM(E167))=0</formula>
    </cfRule>
  </conditionalFormatting>
  <conditionalFormatting sqref="E174:BB180">
    <cfRule type="containsBlanks" dxfId="4" priority="26">
      <formula>LEN(TRIM(E174))=0</formula>
    </cfRule>
  </conditionalFormatting>
  <conditionalFormatting sqref="E183:BB186">
    <cfRule type="containsBlanks" dxfId="3" priority="27">
      <formula>LEN(TRIM(E183))=0</formula>
    </cfRule>
  </conditionalFormatting>
  <conditionalFormatting sqref="E190:BB191">
    <cfRule type="containsBlanks" dxfId="2" priority="28">
      <formula>LEN(TRIM(E190))=0</formula>
    </cfRule>
  </conditionalFormatting>
  <conditionalFormatting sqref="E192:BB192">
    <cfRule type="expression" dxfId="1" priority="29">
      <formula>E192&lt;&gt;E30</formula>
    </cfRule>
    <cfRule type="expression" dxfId="0" priority="30">
      <formula>E192&lt;&gt;E34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DPRD KAB</vt:lpstr>
      <vt:lpstr>GENTENG KULON</vt:lpstr>
      <vt:lpstr>GENTENG WETAN</vt:lpstr>
      <vt:lpstr>KALIGONDO</vt:lpstr>
      <vt:lpstr>KEMBIRITAN</vt:lpstr>
      <vt:lpstr>SETAIL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Eko Budi Hartanto</cp:lastModifiedBy>
  <dcterms:created xsi:type="dcterms:W3CDTF">2026-01-14T02:26:01Z</dcterms:created>
  <dcterms:modified xsi:type="dcterms:W3CDTF">2026-01-26T13:46:31Z</dcterms:modified>
</cp:coreProperties>
</file>